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4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D23" i="5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J39" i="39"/>
  <c r="D39"/>
  <c r="B39"/>
  <c r="F37"/>
  <c r="M36"/>
  <c r="G36"/>
  <c r="F36"/>
  <c r="D36"/>
  <c r="C36"/>
  <c r="N35"/>
  <c r="K35"/>
  <c r="F35"/>
  <c r="C35"/>
  <c r="P34"/>
  <c r="M34"/>
  <c r="E34"/>
  <c r="J33"/>
  <c r="Q32"/>
  <c r="O32"/>
  <c r="N32"/>
  <c r="L32"/>
  <c r="L31"/>
  <c r="M30"/>
  <c r="N29"/>
  <c r="M29"/>
  <c r="L29"/>
  <c r="O28"/>
  <c r="M28"/>
  <c r="N27"/>
  <c r="L27"/>
  <c r="O26"/>
  <c r="F26"/>
  <c r="N25"/>
  <c r="G25"/>
  <c r="E25"/>
  <c r="C24"/>
  <c r="J23"/>
  <c r="G23"/>
  <c r="Q22"/>
  <c r="L22"/>
  <c r="I22"/>
  <c r="D22"/>
  <c r="A22"/>
  <c r="M21"/>
  <c r="D21"/>
  <c r="I18"/>
  <c r="J17"/>
  <c r="K16"/>
  <c r="J16"/>
  <c r="L15"/>
  <c r="N13"/>
  <c r="O12"/>
  <c r="N12"/>
  <c r="C10"/>
  <c r="B10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I108"/>
  <c r="I39" i="39" s="1"/>
  <c r="H108" i="41"/>
  <c r="H39" i="39" s="1"/>
  <c r="G108" i="41"/>
  <c r="G39" i="39" s="1"/>
  <c r="F108" i="41"/>
  <c r="F39" i="39" s="1"/>
  <c r="E108" i="41"/>
  <c r="E39" i="39" s="1"/>
  <c r="D108" i="41"/>
  <c r="C108"/>
  <c r="C39" i="39" s="1"/>
  <c r="B108" i="4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E108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L108"/>
  <c r="L36" i="39" s="1"/>
  <c r="K108" i="33"/>
  <c r="K36" i="39" s="1"/>
  <c r="J108" i="33"/>
  <c r="J36" i="39" s="1"/>
  <c r="I108" i="33"/>
  <c r="I36" i="39" s="1"/>
  <c r="H108" i="33"/>
  <c r="H36" i="39" s="1"/>
  <c r="G108" i="33"/>
  <c r="F108"/>
  <c r="E108"/>
  <c r="E36" i="39" s="1"/>
  <c r="D108" i="33"/>
  <c r="C108"/>
  <c r="B108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M108"/>
  <c r="M35" i="39" s="1"/>
  <c r="L108" i="32"/>
  <c r="L35" i="39" s="1"/>
  <c r="K108" i="32"/>
  <c r="J108"/>
  <c r="J35" i="39" s="1"/>
  <c r="I108" i="32"/>
  <c r="I35" i="39" s="1"/>
  <c r="H108" i="32"/>
  <c r="H35" i="39" s="1"/>
  <c r="G108" i="32"/>
  <c r="G35" i="39" s="1"/>
  <c r="F108" i="32"/>
  <c r="E108"/>
  <c r="E35" i="39" s="1"/>
  <c r="D108" i="32"/>
  <c r="D35" i="39" s="1"/>
  <c r="C108" i="32"/>
  <c r="B108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O108"/>
  <c r="O34" i="39" s="1"/>
  <c r="N108" i="31"/>
  <c r="N34" i="39" s="1"/>
  <c r="M108" i="31"/>
  <c r="L108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D108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I108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2" i="39" s="1"/>
  <c r="O108" i="29"/>
  <c r="N108"/>
  <c r="M108"/>
  <c r="M32" i="39" s="1"/>
  <c r="L108" i="29"/>
  <c r="K108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2" i="28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K10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L108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M108"/>
  <c r="L108"/>
  <c r="K108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N108"/>
  <c r="N28" i="39" s="1"/>
  <c r="M108" i="25"/>
  <c r="L108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M108"/>
  <c r="M27" i="39" s="1"/>
  <c r="L108" i="24"/>
  <c r="K108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2" i="23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N108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M108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F108"/>
  <c r="F25" i="39" s="1"/>
  <c r="E108" i="22"/>
  <c r="D108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B108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I108"/>
  <c r="I23" i="39" s="1"/>
  <c r="H108" i="20"/>
  <c r="H23" i="39" s="1"/>
  <c r="G108" i="20"/>
  <c r="F108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H111" i="1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2" i="39" s="1"/>
  <c r="O108" i="19"/>
  <c r="O22" i="39" s="1"/>
  <c r="N108" i="19"/>
  <c r="N22" i="39" s="1"/>
  <c r="M108" i="19"/>
  <c r="M22" i="39" s="1"/>
  <c r="L108" i="19"/>
  <c r="K108"/>
  <c r="K22" i="39" s="1"/>
  <c r="J108" i="19"/>
  <c r="J22" i="39" s="1"/>
  <c r="I108" i="19"/>
  <c r="H108"/>
  <c r="H22" i="39" s="1"/>
  <c r="G108" i="19"/>
  <c r="G22" i="39" s="1"/>
  <c r="F108" i="19"/>
  <c r="F22" i="39" s="1"/>
  <c r="E108" i="19"/>
  <c r="E22" i="39" s="1"/>
  <c r="D108" i="19"/>
  <c r="C108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L10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C10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2"/>
  <c r="E111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2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H108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I108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H112" i="13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J108"/>
  <c r="I108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K108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M108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N108"/>
  <c r="M108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2" i="8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P112" i="3"/>
  <c r="Q112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K111" i="41" l="1"/>
  <c r="J111"/>
  <c r="I111"/>
  <c r="H111"/>
  <c r="G111"/>
  <c r="F111"/>
  <c r="E111"/>
  <c r="D111"/>
  <c r="C111"/>
  <c r="B111"/>
  <c r="Q111"/>
  <c r="P111"/>
  <c r="O111"/>
  <c r="N111"/>
  <c r="M111"/>
  <c r="L111"/>
  <c r="M111" i="40"/>
  <c r="L111"/>
  <c r="K111"/>
  <c r="J111"/>
  <c r="I111"/>
  <c r="H111"/>
  <c r="G111"/>
  <c r="F111"/>
  <c r="E111"/>
  <c r="D111"/>
  <c r="C111"/>
  <c r="B111"/>
  <c r="Q111"/>
  <c r="P111"/>
  <c r="O111"/>
  <c r="N111"/>
  <c r="N111" i="44"/>
  <c r="M111"/>
  <c r="L111"/>
  <c r="K111"/>
  <c r="J111"/>
  <c r="I111"/>
  <c r="H111"/>
  <c r="G111"/>
  <c r="F111"/>
  <c r="E111"/>
  <c r="D111"/>
  <c r="C111"/>
  <c r="B111"/>
  <c r="Q111"/>
  <c r="P111"/>
  <c r="O111"/>
  <c r="J111" i="33"/>
  <c r="I111"/>
  <c r="H111"/>
  <c r="G111"/>
  <c r="F111"/>
  <c r="E111"/>
  <c r="D111"/>
  <c r="C111"/>
  <c r="B111"/>
  <c r="K111"/>
  <c r="Q111"/>
  <c r="P111"/>
  <c r="O111"/>
  <c r="N111"/>
  <c r="M111"/>
  <c r="L111"/>
  <c r="I111" i="32"/>
  <c r="H111"/>
  <c r="G111"/>
  <c r="F111"/>
  <c r="E111"/>
  <c r="D111"/>
  <c r="C111"/>
  <c r="B111"/>
  <c r="Q111"/>
  <c r="P111"/>
  <c r="O111"/>
  <c r="N111"/>
  <c r="M111"/>
  <c r="L111"/>
  <c r="K111"/>
  <c r="J111"/>
  <c r="H111" i="31"/>
  <c r="G111"/>
  <c r="F111"/>
  <c r="E111"/>
  <c r="D111"/>
  <c r="C111"/>
  <c r="B111"/>
  <c r="Q111"/>
  <c r="P111"/>
  <c r="O111"/>
  <c r="N111"/>
  <c r="M111"/>
  <c r="L111"/>
  <c r="K111"/>
  <c r="J111"/>
  <c r="I111"/>
  <c r="H111" i="30"/>
  <c r="I112"/>
  <c r="G111"/>
  <c r="F111"/>
  <c r="E111"/>
  <c r="D111"/>
  <c r="C111"/>
  <c r="B111"/>
  <c r="Q111"/>
  <c r="P111"/>
  <c r="O111"/>
  <c r="N111"/>
  <c r="M111"/>
  <c r="L111"/>
  <c r="K111"/>
  <c r="J111"/>
  <c r="G111" i="29"/>
  <c r="F111"/>
  <c r="E111"/>
  <c r="D111"/>
  <c r="C111"/>
  <c r="B111"/>
  <c r="Q111"/>
  <c r="P111"/>
  <c r="O111"/>
  <c r="N111"/>
  <c r="M111"/>
  <c r="L111"/>
  <c r="K111"/>
  <c r="J111"/>
  <c r="I111"/>
  <c r="H111"/>
  <c r="F111" i="28"/>
  <c r="E111"/>
  <c r="D111"/>
  <c r="C111"/>
  <c r="B111"/>
  <c r="Q111"/>
  <c r="P111"/>
  <c r="O111"/>
  <c r="N111"/>
  <c r="M111"/>
  <c r="L111"/>
  <c r="K111"/>
  <c r="J111"/>
  <c r="I111"/>
  <c r="H111"/>
  <c r="G111"/>
  <c r="G111" i="27"/>
  <c r="F111"/>
  <c r="E111"/>
  <c r="D111"/>
  <c r="C111"/>
  <c r="B111"/>
  <c r="Q111"/>
  <c r="P111"/>
  <c r="O111"/>
  <c r="N111"/>
  <c r="M111"/>
  <c r="L111"/>
  <c r="K111"/>
  <c r="J111"/>
  <c r="I111"/>
  <c r="H111"/>
  <c r="D111" i="26"/>
  <c r="C111"/>
  <c r="F111"/>
  <c r="B111"/>
  <c r="Q111"/>
  <c r="P111"/>
  <c r="O111"/>
  <c r="N111"/>
  <c r="M111"/>
  <c r="L111"/>
  <c r="K111"/>
  <c r="E112"/>
  <c r="J111"/>
  <c r="I111"/>
  <c r="H111"/>
  <c r="G111"/>
  <c r="F111" i="25"/>
  <c r="E111"/>
  <c r="D111"/>
  <c r="C111"/>
  <c r="B111"/>
  <c r="Q111"/>
  <c r="P111"/>
  <c r="O111"/>
  <c r="N111"/>
  <c r="M111"/>
  <c r="L111"/>
  <c r="K111"/>
  <c r="J111"/>
  <c r="I111"/>
  <c r="H111"/>
  <c r="G111"/>
  <c r="F111" i="24"/>
  <c r="E111"/>
  <c r="D111"/>
  <c r="C111"/>
  <c r="B111"/>
  <c r="Q111"/>
  <c r="P111"/>
  <c r="O111"/>
  <c r="N111"/>
  <c r="M111"/>
  <c r="L111"/>
  <c r="K111"/>
  <c r="J111"/>
  <c r="I111"/>
  <c r="H111"/>
  <c r="G111"/>
  <c r="F111" i="23"/>
  <c r="E111"/>
  <c r="D111"/>
  <c r="C111"/>
  <c r="B111"/>
  <c r="Q111"/>
  <c r="P111"/>
  <c r="O111"/>
  <c r="N111"/>
  <c r="M111"/>
  <c r="L111"/>
  <c r="K111"/>
  <c r="J111"/>
  <c r="I111"/>
  <c r="H111"/>
  <c r="G111"/>
  <c r="E111" i="22"/>
  <c r="D111"/>
  <c r="C111"/>
  <c r="B111"/>
  <c r="Q111"/>
  <c r="P111"/>
  <c r="O111"/>
  <c r="N111"/>
  <c r="M111"/>
  <c r="L111"/>
  <c r="K111"/>
  <c r="J111"/>
  <c r="I111"/>
  <c r="H111"/>
  <c r="G111"/>
  <c r="F111"/>
  <c r="E111" i="21"/>
  <c r="D111"/>
  <c r="C111"/>
  <c r="B111"/>
  <c r="Q111"/>
  <c r="P111"/>
  <c r="O111"/>
  <c r="N111"/>
  <c r="M111"/>
  <c r="F111"/>
  <c r="L111"/>
  <c r="K111"/>
  <c r="J111"/>
  <c r="I111"/>
  <c r="H111"/>
  <c r="G111"/>
  <c r="F111" i="20"/>
  <c r="E111"/>
  <c r="D111"/>
  <c r="C111"/>
  <c r="B111"/>
  <c r="Q111"/>
  <c r="P111"/>
  <c r="O111"/>
  <c r="N111"/>
  <c r="M111"/>
  <c r="L111"/>
  <c r="K111"/>
  <c r="J111"/>
  <c r="I111"/>
  <c r="H111"/>
  <c r="G111"/>
  <c r="D111" i="19"/>
  <c r="C111"/>
  <c r="B111"/>
  <c r="Q111"/>
  <c r="P111"/>
  <c r="O111"/>
  <c r="N111"/>
  <c r="M111"/>
  <c r="L111"/>
  <c r="K111"/>
  <c r="J111"/>
  <c r="I111"/>
  <c r="G111"/>
  <c r="F111"/>
  <c r="E111"/>
  <c r="D111" i="18"/>
  <c r="C111"/>
  <c r="B111"/>
  <c r="Q111"/>
  <c r="P111"/>
  <c r="O111"/>
  <c r="N111"/>
  <c r="M111"/>
  <c r="L111"/>
  <c r="K111"/>
  <c r="J111"/>
  <c r="I111"/>
  <c r="H111"/>
  <c r="G111"/>
  <c r="F111"/>
  <c r="E111"/>
  <c r="E112" i="17"/>
  <c r="D111"/>
  <c r="C111"/>
  <c r="B111"/>
  <c r="Q111"/>
  <c r="P111"/>
  <c r="O111"/>
  <c r="N111"/>
  <c r="M111"/>
  <c r="L111"/>
  <c r="K111"/>
  <c r="J111"/>
  <c r="I111"/>
  <c r="H111"/>
  <c r="G111"/>
  <c r="F111"/>
  <c r="G111" i="16"/>
  <c r="F111"/>
  <c r="E111"/>
  <c r="D111"/>
  <c r="C111"/>
  <c r="B111"/>
  <c r="Q111"/>
  <c r="P111"/>
  <c r="O111"/>
  <c r="N111"/>
  <c r="M111"/>
  <c r="L111"/>
  <c r="K111"/>
  <c r="J111"/>
  <c r="I111"/>
  <c r="H111"/>
  <c r="G111" i="15"/>
  <c r="H111"/>
  <c r="F111"/>
  <c r="E111"/>
  <c r="D111"/>
  <c r="C111"/>
  <c r="B111"/>
  <c r="Q111"/>
  <c r="P111"/>
  <c r="O111"/>
  <c r="N111"/>
  <c r="M111"/>
  <c r="L111"/>
  <c r="K111"/>
  <c r="J111"/>
  <c r="I111"/>
  <c r="H111" i="14"/>
  <c r="I111"/>
  <c r="G111"/>
  <c r="F111"/>
  <c r="E111"/>
  <c r="D111"/>
  <c r="C111"/>
  <c r="B111"/>
  <c r="Q111"/>
  <c r="P111"/>
  <c r="O111"/>
  <c r="N111"/>
  <c r="M111"/>
  <c r="L111"/>
  <c r="K111"/>
  <c r="J111"/>
  <c r="I112" i="13"/>
  <c r="G111"/>
  <c r="F111"/>
  <c r="E111"/>
  <c r="D111"/>
  <c r="C111"/>
  <c r="B111"/>
  <c r="Q111"/>
  <c r="P111"/>
  <c r="O111"/>
  <c r="N111"/>
  <c r="M111"/>
  <c r="L111"/>
  <c r="K111"/>
  <c r="J111"/>
  <c r="I111" i="12"/>
  <c r="J112"/>
  <c r="H111"/>
  <c r="G111"/>
  <c r="F111"/>
  <c r="E111"/>
  <c r="D111"/>
  <c r="C111"/>
  <c r="B111"/>
  <c r="Q111"/>
  <c r="P111"/>
  <c r="O111"/>
  <c r="N111"/>
  <c r="M111"/>
  <c r="L111"/>
  <c r="K111"/>
  <c r="L111" i="11"/>
  <c r="K111"/>
  <c r="J111"/>
  <c r="I111"/>
  <c r="H111"/>
  <c r="G111"/>
  <c r="F111"/>
  <c r="E111"/>
  <c r="D111"/>
  <c r="C111"/>
  <c r="B111"/>
  <c r="Q111"/>
  <c r="P111"/>
  <c r="O111"/>
  <c r="N111"/>
  <c r="M111"/>
  <c r="L111" i="10"/>
  <c r="K111"/>
  <c r="J111"/>
  <c r="I111"/>
  <c r="H111"/>
  <c r="G111"/>
  <c r="F111"/>
  <c r="E111"/>
  <c r="D111"/>
  <c r="M111"/>
  <c r="C111"/>
  <c r="B111"/>
  <c r="Q111"/>
  <c r="P111"/>
  <c r="O111"/>
  <c r="N111"/>
  <c r="K111" i="9"/>
  <c r="J111"/>
  <c r="I111"/>
  <c r="H111"/>
  <c r="G111"/>
  <c r="L111"/>
  <c r="F111"/>
  <c r="E111"/>
  <c r="M111"/>
  <c r="D111"/>
  <c r="C111"/>
  <c r="B111"/>
  <c r="Q111"/>
  <c r="P111"/>
  <c r="O111"/>
  <c r="N111"/>
  <c r="D24" i="5"/>
  <c r="D44" s="1"/>
  <c r="Q111" i="8"/>
  <c r="P111"/>
  <c r="O111"/>
  <c r="N111"/>
  <c r="M111"/>
  <c r="L111"/>
  <c r="K111"/>
  <c r="J111"/>
  <c r="I111"/>
  <c r="H111"/>
  <c r="G111"/>
  <c r="F111"/>
  <c r="E111"/>
  <c r="D111"/>
  <c r="C111"/>
  <c r="B111"/>
  <c r="N111" i="3"/>
  <c r="O111"/>
  <c r="L111"/>
  <c r="K111"/>
  <c r="J111"/>
  <c r="M111"/>
  <c r="I111"/>
  <c r="H111"/>
  <c r="G111"/>
  <c r="F111"/>
  <c r="Q111"/>
  <c r="E111"/>
  <c r="D111"/>
  <c r="C111"/>
  <c r="B111"/>
  <c r="Q45" i="39"/>
  <c r="Q44"/>
  <c r="Q43"/>
  <c r="Q42"/>
  <c r="Q41"/>
  <c r="P45"/>
  <c r="P44"/>
  <c r="P43"/>
  <c r="P42"/>
  <c r="P41"/>
  <c r="O45"/>
  <c r="O44"/>
  <c r="O43"/>
  <c r="O42"/>
  <c r="O41"/>
  <c r="N45"/>
  <c r="N44"/>
  <c r="N43"/>
  <c r="N42"/>
  <c r="N41"/>
  <c r="M45"/>
  <c r="M44"/>
  <c r="M43"/>
  <c r="M42"/>
  <c r="M41"/>
  <c r="L45"/>
  <c r="L44"/>
  <c r="L43"/>
  <c r="L42"/>
  <c r="L41"/>
  <c r="K45"/>
  <c r="K44"/>
  <c r="K43"/>
  <c r="K42"/>
  <c r="K41"/>
  <c r="J45"/>
  <c r="J44"/>
  <c r="J43"/>
  <c r="J42"/>
  <c r="J41"/>
  <c r="I45"/>
  <c r="I44"/>
  <c r="I43"/>
  <c r="I42"/>
  <c r="I41"/>
  <c r="B45"/>
  <c r="B44"/>
  <c r="B43"/>
  <c r="B42"/>
  <c r="B41"/>
  <c r="G45"/>
  <c r="G44"/>
  <c r="G43"/>
  <c r="G42"/>
  <c r="G41"/>
  <c r="F45"/>
  <c r="F44"/>
  <c r="F43"/>
  <c r="F42"/>
  <c r="F41"/>
  <c r="E45"/>
  <c r="E44"/>
  <c r="E43"/>
  <c r="E42"/>
  <c r="E41"/>
  <c r="H45"/>
  <c r="H44"/>
  <c r="H43"/>
  <c r="H42"/>
  <c r="H41"/>
  <c r="D45"/>
  <c r="D44"/>
  <c r="D43"/>
  <c r="D42"/>
  <c r="D41"/>
  <c r="C45"/>
  <c r="C44"/>
  <c r="C43"/>
  <c r="C42"/>
  <c r="C41"/>
  <c r="E111" i="2"/>
  <c r="D111"/>
  <c r="C111"/>
  <c r="B111"/>
  <c r="Q111"/>
  <c r="P111"/>
  <c r="O111"/>
  <c r="N111"/>
  <c r="M111"/>
  <c r="L111"/>
  <c r="K111"/>
  <c r="J111"/>
  <c r="I111"/>
  <c r="H111"/>
  <c r="G111"/>
  <c r="F111"/>
  <c r="M47" i="39" l="1"/>
  <c r="M46"/>
  <c r="Q47"/>
  <c r="Q46"/>
  <c r="G47"/>
  <c r="G46"/>
  <c r="P47"/>
  <c r="P46"/>
  <c r="D47"/>
  <c r="D46"/>
  <c r="J47"/>
  <c r="J46"/>
  <c r="I47"/>
  <c r="I46"/>
  <c r="H47"/>
  <c r="H46"/>
  <c r="F47"/>
  <c r="F46"/>
  <c r="L47"/>
  <c r="L46"/>
  <c r="C47"/>
  <c r="C46"/>
  <c r="E47"/>
  <c r="E46"/>
  <c r="B47"/>
  <c r="B46"/>
  <c r="O47"/>
  <c r="O46"/>
  <c r="K47"/>
  <c r="K46"/>
  <c r="N47"/>
  <c r="N46"/>
</calcChain>
</file>

<file path=xl/sharedStrings.xml><?xml version="1.0" encoding="utf-8"?>
<sst xmlns="http://schemas.openxmlformats.org/spreadsheetml/2006/main" count="6017" uniqueCount="3214">
  <si>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</si>
  <si>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</si>
  <si>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</si>
  <si>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</si>
  <si>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</si>
  <si>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</si>
  <si>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</si>
  <si>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</si>
  <si>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</si>
  <si>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</si>
  <si>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</si>
  <si>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</si>
  <si>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</si>
  <si>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</si>
  <si>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</si>
  <si>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</si>
  <si>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</si>
  <si>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</si>
  <si>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</si>
  <si>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</si>
  <si>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</si>
  <si>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</si>
  <si>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</si>
  <si>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</si>
  <si>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</si>
  <si>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</si>
  <si>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</si>
  <si>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</si>
  <si>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</si>
  <si>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</si>
  <si>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</si>
  <si>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</si>
  <si>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</si>
  <si>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</si>
  <si>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</si>
  <si>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</si>
  <si>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</si>
  <si>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</si>
  <si>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</si>
  <si>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</si>
  <si>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</si>
  <si>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</si>
  <si>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</si>
  <si>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</si>
  <si>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</si>
  <si>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</si>
  <si>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</si>
  <si>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</si>
  <si>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</si>
  <si>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</si>
  <si>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</si>
  <si>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</si>
  <si>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</si>
  <si>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</si>
  <si>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</si>
  <si>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</si>
  <si>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</si>
  <si>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</si>
  <si>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</si>
  <si>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</si>
  <si>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</si>
  <si>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</si>
  <si>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</si>
  <si>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</si>
  <si>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</si>
  <si>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</si>
  <si>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</si>
  <si>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</si>
  <si>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</si>
  <si>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</si>
  <si>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</si>
  <si>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</si>
  <si>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</si>
  <si>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</si>
  <si>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</si>
  <si>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</si>
  <si>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</si>
  <si>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</si>
  <si>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</si>
  <si>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</si>
  <si>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</si>
  <si>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</si>
  <si>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</si>
  <si>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</si>
  <si>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</si>
  <si>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</si>
  <si>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</si>
  <si>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</si>
  <si>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</si>
  <si>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</si>
  <si>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</si>
  <si>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</si>
  <si>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</si>
  <si>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</si>
  <si>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</si>
  <si>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</si>
  <si>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</si>
  <si>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</si>
  <si>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</si>
  <si>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</si>
  <si>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</si>
  <si>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</si>
  <si>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</si>
  <si>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</si>
  <si>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</si>
  <si>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</si>
  <si>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</si>
  <si>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</si>
  <si>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</si>
  <si>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</si>
  <si>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</si>
  <si>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</si>
  <si>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</si>
  <si>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</si>
  <si>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</si>
  <si>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</si>
  <si>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</si>
  <si>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</si>
  <si>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</si>
  <si>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</si>
  <si>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</si>
  <si>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</si>
  <si>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</si>
  <si>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</si>
  <si>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</si>
  <si>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</si>
  <si>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</si>
  <si>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</si>
  <si>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</si>
  <si>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</si>
  <si>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</si>
  <si>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</si>
  <si>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</si>
  <si>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</si>
  <si>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</si>
  <si>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</si>
  <si>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</si>
  <si>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</si>
  <si>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</si>
  <si>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</si>
  <si>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</si>
  <si>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</si>
  <si>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</si>
  <si>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</si>
  <si>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</si>
  <si>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</si>
  <si>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</si>
  <si>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</si>
  <si>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</si>
  <si>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</si>
  <si>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</si>
  <si>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</si>
  <si>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</si>
  <si>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</si>
  <si>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</si>
  <si>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</si>
  <si>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</si>
  <si>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</si>
  <si>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</si>
  <si>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</si>
  <si>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</si>
  <si>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</si>
  <si>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</si>
  <si>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</si>
  <si>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</si>
  <si>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</si>
  <si>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</si>
  <si>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</si>
  <si>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</si>
  <si>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</si>
  <si>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</si>
  <si>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</si>
  <si>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</si>
  <si>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</si>
  <si>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</si>
  <si>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</si>
  <si>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</si>
  <si>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</si>
  <si>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</si>
  <si>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</si>
  <si>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</si>
  <si>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</si>
  <si>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</si>
  <si>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</si>
  <si>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</si>
  <si>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</si>
  <si>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</si>
  <si>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</si>
  <si>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</si>
  <si>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</si>
  <si>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</si>
  <si>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</si>
  <si>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</si>
  <si>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</si>
  <si>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</si>
  <si>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</si>
  <si>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</si>
  <si>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</si>
  <si>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</si>
  <si>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</si>
  <si>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</si>
  <si>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</si>
  <si>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</si>
  <si>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</si>
  <si>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</si>
  <si>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</si>
  <si>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</si>
  <si>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</si>
  <si>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</si>
  <si>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</si>
  <si>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</si>
  <si>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</si>
  <si>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</si>
  <si>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</si>
  <si>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</si>
  <si>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</si>
  <si>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</si>
  <si>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</si>
  <si>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</si>
  <si>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</si>
  <si>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</si>
  <si>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</si>
  <si>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</si>
  <si>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</si>
  <si>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</si>
  <si>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</si>
  <si>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</si>
  <si>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</si>
  <si>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</si>
  <si>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</si>
  <si>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</si>
  <si>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</si>
  <si>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</si>
  <si>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</si>
  <si>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</si>
  <si>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</si>
  <si>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</si>
  <si>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</si>
  <si>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01/10/2023 00:15 - 31/10/2023 00:00</t>
  </si>
  <si>
    <t>01/10/2023 00:15</t>
  </si>
  <si>
    <t>01/10/2023 00:30</t>
  </si>
  <si>
    <t>01/10/2023 00:45</t>
  </si>
  <si>
    <t>01/10/2023 01:00</t>
  </si>
  <si>
    <t>01/10/2023 01:15</t>
  </si>
  <si>
    <t>01/10/2023 01:30</t>
  </si>
  <si>
    <t>01/10/2023 01:45</t>
  </si>
  <si>
    <t>01/10/2023 02:00</t>
  </si>
  <si>
    <t>01/10/2023 02:15</t>
  </si>
  <si>
    <t>01/10/2023 02:30</t>
  </si>
  <si>
    <t>01/10/2023 02:45</t>
  </si>
  <si>
    <t>01/10/2023 03:00</t>
  </si>
  <si>
    <t>01/10/2023 03:15</t>
  </si>
  <si>
    <t>01/10/2023 03:30</t>
  </si>
  <si>
    <t>01/10/2023 03:45</t>
  </si>
  <si>
    <t>01/10/2023 04:00</t>
  </si>
  <si>
    <t>01/10/2023 04:15</t>
  </si>
  <si>
    <t>01/10/2023 04:30</t>
  </si>
  <si>
    <t>01/10/2023 04:45</t>
  </si>
  <si>
    <t>01/10/2023 05:00</t>
  </si>
  <si>
    <t>01/10/2023 05:15</t>
  </si>
  <si>
    <t>01/10/2023 05:30</t>
  </si>
  <si>
    <t>01/10/2023 05:45</t>
  </si>
  <si>
    <t>01/10/2023 06:00</t>
  </si>
  <si>
    <t>01/10/2023 06:15</t>
  </si>
  <si>
    <t>01/10/2023 06:30</t>
  </si>
  <si>
    <t>01/10/2023 06:45</t>
  </si>
  <si>
    <t>01/10/2023 07:00</t>
  </si>
  <si>
    <t>01/10/2023 07:15</t>
  </si>
  <si>
    <t>01/10/2023 07:30</t>
  </si>
  <si>
    <t>01/10/2023 07:45</t>
  </si>
  <si>
    <t>01/10/2023 08:00</t>
  </si>
  <si>
    <t>01/10/2023 08:15</t>
  </si>
  <si>
    <t>01/10/2023 08:30</t>
  </si>
  <si>
    <t>01/10/2023 08:45</t>
  </si>
  <si>
    <t>01/10/2023 09:00</t>
  </si>
  <si>
    <t>01/10/2023 09:15</t>
  </si>
  <si>
    <t>01/10/2023 09:30</t>
  </si>
  <si>
    <t>01/10/2023 09:45</t>
  </si>
  <si>
    <t>01/10/2023 10:00</t>
  </si>
  <si>
    <t>01/10/2023 10:15</t>
  </si>
  <si>
    <t>01/10/2023 10:30</t>
  </si>
  <si>
    <t>01/10/2023 10:45</t>
  </si>
  <si>
    <t>01/10/2023 11:00</t>
  </si>
  <si>
    <t>01/10/2023 11:15</t>
  </si>
  <si>
    <t>01/10/2023 11:30</t>
  </si>
  <si>
    <t>01/10/2023 11:45</t>
  </si>
  <si>
    <t>01/10/2023 12:00</t>
  </si>
  <si>
    <t>01/10/2023 12:15</t>
  </si>
  <si>
    <t>01/10/2023 12:30</t>
  </si>
  <si>
    <t>01/10/2023 12:45</t>
  </si>
  <si>
    <t>01/10/2023 13:00</t>
  </si>
  <si>
    <t>01/10/2023 13:15</t>
  </si>
  <si>
    <t>01/10/2023 13:30</t>
  </si>
  <si>
    <t>01/10/2023 13:45</t>
  </si>
  <si>
    <t>01/10/2023 14:00</t>
  </si>
  <si>
    <t>01/10/2023 14:15</t>
  </si>
  <si>
    <t>01/10/2023 14:30</t>
  </si>
  <si>
    <t>01/10/2023 14:45</t>
  </si>
  <si>
    <t>01/10/2023 15:00</t>
  </si>
  <si>
    <t>01/10/2023 15:15</t>
  </si>
  <si>
    <t>01/10/2023 15:30</t>
  </si>
  <si>
    <t>01/10/2023 15:45</t>
  </si>
  <si>
    <t>01/10/2023 16:00</t>
  </si>
  <si>
    <t>01/10/2023 16:15</t>
  </si>
  <si>
    <t>01/10/2023 16:30</t>
  </si>
  <si>
    <t>01/10/2023 16:45</t>
  </si>
  <si>
    <t>01/10/2023 17:00</t>
  </si>
  <si>
    <t>01/10/2023 17:15</t>
  </si>
  <si>
    <t>01/10/2023 17:30</t>
  </si>
  <si>
    <t>01/10/2023 17:45</t>
  </si>
  <si>
    <t>01/10/2023 18:00</t>
  </si>
  <si>
    <t>01/10/2023 18:15</t>
  </si>
  <si>
    <t>01/10/2023 18:30</t>
  </si>
  <si>
    <t>01/10/2023 18:45</t>
  </si>
  <si>
    <t>01/10/2023 19:00</t>
  </si>
  <si>
    <t>01/10/2023 19:15</t>
  </si>
  <si>
    <t>01/10/2023 19:30</t>
  </si>
  <si>
    <t>01/10/2023 19:45</t>
  </si>
  <si>
    <t>01/10/2023 20:00</t>
  </si>
  <si>
    <t>01/10/2023 20:15</t>
  </si>
  <si>
    <t>01/10/2023 20:30</t>
  </si>
  <si>
    <t>01/10/2023 20:45</t>
  </si>
  <si>
    <t>01/10/2023 21:00</t>
  </si>
  <si>
    <t>01/10/2023 21:15</t>
  </si>
  <si>
    <t>01/10/2023 21:30</t>
  </si>
  <si>
    <t>01/10/2023 21:45</t>
  </si>
  <si>
    <t>01/10/2023 22:00</t>
  </si>
  <si>
    <t>01/10/2023 22:15</t>
  </si>
  <si>
    <t>01/10/2023 22:30</t>
  </si>
  <si>
    <t>01/10/2023 22:45</t>
  </si>
  <si>
    <t>01/10/2023 23:00</t>
  </si>
  <si>
    <t>01/10/2023 23:15</t>
  </si>
  <si>
    <t>01/10/2023 23:30</t>
  </si>
  <si>
    <t>01/10/2023 23:45</t>
  </si>
  <si>
    <t>01/10/2023 24:00</t>
  </si>
  <si>
    <t>02/10/2023 00:15</t>
  </si>
  <si>
    <t>02/10/2023 00:30</t>
  </si>
  <si>
    <t>02/10/2023 00:45</t>
  </si>
  <si>
    <t>02/10/2023 01:00</t>
  </si>
  <si>
    <t>02/10/2023 01:15</t>
  </si>
  <si>
    <t>02/10/2023 01:30</t>
  </si>
  <si>
    <t>02/10/2023 01:45</t>
  </si>
  <si>
    <t>02/10/2023 02:00</t>
  </si>
  <si>
    <t>02/10/2023 02:15</t>
  </si>
  <si>
    <t>02/10/2023 02:30</t>
  </si>
  <si>
    <t>02/10/2023 02:45</t>
  </si>
  <si>
    <t>02/10/2023 03:00</t>
  </si>
  <si>
    <t>02/10/2023 03:15</t>
  </si>
  <si>
    <t>02/10/2023 03:30</t>
  </si>
  <si>
    <t>02/10/2023 03:45</t>
  </si>
  <si>
    <t>02/10/2023 04:00</t>
  </si>
  <si>
    <t>02/10/2023 04:15</t>
  </si>
  <si>
    <t>02/10/2023 04:30</t>
  </si>
  <si>
    <t>02/10/2023 04:45</t>
  </si>
  <si>
    <t>02/10/2023 05:00</t>
  </si>
  <si>
    <t>02/10/2023 05:15</t>
  </si>
  <si>
    <t>02/10/2023 05:30</t>
  </si>
  <si>
    <t>02/10/2023 05:45</t>
  </si>
  <si>
    <t>02/10/2023 06:00</t>
  </si>
  <si>
    <t>02/10/2023 06:15</t>
  </si>
  <si>
    <t>02/10/2023 06:30</t>
  </si>
  <si>
    <t>02/10/2023 06:45</t>
  </si>
  <si>
    <t>02/10/2023 07:00</t>
  </si>
  <si>
    <t>02/10/2023 07:15</t>
  </si>
  <si>
    <t>02/10/2023 07:30</t>
  </si>
  <si>
    <t>02/10/2023 07:45</t>
  </si>
  <si>
    <t>02/10/2023 08:00</t>
  </si>
  <si>
    <t>02/10/2023 08:15</t>
  </si>
  <si>
    <t>02/10/2023 08:30</t>
  </si>
  <si>
    <t>02/10/2023 08:45</t>
  </si>
  <si>
    <t>02/10/2023 09:00</t>
  </si>
  <si>
    <t>02/10/2023 09:15</t>
  </si>
  <si>
    <t>02/10/2023 09:30</t>
  </si>
  <si>
    <t>02/10/2023 09:45</t>
  </si>
  <si>
    <t>02/10/2023 10:00</t>
  </si>
  <si>
    <t>02/10/2023 10:15</t>
  </si>
  <si>
    <t>02/10/2023 10:30</t>
  </si>
  <si>
    <t>02/10/2023 10:45</t>
  </si>
  <si>
    <t>02/10/2023 11:00</t>
  </si>
  <si>
    <t>02/10/2023 11:15</t>
  </si>
  <si>
    <t>02/10/2023 11:30</t>
  </si>
  <si>
    <t>02/10/2023 11:45</t>
  </si>
  <si>
    <t>02/10/2023 12:00</t>
  </si>
  <si>
    <t>02/10/2023 12:15</t>
  </si>
  <si>
    <t>02/10/2023 12:30</t>
  </si>
  <si>
    <t>02/10/2023 12:45</t>
  </si>
  <si>
    <t>02/10/2023 13:00</t>
  </si>
  <si>
    <t>02/10/2023 13:15</t>
  </si>
  <si>
    <t>02/10/2023 13:30</t>
  </si>
  <si>
    <t>02/10/2023 13:45</t>
  </si>
  <si>
    <t>02/10/2023 14:00</t>
  </si>
  <si>
    <t>02/10/2023 14:15</t>
  </si>
  <si>
    <t>02/10/2023 14:30</t>
  </si>
  <si>
    <t>02/10/2023 14:45</t>
  </si>
  <si>
    <t>02/10/2023 15:00</t>
  </si>
  <si>
    <t>02/10/2023 15:15</t>
  </si>
  <si>
    <t>02/10/2023 15:30</t>
  </si>
  <si>
    <t>02/10/2023 15:45</t>
  </si>
  <si>
    <t>02/10/2023 16:00</t>
  </si>
  <si>
    <t>02/10/2023 16:15</t>
  </si>
  <si>
    <t>02/10/2023 16:30</t>
  </si>
  <si>
    <t>02/10/2023 16:45</t>
  </si>
  <si>
    <t>02/10/2023 17:00</t>
  </si>
  <si>
    <t>02/10/2023 17:15</t>
  </si>
  <si>
    <t>02/10/2023 17:30</t>
  </si>
  <si>
    <t>02/10/2023 17:45</t>
  </si>
  <si>
    <t>02/10/2023 18:00</t>
  </si>
  <si>
    <t>02/10/2023 18:15</t>
  </si>
  <si>
    <t>02/10/2023 18:30</t>
  </si>
  <si>
    <t>02/10/2023 18:45</t>
  </si>
  <si>
    <t>02/10/2023 19:00</t>
  </si>
  <si>
    <t>02/10/2023 19:15</t>
  </si>
  <si>
    <t>02/10/2023 19:30</t>
  </si>
  <si>
    <t>02/10/2023 19:45</t>
  </si>
  <si>
    <t>02/10/2023 20:00</t>
  </si>
  <si>
    <t>02/10/2023 20:15</t>
  </si>
  <si>
    <t>02/10/2023 20:30</t>
  </si>
  <si>
    <t>02/10/2023 20:45</t>
  </si>
  <si>
    <t>02/10/2023 21:00</t>
  </si>
  <si>
    <t>02/10/2023 21:15</t>
  </si>
  <si>
    <t>02/10/2023 21:30</t>
  </si>
  <si>
    <t>02/10/2023 21:45</t>
  </si>
  <si>
    <t>02/10/2023 22:00</t>
  </si>
  <si>
    <t>02/10/2023 22:15</t>
  </si>
  <si>
    <t>02/10/2023 22:30</t>
  </si>
  <si>
    <t>02/10/2023 22:45</t>
  </si>
  <si>
    <t>02/10/2023 23:00</t>
  </si>
  <si>
    <t>02/10/2023 23:15</t>
  </si>
  <si>
    <t>02/10/2023 23:30</t>
  </si>
  <si>
    <t>02/10/2023 23:45</t>
  </si>
  <si>
    <t>02/10/2023 24:00</t>
  </si>
  <si>
    <t>03/10/2023 00:15</t>
  </si>
  <si>
    <t>03/10/2023 00:30</t>
  </si>
  <si>
    <t>03/10/2023 00:45</t>
  </si>
  <si>
    <t>03/10/2023 01:00</t>
  </si>
  <si>
    <t>03/10/2023 01:15</t>
  </si>
  <si>
    <t>03/10/2023 01:30</t>
  </si>
  <si>
    <t>03/10/2023 01:45</t>
  </si>
  <si>
    <t>03/10/2023 02:00</t>
  </si>
  <si>
    <t>03/10/2023 02:15</t>
  </si>
  <si>
    <t>03/10/2023 02:30</t>
  </si>
  <si>
    <t>03/10/2023 02:45</t>
  </si>
  <si>
    <t>03/10/2023 03:00</t>
  </si>
  <si>
    <t>03/10/2023 03:15</t>
  </si>
  <si>
    <t>03/10/2023 03:30</t>
  </si>
  <si>
    <t>03/10/2023 03:45</t>
  </si>
  <si>
    <t>03/10/2023 04:00</t>
  </si>
  <si>
    <t>03/10/2023 04:15</t>
  </si>
  <si>
    <t>03/10/2023 04:30</t>
  </si>
  <si>
    <t>03/10/2023 04:45</t>
  </si>
  <si>
    <t>03/10/2023 05:00</t>
  </si>
  <si>
    <t>03/10/2023 05:15</t>
  </si>
  <si>
    <t>03/10/2023 05:30</t>
  </si>
  <si>
    <t>03/10/2023 05:45</t>
  </si>
  <si>
    <t>03/10/2023 06:00</t>
  </si>
  <si>
    <t>03/10/2023 06:15</t>
  </si>
  <si>
    <t>03/10/2023 06:30</t>
  </si>
  <si>
    <t>03/10/2023 06:45</t>
  </si>
  <si>
    <t>03/10/2023 07:00</t>
  </si>
  <si>
    <t>03/10/2023 07:15</t>
  </si>
  <si>
    <t>03/10/2023 07:30</t>
  </si>
  <si>
    <t>03/10/2023 07:45</t>
  </si>
  <si>
    <t>03/10/2023 08:00</t>
  </si>
  <si>
    <t>03/10/2023 08:15</t>
  </si>
  <si>
    <t>03/10/2023 08:30</t>
  </si>
  <si>
    <t>03/10/2023 08:45</t>
  </si>
  <si>
    <t>03/10/2023 09:00</t>
  </si>
  <si>
    <t>03/10/2023 09:15</t>
  </si>
  <si>
    <t>03/10/2023 09:30</t>
  </si>
  <si>
    <t>03/10/2023 09:45</t>
  </si>
  <si>
    <t>03/10/2023 10:00</t>
  </si>
  <si>
    <t>03/10/2023 10:15</t>
  </si>
  <si>
    <t>03/10/2023 10:30</t>
  </si>
  <si>
    <t>03/10/2023 10:45</t>
  </si>
  <si>
    <t>03/10/2023 11:00</t>
  </si>
  <si>
    <t>03/10/2023 11:15</t>
  </si>
  <si>
    <t>03/10/2023 11:30</t>
  </si>
  <si>
    <t>03/10/2023 11:45</t>
  </si>
  <si>
    <t>03/10/2023 12:00</t>
  </si>
  <si>
    <t>03/10/2023 12:15</t>
  </si>
  <si>
    <t>03/10/2023 12:30</t>
  </si>
  <si>
    <t>03/10/2023 12:45</t>
  </si>
  <si>
    <t>03/10/2023 13:00</t>
  </si>
  <si>
    <t>03/10/2023 13:15</t>
  </si>
  <si>
    <t>03/10/2023 13:30</t>
  </si>
  <si>
    <t>03/10/2023 13:45</t>
  </si>
  <si>
    <t>03/10/2023 14:00</t>
  </si>
  <si>
    <t>03/10/2023 14:15</t>
  </si>
  <si>
    <t>03/10/2023 14:30</t>
  </si>
  <si>
    <t>03/10/2023 14:45</t>
  </si>
  <si>
    <t>03/10/2023 15:00</t>
  </si>
  <si>
    <t>03/10/2023 15:15</t>
  </si>
  <si>
    <t>03/10/2023 15:30</t>
  </si>
  <si>
    <t>03/10/2023 15:45</t>
  </si>
  <si>
    <t>03/10/2023 16:00</t>
  </si>
  <si>
    <t>03/10/2023 16:15</t>
  </si>
  <si>
    <t>03/10/2023 16:30</t>
  </si>
  <si>
    <t>03/10/2023 16:45</t>
  </si>
  <si>
    <t>03/10/2023 17:00</t>
  </si>
  <si>
    <t>03/10/2023 17:15</t>
  </si>
  <si>
    <t>03/10/2023 17:30</t>
  </si>
  <si>
    <t>03/10/2023 17:45</t>
  </si>
  <si>
    <t>03/10/2023 18:00</t>
  </si>
  <si>
    <t>03/10/2023 18:15</t>
  </si>
  <si>
    <t>03/10/2023 18:30</t>
  </si>
  <si>
    <t>03/10/2023 18:45</t>
  </si>
  <si>
    <t>03/10/2023 19:00</t>
  </si>
  <si>
    <t>03/10/2023 19:15</t>
  </si>
  <si>
    <t>03/10/2023 19:30</t>
  </si>
  <si>
    <t>03/10/2023 19:45</t>
  </si>
  <si>
    <t>03/10/2023 20:00</t>
  </si>
  <si>
    <t>03/10/2023 20:15</t>
  </si>
  <si>
    <t>03/10/2023 20:30</t>
  </si>
  <si>
    <t>03/10/2023 20:45</t>
  </si>
  <si>
    <t>03/10/2023 21:00</t>
  </si>
  <si>
    <t>03/10/2023 21:15</t>
  </si>
  <si>
    <t>03/10/2023 21:30</t>
  </si>
  <si>
    <t>03/10/2023 21:45</t>
  </si>
  <si>
    <t>03/10/2023 22:00</t>
  </si>
  <si>
    <t>03/10/2023 22:15</t>
  </si>
  <si>
    <t>03/10/2023 22:30</t>
  </si>
  <si>
    <t>03/10/2023 22:45</t>
  </si>
  <si>
    <t>03/10/2023 23:00</t>
  </si>
  <si>
    <t>03/10/2023 23:15</t>
  </si>
  <si>
    <t>03/10/2023 23:30</t>
  </si>
  <si>
    <t>03/10/2023 23:45</t>
  </si>
  <si>
    <t>03/10/2023 24:00</t>
  </si>
  <si>
    <t>04/10/2023 00:15</t>
  </si>
  <si>
    <t>04/10/2023 00:30</t>
  </si>
  <si>
    <t>04/10/2023 00:45</t>
  </si>
  <si>
    <t>04/10/2023 01:00</t>
  </si>
  <si>
    <t>04/10/2023 01:15</t>
  </si>
  <si>
    <t>04/10/2023 01:30</t>
  </si>
  <si>
    <t>04/10/2023 01:45</t>
  </si>
  <si>
    <t>04/10/2023 02:00</t>
  </si>
  <si>
    <t>04/10/2023 02:15</t>
  </si>
  <si>
    <t>04/10/2023 02:30</t>
  </si>
  <si>
    <t>04/10/2023 02:45</t>
  </si>
  <si>
    <t>04/10/2023 03:00</t>
  </si>
  <si>
    <t>04/10/2023 03:15</t>
  </si>
  <si>
    <t>04/10/2023 03:30</t>
  </si>
  <si>
    <t>04/10/2023 03:45</t>
  </si>
  <si>
    <t>04/10/2023 04:00</t>
  </si>
  <si>
    <t>04/10/2023 04:15</t>
  </si>
  <si>
    <t>04/10/2023 04:30</t>
  </si>
  <si>
    <t>04/10/2023 04:45</t>
  </si>
  <si>
    <t>04/10/2023 05:00</t>
  </si>
  <si>
    <t>04/10/2023 05:15</t>
  </si>
  <si>
    <t>04/10/2023 05:30</t>
  </si>
  <si>
    <t>04/10/2023 05:45</t>
  </si>
  <si>
    <t>04/10/2023 06:00</t>
  </si>
  <si>
    <t>04/10/2023 06:15</t>
  </si>
  <si>
    <t>04/10/2023 06:30</t>
  </si>
  <si>
    <t>04/10/2023 06:45</t>
  </si>
  <si>
    <t>04/10/2023 07:00</t>
  </si>
  <si>
    <t>04/10/2023 07:15</t>
  </si>
  <si>
    <t>04/10/2023 07:30</t>
  </si>
  <si>
    <t>04/10/2023 07:45</t>
  </si>
  <si>
    <t>04/10/2023 08:00</t>
  </si>
  <si>
    <t>04/10/2023 08:15</t>
  </si>
  <si>
    <t>04/10/2023 08:30</t>
  </si>
  <si>
    <t>04/10/2023 08:45</t>
  </si>
  <si>
    <t>04/10/2023 09:00</t>
  </si>
  <si>
    <t>04/10/2023 09:15</t>
  </si>
  <si>
    <t>04/10/2023 09:30</t>
  </si>
  <si>
    <t>04/10/2023 09:45</t>
  </si>
  <si>
    <t>04/10/2023 10:00</t>
  </si>
  <si>
    <t>04/10/2023 10:15</t>
  </si>
  <si>
    <t>04/10/2023 10:30</t>
  </si>
  <si>
    <t>04/10/2023 10:45</t>
  </si>
  <si>
    <t>04/10/2023 11:00</t>
  </si>
  <si>
    <t>04/10/2023 11:15</t>
  </si>
  <si>
    <t>04/10/2023 11:30</t>
  </si>
  <si>
    <t>04/10/2023 11:45</t>
  </si>
  <si>
    <t>04/10/2023 12:00</t>
  </si>
  <si>
    <t>04/10/2023 12:15</t>
  </si>
  <si>
    <t>04/10/2023 12:30</t>
  </si>
  <si>
    <t>04/10/2023 12:45</t>
  </si>
  <si>
    <t>04/10/2023 13:00</t>
  </si>
  <si>
    <t>04/10/2023 13:15</t>
  </si>
  <si>
    <t>04/10/2023 13:30</t>
  </si>
  <si>
    <t>04/10/2023 13:45</t>
  </si>
  <si>
    <t>04/10/2023 14:00</t>
  </si>
  <si>
    <t>04/10/2023 14:15</t>
  </si>
  <si>
    <t>04/10/2023 14:30</t>
  </si>
  <si>
    <t>04/10/2023 14:45</t>
  </si>
  <si>
    <t>04/10/2023 15:00</t>
  </si>
  <si>
    <t>04/10/2023 15:15</t>
  </si>
  <si>
    <t>04/10/2023 15:30</t>
  </si>
  <si>
    <t>04/10/2023 15:45</t>
  </si>
  <si>
    <t>04/10/2023 16:00</t>
  </si>
  <si>
    <t>04/10/2023 16:15</t>
  </si>
  <si>
    <t>04/10/2023 16:30</t>
  </si>
  <si>
    <t>04/10/2023 16:45</t>
  </si>
  <si>
    <t>04/10/2023 17:00</t>
  </si>
  <si>
    <t>04/10/2023 17:15</t>
  </si>
  <si>
    <t>04/10/2023 17:30</t>
  </si>
  <si>
    <t>04/10/2023 17:45</t>
  </si>
  <si>
    <t>04/10/2023 18:00</t>
  </si>
  <si>
    <t>04/10/2023 18:15</t>
  </si>
  <si>
    <t>04/10/2023 18:30</t>
  </si>
  <si>
    <t>04/10/2023 18:45</t>
  </si>
  <si>
    <t>04/10/2023 19:00</t>
  </si>
  <si>
    <t>04/10/2023 19:15</t>
  </si>
  <si>
    <t>04/10/2023 19:30</t>
  </si>
  <si>
    <t>04/10/2023 19:45</t>
  </si>
  <si>
    <t>04/10/2023 20:00</t>
  </si>
  <si>
    <t>04/10/2023 20:15</t>
  </si>
  <si>
    <t>04/10/2023 20:30</t>
  </si>
  <si>
    <t>04/10/2023 20:45</t>
  </si>
  <si>
    <t>04/10/2023 21:00</t>
  </si>
  <si>
    <t>04/10/2023 21:15</t>
  </si>
  <si>
    <t>04/10/2023 21:30</t>
  </si>
  <si>
    <t>04/10/2023 21:45</t>
  </si>
  <si>
    <t>04/10/2023 22:00</t>
  </si>
  <si>
    <t>04/10/2023 22:15</t>
  </si>
  <si>
    <t>04/10/2023 22:30</t>
  </si>
  <si>
    <t>04/10/2023 22:45</t>
  </si>
  <si>
    <t>04/10/2023 23:00</t>
  </si>
  <si>
    <t>04/10/2023 23:15</t>
  </si>
  <si>
    <t>04/10/2023 23:30</t>
  </si>
  <si>
    <t>04/10/2023 23:45</t>
  </si>
  <si>
    <t>04/10/2023 24:00</t>
  </si>
  <si>
    <t>05/10/2023 00:15</t>
  </si>
  <si>
    <t>05/10/2023 00:30</t>
  </si>
  <si>
    <t>05/10/2023 00:45</t>
  </si>
  <si>
    <t>05/10/2023 01:00</t>
  </si>
  <si>
    <t>05/10/2023 01:15</t>
  </si>
  <si>
    <t>05/10/2023 01:30</t>
  </si>
  <si>
    <t>05/10/2023 01:45</t>
  </si>
  <si>
    <t>05/10/2023 02:00</t>
  </si>
  <si>
    <t>05/10/2023 02:15</t>
  </si>
  <si>
    <t>05/10/2023 02:30</t>
  </si>
  <si>
    <t>05/10/2023 02:45</t>
  </si>
  <si>
    <t>05/10/2023 03:00</t>
  </si>
  <si>
    <t>05/10/2023 03:15</t>
  </si>
  <si>
    <t>05/10/2023 03:30</t>
  </si>
  <si>
    <t>05/10/2023 03:45</t>
  </si>
  <si>
    <t>05/10/2023 04:00</t>
  </si>
  <si>
    <t>05/10/2023 04:15</t>
  </si>
  <si>
    <t>05/10/2023 04:30</t>
  </si>
  <si>
    <t>05/10/2023 04:45</t>
  </si>
  <si>
    <t>05/10/2023 05:00</t>
  </si>
  <si>
    <t>05/10/2023 05:15</t>
  </si>
  <si>
    <t>05/10/2023 05:30</t>
  </si>
  <si>
    <t>05/10/2023 05:45</t>
  </si>
  <si>
    <t>05/10/2023 06:00</t>
  </si>
  <si>
    <t>05/10/2023 06:15</t>
  </si>
  <si>
    <t>05/10/2023 06:30</t>
  </si>
  <si>
    <t>05/10/2023 06:45</t>
  </si>
  <si>
    <t>05/10/2023 07:00</t>
  </si>
  <si>
    <t>05/10/2023 07:15</t>
  </si>
  <si>
    <t>05/10/2023 07:30</t>
  </si>
  <si>
    <t>05/10/2023 07:45</t>
  </si>
  <si>
    <t>05/10/2023 08:00</t>
  </si>
  <si>
    <t>05/10/2023 08:15</t>
  </si>
  <si>
    <t>05/10/2023 08:30</t>
  </si>
  <si>
    <t>05/10/2023 08:45</t>
  </si>
  <si>
    <t>05/10/2023 09:00</t>
  </si>
  <si>
    <t>05/10/2023 09:15</t>
  </si>
  <si>
    <t>05/10/2023 09:30</t>
  </si>
  <si>
    <t>05/10/2023 09:45</t>
  </si>
  <si>
    <t>05/10/2023 10:00</t>
  </si>
  <si>
    <t>05/10/2023 10:15</t>
  </si>
  <si>
    <t>05/10/2023 10:30</t>
  </si>
  <si>
    <t>05/10/2023 10:45</t>
  </si>
  <si>
    <t>05/10/2023 11:00</t>
  </si>
  <si>
    <t>05/10/2023 11:15</t>
  </si>
  <si>
    <t>05/10/2023 11:30</t>
  </si>
  <si>
    <t>05/10/2023 11:45</t>
  </si>
  <si>
    <t>05/10/2023 12:00</t>
  </si>
  <si>
    <t>05/10/2023 12:15</t>
  </si>
  <si>
    <t>05/10/2023 12:30</t>
  </si>
  <si>
    <t>05/10/2023 12:45</t>
  </si>
  <si>
    <t>05/10/2023 13:00</t>
  </si>
  <si>
    <t>05/10/2023 13:15</t>
  </si>
  <si>
    <t>05/10/2023 13:30</t>
  </si>
  <si>
    <t>05/10/2023 13:45</t>
  </si>
  <si>
    <t>05/10/2023 14:00</t>
  </si>
  <si>
    <t>05/10/2023 14:15</t>
  </si>
  <si>
    <t>05/10/2023 14:30</t>
  </si>
  <si>
    <t>05/10/2023 14:45</t>
  </si>
  <si>
    <t>05/10/2023 15:00</t>
  </si>
  <si>
    <t>05/10/2023 15:15</t>
  </si>
  <si>
    <t>05/10/2023 15:30</t>
  </si>
  <si>
    <t>05/10/2023 15:45</t>
  </si>
  <si>
    <t>05/10/2023 16:00</t>
  </si>
  <si>
    <t>05/10/2023 16:15</t>
  </si>
  <si>
    <t>05/10/2023 16:30</t>
  </si>
  <si>
    <t>05/10/2023 16:45</t>
  </si>
  <si>
    <t>05/10/2023 17:00</t>
  </si>
  <si>
    <t>05/10/2023 17:15</t>
  </si>
  <si>
    <t>05/10/2023 17:30</t>
  </si>
  <si>
    <t>05/10/2023 17:45</t>
  </si>
  <si>
    <t>05/10/2023 18:00</t>
  </si>
  <si>
    <t>05/10/2023 18:15</t>
  </si>
  <si>
    <t>05/10/2023 18:30</t>
  </si>
  <si>
    <t>05/10/2023 18:45</t>
  </si>
  <si>
    <t>05/10/2023 19:00</t>
  </si>
  <si>
    <t>05/10/2023 19:15</t>
  </si>
  <si>
    <t>05/10/2023 19:30</t>
  </si>
  <si>
    <t>05/10/2023 19:45</t>
  </si>
  <si>
    <t>05/10/2023 20:00</t>
  </si>
  <si>
    <t>05/10/2023 20:15</t>
  </si>
  <si>
    <t>05/10/2023 20:30</t>
  </si>
  <si>
    <t>05/10/2023 20:45</t>
  </si>
  <si>
    <t>05/10/2023 21:00</t>
  </si>
  <si>
    <t>05/10/2023 21:15</t>
  </si>
  <si>
    <t>05/10/2023 21:30</t>
  </si>
  <si>
    <t>05/10/2023 21:45</t>
  </si>
  <si>
    <t>05/10/2023 22:00</t>
  </si>
  <si>
    <t>05/10/2023 22:15</t>
  </si>
  <si>
    <t>05/10/2023 22:30</t>
  </si>
  <si>
    <t>05/10/2023 22:45</t>
  </si>
  <si>
    <t>05/10/2023 23:00</t>
  </si>
  <si>
    <t>05/10/2023 23:15</t>
  </si>
  <si>
    <t>05/10/2023 23:30</t>
  </si>
  <si>
    <t>05/10/2023 23:45</t>
  </si>
  <si>
    <t>05/10/2023 24:00</t>
  </si>
  <si>
    <t>06/10/2023 00:15</t>
  </si>
  <si>
    <t>06/10/2023 00:30</t>
  </si>
  <si>
    <t>06/10/2023 00:45</t>
  </si>
  <si>
    <t>06/10/2023 01:00</t>
  </si>
  <si>
    <t>06/10/2023 01:15</t>
  </si>
  <si>
    <t>06/10/2023 01:30</t>
  </si>
  <si>
    <t>06/10/2023 01:45</t>
  </si>
  <si>
    <t>06/10/2023 02:00</t>
  </si>
  <si>
    <t>06/10/2023 02:15</t>
  </si>
  <si>
    <t>06/10/2023 02:30</t>
  </si>
  <si>
    <t>06/10/2023 02:45</t>
  </si>
  <si>
    <t>06/10/2023 03:00</t>
  </si>
  <si>
    <t>06/10/2023 03:15</t>
  </si>
  <si>
    <t>06/10/2023 03:30</t>
  </si>
  <si>
    <t>06/10/2023 03:45</t>
  </si>
  <si>
    <t>06/10/2023 04:00</t>
  </si>
  <si>
    <t>06/10/2023 04:15</t>
  </si>
  <si>
    <t>06/10/2023 04:30</t>
  </si>
  <si>
    <t>06/10/2023 04:45</t>
  </si>
  <si>
    <t>06/10/2023 05:00</t>
  </si>
  <si>
    <t>06/10/2023 05:15</t>
  </si>
  <si>
    <t>06/10/2023 05:30</t>
  </si>
  <si>
    <t>06/10/2023 05:45</t>
  </si>
  <si>
    <t>06/10/2023 06:00</t>
  </si>
  <si>
    <t>06/10/2023 06:15</t>
  </si>
  <si>
    <t>06/10/2023 06:30</t>
  </si>
  <si>
    <t>06/10/2023 06:45</t>
  </si>
  <si>
    <t>06/10/2023 07:00</t>
  </si>
  <si>
    <t>06/10/2023 07:15</t>
  </si>
  <si>
    <t>06/10/2023 07:30</t>
  </si>
  <si>
    <t>06/10/2023 07:45</t>
  </si>
  <si>
    <t>06/10/2023 08:00</t>
  </si>
  <si>
    <t>06/10/2023 08:15</t>
  </si>
  <si>
    <t>06/10/2023 08:30</t>
  </si>
  <si>
    <t>06/10/2023 08:45</t>
  </si>
  <si>
    <t>06/10/2023 09:00</t>
  </si>
  <si>
    <t>06/10/2023 09:15</t>
  </si>
  <si>
    <t>06/10/2023 09:30</t>
  </si>
  <si>
    <t>06/10/2023 09:45</t>
  </si>
  <si>
    <t>06/10/2023 10:00</t>
  </si>
  <si>
    <t>06/10/2023 10:15</t>
  </si>
  <si>
    <t>06/10/2023 10:30</t>
  </si>
  <si>
    <t>06/10/2023 10:45</t>
  </si>
  <si>
    <t>06/10/2023 11:00</t>
  </si>
  <si>
    <t>06/10/2023 11:15</t>
  </si>
  <si>
    <t>06/10/2023 11:30</t>
  </si>
  <si>
    <t>06/10/2023 11:45</t>
  </si>
  <si>
    <t>06/10/2023 12:00</t>
  </si>
  <si>
    <t>06/10/2023 12:15</t>
  </si>
  <si>
    <t>06/10/2023 12:30</t>
  </si>
  <si>
    <t>06/10/2023 12:45</t>
  </si>
  <si>
    <t>06/10/2023 13:00</t>
  </si>
  <si>
    <t>06/10/2023 13:15</t>
  </si>
  <si>
    <t>06/10/2023 13:30</t>
  </si>
  <si>
    <t>06/10/2023 13:45</t>
  </si>
  <si>
    <t>06/10/2023 14:00</t>
  </si>
  <si>
    <t>06/10/2023 14:15</t>
  </si>
  <si>
    <t>06/10/2023 14:30</t>
  </si>
  <si>
    <t>06/10/2023 14:45</t>
  </si>
  <si>
    <t>06/10/2023 15:00</t>
  </si>
  <si>
    <t>06/10/2023 15:15</t>
  </si>
  <si>
    <t>06/10/2023 15:30</t>
  </si>
  <si>
    <t>06/10/2023 15:45</t>
  </si>
  <si>
    <t>06/10/2023 16:00</t>
  </si>
  <si>
    <t>06/10/2023 16:15</t>
  </si>
  <si>
    <t>06/10/2023 16:30</t>
  </si>
  <si>
    <t>06/10/2023 16:45</t>
  </si>
  <si>
    <t>06/10/2023 17:00</t>
  </si>
  <si>
    <t>06/10/2023 17:15</t>
  </si>
  <si>
    <t>06/10/2023 17:30</t>
  </si>
  <si>
    <t>06/10/2023 17:45</t>
  </si>
  <si>
    <t>06/10/2023 18:00</t>
  </si>
  <si>
    <t>06/10/2023 18:15</t>
  </si>
  <si>
    <t>06/10/2023 18:30</t>
  </si>
  <si>
    <t>06/10/2023 18:45</t>
  </si>
  <si>
    <t>06/10/2023 19:00</t>
  </si>
  <si>
    <t>06/10/2023 19:15</t>
  </si>
  <si>
    <t>06/10/2023 19:30</t>
  </si>
  <si>
    <t>06/10/2023 19:45</t>
  </si>
  <si>
    <t>06/10/2023 20:00</t>
  </si>
  <si>
    <t>06/10/2023 20:15</t>
  </si>
  <si>
    <t>06/10/2023 20:30</t>
  </si>
  <si>
    <t>06/10/2023 20:45</t>
  </si>
  <si>
    <t>06/10/2023 21:00</t>
  </si>
  <si>
    <t>06/10/2023 21:15</t>
  </si>
  <si>
    <t>06/10/2023 21:30</t>
  </si>
  <si>
    <t>06/10/2023 21:45</t>
  </si>
  <si>
    <t>06/10/2023 22:00</t>
  </si>
  <si>
    <t>06/10/2023 22:15</t>
  </si>
  <si>
    <t>06/10/2023 22:30</t>
  </si>
  <si>
    <t>06/10/2023 22:45</t>
  </si>
  <si>
    <t>06/10/2023 23:00</t>
  </si>
  <si>
    <t>06/10/2023 23:15</t>
  </si>
  <si>
    <t>06/10/2023 23:30</t>
  </si>
  <si>
    <t>06/10/2023 23:45</t>
  </si>
  <si>
    <t>06/10/2023 24:00</t>
  </si>
  <si>
    <t>07/10/2023 00:15</t>
  </si>
  <si>
    <t>07/10/2023 00:30</t>
  </si>
  <si>
    <t>07/10/2023 00:45</t>
  </si>
  <si>
    <t>07/10/2023 01:00</t>
  </si>
  <si>
    <t>07/10/2023 01:15</t>
  </si>
  <si>
    <t>07/10/2023 01:30</t>
  </si>
  <si>
    <t>07/10/2023 01:45</t>
  </si>
  <si>
    <t>07/10/2023 02:00</t>
  </si>
  <si>
    <t>07/10/2023 02:15</t>
  </si>
  <si>
    <t>07/10/2023 02:30</t>
  </si>
  <si>
    <t>07/10/2023 02:45</t>
  </si>
  <si>
    <t>07/10/2023 03:00</t>
  </si>
  <si>
    <t>07/10/2023 03:15</t>
  </si>
  <si>
    <t>07/10/2023 03:30</t>
  </si>
  <si>
    <t>07/10/2023 03:45</t>
  </si>
  <si>
    <t>07/10/2023 04:00</t>
  </si>
  <si>
    <t>07/10/2023 04:15</t>
  </si>
  <si>
    <t>07/10/2023 04:30</t>
  </si>
  <si>
    <t>07/10/2023 04:45</t>
  </si>
  <si>
    <t>07/10/2023 05:00</t>
  </si>
  <si>
    <t>07/10/2023 05:15</t>
  </si>
  <si>
    <t>07/10/2023 05:30</t>
  </si>
  <si>
    <t>07/10/2023 05:45</t>
  </si>
  <si>
    <t>07/10/2023 06:00</t>
  </si>
  <si>
    <t>07/10/2023 06:15</t>
  </si>
  <si>
    <t>07/10/2023 06:30</t>
  </si>
  <si>
    <t>07/10/2023 06:45</t>
  </si>
  <si>
    <t>07/10/2023 07:00</t>
  </si>
  <si>
    <t>07/10/2023 07:15</t>
  </si>
  <si>
    <t>07/10/2023 07:30</t>
  </si>
  <si>
    <t>07/10/2023 07:45</t>
  </si>
  <si>
    <t>07/10/2023 08:00</t>
  </si>
  <si>
    <t>07/10/2023 08:15</t>
  </si>
  <si>
    <t>07/10/2023 08:30</t>
  </si>
  <si>
    <t>07/10/2023 08:45</t>
  </si>
  <si>
    <t>07/10/2023 09:00</t>
  </si>
  <si>
    <t>07/10/2023 09:15</t>
  </si>
  <si>
    <t>07/10/2023 09:30</t>
  </si>
  <si>
    <t>07/10/2023 09:45</t>
  </si>
  <si>
    <t>07/10/2023 10:00</t>
  </si>
  <si>
    <t>07/10/2023 10:15</t>
  </si>
  <si>
    <t>07/10/2023 10:30</t>
  </si>
  <si>
    <t>07/10/2023 10:45</t>
  </si>
  <si>
    <t>07/10/2023 11:00</t>
  </si>
  <si>
    <t>07/10/2023 11:15</t>
  </si>
  <si>
    <t>07/10/2023 11:30</t>
  </si>
  <si>
    <t>07/10/2023 11:45</t>
  </si>
  <si>
    <t>07/10/2023 12:00</t>
  </si>
  <si>
    <t>07/10/2023 12:15</t>
  </si>
  <si>
    <t>07/10/2023 12:30</t>
  </si>
  <si>
    <t>07/10/2023 12:45</t>
  </si>
  <si>
    <t>07/10/2023 13:00</t>
  </si>
  <si>
    <t>07/10/2023 13:15</t>
  </si>
  <si>
    <t>07/10/2023 13:30</t>
  </si>
  <si>
    <t>07/10/2023 13:45</t>
  </si>
  <si>
    <t>07/10/2023 14:00</t>
  </si>
  <si>
    <t>07/10/2023 14:15</t>
  </si>
  <si>
    <t>07/10/2023 14:30</t>
  </si>
  <si>
    <t>07/10/2023 14:45</t>
  </si>
  <si>
    <t>07/10/2023 15:00</t>
  </si>
  <si>
    <t>07/10/2023 15:15</t>
  </si>
  <si>
    <t>07/10/2023 15:30</t>
  </si>
  <si>
    <t>07/10/2023 15:45</t>
  </si>
  <si>
    <t>07/10/2023 16:00</t>
  </si>
  <si>
    <t>07/10/2023 16:15</t>
  </si>
  <si>
    <t>07/10/2023 16:30</t>
  </si>
  <si>
    <t>07/10/2023 16:45</t>
  </si>
  <si>
    <t>07/10/2023 17:00</t>
  </si>
  <si>
    <t>07/10/2023 17:15</t>
  </si>
  <si>
    <t>07/10/2023 17:30</t>
  </si>
  <si>
    <t>07/10/2023 17:45</t>
  </si>
  <si>
    <t>07/10/2023 18:00</t>
  </si>
  <si>
    <t>07/10/2023 18:15</t>
  </si>
  <si>
    <t>07/10/2023 18:30</t>
  </si>
  <si>
    <t>07/10/2023 18:45</t>
  </si>
  <si>
    <t>07/10/2023 19:00</t>
  </si>
  <si>
    <t>07/10/2023 19:15</t>
  </si>
  <si>
    <t>07/10/2023 19:30</t>
  </si>
  <si>
    <t>07/10/2023 19:45</t>
  </si>
  <si>
    <t>07/10/2023 20:00</t>
  </si>
  <si>
    <t>07/10/2023 20:15</t>
  </si>
  <si>
    <t>07/10/2023 20:30</t>
  </si>
  <si>
    <t>07/10/2023 20:45</t>
  </si>
  <si>
    <t>07/10/2023 21:00</t>
  </si>
  <si>
    <t>07/10/2023 21:15</t>
  </si>
  <si>
    <t>07/10/2023 21:30</t>
  </si>
  <si>
    <t>07/10/2023 21:45</t>
  </si>
  <si>
    <t>07/10/2023 22:00</t>
  </si>
  <si>
    <t>07/10/2023 22:15</t>
  </si>
  <si>
    <t>07/10/2023 22:30</t>
  </si>
  <si>
    <t>07/10/2023 22:45</t>
  </si>
  <si>
    <t>07/10/2023 23:00</t>
  </si>
  <si>
    <t>07/10/2023 23:15</t>
  </si>
  <si>
    <t>07/10/2023 23:30</t>
  </si>
  <si>
    <t>07/10/2023 23:45</t>
  </si>
  <si>
    <t>07/10/2023 24:00</t>
  </si>
  <si>
    <t>08/10/2023 00:15</t>
  </si>
  <si>
    <t>08/10/2023 00:30</t>
  </si>
  <si>
    <t>08/10/2023 00:45</t>
  </si>
  <si>
    <t>08/10/2023 01:00</t>
  </si>
  <si>
    <t>08/10/2023 01:15</t>
  </si>
  <si>
    <t>08/10/2023 01:30</t>
  </si>
  <si>
    <t>08/10/2023 01:45</t>
  </si>
  <si>
    <t>08/10/2023 02:00</t>
  </si>
  <si>
    <t>08/10/2023 02:15</t>
  </si>
  <si>
    <t>08/10/2023 02:30</t>
  </si>
  <si>
    <t>08/10/2023 02:45</t>
  </si>
  <si>
    <t>08/10/2023 03:00</t>
  </si>
  <si>
    <t>08/10/2023 03:15</t>
  </si>
  <si>
    <t>08/10/2023 03:30</t>
  </si>
  <si>
    <t>08/10/2023 03:45</t>
  </si>
  <si>
    <t>08/10/2023 04:00</t>
  </si>
  <si>
    <t>08/10/2023 04:15</t>
  </si>
  <si>
    <t>08/10/2023 04:30</t>
  </si>
  <si>
    <t>08/10/2023 04:45</t>
  </si>
  <si>
    <t>08/10/2023 05:00</t>
  </si>
  <si>
    <t>08/10/2023 05:15</t>
  </si>
  <si>
    <t>08/10/2023 05:30</t>
  </si>
  <si>
    <t>08/10/2023 05:45</t>
  </si>
  <si>
    <t>08/10/2023 06:00</t>
  </si>
  <si>
    <t>08/10/2023 06:15</t>
  </si>
  <si>
    <t>08/10/2023 06:30</t>
  </si>
  <si>
    <t>08/10/2023 06:45</t>
  </si>
  <si>
    <t>08/10/2023 07:00</t>
  </si>
  <si>
    <t>08/10/2023 07:15</t>
  </si>
  <si>
    <t>08/10/2023 07:30</t>
  </si>
  <si>
    <t>08/10/2023 07:45</t>
  </si>
  <si>
    <t>08/10/2023 08:00</t>
  </si>
  <si>
    <t>08/10/2023 08:15</t>
  </si>
  <si>
    <t>08/10/2023 08:30</t>
  </si>
  <si>
    <t>08/10/2023 08:45</t>
  </si>
  <si>
    <t>08/10/2023 09:00</t>
  </si>
  <si>
    <t>08/10/2023 09:15</t>
  </si>
  <si>
    <t>08/10/2023 09:30</t>
  </si>
  <si>
    <t>08/10/2023 09:45</t>
  </si>
  <si>
    <t>08/10/2023 10:00</t>
  </si>
  <si>
    <t>08/10/2023 10:15</t>
  </si>
  <si>
    <t>08/10/2023 10:30</t>
  </si>
  <si>
    <t>08/10/2023 10:45</t>
  </si>
  <si>
    <t>08/10/2023 11:00</t>
  </si>
  <si>
    <t>08/10/2023 11:15</t>
  </si>
  <si>
    <t>08/10/2023 11:30</t>
  </si>
  <si>
    <t>08/10/2023 11:45</t>
  </si>
  <si>
    <t>08/10/2023 12:00</t>
  </si>
  <si>
    <t>08/10/2023 12:15</t>
  </si>
  <si>
    <t>08/10/2023 12:30</t>
  </si>
  <si>
    <t>08/10/2023 12:45</t>
  </si>
  <si>
    <t>08/10/2023 13:00</t>
  </si>
  <si>
    <t>08/10/2023 13:15</t>
  </si>
  <si>
    <t>08/10/2023 13:30</t>
  </si>
  <si>
    <t>08/10/2023 13:45</t>
  </si>
  <si>
    <t>08/10/2023 14:00</t>
  </si>
  <si>
    <t>08/10/2023 14:15</t>
  </si>
  <si>
    <t>08/10/2023 14:30</t>
  </si>
  <si>
    <t>08/10/2023 14:45</t>
  </si>
  <si>
    <t>08/10/2023 15:00</t>
  </si>
  <si>
    <t>08/10/2023 15:15</t>
  </si>
  <si>
    <t>08/10/2023 15:30</t>
  </si>
  <si>
    <t>08/10/2023 15:45</t>
  </si>
  <si>
    <t>08/10/2023 16:00</t>
  </si>
  <si>
    <t>08/10/2023 16:15</t>
  </si>
  <si>
    <t>08/10/2023 16:30</t>
  </si>
  <si>
    <t>08/10/2023 16:45</t>
  </si>
  <si>
    <t>08/10/2023 17:00</t>
  </si>
  <si>
    <t>08/10/2023 17:15</t>
  </si>
  <si>
    <t>08/10/2023 17:30</t>
  </si>
  <si>
    <t>08/10/2023 17:45</t>
  </si>
  <si>
    <t>08/10/2023 18:00</t>
  </si>
  <si>
    <t>08/10/2023 18:15</t>
  </si>
  <si>
    <t>08/10/2023 18:30</t>
  </si>
  <si>
    <t>08/10/2023 18:45</t>
  </si>
  <si>
    <t>08/10/2023 19:00</t>
  </si>
  <si>
    <t>08/10/2023 19:15</t>
  </si>
  <si>
    <t>08/10/2023 19:30</t>
  </si>
  <si>
    <t>08/10/2023 19:45</t>
  </si>
  <si>
    <t>08/10/2023 20:00</t>
  </si>
  <si>
    <t>08/10/2023 20:15</t>
  </si>
  <si>
    <t>08/10/2023 20:30</t>
  </si>
  <si>
    <t>08/10/2023 20:45</t>
  </si>
  <si>
    <t>08/10/2023 21:00</t>
  </si>
  <si>
    <t>08/10/2023 21:15</t>
  </si>
  <si>
    <t>08/10/2023 21:30</t>
  </si>
  <si>
    <t>08/10/2023 21:45</t>
  </si>
  <si>
    <t>08/10/2023 22:00</t>
  </si>
  <si>
    <t>08/10/2023 22:15</t>
  </si>
  <si>
    <t>08/10/2023 22:30</t>
  </si>
  <si>
    <t>08/10/2023 22:45</t>
  </si>
  <si>
    <t>08/10/2023 23:00</t>
  </si>
  <si>
    <t>08/10/2023 23:15</t>
  </si>
  <si>
    <t>08/10/2023 23:30</t>
  </si>
  <si>
    <t>08/10/2023 23:45</t>
  </si>
  <si>
    <t>08/10/2023 24:00</t>
  </si>
  <si>
    <t>09/10/2023 00:15</t>
  </si>
  <si>
    <t>09/10/2023 00:30</t>
  </si>
  <si>
    <t>09/10/2023 00:45</t>
  </si>
  <si>
    <t>09/10/2023 01:00</t>
  </si>
  <si>
    <t>09/10/2023 01:15</t>
  </si>
  <si>
    <t>09/10/2023 01:30</t>
  </si>
  <si>
    <t>09/10/2023 01:45</t>
  </si>
  <si>
    <t>09/10/2023 02:00</t>
  </si>
  <si>
    <t>09/10/2023 02:15</t>
  </si>
  <si>
    <t>09/10/2023 02:30</t>
  </si>
  <si>
    <t>09/10/2023 02:45</t>
  </si>
  <si>
    <t>09/10/2023 03:00</t>
  </si>
  <si>
    <t>09/10/2023 03:15</t>
  </si>
  <si>
    <t>09/10/2023 03:30</t>
  </si>
  <si>
    <t>09/10/2023 03:45</t>
  </si>
  <si>
    <t>09/10/2023 04:00</t>
  </si>
  <si>
    <t>09/10/2023 04:15</t>
  </si>
  <si>
    <t>09/10/2023 04:30</t>
  </si>
  <si>
    <t>09/10/2023 04:45</t>
  </si>
  <si>
    <t>09/10/2023 05:00</t>
  </si>
  <si>
    <t>09/10/2023 05:15</t>
  </si>
  <si>
    <t>09/10/2023 05:30</t>
  </si>
  <si>
    <t>09/10/2023 05:45</t>
  </si>
  <si>
    <t>09/10/2023 06:00</t>
  </si>
  <si>
    <t>09/10/2023 06:15</t>
  </si>
  <si>
    <t>09/10/2023 06:30</t>
  </si>
  <si>
    <t>09/10/2023 06:45</t>
  </si>
  <si>
    <t>09/10/2023 07:00</t>
  </si>
  <si>
    <t>09/10/2023 07:15</t>
  </si>
  <si>
    <t>09/10/2023 07:30</t>
  </si>
  <si>
    <t>09/10/2023 07:45</t>
  </si>
  <si>
    <t>09/10/2023 08:00</t>
  </si>
  <si>
    <t>09/10/2023 08:15</t>
  </si>
  <si>
    <t>09/10/2023 08:30</t>
  </si>
  <si>
    <t>09/10/2023 08:45</t>
  </si>
  <si>
    <t>09/10/2023 09:00</t>
  </si>
  <si>
    <t>09/10/2023 09:15</t>
  </si>
  <si>
    <t>09/10/2023 09:30</t>
  </si>
  <si>
    <t>09/10/2023 09:45</t>
  </si>
  <si>
    <t>09/10/2023 10:00</t>
  </si>
  <si>
    <t>09/10/2023 10:15</t>
  </si>
  <si>
    <t>09/10/2023 10:30</t>
  </si>
  <si>
    <t>09/10/2023 10:45</t>
  </si>
  <si>
    <t>09/10/2023 11:00</t>
  </si>
  <si>
    <t>09/10/2023 11:15</t>
  </si>
  <si>
    <t>09/10/2023 11:30</t>
  </si>
  <si>
    <t>09/10/2023 11:45</t>
  </si>
  <si>
    <t>09/10/2023 12:00</t>
  </si>
  <si>
    <t>09/10/2023 12:15</t>
  </si>
  <si>
    <t>09/10/2023 12:30</t>
  </si>
  <si>
    <t>09/10/2023 12:45</t>
  </si>
  <si>
    <t>09/10/2023 13:00</t>
  </si>
  <si>
    <t>09/10/2023 13:15</t>
  </si>
  <si>
    <t>09/10/2023 13:30</t>
  </si>
  <si>
    <t>09/10/2023 13:45</t>
  </si>
  <si>
    <t>09/10/2023 14:00</t>
  </si>
  <si>
    <t>09/10/2023 14:15</t>
  </si>
  <si>
    <t>09/10/2023 14:30</t>
  </si>
  <si>
    <t>09/10/2023 14:45</t>
  </si>
  <si>
    <t>09/10/2023 15:00</t>
  </si>
  <si>
    <t>09/10/2023 15:15</t>
  </si>
  <si>
    <t>09/10/2023 15:30</t>
  </si>
  <si>
    <t>09/10/2023 15:45</t>
  </si>
  <si>
    <t>09/10/2023 16:00</t>
  </si>
  <si>
    <t>09/10/2023 16:15</t>
  </si>
  <si>
    <t>09/10/2023 16:30</t>
  </si>
  <si>
    <t>09/10/2023 16:45</t>
  </si>
  <si>
    <t>09/10/2023 17:00</t>
  </si>
  <si>
    <t>09/10/2023 17:15</t>
  </si>
  <si>
    <t>09/10/2023 17:30</t>
  </si>
  <si>
    <t>09/10/2023 17:45</t>
  </si>
  <si>
    <t>09/10/2023 18:00</t>
  </si>
  <si>
    <t>09/10/2023 18:15</t>
  </si>
  <si>
    <t>09/10/2023 18:30</t>
  </si>
  <si>
    <t>09/10/2023 18:45</t>
  </si>
  <si>
    <t>09/10/2023 19:00</t>
  </si>
  <si>
    <t>09/10/2023 19:15</t>
  </si>
  <si>
    <t>09/10/2023 19:30</t>
  </si>
  <si>
    <t>09/10/2023 19:45</t>
  </si>
  <si>
    <t>09/10/2023 20:00</t>
  </si>
  <si>
    <t>09/10/2023 20:15</t>
  </si>
  <si>
    <t>09/10/2023 20:30</t>
  </si>
  <si>
    <t>09/10/2023 20:45</t>
  </si>
  <si>
    <t>09/10/2023 21:00</t>
  </si>
  <si>
    <t>09/10/2023 21:15</t>
  </si>
  <si>
    <t>09/10/2023 21:30</t>
  </si>
  <si>
    <t>09/10/2023 21:45</t>
  </si>
  <si>
    <t>09/10/2023 22:00</t>
  </si>
  <si>
    <t>09/10/2023 22:15</t>
  </si>
  <si>
    <t>09/10/2023 22:30</t>
  </si>
  <si>
    <t>09/10/2023 22:45</t>
  </si>
  <si>
    <t>09/10/2023 23:00</t>
  </si>
  <si>
    <t>09/10/2023 23:15</t>
  </si>
  <si>
    <t>09/10/2023 23:30</t>
  </si>
  <si>
    <t>09/10/2023 23:45</t>
  </si>
  <si>
    <t>09/10/2023 24:00</t>
  </si>
  <si>
    <t>10/10/2023 00:15</t>
  </si>
  <si>
    <t>10/10/2023 00:30</t>
  </si>
  <si>
    <t>10/10/2023 00:45</t>
  </si>
  <si>
    <t>10/10/2023 01:00</t>
  </si>
  <si>
    <t>10/10/2023 01:15</t>
  </si>
  <si>
    <t>10/10/2023 01:30</t>
  </si>
  <si>
    <t>10/10/2023 01:45</t>
  </si>
  <si>
    <t>10/10/2023 02:00</t>
  </si>
  <si>
    <t>10/10/2023 02:15</t>
  </si>
  <si>
    <t>10/10/2023 02:30</t>
  </si>
  <si>
    <t>10/10/2023 02:45</t>
  </si>
  <si>
    <t>10/10/2023 03:00</t>
  </si>
  <si>
    <t>10/10/2023 03:15</t>
  </si>
  <si>
    <t>10/10/2023 03:30</t>
  </si>
  <si>
    <t>10/10/2023 03:45</t>
  </si>
  <si>
    <t>10/10/2023 04:00</t>
  </si>
  <si>
    <t>10/10/2023 04:15</t>
  </si>
  <si>
    <t>10/10/2023 04:30</t>
  </si>
  <si>
    <t>10/10/2023 04:45</t>
  </si>
  <si>
    <t>10/10/2023 05:00</t>
  </si>
  <si>
    <t>10/10/2023 05:15</t>
  </si>
  <si>
    <t>10/10/2023 05:30</t>
  </si>
  <si>
    <t>10/10/2023 05:45</t>
  </si>
  <si>
    <t>10/10/2023 06:00</t>
  </si>
  <si>
    <t>10/10/2023 06:15</t>
  </si>
  <si>
    <t>10/10/2023 06:30</t>
  </si>
  <si>
    <t>10/10/2023 06:45</t>
  </si>
  <si>
    <t>10/10/2023 07:00</t>
  </si>
  <si>
    <t>10/10/2023 07:15</t>
  </si>
  <si>
    <t>10/10/2023 07:30</t>
  </si>
  <si>
    <t>10/10/2023 07:45</t>
  </si>
  <si>
    <t>10/10/2023 08:00</t>
  </si>
  <si>
    <t>10/10/2023 08:15</t>
  </si>
  <si>
    <t>10/10/2023 08:30</t>
  </si>
  <si>
    <t>10/10/2023 08:45</t>
  </si>
  <si>
    <t>10/10/2023 09:00</t>
  </si>
  <si>
    <t>10/10/2023 09:15</t>
  </si>
  <si>
    <t>10/10/2023 09:30</t>
  </si>
  <si>
    <t>10/10/2023 09:45</t>
  </si>
  <si>
    <t>10/10/2023 10:00</t>
  </si>
  <si>
    <t>10/10/2023 10:15</t>
  </si>
  <si>
    <t>10/10/2023 10:30</t>
  </si>
  <si>
    <t>10/10/2023 10:45</t>
  </si>
  <si>
    <t>10/10/2023 11:00</t>
  </si>
  <si>
    <t>10/10/2023 11:15</t>
  </si>
  <si>
    <t>10/10/2023 11:30</t>
  </si>
  <si>
    <t>10/10/2023 11:45</t>
  </si>
  <si>
    <t>10/10/2023 12:00</t>
  </si>
  <si>
    <t>10/10/2023 12:15</t>
  </si>
  <si>
    <t>10/10/2023 12:30</t>
  </si>
  <si>
    <t>10/10/2023 12:45</t>
  </si>
  <si>
    <t>10/10/2023 13:00</t>
  </si>
  <si>
    <t>10/10/2023 13:15</t>
  </si>
  <si>
    <t>10/10/2023 13:30</t>
  </si>
  <si>
    <t>10/10/2023 13:45</t>
  </si>
  <si>
    <t>10/10/2023 14:00</t>
  </si>
  <si>
    <t>10/10/2023 14:15</t>
  </si>
  <si>
    <t>10/10/2023 14:30</t>
  </si>
  <si>
    <t>10/10/2023 14:45</t>
  </si>
  <si>
    <t>10/10/2023 15:00</t>
  </si>
  <si>
    <t>10/10/2023 15:15</t>
  </si>
  <si>
    <t>10/10/2023 15:30</t>
  </si>
  <si>
    <t>10/10/2023 15:45</t>
  </si>
  <si>
    <t>10/10/2023 16:00</t>
  </si>
  <si>
    <t>10/10/2023 16:15</t>
  </si>
  <si>
    <t>10/10/2023 16:30</t>
  </si>
  <si>
    <t>10/10/2023 16:45</t>
  </si>
  <si>
    <t>10/10/2023 17:00</t>
  </si>
  <si>
    <t>10/10/2023 17:15</t>
  </si>
  <si>
    <t>10/10/2023 17:30</t>
  </si>
  <si>
    <t>10/10/2023 17:45</t>
  </si>
  <si>
    <t>10/10/2023 18:00</t>
  </si>
  <si>
    <t>10/10/2023 18:15</t>
  </si>
  <si>
    <t>10/10/2023 18:30</t>
  </si>
  <si>
    <t>10/10/2023 18:45</t>
  </si>
  <si>
    <t>10/10/2023 19:00</t>
  </si>
  <si>
    <t>10/10/2023 19:15</t>
  </si>
  <si>
    <t>10/10/2023 19:30</t>
  </si>
  <si>
    <t>10/10/2023 19:45</t>
  </si>
  <si>
    <t>10/10/2023 20:00</t>
  </si>
  <si>
    <t>10/10/2023 20:15</t>
  </si>
  <si>
    <t>10/10/2023 20:30</t>
  </si>
  <si>
    <t>10/10/2023 20:45</t>
  </si>
  <si>
    <t>10/10/2023 21:00</t>
  </si>
  <si>
    <t>10/10/2023 21:15</t>
  </si>
  <si>
    <t>10/10/2023 21:30</t>
  </si>
  <si>
    <t>10/10/2023 21:45</t>
  </si>
  <si>
    <t>10/10/2023 22:00</t>
  </si>
  <si>
    <t>10/10/2023 22:15</t>
  </si>
  <si>
    <t>10/10/2023 22:30</t>
  </si>
  <si>
    <t>10/10/2023 22:45</t>
  </si>
  <si>
    <t>10/10/2023 23:00</t>
  </si>
  <si>
    <t>10/10/2023 23:15</t>
  </si>
  <si>
    <t>10/10/2023 23:30</t>
  </si>
  <si>
    <t>10/10/2023 23:45</t>
  </si>
  <si>
    <t>10/10/2023 24:00</t>
  </si>
  <si>
    <t>11/10/2023 00:15</t>
  </si>
  <si>
    <t>11/10/2023 00:30</t>
  </si>
  <si>
    <t>11/10/2023 00:45</t>
  </si>
  <si>
    <t>11/10/2023 01:00</t>
  </si>
  <si>
    <t>11/10/2023 01:15</t>
  </si>
  <si>
    <t>11/10/2023 01:30</t>
  </si>
  <si>
    <t>11/10/2023 01:45</t>
  </si>
  <si>
    <t>11/10/2023 02:00</t>
  </si>
  <si>
    <t>11/10/2023 02:15</t>
  </si>
  <si>
    <t>11/10/2023 02:30</t>
  </si>
  <si>
    <t>11/10/2023 02:45</t>
  </si>
  <si>
    <t>11/10/2023 03:00</t>
  </si>
  <si>
    <t>11/10/2023 03:15</t>
  </si>
  <si>
    <t>11/10/2023 03:30</t>
  </si>
  <si>
    <t>11/10/2023 03:45</t>
  </si>
  <si>
    <t>11/10/2023 04:00</t>
  </si>
  <si>
    <t>11/10/2023 04:15</t>
  </si>
  <si>
    <t>11/10/2023 04:30</t>
  </si>
  <si>
    <t>11/10/2023 04:45</t>
  </si>
  <si>
    <t>11/10/2023 05:00</t>
  </si>
  <si>
    <t>11/10/2023 05:15</t>
  </si>
  <si>
    <t>11/10/2023 05:30</t>
  </si>
  <si>
    <t>11/10/2023 05:45</t>
  </si>
  <si>
    <t>11/10/2023 06:00</t>
  </si>
  <si>
    <t>11/10/2023 06:15</t>
  </si>
  <si>
    <t>11/10/2023 06:30</t>
  </si>
  <si>
    <t>11/10/2023 06:45</t>
  </si>
  <si>
    <t>11/10/2023 07:00</t>
  </si>
  <si>
    <t>11/10/2023 07:15</t>
  </si>
  <si>
    <t>11/10/2023 07:30</t>
  </si>
  <si>
    <t>11/10/2023 07:45</t>
  </si>
  <si>
    <t>11/10/2023 08:00</t>
  </si>
  <si>
    <t>11/10/2023 08:15</t>
  </si>
  <si>
    <t>11/10/2023 08:30</t>
  </si>
  <si>
    <t>11/10/2023 08:45</t>
  </si>
  <si>
    <t>11/10/2023 09:00</t>
  </si>
  <si>
    <t>11/10/2023 09:15</t>
  </si>
  <si>
    <t>11/10/2023 09:30</t>
  </si>
  <si>
    <t>11/10/2023 09:45</t>
  </si>
  <si>
    <t>11/10/2023 10:00</t>
  </si>
  <si>
    <t>11/10/2023 10:15</t>
  </si>
  <si>
    <t>11/10/2023 10:30</t>
  </si>
  <si>
    <t>11/10/2023 10:45</t>
  </si>
  <si>
    <t>11/10/2023 11:00</t>
  </si>
  <si>
    <t>11/10/2023 11:15</t>
  </si>
  <si>
    <t>11/10/2023 11:30</t>
  </si>
  <si>
    <t>11/10/2023 11:45</t>
  </si>
  <si>
    <t>11/10/2023 12:00</t>
  </si>
  <si>
    <t>11/10/2023 12:15</t>
  </si>
  <si>
    <t>11/10/2023 12:30</t>
  </si>
  <si>
    <t>11/10/2023 12:45</t>
  </si>
  <si>
    <t>11/10/2023 13:00</t>
  </si>
  <si>
    <t>11/10/2023 13:15</t>
  </si>
  <si>
    <t>11/10/2023 13:30</t>
  </si>
  <si>
    <t>11/10/2023 13:45</t>
  </si>
  <si>
    <t>11/10/2023 14:00</t>
  </si>
  <si>
    <t>11/10/2023 14:15</t>
  </si>
  <si>
    <t>11/10/2023 14:30</t>
  </si>
  <si>
    <t>11/10/2023 14:45</t>
  </si>
  <si>
    <t>11/10/2023 15:00</t>
  </si>
  <si>
    <t>11/10/2023 15:15</t>
  </si>
  <si>
    <t>11/10/2023 15:30</t>
  </si>
  <si>
    <t>11/10/2023 15:45</t>
  </si>
  <si>
    <t>11/10/2023 16:00</t>
  </si>
  <si>
    <t>11/10/2023 16:15</t>
  </si>
  <si>
    <t>11/10/2023 16:30</t>
  </si>
  <si>
    <t>11/10/2023 16:45</t>
  </si>
  <si>
    <t>11/10/2023 17:00</t>
  </si>
  <si>
    <t>11/10/2023 17:15</t>
  </si>
  <si>
    <t>11/10/2023 17:30</t>
  </si>
  <si>
    <t>11/10/2023 17:45</t>
  </si>
  <si>
    <t>11/10/2023 18:00</t>
  </si>
  <si>
    <t>11/10/2023 18:15</t>
  </si>
  <si>
    <t>11/10/2023 18:30</t>
  </si>
  <si>
    <t>11/10/2023 18:45</t>
  </si>
  <si>
    <t>11/10/2023 19:00</t>
  </si>
  <si>
    <t>11/10/2023 19:15</t>
  </si>
  <si>
    <t>11/10/2023 19:30</t>
  </si>
  <si>
    <t>11/10/2023 19:45</t>
  </si>
  <si>
    <t>11/10/2023 20:00</t>
  </si>
  <si>
    <t>11/10/2023 20:15</t>
  </si>
  <si>
    <t>11/10/2023 20:30</t>
  </si>
  <si>
    <t>11/10/2023 20:45</t>
  </si>
  <si>
    <t>11/10/2023 21:00</t>
  </si>
  <si>
    <t>11/10/2023 21:15</t>
  </si>
  <si>
    <t>11/10/2023 21:30</t>
  </si>
  <si>
    <t>11/10/2023 21:45</t>
  </si>
  <si>
    <t>11/10/2023 22:00</t>
  </si>
  <si>
    <t>11/10/2023 22:15</t>
  </si>
  <si>
    <t>11/10/2023 22:30</t>
  </si>
  <si>
    <t>11/10/2023 22:45</t>
  </si>
  <si>
    <t>11/10/2023 23:00</t>
  </si>
  <si>
    <t>11/10/2023 23:15</t>
  </si>
  <si>
    <t>11/10/2023 23:30</t>
  </si>
  <si>
    <t>11/10/2023 23:45</t>
  </si>
  <si>
    <t>11/10/2023 24:00</t>
  </si>
  <si>
    <t>12/10/2023 00:30</t>
  </si>
  <si>
    <t>12/10/2023 00:45</t>
  </si>
  <si>
    <t>12/10/2023 01:00</t>
  </si>
  <si>
    <t>12/10/2023 01:15</t>
  </si>
  <si>
    <t>12/10/2023 01:30</t>
  </si>
  <si>
    <t>12/10/2023 01:45</t>
  </si>
  <si>
    <t>12/10/2023 02:00</t>
  </si>
  <si>
    <t>12/10/2023 02:15</t>
  </si>
  <si>
    <t>12/10/2023 02:30</t>
  </si>
  <si>
    <t>12/10/2023 02:45</t>
  </si>
  <si>
    <t>12/10/2023 03:00</t>
  </si>
  <si>
    <t>12/10/2023 03:15</t>
  </si>
  <si>
    <t>12/10/2023 03:30</t>
  </si>
  <si>
    <t>12/10/2023 03:45</t>
  </si>
  <si>
    <t>12/10/2023 04:00</t>
  </si>
  <si>
    <t>12/10/2023 04:15</t>
  </si>
  <si>
    <t>12/10/2023 04:30</t>
  </si>
  <si>
    <t>12/10/2023 04:45</t>
  </si>
  <si>
    <t>12/10/2023 05:00</t>
  </si>
  <si>
    <t>12/10/2023 05:15</t>
  </si>
  <si>
    <t>12/10/2023 05:30</t>
  </si>
  <si>
    <t>12/10/2023 05:45</t>
  </si>
  <si>
    <t>12/10/2023 06:00</t>
  </si>
  <si>
    <t>12/10/2023 06:15</t>
  </si>
  <si>
    <t>12/10/2023 06:30</t>
  </si>
  <si>
    <t>12/10/2023 06:45</t>
  </si>
  <si>
    <t>12/10/2023 07:00</t>
  </si>
  <si>
    <t>12/10/2023 07:15</t>
  </si>
  <si>
    <t>12/10/2023 07:30</t>
  </si>
  <si>
    <t>12/10/2023 07:45</t>
  </si>
  <si>
    <t>12/10/2023 08:00</t>
  </si>
  <si>
    <t>12/10/2023 08:15</t>
  </si>
  <si>
    <t>12/10/2023 08:30</t>
  </si>
  <si>
    <t>12/10/2023 08:45</t>
  </si>
  <si>
    <t>12/10/2023 09:00</t>
  </si>
  <si>
    <t>12/10/2023 09:15</t>
  </si>
  <si>
    <t>12/10/2023 09:30</t>
  </si>
  <si>
    <t>12/10/2023 09:45</t>
  </si>
  <si>
    <t>12/10/2023 10:00</t>
  </si>
  <si>
    <t>12/10/2023 10:15</t>
  </si>
  <si>
    <t>12/10/2023 10:30</t>
  </si>
  <si>
    <t>12/10/2023 10:45</t>
  </si>
  <si>
    <t>12/10/2023 11:00</t>
  </si>
  <si>
    <t>12/10/2023 11:15</t>
  </si>
  <si>
    <t>12/10/2023 11:30</t>
  </si>
  <si>
    <t>12/10/2023 11:45</t>
  </si>
  <si>
    <t>12/10/2023 12:00</t>
  </si>
  <si>
    <t>12/10/2023 12:15</t>
  </si>
  <si>
    <t>12/10/2023 12:30</t>
  </si>
  <si>
    <t>12/10/2023 12:45</t>
  </si>
  <si>
    <t>12/10/2023 13:00</t>
  </si>
  <si>
    <t>12/10/2023 13:15</t>
  </si>
  <si>
    <t>12/10/2023 13:30</t>
  </si>
  <si>
    <t>12/10/2023 13:45</t>
  </si>
  <si>
    <t>12/10/2023 14:00</t>
  </si>
  <si>
    <t>12/10/2023 14:15</t>
  </si>
  <si>
    <t>12/10/2023 14:30</t>
  </si>
  <si>
    <t>12/10/2023 14:45</t>
  </si>
  <si>
    <t>12/10/2023 15:00</t>
  </si>
  <si>
    <t>12/10/2023 15:15</t>
  </si>
  <si>
    <t>12/10/2023 15:30</t>
  </si>
  <si>
    <t>12/10/2023 15:45</t>
  </si>
  <si>
    <t>12/10/2023 16:00</t>
  </si>
  <si>
    <t>12/10/2023 16:15</t>
  </si>
  <si>
    <t>12/10/2023 16:30</t>
  </si>
  <si>
    <t>12/10/2023 16:45</t>
  </si>
  <si>
    <t>12/10/2023 17:00</t>
  </si>
  <si>
    <t>12/10/2023 17:15</t>
  </si>
  <si>
    <t>12/10/2023 17:30</t>
  </si>
  <si>
    <t>12/10/2023 17:45</t>
  </si>
  <si>
    <t>12/10/2023 18:00</t>
  </si>
  <si>
    <t>12/10/2023 18:15</t>
  </si>
  <si>
    <t>12/10/2023 18:30</t>
  </si>
  <si>
    <t>12/10/2023 18:45</t>
  </si>
  <si>
    <t>12/10/2023 19:00</t>
  </si>
  <si>
    <t>12/10/2023 19:15</t>
  </si>
  <si>
    <t>12/10/2023 19:30</t>
  </si>
  <si>
    <t>12/10/2023 19:45</t>
  </si>
  <si>
    <t>12/10/2023 20:00</t>
  </si>
  <si>
    <t>12/10/2023 20:15</t>
  </si>
  <si>
    <t>12/10/2023 20:30</t>
  </si>
  <si>
    <t>12/10/2023 20:45</t>
  </si>
  <si>
    <t>12/10/2023 21:00</t>
  </si>
  <si>
    <t>12/10/2023 21:15</t>
  </si>
  <si>
    <t>12/10/2023 21:30</t>
  </si>
  <si>
    <t>12/10/2023 21:45</t>
  </si>
  <si>
    <t>12/10/2023 22:00</t>
  </si>
  <si>
    <t>12/10/2023 22:15</t>
  </si>
  <si>
    <t>12/10/2023 22:30</t>
  </si>
  <si>
    <t>12/10/2023 22:45</t>
  </si>
  <si>
    <t>12/10/2023 23:00</t>
  </si>
  <si>
    <t>12/10/2023 23:15</t>
  </si>
  <si>
    <t>12/10/2023 23:30</t>
  </si>
  <si>
    <t>12/10/2023 23:45</t>
  </si>
  <si>
    <t>12/10/2023 24:00</t>
  </si>
  <si>
    <t>13/10/2023 00:15</t>
  </si>
  <si>
    <t>13/10/2023 00:30</t>
  </si>
  <si>
    <t>13/10/2023 00:45</t>
  </si>
  <si>
    <t>13/10/2023 01:00</t>
  </si>
  <si>
    <t>13/10/2023 01:15</t>
  </si>
  <si>
    <t>13/10/2023 01:30</t>
  </si>
  <si>
    <t>13/10/2023 01:45</t>
  </si>
  <si>
    <t>13/10/2023 02:00</t>
  </si>
  <si>
    <t>13/10/2023 02:15</t>
  </si>
  <si>
    <t>13/10/2023 02:30</t>
  </si>
  <si>
    <t>13/10/2023 02:45</t>
  </si>
  <si>
    <t>13/10/2023 03:00</t>
  </si>
  <si>
    <t>13/10/2023 03:15</t>
  </si>
  <si>
    <t>13/10/2023 03:30</t>
  </si>
  <si>
    <t>13/10/2023 03:45</t>
  </si>
  <si>
    <t>13/10/2023 04:00</t>
  </si>
  <si>
    <t>13/10/2023 04:15</t>
  </si>
  <si>
    <t>13/10/2023 04:30</t>
  </si>
  <si>
    <t>13/10/2023 04:45</t>
  </si>
  <si>
    <t>13/10/2023 05:00</t>
  </si>
  <si>
    <t>13/10/2023 05:15</t>
  </si>
  <si>
    <t>13/10/2023 05:30</t>
  </si>
  <si>
    <t>13/10/2023 05:45</t>
  </si>
  <si>
    <t>13/10/2023 06:00</t>
  </si>
  <si>
    <t>13/10/2023 06:15</t>
  </si>
  <si>
    <t>13/10/2023 06:30</t>
  </si>
  <si>
    <t>13/10/2023 06:45</t>
  </si>
  <si>
    <t>13/10/2023 07:00</t>
  </si>
  <si>
    <t>13/10/2023 07:15</t>
  </si>
  <si>
    <t>13/10/2023 07:30</t>
  </si>
  <si>
    <t>13/10/2023 07:45</t>
  </si>
  <si>
    <t>13/10/2023 08:00</t>
  </si>
  <si>
    <t>13/10/2023 08:15</t>
  </si>
  <si>
    <t>13/10/2023 08:30</t>
  </si>
  <si>
    <t>13/10/2023 08:45</t>
  </si>
  <si>
    <t>13/10/2023 09:00</t>
  </si>
  <si>
    <t>13/10/2023 09:15</t>
  </si>
  <si>
    <t>13/10/2023 09:30</t>
  </si>
  <si>
    <t>13/10/2023 09:45</t>
  </si>
  <si>
    <t>13/10/2023 10:00</t>
  </si>
  <si>
    <t>13/10/2023 10:15</t>
  </si>
  <si>
    <t>13/10/2023 10:30</t>
  </si>
  <si>
    <t>13/10/2023 10:45</t>
  </si>
  <si>
    <t>13/10/2023 11:00</t>
  </si>
  <si>
    <t>13/10/2023 11:15</t>
  </si>
  <si>
    <t>13/10/2023 11:30</t>
  </si>
  <si>
    <t>13/10/2023 11:45</t>
  </si>
  <si>
    <t>13/10/2023 12:00</t>
  </si>
  <si>
    <t>13/10/2023 12:15</t>
  </si>
  <si>
    <t>13/10/2023 12:30</t>
  </si>
  <si>
    <t>13/10/2023 12:45</t>
  </si>
  <si>
    <t>13/10/2023 13:00</t>
  </si>
  <si>
    <t>13/10/2023 13:15</t>
  </si>
  <si>
    <t>13/10/2023 13:30</t>
  </si>
  <si>
    <t>13/10/2023 13:45</t>
  </si>
  <si>
    <t>13/10/2023 14:00</t>
  </si>
  <si>
    <t>13/10/2023 14:15</t>
  </si>
  <si>
    <t>13/10/2023 14:30</t>
  </si>
  <si>
    <t>13/10/2023 14:45</t>
  </si>
  <si>
    <t>13/10/2023 15:00</t>
  </si>
  <si>
    <t>13/10/2023 15:15</t>
  </si>
  <si>
    <t>13/10/2023 15:30</t>
  </si>
  <si>
    <t>13/10/2023 15:45</t>
  </si>
  <si>
    <t>13/10/2023 16:00</t>
  </si>
  <si>
    <t>13/10/2023 16:15</t>
  </si>
  <si>
    <t>13/10/2023 16:30</t>
  </si>
  <si>
    <t>13/10/2023 16:45</t>
  </si>
  <si>
    <t>13/10/2023 17:00</t>
  </si>
  <si>
    <t>13/10/2023 17:15</t>
  </si>
  <si>
    <t>13/10/2023 17:30</t>
  </si>
  <si>
    <t>13/10/2023 17:45</t>
  </si>
  <si>
    <t>13/10/2023 18:00</t>
  </si>
  <si>
    <t>13/10/2023 18:15</t>
  </si>
  <si>
    <t>13/10/2023 18:30</t>
  </si>
  <si>
    <t>13/10/2023 18:45</t>
  </si>
  <si>
    <t>13/10/2023 19:00</t>
  </si>
  <si>
    <t>13/10/2023 19:15</t>
  </si>
  <si>
    <t>13/10/2023 19:30</t>
  </si>
  <si>
    <t>13/10/2023 19:45</t>
  </si>
  <si>
    <t>13/10/2023 20:00</t>
  </si>
  <si>
    <t>13/10/2023 20:15</t>
  </si>
  <si>
    <t>13/10/2023 20:30</t>
  </si>
  <si>
    <t>13/10/2023 20:45</t>
  </si>
  <si>
    <t>13/10/2023 21:00</t>
  </si>
  <si>
    <t>13/10/2023 21:15</t>
  </si>
  <si>
    <t>13/10/2023 21:30</t>
  </si>
  <si>
    <t>13/10/2023 21:45</t>
  </si>
  <si>
    <t>13/10/2023 22:00</t>
  </si>
  <si>
    <t>13/10/2023 22:15</t>
  </si>
  <si>
    <t>13/10/2023 22:30</t>
  </si>
  <si>
    <t>13/10/2023 22:45</t>
  </si>
  <si>
    <t>13/10/2023 23:00</t>
  </si>
  <si>
    <t>13/10/2023 23:15</t>
  </si>
  <si>
    <t>13/10/2023 23:30</t>
  </si>
  <si>
    <t>13/10/2023 23:45</t>
  </si>
  <si>
    <t>13/10/2023 24:00</t>
  </si>
  <si>
    <t>14/10/2023 00:15</t>
  </si>
  <si>
    <t>14/10/2023 00:30</t>
  </si>
  <si>
    <t>14/10/2023 00:45</t>
  </si>
  <si>
    <t>14/10/2023 01:00</t>
  </si>
  <si>
    <t>14/10/2023 01:15</t>
  </si>
  <si>
    <t>14/10/2023 01:30</t>
  </si>
  <si>
    <t>14/10/2023 01:45</t>
  </si>
  <si>
    <t>14/10/2023 02:00</t>
  </si>
  <si>
    <t>14/10/2023 02:15</t>
  </si>
  <si>
    <t>14/10/2023 02:30</t>
  </si>
  <si>
    <t>14/10/2023 02:45</t>
  </si>
  <si>
    <t>14/10/2023 03:00</t>
  </si>
  <si>
    <t>14/10/2023 03:15</t>
  </si>
  <si>
    <t>14/10/2023 03:30</t>
  </si>
  <si>
    <t>14/10/2023 03:45</t>
  </si>
  <si>
    <t>14/10/2023 04:00</t>
  </si>
  <si>
    <t>14/10/2023 04:15</t>
  </si>
  <si>
    <t>14/10/2023 04:30</t>
  </si>
  <si>
    <t>14/10/2023 04:45</t>
  </si>
  <si>
    <t>14/10/2023 05:00</t>
  </si>
  <si>
    <t>14/10/2023 05:15</t>
  </si>
  <si>
    <t>14/10/2023 05:30</t>
  </si>
  <si>
    <t>14/10/2023 05:45</t>
  </si>
  <si>
    <t>14/10/2023 06:00</t>
  </si>
  <si>
    <t>14/10/2023 06:15</t>
  </si>
  <si>
    <t>14/10/2023 06:30</t>
  </si>
  <si>
    <t>14/10/2023 06:45</t>
  </si>
  <si>
    <t>14/10/2023 07:00</t>
  </si>
  <si>
    <t>14/10/2023 07:15</t>
  </si>
  <si>
    <t>14/10/2023 07:30</t>
  </si>
  <si>
    <t>14/10/2023 07:45</t>
  </si>
  <si>
    <t>14/10/2023 08:00</t>
  </si>
  <si>
    <t>14/10/2023 08:15</t>
  </si>
  <si>
    <t>14/10/2023 08:30</t>
  </si>
  <si>
    <t>14/10/2023 08:45</t>
  </si>
  <si>
    <t>14/10/2023 09:00</t>
  </si>
  <si>
    <t>14/10/2023 09:15</t>
  </si>
  <si>
    <t>14/10/2023 09:30</t>
  </si>
  <si>
    <t>14/10/2023 09:45</t>
  </si>
  <si>
    <t>14/10/2023 10:00</t>
  </si>
  <si>
    <t>14/10/2023 10:15</t>
  </si>
  <si>
    <t>14/10/2023 10:30</t>
  </si>
  <si>
    <t>14/10/2023 10:45</t>
  </si>
  <si>
    <t>14/10/2023 11:00</t>
  </si>
  <si>
    <t>14/10/2023 11:15</t>
  </si>
  <si>
    <t>14/10/2023 11:30</t>
  </si>
  <si>
    <t>14/10/2023 11:45</t>
  </si>
  <si>
    <t>14/10/2023 12:00</t>
  </si>
  <si>
    <t>14/10/2023 12:15</t>
  </si>
  <si>
    <t>14/10/2023 12:30</t>
  </si>
  <si>
    <t>14/10/2023 12:45</t>
  </si>
  <si>
    <t>14/10/2023 13:00</t>
  </si>
  <si>
    <t>14/10/2023 13:15</t>
  </si>
  <si>
    <t>14/10/2023 13:30</t>
  </si>
  <si>
    <t>14/10/2023 13:45</t>
  </si>
  <si>
    <t>14/10/2023 14:00</t>
  </si>
  <si>
    <t>14/10/2023 14:15</t>
  </si>
  <si>
    <t>14/10/2023 14:30</t>
  </si>
  <si>
    <t>14/10/2023 14:45</t>
  </si>
  <si>
    <t>14/10/2023 15:00</t>
  </si>
  <si>
    <t>14/10/2023 15:15</t>
  </si>
  <si>
    <t>14/10/2023 15:30</t>
  </si>
  <si>
    <t>14/10/2023 15:45</t>
  </si>
  <si>
    <t>14/10/2023 16:00</t>
  </si>
  <si>
    <t>14/10/2023 16:15</t>
  </si>
  <si>
    <t>14/10/2023 16:30</t>
  </si>
  <si>
    <t>14/10/2023 16:45</t>
  </si>
  <si>
    <t>14/10/2023 17:00</t>
  </si>
  <si>
    <t>14/10/2023 17:15</t>
  </si>
  <si>
    <t>14/10/2023 17:30</t>
  </si>
  <si>
    <t>14/10/2023 17:45</t>
  </si>
  <si>
    <t>14/10/2023 18:00</t>
  </si>
  <si>
    <t>14/10/2023 18:15</t>
  </si>
  <si>
    <t>14/10/2023 18:30</t>
  </si>
  <si>
    <t>14/10/2023 18:45</t>
  </si>
  <si>
    <t>14/10/2023 19:00</t>
  </si>
  <si>
    <t>14/10/2023 19:15</t>
  </si>
  <si>
    <t>14/10/2023 19:30</t>
  </si>
  <si>
    <t>14/10/2023 19:45</t>
  </si>
  <si>
    <t>14/10/2023 20:00</t>
  </si>
  <si>
    <t>14/10/2023 20:15</t>
  </si>
  <si>
    <t>14/10/2023 20:30</t>
  </si>
  <si>
    <t>14/10/2023 20:45</t>
  </si>
  <si>
    <t>14/10/2023 21:00</t>
  </si>
  <si>
    <t>14/10/2023 21:15</t>
  </si>
  <si>
    <t>14/10/2023 21:30</t>
  </si>
  <si>
    <t>14/10/2023 21:45</t>
  </si>
  <si>
    <t>14/10/2023 22:00</t>
  </si>
  <si>
    <t>14/10/2023 22:15</t>
  </si>
  <si>
    <t>14/10/2023 22:30</t>
  </si>
  <si>
    <t>14/10/2023 22:45</t>
  </si>
  <si>
    <t>14/10/2023 23:00</t>
  </si>
  <si>
    <t>14/10/2023 23:15</t>
  </si>
  <si>
    <t>14/10/2023 23:30</t>
  </si>
  <si>
    <t>14/10/2023 23:45</t>
  </si>
  <si>
    <t>14/10/2023 24:00</t>
  </si>
  <si>
    <t>15/10/2023 00:15</t>
  </si>
  <si>
    <t>15/10/2023 00:30</t>
  </si>
  <si>
    <t>15/10/2023 00:45</t>
  </si>
  <si>
    <t>15/10/2023 01:00</t>
  </si>
  <si>
    <t>15/10/2023 01:15</t>
  </si>
  <si>
    <t>15/10/2023 01:30</t>
  </si>
  <si>
    <t>15/10/2023 01:45</t>
  </si>
  <si>
    <t>15/10/2023 02:00</t>
  </si>
  <si>
    <t>15/10/2023 02:15</t>
  </si>
  <si>
    <t>15/10/2023 02:30</t>
  </si>
  <si>
    <t>15/10/2023 02:45</t>
  </si>
  <si>
    <t>15/10/2023 03:00</t>
  </si>
  <si>
    <t>15/10/2023 03:15</t>
  </si>
  <si>
    <t>15/10/2023 03:30</t>
  </si>
  <si>
    <t>15/10/2023 03:45</t>
  </si>
  <si>
    <t>15/10/2023 04:00</t>
  </si>
  <si>
    <t>15/10/2023 04:15</t>
  </si>
  <si>
    <t>15/10/2023 04:30</t>
  </si>
  <si>
    <t>15/10/2023 04:45</t>
  </si>
  <si>
    <t>15/10/2023 05:00</t>
  </si>
  <si>
    <t>15/10/2023 05:15</t>
  </si>
  <si>
    <t>15/10/2023 05:30</t>
  </si>
  <si>
    <t>15/10/2023 05:45</t>
  </si>
  <si>
    <t>15/10/2023 06:00</t>
  </si>
  <si>
    <t>15/10/2023 06:15</t>
  </si>
  <si>
    <t>15/10/2023 06:30</t>
  </si>
  <si>
    <t>15/10/2023 06:45</t>
  </si>
  <si>
    <t>15/10/2023 07:00</t>
  </si>
  <si>
    <t>15/10/2023 07:15</t>
  </si>
  <si>
    <t>15/10/2023 07:30</t>
  </si>
  <si>
    <t>15/10/2023 07:45</t>
  </si>
  <si>
    <t>15/10/2023 08:00</t>
  </si>
  <si>
    <t>15/10/2023 08:15</t>
  </si>
  <si>
    <t>15/10/2023 08:30</t>
  </si>
  <si>
    <t>15/10/2023 08:45</t>
  </si>
  <si>
    <t>15/10/2023 09:00</t>
  </si>
  <si>
    <t>15/10/2023 09:15</t>
  </si>
  <si>
    <t>15/10/2023 09:30</t>
  </si>
  <si>
    <t>15/10/2023 09:45</t>
  </si>
  <si>
    <t>15/10/2023 10:00</t>
  </si>
  <si>
    <t>15/10/2023 10:15</t>
  </si>
  <si>
    <t>15/10/2023 10:30</t>
  </si>
  <si>
    <t>15/10/2023 10:45</t>
  </si>
  <si>
    <t>15/10/2023 11:00</t>
  </si>
  <si>
    <t>15/10/2023 11:15</t>
  </si>
  <si>
    <t>15/10/2023 11:30</t>
  </si>
  <si>
    <t>15/10/2023 11:45</t>
  </si>
  <si>
    <t>15/10/2023 12:00</t>
  </si>
  <si>
    <t>15/10/2023 12:15</t>
  </si>
  <si>
    <t>15/10/2023 12:30</t>
  </si>
  <si>
    <t>15/10/2023 12:45</t>
  </si>
  <si>
    <t>15/10/2023 13:00</t>
  </si>
  <si>
    <t>15/10/2023 13:15</t>
  </si>
  <si>
    <t>15/10/2023 13:30</t>
  </si>
  <si>
    <t>15/10/2023 13:45</t>
  </si>
  <si>
    <t>15/10/2023 14:00</t>
  </si>
  <si>
    <t>15/10/2023 14:15</t>
  </si>
  <si>
    <t>15/10/2023 14:30</t>
  </si>
  <si>
    <t>15/10/2023 14:45</t>
  </si>
  <si>
    <t>15/10/2023 15:00</t>
  </si>
  <si>
    <t>15/10/2023 15:15</t>
  </si>
  <si>
    <t>15/10/2023 15:30</t>
  </si>
  <si>
    <t>15/10/2023 15:45</t>
  </si>
  <si>
    <t>15/10/2023 16:00</t>
  </si>
  <si>
    <t>15/10/2023 16:15</t>
  </si>
  <si>
    <t>15/10/2023 16:30</t>
  </si>
  <si>
    <t>15/10/2023 16:45</t>
  </si>
  <si>
    <t>15/10/2023 17:00</t>
  </si>
  <si>
    <t>15/10/2023 17:15</t>
  </si>
  <si>
    <t>15/10/2023 17:30</t>
  </si>
  <si>
    <t>15/10/2023 17:45</t>
  </si>
  <si>
    <t>15/10/2023 18:00</t>
  </si>
  <si>
    <t>15/10/2023 18:15</t>
  </si>
  <si>
    <t>15/10/2023 18:30</t>
  </si>
  <si>
    <t>15/10/2023 18:45</t>
  </si>
  <si>
    <t>15/10/2023 19:00</t>
  </si>
  <si>
    <t>15/10/2023 19:15</t>
  </si>
  <si>
    <t>15/10/2023 19:30</t>
  </si>
  <si>
    <t>15/10/2023 19:45</t>
  </si>
  <si>
    <t>15/10/2023 20:00</t>
  </si>
  <si>
    <t>15/10/2023 20:15</t>
  </si>
  <si>
    <t>15/10/2023 20:30</t>
  </si>
  <si>
    <t>15/10/2023 20:45</t>
  </si>
  <si>
    <t>15/10/2023 21:00</t>
  </si>
  <si>
    <t>15/10/2023 21:15</t>
  </si>
  <si>
    <t>15/10/2023 21:30</t>
  </si>
  <si>
    <t>15/10/2023 21:45</t>
  </si>
  <si>
    <t>15/10/2023 22:00</t>
  </si>
  <si>
    <t>15/10/2023 22:15</t>
  </si>
  <si>
    <t>15/10/2023 22:30</t>
  </si>
  <si>
    <t>15/10/2023 22:45</t>
  </si>
  <si>
    <t>15/10/2023 23:00</t>
  </si>
  <si>
    <t>15/10/2023 23:15</t>
  </si>
  <si>
    <t>15/10/2023 23:30</t>
  </si>
  <si>
    <t>15/10/2023 23:45</t>
  </si>
  <si>
    <t>15/10/2023 24:00</t>
  </si>
  <si>
    <t>16/10/2023 00:15</t>
  </si>
  <si>
    <t>16/10/2023 00:30</t>
  </si>
  <si>
    <t>16/10/2023 00:45</t>
  </si>
  <si>
    <t>16/10/2023 01:00</t>
  </si>
  <si>
    <t>16/10/2023 01:15</t>
  </si>
  <si>
    <t>16/10/2023 01:30</t>
  </si>
  <si>
    <t>16/10/2023 01:45</t>
  </si>
  <si>
    <t>16/10/2023 02:00</t>
  </si>
  <si>
    <t>16/10/2023 02:15</t>
  </si>
  <si>
    <t>16/10/2023 02:30</t>
  </si>
  <si>
    <t>16/10/2023 02:45</t>
  </si>
  <si>
    <t>16/10/2023 03:00</t>
  </si>
  <si>
    <t>16/10/2023 03:15</t>
  </si>
  <si>
    <t>16/10/2023 03:30</t>
  </si>
  <si>
    <t>16/10/2023 03:45</t>
  </si>
  <si>
    <t>16/10/2023 04:00</t>
  </si>
  <si>
    <t>16/10/2023 04:15</t>
  </si>
  <si>
    <t>16/10/2023 04:30</t>
  </si>
  <si>
    <t>16/10/2023 04:45</t>
  </si>
  <si>
    <t>16/10/2023 05:00</t>
  </si>
  <si>
    <t>16/10/2023 05:15</t>
  </si>
  <si>
    <t>16/10/2023 05:30</t>
  </si>
  <si>
    <t>16/10/2023 05:45</t>
  </si>
  <si>
    <t>16/10/2023 06:00</t>
  </si>
  <si>
    <t>16/10/2023 06:15</t>
  </si>
  <si>
    <t>16/10/2023 06:30</t>
  </si>
  <si>
    <t>16/10/2023 06:45</t>
  </si>
  <si>
    <t>16/10/2023 07:00</t>
  </si>
  <si>
    <t>16/10/2023 07:15</t>
  </si>
  <si>
    <t>16/10/2023 07:30</t>
  </si>
  <si>
    <t>16/10/2023 07:45</t>
  </si>
  <si>
    <t>16/10/2023 08:00</t>
  </si>
  <si>
    <t>16/10/2023 08:15</t>
  </si>
  <si>
    <t>16/10/2023 08:30</t>
  </si>
  <si>
    <t>16/10/2023 08:45</t>
  </si>
  <si>
    <t>16/10/2023 09:00</t>
  </si>
  <si>
    <t>16/10/2023 09:15</t>
  </si>
  <si>
    <t>16/10/2023 09:30</t>
  </si>
  <si>
    <t>16/10/2023 09:45</t>
  </si>
  <si>
    <t>16/10/2023 10:00</t>
  </si>
  <si>
    <t>16/10/2023 10:15</t>
  </si>
  <si>
    <t>16/10/2023 10:30</t>
  </si>
  <si>
    <t>16/10/2023 10:45</t>
  </si>
  <si>
    <t>16/10/2023 11:00</t>
  </si>
  <si>
    <t>16/10/2023 11:15</t>
  </si>
  <si>
    <t>16/10/2023 11:30</t>
  </si>
  <si>
    <t>16/10/2023 11:45</t>
  </si>
  <si>
    <t>16/10/2023 12:00</t>
  </si>
  <si>
    <t>16/10/2023 12:15</t>
  </si>
  <si>
    <t>16/10/2023 12:30</t>
  </si>
  <si>
    <t>16/10/2023 12:45</t>
  </si>
  <si>
    <t>16/10/2023 13:00</t>
  </si>
  <si>
    <t>16/10/2023 13:15</t>
  </si>
  <si>
    <t>16/10/2023 13:30</t>
  </si>
  <si>
    <t>16/10/2023 13:45</t>
  </si>
  <si>
    <t>16/10/2023 14:00</t>
  </si>
  <si>
    <t>16/10/2023 14:15</t>
  </si>
  <si>
    <t>16/10/2023 14:30</t>
  </si>
  <si>
    <t>16/10/2023 14:45</t>
  </si>
  <si>
    <t>16/10/2023 15:00</t>
  </si>
  <si>
    <t>16/10/2023 15:15</t>
  </si>
  <si>
    <t>16/10/2023 15:30</t>
  </si>
  <si>
    <t>16/10/2023 15:45</t>
  </si>
  <si>
    <t>16/10/2023 16:00</t>
  </si>
  <si>
    <t>16/10/2023 16:15</t>
  </si>
  <si>
    <t>16/10/2023 16:30</t>
  </si>
  <si>
    <t>16/10/2023 16:45</t>
  </si>
  <si>
    <t>16/10/2023 17:00</t>
  </si>
  <si>
    <t>16/10/2023 17:15</t>
  </si>
  <si>
    <t>16/10/2023 17:30</t>
  </si>
  <si>
    <t>16/10/2023 17:45</t>
  </si>
  <si>
    <t>16/10/2023 18:00</t>
  </si>
  <si>
    <t>16/10/2023 18:15</t>
  </si>
  <si>
    <t>16/10/2023 18:30</t>
  </si>
  <si>
    <t>16/10/2023 18:45</t>
  </si>
  <si>
    <t>16/10/2023 19:00</t>
  </si>
  <si>
    <t>16/10/2023 19:15</t>
  </si>
  <si>
    <t>16/10/2023 19:30</t>
  </si>
  <si>
    <t>16/10/2023 19:45</t>
  </si>
  <si>
    <t>16/10/2023 20:00</t>
  </si>
  <si>
    <t>16/10/2023 20:15</t>
  </si>
  <si>
    <t>16/10/2023 20:30</t>
  </si>
  <si>
    <t>16/10/2023 20:45</t>
  </si>
  <si>
    <t>16/10/2023 21:00</t>
  </si>
  <si>
    <t>16/10/2023 21:15</t>
  </si>
  <si>
    <t>16/10/2023 21:30</t>
  </si>
  <si>
    <t>16/10/2023 21:45</t>
  </si>
  <si>
    <t>16/10/2023 22:00</t>
  </si>
  <si>
    <t>16/10/2023 22:15</t>
  </si>
  <si>
    <t>16/10/2023 22:30</t>
  </si>
  <si>
    <t>16/10/2023 22:45</t>
  </si>
  <si>
    <t>16/10/2023 23:00</t>
  </si>
  <si>
    <t>16/10/2023 23:15</t>
  </si>
  <si>
    <t>16/10/2023 23:30</t>
  </si>
  <si>
    <t>16/10/2023 23:45</t>
  </si>
  <si>
    <t>16/10/2023 24:00</t>
  </si>
  <si>
    <t>17/10/2023 00:15</t>
  </si>
  <si>
    <t>17/10/2023 00:30</t>
  </si>
  <si>
    <t>17/10/2023 00:45</t>
  </si>
  <si>
    <t>17/10/2023 01:00</t>
  </si>
  <si>
    <t>17/10/2023 01:15</t>
  </si>
  <si>
    <t>17/10/2023 01:30</t>
  </si>
  <si>
    <t>17/10/2023 01:45</t>
  </si>
  <si>
    <t>17/10/2023 02:00</t>
  </si>
  <si>
    <t>17/10/2023 02:15</t>
  </si>
  <si>
    <t>17/10/2023 02:30</t>
  </si>
  <si>
    <t>17/10/2023 02:45</t>
  </si>
  <si>
    <t>17/10/2023 03:00</t>
  </si>
  <si>
    <t>17/10/2023 03:15</t>
  </si>
  <si>
    <t>17/10/2023 03:30</t>
  </si>
  <si>
    <t>17/10/2023 03:45</t>
  </si>
  <si>
    <t>17/10/2023 04:00</t>
  </si>
  <si>
    <t>17/10/2023 04:15</t>
  </si>
  <si>
    <t>17/10/2023 04:30</t>
  </si>
  <si>
    <t>17/10/2023 04:45</t>
  </si>
  <si>
    <t>17/10/2023 05:00</t>
  </si>
  <si>
    <t>17/10/2023 05:15</t>
  </si>
  <si>
    <t>17/10/2023 05:30</t>
  </si>
  <si>
    <t>17/10/2023 05:45</t>
  </si>
  <si>
    <t>17/10/2023 06:00</t>
  </si>
  <si>
    <t>17/10/2023 06:15</t>
  </si>
  <si>
    <t>17/10/2023 06:30</t>
  </si>
  <si>
    <t>17/10/2023 06:45</t>
  </si>
  <si>
    <t>17/10/2023 07:00</t>
  </si>
  <si>
    <t>17/10/2023 07:15</t>
  </si>
  <si>
    <t>17/10/2023 07:30</t>
  </si>
  <si>
    <t>17/10/2023 07:45</t>
  </si>
  <si>
    <t>17/10/2023 08:00</t>
  </si>
  <si>
    <t>17/10/2023 08:15</t>
  </si>
  <si>
    <t>17/10/2023 08:30</t>
  </si>
  <si>
    <t>17/10/2023 08:45</t>
  </si>
  <si>
    <t>17/10/2023 09:00</t>
  </si>
  <si>
    <t>17/10/2023 09:15</t>
  </si>
  <si>
    <t>17/10/2023 09:30</t>
  </si>
  <si>
    <t>17/10/2023 09:45</t>
  </si>
  <si>
    <t>17/10/2023 10:00</t>
  </si>
  <si>
    <t>17/10/2023 10:15</t>
  </si>
  <si>
    <t>17/10/2023 10:30</t>
  </si>
  <si>
    <t>17/10/2023 10:45</t>
  </si>
  <si>
    <t>17/10/2023 11:00</t>
  </si>
  <si>
    <t>17/10/2023 11:15</t>
  </si>
  <si>
    <t>17/10/2023 11:30</t>
  </si>
  <si>
    <t>17/10/2023 11:45</t>
  </si>
  <si>
    <t>17/10/2023 12:00</t>
  </si>
  <si>
    <t>17/10/2023 12:15</t>
  </si>
  <si>
    <t>17/10/2023 12:30</t>
  </si>
  <si>
    <t>17/10/2023 12:45</t>
  </si>
  <si>
    <t>17/10/2023 13:00</t>
  </si>
  <si>
    <t>17/10/2023 13:15</t>
  </si>
  <si>
    <t>17/10/2023 13:30</t>
  </si>
  <si>
    <t>17/10/2023 13:45</t>
  </si>
  <si>
    <t>17/10/2023 14:00</t>
  </si>
  <si>
    <t>17/10/2023 14:15</t>
  </si>
  <si>
    <t>17/10/2023 14:30</t>
  </si>
  <si>
    <t>17/10/2023 14:45</t>
  </si>
  <si>
    <t>17/10/2023 15:00</t>
  </si>
  <si>
    <t>17/10/2023 15:15</t>
  </si>
  <si>
    <t>17/10/2023 15:30</t>
  </si>
  <si>
    <t>17/10/2023 15:45</t>
  </si>
  <si>
    <t>17/10/2023 16:00</t>
  </si>
  <si>
    <t>17/10/2023 16:15</t>
  </si>
  <si>
    <t>17/10/2023 16:30</t>
  </si>
  <si>
    <t>17/10/2023 16:45</t>
  </si>
  <si>
    <t>17/10/2023 17:00</t>
  </si>
  <si>
    <t>17/10/2023 17:15</t>
  </si>
  <si>
    <t>17/10/2023 17:30</t>
  </si>
  <si>
    <t>17/10/2023 17:45</t>
  </si>
  <si>
    <t>17/10/2023 18:00</t>
  </si>
  <si>
    <t>17/10/2023 18:15</t>
  </si>
  <si>
    <t>17/10/2023 18:30</t>
  </si>
  <si>
    <t>17/10/2023 18:45</t>
  </si>
  <si>
    <t>17/10/2023 19:00</t>
  </si>
  <si>
    <t>17/10/2023 19:15</t>
  </si>
  <si>
    <t>17/10/2023 19:30</t>
  </si>
  <si>
    <t>17/10/2023 19:45</t>
  </si>
  <si>
    <t>17/10/2023 20:00</t>
  </si>
  <si>
    <t>17/10/2023 20:15</t>
  </si>
  <si>
    <t>17/10/2023 20:30</t>
  </si>
  <si>
    <t>17/10/2023 20:45</t>
  </si>
  <si>
    <t>17/10/2023 21:00</t>
  </si>
  <si>
    <t>17/10/2023 21:15</t>
  </si>
  <si>
    <t>17/10/2023 21:30</t>
  </si>
  <si>
    <t>17/10/2023 21:45</t>
  </si>
  <si>
    <t>17/10/2023 22:00</t>
  </si>
  <si>
    <t>17/10/2023 22:15</t>
  </si>
  <si>
    <t>17/10/2023 22:30</t>
  </si>
  <si>
    <t>17/10/2023 22:45</t>
  </si>
  <si>
    <t>17/10/2023 23:00</t>
  </si>
  <si>
    <t>17/10/2023 23:15</t>
  </si>
  <si>
    <t>17/10/2023 23:30</t>
  </si>
  <si>
    <t>17/10/2023 23:45</t>
  </si>
  <si>
    <t>17/10/2023 24:00</t>
  </si>
  <si>
    <t>18/10/2023 00:15</t>
  </si>
  <si>
    <t>18/10/2023 00:30</t>
  </si>
  <si>
    <t>18/10/2023 00:45</t>
  </si>
  <si>
    <t>18/10/2023 01:00</t>
  </si>
  <si>
    <t>18/10/2023 01:15</t>
  </si>
  <si>
    <t>18/10/2023 01:30</t>
  </si>
  <si>
    <t>18/10/2023 01:45</t>
  </si>
  <si>
    <t>18/10/2023 02:00</t>
  </si>
  <si>
    <t>18/10/2023 02:15</t>
  </si>
  <si>
    <t>18/10/2023 02:30</t>
  </si>
  <si>
    <t>18/10/2023 02:45</t>
  </si>
  <si>
    <t>18/10/2023 03:00</t>
  </si>
  <si>
    <t>18/10/2023 03:15</t>
  </si>
  <si>
    <t>18/10/2023 03:30</t>
  </si>
  <si>
    <t>18/10/2023 03:45</t>
  </si>
  <si>
    <t>18/10/2023 04:00</t>
  </si>
  <si>
    <t>18/10/2023 04:15</t>
  </si>
  <si>
    <t>18/10/2023 04:30</t>
  </si>
  <si>
    <t>18/10/2023 04:45</t>
  </si>
  <si>
    <t>18/10/2023 05:00</t>
  </si>
  <si>
    <t>18/10/2023 05:15</t>
  </si>
  <si>
    <t>18/10/2023 05:30</t>
  </si>
  <si>
    <t>18/10/2023 05:45</t>
  </si>
  <si>
    <t>18/10/2023 06:00</t>
  </si>
  <si>
    <t>18/10/2023 06:15</t>
  </si>
  <si>
    <t>18/10/2023 06:30</t>
  </si>
  <si>
    <t>18/10/2023 06:45</t>
  </si>
  <si>
    <t>18/10/2023 07:00</t>
  </si>
  <si>
    <t>18/10/2023 07:15</t>
  </si>
  <si>
    <t>18/10/2023 07:30</t>
  </si>
  <si>
    <t>18/10/2023 07:45</t>
  </si>
  <si>
    <t>18/10/2023 08:00</t>
  </si>
  <si>
    <t>18/10/2023 08:15</t>
  </si>
  <si>
    <t>18/10/2023 08:30</t>
  </si>
  <si>
    <t>18/10/2023 08:45</t>
  </si>
  <si>
    <t>18/10/2023 09:00</t>
  </si>
  <si>
    <t>18/10/2023 09:15</t>
  </si>
  <si>
    <t>18/10/2023 09:30</t>
  </si>
  <si>
    <t>18/10/2023 09:45</t>
  </si>
  <si>
    <t>18/10/2023 10:00</t>
  </si>
  <si>
    <t>18/10/2023 10:15</t>
  </si>
  <si>
    <t>18/10/2023 10:30</t>
  </si>
  <si>
    <t>18/10/2023 10:45</t>
  </si>
  <si>
    <t>18/10/2023 11:00</t>
  </si>
  <si>
    <t>18/10/2023 11:15</t>
  </si>
  <si>
    <t>18/10/2023 11:30</t>
  </si>
  <si>
    <t>18/10/2023 11:45</t>
  </si>
  <si>
    <t>18/10/2023 12:00</t>
  </si>
  <si>
    <t>18/10/2023 12:15</t>
  </si>
  <si>
    <t>18/10/2023 12:30</t>
  </si>
  <si>
    <t>18/10/2023 12:45</t>
  </si>
  <si>
    <t>18/10/2023 13:00</t>
  </si>
  <si>
    <t>18/10/2023 13:15</t>
  </si>
  <si>
    <t>18/10/2023 13:30</t>
  </si>
  <si>
    <t>18/10/2023 13:45</t>
  </si>
  <si>
    <t>18/10/2023 14:00</t>
  </si>
  <si>
    <t>18/10/2023 14:15</t>
  </si>
  <si>
    <t>18/10/2023 14:30</t>
  </si>
  <si>
    <t>18/10/2023 14:45</t>
  </si>
  <si>
    <t>18/10/2023 15:00</t>
  </si>
  <si>
    <t>18/10/2023 15:15</t>
  </si>
  <si>
    <t>18/10/2023 15:30</t>
  </si>
  <si>
    <t>18/10/2023 15:45</t>
  </si>
  <si>
    <t>18/10/2023 16:00</t>
  </si>
  <si>
    <t>18/10/2023 16:15</t>
  </si>
  <si>
    <t>18/10/2023 16:30</t>
  </si>
  <si>
    <t>18/10/2023 16:45</t>
  </si>
  <si>
    <t>18/10/2023 17:00</t>
  </si>
  <si>
    <t>18/10/2023 17:15</t>
  </si>
  <si>
    <t>18/10/2023 17:30</t>
  </si>
  <si>
    <t>18/10/2023 17:45</t>
  </si>
  <si>
    <t>18/10/2023 18:00</t>
  </si>
  <si>
    <t>18/10/2023 18:15</t>
  </si>
  <si>
    <t>18/10/2023 18:30</t>
  </si>
  <si>
    <t>18/10/2023 18:45</t>
  </si>
  <si>
    <t>18/10/2023 19:00</t>
  </si>
  <si>
    <t>18/10/2023 19:15</t>
  </si>
  <si>
    <t>18/10/2023 19:30</t>
  </si>
  <si>
    <t>18/10/2023 19:45</t>
  </si>
  <si>
    <t>18/10/2023 20:00</t>
  </si>
  <si>
    <t>18/10/2023 20:15</t>
  </si>
  <si>
    <t>18/10/2023 20:30</t>
  </si>
  <si>
    <t>18/10/2023 20:45</t>
  </si>
  <si>
    <t>18/10/2023 21:00</t>
  </si>
  <si>
    <t>18/10/2023 21:15</t>
  </si>
  <si>
    <t>18/10/2023 21:30</t>
  </si>
  <si>
    <t>18/10/2023 21:45</t>
  </si>
  <si>
    <t>18/10/2023 22:00</t>
  </si>
  <si>
    <t>18/10/2023 22:15</t>
  </si>
  <si>
    <t>18/10/2023 22:30</t>
  </si>
  <si>
    <t>18/10/2023 22:45</t>
  </si>
  <si>
    <t>18/10/2023 23:00</t>
  </si>
  <si>
    <t>18/10/2023 23:15</t>
  </si>
  <si>
    <t>18/10/2023 23:30</t>
  </si>
  <si>
    <t>18/10/2023 23:45</t>
  </si>
  <si>
    <t>18/10/2023 24:00</t>
  </si>
  <si>
    <t>19/10/2023 00:15</t>
  </si>
  <si>
    <t>19/10/2023 00:30</t>
  </si>
  <si>
    <t>19/10/2023 00:45</t>
  </si>
  <si>
    <t>19/10/2023 01:00</t>
  </si>
  <si>
    <t>19/10/2023 01:15</t>
  </si>
  <si>
    <t>19/10/2023 01:30</t>
  </si>
  <si>
    <t>19/10/2023 01:45</t>
  </si>
  <si>
    <t>19/10/2023 02:00</t>
  </si>
  <si>
    <t>19/10/2023 02:15</t>
  </si>
  <si>
    <t>19/10/2023 02:30</t>
  </si>
  <si>
    <t>19/10/2023 02:45</t>
  </si>
  <si>
    <t>19/10/2023 03:00</t>
  </si>
  <si>
    <t>19/10/2023 03:15</t>
  </si>
  <si>
    <t>19/10/2023 03:30</t>
  </si>
  <si>
    <t>19/10/2023 03:45</t>
  </si>
  <si>
    <t>19/10/2023 04:00</t>
  </si>
  <si>
    <t>19/10/2023 04:15</t>
  </si>
  <si>
    <t>19/10/2023 04:30</t>
  </si>
  <si>
    <t>19/10/2023 04:45</t>
  </si>
  <si>
    <t>19/10/2023 05:00</t>
  </si>
  <si>
    <t>19/10/2023 05:15</t>
  </si>
  <si>
    <t>19/10/2023 05:30</t>
  </si>
  <si>
    <t>19/10/2023 05:45</t>
  </si>
  <si>
    <t>19/10/2023 06:00</t>
  </si>
  <si>
    <t>19/10/2023 06:15</t>
  </si>
  <si>
    <t>19/10/2023 06:30</t>
  </si>
  <si>
    <t>19/10/2023 06:45</t>
  </si>
  <si>
    <t>19/10/2023 07:00</t>
  </si>
  <si>
    <t>19/10/2023 07:15</t>
  </si>
  <si>
    <t>19/10/2023 07:30</t>
  </si>
  <si>
    <t>19/10/2023 07:45</t>
  </si>
  <si>
    <t>19/10/2023 08:00</t>
  </si>
  <si>
    <t>19/10/2023 08:15</t>
  </si>
  <si>
    <t>19/10/2023 08:30</t>
  </si>
  <si>
    <t>19/10/2023 08:45</t>
  </si>
  <si>
    <t>19/10/2023 09:00</t>
  </si>
  <si>
    <t>19/10/2023 09:15</t>
  </si>
  <si>
    <t>19/10/2023 09:30</t>
  </si>
  <si>
    <t>19/10/2023 09:45</t>
  </si>
  <si>
    <t>19/10/2023 10:00</t>
  </si>
  <si>
    <t>19/10/2023 10:15</t>
  </si>
  <si>
    <t>19/10/2023 10:30</t>
  </si>
  <si>
    <t>19/10/2023 10:45</t>
  </si>
  <si>
    <t>19/10/2023 11:00</t>
  </si>
  <si>
    <t>19/10/2023 11:15</t>
  </si>
  <si>
    <t>19/10/2023 11:30</t>
  </si>
  <si>
    <t>19/10/2023 11:45</t>
  </si>
  <si>
    <t>19/10/2023 12:00</t>
  </si>
  <si>
    <t>19/10/2023 12:15</t>
  </si>
  <si>
    <t>19/10/2023 12:30</t>
  </si>
  <si>
    <t>19/10/2023 12:45</t>
  </si>
  <si>
    <t>19/10/2023 13:00</t>
  </si>
  <si>
    <t>19/10/2023 13:15</t>
  </si>
  <si>
    <t>19/10/2023 13:30</t>
  </si>
  <si>
    <t>19/10/2023 13:45</t>
  </si>
  <si>
    <t>19/10/2023 14:00</t>
  </si>
  <si>
    <t>19/10/2023 14:15</t>
  </si>
  <si>
    <t>19/10/2023 14:30</t>
  </si>
  <si>
    <t>19/10/2023 14:45</t>
  </si>
  <si>
    <t>19/10/2023 15:00</t>
  </si>
  <si>
    <t>19/10/2023 15:15</t>
  </si>
  <si>
    <t>19/10/2023 15:30</t>
  </si>
  <si>
    <t>19/10/2023 15:45</t>
  </si>
  <si>
    <t>19/10/2023 16:00</t>
  </si>
  <si>
    <t>19/10/2023 16:15</t>
  </si>
  <si>
    <t>19/10/2023 16:30</t>
  </si>
  <si>
    <t>19/10/2023 16:45</t>
  </si>
  <si>
    <t>19/10/2023 17:00</t>
  </si>
  <si>
    <t>19/10/2023 17:15</t>
  </si>
  <si>
    <t>19/10/2023 17:30</t>
  </si>
  <si>
    <t>19/10/2023 17:45</t>
  </si>
  <si>
    <t>19/10/2023 18:00</t>
  </si>
  <si>
    <t>19/10/2023 18:15</t>
  </si>
  <si>
    <t>19/10/2023 18:30</t>
  </si>
  <si>
    <t>19/10/2023 18:45</t>
  </si>
  <si>
    <t>19/10/2023 19:00</t>
  </si>
  <si>
    <t>19/10/2023 19:15</t>
  </si>
  <si>
    <t>19/10/2023 19:30</t>
  </si>
  <si>
    <t>19/10/2023 19:45</t>
  </si>
  <si>
    <t>19/10/2023 20:00</t>
  </si>
  <si>
    <t>19/10/2023 20:15</t>
  </si>
  <si>
    <t>19/10/2023 20:30</t>
  </si>
  <si>
    <t>19/10/2023 20:45</t>
  </si>
  <si>
    <t>19/10/2023 21:00</t>
  </si>
  <si>
    <t>19/10/2023 21:15</t>
  </si>
  <si>
    <t>19/10/2023 21:30</t>
  </si>
  <si>
    <t>19/10/2023 21:45</t>
  </si>
  <si>
    <t>19/10/2023 22:00</t>
  </si>
  <si>
    <t>19/10/2023 22:15</t>
  </si>
  <si>
    <t>19/10/2023 22:30</t>
  </si>
  <si>
    <t>19/10/2023 22:45</t>
  </si>
  <si>
    <t>19/10/2023 23:00</t>
  </si>
  <si>
    <t>19/10/2023 23:15</t>
  </si>
  <si>
    <t>19/10/2023 23:30</t>
  </si>
  <si>
    <t>19/10/2023 23:45</t>
  </si>
  <si>
    <t>19/10/2023 24:00</t>
  </si>
  <si>
    <t>20/10/2023 00:15</t>
  </si>
  <si>
    <t>20/10/2023 00:30</t>
  </si>
  <si>
    <t>20/10/2023 00:45</t>
  </si>
  <si>
    <t>20/10/2023 01:00</t>
  </si>
  <si>
    <t>20/10/2023 01:15</t>
  </si>
  <si>
    <t>20/10/2023 01:30</t>
  </si>
  <si>
    <t>20/10/2023 01:45</t>
  </si>
  <si>
    <t>20/10/2023 02:00</t>
  </si>
  <si>
    <t>20/10/2023 02:15</t>
  </si>
  <si>
    <t>20/10/2023 02:30</t>
  </si>
  <si>
    <t>20/10/2023 02:45</t>
  </si>
  <si>
    <t>20/10/2023 03:00</t>
  </si>
  <si>
    <t>20/10/2023 03:15</t>
  </si>
  <si>
    <t>20/10/2023 03:30</t>
  </si>
  <si>
    <t>20/10/2023 03:45</t>
  </si>
  <si>
    <t>20/10/2023 04:00</t>
  </si>
  <si>
    <t>20/10/2023 04:15</t>
  </si>
  <si>
    <t>20/10/2023 04:30</t>
  </si>
  <si>
    <t>20/10/2023 04:45</t>
  </si>
  <si>
    <t>20/10/2023 05:00</t>
  </si>
  <si>
    <t>20/10/2023 05:15</t>
  </si>
  <si>
    <t>20/10/2023 05:30</t>
  </si>
  <si>
    <t>20/10/2023 05:45</t>
  </si>
  <si>
    <t>20/10/2023 06:00</t>
  </si>
  <si>
    <t>20/10/2023 06:15</t>
  </si>
  <si>
    <t>20/10/2023 06:30</t>
  </si>
  <si>
    <t>20/10/2023 06:45</t>
  </si>
  <si>
    <t>20/10/2023 07:00</t>
  </si>
  <si>
    <t>20/10/2023 07:15</t>
  </si>
  <si>
    <t>20/10/2023 07:30</t>
  </si>
  <si>
    <t>20/10/2023 07:45</t>
  </si>
  <si>
    <t>20/10/2023 08:00</t>
  </si>
  <si>
    <t>20/10/2023 08:15</t>
  </si>
  <si>
    <t>20/10/2023 08:30</t>
  </si>
  <si>
    <t>20/10/2023 08:45</t>
  </si>
  <si>
    <t>20/10/2023 09:00</t>
  </si>
  <si>
    <t>20/10/2023 09:15</t>
  </si>
  <si>
    <t>20/10/2023 09:30</t>
  </si>
  <si>
    <t>20/10/2023 09:45</t>
  </si>
  <si>
    <t>20/10/2023 10:00</t>
  </si>
  <si>
    <t>20/10/2023 10:15</t>
  </si>
  <si>
    <t>20/10/2023 10:30</t>
  </si>
  <si>
    <t>20/10/2023 10:45</t>
  </si>
  <si>
    <t>20/10/2023 11:00</t>
  </si>
  <si>
    <t>20/10/2023 11:15</t>
  </si>
  <si>
    <t>20/10/2023 11:30</t>
  </si>
  <si>
    <t>20/10/2023 11:45</t>
  </si>
  <si>
    <t>20/10/2023 12:00</t>
  </si>
  <si>
    <t>20/10/2023 12:15</t>
  </si>
  <si>
    <t>20/10/2023 12:30</t>
  </si>
  <si>
    <t>20/10/2023 12:45</t>
  </si>
  <si>
    <t>20/10/2023 13:00</t>
  </si>
  <si>
    <t>20/10/2023 13:15</t>
  </si>
  <si>
    <t>20/10/2023 13:30</t>
  </si>
  <si>
    <t>20/10/2023 13:45</t>
  </si>
  <si>
    <t>20/10/2023 14:00</t>
  </si>
  <si>
    <t>20/10/2023 14:15</t>
  </si>
  <si>
    <t>20/10/2023 14:30</t>
  </si>
  <si>
    <t>20/10/2023 14:45</t>
  </si>
  <si>
    <t>20/10/2023 15:00</t>
  </si>
  <si>
    <t>20/10/2023 15:15</t>
  </si>
  <si>
    <t>20/10/2023 15:30</t>
  </si>
  <si>
    <t>20/10/2023 15:45</t>
  </si>
  <si>
    <t>20/10/2023 16:00</t>
  </si>
  <si>
    <t>20/10/2023 16:15</t>
  </si>
  <si>
    <t>20/10/2023 16:30</t>
  </si>
  <si>
    <t>20/10/2023 16:45</t>
  </si>
  <si>
    <t>20/10/2023 17:00</t>
  </si>
  <si>
    <t>20/10/2023 17:15</t>
  </si>
  <si>
    <t>20/10/2023 17:30</t>
  </si>
  <si>
    <t>20/10/2023 17:45</t>
  </si>
  <si>
    <t>20/10/2023 18:00</t>
  </si>
  <si>
    <t>20/10/2023 18:15</t>
  </si>
  <si>
    <t>20/10/2023 18:30</t>
  </si>
  <si>
    <t>20/10/2023 18:45</t>
  </si>
  <si>
    <t>20/10/2023 19:00</t>
  </si>
  <si>
    <t>20/10/2023 19:15</t>
  </si>
  <si>
    <t>20/10/2023 19:30</t>
  </si>
  <si>
    <t>20/10/2023 19:45</t>
  </si>
  <si>
    <t>20/10/2023 20:00</t>
  </si>
  <si>
    <t>20/10/2023 20:15</t>
  </si>
  <si>
    <t>20/10/2023 20:30</t>
  </si>
  <si>
    <t>20/10/2023 20:45</t>
  </si>
  <si>
    <t>20/10/2023 21:00</t>
  </si>
  <si>
    <t>20/10/2023 21:15</t>
  </si>
  <si>
    <t>20/10/2023 21:30</t>
  </si>
  <si>
    <t>20/10/2023 21:45</t>
  </si>
  <si>
    <t>20/10/2023 22:00</t>
  </si>
  <si>
    <t>20/10/2023 22:15</t>
  </si>
  <si>
    <t>20/10/2023 22:30</t>
  </si>
  <si>
    <t>20/10/2023 22:45</t>
  </si>
  <si>
    <t>20/10/2023 23:00</t>
  </si>
  <si>
    <t>20/10/2023 23:15</t>
  </si>
  <si>
    <t>20/10/2023 23:30</t>
  </si>
  <si>
    <t>20/10/2023 23:45</t>
  </si>
  <si>
    <t>20/10/2023 24:00</t>
  </si>
  <si>
    <t>21/10/2023 00:15</t>
  </si>
  <si>
    <t>21/10/2023 00:30</t>
  </si>
  <si>
    <t>21/10/2023 00:45</t>
  </si>
  <si>
    <t>21/10/2023 01:00</t>
  </si>
  <si>
    <t>21/10/2023 01:15</t>
  </si>
  <si>
    <t>21/10/2023 01:30</t>
  </si>
  <si>
    <t>21/10/2023 01:45</t>
  </si>
  <si>
    <t>21/10/2023 02:00</t>
  </si>
  <si>
    <t>21/10/2023 02:15</t>
  </si>
  <si>
    <t>21/10/2023 02:30</t>
  </si>
  <si>
    <t>21/10/2023 02:45</t>
  </si>
  <si>
    <t>21/10/2023 03:00</t>
  </si>
  <si>
    <t>21/10/2023 03:15</t>
  </si>
  <si>
    <t>21/10/2023 03:30</t>
  </si>
  <si>
    <t>21/10/2023 03:45</t>
  </si>
  <si>
    <t>21/10/2023 04:00</t>
  </si>
  <si>
    <t>21/10/2023 04:15</t>
  </si>
  <si>
    <t>21/10/2023 04:30</t>
  </si>
  <si>
    <t>21/10/2023 04:45</t>
  </si>
  <si>
    <t>21/10/2023 05:00</t>
  </si>
  <si>
    <t>21/10/2023 05:15</t>
  </si>
  <si>
    <t>21/10/2023 05:30</t>
  </si>
  <si>
    <t>21/10/2023 05:45</t>
  </si>
  <si>
    <t>21/10/2023 06:00</t>
  </si>
  <si>
    <t>21/10/2023 06:15</t>
  </si>
  <si>
    <t>21/10/2023 06:30</t>
  </si>
  <si>
    <t>21/10/2023 06:45</t>
  </si>
  <si>
    <t>21/10/2023 07:00</t>
  </si>
  <si>
    <t>21/10/2023 07:15</t>
  </si>
  <si>
    <t>21/10/2023 07:30</t>
  </si>
  <si>
    <t>21/10/2023 07:45</t>
  </si>
  <si>
    <t>21/10/2023 08:00</t>
  </si>
  <si>
    <t>21/10/2023 08:15</t>
  </si>
  <si>
    <t>21/10/2023 08:30</t>
  </si>
  <si>
    <t>21/10/2023 08:45</t>
  </si>
  <si>
    <t>21/10/2023 09:00</t>
  </si>
  <si>
    <t>21/10/2023 09:15</t>
  </si>
  <si>
    <t>21/10/2023 09:30</t>
  </si>
  <si>
    <t>21/10/2023 09:45</t>
  </si>
  <si>
    <t>21/10/2023 10:00</t>
  </si>
  <si>
    <t>21/10/2023 10:15</t>
  </si>
  <si>
    <t>21/10/2023 10:30</t>
  </si>
  <si>
    <t>21/10/2023 10:45</t>
  </si>
  <si>
    <t>21/10/2023 11:00</t>
  </si>
  <si>
    <t>21/10/2023 11:15</t>
  </si>
  <si>
    <t>21/10/2023 11:30</t>
  </si>
  <si>
    <t>21/10/2023 11:45</t>
  </si>
  <si>
    <t>21/10/2023 12:00</t>
  </si>
  <si>
    <t>21/10/2023 12:15</t>
  </si>
  <si>
    <t>21/10/2023 12:30</t>
  </si>
  <si>
    <t>21/10/2023 12:45</t>
  </si>
  <si>
    <t>21/10/2023 13:00</t>
  </si>
  <si>
    <t>21/10/2023 13:15</t>
  </si>
  <si>
    <t>21/10/2023 13:30</t>
  </si>
  <si>
    <t>21/10/2023 13:45</t>
  </si>
  <si>
    <t>21/10/2023 14:00</t>
  </si>
  <si>
    <t>21/10/2023 14:15</t>
  </si>
  <si>
    <t>21/10/2023 14:30</t>
  </si>
  <si>
    <t>21/10/2023 14:45</t>
  </si>
  <si>
    <t>21/10/2023 15:00</t>
  </si>
  <si>
    <t>21/10/2023 15:15</t>
  </si>
  <si>
    <t>21/10/2023 15:30</t>
  </si>
  <si>
    <t>21/10/2023 15:45</t>
  </si>
  <si>
    <t>21/10/2023 16:00</t>
  </si>
  <si>
    <t>21/10/2023 16:15</t>
  </si>
  <si>
    <t>21/10/2023 16:30</t>
  </si>
  <si>
    <t>21/10/2023 16:45</t>
  </si>
  <si>
    <t>21/10/2023 17:00</t>
  </si>
  <si>
    <t>21/10/2023 17:15</t>
  </si>
  <si>
    <t>21/10/2023 17:30</t>
  </si>
  <si>
    <t>21/10/2023 17:45</t>
  </si>
  <si>
    <t>21/10/2023 18:00</t>
  </si>
  <si>
    <t>21/10/2023 18:15</t>
  </si>
  <si>
    <t>21/10/2023 18:30</t>
  </si>
  <si>
    <t>21/10/2023 18:45</t>
  </si>
  <si>
    <t>21/10/2023 19:00</t>
  </si>
  <si>
    <t>21/10/2023 19:15</t>
  </si>
  <si>
    <t>21/10/2023 19:30</t>
  </si>
  <si>
    <t>21/10/2023 19:45</t>
  </si>
  <si>
    <t>21/10/2023 20:00</t>
  </si>
  <si>
    <t>21/10/2023 20:15</t>
  </si>
  <si>
    <t>21/10/2023 20:30</t>
  </si>
  <si>
    <t>21/10/2023 20:45</t>
  </si>
  <si>
    <t>21/10/2023 21:00</t>
  </si>
  <si>
    <t>21/10/2023 21:15</t>
  </si>
  <si>
    <t>21/10/2023 21:30</t>
  </si>
  <si>
    <t>21/10/2023 21:45</t>
  </si>
  <si>
    <t>21/10/2023 22:00</t>
  </si>
  <si>
    <t>21/10/2023 22:15</t>
  </si>
  <si>
    <t>21/10/2023 22:30</t>
  </si>
  <si>
    <t>21/10/2023 22:45</t>
  </si>
  <si>
    <t>21/10/2023 23:00</t>
  </si>
  <si>
    <t>21/10/2023 23:15</t>
  </si>
  <si>
    <t>21/10/2023 23:30</t>
  </si>
  <si>
    <t>21/10/2023 23:45</t>
  </si>
  <si>
    <t>21/10/2023 24:00</t>
  </si>
  <si>
    <t>22/10/2023 00:15</t>
  </si>
  <si>
    <t>22/10/2023 00:30</t>
  </si>
  <si>
    <t>22/10/2023 00:45</t>
  </si>
  <si>
    <t>22/10/2023 01:00</t>
  </si>
  <si>
    <t>22/10/2023 01:15</t>
  </si>
  <si>
    <t>22/10/2023 01:30</t>
  </si>
  <si>
    <t>22/10/2023 01:45</t>
  </si>
  <si>
    <t>22/10/2023 02:00</t>
  </si>
  <si>
    <t>22/10/2023 02:15</t>
  </si>
  <si>
    <t>22/10/2023 02:30</t>
  </si>
  <si>
    <t>22/10/2023 02:45</t>
  </si>
  <si>
    <t>22/10/2023 03:00</t>
  </si>
  <si>
    <t>22/10/2023 03:15</t>
  </si>
  <si>
    <t>22/10/2023 03:30</t>
  </si>
  <si>
    <t>22/10/2023 03:45</t>
  </si>
  <si>
    <t>22/10/2023 04:00</t>
  </si>
  <si>
    <t>22/10/2023 04:15</t>
  </si>
  <si>
    <t>22/10/2023 04:30</t>
  </si>
  <si>
    <t>22/10/2023 04:45</t>
  </si>
  <si>
    <t>22/10/2023 05:00</t>
  </si>
  <si>
    <t>22/10/2023 05:15</t>
  </si>
  <si>
    <t>22/10/2023 05:30</t>
  </si>
  <si>
    <t>22/10/2023 05:45</t>
  </si>
  <si>
    <t>22/10/2023 06:00</t>
  </si>
  <si>
    <t>22/10/2023 06:15</t>
  </si>
  <si>
    <t>22/10/2023 06:30</t>
  </si>
  <si>
    <t>22/10/2023 06:45</t>
  </si>
  <si>
    <t>22/10/2023 07:00</t>
  </si>
  <si>
    <t>22/10/2023 07:15</t>
  </si>
  <si>
    <t>22/10/2023 07:30</t>
  </si>
  <si>
    <t>22/10/2023 07:45</t>
  </si>
  <si>
    <t>22/10/2023 08:00</t>
  </si>
  <si>
    <t>22/10/2023 08:15</t>
  </si>
  <si>
    <t>22/10/2023 08:30</t>
  </si>
  <si>
    <t>22/10/2023 08:45</t>
  </si>
  <si>
    <t>22/10/2023 09:00</t>
  </si>
  <si>
    <t>22/10/2023 09:15</t>
  </si>
  <si>
    <t>22/10/2023 09:30</t>
  </si>
  <si>
    <t>22/10/2023 09:45</t>
  </si>
  <si>
    <t>22/10/2023 10:00</t>
  </si>
  <si>
    <t>22/10/2023 10:15</t>
  </si>
  <si>
    <t>22/10/2023 10:30</t>
  </si>
  <si>
    <t>22/10/2023 10:45</t>
  </si>
  <si>
    <t>22/10/2023 11:00</t>
  </si>
  <si>
    <t>22/10/2023 11:15</t>
  </si>
  <si>
    <t>22/10/2023 11:30</t>
  </si>
  <si>
    <t>22/10/2023 11:45</t>
  </si>
  <si>
    <t>22/10/2023 12:00</t>
  </si>
  <si>
    <t>22/10/2023 12:15</t>
  </si>
  <si>
    <t>22/10/2023 12:30</t>
  </si>
  <si>
    <t>22/10/2023 12:45</t>
  </si>
  <si>
    <t>22/10/2023 13:00</t>
  </si>
  <si>
    <t>22/10/2023 13:15</t>
  </si>
  <si>
    <t>22/10/2023 13:30</t>
  </si>
  <si>
    <t>22/10/2023 13:45</t>
  </si>
  <si>
    <t>22/10/2023 14:00</t>
  </si>
  <si>
    <t>22/10/2023 14:15</t>
  </si>
  <si>
    <t>22/10/2023 14:30</t>
  </si>
  <si>
    <t>22/10/2023 14:45</t>
  </si>
  <si>
    <t>22/10/2023 15:00</t>
  </si>
  <si>
    <t>22/10/2023 15:15</t>
  </si>
  <si>
    <t>22/10/2023 15:30</t>
  </si>
  <si>
    <t>22/10/2023 15:45</t>
  </si>
  <si>
    <t>22/10/2023 16:00</t>
  </si>
  <si>
    <t>22/10/2023 16:15</t>
  </si>
  <si>
    <t>22/10/2023 16:30</t>
  </si>
  <si>
    <t>22/10/2023 16:45</t>
  </si>
  <si>
    <t>22/10/2023 17:00</t>
  </si>
  <si>
    <t>22/10/2023 17:15</t>
  </si>
  <si>
    <t>22/10/2023 17:30</t>
  </si>
  <si>
    <t>22/10/2023 17:45</t>
  </si>
  <si>
    <t>22/10/2023 18:00</t>
  </si>
  <si>
    <t>22/10/2023 18:15</t>
  </si>
  <si>
    <t>22/10/2023 18:30</t>
  </si>
  <si>
    <t>22/10/2023 18:45</t>
  </si>
  <si>
    <t>22/10/2023 19:00</t>
  </si>
  <si>
    <t>22/10/2023 19:15</t>
  </si>
  <si>
    <t>22/10/2023 19:30</t>
  </si>
  <si>
    <t>22/10/2023 19:45</t>
  </si>
  <si>
    <t>22/10/2023 20:00</t>
  </si>
  <si>
    <t>22/10/2023 20:15</t>
  </si>
  <si>
    <t>22/10/2023 20:30</t>
  </si>
  <si>
    <t>22/10/2023 20:45</t>
  </si>
  <si>
    <t>22/10/2023 21:00</t>
  </si>
  <si>
    <t>22/10/2023 21:15</t>
  </si>
  <si>
    <t>22/10/2023 21:30</t>
  </si>
  <si>
    <t>22/10/2023 21:45</t>
  </si>
  <si>
    <t>22/10/2023 22:00</t>
  </si>
  <si>
    <t>22/10/2023 22:15</t>
  </si>
  <si>
    <t>22/10/2023 22:30</t>
  </si>
  <si>
    <t>22/10/2023 22:45</t>
  </si>
  <si>
    <t>22/10/2023 23:00</t>
  </si>
  <si>
    <t>22/10/2023 23:15</t>
  </si>
  <si>
    <t>22/10/2023 23:30</t>
  </si>
  <si>
    <t>22/10/2023 23:45</t>
  </si>
  <si>
    <t>22/10/2023 24:00</t>
  </si>
  <si>
    <t>23/10/2023 00:15</t>
  </si>
  <si>
    <t>23/10/2023 00:30</t>
  </si>
  <si>
    <t>23/10/2023 00:45</t>
  </si>
  <si>
    <t>23/10/2023 01:00</t>
  </si>
  <si>
    <t>23/10/2023 01:15</t>
  </si>
  <si>
    <t>23/10/2023 01:30</t>
  </si>
  <si>
    <t>23/10/2023 01:45</t>
  </si>
  <si>
    <t>23/10/2023 02:00</t>
  </si>
  <si>
    <t>23/10/2023 02:15</t>
  </si>
  <si>
    <t>23/10/2023 02:30</t>
  </si>
  <si>
    <t>23/10/2023 02:45</t>
  </si>
  <si>
    <t>23/10/2023 03:00</t>
  </si>
  <si>
    <t>23/10/2023 03:15</t>
  </si>
  <si>
    <t>23/10/2023 03:30</t>
  </si>
  <si>
    <t>23/10/2023 03:45</t>
  </si>
  <si>
    <t>23/10/2023 04:00</t>
  </si>
  <si>
    <t>23/10/2023 04:15</t>
  </si>
  <si>
    <t>23/10/2023 04:30</t>
  </si>
  <si>
    <t>23/10/2023 04:45</t>
  </si>
  <si>
    <t>23/10/2023 05:00</t>
  </si>
  <si>
    <t>23/10/2023 05:15</t>
  </si>
  <si>
    <t>23/10/2023 05:30</t>
  </si>
  <si>
    <t>23/10/2023 05:45</t>
  </si>
  <si>
    <t>23/10/2023 06:00</t>
  </si>
  <si>
    <t>23/10/2023 06:15</t>
  </si>
  <si>
    <t>23/10/2023 06:30</t>
  </si>
  <si>
    <t>23/10/2023 06:45</t>
  </si>
  <si>
    <t>23/10/2023 07:00</t>
  </si>
  <si>
    <t>23/10/2023 07:15</t>
  </si>
  <si>
    <t>23/10/2023 07:30</t>
  </si>
  <si>
    <t>23/10/2023 07:45</t>
  </si>
  <si>
    <t>23/10/2023 08:00</t>
  </si>
  <si>
    <t>23/10/2023 08:15</t>
  </si>
  <si>
    <t>23/10/2023 08:30</t>
  </si>
  <si>
    <t>23/10/2023 08:45</t>
  </si>
  <si>
    <t>23/10/2023 09:00</t>
  </si>
  <si>
    <t>23/10/2023 09:15</t>
  </si>
  <si>
    <t>23/10/2023 09:30</t>
  </si>
  <si>
    <t>23/10/2023 09:45</t>
  </si>
  <si>
    <t>23/10/2023 10:00</t>
  </si>
  <si>
    <t>23/10/2023 10:15</t>
  </si>
  <si>
    <t>23/10/2023 10:30</t>
  </si>
  <si>
    <t>23/10/2023 10:45</t>
  </si>
  <si>
    <t>23/10/2023 11:00</t>
  </si>
  <si>
    <t>23/10/2023 11:15</t>
  </si>
  <si>
    <t>23/10/2023 11:30</t>
  </si>
  <si>
    <t>23/10/2023 11:45</t>
  </si>
  <si>
    <t>23/10/2023 12:00</t>
  </si>
  <si>
    <t>23/10/2023 12:15</t>
  </si>
  <si>
    <t>23/10/2023 12:30</t>
  </si>
  <si>
    <t>23/10/2023 12:45</t>
  </si>
  <si>
    <t>23/10/2023 13:00</t>
  </si>
  <si>
    <t>23/10/2023 13:15</t>
  </si>
  <si>
    <t>23/10/2023 13:30</t>
  </si>
  <si>
    <t>23/10/2023 13:45</t>
  </si>
  <si>
    <t>23/10/2023 14:00</t>
  </si>
  <si>
    <t>23/10/2023 14:15</t>
  </si>
  <si>
    <t>23/10/2023 14:30</t>
  </si>
  <si>
    <t>23/10/2023 14:45</t>
  </si>
  <si>
    <t>23/10/2023 15:00</t>
  </si>
  <si>
    <t>23/10/2023 15:15</t>
  </si>
  <si>
    <t>23/10/2023 15:30</t>
  </si>
  <si>
    <t>23/10/2023 15:45</t>
  </si>
  <si>
    <t>23/10/2023 16:00</t>
  </si>
  <si>
    <t>23/10/2023 16:15</t>
  </si>
  <si>
    <t>23/10/2023 16:30</t>
  </si>
  <si>
    <t>23/10/2023 16:45</t>
  </si>
  <si>
    <t>23/10/2023 17:00</t>
  </si>
  <si>
    <t>23/10/2023 17:15</t>
  </si>
  <si>
    <t>23/10/2023 17:30</t>
  </si>
  <si>
    <t>23/10/2023 17:45</t>
  </si>
  <si>
    <t>23/10/2023 18:00</t>
  </si>
  <si>
    <t>23/10/2023 18:15</t>
  </si>
  <si>
    <t>23/10/2023 18:30</t>
  </si>
  <si>
    <t>23/10/2023 18:45</t>
  </si>
  <si>
    <t>23/10/2023 19:00</t>
  </si>
  <si>
    <t>23/10/2023 19:15</t>
  </si>
  <si>
    <t>23/10/2023 19:30</t>
  </si>
  <si>
    <t>23/10/2023 19:45</t>
  </si>
  <si>
    <t>23/10/2023 20:00</t>
  </si>
  <si>
    <t>23/10/2023 20:15</t>
  </si>
  <si>
    <t>23/10/2023 20:30</t>
  </si>
  <si>
    <t>23/10/2023 20:45</t>
  </si>
  <si>
    <t>23/10/2023 21:00</t>
  </si>
  <si>
    <t>23/10/2023 21:15</t>
  </si>
  <si>
    <t>23/10/2023 21:30</t>
  </si>
  <si>
    <t>23/10/2023 21:45</t>
  </si>
  <si>
    <t>23/10/2023 22:00</t>
  </si>
  <si>
    <t>23/10/2023 22:15</t>
  </si>
  <si>
    <t>23/10/2023 22:30</t>
  </si>
  <si>
    <t>23/10/2023 22:45</t>
  </si>
  <si>
    <t>23/10/2023 23:00</t>
  </si>
  <si>
    <t>23/10/2023 23:15</t>
  </si>
  <si>
    <t>23/10/2023 23:30</t>
  </si>
  <si>
    <t>23/10/2023 23:45</t>
  </si>
  <si>
    <t>23/10/2023 24:00</t>
  </si>
  <si>
    <t>24/10/2023 00:15</t>
  </si>
  <si>
    <t>24/10/2023 00:30</t>
  </si>
  <si>
    <t>24/10/2023 00:45</t>
  </si>
  <si>
    <t>24/10/2023 01:00</t>
  </si>
  <si>
    <t>24/10/2023 01:15</t>
  </si>
  <si>
    <t>24/10/2023 01:30</t>
  </si>
  <si>
    <t>24/10/2023 01:45</t>
  </si>
  <si>
    <t>24/10/2023 02:00</t>
  </si>
  <si>
    <t>24/10/2023 02:15</t>
  </si>
  <si>
    <t>24/10/2023 02:30</t>
  </si>
  <si>
    <t>24/10/2023 02:45</t>
  </si>
  <si>
    <t>24/10/2023 03:00</t>
  </si>
  <si>
    <t>24/10/2023 03:15</t>
  </si>
  <si>
    <t>24/10/2023 03:30</t>
  </si>
  <si>
    <t>24/10/2023 03:45</t>
  </si>
  <si>
    <t>24/10/2023 04:00</t>
  </si>
  <si>
    <t>24/10/2023 04:15</t>
  </si>
  <si>
    <t>24/10/2023 04:30</t>
  </si>
  <si>
    <t>24/10/2023 04:45</t>
  </si>
  <si>
    <t>24/10/2023 05:00</t>
  </si>
  <si>
    <t>24/10/2023 05:15</t>
  </si>
  <si>
    <t>24/10/2023 05:30</t>
  </si>
  <si>
    <t>24/10/2023 05:45</t>
  </si>
  <si>
    <t>24/10/2023 06:00</t>
  </si>
  <si>
    <t>24/10/2023 06:15</t>
  </si>
  <si>
    <t>24/10/2023 06:30</t>
  </si>
  <si>
    <t>24/10/2023 06:45</t>
  </si>
  <si>
    <t>24/10/2023 07:00</t>
  </si>
  <si>
    <t>24/10/2023 07:15</t>
  </si>
  <si>
    <t>24/10/2023 07:30</t>
  </si>
  <si>
    <t>24/10/2023 07:45</t>
  </si>
  <si>
    <t>24/10/2023 08:00</t>
  </si>
  <si>
    <t>24/10/2023 08:15</t>
  </si>
  <si>
    <t>24/10/2023 08:30</t>
  </si>
  <si>
    <t>24/10/2023 08:45</t>
  </si>
  <si>
    <t>24/10/2023 09:00</t>
  </si>
  <si>
    <t>24/10/2023 09:15</t>
  </si>
  <si>
    <t>24/10/2023 09:30</t>
  </si>
  <si>
    <t>24/10/2023 09:45</t>
  </si>
  <si>
    <t>24/10/2023 10:00</t>
  </si>
  <si>
    <t>24/10/2023 10:15</t>
  </si>
  <si>
    <t>24/10/2023 10:30</t>
  </si>
  <si>
    <t>24/10/2023 10:45</t>
  </si>
  <si>
    <t>24/10/2023 11:00</t>
  </si>
  <si>
    <t>24/10/2023 11:15</t>
  </si>
  <si>
    <t>24/10/2023 11:30</t>
  </si>
  <si>
    <t>24/10/2023 11:45</t>
  </si>
  <si>
    <t>24/10/2023 12:00</t>
  </si>
  <si>
    <t>24/10/2023 12:15</t>
  </si>
  <si>
    <t>24/10/2023 12:30</t>
  </si>
  <si>
    <t>24/10/2023 12:45</t>
  </si>
  <si>
    <t>24/10/2023 13:00</t>
  </si>
  <si>
    <t>24/10/2023 13:15</t>
  </si>
  <si>
    <t>24/10/2023 13:30</t>
  </si>
  <si>
    <t>24/10/2023 13:45</t>
  </si>
  <si>
    <t>24/10/2023 14:00</t>
  </si>
  <si>
    <t>24/10/2023 14:15</t>
  </si>
  <si>
    <t>24/10/2023 14:30</t>
  </si>
  <si>
    <t>24/10/2023 14:45</t>
  </si>
  <si>
    <t>24/10/2023 15:00</t>
  </si>
  <si>
    <t>24/10/2023 15:15</t>
  </si>
  <si>
    <t>24/10/2023 15:30</t>
  </si>
  <si>
    <t>24/10/2023 15:45</t>
  </si>
  <si>
    <t>24/10/2023 16:00</t>
  </si>
  <si>
    <t>24/10/2023 16:15</t>
  </si>
  <si>
    <t>24/10/2023 16:30</t>
  </si>
  <si>
    <t>24/10/2023 16:45</t>
  </si>
  <si>
    <t>24/10/2023 17:00</t>
  </si>
  <si>
    <t>24/10/2023 17:15</t>
  </si>
  <si>
    <t>24/10/2023 17:30</t>
  </si>
  <si>
    <t>24/10/2023 17:45</t>
  </si>
  <si>
    <t>24/10/2023 18:00</t>
  </si>
  <si>
    <t>24/10/2023 18:15</t>
  </si>
  <si>
    <t>24/10/2023 18:30</t>
  </si>
  <si>
    <t>24/10/2023 18:45</t>
  </si>
  <si>
    <t>24/10/2023 19:00</t>
  </si>
  <si>
    <t>24/10/2023 19:15</t>
  </si>
  <si>
    <t>24/10/2023 19:30</t>
  </si>
  <si>
    <t>24/10/2023 19:45</t>
  </si>
  <si>
    <t>24/10/2023 20:00</t>
  </si>
  <si>
    <t>24/10/2023 20:15</t>
  </si>
  <si>
    <t>24/10/2023 20:30</t>
  </si>
  <si>
    <t>24/10/2023 20:45</t>
  </si>
  <si>
    <t>24/10/2023 21:00</t>
  </si>
  <si>
    <t>24/10/2023 21:15</t>
  </si>
  <si>
    <t>24/10/2023 21:30</t>
  </si>
  <si>
    <t>24/10/2023 21:45</t>
  </si>
  <si>
    <t>24/10/2023 22:00</t>
  </si>
  <si>
    <t>24/10/2023 22:15</t>
  </si>
  <si>
    <t>24/10/2023 22:30</t>
  </si>
  <si>
    <t>24/10/2023 22:45</t>
  </si>
  <si>
    <t>24/10/2023 23:00</t>
  </si>
  <si>
    <t>24/10/2023 23:15</t>
  </si>
  <si>
    <t>24/10/2023 23:30</t>
  </si>
  <si>
    <t>24/10/2023 23:45</t>
  </si>
  <si>
    <t>24/10/2023 24:00</t>
  </si>
  <si>
    <t>25/10/2023 00:15</t>
  </si>
  <si>
    <t>25/10/2023 00:30</t>
  </si>
  <si>
    <t>25/10/2023 00:45</t>
  </si>
  <si>
    <t>25/10/2023 01:00</t>
  </si>
  <si>
    <t>25/10/2023 01:15</t>
  </si>
  <si>
    <t>25/10/2023 01:30</t>
  </si>
  <si>
    <t>25/10/2023 01:45</t>
  </si>
  <si>
    <t>25/10/2023 02:00</t>
  </si>
  <si>
    <t>25/10/2023 02:15</t>
  </si>
  <si>
    <t>25/10/2023 02:30</t>
  </si>
  <si>
    <t>25/10/2023 02:45</t>
  </si>
  <si>
    <t>25/10/2023 03:00</t>
  </si>
  <si>
    <t>25/10/2023 03:15</t>
  </si>
  <si>
    <t>25/10/2023 03:30</t>
  </si>
  <si>
    <t>25/10/2023 03:45</t>
  </si>
  <si>
    <t>25/10/2023 04:00</t>
  </si>
  <si>
    <t>25/10/2023 04:15</t>
  </si>
  <si>
    <t>25/10/2023 04:30</t>
  </si>
  <si>
    <t>25/10/2023 04:45</t>
  </si>
  <si>
    <t>25/10/2023 05:00</t>
  </si>
  <si>
    <t>25/10/2023 05:15</t>
  </si>
  <si>
    <t>25/10/2023 05:30</t>
  </si>
  <si>
    <t>25/10/2023 05:45</t>
  </si>
  <si>
    <t>25/10/2023 06:00</t>
  </si>
  <si>
    <t>25/10/2023 06:15</t>
  </si>
  <si>
    <t>25/10/2023 06:30</t>
  </si>
  <si>
    <t>25/10/2023 06:45</t>
  </si>
  <si>
    <t>25/10/2023 07:00</t>
  </si>
  <si>
    <t>25/10/2023 07:15</t>
  </si>
  <si>
    <t>25/10/2023 07:30</t>
  </si>
  <si>
    <t>25/10/2023 07:45</t>
  </si>
  <si>
    <t>25/10/2023 08:00</t>
  </si>
  <si>
    <t>25/10/2023 08:15</t>
  </si>
  <si>
    <t>25/10/2023 08:30</t>
  </si>
  <si>
    <t>25/10/2023 08:45</t>
  </si>
  <si>
    <t>25/10/2023 09:00</t>
  </si>
  <si>
    <t>25/10/2023 09:15</t>
  </si>
  <si>
    <t>25/10/2023 09:30</t>
  </si>
  <si>
    <t>25/10/2023 09:45</t>
  </si>
  <si>
    <t>25/10/2023 10:00</t>
  </si>
  <si>
    <t>25/10/2023 10:15</t>
  </si>
  <si>
    <t>25/10/2023 10:30</t>
  </si>
  <si>
    <t>25/10/2023 10:45</t>
  </si>
  <si>
    <t>25/10/2023 11:00</t>
  </si>
  <si>
    <t>25/10/2023 11:15</t>
  </si>
  <si>
    <t>25/10/2023 11:30</t>
  </si>
  <si>
    <t>25/10/2023 11:45</t>
  </si>
  <si>
    <t>25/10/2023 12:00</t>
  </si>
  <si>
    <t>25/10/2023 12:15</t>
  </si>
  <si>
    <t>25/10/2023 12:30</t>
  </si>
  <si>
    <t>25/10/2023 12:45</t>
  </si>
  <si>
    <t>25/10/2023 13:00</t>
  </si>
  <si>
    <t>25/10/2023 13:15</t>
  </si>
  <si>
    <t>25/10/2023 13:30</t>
  </si>
  <si>
    <t>25/10/2023 13:45</t>
  </si>
  <si>
    <t>25/10/2023 14:00</t>
  </si>
  <si>
    <t>25/10/2023 14:15</t>
  </si>
  <si>
    <t>25/10/2023 14:30</t>
  </si>
  <si>
    <t>25/10/2023 14:45</t>
  </si>
  <si>
    <t>25/10/2023 15:00</t>
  </si>
  <si>
    <t>25/10/2023 15:15</t>
  </si>
  <si>
    <t>25/10/2023 15:30</t>
  </si>
  <si>
    <t>25/10/2023 15:45</t>
  </si>
  <si>
    <t>25/10/2023 16:00</t>
  </si>
  <si>
    <t>25/10/2023 16:15</t>
  </si>
  <si>
    <t>25/10/2023 16:30</t>
  </si>
  <si>
    <t>25/10/2023 16:45</t>
  </si>
  <si>
    <t>25/10/2023 17:00</t>
  </si>
  <si>
    <t>25/10/2023 17:15</t>
  </si>
  <si>
    <t>25/10/2023 17:30</t>
  </si>
  <si>
    <t>25/10/2023 17:45</t>
  </si>
  <si>
    <t>25/10/2023 18:00</t>
  </si>
  <si>
    <t>25/10/2023 18:15</t>
  </si>
  <si>
    <t>25/10/2023 18:30</t>
  </si>
  <si>
    <t>25/10/2023 18:45</t>
  </si>
  <si>
    <t>25/10/2023 19:00</t>
  </si>
  <si>
    <t>25/10/2023 19:15</t>
  </si>
  <si>
    <t>25/10/2023 19:30</t>
  </si>
  <si>
    <t>25/10/2023 19:45</t>
  </si>
  <si>
    <t>25/10/2023 20:00</t>
  </si>
  <si>
    <t>25/10/2023 20:15</t>
  </si>
  <si>
    <t>25/10/2023 20:30</t>
  </si>
  <si>
    <t>25/10/2023 20:45</t>
  </si>
  <si>
    <t>25/10/2023 21:00</t>
  </si>
  <si>
    <t>25/10/2023 21:15</t>
  </si>
  <si>
    <t>25/10/2023 21:30</t>
  </si>
  <si>
    <t>25/10/2023 21:45</t>
  </si>
  <si>
    <t>25/10/2023 22:00</t>
  </si>
  <si>
    <t>25/10/2023 22:15</t>
  </si>
  <si>
    <t>25/10/2023 22:30</t>
  </si>
  <si>
    <t>25/10/2023 22:45</t>
  </si>
  <si>
    <t>25/10/2023 23:00</t>
  </si>
  <si>
    <t>25/10/2023 23:15</t>
  </si>
  <si>
    <t>25/10/2023 23:30</t>
  </si>
  <si>
    <t>25/10/2023 23:45</t>
  </si>
  <si>
    <t>25/10/2023 24:00</t>
  </si>
  <si>
    <t>26/10/2023 00:15</t>
  </si>
  <si>
    <t>26/10/2023 00:30</t>
  </si>
  <si>
    <t>26/10/2023 00:45</t>
  </si>
  <si>
    <t>26/10/2023 01:00</t>
  </si>
  <si>
    <t>26/10/2023 01:15</t>
  </si>
  <si>
    <t>26/10/2023 01:30</t>
  </si>
  <si>
    <t>26/10/2023 01:45</t>
  </si>
  <si>
    <t>26/10/2023 02:00</t>
  </si>
  <si>
    <t>26/10/2023 02:15</t>
  </si>
  <si>
    <t>26/10/2023 02:30</t>
  </si>
  <si>
    <t>26/10/2023 02:45</t>
  </si>
  <si>
    <t>26/10/2023 03:00</t>
  </si>
  <si>
    <t>26/10/2023 03:15</t>
  </si>
  <si>
    <t>26/10/2023 03:30</t>
  </si>
  <si>
    <t>26/10/2023 03:45</t>
  </si>
  <si>
    <t>26/10/2023 04:00</t>
  </si>
  <si>
    <t>26/10/2023 04:15</t>
  </si>
  <si>
    <t>26/10/2023 04:30</t>
  </si>
  <si>
    <t>26/10/2023 04:45</t>
  </si>
  <si>
    <t>26/10/2023 05:00</t>
  </si>
  <si>
    <t>26/10/2023 05:15</t>
  </si>
  <si>
    <t>26/10/2023 05:30</t>
  </si>
  <si>
    <t>26/10/2023 05:45</t>
  </si>
  <si>
    <t>26/10/2023 06:00</t>
  </si>
  <si>
    <t>26/10/2023 06:15</t>
  </si>
  <si>
    <t>26/10/2023 06:30</t>
  </si>
  <si>
    <t>26/10/2023 06:45</t>
  </si>
  <si>
    <t>26/10/2023 07:00</t>
  </si>
  <si>
    <t>26/10/2023 07:15</t>
  </si>
  <si>
    <t>26/10/2023 07:30</t>
  </si>
  <si>
    <t>26/10/2023 07:45</t>
  </si>
  <si>
    <t>26/10/2023 08:00</t>
  </si>
  <si>
    <t>26/10/2023 08:15</t>
  </si>
  <si>
    <t>26/10/2023 08:30</t>
  </si>
  <si>
    <t>26/10/2023 08:45</t>
  </si>
  <si>
    <t>26/10/2023 09:00</t>
  </si>
  <si>
    <t>26/10/2023 09:15</t>
  </si>
  <si>
    <t>26/10/2023 09:30</t>
  </si>
  <si>
    <t>26/10/2023 09:45</t>
  </si>
  <si>
    <t>26/10/2023 10:00</t>
  </si>
  <si>
    <t>26/10/2023 10:15</t>
  </si>
  <si>
    <t>26/10/2023 10:30</t>
  </si>
  <si>
    <t>26/10/2023 10:45</t>
  </si>
  <si>
    <t>26/10/2023 11:00</t>
  </si>
  <si>
    <t>26/10/2023 11:15</t>
  </si>
  <si>
    <t>26/10/2023 11:30</t>
  </si>
  <si>
    <t>26/10/2023 11:45</t>
  </si>
  <si>
    <t>26/10/2023 12:00</t>
  </si>
  <si>
    <t>26/10/2023 12:15</t>
  </si>
  <si>
    <t>26/10/2023 12:30</t>
  </si>
  <si>
    <t>26/10/2023 12:45</t>
  </si>
  <si>
    <t>26/10/2023 13:00</t>
  </si>
  <si>
    <t>26/10/2023 13:15</t>
  </si>
  <si>
    <t>26/10/2023 13:30</t>
  </si>
  <si>
    <t>26/10/2023 13:45</t>
  </si>
  <si>
    <t>26/10/2023 14:00</t>
  </si>
  <si>
    <t>26/10/2023 14:15</t>
  </si>
  <si>
    <t>26/10/2023 14:30</t>
  </si>
  <si>
    <t>26/10/2023 14:45</t>
  </si>
  <si>
    <t>26/10/2023 15:00</t>
  </si>
  <si>
    <t>26/10/2023 15:15</t>
  </si>
  <si>
    <t>26/10/2023 15:30</t>
  </si>
  <si>
    <t>26/10/2023 15:45</t>
  </si>
  <si>
    <t>26/10/2023 16:00</t>
  </si>
  <si>
    <t>26/10/2023 16:15</t>
  </si>
  <si>
    <t>26/10/2023 16:30</t>
  </si>
  <si>
    <t>26/10/2023 16:45</t>
  </si>
  <si>
    <t>26/10/2023 17:00</t>
  </si>
  <si>
    <t>26/10/2023 17:15</t>
  </si>
  <si>
    <t>26/10/2023 17:30</t>
  </si>
  <si>
    <t>26/10/2023 17:45</t>
  </si>
  <si>
    <t>26/10/2023 18:00</t>
  </si>
  <si>
    <t>26/10/2023 18:15</t>
  </si>
  <si>
    <t>26/10/2023 18:30</t>
  </si>
  <si>
    <t>26/10/2023 18:45</t>
  </si>
  <si>
    <t>26/10/2023 19:00</t>
  </si>
  <si>
    <t>26/10/2023 19:15</t>
  </si>
  <si>
    <t>26/10/2023 19:30</t>
  </si>
  <si>
    <t>26/10/2023 19:45</t>
  </si>
  <si>
    <t>26/10/2023 20:00</t>
  </si>
  <si>
    <t>26/10/2023 20:15</t>
  </si>
  <si>
    <t>26/10/2023 20:30</t>
  </si>
  <si>
    <t>26/10/2023 20:45</t>
  </si>
  <si>
    <t>26/10/2023 21:00</t>
  </si>
  <si>
    <t>26/10/2023 21:15</t>
  </si>
  <si>
    <t>26/10/2023 21:30</t>
  </si>
  <si>
    <t>26/10/2023 21:45</t>
  </si>
  <si>
    <t>26/10/2023 22:00</t>
  </si>
  <si>
    <t>26/10/2023 22:15</t>
  </si>
  <si>
    <t>26/10/2023 22:30</t>
  </si>
  <si>
    <t>26/10/2023 22:45</t>
  </si>
  <si>
    <t>26/10/2023 23:00</t>
  </si>
  <si>
    <t>26/10/2023 23:15</t>
  </si>
  <si>
    <t>26/10/2023 23:30</t>
  </si>
  <si>
    <t>26/10/2023 23:45</t>
  </si>
  <si>
    <t>26/10/2023 24:00</t>
  </si>
  <si>
    <t>27/10/2023 00:15</t>
  </si>
  <si>
    <t>27/10/2023 00:30</t>
  </si>
  <si>
    <t>27/10/2023 00:45</t>
  </si>
  <si>
    <t>27/10/2023 01:00</t>
  </si>
  <si>
    <t>27/10/2023 01:15</t>
  </si>
  <si>
    <t>27/10/2023 01:30</t>
  </si>
  <si>
    <t>27/10/2023 01:45</t>
  </si>
  <si>
    <t>27/10/2023 02:00</t>
  </si>
  <si>
    <t>27/10/2023 02:15</t>
  </si>
  <si>
    <t>27/10/2023 02:30</t>
  </si>
  <si>
    <t>27/10/2023 02:45</t>
  </si>
  <si>
    <t>27/10/2023 03:00</t>
  </si>
  <si>
    <t>27/10/2023 03:15</t>
  </si>
  <si>
    <t>27/10/2023 03:30</t>
  </si>
  <si>
    <t>27/10/2023 03:45</t>
  </si>
  <si>
    <t>27/10/2023 04:00</t>
  </si>
  <si>
    <t>27/10/2023 04:15</t>
  </si>
  <si>
    <t>27/10/2023 04:30</t>
  </si>
  <si>
    <t>27/10/2023 04:45</t>
  </si>
  <si>
    <t>27/10/2023 05:00</t>
  </si>
  <si>
    <t>27/10/2023 05:15</t>
  </si>
  <si>
    <t>27/10/2023 05:30</t>
  </si>
  <si>
    <t>27/10/2023 05:45</t>
  </si>
  <si>
    <t>27/10/2023 06:00</t>
  </si>
  <si>
    <t>27/10/2023 06:15</t>
  </si>
  <si>
    <t>27/10/2023 06:30</t>
  </si>
  <si>
    <t>27/10/2023 06:45</t>
  </si>
  <si>
    <t>27/10/2023 07:00</t>
  </si>
  <si>
    <t>27/10/2023 07:15</t>
  </si>
  <si>
    <t>27/10/2023 07:30</t>
  </si>
  <si>
    <t>27/10/2023 07:45</t>
  </si>
  <si>
    <t>27/10/2023 08:00</t>
  </si>
  <si>
    <t>27/10/2023 08:15</t>
  </si>
  <si>
    <t>27/10/2023 08:30</t>
  </si>
  <si>
    <t>27/10/2023 08:45</t>
  </si>
  <si>
    <t>27/10/2023 09:00</t>
  </si>
  <si>
    <t>27/10/2023 09:15</t>
  </si>
  <si>
    <t>27/10/2023 09:30</t>
  </si>
  <si>
    <t>27/10/2023 09:45</t>
  </si>
  <si>
    <t>27/10/2023 10:00</t>
  </si>
  <si>
    <t>27/10/2023 10:15</t>
  </si>
  <si>
    <t>27/10/2023 10:30</t>
  </si>
  <si>
    <t>27/10/2023 10:45</t>
  </si>
  <si>
    <t>27/10/2023 11:00</t>
  </si>
  <si>
    <t>27/10/2023 11:15</t>
  </si>
  <si>
    <t>27/10/2023 11:30</t>
  </si>
  <si>
    <t>27/10/2023 11:45</t>
  </si>
  <si>
    <t>27/10/2023 12:00</t>
  </si>
  <si>
    <t>27/10/2023 12:15</t>
  </si>
  <si>
    <t>27/10/2023 12:30</t>
  </si>
  <si>
    <t>27/10/2023 12:45</t>
  </si>
  <si>
    <t>27/10/2023 13:00</t>
  </si>
  <si>
    <t>27/10/2023 13:15</t>
  </si>
  <si>
    <t>27/10/2023 13:30</t>
  </si>
  <si>
    <t>27/10/2023 13:45</t>
  </si>
  <si>
    <t>27/10/2023 14:00</t>
  </si>
  <si>
    <t>27/10/2023 14:15</t>
  </si>
  <si>
    <t>27/10/2023 14:30</t>
  </si>
  <si>
    <t>27/10/2023 14:45</t>
  </si>
  <si>
    <t>27/10/2023 15:00</t>
  </si>
  <si>
    <t>27/10/2023 15:15</t>
  </si>
  <si>
    <t>27/10/2023 15:30</t>
  </si>
  <si>
    <t>27/10/2023 15:45</t>
  </si>
  <si>
    <t>27/10/2023 16:00</t>
  </si>
  <si>
    <t>27/10/2023 16:15</t>
  </si>
  <si>
    <t>27/10/2023 16:30</t>
  </si>
  <si>
    <t>27/10/2023 16:45</t>
  </si>
  <si>
    <t>27/10/2023 17:00</t>
  </si>
  <si>
    <t>27/10/2023 17:15</t>
  </si>
  <si>
    <t>27/10/2023 17:30</t>
  </si>
  <si>
    <t>27/10/2023 17:45</t>
  </si>
  <si>
    <t>27/10/2023 18:00</t>
  </si>
  <si>
    <t>27/10/2023 18:15</t>
  </si>
  <si>
    <t>27/10/2023 18:30</t>
  </si>
  <si>
    <t>27/10/2023 18:45</t>
  </si>
  <si>
    <t>27/10/2023 19:00</t>
  </si>
  <si>
    <t>27/10/2023 19:15</t>
  </si>
  <si>
    <t>27/10/2023 19:30</t>
  </si>
  <si>
    <t>27/10/2023 19:45</t>
  </si>
  <si>
    <t>27/10/2023 20:00</t>
  </si>
  <si>
    <t>27/10/2023 20:15</t>
  </si>
  <si>
    <t>27/10/2023 20:30</t>
  </si>
  <si>
    <t>27/10/2023 20:45</t>
  </si>
  <si>
    <t>27/10/2023 21:00</t>
  </si>
  <si>
    <t>27/10/2023 21:15</t>
  </si>
  <si>
    <t>27/10/2023 21:30</t>
  </si>
  <si>
    <t>27/10/2023 21:45</t>
  </si>
  <si>
    <t>27/10/2023 22:00</t>
  </si>
  <si>
    <t>27/10/2023 22:15</t>
  </si>
  <si>
    <t>27/10/2023 22:30</t>
  </si>
  <si>
    <t>27/10/2023 22:45</t>
  </si>
  <si>
    <t>27/10/2023 23:00</t>
  </si>
  <si>
    <t>27/10/2023 23:15</t>
  </si>
  <si>
    <t>27/10/2023 23:30</t>
  </si>
  <si>
    <t>27/10/2023 23:45</t>
  </si>
  <si>
    <t>27/10/2023 24:00</t>
  </si>
  <si>
    <t>28/10/2023 00:15</t>
  </si>
  <si>
    <t>28/10/2023 00:30</t>
  </si>
  <si>
    <t>28/10/2023 00:45</t>
  </si>
  <si>
    <t>28/10/2023 01:00</t>
  </si>
  <si>
    <t>28/10/2023 01:15</t>
  </si>
  <si>
    <t>28/10/2023 01:30</t>
  </si>
  <si>
    <t>28/10/2023 01:45</t>
  </si>
  <si>
    <t>28/10/2023 02:00</t>
  </si>
  <si>
    <t>28/10/2023 02:15</t>
  </si>
  <si>
    <t>28/10/2023 02:30</t>
  </si>
  <si>
    <t>28/10/2023 02:45</t>
  </si>
  <si>
    <t>28/10/2023 03:00</t>
  </si>
  <si>
    <t>28/10/2023 03:15</t>
  </si>
  <si>
    <t>28/10/2023 03:30</t>
  </si>
  <si>
    <t>28/10/2023 03:45</t>
  </si>
  <si>
    <t>28/10/2023 04:00</t>
  </si>
  <si>
    <t>28/10/2023 04:15</t>
  </si>
  <si>
    <t>28/10/2023 04:30</t>
  </si>
  <si>
    <t>28/10/2023 04:45</t>
  </si>
  <si>
    <t>28/10/2023 05:00</t>
  </si>
  <si>
    <t>28/10/2023 05:15</t>
  </si>
  <si>
    <t>28/10/2023 05:30</t>
  </si>
  <si>
    <t>28/10/2023 05:45</t>
  </si>
  <si>
    <t>28/10/2023 06:00</t>
  </si>
  <si>
    <t>28/10/2023 06:15</t>
  </si>
  <si>
    <t>28/10/2023 06:30</t>
  </si>
  <si>
    <t>28/10/2023 06:45</t>
  </si>
  <si>
    <t>28/10/2023 07:00</t>
  </si>
  <si>
    <t>28/10/2023 07:15</t>
  </si>
  <si>
    <t>28/10/2023 07:30</t>
  </si>
  <si>
    <t>28/10/2023 07:45</t>
  </si>
  <si>
    <t>28/10/2023 08:00</t>
  </si>
  <si>
    <t>28/10/2023 08:15</t>
  </si>
  <si>
    <t>28/10/2023 08:30</t>
  </si>
  <si>
    <t>28/10/2023 08:45</t>
  </si>
  <si>
    <t>28/10/2023 09:00</t>
  </si>
  <si>
    <t>28/10/2023 09:15</t>
  </si>
  <si>
    <t>28/10/2023 09:30</t>
  </si>
  <si>
    <t>28/10/2023 09:45</t>
  </si>
  <si>
    <t>28/10/2023 10:00</t>
  </si>
  <si>
    <t>28/10/2023 10:15</t>
  </si>
  <si>
    <t>28/10/2023 10:30</t>
  </si>
  <si>
    <t>28/10/2023 10:45</t>
  </si>
  <si>
    <t>28/10/2023 11:00</t>
  </si>
  <si>
    <t>28/10/2023 11:15</t>
  </si>
  <si>
    <t>28/10/2023 11:30</t>
  </si>
  <si>
    <t>28/10/2023 11:45</t>
  </si>
  <si>
    <t>28/10/2023 12:00</t>
  </si>
  <si>
    <t>28/10/2023 12:15</t>
  </si>
  <si>
    <t>28/10/2023 12:30</t>
  </si>
  <si>
    <t>28/10/2023 12:45</t>
  </si>
  <si>
    <t>28/10/2023 13:00</t>
  </si>
  <si>
    <t>28/10/2023 13:15</t>
  </si>
  <si>
    <t>28/10/2023 13:30</t>
  </si>
  <si>
    <t>28/10/2023 13:45</t>
  </si>
  <si>
    <t>28/10/2023 14:00</t>
  </si>
  <si>
    <t>28/10/2023 14:15</t>
  </si>
  <si>
    <t>28/10/2023 14:30</t>
  </si>
  <si>
    <t>28/10/2023 14:45</t>
  </si>
  <si>
    <t>28/10/2023 15:00</t>
  </si>
  <si>
    <t>28/10/2023 15:15</t>
  </si>
  <si>
    <t>28/10/2023 15:30</t>
  </si>
  <si>
    <t>28/10/2023 15:45</t>
  </si>
  <si>
    <t>28/10/2023 16:00</t>
  </si>
  <si>
    <t>28/10/2023 16:15</t>
  </si>
  <si>
    <t>28/10/2023 16:30</t>
  </si>
  <si>
    <t>28/10/2023 16:45</t>
  </si>
  <si>
    <t>28/10/2023 17:00</t>
  </si>
  <si>
    <t>28/10/2023 17:15</t>
  </si>
  <si>
    <t>28/10/2023 17:30</t>
  </si>
  <si>
    <t>28/10/2023 17:45</t>
  </si>
  <si>
    <t>28/10/2023 18:00</t>
  </si>
  <si>
    <t>28/10/2023 18:15</t>
  </si>
  <si>
    <t>28/10/2023 18:30</t>
  </si>
  <si>
    <t>28/10/2023 18:45</t>
  </si>
  <si>
    <t>28/10/2023 19:00</t>
  </si>
  <si>
    <t>28/10/2023 19:15</t>
  </si>
  <si>
    <t>28/10/2023 19:30</t>
  </si>
  <si>
    <t>28/10/2023 19:45</t>
  </si>
  <si>
    <t>28/10/2023 20:00</t>
  </si>
  <si>
    <t>28/10/2023 20:15</t>
  </si>
  <si>
    <t>28/10/2023 20:30</t>
  </si>
  <si>
    <t>28/10/2023 20:45</t>
  </si>
  <si>
    <t>28/10/2023 21:00</t>
  </si>
  <si>
    <t>28/10/2023 21:15</t>
  </si>
  <si>
    <t>28/10/2023 21:30</t>
  </si>
  <si>
    <t>28/10/2023 21:45</t>
  </si>
  <si>
    <t>28/10/2023 22:00</t>
  </si>
  <si>
    <t>28/10/2023 22:15</t>
  </si>
  <si>
    <t>28/10/2023 22:30</t>
  </si>
  <si>
    <t>28/10/2023 22:45</t>
  </si>
  <si>
    <t>28/10/2023 23:00</t>
  </si>
  <si>
    <t>28/10/2023 23:15</t>
  </si>
  <si>
    <t>28/10/2023 23:30</t>
  </si>
  <si>
    <t>28/10/2023 23:45</t>
  </si>
  <si>
    <t>28/10/2023 24:00</t>
  </si>
  <si>
    <t>29/10/2023 00:15</t>
  </si>
  <si>
    <t>29/10/2023 00:30</t>
  </si>
  <si>
    <t>29/10/2023 00:45</t>
  </si>
  <si>
    <t>29/10/2023 01:00</t>
  </si>
  <si>
    <t>29/10/2023 01:15</t>
  </si>
  <si>
    <t>29/10/2023 01:30</t>
  </si>
  <si>
    <t>29/10/2023 01:45</t>
  </si>
  <si>
    <t>29/10/2023 02:00</t>
  </si>
  <si>
    <t>29/10/2023 02:15</t>
  </si>
  <si>
    <t>29/10/2023 02:30</t>
  </si>
  <si>
    <t>29/10/2023 02:45</t>
  </si>
  <si>
    <t>29/10/2023 03:00</t>
  </si>
  <si>
    <t>29/10/2023 03:15</t>
  </si>
  <si>
    <t>29/10/2023 03:30</t>
  </si>
  <si>
    <t>29/10/2023 03:45</t>
  </si>
  <si>
    <t>29/10/2023 04:00</t>
  </si>
  <si>
    <t>29/10/2023 04:15</t>
  </si>
  <si>
    <t>29/10/2023 04:30</t>
  </si>
  <si>
    <t>29/10/2023 04:45</t>
  </si>
  <si>
    <t>29/10/2023 05:00</t>
  </si>
  <si>
    <t>29/10/2023 05:15</t>
  </si>
  <si>
    <t>29/10/2023 05:30</t>
  </si>
  <si>
    <t>29/10/2023 05:45</t>
  </si>
  <si>
    <t>29/10/2023 06:00</t>
  </si>
  <si>
    <t>29/10/2023 06:15</t>
  </si>
  <si>
    <t>29/10/2023 06:30</t>
  </si>
  <si>
    <t>29/10/2023 06:45</t>
  </si>
  <si>
    <t>29/10/2023 07:00</t>
  </si>
  <si>
    <t>29/10/2023 07:15</t>
  </si>
  <si>
    <t>29/10/2023 07:30</t>
  </si>
  <si>
    <t>29/10/2023 07:45</t>
  </si>
  <si>
    <t>29/10/2023 08:00</t>
  </si>
  <si>
    <t>29/10/2023 08:15</t>
  </si>
  <si>
    <t>29/10/2023 08:30</t>
  </si>
  <si>
    <t>29/10/2023 08:45</t>
  </si>
  <si>
    <t>29/10/2023 09:00</t>
  </si>
  <si>
    <t>29/10/2023 09:15</t>
  </si>
  <si>
    <t>29/10/2023 09:30</t>
  </si>
  <si>
    <t>29/10/2023 09:45</t>
  </si>
  <si>
    <t>29/10/2023 10:00</t>
  </si>
  <si>
    <t>29/10/2023 10:15</t>
  </si>
  <si>
    <t>29/10/2023 10:30</t>
  </si>
  <si>
    <t>29/10/2023 10:45</t>
  </si>
  <si>
    <t>29/10/2023 11:00</t>
  </si>
  <si>
    <t>29/10/2023 11:15</t>
  </si>
  <si>
    <t>29/10/2023 11:30</t>
  </si>
  <si>
    <t>29/10/2023 11:45</t>
  </si>
  <si>
    <t>29/10/2023 12:00</t>
  </si>
  <si>
    <t>29/10/2023 12:15</t>
  </si>
  <si>
    <t>29/10/2023 12:30</t>
  </si>
  <si>
    <t>29/10/2023 12:45</t>
  </si>
  <si>
    <t>29/10/2023 13:00</t>
  </si>
  <si>
    <t>29/10/2023 13:15</t>
  </si>
  <si>
    <t>29/10/2023 13:30</t>
  </si>
  <si>
    <t>29/10/2023 13:45</t>
  </si>
  <si>
    <t>29/10/2023 14:00</t>
  </si>
  <si>
    <t>29/10/2023 14:15</t>
  </si>
  <si>
    <t>29/10/2023 14:30</t>
  </si>
  <si>
    <t>29/10/2023 14:45</t>
  </si>
  <si>
    <t>29/10/2023 15:00</t>
  </si>
  <si>
    <t>29/10/2023 15:15</t>
  </si>
  <si>
    <t>29/10/2023 15:30</t>
  </si>
  <si>
    <t>29/10/2023 15:45</t>
  </si>
  <si>
    <t>29/10/2023 16:00</t>
  </si>
  <si>
    <t>29/10/2023 16:15</t>
  </si>
  <si>
    <t>29/10/2023 16:30</t>
  </si>
  <si>
    <t>29/10/2023 16:45</t>
  </si>
  <si>
    <t>29/10/2023 17:00</t>
  </si>
  <si>
    <t>29/10/2023 17:15</t>
  </si>
  <si>
    <t>29/10/2023 17:30</t>
  </si>
  <si>
    <t>29/10/2023 17:45</t>
  </si>
  <si>
    <t>29/10/2023 18:00</t>
  </si>
  <si>
    <t>29/10/2023 18:15</t>
  </si>
  <si>
    <t>29/10/2023 18:30</t>
  </si>
  <si>
    <t>29/10/2023 18:45</t>
  </si>
  <si>
    <t>29/10/2023 19:00</t>
  </si>
  <si>
    <t>29/10/2023 19:15</t>
  </si>
  <si>
    <t>29/10/2023 19:30</t>
  </si>
  <si>
    <t>29/10/2023 19:45</t>
  </si>
  <si>
    <t>29/10/2023 20:00</t>
  </si>
  <si>
    <t>29/10/2023 20:15</t>
  </si>
  <si>
    <t>29/10/2023 20:30</t>
  </si>
  <si>
    <t>29/10/2023 20:45</t>
  </si>
  <si>
    <t>29/10/2023 21:00</t>
  </si>
  <si>
    <t>29/10/2023 21:15</t>
  </si>
  <si>
    <t>29/10/2023 21:30</t>
  </si>
  <si>
    <t>29/10/2023 21:45</t>
  </si>
  <si>
    <t>29/10/2023 22:00</t>
  </si>
  <si>
    <t>29/10/2023 22:15</t>
  </si>
  <si>
    <t>29/10/2023 22:30</t>
  </si>
  <si>
    <t>29/10/2023 22:45</t>
  </si>
  <si>
    <t>29/10/2023 23:00</t>
  </si>
  <si>
    <t>29/10/2023 23:15</t>
  </si>
  <si>
    <t>29/10/2023 23:30</t>
  </si>
  <si>
    <t>29/10/2023 23:45</t>
  </si>
  <si>
    <t>29/10/2023 24:00</t>
  </si>
  <si>
    <t>30/10/2023 00:15</t>
  </si>
  <si>
    <t>30/10/2023 00:30</t>
  </si>
  <si>
    <t>30/10/2023 00:45</t>
  </si>
  <si>
    <t>30/10/2023 01:00</t>
  </si>
  <si>
    <t>30/10/2023 01:15</t>
  </si>
  <si>
    <t>30/10/2023 01:30</t>
  </si>
  <si>
    <t>30/10/2023 01:45</t>
  </si>
  <si>
    <t>30/10/2023 02:00</t>
  </si>
  <si>
    <t>30/10/2023 02:15</t>
  </si>
  <si>
    <t>30/10/2023 02:30</t>
  </si>
  <si>
    <t>30/10/2023 02:45</t>
  </si>
  <si>
    <t>30/10/2023 03:00</t>
  </si>
  <si>
    <t>30/10/2023 03:15</t>
  </si>
  <si>
    <t>30/10/2023 03:30</t>
  </si>
  <si>
    <t>30/10/2023 03:45</t>
  </si>
  <si>
    <t>30/10/2023 04:00</t>
  </si>
  <si>
    <t>30/10/2023 04:15</t>
  </si>
  <si>
    <t>30/10/2023 04:30</t>
  </si>
  <si>
    <t>30/10/2023 04:45</t>
  </si>
  <si>
    <t>30/10/2023 05:00</t>
  </si>
  <si>
    <t>30/10/2023 05:15</t>
  </si>
  <si>
    <t>30/10/2023 05:30</t>
  </si>
  <si>
    <t>30/10/2023 05:45</t>
  </si>
  <si>
    <t>30/10/2023 06:00</t>
  </si>
  <si>
    <t>30/10/2023 06:15</t>
  </si>
  <si>
    <t>30/10/2023 06:30</t>
  </si>
  <si>
    <t>30/10/2023 06:45</t>
  </si>
  <si>
    <t>30/10/2023 07:00</t>
  </si>
  <si>
    <t>30/10/2023 07:15</t>
  </si>
  <si>
    <t>30/10/2023 07:30</t>
  </si>
  <si>
    <t>30/10/2023 07:45</t>
  </si>
  <si>
    <t>30/10/2023 08:00</t>
  </si>
  <si>
    <t>30/10/2023 08:15</t>
  </si>
  <si>
    <t>30/10/2023 08:30</t>
  </si>
  <si>
    <t>30/10/2023 08:45</t>
  </si>
  <si>
    <t>30/10/2023 09:00</t>
  </si>
  <si>
    <t>30/10/2023 09:15</t>
  </si>
  <si>
    <t>30/10/2023 09:30</t>
  </si>
  <si>
    <t>30/10/2023 09:45</t>
  </si>
  <si>
    <t>30/10/2023 10:00</t>
  </si>
  <si>
    <t>30/10/2023 10:15</t>
  </si>
  <si>
    <t>30/10/2023 10:30</t>
  </si>
  <si>
    <t>30/10/2023 10:45</t>
  </si>
  <si>
    <t>30/10/2023 11:00</t>
  </si>
  <si>
    <t>30/10/2023 11:15</t>
  </si>
  <si>
    <t>30/10/2023 11:30</t>
  </si>
  <si>
    <t>30/10/2023 11:45</t>
  </si>
  <si>
    <t>30/10/2023 12:00</t>
  </si>
  <si>
    <t>30/10/2023 12:15</t>
  </si>
  <si>
    <t>30/10/2023 12:30</t>
  </si>
  <si>
    <t>30/10/2023 12:45</t>
  </si>
  <si>
    <t>30/10/2023 13:00</t>
  </si>
  <si>
    <t>30/10/2023 13:15</t>
  </si>
  <si>
    <t>30/10/2023 13:30</t>
  </si>
  <si>
    <t>30/10/2023 13:45</t>
  </si>
  <si>
    <t>30/10/2023 14:00</t>
  </si>
  <si>
    <t>30/10/2023 14:15</t>
  </si>
  <si>
    <t>30/10/2023 14:30</t>
  </si>
  <si>
    <t>30/10/2023 14:45</t>
  </si>
  <si>
    <t>30/10/2023 15:00</t>
  </si>
  <si>
    <t>30/10/2023 15:15</t>
  </si>
  <si>
    <t>30/10/2023 15:30</t>
  </si>
  <si>
    <t>30/10/2023 15:45</t>
  </si>
  <si>
    <t>30/10/2023 16:00</t>
  </si>
  <si>
    <t>30/10/2023 16:15</t>
  </si>
  <si>
    <t>30/10/2023 16:30</t>
  </si>
  <si>
    <t>30/10/2023 16:45</t>
  </si>
  <si>
    <t>30/10/2023 17:00</t>
  </si>
  <si>
    <t>30/10/2023 17:15</t>
  </si>
  <si>
    <t>30/10/2023 17:30</t>
  </si>
  <si>
    <t>30/10/2023 17:45</t>
  </si>
  <si>
    <t>30/10/2023 18:00</t>
  </si>
  <si>
    <t>30/10/2023 18:15</t>
  </si>
  <si>
    <t>30/10/2023 18:30</t>
  </si>
  <si>
    <t>30/10/2023 18:45</t>
  </si>
  <si>
    <t>30/10/2023 19:00</t>
  </si>
  <si>
    <t>30/10/2023 19:15</t>
  </si>
  <si>
    <t>30/10/2023 19:30</t>
  </si>
  <si>
    <t>30/10/2023 19:45</t>
  </si>
  <si>
    <t>30/10/2023 20:00</t>
  </si>
  <si>
    <t>30/10/2023 20:15</t>
  </si>
  <si>
    <t>30/10/2023 20:30</t>
  </si>
  <si>
    <t>30/10/2023 20:45</t>
  </si>
  <si>
    <t>30/10/2023 21:00</t>
  </si>
  <si>
    <t>30/10/2023 21:15</t>
  </si>
  <si>
    <t>30/10/2023 21:30</t>
  </si>
  <si>
    <t>30/10/2023 21:45</t>
  </si>
  <si>
    <t>30/10/2023 22:00</t>
  </si>
  <si>
    <t>30/10/2023 22:15</t>
  </si>
  <si>
    <t>30/10/2023 22:30</t>
  </si>
  <si>
    <t>30/10/2023 22:45</t>
  </si>
  <si>
    <t>30/10/2023 23:00</t>
  </si>
  <si>
    <t>30/10/2023 23:15</t>
  </si>
  <si>
    <t>30/10/2023 23:30</t>
  </si>
  <si>
    <t>30/10/2023 23:45</t>
  </si>
  <si>
    <t>30/10/2023 24:00</t>
  </si>
  <si>
    <t>31/10/2023 00:15</t>
  </si>
  <si>
    <t>31/10/2023 00:30</t>
  </si>
  <si>
    <t>31/10/2023 00:45</t>
  </si>
  <si>
    <t>31/10/2023 01:00</t>
  </si>
  <si>
    <t>31/10/2023 01:15</t>
  </si>
  <si>
    <t>31/10/2023 01:30</t>
  </si>
  <si>
    <t>31/10/2023 01:45</t>
  </si>
  <si>
    <t>31/10/2023 02:00</t>
  </si>
  <si>
    <t>31/10/2023 02:15</t>
  </si>
  <si>
    <t>31/10/2023 02:30</t>
  </si>
  <si>
    <t>31/10/2023 02:45</t>
  </si>
  <si>
    <t>31/10/2023 03:00</t>
  </si>
  <si>
    <t>31/10/2023 03:15</t>
  </si>
  <si>
    <t>31/10/2023 03:30</t>
  </si>
  <si>
    <t>31/10/2023 03:45</t>
  </si>
  <si>
    <t>31/10/2023 04:00</t>
  </si>
  <si>
    <t>31/10/2023 04:15</t>
  </si>
  <si>
    <t>31/10/2023 04:30</t>
  </si>
  <si>
    <t>31/10/2023 04:45</t>
  </si>
  <si>
    <t>31/10/2023 05:00</t>
  </si>
  <si>
    <t>31/10/2023 05:15</t>
  </si>
  <si>
    <t>31/10/2023 05:30</t>
  </si>
  <si>
    <t>31/10/2023 05:45</t>
  </si>
  <si>
    <t>31/10/2023 06:00</t>
  </si>
  <si>
    <t>31/10/2023 06:15</t>
  </si>
  <si>
    <t>31/10/2023 06:30</t>
  </si>
  <si>
    <t>31/10/2023 06:45</t>
  </si>
  <si>
    <t>31/10/2023 07:00</t>
  </si>
  <si>
    <t>31/10/2023 07:15</t>
  </si>
  <si>
    <t>31/10/2023 07:30</t>
  </si>
  <si>
    <t>31/10/2023 07:45</t>
  </si>
  <si>
    <t>31/10/2023 08:00</t>
  </si>
  <si>
    <t>31/10/2023 08:15</t>
  </si>
  <si>
    <t>31/10/2023 08:30</t>
  </si>
  <si>
    <t>31/10/2023 08:45</t>
  </si>
  <si>
    <t>31/10/2023 09:00</t>
  </si>
  <si>
    <t>31/10/2023 09:15</t>
  </si>
  <si>
    <t>31/10/2023 09:30</t>
  </si>
  <si>
    <t>31/10/2023 09:45</t>
  </si>
  <si>
    <t>31/10/2023 10:00</t>
  </si>
  <si>
    <t>31/10/2023 10:15</t>
  </si>
  <si>
    <t>31/10/2023 10:30</t>
  </si>
  <si>
    <t>31/10/2023 10:45</t>
  </si>
  <si>
    <t>31/10/2023 11:00</t>
  </si>
  <si>
    <t>31/10/2023 11:15</t>
  </si>
  <si>
    <t>31/10/2023 11:30</t>
  </si>
  <si>
    <t>31/10/2023 11:45</t>
  </si>
  <si>
    <t>31/10/2023 12:00</t>
  </si>
  <si>
    <t>31/10/2023 12:15</t>
  </si>
  <si>
    <t>31/10/2023 12:30</t>
  </si>
  <si>
    <t>31/10/2023 12:45</t>
  </si>
  <si>
    <t>31/10/2023 13:00</t>
  </si>
  <si>
    <t>31/10/2023 13:15</t>
  </si>
  <si>
    <t>31/10/2023 13:30</t>
  </si>
  <si>
    <t>31/10/2023 13:45</t>
  </si>
  <si>
    <t>31/10/2023 14:00</t>
  </si>
  <si>
    <t>31/10/2023 14:15</t>
  </si>
  <si>
    <t>31/10/2023 14:30</t>
  </si>
  <si>
    <t>31/10/2023 14:45</t>
  </si>
  <si>
    <t>31/10/2023 15:00</t>
  </si>
  <si>
    <t>31/10/2023 15:15</t>
  </si>
  <si>
    <t>31/10/2023 15:30</t>
  </si>
  <si>
    <t>31/10/2023 15:45</t>
  </si>
  <si>
    <t>31/10/2023 16:00</t>
  </si>
  <si>
    <t>31/10/2023 16:15</t>
  </si>
  <si>
    <t>31/10/2023 16:30</t>
  </si>
  <si>
    <t>31/10/2023 16:45</t>
  </si>
  <si>
    <t>31/10/2023 17:00</t>
  </si>
  <si>
    <t>31/10/2023 17:15</t>
  </si>
  <si>
    <t>31/10/2023 17:30</t>
  </si>
  <si>
    <t>31/10/2023 17:45</t>
  </si>
  <si>
    <t>31/10/2023 18:00</t>
  </si>
  <si>
    <t>31/10/2023 18:15</t>
  </si>
  <si>
    <t>31/10/2023 18:30</t>
  </si>
  <si>
    <t>31/10/2023 18:45</t>
  </si>
  <si>
    <t>31/10/2023 19:00</t>
  </si>
  <si>
    <t>31/10/2023 19:15</t>
  </si>
  <si>
    <t>31/10/2023 19:30</t>
  </si>
  <si>
    <t>31/10/2023 19:45</t>
  </si>
  <si>
    <t>31/10/2023 20:00</t>
  </si>
  <si>
    <t>31/10/2023 20:15</t>
  </si>
  <si>
    <t>31/10/2023 20:30</t>
  </si>
  <si>
    <t>31/10/2023 20:45</t>
  </si>
  <si>
    <t>31/10/2023 21:00</t>
  </si>
  <si>
    <t>31/10/2023 21:15</t>
  </si>
  <si>
    <t>31/10/2023 21:30</t>
  </si>
  <si>
    <t>31/10/2023 21:45</t>
  </si>
  <si>
    <t>31/10/2023 22:00</t>
  </si>
  <si>
    <t>31/10/2023 22:15</t>
  </si>
  <si>
    <t>31/10/2023 22:30</t>
  </si>
  <si>
    <t>31/10/2023 22:45</t>
  </si>
  <si>
    <t>31/10/2023 23:00</t>
  </si>
  <si>
    <t>31/10/2023 23:15</t>
  </si>
  <si>
    <t>31/10/2023 23:30</t>
  </si>
  <si>
    <t>31/10/2023 23:45</t>
  </si>
  <si>
    <t>31/10/2023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</si>
</sst>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22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01/10/2023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239</v>
      </c>
      <c r="B9" s="133">
        <v>14.15</v>
      </c>
      <c r="C9" s="133">
        <v>24.8</v>
      </c>
      <c r="D9" s="133">
        <v>25.65</v>
      </c>
      <c r="E9" s="133">
        <v>7.75</v>
      </c>
      <c r="F9" s="133">
        <v>3.18</v>
      </c>
      <c r="G9" s="133">
        <v>34.049999999999997</v>
      </c>
      <c r="H9" s="133">
        <v>15.56</v>
      </c>
      <c r="I9" s="133">
        <v>7.23</v>
      </c>
      <c r="J9" s="133">
        <v>0.19</v>
      </c>
      <c r="K9" s="133">
        <v>237.89</v>
      </c>
      <c r="L9" s="133">
        <v>25.7</v>
      </c>
      <c r="M9" s="133">
        <v>93.88</v>
      </c>
      <c r="N9" s="133">
        <v>0</v>
      </c>
      <c r="O9" s="133">
        <v>0</v>
      </c>
      <c r="P9" s="133">
        <v>0.85</v>
      </c>
      <c r="Q9" s="133">
        <v>4.07</v>
      </c>
    </row>
    <row r="10" spans="1:21" customFormat="1">
      <c r="A10" s="111" t="s">
        <v>240</v>
      </c>
      <c r="B10" s="133">
        <v>14.42</v>
      </c>
      <c r="C10" s="133">
        <v>23.43</v>
      </c>
      <c r="D10" s="133">
        <v>25.16</v>
      </c>
      <c r="E10" s="133">
        <v>7.59</v>
      </c>
      <c r="F10" s="133">
        <v>3.34</v>
      </c>
      <c r="G10" s="133">
        <v>34.049999999999997</v>
      </c>
      <c r="H10" s="133">
        <v>15.56</v>
      </c>
      <c r="I10" s="133">
        <v>7.24</v>
      </c>
      <c r="J10" s="133">
        <v>0.23</v>
      </c>
      <c r="K10" s="133">
        <v>255.89</v>
      </c>
      <c r="L10" s="133">
        <v>25.65</v>
      </c>
      <c r="M10" s="133">
        <v>93.54</v>
      </c>
      <c r="N10" s="133">
        <v>0</v>
      </c>
      <c r="O10" s="133">
        <v>0</v>
      </c>
      <c r="P10" s="133">
        <v>0.83</v>
      </c>
      <c r="Q10" s="133">
        <v>4.05</v>
      </c>
    </row>
    <row r="11" spans="1:21" customFormat="1">
      <c r="A11" s="111" t="s">
        <v>241</v>
      </c>
      <c r="B11" s="133">
        <v>14.42</v>
      </c>
      <c r="C11" s="133">
        <v>22.74</v>
      </c>
      <c r="D11" s="133">
        <v>24.8</v>
      </c>
      <c r="E11" s="133">
        <v>7.3</v>
      </c>
      <c r="F11" s="133">
        <v>3.42</v>
      </c>
      <c r="G11" s="133">
        <v>34.25</v>
      </c>
      <c r="H11" s="133">
        <v>15.42</v>
      </c>
      <c r="I11" s="133">
        <v>7.25</v>
      </c>
      <c r="J11" s="133">
        <v>0.18</v>
      </c>
      <c r="K11" s="133">
        <v>238.41</v>
      </c>
      <c r="L11" s="133">
        <v>25.5</v>
      </c>
      <c r="M11" s="133">
        <v>94.32</v>
      </c>
      <c r="N11" s="133">
        <v>0</v>
      </c>
      <c r="O11" s="133">
        <v>0</v>
      </c>
      <c r="P11" s="133">
        <v>0.81</v>
      </c>
      <c r="Q11" s="133">
        <v>4.01</v>
      </c>
    </row>
    <row r="12" spans="1:21" customFormat="1">
      <c r="A12" s="111" t="s">
        <v>242</v>
      </c>
      <c r="B12" s="133">
        <v>14.19</v>
      </c>
      <c r="C12" s="133">
        <v>21.52</v>
      </c>
      <c r="D12" s="133">
        <v>23.98</v>
      </c>
      <c r="E12" s="133">
        <v>7.17</v>
      </c>
      <c r="F12" s="133">
        <v>4.07</v>
      </c>
      <c r="G12" s="133">
        <v>35.07</v>
      </c>
      <c r="H12" s="133">
        <v>14.44</v>
      </c>
      <c r="I12" s="133">
        <v>7.19</v>
      </c>
      <c r="J12" s="133">
        <v>0.36</v>
      </c>
      <c r="K12" s="133">
        <v>263.51</v>
      </c>
      <c r="L12" s="133">
        <v>25.4</v>
      </c>
      <c r="M12" s="133">
        <v>95.27</v>
      </c>
      <c r="N12" s="133">
        <v>0</v>
      </c>
      <c r="O12" s="133">
        <v>0</v>
      </c>
      <c r="P12" s="133">
        <v>0.79</v>
      </c>
      <c r="Q12" s="133">
        <v>3.96</v>
      </c>
    </row>
    <row r="13" spans="1:21" customFormat="1">
      <c r="A13" s="111" t="s">
        <v>243</v>
      </c>
      <c r="B13" s="133">
        <v>14.75</v>
      </c>
      <c r="C13" s="133">
        <v>24.08</v>
      </c>
      <c r="D13" s="133">
        <v>25.76</v>
      </c>
      <c r="E13" s="133">
        <v>6.89</v>
      </c>
      <c r="F13" s="133">
        <v>2.96</v>
      </c>
      <c r="G13" s="133">
        <v>35.07</v>
      </c>
      <c r="H13" s="133">
        <v>14.44</v>
      </c>
      <c r="I13" s="133">
        <v>7.09</v>
      </c>
      <c r="J13" s="133">
        <v>0.22</v>
      </c>
      <c r="K13" s="133">
        <v>249.1</v>
      </c>
      <c r="L13" s="133">
        <v>25.36</v>
      </c>
      <c r="M13" s="133">
        <v>95.11</v>
      </c>
      <c r="N13" s="133">
        <v>0</v>
      </c>
      <c r="O13" s="133">
        <v>0</v>
      </c>
      <c r="P13" s="133">
        <v>0.81</v>
      </c>
      <c r="Q13" s="133">
        <v>3.94</v>
      </c>
    </row>
    <row r="14" spans="1:21" customFormat="1">
      <c r="A14" s="111" t="s">
        <v>244</v>
      </c>
      <c r="B14" s="133">
        <v>15.2</v>
      </c>
      <c r="C14" s="133">
        <v>24.51</v>
      </c>
      <c r="D14" s="133">
        <v>26.35</v>
      </c>
      <c r="E14" s="133">
        <v>7.31</v>
      </c>
      <c r="F14" s="133">
        <v>2.79</v>
      </c>
      <c r="G14" s="133">
        <v>35.07</v>
      </c>
      <c r="H14" s="133">
        <v>14.44</v>
      </c>
      <c r="I14" s="133">
        <v>7.01</v>
      </c>
      <c r="J14" s="133">
        <v>0.22</v>
      </c>
      <c r="K14" s="133">
        <v>256.95</v>
      </c>
      <c r="L14" s="133">
        <v>25.2</v>
      </c>
      <c r="M14" s="133">
        <v>95.73</v>
      </c>
      <c r="N14" s="133">
        <v>0</v>
      </c>
      <c r="O14" s="133">
        <v>0</v>
      </c>
      <c r="P14" s="133">
        <v>0.83</v>
      </c>
      <c r="Q14" s="133">
        <v>4.01</v>
      </c>
    </row>
    <row r="15" spans="1:21" customFormat="1">
      <c r="A15" s="111" t="s">
        <v>245</v>
      </c>
      <c r="B15" s="133">
        <v>15.29</v>
      </c>
      <c r="C15" s="133">
        <v>23</v>
      </c>
      <c r="D15" s="133">
        <v>25.64</v>
      </c>
      <c r="E15" s="133">
        <v>7.25</v>
      </c>
      <c r="F15" s="133">
        <v>3.34</v>
      </c>
      <c r="G15" s="133">
        <v>32.67</v>
      </c>
      <c r="H15" s="133">
        <v>14.07</v>
      </c>
      <c r="I15" s="133">
        <v>7.19</v>
      </c>
      <c r="J15" s="133">
        <v>0.22</v>
      </c>
      <c r="K15" s="133">
        <v>247.92</v>
      </c>
      <c r="L15" s="133">
        <v>25.18</v>
      </c>
      <c r="M15" s="133">
        <v>95.76</v>
      </c>
      <c r="N15" s="133">
        <v>0</v>
      </c>
      <c r="O15" s="133">
        <v>0</v>
      </c>
      <c r="P15" s="133">
        <v>0.8</v>
      </c>
      <c r="Q15" s="133">
        <v>4.0199999999999996</v>
      </c>
    </row>
    <row r="16" spans="1:21" customFormat="1">
      <c r="A16" s="111" t="s">
        <v>246</v>
      </c>
      <c r="B16" s="133">
        <v>15.37</v>
      </c>
      <c r="C16" s="133">
        <v>21.61</v>
      </c>
      <c r="D16" s="133">
        <v>24.96</v>
      </c>
      <c r="E16" s="133">
        <v>6.83</v>
      </c>
      <c r="F16" s="133">
        <v>3.61</v>
      </c>
      <c r="G16" s="133">
        <v>24.26</v>
      </c>
      <c r="H16" s="133">
        <v>13.13</v>
      </c>
      <c r="I16" s="133">
        <v>7.07</v>
      </c>
      <c r="J16" s="133">
        <v>0.21</v>
      </c>
      <c r="K16" s="133">
        <v>257.54000000000002</v>
      </c>
      <c r="L16" s="133">
        <v>25.07</v>
      </c>
      <c r="M16" s="133">
        <v>96.05</v>
      </c>
      <c r="N16" s="133">
        <v>0</v>
      </c>
      <c r="O16" s="133">
        <v>0</v>
      </c>
      <c r="P16" s="133">
        <v>0.77</v>
      </c>
      <c r="Q16" s="133">
        <v>4.0199999999999996</v>
      </c>
    </row>
    <row r="17" spans="1:17" customFormat="1">
      <c r="A17" s="111" t="s">
        <v>247</v>
      </c>
      <c r="B17" s="133">
        <v>15.63</v>
      </c>
      <c r="C17" s="133">
        <v>23.21</v>
      </c>
      <c r="D17" s="133">
        <v>26.01</v>
      </c>
      <c r="E17" s="133">
        <v>6</v>
      </c>
      <c r="F17" s="133">
        <v>2.65</v>
      </c>
      <c r="G17" s="133">
        <v>24.26</v>
      </c>
      <c r="H17" s="133">
        <v>13.13</v>
      </c>
      <c r="I17" s="133">
        <v>6.93</v>
      </c>
      <c r="J17" s="133">
        <v>0.15</v>
      </c>
      <c r="K17" s="133">
        <v>238.06</v>
      </c>
      <c r="L17" s="133">
        <v>25.05</v>
      </c>
      <c r="M17" s="133">
        <v>96.11</v>
      </c>
      <c r="N17" s="133">
        <v>0</v>
      </c>
      <c r="O17" s="133">
        <v>0</v>
      </c>
      <c r="P17" s="133">
        <v>0.78</v>
      </c>
      <c r="Q17" s="133">
        <v>3.99</v>
      </c>
    </row>
    <row r="18" spans="1:17" customFormat="1">
      <c r="A18" s="111" t="s">
        <v>248</v>
      </c>
      <c r="B18" s="133">
        <v>15.93</v>
      </c>
      <c r="C18" s="133">
        <v>23.86</v>
      </c>
      <c r="D18" s="133">
        <v>26.59</v>
      </c>
      <c r="E18" s="133">
        <v>7.27</v>
      </c>
      <c r="F18" s="133">
        <v>2.65</v>
      </c>
      <c r="G18" s="133">
        <v>24.26</v>
      </c>
      <c r="H18" s="133">
        <v>13.13</v>
      </c>
      <c r="I18" s="133">
        <v>6.9</v>
      </c>
      <c r="J18" s="133">
        <v>0.23</v>
      </c>
      <c r="K18" s="133">
        <v>255.48</v>
      </c>
      <c r="L18" s="133">
        <v>24.88</v>
      </c>
      <c r="M18" s="133">
        <v>96.71</v>
      </c>
      <c r="N18" s="133">
        <v>0</v>
      </c>
      <c r="O18" s="133">
        <v>0</v>
      </c>
      <c r="P18" s="133">
        <v>0.79</v>
      </c>
      <c r="Q18" s="133">
        <v>4.05</v>
      </c>
    </row>
    <row r="19" spans="1:17" customFormat="1">
      <c r="A19" s="111" t="s">
        <v>249</v>
      </c>
      <c r="B19" s="133">
        <v>16.149999999999999</v>
      </c>
      <c r="C19" s="133">
        <v>22.12</v>
      </c>
      <c r="D19" s="133">
        <v>25.86</v>
      </c>
      <c r="E19" s="133">
        <v>6.83</v>
      </c>
      <c r="F19" s="133">
        <v>3.38</v>
      </c>
      <c r="G19" s="133">
        <v>23.86</v>
      </c>
      <c r="H19" s="133">
        <v>12.74</v>
      </c>
      <c r="I19" s="133">
        <v>6.95</v>
      </c>
      <c r="J19" s="133">
        <v>0.27</v>
      </c>
      <c r="K19" s="133">
        <v>258.44</v>
      </c>
      <c r="L19" s="133">
        <v>24.89</v>
      </c>
      <c r="M19" s="133">
        <v>96.48</v>
      </c>
      <c r="N19" s="133">
        <v>0</v>
      </c>
      <c r="O19" s="133">
        <v>0</v>
      </c>
      <c r="P19" s="133">
        <v>0.75</v>
      </c>
      <c r="Q19" s="133">
        <v>4.0599999999999996</v>
      </c>
    </row>
    <row r="20" spans="1:17" customFormat="1">
      <c r="A20" s="111" t="s">
        <v>250</v>
      </c>
      <c r="B20" s="133">
        <v>16.3</v>
      </c>
      <c r="C20" s="133">
        <v>22.92</v>
      </c>
      <c r="D20" s="133">
        <v>26.4</v>
      </c>
      <c r="E20" s="133">
        <v>7.15</v>
      </c>
      <c r="F20" s="133">
        <v>3.12</v>
      </c>
      <c r="G20" s="133">
        <v>22.47</v>
      </c>
      <c r="H20" s="133">
        <v>11.78</v>
      </c>
      <c r="I20" s="133">
        <v>6.84</v>
      </c>
      <c r="J20" s="133">
        <v>0.28999999999999998</v>
      </c>
      <c r="K20" s="133">
        <v>257.87</v>
      </c>
      <c r="L20" s="133">
        <v>24.83</v>
      </c>
      <c r="M20" s="133">
        <v>95.93</v>
      </c>
      <c r="N20" s="133">
        <v>0</v>
      </c>
      <c r="O20" s="133">
        <v>0</v>
      </c>
      <c r="P20" s="133">
        <v>0.76</v>
      </c>
      <c r="Q20" s="133">
        <v>4.04</v>
      </c>
    </row>
    <row r="21" spans="1:17" customFormat="1">
      <c r="A21" s="111" t="s">
        <v>251</v>
      </c>
      <c r="B21" s="133">
        <v>16.600000000000001</v>
      </c>
      <c r="C21" s="133">
        <v>23.21</v>
      </c>
      <c r="D21" s="133">
        <v>26.79</v>
      </c>
      <c r="E21" s="133">
        <v>7.08</v>
      </c>
      <c r="F21" s="133">
        <v>2.71</v>
      </c>
      <c r="G21" s="133">
        <v>22.47</v>
      </c>
      <c r="H21" s="133">
        <v>11.78</v>
      </c>
      <c r="I21" s="133">
        <v>6.59</v>
      </c>
      <c r="J21" s="133">
        <v>0.17</v>
      </c>
      <c r="K21" s="133">
        <v>262.13</v>
      </c>
      <c r="L21" s="133">
        <v>24.83</v>
      </c>
      <c r="M21" s="133">
        <v>95.48</v>
      </c>
      <c r="N21" s="133">
        <v>0</v>
      </c>
      <c r="O21" s="133">
        <v>0</v>
      </c>
      <c r="P21" s="133">
        <v>0.76</v>
      </c>
      <c r="Q21" s="133">
        <v>4.0999999999999996</v>
      </c>
    </row>
    <row r="22" spans="1:17" customFormat="1">
      <c r="A22" s="111" t="s">
        <v>252</v>
      </c>
      <c r="B22" s="133">
        <v>16.73</v>
      </c>
      <c r="C22" s="133">
        <v>21.88</v>
      </c>
      <c r="D22" s="133">
        <v>26.2</v>
      </c>
      <c r="E22" s="133">
        <v>6.8</v>
      </c>
      <c r="F22" s="133">
        <v>3.05</v>
      </c>
      <c r="G22" s="133">
        <v>22.47</v>
      </c>
      <c r="H22" s="133">
        <v>11.78</v>
      </c>
      <c r="I22" s="133">
        <v>6.69</v>
      </c>
      <c r="J22" s="133">
        <v>0.12</v>
      </c>
      <c r="K22" s="133">
        <v>185.57</v>
      </c>
      <c r="L22" s="133">
        <v>24.81</v>
      </c>
      <c r="M22" s="133">
        <v>95.84</v>
      </c>
      <c r="N22" s="133">
        <v>0</v>
      </c>
      <c r="O22" s="133">
        <v>0</v>
      </c>
      <c r="P22" s="133">
        <v>0.73</v>
      </c>
      <c r="Q22" s="133">
        <v>4.0999999999999996</v>
      </c>
    </row>
    <row r="23" spans="1:17" customFormat="1">
      <c r="A23" s="111" t="s">
        <v>253</v>
      </c>
      <c r="B23" s="133">
        <v>16.75</v>
      </c>
      <c r="C23" s="133">
        <v>21.2</v>
      </c>
      <c r="D23" s="133">
        <v>25.86</v>
      </c>
      <c r="E23" s="133">
        <v>6.79</v>
      </c>
      <c r="F23" s="133">
        <v>3.26</v>
      </c>
      <c r="G23" s="133">
        <v>22.65</v>
      </c>
      <c r="H23" s="133">
        <v>10.93</v>
      </c>
      <c r="I23" s="133">
        <v>6.57</v>
      </c>
      <c r="J23" s="133">
        <v>0.1</v>
      </c>
      <c r="K23" s="133">
        <v>158.63999999999999</v>
      </c>
      <c r="L23" s="133">
        <v>24.74</v>
      </c>
      <c r="M23" s="133">
        <v>96.43</v>
      </c>
      <c r="N23" s="133">
        <v>0</v>
      </c>
      <c r="O23" s="133">
        <v>0</v>
      </c>
      <c r="P23" s="133">
        <v>0.72</v>
      </c>
      <c r="Q23" s="133">
        <v>4.0599999999999996</v>
      </c>
    </row>
    <row r="24" spans="1:17" customFormat="1">
      <c r="A24" s="111" t="s">
        <v>254</v>
      </c>
      <c r="B24" s="133">
        <v>16.989999999999998</v>
      </c>
      <c r="C24" s="133">
        <v>23.37</v>
      </c>
      <c r="D24" s="133">
        <v>27.19</v>
      </c>
      <c r="E24" s="133">
        <v>7.06</v>
      </c>
      <c r="F24" s="133">
        <v>2.5299999999999998</v>
      </c>
      <c r="G24" s="133">
        <v>23.28</v>
      </c>
      <c r="H24" s="133">
        <v>8.94</v>
      </c>
      <c r="I24" s="133">
        <v>6.44</v>
      </c>
      <c r="J24" s="133">
        <v>0.06</v>
      </c>
      <c r="K24" s="133">
        <v>221.26</v>
      </c>
      <c r="L24" s="133">
        <v>24.63</v>
      </c>
      <c r="M24" s="133">
        <v>97.66</v>
      </c>
      <c r="N24" s="133">
        <v>0</v>
      </c>
      <c r="O24" s="133">
        <v>0</v>
      </c>
      <c r="P24" s="133">
        <v>0.74</v>
      </c>
      <c r="Q24" s="133">
        <v>4.05</v>
      </c>
    </row>
    <row r="25" spans="1:17" customFormat="1">
      <c r="A25" s="111" t="s">
        <v>255</v>
      </c>
      <c r="B25" s="133">
        <v>17.32</v>
      </c>
      <c r="C25" s="133">
        <v>22.57</v>
      </c>
      <c r="D25" s="133">
        <v>27.03</v>
      </c>
      <c r="E25" s="133">
        <v>7.54</v>
      </c>
      <c r="F25" s="133">
        <v>2.8</v>
      </c>
      <c r="G25" s="133">
        <v>23.28</v>
      </c>
      <c r="H25" s="133">
        <v>8.94</v>
      </c>
      <c r="I25" s="133">
        <v>6.41</v>
      </c>
      <c r="J25" s="133">
        <v>0.09</v>
      </c>
      <c r="K25" s="133">
        <v>210.6</v>
      </c>
      <c r="L25" s="133">
        <v>24.58</v>
      </c>
      <c r="M25" s="133">
        <v>97.87</v>
      </c>
      <c r="N25" s="133">
        <v>0</v>
      </c>
      <c r="O25" s="133">
        <v>0</v>
      </c>
      <c r="P25" s="133">
        <v>0.72</v>
      </c>
      <c r="Q25" s="133">
        <v>4.13</v>
      </c>
    </row>
    <row r="26" spans="1:17" customFormat="1">
      <c r="A26" s="111" t="s">
        <v>256</v>
      </c>
      <c r="B26" s="133">
        <v>17.38</v>
      </c>
      <c r="C26" s="133">
        <v>21.46</v>
      </c>
      <c r="D26" s="133">
        <v>26.5</v>
      </c>
      <c r="E26" s="133">
        <v>6.75</v>
      </c>
      <c r="F26" s="133">
        <v>2.98</v>
      </c>
      <c r="G26" s="133">
        <v>23.28</v>
      </c>
      <c r="H26" s="133">
        <v>8.94</v>
      </c>
      <c r="I26" s="133">
        <v>6.47</v>
      </c>
      <c r="J26" s="133">
        <v>0.09</v>
      </c>
      <c r="K26" s="133">
        <v>227.46</v>
      </c>
      <c r="L26" s="133">
        <v>24.67</v>
      </c>
      <c r="M26" s="133">
        <v>98.1</v>
      </c>
      <c r="N26" s="133">
        <v>0</v>
      </c>
      <c r="O26" s="133">
        <v>0</v>
      </c>
      <c r="P26" s="133">
        <v>0.71</v>
      </c>
      <c r="Q26" s="133">
        <v>4.0999999999999996</v>
      </c>
    </row>
    <row r="27" spans="1:17" customFormat="1">
      <c r="A27" s="111" t="s">
        <v>257</v>
      </c>
      <c r="B27" s="133">
        <v>17.09</v>
      </c>
      <c r="C27" s="133">
        <v>21.58</v>
      </c>
      <c r="D27" s="133">
        <v>26.33</v>
      </c>
      <c r="E27" s="133">
        <v>6.84</v>
      </c>
      <c r="F27" s="133">
        <v>2.98</v>
      </c>
      <c r="G27" s="133">
        <v>23.02</v>
      </c>
      <c r="H27" s="133">
        <v>9.57</v>
      </c>
      <c r="I27" s="133">
        <v>6.37</v>
      </c>
      <c r="J27" s="133">
        <v>7.0000000000000007E-2</v>
      </c>
      <c r="K27" s="133">
        <v>205.26</v>
      </c>
      <c r="L27" s="133">
        <v>24.58</v>
      </c>
      <c r="M27" s="133">
        <v>97.73</v>
      </c>
      <c r="N27" s="133">
        <v>0</v>
      </c>
      <c r="O27" s="133">
        <v>0</v>
      </c>
      <c r="P27" s="133">
        <v>0.71</v>
      </c>
      <c r="Q27" s="133">
        <v>4.07</v>
      </c>
    </row>
    <row r="28" spans="1:17" customFormat="1">
      <c r="A28" s="111" t="s">
        <v>258</v>
      </c>
      <c r="B28" s="133">
        <v>16.739999999999998</v>
      </c>
      <c r="C28" s="133">
        <v>22.16</v>
      </c>
      <c r="D28" s="133">
        <v>26.36</v>
      </c>
      <c r="E28" s="133">
        <v>6.9</v>
      </c>
      <c r="F28" s="133">
        <v>2.95</v>
      </c>
      <c r="G28" s="133">
        <v>22.09</v>
      </c>
      <c r="H28" s="133">
        <v>11.14</v>
      </c>
      <c r="I28" s="133">
        <v>6.3</v>
      </c>
      <c r="J28" s="133">
        <v>0.12</v>
      </c>
      <c r="K28" s="133">
        <v>182.54</v>
      </c>
      <c r="L28" s="133">
        <v>24.69</v>
      </c>
      <c r="M28" s="133">
        <v>98.02</v>
      </c>
      <c r="N28" s="133">
        <v>0</v>
      </c>
      <c r="O28" s="133">
        <v>0</v>
      </c>
      <c r="P28" s="133">
        <v>0.71</v>
      </c>
      <c r="Q28" s="133">
        <v>4.05</v>
      </c>
    </row>
    <row r="29" spans="1:17" customFormat="1">
      <c r="A29" s="111" t="s">
        <v>259</v>
      </c>
      <c r="B29" s="133">
        <v>16.670000000000002</v>
      </c>
      <c r="C29" s="133">
        <v>22.59</v>
      </c>
      <c r="D29" s="133">
        <v>26.53</v>
      </c>
      <c r="E29" s="133">
        <v>7.11</v>
      </c>
      <c r="F29" s="133">
        <v>2.81</v>
      </c>
      <c r="G29" s="133">
        <v>22.09</v>
      </c>
      <c r="H29" s="133">
        <v>11.14</v>
      </c>
      <c r="I29" s="133">
        <v>6.17</v>
      </c>
      <c r="J29" s="133">
        <v>7.0000000000000007E-2</v>
      </c>
      <c r="K29" s="133">
        <v>185.27</v>
      </c>
      <c r="L29" s="133">
        <v>24.53</v>
      </c>
      <c r="M29" s="133">
        <v>99.19</v>
      </c>
      <c r="N29" s="133">
        <v>0</v>
      </c>
      <c r="O29" s="133">
        <v>0</v>
      </c>
      <c r="P29" s="133">
        <v>0.73</v>
      </c>
      <c r="Q29" s="133">
        <v>4.0199999999999996</v>
      </c>
    </row>
    <row r="30" spans="1:17" customFormat="1">
      <c r="A30" s="111" t="s">
        <v>260</v>
      </c>
      <c r="B30" s="133">
        <v>16.559999999999999</v>
      </c>
      <c r="C30" s="133">
        <v>22.92</v>
      </c>
      <c r="D30" s="133">
        <v>26.6</v>
      </c>
      <c r="E30" s="133">
        <v>6.83</v>
      </c>
      <c r="F30" s="133">
        <v>2.69</v>
      </c>
      <c r="G30" s="133">
        <v>22.09</v>
      </c>
      <c r="H30" s="133">
        <v>11.14</v>
      </c>
      <c r="I30" s="133">
        <v>6.16</v>
      </c>
      <c r="J30" s="133">
        <v>0.09</v>
      </c>
      <c r="K30" s="133">
        <v>222.4</v>
      </c>
      <c r="L30" s="133">
        <v>24.53</v>
      </c>
      <c r="M30" s="133">
        <v>98.48</v>
      </c>
      <c r="N30" s="133">
        <v>0</v>
      </c>
      <c r="O30" s="133">
        <v>0</v>
      </c>
      <c r="P30" s="133">
        <v>0.74</v>
      </c>
      <c r="Q30" s="133">
        <v>4.04</v>
      </c>
    </row>
    <row r="31" spans="1:17" customFormat="1">
      <c r="A31" s="111" t="s">
        <v>261</v>
      </c>
      <c r="B31" s="133">
        <v>16.36</v>
      </c>
      <c r="C31" s="133">
        <v>23.33</v>
      </c>
      <c r="D31" s="133">
        <v>26.66</v>
      </c>
      <c r="E31" s="133">
        <v>7.2</v>
      </c>
      <c r="F31" s="133">
        <v>2.72</v>
      </c>
      <c r="G31" s="133">
        <v>22.41</v>
      </c>
      <c r="H31" s="133">
        <v>10.87</v>
      </c>
      <c r="I31" s="133">
        <v>6.09</v>
      </c>
      <c r="J31" s="133">
        <v>0.08</v>
      </c>
      <c r="K31" s="133">
        <v>165.39</v>
      </c>
      <c r="L31" s="133">
        <v>24.37</v>
      </c>
      <c r="M31" s="133">
        <v>99.01</v>
      </c>
      <c r="N31" s="133">
        <v>0</v>
      </c>
      <c r="O31" s="133">
        <v>0</v>
      </c>
      <c r="P31" s="133">
        <v>0.73</v>
      </c>
      <c r="Q31" s="133">
        <v>4.05</v>
      </c>
    </row>
    <row r="32" spans="1:17" customFormat="1">
      <c r="A32" s="111" t="s">
        <v>262</v>
      </c>
      <c r="B32" s="133">
        <v>16.239999999999998</v>
      </c>
      <c r="C32" s="133">
        <v>23.94</v>
      </c>
      <c r="D32" s="133">
        <v>26.88</v>
      </c>
      <c r="E32" s="133">
        <v>7.35</v>
      </c>
      <c r="F32" s="133">
        <v>2.52</v>
      </c>
      <c r="G32" s="133">
        <v>23.52</v>
      </c>
      <c r="H32" s="133">
        <v>10.220000000000001</v>
      </c>
      <c r="I32" s="133">
        <v>6.08</v>
      </c>
      <c r="J32" s="133">
        <v>0.1</v>
      </c>
      <c r="K32" s="133">
        <v>228.97</v>
      </c>
      <c r="L32" s="133">
        <v>24.39</v>
      </c>
      <c r="M32" s="133">
        <v>98.55</v>
      </c>
      <c r="N32" s="133">
        <v>3.2</v>
      </c>
      <c r="O32" s="133">
        <v>0</v>
      </c>
      <c r="P32" s="133">
        <v>0.73</v>
      </c>
      <c r="Q32" s="133">
        <v>4.09</v>
      </c>
    </row>
    <row r="33" spans="1:17" customFormat="1">
      <c r="A33" s="111" t="s">
        <v>263</v>
      </c>
      <c r="B33" s="133">
        <v>16.149999999999999</v>
      </c>
      <c r="C33" s="133">
        <v>24.09</v>
      </c>
      <c r="D33" s="133">
        <v>26.89</v>
      </c>
      <c r="E33" s="133">
        <v>7.25</v>
      </c>
      <c r="F33" s="133">
        <v>2.5099999999999998</v>
      </c>
      <c r="G33" s="133">
        <v>23.52</v>
      </c>
      <c r="H33" s="133">
        <v>10.220000000000001</v>
      </c>
      <c r="I33" s="133">
        <v>5.98</v>
      </c>
      <c r="J33" s="133">
        <v>0.11</v>
      </c>
      <c r="K33" s="133">
        <v>226.26</v>
      </c>
      <c r="L33" s="133">
        <v>24.6</v>
      </c>
      <c r="M33" s="133">
        <v>97.72</v>
      </c>
      <c r="N33" s="133">
        <v>18.899999999999999</v>
      </c>
      <c r="O33" s="133">
        <v>0</v>
      </c>
      <c r="P33" s="133">
        <v>0.73</v>
      </c>
      <c r="Q33" s="133">
        <v>4.09</v>
      </c>
    </row>
    <row r="34" spans="1:17" customFormat="1">
      <c r="A34" s="111" t="s">
        <v>264</v>
      </c>
      <c r="B34" s="133">
        <v>16.14</v>
      </c>
      <c r="C34" s="133">
        <v>24.1</v>
      </c>
      <c r="D34" s="133">
        <v>26.88</v>
      </c>
      <c r="E34" s="133">
        <v>7.52</v>
      </c>
      <c r="F34" s="133">
        <v>2.59</v>
      </c>
      <c r="G34" s="133">
        <v>23.52</v>
      </c>
      <c r="H34" s="133">
        <v>10.220000000000001</v>
      </c>
      <c r="I34" s="133">
        <v>5.95</v>
      </c>
      <c r="J34" s="133">
        <v>0.24</v>
      </c>
      <c r="K34" s="133">
        <v>257.33</v>
      </c>
      <c r="L34" s="133">
        <v>24.82</v>
      </c>
      <c r="M34" s="133">
        <v>97.08</v>
      </c>
      <c r="N34" s="133">
        <v>40.200000000000003</v>
      </c>
      <c r="O34" s="133">
        <v>0</v>
      </c>
      <c r="P34" s="133">
        <v>0.72</v>
      </c>
      <c r="Q34" s="133">
        <v>4.08</v>
      </c>
    </row>
    <row r="35" spans="1:17" customFormat="1">
      <c r="A35" s="111" t="s">
        <v>265</v>
      </c>
      <c r="B35" s="133">
        <v>15.99</v>
      </c>
      <c r="C35" s="133">
        <v>24.28</v>
      </c>
      <c r="D35" s="133">
        <v>26.86</v>
      </c>
      <c r="E35" s="133">
        <v>7.68</v>
      </c>
      <c r="F35" s="133">
        <v>2.48</v>
      </c>
      <c r="G35" s="133">
        <v>23.36</v>
      </c>
      <c r="H35" s="133">
        <v>10.62</v>
      </c>
      <c r="I35" s="133">
        <v>5.82</v>
      </c>
      <c r="J35" s="133">
        <v>0.28000000000000003</v>
      </c>
      <c r="K35" s="133">
        <v>253.41</v>
      </c>
      <c r="L35" s="133">
        <v>25.15</v>
      </c>
      <c r="M35" s="133">
        <v>97.01</v>
      </c>
      <c r="N35" s="133">
        <v>58.9</v>
      </c>
      <c r="O35" s="133">
        <v>0</v>
      </c>
      <c r="P35" s="133">
        <v>0.71</v>
      </c>
      <c r="Q35" s="133">
        <v>4.0999999999999996</v>
      </c>
    </row>
    <row r="36" spans="1:17" customFormat="1">
      <c r="A36" s="111" t="s">
        <v>266</v>
      </c>
      <c r="B36" s="133">
        <v>15.89</v>
      </c>
      <c r="C36" s="133">
        <v>24.59</v>
      </c>
      <c r="D36" s="133">
        <v>26.94</v>
      </c>
      <c r="E36" s="133">
        <v>7.13</v>
      </c>
      <c r="F36" s="133">
        <v>2.52</v>
      </c>
      <c r="G36" s="133">
        <v>22.81</v>
      </c>
      <c r="H36" s="133">
        <v>12.52</v>
      </c>
      <c r="I36" s="133">
        <v>5.75</v>
      </c>
      <c r="J36" s="133">
        <v>0.31</v>
      </c>
      <c r="K36" s="133">
        <v>264.68</v>
      </c>
      <c r="L36" s="133">
        <v>25.44</v>
      </c>
      <c r="M36" s="133">
        <v>95.56</v>
      </c>
      <c r="N36" s="133">
        <v>71.599999999999994</v>
      </c>
      <c r="O36" s="133">
        <v>0</v>
      </c>
      <c r="P36" s="133">
        <v>0.71</v>
      </c>
      <c r="Q36" s="133">
        <v>4.1100000000000003</v>
      </c>
    </row>
    <row r="37" spans="1:17" customFormat="1">
      <c r="A37" s="111" t="s">
        <v>267</v>
      </c>
      <c r="B37" s="133">
        <v>15.83</v>
      </c>
      <c r="C37" s="133">
        <v>24.79</v>
      </c>
      <c r="D37" s="133">
        <v>26.99</v>
      </c>
      <c r="E37" s="133">
        <v>7.24</v>
      </c>
      <c r="F37" s="133">
        <v>2.48</v>
      </c>
      <c r="G37" s="133">
        <v>22.81</v>
      </c>
      <c r="H37" s="133">
        <v>12.52</v>
      </c>
      <c r="I37" s="133">
        <v>5.7</v>
      </c>
      <c r="J37" s="133">
        <v>0.52</v>
      </c>
      <c r="K37" s="133">
        <v>264.93</v>
      </c>
      <c r="L37" s="133">
        <v>25.72</v>
      </c>
      <c r="M37" s="133">
        <v>93.47</v>
      </c>
      <c r="N37" s="133">
        <v>74.3</v>
      </c>
      <c r="O37" s="133">
        <v>0</v>
      </c>
      <c r="P37" s="133">
        <v>0.7</v>
      </c>
      <c r="Q37" s="133">
        <v>4.13</v>
      </c>
    </row>
    <row r="38" spans="1:17" customFormat="1">
      <c r="A38" s="111" t="s">
        <v>268</v>
      </c>
      <c r="B38" s="133">
        <v>15.73</v>
      </c>
      <c r="C38" s="133">
        <v>25.01</v>
      </c>
      <c r="D38" s="133">
        <v>27.03</v>
      </c>
      <c r="E38" s="133">
        <v>7.39</v>
      </c>
      <c r="F38" s="133">
        <v>2.5499999999999998</v>
      </c>
      <c r="G38" s="133">
        <v>22.81</v>
      </c>
      <c r="H38" s="133">
        <v>12.52</v>
      </c>
      <c r="I38" s="133">
        <v>5.74</v>
      </c>
      <c r="J38" s="133">
        <v>0.48</v>
      </c>
      <c r="K38" s="133">
        <v>267.42</v>
      </c>
      <c r="L38" s="133">
        <v>25.94</v>
      </c>
      <c r="M38" s="133">
        <v>91.68</v>
      </c>
      <c r="N38" s="133">
        <v>80.7</v>
      </c>
      <c r="O38" s="133">
        <v>0</v>
      </c>
      <c r="P38" s="133">
        <v>0.7</v>
      </c>
      <c r="Q38" s="133">
        <v>4.1100000000000003</v>
      </c>
    </row>
    <row r="39" spans="1:17" customFormat="1">
      <c r="A39" s="111" t="s">
        <v>269</v>
      </c>
      <c r="B39" s="133">
        <v>15.6</v>
      </c>
      <c r="C39" s="133">
        <v>25.29</v>
      </c>
      <c r="D39" s="133">
        <v>27.07</v>
      </c>
      <c r="E39" s="133">
        <v>7.71</v>
      </c>
      <c r="F39" s="133">
        <v>2.64</v>
      </c>
      <c r="G39" s="133">
        <v>21.93</v>
      </c>
      <c r="H39" s="133">
        <v>11.73</v>
      </c>
      <c r="I39" s="133">
        <v>5.81</v>
      </c>
      <c r="J39" s="133">
        <v>0.48</v>
      </c>
      <c r="K39" s="133">
        <v>261.95</v>
      </c>
      <c r="L39" s="133">
        <v>26.14</v>
      </c>
      <c r="M39" s="133">
        <v>90.55</v>
      </c>
      <c r="N39" s="133">
        <v>79.900000000000006</v>
      </c>
      <c r="O39" s="133">
        <v>0</v>
      </c>
      <c r="P39" s="133">
        <v>0.7</v>
      </c>
      <c r="Q39" s="133">
        <v>4.1100000000000003</v>
      </c>
    </row>
    <row r="40" spans="1:17" customFormat="1">
      <c r="A40" s="111" t="s">
        <v>270</v>
      </c>
      <c r="B40" s="133">
        <v>15.51</v>
      </c>
      <c r="C40" s="133">
        <v>25.64</v>
      </c>
      <c r="D40" s="133">
        <v>27.19</v>
      </c>
      <c r="E40" s="133">
        <v>8.1199999999999992</v>
      </c>
      <c r="F40" s="133">
        <v>2.83</v>
      </c>
      <c r="G40" s="133">
        <v>18.86</v>
      </c>
      <c r="H40" s="133">
        <v>9.8699999999999992</v>
      </c>
      <c r="I40" s="133">
        <v>5.91</v>
      </c>
      <c r="J40" s="133">
        <v>0.43</v>
      </c>
      <c r="K40" s="133">
        <v>262.66000000000003</v>
      </c>
      <c r="L40" s="133">
        <v>26.47</v>
      </c>
      <c r="M40" s="133">
        <v>88.99</v>
      </c>
      <c r="N40" s="133">
        <v>114.6</v>
      </c>
      <c r="O40" s="133">
        <v>0</v>
      </c>
      <c r="P40" s="133">
        <v>0.7</v>
      </c>
      <c r="Q40" s="133">
        <v>4.1399999999999997</v>
      </c>
    </row>
    <row r="41" spans="1:17" customFormat="1">
      <c r="A41" s="111" t="s">
        <v>271</v>
      </c>
      <c r="B41" s="133">
        <v>15.27</v>
      </c>
      <c r="C41" s="133">
        <v>25.98</v>
      </c>
      <c r="D41" s="133">
        <v>27.17</v>
      </c>
      <c r="E41" s="133">
        <v>7.82</v>
      </c>
      <c r="F41" s="133">
        <v>2.67</v>
      </c>
      <c r="G41" s="133">
        <v>18.86</v>
      </c>
      <c r="H41" s="133">
        <v>9.8699999999999992</v>
      </c>
      <c r="I41" s="133">
        <v>6.02</v>
      </c>
      <c r="J41" s="133">
        <v>0.41</v>
      </c>
      <c r="K41" s="133">
        <v>261.5</v>
      </c>
      <c r="L41" s="133">
        <v>27.2</v>
      </c>
      <c r="M41" s="133">
        <v>87.19</v>
      </c>
      <c r="N41" s="133">
        <v>225.1</v>
      </c>
      <c r="O41" s="133">
        <v>0</v>
      </c>
      <c r="P41" s="133">
        <v>0.7</v>
      </c>
      <c r="Q41" s="133">
        <v>4.13</v>
      </c>
    </row>
    <row r="42" spans="1:17" customFormat="1">
      <c r="A42" s="111" t="s">
        <v>272</v>
      </c>
      <c r="B42" s="133">
        <v>15.07</v>
      </c>
      <c r="C42" s="133">
        <v>25.77</v>
      </c>
      <c r="D42" s="133">
        <v>26.9</v>
      </c>
      <c r="E42" s="133">
        <v>7.99</v>
      </c>
      <c r="F42" s="133">
        <v>2.73</v>
      </c>
      <c r="G42" s="133">
        <v>18.86</v>
      </c>
      <c r="H42" s="133">
        <v>9.8699999999999992</v>
      </c>
      <c r="I42" s="133">
        <v>6.11</v>
      </c>
      <c r="J42" s="133">
        <v>0.36</v>
      </c>
      <c r="K42" s="133">
        <v>244.55</v>
      </c>
      <c r="L42" s="133">
        <v>27.88</v>
      </c>
      <c r="M42" s="133">
        <v>85.13</v>
      </c>
      <c r="N42" s="133">
        <v>279.89999999999998</v>
      </c>
      <c r="O42" s="133">
        <v>0</v>
      </c>
      <c r="P42" s="133">
        <v>0.7</v>
      </c>
      <c r="Q42" s="133">
        <v>4.12</v>
      </c>
    </row>
    <row r="43" spans="1:17" customFormat="1">
      <c r="A43" s="111" t="s">
        <v>273</v>
      </c>
      <c r="B43" s="133">
        <v>14.88</v>
      </c>
      <c r="C43" s="133">
        <v>25.74</v>
      </c>
      <c r="D43" s="133">
        <v>26.73</v>
      </c>
      <c r="E43" s="133">
        <v>8.36</v>
      </c>
      <c r="F43" s="133">
        <v>2.7</v>
      </c>
      <c r="G43" s="133">
        <v>20.86</v>
      </c>
      <c r="H43" s="133">
        <v>10.35</v>
      </c>
      <c r="I43" s="133">
        <v>6.13</v>
      </c>
      <c r="J43" s="133">
        <v>0.54</v>
      </c>
      <c r="K43" s="133">
        <v>262</v>
      </c>
      <c r="L43" s="133">
        <v>28.33</v>
      </c>
      <c r="M43" s="133">
        <v>83.8</v>
      </c>
      <c r="N43" s="133">
        <v>363.4</v>
      </c>
      <c r="O43" s="133">
        <v>0</v>
      </c>
      <c r="P43" s="133">
        <v>0.7</v>
      </c>
      <c r="Q43" s="133">
        <v>4.0999999999999996</v>
      </c>
    </row>
    <row r="44" spans="1:17" customFormat="1">
      <c r="A44" s="111" t="s">
        <v>274</v>
      </c>
      <c r="B44" s="133">
        <v>14.47</v>
      </c>
      <c r="C44" s="133">
        <v>26.06</v>
      </c>
      <c r="D44" s="133">
        <v>26.57</v>
      </c>
      <c r="E44" s="133">
        <v>7.85</v>
      </c>
      <c r="F44" s="133">
        <v>2.69</v>
      </c>
      <c r="G44" s="133">
        <v>27.83</v>
      </c>
      <c r="H44" s="133">
        <v>11.56</v>
      </c>
      <c r="I44" s="133">
        <v>6.17</v>
      </c>
      <c r="J44" s="133">
        <v>0.49</v>
      </c>
      <c r="K44" s="133">
        <v>272.18</v>
      </c>
      <c r="L44" s="133">
        <v>28.85</v>
      </c>
      <c r="M44" s="133">
        <v>81.89</v>
      </c>
      <c r="N44" s="133">
        <v>413.9</v>
      </c>
      <c r="O44" s="133">
        <v>0</v>
      </c>
      <c r="P44" s="133">
        <v>0.71</v>
      </c>
      <c r="Q44" s="133">
        <v>4.09</v>
      </c>
    </row>
    <row r="45" spans="1:17" customFormat="1">
      <c r="A45" s="111" t="s">
        <v>275</v>
      </c>
      <c r="B45" s="133">
        <v>13.98</v>
      </c>
      <c r="C45" s="133">
        <v>26.22</v>
      </c>
      <c r="D45" s="133">
        <v>26.26</v>
      </c>
      <c r="E45" s="133">
        <v>7.9</v>
      </c>
      <c r="F45" s="133">
        <v>2.7</v>
      </c>
      <c r="G45" s="133">
        <v>27.83</v>
      </c>
      <c r="H45" s="133">
        <v>11.56</v>
      </c>
      <c r="I45" s="133">
        <v>6.24</v>
      </c>
      <c r="J45" s="133">
        <v>0.57999999999999996</v>
      </c>
      <c r="K45" s="133">
        <v>265.57</v>
      </c>
      <c r="L45" s="133">
        <v>29.2</v>
      </c>
      <c r="M45" s="133">
        <v>79.709999999999994</v>
      </c>
      <c r="N45" s="133">
        <v>454.8</v>
      </c>
      <c r="O45" s="133">
        <v>0</v>
      </c>
      <c r="P45" s="133">
        <v>0.72</v>
      </c>
      <c r="Q45" s="133">
        <v>4.05</v>
      </c>
    </row>
    <row r="46" spans="1:17" customFormat="1">
      <c r="A46" s="111" t="s">
        <v>276</v>
      </c>
      <c r="B46" s="133">
        <v>13.42</v>
      </c>
      <c r="C46" s="133">
        <v>25.96</v>
      </c>
      <c r="D46" s="133">
        <v>25.68</v>
      </c>
      <c r="E46" s="133">
        <v>7.96</v>
      </c>
      <c r="F46" s="133">
        <v>2.84</v>
      </c>
      <c r="G46" s="133">
        <v>27.83</v>
      </c>
      <c r="H46" s="133">
        <v>11.56</v>
      </c>
      <c r="I46" s="133">
        <v>6.29</v>
      </c>
      <c r="J46" s="133">
        <v>0.38</v>
      </c>
      <c r="K46" s="133">
        <v>275.3</v>
      </c>
      <c r="L46" s="133">
        <v>29.72</v>
      </c>
      <c r="M46" s="133">
        <v>79.349999999999994</v>
      </c>
      <c r="N46" s="133">
        <v>444.9</v>
      </c>
      <c r="O46" s="133">
        <v>0</v>
      </c>
      <c r="P46" s="133">
        <v>0.73</v>
      </c>
      <c r="Q46" s="133">
        <v>4.03</v>
      </c>
    </row>
    <row r="47" spans="1:17" customFormat="1">
      <c r="A47" s="111" t="s">
        <v>277</v>
      </c>
      <c r="B47" s="133">
        <v>13.19</v>
      </c>
      <c r="C47" s="133">
        <v>26.26</v>
      </c>
      <c r="D47" s="133">
        <v>25.65</v>
      </c>
      <c r="E47" s="133">
        <v>8.2899999999999991</v>
      </c>
      <c r="F47" s="133">
        <v>3</v>
      </c>
      <c r="G47" s="133">
        <v>28.68</v>
      </c>
      <c r="H47" s="133">
        <v>13.42</v>
      </c>
      <c r="I47" s="133">
        <v>6.38</v>
      </c>
      <c r="J47" s="133">
        <v>0.43</v>
      </c>
      <c r="K47" s="133">
        <v>289.57</v>
      </c>
      <c r="L47" s="133">
        <v>30.2</v>
      </c>
      <c r="M47" s="133">
        <v>76.05</v>
      </c>
      <c r="N47" s="133">
        <v>431.5</v>
      </c>
      <c r="O47" s="133">
        <v>0</v>
      </c>
      <c r="P47" s="133">
        <v>0.76</v>
      </c>
      <c r="Q47" s="133">
        <v>4</v>
      </c>
    </row>
    <row r="48" spans="1:17" customFormat="1">
      <c r="A48" s="111" t="s">
        <v>278</v>
      </c>
      <c r="B48" s="133">
        <v>13.23</v>
      </c>
      <c r="C48" s="133">
        <v>25.57</v>
      </c>
      <c r="D48" s="133">
        <v>25.32</v>
      </c>
      <c r="E48" s="133">
        <v>8.23</v>
      </c>
      <c r="F48" s="133">
        <v>3.21</v>
      </c>
      <c r="G48" s="133">
        <v>31.68</v>
      </c>
      <c r="H48" s="133">
        <v>18.05</v>
      </c>
      <c r="I48" s="133">
        <v>6.51</v>
      </c>
      <c r="J48" s="133">
        <v>0.56000000000000005</v>
      </c>
      <c r="K48" s="133">
        <v>262.27999999999997</v>
      </c>
      <c r="L48" s="133">
        <v>30.49</v>
      </c>
      <c r="M48" s="133">
        <v>76.83</v>
      </c>
      <c r="N48" s="133">
        <v>430.8</v>
      </c>
      <c r="O48" s="133">
        <v>0</v>
      </c>
      <c r="P48" s="133">
        <v>0.76</v>
      </c>
      <c r="Q48" s="133">
        <v>3.96</v>
      </c>
    </row>
    <row r="49" spans="1:17" customFormat="1">
      <c r="A49" s="111" t="s">
        <v>279</v>
      </c>
      <c r="B49" s="133">
        <v>13.23</v>
      </c>
      <c r="C49" s="133">
        <v>24.53</v>
      </c>
      <c r="D49" s="133">
        <v>24.78</v>
      </c>
      <c r="E49" s="133">
        <v>7.12</v>
      </c>
      <c r="F49" s="133">
        <v>3.61</v>
      </c>
      <c r="G49" s="133">
        <v>31.68</v>
      </c>
      <c r="H49" s="133">
        <v>18.05</v>
      </c>
      <c r="I49" s="133">
        <v>6.67</v>
      </c>
      <c r="J49" s="133">
        <v>0.62</v>
      </c>
      <c r="K49" s="133">
        <v>256.57</v>
      </c>
      <c r="L49" s="133">
        <v>30.63</v>
      </c>
      <c r="M49" s="133">
        <v>76.959999999999994</v>
      </c>
      <c r="N49" s="133">
        <v>587.9</v>
      </c>
      <c r="O49" s="133">
        <v>0</v>
      </c>
      <c r="P49" s="133">
        <v>0.77</v>
      </c>
      <c r="Q49" s="133">
        <v>3.9</v>
      </c>
    </row>
    <row r="50" spans="1:17" customFormat="1">
      <c r="A50" s="111" t="s">
        <v>280</v>
      </c>
      <c r="B50" s="133">
        <v>13.19</v>
      </c>
      <c r="C50" s="133">
        <v>23.55</v>
      </c>
      <c r="D50" s="133">
        <v>24.23</v>
      </c>
      <c r="E50" s="133">
        <v>8.16</v>
      </c>
      <c r="F50" s="133">
        <v>3.91</v>
      </c>
      <c r="G50" s="133">
        <v>31.68</v>
      </c>
      <c r="H50" s="133">
        <v>18.05</v>
      </c>
      <c r="I50" s="133">
        <v>6.78</v>
      </c>
      <c r="J50" s="133">
        <v>0.52</v>
      </c>
      <c r="K50" s="133">
        <v>255.76</v>
      </c>
      <c r="L50" s="133">
        <v>30.95</v>
      </c>
      <c r="M50" s="133">
        <v>76.459999999999994</v>
      </c>
      <c r="N50" s="133">
        <v>567.9</v>
      </c>
      <c r="O50" s="133">
        <v>0</v>
      </c>
      <c r="P50" s="133">
        <v>0.8</v>
      </c>
      <c r="Q50" s="133">
        <v>3.87</v>
      </c>
    </row>
    <row r="51" spans="1:17" customFormat="1">
      <c r="A51" s="111" t="s">
        <v>281</v>
      </c>
      <c r="B51" s="133">
        <v>13.15</v>
      </c>
      <c r="C51" s="133">
        <v>22.49</v>
      </c>
      <c r="D51" s="133">
        <v>23.64</v>
      </c>
      <c r="E51" s="133">
        <v>8.69</v>
      </c>
      <c r="F51" s="133">
        <v>4.2</v>
      </c>
      <c r="G51" s="133">
        <v>33.03</v>
      </c>
      <c r="H51" s="133">
        <v>17.11</v>
      </c>
      <c r="I51" s="133">
        <v>6.92</v>
      </c>
      <c r="J51" s="133">
        <v>0.56999999999999995</v>
      </c>
      <c r="K51" s="133">
        <v>261.23</v>
      </c>
      <c r="L51" s="133">
        <v>30.83</v>
      </c>
      <c r="M51" s="133">
        <v>77.45</v>
      </c>
      <c r="N51" s="133">
        <v>613.4</v>
      </c>
      <c r="O51" s="133">
        <v>0</v>
      </c>
      <c r="P51" s="133">
        <v>0.79</v>
      </c>
      <c r="Q51" s="133">
        <v>3.83</v>
      </c>
    </row>
    <row r="52" spans="1:17" customFormat="1">
      <c r="A52" s="111" t="s">
        <v>282</v>
      </c>
      <c r="B52" s="133">
        <v>12.8</v>
      </c>
      <c r="C52" s="133">
        <v>21.93</v>
      </c>
      <c r="D52" s="133">
        <v>23.07</v>
      </c>
      <c r="E52" s="133">
        <v>8.18</v>
      </c>
      <c r="F52" s="133">
        <v>4.0599999999999996</v>
      </c>
      <c r="G52" s="133">
        <v>37.76</v>
      </c>
      <c r="H52" s="133">
        <v>14.9</v>
      </c>
      <c r="I52" s="133">
        <v>7.2</v>
      </c>
      <c r="J52" s="133">
        <v>0.5</v>
      </c>
      <c r="K52" s="133">
        <v>262.95</v>
      </c>
      <c r="L52" s="133">
        <v>31.17</v>
      </c>
      <c r="M52" s="133">
        <v>74.8</v>
      </c>
      <c r="N52" s="133">
        <v>548.6</v>
      </c>
      <c r="O52" s="133">
        <v>0</v>
      </c>
      <c r="P52" s="133">
        <v>0.76</v>
      </c>
      <c r="Q52" s="133">
        <v>3.81</v>
      </c>
    </row>
    <row r="53" spans="1:17" customFormat="1">
      <c r="A53" s="111" t="s">
        <v>283</v>
      </c>
      <c r="B53" s="133">
        <v>12.4</v>
      </c>
      <c r="C53" s="133">
        <v>21.71</v>
      </c>
      <c r="D53" s="133">
        <v>22.64</v>
      </c>
      <c r="E53" s="133">
        <v>8.51</v>
      </c>
      <c r="F53" s="133">
        <v>4.04</v>
      </c>
      <c r="G53" s="133">
        <v>37.76</v>
      </c>
      <c r="H53" s="133">
        <v>14.9</v>
      </c>
      <c r="I53" s="133">
        <v>7.15</v>
      </c>
      <c r="J53" s="133">
        <v>0.7</v>
      </c>
      <c r="K53" s="133">
        <v>265.64</v>
      </c>
      <c r="L53" s="133">
        <v>31.05</v>
      </c>
      <c r="M53" s="133">
        <v>73.8</v>
      </c>
      <c r="N53" s="133">
        <v>603.9</v>
      </c>
      <c r="O53" s="133">
        <v>0</v>
      </c>
      <c r="P53" s="133">
        <v>0.75</v>
      </c>
      <c r="Q53" s="133">
        <v>3.77</v>
      </c>
    </row>
    <row r="54" spans="1:17" customFormat="1">
      <c r="A54" s="111" t="s">
        <v>284</v>
      </c>
      <c r="B54" s="133">
        <v>12.06</v>
      </c>
      <c r="C54" s="133">
        <v>21.63</v>
      </c>
      <c r="D54" s="133">
        <v>22.32</v>
      </c>
      <c r="E54" s="133">
        <v>7.82</v>
      </c>
      <c r="F54" s="133">
        <v>4.62</v>
      </c>
      <c r="G54" s="133">
        <v>37.76</v>
      </c>
      <c r="H54" s="133">
        <v>14.9</v>
      </c>
      <c r="I54" s="133">
        <v>7.04</v>
      </c>
      <c r="J54" s="133">
        <v>0.62</v>
      </c>
      <c r="K54" s="133">
        <v>262.98</v>
      </c>
      <c r="L54" s="133">
        <v>31.03</v>
      </c>
      <c r="M54" s="133">
        <v>75.599999999999994</v>
      </c>
      <c r="N54" s="133">
        <v>616.9</v>
      </c>
      <c r="O54" s="133">
        <v>0</v>
      </c>
      <c r="P54" s="133">
        <v>0.73</v>
      </c>
      <c r="Q54" s="133">
        <v>3.75</v>
      </c>
    </row>
    <row r="55" spans="1:17" customFormat="1">
      <c r="A55" s="111" t="s">
        <v>285</v>
      </c>
      <c r="B55" s="133">
        <v>11.67</v>
      </c>
      <c r="C55" s="133">
        <v>21.19</v>
      </c>
      <c r="D55" s="133">
        <v>21.78</v>
      </c>
      <c r="E55" s="133">
        <v>7.65</v>
      </c>
      <c r="F55" s="133">
        <v>4.8600000000000003</v>
      </c>
      <c r="G55" s="133">
        <v>36.659999999999997</v>
      </c>
      <c r="H55" s="133">
        <v>14.97</v>
      </c>
      <c r="I55" s="133">
        <v>6.88</v>
      </c>
      <c r="J55" s="133">
        <v>0.62</v>
      </c>
      <c r="K55" s="133">
        <v>262.61</v>
      </c>
      <c r="L55" s="133">
        <v>31.59</v>
      </c>
      <c r="M55" s="133">
        <v>74.94</v>
      </c>
      <c r="N55" s="133">
        <v>638.6</v>
      </c>
      <c r="O55" s="133">
        <v>0</v>
      </c>
      <c r="P55" s="133">
        <v>0.72</v>
      </c>
      <c r="Q55" s="133">
        <v>3.72</v>
      </c>
    </row>
    <row r="56" spans="1:17" customFormat="1">
      <c r="A56" s="111" t="s">
        <v>286</v>
      </c>
      <c r="B56" s="133">
        <v>11.31</v>
      </c>
      <c r="C56" s="133">
        <v>20.89</v>
      </c>
      <c r="D56" s="133">
        <v>21.33</v>
      </c>
      <c r="E56" s="133">
        <v>7.45</v>
      </c>
      <c r="F56" s="133">
        <v>4.24</v>
      </c>
      <c r="G56" s="133">
        <v>33.07</v>
      </c>
      <c r="H56" s="133">
        <v>15.16</v>
      </c>
      <c r="I56" s="133">
        <v>6.74</v>
      </c>
      <c r="J56" s="133">
        <v>0.56999999999999995</v>
      </c>
      <c r="K56" s="133">
        <v>264.25</v>
      </c>
      <c r="L56" s="133">
        <v>30.75</v>
      </c>
      <c r="M56" s="133">
        <v>75.95</v>
      </c>
      <c r="N56" s="133">
        <v>147.9</v>
      </c>
      <c r="O56" s="133">
        <v>0</v>
      </c>
      <c r="P56" s="133">
        <v>0.71</v>
      </c>
      <c r="Q56" s="133">
        <v>3.68</v>
      </c>
    </row>
    <row r="57" spans="1:17" customFormat="1">
      <c r="A57" s="111" t="s">
        <v>287</v>
      </c>
      <c r="B57" s="133">
        <v>11.03</v>
      </c>
      <c r="C57" s="133">
        <v>20.65</v>
      </c>
      <c r="D57" s="133">
        <v>20.98</v>
      </c>
      <c r="E57" s="133">
        <v>7.2</v>
      </c>
      <c r="F57" s="133">
        <v>4.22</v>
      </c>
      <c r="G57" s="133">
        <v>33.07</v>
      </c>
      <c r="H57" s="133">
        <v>15.16</v>
      </c>
      <c r="I57" s="133">
        <v>6.63</v>
      </c>
      <c r="J57" s="133">
        <v>0.44</v>
      </c>
      <c r="K57" s="133">
        <v>255.74</v>
      </c>
      <c r="L57" s="133">
        <v>30.73</v>
      </c>
      <c r="M57" s="133">
        <v>76.92</v>
      </c>
      <c r="N57" s="133">
        <v>514.29999999999995</v>
      </c>
      <c r="O57" s="133">
        <v>0</v>
      </c>
      <c r="P57" s="133">
        <v>0.7</v>
      </c>
      <c r="Q57" s="133">
        <v>3.67</v>
      </c>
    </row>
    <row r="58" spans="1:17" customFormat="1">
      <c r="A58" s="111" t="s">
        <v>288</v>
      </c>
      <c r="B58" s="133">
        <v>10.64</v>
      </c>
      <c r="C58" s="133">
        <v>20.54</v>
      </c>
      <c r="D58" s="133">
        <v>20.62</v>
      </c>
      <c r="E58" s="133">
        <v>7.2</v>
      </c>
      <c r="F58" s="133">
        <v>4.9800000000000004</v>
      </c>
      <c r="G58" s="133">
        <v>33.07</v>
      </c>
      <c r="H58" s="133">
        <v>15.16</v>
      </c>
      <c r="I58" s="133">
        <v>6.54</v>
      </c>
      <c r="J58" s="133">
        <v>0.61</v>
      </c>
      <c r="K58" s="133">
        <v>266.77999999999997</v>
      </c>
      <c r="L58" s="133">
        <v>31.29</v>
      </c>
      <c r="M58" s="133">
        <v>73.599999999999994</v>
      </c>
      <c r="N58" s="133">
        <v>425</v>
      </c>
      <c r="O58" s="133">
        <v>0</v>
      </c>
      <c r="P58" s="133">
        <v>0.7</v>
      </c>
      <c r="Q58" s="133">
        <v>3.66</v>
      </c>
    </row>
    <row r="59" spans="1:17" customFormat="1">
      <c r="A59" s="111" t="s">
        <v>289</v>
      </c>
      <c r="B59" s="133">
        <v>10.45</v>
      </c>
      <c r="C59" s="133">
        <v>20.39</v>
      </c>
      <c r="D59" s="133">
        <v>20.38</v>
      </c>
      <c r="E59" s="133">
        <v>7.31</v>
      </c>
      <c r="F59" s="133">
        <v>5.78</v>
      </c>
      <c r="G59" s="133">
        <v>32.99</v>
      </c>
      <c r="H59" s="133">
        <v>15.22</v>
      </c>
      <c r="I59" s="133">
        <v>6.39</v>
      </c>
      <c r="J59" s="133">
        <v>0.6</v>
      </c>
      <c r="K59" s="133">
        <v>272.42</v>
      </c>
      <c r="L59" s="133">
        <v>31.42</v>
      </c>
      <c r="M59" s="133">
        <v>72.03</v>
      </c>
      <c r="N59" s="133">
        <v>487.7</v>
      </c>
      <c r="O59" s="133">
        <v>0</v>
      </c>
      <c r="P59" s="133">
        <v>0.71</v>
      </c>
      <c r="Q59" s="133">
        <v>3.65</v>
      </c>
    </row>
    <row r="60" spans="1:17" customFormat="1">
      <c r="A60" s="111" t="s">
        <v>290</v>
      </c>
      <c r="B60" s="133">
        <v>10.11</v>
      </c>
      <c r="C60" s="133">
        <v>20.059999999999999</v>
      </c>
      <c r="D60" s="133">
        <v>19.940000000000001</v>
      </c>
      <c r="E60" s="133">
        <v>8.06</v>
      </c>
      <c r="F60" s="133">
        <v>7.41</v>
      </c>
      <c r="G60" s="133">
        <v>32.729999999999997</v>
      </c>
      <c r="H60" s="133">
        <v>15.51</v>
      </c>
      <c r="I60" s="133">
        <v>6.44</v>
      </c>
      <c r="J60" s="133">
        <v>0.56999999999999995</v>
      </c>
      <c r="K60" s="133">
        <v>258.75</v>
      </c>
      <c r="L60" s="133">
        <v>31.9</v>
      </c>
      <c r="M60" s="133">
        <v>72.36</v>
      </c>
      <c r="N60" s="133">
        <v>675.6</v>
      </c>
      <c r="O60" s="133">
        <v>0</v>
      </c>
      <c r="P60" s="133">
        <v>0.7</v>
      </c>
      <c r="Q60" s="133">
        <v>3.63</v>
      </c>
    </row>
    <row r="61" spans="1:17" customFormat="1">
      <c r="A61" s="111" t="s">
        <v>291</v>
      </c>
      <c r="B61" s="133">
        <v>9.84</v>
      </c>
      <c r="C61" s="133">
        <v>20.93</v>
      </c>
      <c r="D61" s="133">
        <v>20.18</v>
      </c>
      <c r="E61" s="133">
        <v>7.49</v>
      </c>
      <c r="F61" s="133">
        <v>5.44</v>
      </c>
      <c r="G61" s="133">
        <v>32.729999999999997</v>
      </c>
      <c r="H61" s="133">
        <v>15.51</v>
      </c>
      <c r="I61" s="133">
        <v>6.44</v>
      </c>
      <c r="J61" s="133">
        <v>0.64</v>
      </c>
      <c r="K61" s="133">
        <v>272.45999999999998</v>
      </c>
      <c r="L61" s="133">
        <v>32.08</v>
      </c>
      <c r="M61" s="133">
        <v>72.709999999999994</v>
      </c>
      <c r="N61" s="133">
        <v>561.20000000000005</v>
      </c>
      <c r="O61" s="133">
        <v>0</v>
      </c>
      <c r="P61" s="133">
        <v>0.7</v>
      </c>
      <c r="Q61" s="133">
        <v>3.58</v>
      </c>
    </row>
    <row r="62" spans="1:17" customFormat="1">
      <c r="A62" s="111" t="s">
        <v>292</v>
      </c>
      <c r="B62" s="133">
        <v>9.5</v>
      </c>
      <c r="C62" s="133">
        <v>20.82</v>
      </c>
      <c r="D62" s="133">
        <v>19.850000000000001</v>
      </c>
      <c r="E62" s="133">
        <v>7.98</v>
      </c>
      <c r="F62" s="133">
        <v>5.34</v>
      </c>
      <c r="G62" s="133">
        <v>32.729999999999997</v>
      </c>
      <c r="H62" s="133">
        <v>15.51</v>
      </c>
      <c r="I62" s="133">
        <v>6.46</v>
      </c>
      <c r="J62" s="133">
        <v>0.57999999999999996</v>
      </c>
      <c r="K62" s="133">
        <v>260.38</v>
      </c>
      <c r="L62" s="133">
        <v>32.200000000000003</v>
      </c>
      <c r="M62" s="133">
        <v>71.16</v>
      </c>
      <c r="N62" s="133">
        <v>582.70000000000005</v>
      </c>
      <c r="O62" s="133">
        <v>0</v>
      </c>
      <c r="P62" s="133">
        <v>0.71</v>
      </c>
      <c r="Q62" s="133">
        <v>3.58</v>
      </c>
    </row>
    <row r="63" spans="1:17" customFormat="1">
      <c r="A63" s="111" t="s">
        <v>293</v>
      </c>
      <c r="B63" s="133">
        <v>9.17</v>
      </c>
      <c r="C63" s="133">
        <v>20.07</v>
      </c>
      <c r="D63" s="133">
        <v>19.190000000000001</v>
      </c>
      <c r="E63" s="133">
        <v>7.33</v>
      </c>
      <c r="F63" s="133">
        <v>6.82</v>
      </c>
      <c r="G63" s="133">
        <v>32.89</v>
      </c>
      <c r="H63" s="133">
        <v>14.7</v>
      </c>
      <c r="I63" s="133">
        <v>6.48</v>
      </c>
      <c r="J63" s="133">
        <v>0.74</v>
      </c>
      <c r="K63" s="133">
        <v>271.05</v>
      </c>
      <c r="L63" s="133">
        <v>31.78</v>
      </c>
      <c r="M63" s="133">
        <v>70.12</v>
      </c>
      <c r="N63" s="133">
        <v>387.1</v>
      </c>
      <c r="O63" s="133">
        <v>0</v>
      </c>
      <c r="P63" s="133">
        <v>0.69</v>
      </c>
      <c r="Q63" s="133">
        <v>3.56</v>
      </c>
    </row>
    <row r="64" spans="1:17" customFormat="1">
      <c r="A64" s="111" t="s">
        <v>294</v>
      </c>
      <c r="B64" s="133">
        <v>8.77</v>
      </c>
      <c r="C64" s="133">
        <v>20.55</v>
      </c>
      <c r="D64" s="133">
        <v>19.12</v>
      </c>
      <c r="E64" s="133">
        <v>7.46</v>
      </c>
      <c r="F64" s="133">
        <v>6.58</v>
      </c>
      <c r="G64" s="133">
        <v>33.47</v>
      </c>
      <c r="H64" s="133">
        <v>12.8</v>
      </c>
      <c r="I64" s="133">
        <v>6.51</v>
      </c>
      <c r="J64" s="133">
        <v>0.57999999999999996</v>
      </c>
      <c r="K64" s="133">
        <v>280.36</v>
      </c>
      <c r="L64" s="133">
        <v>31.3</v>
      </c>
      <c r="M64" s="133">
        <v>71.87</v>
      </c>
      <c r="N64" s="133">
        <v>215.3</v>
      </c>
      <c r="O64" s="133">
        <v>0</v>
      </c>
      <c r="P64" s="133">
        <v>0.68</v>
      </c>
      <c r="Q64" s="133">
        <v>3.53</v>
      </c>
    </row>
    <row r="65" spans="1:17" customFormat="1">
      <c r="A65" s="111" t="s">
        <v>295</v>
      </c>
      <c r="B65" s="133">
        <v>8.5</v>
      </c>
      <c r="C65" s="133">
        <v>20.95</v>
      </c>
      <c r="D65" s="133">
        <v>19.12</v>
      </c>
      <c r="E65" s="133">
        <v>8.1199999999999992</v>
      </c>
      <c r="F65" s="133">
        <v>7.84</v>
      </c>
      <c r="G65" s="133">
        <v>33.47</v>
      </c>
      <c r="H65" s="133">
        <v>12.8</v>
      </c>
      <c r="I65" s="133">
        <v>6.34</v>
      </c>
      <c r="J65" s="133">
        <v>0.43</v>
      </c>
      <c r="K65" s="133">
        <v>300.22000000000003</v>
      </c>
      <c r="L65" s="133">
        <v>31.37</v>
      </c>
      <c r="M65" s="133">
        <v>71.69</v>
      </c>
      <c r="N65" s="133">
        <v>298.60000000000002</v>
      </c>
      <c r="O65" s="133">
        <v>0</v>
      </c>
      <c r="P65" s="133">
        <v>0.64</v>
      </c>
      <c r="Q65" s="133">
        <v>3.53</v>
      </c>
    </row>
    <row r="66" spans="1:17" customFormat="1">
      <c r="A66" s="111" t="s">
        <v>296</v>
      </c>
      <c r="B66" s="133">
        <v>8.27</v>
      </c>
      <c r="C66" s="133">
        <v>21.68</v>
      </c>
      <c r="D66" s="133">
        <v>19.309999999999999</v>
      </c>
      <c r="E66" s="133">
        <v>7.2</v>
      </c>
      <c r="F66" s="133">
        <v>5.9</v>
      </c>
      <c r="G66" s="133">
        <v>33.47</v>
      </c>
      <c r="H66" s="133">
        <v>12.8</v>
      </c>
      <c r="I66" s="133">
        <v>6.32</v>
      </c>
      <c r="J66" s="133">
        <v>0.75</v>
      </c>
      <c r="K66" s="133">
        <v>277.58999999999997</v>
      </c>
      <c r="L66" s="133">
        <v>31.13</v>
      </c>
      <c r="M66" s="133">
        <v>73.209999999999994</v>
      </c>
      <c r="N66" s="133">
        <v>182</v>
      </c>
      <c r="O66" s="133">
        <v>0</v>
      </c>
      <c r="P66" s="133">
        <v>0.68</v>
      </c>
      <c r="Q66" s="133">
        <v>3.51</v>
      </c>
    </row>
    <row r="67" spans="1:17" customFormat="1">
      <c r="A67" s="111" t="s">
        <v>297</v>
      </c>
      <c r="B67" s="133">
        <v>7.69</v>
      </c>
      <c r="C67" s="133">
        <v>22.25</v>
      </c>
      <c r="D67" s="133">
        <v>19.149999999999999</v>
      </c>
      <c r="E67" s="133">
        <v>6.96</v>
      </c>
      <c r="F67" s="133">
        <v>5.81</v>
      </c>
      <c r="G67" s="133">
        <v>33.67</v>
      </c>
      <c r="H67" s="133">
        <v>12.26</v>
      </c>
      <c r="I67" s="133">
        <v>6.11</v>
      </c>
      <c r="J67" s="133">
        <v>0.7</v>
      </c>
      <c r="K67" s="133">
        <v>277.29000000000002</v>
      </c>
      <c r="L67" s="133">
        <v>31.42</v>
      </c>
      <c r="M67" s="133">
        <v>71.540000000000006</v>
      </c>
      <c r="N67" s="133">
        <v>215.4</v>
      </c>
      <c r="O67" s="133">
        <v>0</v>
      </c>
      <c r="P67" s="133">
        <v>0.66</v>
      </c>
      <c r="Q67" s="133">
        <v>3.51</v>
      </c>
    </row>
    <row r="68" spans="1:17" customFormat="1">
      <c r="A68" s="111" t="s">
        <v>298</v>
      </c>
      <c r="B68" s="133">
        <v>7.41</v>
      </c>
      <c r="C68" s="133">
        <v>22.07</v>
      </c>
      <c r="D68" s="133">
        <v>18.82</v>
      </c>
      <c r="E68" s="133">
        <v>7.03</v>
      </c>
      <c r="F68" s="133">
        <v>6.19</v>
      </c>
      <c r="G68" s="133">
        <v>34.32</v>
      </c>
      <c r="H68" s="133">
        <v>10.98</v>
      </c>
      <c r="I68" s="133">
        <v>6.18</v>
      </c>
      <c r="J68" s="133">
        <v>0.62</v>
      </c>
      <c r="K68" s="133">
        <v>284.02</v>
      </c>
      <c r="L68" s="133">
        <v>31.21</v>
      </c>
      <c r="M68" s="133">
        <v>71.180000000000007</v>
      </c>
      <c r="N68" s="133">
        <v>201.2</v>
      </c>
      <c r="O68" s="133">
        <v>0</v>
      </c>
      <c r="P68" s="133">
        <v>0.63</v>
      </c>
      <c r="Q68" s="133">
        <v>3.5</v>
      </c>
    </row>
    <row r="69" spans="1:17" customFormat="1">
      <c r="A69" s="111" t="s">
        <v>299</v>
      </c>
      <c r="B69" s="133">
        <v>7.27</v>
      </c>
      <c r="C69" s="133">
        <v>22.26</v>
      </c>
      <c r="D69" s="133">
        <v>18.809999999999999</v>
      </c>
      <c r="E69" s="133">
        <v>6.92</v>
      </c>
      <c r="F69" s="133">
        <v>5.53</v>
      </c>
      <c r="G69" s="133">
        <v>34.32</v>
      </c>
      <c r="H69" s="133">
        <v>10.98</v>
      </c>
      <c r="I69" s="133">
        <v>5.89</v>
      </c>
      <c r="J69" s="133">
        <v>0.74</v>
      </c>
      <c r="K69" s="133">
        <v>267.95</v>
      </c>
      <c r="L69" s="133">
        <v>31.01</v>
      </c>
      <c r="M69" s="133">
        <v>71.64</v>
      </c>
      <c r="N69" s="133">
        <v>178</v>
      </c>
      <c r="O69" s="133">
        <v>0</v>
      </c>
      <c r="P69" s="133">
        <v>0.63</v>
      </c>
      <c r="Q69" s="133">
        <v>3.49</v>
      </c>
    </row>
    <row r="70" spans="1:17" customFormat="1">
      <c r="A70" s="111" t="s">
        <v>300</v>
      </c>
      <c r="B70" s="133">
        <v>7.13</v>
      </c>
      <c r="C70" s="133">
        <v>22.69</v>
      </c>
      <c r="D70" s="133">
        <v>18.920000000000002</v>
      </c>
      <c r="E70" s="133">
        <v>7.52</v>
      </c>
      <c r="F70" s="133">
        <v>5.34</v>
      </c>
      <c r="G70" s="133">
        <v>34.32</v>
      </c>
      <c r="H70" s="133">
        <v>10.98</v>
      </c>
      <c r="I70" s="133">
        <v>5.74</v>
      </c>
      <c r="J70" s="133">
        <v>0.56000000000000005</v>
      </c>
      <c r="K70" s="133">
        <v>268.92</v>
      </c>
      <c r="L70" s="133">
        <v>30.94</v>
      </c>
      <c r="M70" s="133">
        <v>71.069999999999993</v>
      </c>
      <c r="N70" s="133">
        <v>269.5</v>
      </c>
      <c r="O70" s="133">
        <v>0</v>
      </c>
      <c r="P70" s="133">
        <v>0.63</v>
      </c>
      <c r="Q70" s="133">
        <v>3.48</v>
      </c>
    </row>
    <row r="71" spans="1:17" customFormat="1">
      <c r="A71" s="111" t="s">
        <v>301</v>
      </c>
      <c r="B71" s="133">
        <v>7.09</v>
      </c>
      <c r="C71" s="133">
        <v>23.03</v>
      </c>
      <c r="D71" s="133">
        <v>19.07</v>
      </c>
      <c r="E71" s="133">
        <v>7.37</v>
      </c>
      <c r="F71" s="133">
        <v>6.6</v>
      </c>
      <c r="G71" s="133">
        <v>33.06</v>
      </c>
      <c r="H71" s="133">
        <v>11.75</v>
      </c>
      <c r="I71" s="133">
        <v>5.66</v>
      </c>
      <c r="J71" s="133">
        <v>0.71</v>
      </c>
      <c r="K71" s="133">
        <v>269.11</v>
      </c>
      <c r="L71" s="133">
        <v>30.94</v>
      </c>
      <c r="M71" s="133">
        <v>70.849999999999994</v>
      </c>
      <c r="N71" s="133">
        <v>149.19999999999999</v>
      </c>
      <c r="O71" s="133">
        <v>0</v>
      </c>
      <c r="P71" s="133">
        <v>0.61</v>
      </c>
      <c r="Q71" s="133">
        <v>3.5</v>
      </c>
    </row>
    <row r="72" spans="1:17" customFormat="1">
      <c r="A72" s="111" t="s">
        <v>302</v>
      </c>
      <c r="B72" s="133">
        <v>7.27</v>
      </c>
      <c r="C72" s="133">
        <v>23.08</v>
      </c>
      <c r="D72" s="133">
        <v>19.239999999999998</v>
      </c>
      <c r="E72" s="133">
        <v>7.31</v>
      </c>
      <c r="F72" s="133">
        <v>7.49</v>
      </c>
      <c r="G72" s="133">
        <v>28.65</v>
      </c>
      <c r="H72" s="133">
        <v>13.67</v>
      </c>
      <c r="I72" s="133">
        <v>5.5</v>
      </c>
      <c r="J72" s="133">
        <v>0.59</v>
      </c>
      <c r="K72" s="133">
        <v>293.92</v>
      </c>
      <c r="L72" s="133">
        <v>30.61</v>
      </c>
      <c r="M72" s="133">
        <v>71.760000000000005</v>
      </c>
      <c r="N72" s="133">
        <v>100.3</v>
      </c>
      <c r="O72" s="133">
        <v>0</v>
      </c>
      <c r="P72" s="133">
        <v>0.62</v>
      </c>
      <c r="Q72" s="133">
        <v>3.52</v>
      </c>
    </row>
    <row r="73" spans="1:17" customFormat="1">
      <c r="A73" s="111" t="s">
        <v>303</v>
      </c>
      <c r="B73" s="133">
        <v>7.39</v>
      </c>
      <c r="C73" s="133">
        <v>23.38</v>
      </c>
      <c r="D73" s="133">
        <v>19.5</v>
      </c>
      <c r="E73" s="133">
        <v>7.26</v>
      </c>
      <c r="F73" s="133">
        <v>6.44</v>
      </c>
      <c r="G73" s="133">
        <v>28.65</v>
      </c>
      <c r="H73" s="133">
        <v>13.67</v>
      </c>
      <c r="I73" s="133">
        <v>5.34</v>
      </c>
      <c r="J73" s="133">
        <v>0.67</v>
      </c>
      <c r="K73" s="133">
        <v>274.44</v>
      </c>
      <c r="L73" s="133">
        <v>30.53</v>
      </c>
      <c r="M73" s="133">
        <v>71.8</v>
      </c>
      <c r="N73" s="133">
        <v>82</v>
      </c>
      <c r="O73" s="133">
        <v>0</v>
      </c>
      <c r="P73" s="133">
        <v>0.61</v>
      </c>
      <c r="Q73" s="133">
        <v>3.52</v>
      </c>
    </row>
    <row r="74" spans="1:17" customFormat="1">
      <c r="A74" s="111" t="s">
        <v>304</v>
      </c>
      <c r="B74" s="133">
        <v>7.27</v>
      </c>
      <c r="C74" s="133">
        <v>23.63</v>
      </c>
      <c r="D74" s="133">
        <v>19.52</v>
      </c>
      <c r="E74" s="133">
        <v>7.57</v>
      </c>
      <c r="F74" s="133">
        <v>6.31</v>
      </c>
      <c r="G74" s="133">
        <v>28.65</v>
      </c>
      <c r="H74" s="133">
        <v>13.67</v>
      </c>
      <c r="I74" s="133">
        <v>5.25</v>
      </c>
      <c r="J74" s="133">
        <v>0.81</v>
      </c>
      <c r="K74" s="133">
        <v>271.12</v>
      </c>
      <c r="L74" s="133">
        <v>30.33</v>
      </c>
      <c r="M74" s="133">
        <v>74.53</v>
      </c>
      <c r="N74" s="133">
        <v>72.400000000000006</v>
      </c>
      <c r="O74" s="133">
        <v>0</v>
      </c>
      <c r="P74" s="133">
        <v>0.62</v>
      </c>
      <c r="Q74" s="133">
        <v>3.52</v>
      </c>
    </row>
    <row r="75" spans="1:17" customFormat="1">
      <c r="A75" s="111" t="s">
        <v>305</v>
      </c>
      <c r="B75" s="133">
        <v>7.24</v>
      </c>
      <c r="C75" s="133">
        <v>23.53</v>
      </c>
      <c r="D75" s="133">
        <v>19.46</v>
      </c>
      <c r="E75" s="133">
        <v>7.39</v>
      </c>
      <c r="F75" s="133">
        <v>6.12</v>
      </c>
      <c r="G75" s="133">
        <v>29.85</v>
      </c>
      <c r="H75" s="133">
        <v>13.96</v>
      </c>
      <c r="I75" s="133">
        <v>5.29</v>
      </c>
      <c r="J75" s="133">
        <v>0.78</v>
      </c>
      <c r="K75" s="133">
        <v>264.94</v>
      </c>
      <c r="L75" s="133">
        <v>30.1</v>
      </c>
      <c r="M75" s="133">
        <v>76.06</v>
      </c>
      <c r="N75" s="133">
        <v>48.9</v>
      </c>
      <c r="O75" s="133">
        <v>0</v>
      </c>
      <c r="P75" s="133">
        <v>0.63</v>
      </c>
      <c r="Q75" s="133">
        <v>3.51</v>
      </c>
    </row>
    <row r="76" spans="1:17" customFormat="1">
      <c r="A76" s="111" t="s">
        <v>306</v>
      </c>
      <c r="B76" s="133">
        <v>7.23</v>
      </c>
      <c r="C76" s="133">
        <v>23.92</v>
      </c>
      <c r="D76" s="133">
        <v>19.649999999999999</v>
      </c>
      <c r="E76" s="133">
        <v>7.98</v>
      </c>
      <c r="F76" s="133">
        <v>5.71</v>
      </c>
      <c r="G76" s="133">
        <v>34.28</v>
      </c>
      <c r="H76" s="133">
        <v>14.7</v>
      </c>
      <c r="I76" s="133">
        <v>5.5</v>
      </c>
      <c r="J76" s="133">
        <v>0.7</v>
      </c>
      <c r="K76" s="133">
        <v>279.74</v>
      </c>
      <c r="L76" s="133">
        <v>29.82</v>
      </c>
      <c r="M76" s="133">
        <v>74.88</v>
      </c>
      <c r="N76" s="133">
        <v>35.1</v>
      </c>
      <c r="O76" s="133">
        <v>0</v>
      </c>
      <c r="P76" s="133">
        <v>0.63</v>
      </c>
      <c r="Q76" s="133">
        <v>3.54</v>
      </c>
    </row>
    <row r="77" spans="1:17" customFormat="1">
      <c r="A77" s="111" t="s">
        <v>307</v>
      </c>
      <c r="B77" s="133">
        <v>7.28</v>
      </c>
      <c r="C77" s="133">
        <v>24.04</v>
      </c>
      <c r="D77" s="133">
        <v>19.75</v>
      </c>
      <c r="E77" s="133">
        <v>7.85</v>
      </c>
      <c r="F77" s="133">
        <v>6.01</v>
      </c>
      <c r="G77" s="133">
        <v>34.28</v>
      </c>
      <c r="H77" s="133">
        <v>14.7</v>
      </c>
      <c r="I77" s="133">
        <v>5.53</v>
      </c>
      <c r="J77" s="133">
        <v>0.95</v>
      </c>
      <c r="K77" s="133">
        <v>269.35000000000002</v>
      </c>
      <c r="L77" s="133">
        <v>29.82</v>
      </c>
      <c r="M77" s="133">
        <v>73.09</v>
      </c>
      <c r="N77" s="133">
        <v>19.8</v>
      </c>
      <c r="O77" s="133">
        <v>0</v>
      </c>
      <c r="P77" s="133">
        <v>0.62</v>
      </c>
      <c r="Q77" s="133">
        <v>3.56</v>
      </c>
    </row>
    <row r="78" spans="1:17" customFormat="1">
      <c r="A78" s="111" t="s">
        <v>308</v>
      </c>
      <c r="B78" s="133">
        <v>7.3</v>
      </c>
      <c r="C78" s="133">
        <v>24.29</v>
      </c>
      <c r="D78" s="133">
        <v>19.89</v>
      </c>
      <c r="E78" s="133">
        <v>7.91</v>
      </c>
      <c r="F78" s="133">
        <v>5.1100000000000003</v>
      </c>
      <c r="G78" s="133">
        <v>34.28</v>
      </c>
      <c r="H78" s="133">
        <v>14.7</v>
      </c>
      <c r="I78" s="133">
        <v>5.53</v>
      </c>
      <c r="J78" s="133">
        <v>0.7</v>
      </c>
      <c r="K78" s="133">
        <v>281.95999999999998</v>
      </c>
      <c r="L78" s="133">
        <v>29.59</v>
      </c>
      <c r="M78" s="133">
        <v>71.89</v>
      </c>
      <c r="N78" s="133">
        <v>9.9</v>
      </c>
      <c r="O78" s="133">
        <v>0</v>
      </c>
      <c r="P78" s="133">
        <v>0.62</v>
      </c>
      <c r="Q78" s="133">
        <v>3.56</v>
      </c>
    </row>
    <row r="79" spans="1:17" customFormat="1">
      <c r="A79" s="111" t="s">
        <v>309</v>
      </c>
      <c r="B79" s="133">
        <v>7.43</v>
      </c>
      <c r="C79" s="133">
        <v>24.63</v>
      </c>
      <c r="D79" s="133">
        <v>20.18</v>
      </c>
      <c r="E79" s="133">
        <v>7.88</v>
      </c>
      <c r="F79" s="133">
        <v>5.07</v>
      </c>
      <c r="G79" s="133">
        <v>34.74</v>
      </c>
      <c r="H79" s="133">
        <v>14.45</v>
      </c>
      <c r="I79" s="133">
        <v>5.48</v>
      </c>
      <c r="J79" s="133">
        <v>0.54</v>
      </c>
      <c r="K79" s="133">
        <v>295.45999999999998</v>
      </c>
      <c r="L79" s="133">
        <v>29.37</v>
      </c>
      <c r="M79" s="133">
        <v>71.989999999999995</v>
      </c>
      <c r="N79" s="133">
        <v>0.5</v>
      </c>
      <c r="O79" s="133">
        <v>0</v>
      </c>
      <c r="P79" s="133">
        <v>0.63</v>
      </c>
      <c r="Q79" s="133">
        <v>3.58</v>
      </c>
    </row>
    <row r="80" spans="1:17" customFormat="1">
      <c r="A80" s="111" t="s">
        <v>310</v>
      </c>
      <c r="B80" s="133">
        <v>7.61</v>
      </c>
      <c r="C80" s="133">
        <v>24.94</v>
      </c>
      <c r="D80" s="133">
        <v>20.49</v>
      </c>
      <c r="E80" s="133">
        <v>7.69</v>
      </c>
      <c r="F80" s="133">
        <v>5.93</v>
      </c>
      <c r="G80" s="133">
        <v>36.26</v>
      </c>
      <c r="H80" s="133">
        <v>13.83</v>
      </c>
      <c r="I80" s="133">
        <v>5.42</v>
      </c>
      <c r="J80" s="133">
        <v>0.55000000000000004</v>
      </c>
      <c r="K80" s="133">
        <v>31.25</v>
      </c>
      <c r="L80" s="133">
        <v>28.78</v>
      </c>
      <c r="M80" s="133">
        <v>76.290000000000006</v>
      </c>
      <c r="N80" s="133">
        <v>0</v>
      </c>
      <c r="O80" s="133">
        <v>0</v>
      </c>
      <c r="P80" s="133">
        <v>0.65</v>
      </c>
      <c r="Q80" s="133">
        <v>3.62</v>
      </c>
    </row>
    <row r="81" spans="1:17" customFormat="1">
      <c r="A81" s="111" t="s">
        <v>311</v>
      </c>
      <c r="B81" s="133">
        <v>7.89</v>
      </c>
      <c r="C81" s="133">
        <v>25.51</v>
      </c>
      <c r="D81" s="133">
        <v>21</v>
      </c>
      <c r="E81" s="133">
        <v>6.7</v>
      </c>
      <c r="F81" s="133">
        <v>4.63</v>
      </c>
      <c r="G81" s="133">
        <v>36.26</v>
      </c>
      <c r="H81" s="133">
        <v>13.83</v>
      </c>
      <c r="I81" s="133">
        <v>5.35</v>
      </c>
      <c r="J81" s="133">
        <v>0.95</v>
      </c>
      <c r="K81" s="133">
        <v>24.38</v>
      </c>
      <c r="L81" s="133">
        <v>27.62</v>
      </c>
      <c r="M81" s="133">
        <v>82.25</v>
      </c>
      <c r="N81" s="133">
        <v>0</v>
      </c>
      <c r="O81" s="133">
        <v>0</v>
      </c>
      <c r="P81" s="133">
        <v>0.64</v>
      </c>
      <c r="Q81" s="133">
        <v>3.65</v>
      </c>
    </row>
    <row r="82" spans="1:17" customFormat="1">
      <c r="A82" s="111" t="s">
        <v>312</v>
      </c>
      <c r="B82" s="133">
        <v>8.42</v>
      </c>
      <c r="C82" s="133">
        <v>26.17</v>
      </c>
      <c r="D82" s="133">
        <v>21.77</v>
      </c>
      <c r="E82" s="133">
        <v>7.66</v>
      </c>
      <c r="F82" s="133">
        <v>3.74</v>
      </c>
      <c r="G82" s="133">
        <v>36.26</v>
      </c>
      <c r="H82" s="133">
        <v>13.83</v>
      </c>
      <c r="I82" s="133">
        <v>5.3</v>
      </c>
      <c r="J82" s="133">
        <v>0.64</v>
      </c>
      <c r="K82" s="133">
        <v>28.43</v>
      </c>
      <c r="L82" s="133">
        <v>27.22</v>
      </c>
      <c r="M82" s="133">
        <v>85.83</v>
      </c>
      <c r="N82" s="133">
        <v>0</v>
      </c>
      <c r="O82" s="133">
        <v>0</v>
      </c>
      <c r="P82" s="133">
        <v>0.64</v>
      </c>
      <c r="Q82" s="133">
        <v>3.67</v>
      </c>
    </row>
    <row r="83" spans="1:17" customFormat="1">
      <c r="A83" s="111" t="s">
        <v>313</v>
      </c>
      <c r="B83" s="133">
        <v>8.9700000000000006</v>
      </c>
      <c r="C83" s="133">
        <v>26.41</v>
      </c>
      <c r="D83" s="133">
        <v>22.34</v>
      </c>
      <c r="E83" s="133">
        <v>8.1999999999999993</v>
      </c>
      <c r="F83" s="133">
        <v>4.04</v>
      </c>
      <c r="G83" s="133">
        <v>37.61</v>
      </c>
      <c r="H83" s="133">
        <v>13.88</v>
      </c>
      <c r="I83" s="133">
        <v>5.3</v>
      </c>
      <c r="J83" s="133">
        <v>0.28999999999999998</v>
      </c>
      <c r="K83" s="133">
        <v>1.31</v>
      </c>
      <c r="L83" s="133">
        <v>27.21</v>
      </c>
      <c r="M83" s="133">
        <v>87.81</v>
      </c>
      <c r="N83" s="133">
        <v>0</v>
      </c>
      <c r="O83" s="133">
        <v>0</v>
      </c>
      <c r="P83" s="133">
        <v>0.66</v>
      </c>
      <c r="Q83" s="133">
        <v>3.7</v>
      </c>
    </row>
    <row r="84" spans="1:17" customFormat="1">
      <c r="A84" s="111" t="s">
        <v>314</v>
      </c>
      <c r="B84" s="133">
        <v>9.3699999999999992</v>
      </c>
      <c r="C84" s="133">
        <v>26.78</v>
      </c>
      <c r="D84" s="133">
        <v>22.86</v>
      </c>
      <c r="E84" s="133">
        <v>7.93</v>
      </c>
      <c r="F84" s="133">
        <v>3.72</v>
      </c>
      <c r="G84" s="133">
        <v>42.06</v>
      </c>
      <c r="H84" s="133">
        <v>14.22</v>
      </c>
      <c r="I84" s="133">
        <v>5.29</v>
      </c>
      <c r="J84" s="133">
        <v>0.22</v>
      </c>
      <c r="K84" s="133">
        <v>334.09</v>
      </c>
      <c r="L84" s="133">
        <v>26.8</v>
      </c>
      <c r="M84" s="133">
        <v>89.66</v>
      </c>
      <c r="N84" s="133">
        <v>0</v>
      </c>
      <c r="O84" s="133">
        <v>0.2</v>
      </c>
      <c r="P84" s="133">
        <v>0.66</v>
      </c>
      <c r="Q84" s="133">
        <v>3.72</v>
      </c>
    </row>
    <row r="85" spans="1:17" customFormat="1">
      <c r="A85" s="111" t="s">
        <v>315</v>
      </c>
      <c r="B85" s="133">
        <v>9.5500000000000007</v>
      </c>
      <c r="C85" s="133">
        <v>26.83</v>
      </c>
      <c r="D85" s="133">
        <v>23.03</v>
      </c>
      <c r="E85" s="133">
        <v>7.01</v>
      </c>
      <c r="F85" s="133">
        <v>3.05</v>
      </c>
      <c r="G85" s="133">
        <v>42.06</v>
      </c>
      <c r="H85" s="133">
        <v>14.22</v>
      </c>
      <c r="I85" s="133">
        <v>5.28</v>
      </c>
      <c r="J85" s="133">
        <v>0.22</v>
      </c>
      <c r="K85" s="133">
        <v>260.98</v>
      </c>
      <c r="L85" s="133">
        <v>26.14</v>
      </c>
      <c r="M85" s="133">
        <v>87.53</v>
      </c>
      <c r="N85" s="133">
        <v>0</v>
      </c>
      <c r="O85" s="133">
        <v>0</v>
      </c>
      <c r="P85" s="133">
        <v>0.65</v>
      </c>
      <c r="Q85" s="133">
        <v>3.76</v>
      </c>
    </row>
    <row r="86" spans="1:17" customFormat="1">
      <c r="A86" s="111" t="s">
        <v>316</v>
      </c>
      <c r="B86" s="133">
        <v>9.69</v>
      </c>
      <c r="C86" s="133">
        <v>27.26</v>
      </c>
      <c r="D86" s="133">
        <v>23.36</v>
      </c>
      <c r="E86" s="133">
        <v>7.69</v>
      </c>
      <c r="F86" s="133">
        <v>2.8</v>
      </c>
      <c r="G86" s="133">
        <v>42.06</v>
      </c>
      <c r="H86" s="133">
        <v>14.22</v>
      </c>
      <c r="I86" s="133">
        <v>5.34</v>
      </c>
      <c r="J86" s="133">
        <v>0.11</v>
      </c>
      <c r="K86" s="133">
        <v>165.15</v>
      </c>
      <c r="L86" s="133">
        <v>26.01</v>
      </c>
      <c r="M86" s="133">
        <v>90.06</v>
      </c>
      <c r="N86" s="133">
        <v>0</v>
      </c>
      <c r="O86" s="133">
        <v>0</v>
      </c>
      <c r="P86" s="133">
        <v>0.65</v>
      </c>
      <c r="Q86" s="133">
        <v>3.75</v>
      </c>
    </row>
    <row r="87" spans="1:17" customFormat="1">
      <c r="A87" s="111" t="s">
        <v>317</v>
      </c>
      <c r="B87" s="133">
        <v>10.16</v>
      </c>
      <c r="C87" s="133">
        <v>27.44</v>
      </c>
      <c r="D87" s="133">
        <v>23.83</v>
      </c>
      <c r="E87" s="133">
        <v>7.63</v>
      </c>
      <c r="F87" s="133">
        <v>2.71</v>
      </c>
      <c r="G87" s="133">
        <v>41.44</v>
      </c>
      <c r="H87" s="133">
        <v>13.87</v>
      </c>
      <c r="I87" s="133">
        <v>5.29</v>
      </c>
      <c r="J87" s="133">
        <v>0.2</v>
      </c>
      <c r="K87" s="133">
        <v>173.91</v>
      </c>
      <c r="L87" s="133">
        <v>26.1</v>
      </c>
      <c r="M87" s="133">
        <v>90.25</v>
      </c>
      <c r="N87" s="133">
        <v>0</v>
      </c>
      <c r="O87" s="133">
        <v>0</v>
      </c>
      <c r="P87" s="133">
        <v>0.65</v>
      </c>
      <c r="Q87" s="133">
        <v>3.79</v>
      </c>
    </row>
    <row r="88" spans="1:17" customFormat="1">
      <c r="A88" s="111" t="s">
        <v>318</v>
      </c>
      <c r="B88" s="133">
        <v>10.79</v>
      </c>
      <c r="C88" s="133">
        <v>25.63</v>
      </c>
      <c r="D88" s="133">
        <v>23.4</v>
      </c>
      <c r="E88" s="133">
        <v>7.43</v>
      </c>
      <c r="F88" s="133">
        <v>3.26</v>
      </c>
      <c r="G88" s="133">
        <v>39.25</v>
      </c>
      <c r="H88" s="133">
        <v>13.05</v>
      </c>
      <c r="I88" s="133">
        <v>5.25</v>
      </c>
      <c r="J88" s="133">
        <v>0.16</v>
      </c>
      <c r="K88" s="133">
        <v>165.53</v>
      </c>
      <c r="L88" s="133">
        <v>25.97</v>
      </c>
      <c r="M88" s="133">
        <v>94.05</v>
      </c>
      <c r="N88" s="133">
        <v>0</v>
      </c>
      <c r="O88" s="133">
        <v>0</v>
      </c>
      <c r="P88" s="133">
        <v>0.64</v>
      </c>
      <c r="Q88" s="133">
        <v>3.81</v>
      </c>
    </row>
    <row r="89" spans="1:17" customFormat="1">
      <c r="A89" s="111" t="s">
        <v>319</v>
      </c>
      <c r="B89" s="133">
        <v>11.23</v>
      </c>
      <c r="C89" s="133">
        <v>23.94</v>
      </c>
      <c r="D89" s="133">
        <v>22.87</v>
      </c>
      <c r="E89" s="133">
        <v>6.45</v>
      </c>
      <c r="F89" s="133">
        <v>3.51</v>
      </c>
      <c r="G89" s="133">
        <v>39.25</v>
      </c>
      <c r="H89" s="133">
        <v>13.05</v>
      </c>
      <c r="I89" s="133">
        <v>5.26</v>
      </c>
      <c r="J89" s="133">
        <v>0.16</v>
      </c>
      <c r="K89" s="133">
        <v>168.23</v>
      </c>
      <c r="L89" s="133">
        <v>26.12</v>
      </c>
      <c r="M89" s="133">
        <v>94.06</v>
      </c>
      <c r="N89" s="133">
        <v>0</v>
      </c>
      <c r="O89" s="133">
        <v>0</v>
      </c>
      <c r="P89" s="133">
        <v>0.63</v>
      </c>
      <c r="Q89" s="133">
        <v>3.8</v>
      </c>
    </row>
    <row r="90" spans="1:17" customFormat="1">
      <c r="A90" s="111" t="s">
        <v>320</v>
      </c>
      <c r="B90" s="133">
        <v>11.35</v>
      </c>
      <c r="C90" s="133">
        <v>23.04</v>
      </c>
      <c r="D90" s="133">
        <v>22.49</v>
      </c>
      <c r="E90" s="133">
        <v>6.49</v>
      </c>
      <c r="F90" s="133">
        <v>3.57</v>
      </c>
      <c r="G90" s="133">
        <v>39.25</v>
      </c>
      <c r="H90" s="133">
        <v>13.05</v>
      </c>
      <c r="I90" s="133">
        <v>5.28</v>
      </c>
      <c r="J90" s="133">
        <v>0.18</v>
      </c>
      <c r="K90" s="133">
        <v>168.52</v>
      </c>
      <c r="L90" s="133">
        <v>26.18</v>
      </c>
      <c r="M90" s="133">
        <v>93.94</v>
      </c>
      <c r="N90" s="133">
        <v>0</v>
      </c>
      <c r="O90" s="133">
        <v>0</v>
      </c>
      <c r="P90" s="133">
        <v>0.63</v>
      </c>
      <c r="Q90" s="133">
        <v>3.75</v>
      </c>
    </row>
    <row r="91" spans="1:17" customFormat="1">
      <c r="A91" s="111" t="s">
        <v>321</v>
      </c>
      <c r="B91" s="133">
        <v>11.2</v>
      </c>
      <c r="C91" s="133">
        <v>22.07</v>
      </c>
      <c r="D91" s="133">
        <v>21.86</v>
      </c>
      <c r="E91" s="133">
        <v>6.17</v>
      </c>
      <c r="F91" s="133">
        <v>3.64</v>
      </c>
      <c r="G91" s="133">
        <v>38.96</v>
      </c>
      <c r="H91" s="133">
        <v>13.62</v>
      </c>
      <c r="I91" s="133">
        <v>5.25</v>
      </c>
      <c r="J91" s="133">
        <v>0.21</v>
      </c>
      <c r="K91" s="133">
        <v>182.75</v>
      </c>
      <c r="L91" s="133">
        <v>26.32</v>
      </c>
      <c r="M91" s="133">
        <v>93.51</v>
      </c>
      <c r="N91" s="133">
        <v>0</v>
      </c>
      <c r="O91" s="133">
        <v>0</v>
      </c>
      <c r="P91" s="133">
        <v>0.64</v>
      </c>
      <c r="Q91" s="133">
        <v>3.74</v>
      </c>
    </row>
    <row r="92" spans="1:17" customFormat="1">
      <c r="A92" s="111" t="s">
        <v>322</v>
      </c>
      <c r="B92" s="133">
        <v>11.19</v>
      </c>
      <c r="C92" s="133">
        <v>21.07</v>
      </c>
      <c r="D92" s="133">
        <v>21.33</v>
      </c>
      <c r="E92" s="133">
        <v>6.41</v>
      </c>
      <c r="F92" s="133">
        <v>3.93</v>
      </c>
      <c r="G92" s="133">
        <v>38.04</v>
      </c>
      <c r="H92" s="133">
        <v>14.96</v>
      </c>
      <c r="I92" s="133">
        <v>5.26</v>
      </c>
      <c r="J92" s="133">
        <v>0.19</v>
      </c>
      <c r="K92" s="133">
        <v>166.7</v>
      </c>
      <c r="L92" s="133">
        <v>26.43</v>
      </c>
      <c r="M92" s="133">
        <v>94</v>
      </c>
      <c r="N92" s="133">
        <v>0</v>
      </c>
      <c r="O92" s="133">
        <v>0</v>
      </c>
      <c r="P92" s="133">
        <v>0.63</v>
      </c>
      <c r="Q92" s="133">
        <v>3.76</v>
      </c>
    </row>
    <row r="93" spans="1:17" customFormat="1">
      <c r="A93" s="111" t="s">
        <v>323</v>
      </c>
      <c r="B93" s="133">
        <v>10.82</v>
      </c>
      <c r="C93" s="133">
        <v>19.68</v>
      </c>
      <c r="D93" s="133">
        <v>20.309999999999999</v>
      </c>
      <c r="E93" s="133">
        <v>6.49</v>
      </c>
      <c r="F93" s="133">
        <v>4.95</v>
      </c>
      <c r="G93" s="133">
        <v>38.04</v>
      </c>
      <c r="H93" s="133">
        <v>14.96</v>
      </c>
      <c r="I93" s="133">
        <v>5.19</v>
      </c>
      <c r="J93" s="133">
        <v>0.18</v>
      </c>
      <c r="K93" s="133">
        <v>190.27</v>
      </c>
      <c r="L93" s="133">
        <v>26.53</v>
      </c>
      <c r="M93" s="133">
        <v>93.52</v>
      </c>
      <c r="N93" s="133">
        <v>0</v>
      </c>
      <c r="O93" s="133">
        <v>0</v>
      </c>
      <c r="P93" s="133">
        <v>0.63</v>
      </c>
      <c r="Q93" s="133">
        <v>3.77</v>
      </c>
    </row>
    <row r="94" spans="1:17" customFormat="1">
      <c r="A94" s="111" t="s">
        <v>324</v>
      </c>
      <c r="B94" s="133">
        <v>11.26</v>
      </c>
      <c r="C94" s="133">
        <v>19.420000000000002</v>
      </c>
      <c r="D94" s="133">
        <v>20.53</v>
      </c>
      <c r="E94" s="133">
        <v>6.52</v>
      </c>
      <c r="F94" s="133">
        <v>4.9000000000000004</v>
      </c>
      <c r="G94" s="133">
        <v>38.04</v>
      </c>
      <c r="H94" s="133">
        <v>14.96</v>
      </c>
      <c r="I94" s="133">
        <v>5.2</v>
      </c>
      <c r="J94" s="133">
        <v>0.12</v>
      </c>
      <c r="K94" s="133">
        <v>187.31</v>
      </c>
      <c r="L94" s="133">
        <v>26.58</v>
      </c>
      <c r="M94" s="133">
        <v>93.53</v>
      </c>
      <c r="N94" s="133">
        <v>0</v>
      </c>
      <c r="O94" s="133">
        <v>0</v>
      </c>
      <c r="P94" s="133">
        <v>0.65</v>
      </c>
      <c r="Q94" s="133">
        <v>3.78</v>
      </c>
    </row>
    <row r="95" spans="1:17" customFormat="1">
      <c r="A95" s="111" t="s">
        <v>325</v>
      </c>
      <c r="B95" s="133">
        <v>12.36</v>
      </c>
      <c r="C95" s="133">
        <v>21.66</v>
      </c>
      <c r="D95" s="133">
        <v>22.58</v>
      </c>
      <c r="E95" s="133">
        <v>6.83</v>
      </c>
      <c r="F95" s="133">
        <v>3.91</v>
      </c>
      <c r="G95" s="133">
        <v>38.08</v>
      </c>
      <c r="H95" s="133">
        <v>14.99</v>
      </c>
      <c r="I95" s="133">
        <v>5.07</v>
      </c>
      <c r="J95" s="133">
        <v>0.28000000000000003</v>
      </c>
      <c r="K95" s="133">
        <v>261.27</v>
      </c>
      <c r="L95" s="133">
        <v>26.73</v>
      </c>
      <c r="M95" s="133">
        <v>92.7</v>
      </c>
      <c r="N95" s="133">
        <v>0</v>
      </c>
      <c r="O95" s="133">
        <v>0</v>
      </c>
      <c r="P95" s="133">
        <v>0.65</v>
      </c>
      <c r="Q95" s="133">
        <v>3.77</v>
      </c>
    </row>
    <row r="96" spans="1:17" customFormat="1">
      <c r="A96" s="111" t="s">
        <v>326</v>
      </c>
      <c r="B96" s="133">
        <v>12.28</v>
      </c>
      <c r="C96" s="133">
        <v>22.12</v>
      </c>
      <c r="D96" s="133">
        <v>22.76</v>
      </c>
      <c r="E96" s="133">
        <v>7.36</v>
      </c>
      <c r="F96" s="133">
        <v>4.45</v>
      </c>
      <c r="G96" s="133">
        <v>38.229999999999997</v>
      </c>
      <c r="H96" s="133">
        <v>15.08</v>
      </c>
      <c r="I96" s="133">
        <v>5.21</v>
      </c>
      <c r="J96" s="133">
        <v>0.14000000000000001</v>
      </c>
      <c r="K96" s="133">
        <v>234.6</v>
      </c>
      <c r="L96" s="133">
        <v>26.98</v>
      </c>
      <c r="M96" s="133">
        <v>90.72</v>
      </c>
      <c r="N96" s="133">
        <v>0</v>
      </c>
      <c r="O96" s="133">
        <v>0</v>
      </c>
      <c r="P96" s="133">
        <v>0.68</v>
      </c>
      <c r="Q96" s="133">
        <v>3.83</v>
      </c>
    </row>
    <row r="97" spans="1:22" customFormat="1">
      <c r="A97" s="111" t="s">
        <v>327</v>
      </c>
      <c r="B97" s="133">
        <v>12.2</v>
      </c>
      <c r="C97" s="133">
        <v>20.56</v>
      </c>
      <c r="D97" s="133">
        <v>21.88</v>
      </c>
      <c r="E97" s="133">
        <v>6.81</v>
      </c>
      <c r="F97" s="133">
        <v>6.19</v>
      </c>
      <c r="G97" s="133">
        <v>38.229999999999997</v>
      </c>
      <c r="H97" s="133">
        <v>15.08</v>
      </c>
      <c r="I97" s="133">
        <v>5.39</v>
      </c>
      <c r="J97" s="133">
        <v>0.2</v>
      </c>
      <c r="K97" s="133">
        <v>239.56</v>
      </c>
      <c r="L97" s="133">
        <v>26.98</v>
      </c>
      <c r="M97" s="133">
        <v>90.1</v>
      </c>
      <c r="N97" s="133">
        <v>0</v>
      </c>
      <c r="O97" s="133">
        <v>0</v>
      </c>
      <c r="P97" s="133">
        <v>0.66</v>
      </c>
      <c r="Q97" s="133">
        <v>3.86</v>
      </c>
    </row>
    <row r="98" spans="1:22" customFormat="1">
      <c r="A98" s="111" t="s">
        <v>328</v>
      </c>
      <c r="B98" s="133">
        <v>12.04</v>
      </c>
      <c r="C98" s="133">
        <v>19.100000000000001</v>
      </c>
      <c r="D98" s="133">
        <v>20.99</v>
      </c>
      <c r="E98" s="133">
        <v>6.17</v>
      </c>
      <c r="F98" s="133">
        <v>6.89</v>
      </c>
      <c r="G98" s="133">
        <v>38.229999999999997</v>
      </c>
      <c r="H98" s="133">
        <v>15.08</v>
      </c>
      <c r="I98" s="133">
        <v>5.35</v>
      </c>
      <c r="J98" s="133">
        <v>0.18</v>
      </c>
      <c r="K98" s="133">
        <v>167.07</v>
      </c>
      <c r="L98" s="133">
        <v>26.78</v>
      </c>
      <c r="M98" s="133">
        <v>91.78</v>
      </c>
      <c r="N98" s="133">
        <v>0</v>
      </c>
      <c r="O98" s="133">
        <v>0</v>
      </c>
      <c r="P98" s="133">
        <v>0.65</v>
      </c>
      <c r="Q98" s="133">
        <v>3.87</v>
      </c>
    </row>
    <row r="99" spans="1:22" customFormat="1">
      <c r="A99" s="111" t="s">
        <v>329</v>
      </c>
      <c r="B99" s="133">
        <v>11.71</v>
      </c>
      <c r="C99" s="133">
        <v>18.579999999999998</v>
      </c>
      <c r="D99" s="133">
        <v>20.45</v>
      </c>
      <c r="E99" s="133">
        <v>6.62</v>
      </c>
      <c r="F99" s="133">
        <v>6.58</v>
      </c>
      <c r="G99" s="133">
        <v>38.909999999999997</v>
      </c>
      <c r="H99" s="133">
        <v>15.41</v>
      </c>
      <c r="I99" s="133">
        <v>5.19</v>
      </c>
      <c r="J99" s="133">
        <v>0.09</v>
      </c>
      <c r="K99" s="133">
        <v>172.8</v>
      </c>
      <c r="L99" s="133">
        <v>26.56</v>
      </c>
      <c r="M99" s="133">
        <v>93.59</v>
      </c>
      <c r="N99" s="133">
        <v>0</v>
      </c>
      <c r="O99" s="133">
        <v>0</v>
      </c>
      <c r="P99" s="133">
        <v>0.65</v>
      </c>
      <c r="Q99" s="133">
        <v>3.87</v>
      </c>
    </row>
    <row r="100" spans="1:22" customFormat="1">
      <c r="A100" s="111" t="s">
        <v>330</v>
      </c>
      <c r="B100" s="133">
        <v>12.87</v>
      </c>
      <c r="C100" s="133">
        <v>21.36</v>
      </c>
      <c r="D100" s="133">
        <v>22.83</v>
      </c>
      <c r="E100" s="133">
        <v>6.71</v>
      </c>
      <c r="F100" s="133">
        <v>4.28</v>
      </c>
      <c r="G100" s="133">
        <v>41.14</v>
      </c>
      <c r="H100" s="133">
        <v>16.21</v>
      </c>
      <c r="I100" s="133">
        <v>5.16</v>
      </c>
      <c r="J100" s="133">
        <v>0.16</v>
      </c>
      <c r="K100" s="133">
        <v>176.31</v>
      </c>
      <c r="L100" s="133">
        <v>26.63</v>
      </c>
      <c r="M100" s="133">
        <v>92.77</v>
      </c>
      <c r="N100" s="133">
        <v>0</v>
      </c>
      <c r="O100" s="133">
        <v>0</v>
      </c>
      <c r="P100" s="133">
        <v>0.66</v>
      </c>
      <c r="Q100" s="133">
        <v>3.83</v>
      </c>
    </row>
    <row r="101" spans="1:22" customFormat="1">
      <c r="A101" s="111" t="s">
        <v>331</v>
      </c>
      <c r="B101" s="133">
        <v>12.89</v>
      </c>
      <c r="C101" s="133">
        <v>21.27</v>
      </c>
      <c r="D101" s="133">
        <v>22.8</v>
      </c>
      <c r="E101" s="133">
        <v>7.13</v>
      </c>
      <c r="F101" s="133">
        <v>4.5199999999999996</v>
      </c>
      <c r="G101" s="133">
        <v>41.14</v>
      </c>
      <c r="H101" s="133">
        <v>16.21</v>
      </c>
      <c r="I101" s="133">
        <v>5.18</v>
      </c>
      <c r="J101" s="133">
        <v>0.2</v>
      </c>
      <c r="K101" s="133">
        <v>171</v>
      </c>
      <c r="L101" s="133">
        <v>26.48</v>
      </c>
      <c r="M101" s="133">
        <v>94.21</v>
      </c>
      <c r="N101" s="133">
        <v>0</v>
      </c>
      <c r="O101" s="133">
        <v>0</v>
      </c>
      <c r="P101" s="133">
        <v>0.66</v>
      </c>
      <c r="Q101" s="133">
        <v>3.9</v>
      </c>
    </row>
    <row r="102" spans="1:22" customFormat="1">
      <c r="A102" s="111" t="s">
        <v>332</v>
      </c>
      <c r="B102" s="133">
        <v>12.83</v>
      </c>
      <c r="C102" s="133">
        <v>19.89</v>
      </c>
      <c r="D102" s="133">
        <v>22.04</v>
      </c>
      <c r="E102" s="133">
        <v>6.77</v>
      </c>
      <c r="F102" s="133">
        <v>5.31</v>
      </c>
      <c r="G102" s="133">
        <v>41.14</v>
      </c>
      <c r="H102" s="133">
        <v>16.21</v>
      </c>
      <c r="I102" s="133">
        <v>5.41</v>
      </c>
      <c r="J102" s="133">
        <v>0.14000000000000001</v>
      </c>
      <c r="K102" s="133">
        <v>170.22</v>
      </c>
      <c r="L102" s="133">
        <v>26.57</v>
      </c>
      <c r="M102" s="133">
        <v>93.45</v>
      </c>
      <c r="N102" s="133">
        <v>0</v>
      </c>
      <c r="O102" s="133">
        <v>0</v>
      </c>
      <c r="P102" s="133">
        <v>0.66</v>
      </c>
      <c r="Q102" s="133">
        <v>3.9</v>
      </c>
    </row>
    <row r="103" spans="1:22" customFormat="1">
      <c r="A103" s="111" t="s">
        <v>333</v>
      </c>
      <c r="B103" s="133">
        <v>12.27</v>
      </c>
      <c r="C103" s="133">
        <v>18.14</v>
      </c>
      <c r="D103" s="133">
        <v>20.66</v>
      </c>
      <c r="E103" s="133">
        <v>6.74</v>
      </c>
      <c r="F103" s="133">
        <v>6.4</v>
      </c>
      <c r="G103" s="133">
        <v>40.46</v>
      </c>
      <c r="H103" s="133">
        <v>16.53</v>
      </c>
      <c r="I103" s="133">
        <v>5.34</v>
      </c>
      <c r="J103" s="133">
        <v>0.16</v>
      </c>
      <c r="K103" s="133">
        <v>160.41999999999999</v>
      </c>
      <c r="L103" s="133">
        <v>26.49</v>
      </c>
      <c r="M103" s="133">
        <v>93.72</v>
      </c>
      <c r="N103" s="133">
        <v>0</v>
      </c>
      <c r="O103" s="133">
        <v>0</v>
      </c>
      <c r="P103" s="133">
        <v>0.67</v>
      </c>
      <c r="Q103" s="133">
        <v>3.9</v>
      </c>
    </row>
    <row r="104" spans="1:22" customFormat="1">
      <c r="A104" s="111" t="s">
        <v>334</v>
      </c>
      <c r="B104" s="133">
        <v>12.39</v>
      </c>
      <c r="C104" s="133">
        <v>17.87</v>
      </c>
      <c r="D104" s="133">
        <v>20.62</v>
      </c>
      <c r="E104" s="133">
        <v>6.76</v>
      </c>
      <c r="F104" s="133">
        <v>6.37</v>
      </c>
      <c r="G104" s="133">
        <v>38.08</v>
      </c>
      <c r="H104" s="133">
        <v>17.39</v>
      </c>
      <c r="I104" s="133">
        <v>5.27</v>
      </c>
      <c r="J104" s="133">
        <v>0.11</v>
      </c>
      <c r="K104" s="133">
        <v>176.78</v>
      </c>
      <c r="L104" s="133">
        <v>26.4</v>
      </c>
      <c r="M104" s="133">
        <v>93.83</v>
      </c>
      <c r="N104" s="133">
        <v>0</v>
      </c>
      <c r="O104" s="133">
        <v>0</v>
      </c>
      <c r="P104" s="133">
        <v>0.64</v>
      </c>
      <c r="Q104" s="133">
        <v>3.87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7.09</v>
      </c>
      <c r="C106" s="183">
        <f>MIN(C9:C104)</f>
        <v>17.87</v>
      </c>
      <c r="D106" s="183">
        <f t="shared" ref="D106:Q106" si="0">MIN(D9:D104)</f>
        <v>18.809999999999999</v>
      </c>
      <c r="E106" s="183">
        <f t="shared" si="0"/>
        <v>6</v>
      </c>
      <c r="F106" s="183">
        <f t="shared" si="0"/>
        <v>2.48</v>
      </c>
      <c r="G106" s="183">
        <f t="shared" si="0"/>
        <v>18.86</v>
      </c>
      <c r="H106" s="183">
        <f t="shared" si="0"/>
        <v>8.94</v>
      </c>
      <c r="I106" s="183">
        <f t="shared" si="0"/>
        <v>5.07</v>
      </c>
      <c r="J106" s="183">
        <f t="shared" si="0"/>
        <v>0.06</v>
      </c>
      <c r="K106" s="183">
        <f t="shared" si="0"/>
        <v>1.31</v>
      </c>
      <c r="L106" s="183">
        <f t="shared" si="0"/>
        <v>24.37</v>
      </c>
      <c r="M106" s="183">
        <f t="shared" si="0"/>
        <v>70.12</v>
      </c>
      <c r="N106" s="183">
        <f t="shared" si="0"/>
        <v>0</v>
      </c>
      <c r="O106" s="183">
        <f t="shared" si="0"/>
        <v>0</v>
      </c>
      <c r="P106" s="183">
        <f t="shared" si="0"/>
        <v>0.61</v>
      </c>
      <c r="Q106" s="183">
        <f t="shared" si="0"/>
        <v>3.48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17.38</v>
      </c>
      <c r="C107" s="184">
        <f t="shared" ref="C107:Q107" si="1">MAX(C9:C104)</f>
        <v>27.44</v>
      </c>
      <c r="D107" s="184">
        <f t="shared" si="1"/>
        <v>27.19</v>
      </c>
      <c r="E107" s="184">
        <f t="shared" si="1"/>
        <v>8.69</v>
      </c>
      <c r="F107" s="184">
        <f t="shared" si="1"/>
        <v>7.84</v>
      </c>
      <c r="G107" s="184">
        <f t="shared" si="1"/>
        <v>42.06</v>
      </c>
      <c r="H107" s="184">
        <f t="shared" si="1"/>
        <v>18.05</v>
      </c>
      <c r="I107" s="184">
        <f t="shared" si="1"/>
        <v>7.25</v>
      </c>
      <c r="J107" s="184">
        <f t="shared" si="1"/>
        <v>0.95</v>
      </c>
      <c r="K107" s="184">
        <f t="shared" si="1"/>
        <v>334.09</v>
      </c>
      <c r="L107" s="184">
        <f t="shared" si="1"/>
        <v>32.200000000000003</v>
      </c>
      <c r="M107" s="184">
        <f t="shared" si="1"/>
        <v>99.19</v>
      </c>
      <c r="N107" s="184">
        <f t="shared" si="1"/>
        <v>675.6</v>
      </c>
      <c r="O107" s="184">
        <f t="shared" si="1"/>
        <v>0.2</v>
      </c>
      <c r="P107" s="184">
        <f t="shared" si="1"/>
        <v>0.85</v>
      </c>
      <c r="Q107" s="184">
        <f t="shared" si="1"/>
        <v>4.1399999999999997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12.375104166666665</v>
      </c>
      <c r="C108" s="183">
        <f t="shared" ref="C108:Q108" si="2">AVERAGE(C9:C104)</f>
        <v>22.994375000000005</v>
      </c>
      <c r="D108" s="183">
        <f t="shared" si="2"/>
        <v>23.288958333333323</v>
      </c>
      <c r="E108" s="183">
        <f t="shared" si="2"/>
        <v>7.3362499999999997</v>
      </c>
      <c r="F108" s="183">
        <f t="shared" si="2"/>
        <v>4.1719791666666657</v>
      </c>
      <c r="G108" s="183">
        <f t="shared" si="2"/>
        <v>31.516770833333329</v>
      </c>
      <c r="H108" s="183">
        <f t="shared" si="2"/>
        <v>13.449062500000002</v>
      </c>
      <c r="I108" s="183">
        <f t="shared" si="2"/>
        <v>6.0677083333333348</v>
      </c>
      <c r="J108" s="183">
        <f t="shared" si="2"/>
        <v>0.37812499999999982</v>
      </c>
      <c r="K108" s="183">
        <f t="shared" si="2"/>
        <v>231.7597916666667</v>
      </c>
      <c r="L108" s="183">
        <f t="shared" si="2"/>
        <v>27.705312500000002</v>
      </c>
      <c r="M108" s="183">
        <f t="shared" si="2"/>
        <v>86.107604166666704</v>
      </c>
      <c r="N108" s="183">
        <f t="shared" si="2"/>
        <v>141.91041666666666</v>
      </c>
      <c r="O108" s="183">
        <f t="shared" si="2"/>
        <v>2.0833333333333333E-3</v>
      </c>
      <c r="P108" s="183">
        <f t="shared" si="2"/>
        <v>0.69854166666666673</v>
      </c>
      <c r="Q108" s="183">
        <f t="shared" si="2"/>
        <v>3.8449999999999993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3.2371992426175398</v>
      </c>
      <c r="C109" s="183">
        <f t="shared" ref="C109:Q109" si="3">STDEV(C9:C104)</f>
        <v>2.1617998410194255</v>
      </c>
      <c r="D109" s="183">
        <f t="shared" si="3"/>
        <v>2.8840798876324301</v>
      </c>
      <c r="E109" s="183">
        <f t="shared" si="3"/>
        <v>0.5572984648708349</v>
      </c>
      <c r="F109" s="183">
        <f t="shared" si="3"/>
        <v>1.4727243782521755</v>
      </c>
      <c r="G109" s="183">
        <f t="shared" si="3"/>
        <v>6.6832797644635535</v>
      </c>
      <c r="H109" s="183">
        <f t="shared" si="3"/>
        <v>2.1707258442257151</v>
      </c>
      <c r="I109" s="183">
        <f t="shared" si="3"/>
        <v>0.66581881392947739</v>
      </c>
      <c r="J109" s="183">
        <f t="shared" si="3"/>
        <v>0.2365066483988181</v>
      </c>
      <c r="K109" s="183">
        <f t="shared" si="3"/>
        <v>59.868293655484038</v>
      </c>
      <c r="L109" s="183">
        <f t="shared" si="3"/>
        <v>2.5659757364915605</v>
      </c>
      <c r="M109" s="183">
        <f t="shared" si="3"/>
        <v>10.13474188852004</v>
      </c>
      <c r="N109" s="183">
        <f t="shared" si="3"/>
        <v>210.01397170522611</v>
      </c>
      <c r="O109" s="183">
        <f t="shared" si="3"/>
        <v>2.0412414523193152E-2</v>
      </c>
      <c r="P109" s="183">
        <f t="shared" si="3"/>
        <v>5.8218809886165387E-2</v>
      </c>
      <c r="Q109" s="183">
        <f t="shared" si="3"/>
        <v>0.21279097725234325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78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02/10/2023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335</v>
      </c>
      <c r="B9" s="133">
        <v>13.3</v>
      </c>
      <c r="C9" s="133">
        <v>22.78</v>
      </c>
      <c r="D9" s="133">
        <v>23.92</v>
      </c>
      <c r="E9" s="133">
        <v>6.7</v>
      </c>
      <c r="F9" s="133">
        <v>3.89</v>
      </c>
      <c r="G9" s="133">
        <v>38.08</v>
      </c>
      <c r="H9" s="133">
        <v>17.39</v>
      </c>
      <c r="I9" s="133">
        <v>5.19</v>
      </c>
      <c r="J9" s="133">
        <v>0.19</v>
      </c>
      <c r="K9" s="133">
        <v>156.76</v>
      </c>
      <c r="L9" s="133">
        <v>26.54</v>
      </c>
      <c r="M9" s="133">
        <v>94.18</v>
      </c>
      <c r="N9" s="133">
        <v>0</v>
      </c>
      <c r="O9" s="133">
        <v>0</v>
      </c>
      <c r="P9" s="133">
        <v>0.67</v>
      </c>
      <c r="Q9" s="133">
        <v>3.83</v>
      </c>
    </row>
    <row r="10" spans="1:21" customFormat="1">
      <c r="A10" s="111" t="s">
        <v>336</v>
      </c>
      <c r="B10" s="133">
        <v>13.17</v>
      </c>
      <c r="C10" s="133">
        <v>22.94</v>
      </c>
      <c r="D10" s="133">
        <v>23.9</v>
      </c>
      <c r="E10" s="133">
        <v>7.07</v>
      </c>
      <c r="F10" s="133">
        <v>3.26</v>
      </c>
      <c r="G10" s="133">
        <v>38.08</v>
      </c>
      <c r="H10" s="133">
        <v>17.39</v>
      </c>
      <c r="I10" s="133">
        <v>5.25</v>
      </c>
      <c r="J10" s="133">
        <v>0.09</v>
      </c>
      <c r="K10" s="133">
        <v>161.51</v>
      </c>
      <c r="L10" s="133">
        <v>26.48</v>
      </c>
      <c r="M10" s="133">
        <v>94.69</v>
      </c>
      <c r="N10" s="133">
        <v>0</v>
      </c>
      <c r="O10" s="133">
        <v>0</v>
      </c>
      <c r="P10" s="133">
        <v>0.69</v>
      </c>
      <c r="Q10" s="133">
        <v>3.91</v>
      </c>
    </row>
    <row r="11" spans="1:21" customFormat="1">
      <c r="A11" s="111" t="s">
        <v>337</v>
      </c>
      <c r="B11" s="133">
        <v>12.89</v>
      </c>
      <c r="C11" s="133">
        <v>23.44</v>
      </c>
      <c r="D11" s="133">
        <v>23.93</v>
      </c>
      <c r="E11" s="133">
        <v>6.96</v>
      </c>
      <c r="F11" s="133">
        <v>3.18</v>
      </c>
      <c r="G11" s="133">
        <v>37.9</v>
      </c>
      <c r="H11" s="133">
        <v>16.72</v>
      </c>
      <c r="I11" s="133">
        <v>5.47</v>
      </c>
      <c r="J11" s="133">
        <v>0.11</v>
      </c>
      <c r="K11" s="133">
        <v>197.84</v>
      </c>
      <c r="L11" s="133">
        <v>26.49</v>
      </c>
      <c r="M11" s="133">
        <v>94.87</v>
      </c>
      <c r="N11" s="133">
        <v>0</v>
      </c>
      <c r="O11" s="133">
        <v>0</v>
      </c>
      <c r="P11" s="133">
        <v>0.69</v>
      </c>
      <c r="Q11" s="133">
        <v>3.95</v>
      </c>
    </row>
    <row r="12" spans="1:21" customFormat="1">
      <c r="A12" s="111" t="s">
        <v>338</v>
      </c>
      <c r="B12" s="133">
        <v>12.85</v>
      </c>
      <c r="C12" s="133">
        <v>22.91</v>
      </c>
      <c r="D12" s="133">
        <v>23.62</v>
      </c>
      <c r="E12" s="133">
        <v>7.01</v>
      </c>
      <c r="F12" s="133">
        <v>3.29</v>
      </c>
      <c r="G12" s="133">
        <v>37.29</v>
      </c>
      <c r="H12" s="133">
        <v>13.65</v>
      </c>
      <c r="I12" s="133">
        <v>5.45</v>
      </c>
      <c r="J12" s="133">
        <v>0.12</v>
      </c>
      <c r="K12" s="133">
        <v>230.56</v>
      </c>
      <c r="L12" s="133">
        <v>26.31</v>
      </c>
      <c r="M12" s="133">
        <v>94.33</v>
      </c>
      <c r="N12" s="133">
        <v>0</v>
      </c>
      <c r="O12" s="133">
        <v>0</v>
      </c>
      <c r="P12" s="133">
        <v>0.7</v>
      </c>
      <c r="Q12" s="133">
        <v>3.98</v>
      </c>
    </row>
    <row r="13" spans="1:21" customFormat="1">
      <c r="A13" s="111" t="s">
        <v>339</v>
      </c>
      <c r="B13" s="133">
        <v>13.12</v>
      </c>
      <c r="C13" s="133">
        <v>23.37</v>
      </c>
      <c r="D13" s="133">
        <v>24.08</v>
      </c>
      <c r="E13" s="133">
        <v>6.79</v>
      </c>
      <c r="F13" s="133">
        <v>3.05</v>
      </c>
      <c r="G13" s="133">
        <v>37.29</v>
      </c>
      <c r="H13" s="133">
        <v>13.65</v>
      </c>
      <c r="I13" s="133">
        <v>5.44</v>
      </c>
      <c r="J13" s="133">
        <v>0.14000000000000001</v>
      </c>
      <c r="K13" s="133">
        <v>236.04</v>
      </c>
      <c r="L13" s="133">
        <v>26.21</v>
      </c>
      <c r="M13" s="133">
        <v>93.97</v>
      </c>
      <c r="N13" s="133">
        <v>0</v>
      </c>
      <c r="O13" s="133">
        <v>0</v>
      </c>
      <c r="P13" s="133">
        <v>0.69</v>
      </c>
      <c r="Q13" s="133">
        <v>3.99</v>
      </c>
    </row>
    <row r="14" spans="1:21" customFormat="1">
      <c r="A14" s="111" t="s">
        <v>340</v>
      </c>
      <c r="B14" s="133">
        <v>12.98</v>
      </c>
      <c r="C14" s="133">
        <v>23.73</v>
      </c>
      <c r="D14" s="133">
        <v>24.16</v>
      </c>
      <c r="E14" s="133">
        <v>7.57</v>
      </c>
      <c r="F14" s="133">
        <v>3.15</v>
      </c>
      <c r="G14" s="133">
        <v>37.29</v>
      </c>
      <c r="H14" s="133">
        <v>13.65</v>
      </c>
      <c r="I14" s="133">
        <v>5.45</v>
      </c>
      <c r="J14" s="133">
        <v>0.26</v>
      </c>
      <c r="K14" s="133">
        <v>251.99</v>
      </c>
      <c r="L14" s="133">
        <v>26.25</v>
      </c>
      <c r="M14" s="133">
        <v>92.61</v>
      </c>
      <c r="N14" s="133">
        <v>0</v>
      </c>
      <c r="O14" s="133">
        <v>0</v>
      </c>
      <c r="P14" s="133">
        <v>0.69</v>
      </c>
      <c r="Q14" s="133">
        <v>4.01</v>
      </c>
    </row>
    <row r="15" spans="1:21" customFormat="1">
      <c r="A15" s="111" t="s">
        <v>341</v>
      </c>
      <c r="B15" s="133">
        <v>12.88</v>
      </c>
      <c r="C15" s="133">
        <v>23.63</v>
      </c>
      <c r="D15" s="133">
        <v>24.03</v>
      </c>
      <c r="E15" s="133">
        <v>7.42</v>
      </c>
      <c r="F15" s="133">
        <v>3</v>
      </c>
      <c r="G15" s="133">
        <v>36.18</v>
      </c>
      <c r="H15" s="133">
        <v>14.07</v>
      </c>
      <c r="I15" s="133">
        <v>5.53</v>
      </c>
      <c r="J15" s="133">
        <v>0.17</v>
      </c>
      <c r="K15" s="133">
        <v>260.07</v>
      </c>
      <c r="L15" s="133">
        <v>26.31</v>
      </c>
      <c r="M15" s="133">
        <v>93.03</v>
      </c>
      <c r="N15" s="133">
        <v>0</v>
      </c>
      <c r="O15" s="133">
        <v>0</v>
      </c>
      <c r="P15" s="133">
        <v>0.68</v>
      </c>
      <c r="Q15" s="133">
        <v>4</v>
      </c>
    </row>
    <row r="16" spans="1:21" customFormat="1">
      <c r="A16" s="111" t="s">
        <v>342</v>
      </c>
      <c r="B16" s="133">
        <v>12.66</v>
      </c>
      <c r="C16" s="133">
        <v>23.82</v>
      </c>
      <c r="D16" s="133">
        <v>23.95</v>
      </c>
      <c r="E16" s="133">
        <v>7.39</v>
      </c>
      <c r="F16" s="133">
        <v>3.08</v>
      </c>
      <c r="G16" s="133">
        <v>32.049999999999997</v>
      </c>
      <c r="H16" s="133">
        <v>15.17</v>
      </c>
      <c r="I16" s="133">
        <v>5.51</v>
      </c>
      <c r="J16" s="133">
        <v>0.18</v>
      </c>
      <c r="K16" s="133">
        <v>248.77</v>
      </c>
      <c r="L16" s="133">
        <v>26.3</v>
      </c>
      <c r="M16" s="133">
        <v>91.81</v>
      </c>
      <c r="N16" s="133">
        <v>0</v>
      </c>
      <c r="O16" s="133">
        <v>0</v>
      </c>
      <c r="P16" s="133">
        <v>0.68</v>
      </c>
      <c r="Q16" s="133">
        <v>3.99</v>
      </c>
    </row>
    <row r="17" spans="1:17" customFormat="1">
      <c r="A17" s="111" t="s">
        <v>343</v>
      </c>
      <c r="B17" s="133">
        <v>12.6</v>
      </c>
      <c r="C17" s="133">
        <v>23.89</v>
      </c>
      <c r="D17" s="133">
        <v>23.93</v>
      </c>
      <c r="E17" s="133">
        <v>7.52</v>
      </c>
      <c r="F17" s="133">
        <v>2.85</v>
      </c>
      <c r="G17" s="133">
        <v>32.049999999999997</v>
      </c>
      <c r="H17" s="133">
        <v>15.17</v>
      </c>
      <c r="I17" s="133">
        <v>5.46</v>
      </c>
      <c r="J17" s="133">
        <v>0.25</v>
      </c>
      <c r="K17" s="133">
        <v>266.32</v>
      </c>
      <c r="L17" s="133">
        <v>26.41</v>
      </c>
      <c r="M17" s="133">
        <v>89.87</v>
      </c>
      <c r="N17" s="133">
        <v>0</v>
      </c>
      <c r="O17" s="133">
        <v>0</v>
      </c>
      <c r="P17" s="133">
        <v>0.68</v>
      </c>
      <c r="Q17" s="133">
        <v>3.98</v>
      </c>
    </row>
    <row r="18" spans="1:17" customFormat="1">
      <c r="A18" s="111" t="s">
        <v>344</v>
      </c>
      <c r="B18" s="133">
        <v>12.46</v>
      </c>
      <c r="C18" s="133">
        <v>24.03</v>
      </c>
      <c r="D18" s="133">
        <v>23.9</v>
      </c>
      <c r="E18" s="133">
        <v>7.93</v>
      </c>
      <c r="F18" s="133">
        <v>2.78</v>
      </c>
      <c r="G18" s="133">
        <v>32.049999999999997</v>
      </c>
      <c r="H18" s="133">
        <v>15.17</v>
      </c>
      <c r="I18" s="133">
        <v>5.49</v>
      </c>
      <c r="J18" s="133">
        <v>0.28999999999999998</v>
      </c>
      <c r="K18" s="133">
        <v>257.72000000000003</v>
      </c>
      <c r="L18" s="133">
        <v>26.41</v>
      </c>
      <c r="M18" s="133">
        <v>90.04</v>
      </c>
      <c r="N18" s="133">
        <v>0</v>
      </c>
      <c r="O18" s="133">
        <v>0</v>
      </c>
      <c r="P18" s="133">
        <v>0.69</v>
      </c>
      <c r="Q18" s="133">
        <v>3.97</v>
      </c>
    </row>
    <row r="19" spans="1:17" customFormat="1">
      <c r="A19" s="111" t="s">
        <v>345</v>
      </c>
      <c r="B19" s="133">
        <v>12.32</v>
      </c>
      <c r="C19" s="133">
        <v>24.14</v>
      </c>
      <c r="D19" s="133">
        <v>23.84</v>
      </c>
      <c r="E19" s="133">
        <v>8.19</v>
      </c>
      <c r="F19" s="133">
        <v>2.76</v>
      </c>
      <c r="G19" s="133">
        <v>32.659999999999997</v>
      </c>
      <c r="H19" s="133">
        <v>15.42</v>
      </c>
      <c r="I19" s="133">
        <v>5.54</v>
      </c>
      <c r="J19" s="133">
        <v>0.11</v>
      </c>
      <c r="K19" s="133">
        <v>207.35</v>
      </c>
      <c r="L19" s="133">
        <v>26.37</v>
      </c>
      <c r="M19" s="133">
        <v>91.63</v>
      </c>
      <c r="N19" s="133">
        <v>0</v>
      </c>
      <c r="O19" s="133">
        <v>0</v>
      </c>
      <c r="P19" s="133">
        <v>0.71</v>
      </c>
      <c r="Q19" s="133">
        <v>3.99</v>
      </c>
    </row>
    <row r="20" spans="1:17" customFormat="1">
      <c r="A20" s="111" t="s">
        <v>346</v>
      </c>
      <c r="B20" s="133">
        <v>12.32</v>
      </c>
      <c r="C20" s="133">
        <v>24.61</v>
      </c>
      <c r="D20" s="133">
        <v>24.09</v>
      </c>
      <c r="E20" s="133">
        <v>8.94</v>
      </c>
      <c r="F20" s="133">
        <v>2.71</v>
      </c>
      <c r="G20" s="133">
        <v>34.75</v>
      </c>
      <c r="H20" s="133">
        <v>16.09</v>
      </c>
      <c r="I20" s="133">
        <v>5.6</v>
      </c>
      <c r="J20" s="133">
        <v>0.26</v>
      </c>
      <c r="K20" s="133">
        <v>264</v>
      </c>
      <c r="L20" s="133">
        <v>26.31</v>
      </c>
      <c r="M20" s="133">
        <v>91.6</v>
      </c>
      <c r="N20" s="133">
        <v>0</v>
      </c>
      <c r="O20" s="133">
        <v>0</v>
      </c>
      <c r="P20" s="133">
        <v>0.72</v>
      </c>
      <c r="Q20" s="133">
        <v>4</v>
      </c>
    </row>
    <row r="21" spans="1:17" customFormat="1">
      <c r="A21" s="111" t="s">
        <v>347</v>
      </c>
      <c r="B21" s="133">
        <v>12.26</v>
      </c>
      <c r="C21" s="133">
        <v>24.85</v>
      </c>
      <c r="D21" s="133">
        <v>24.17</v>
      </c>
      <c r="E21" s="133">
        <v>8.5500000000000007</v>
      </c>
      <c r="F21" s="133">
        <v>2.56</v>
      </c>
      <c r="G21" s="133">
        <v>34.75</v>
      </c>
      <c r="H21" s="133">
        <v>16.09</v>
      </c>
      <c r="I21" s="133">
        <v>5.71</v>
      </c>
      <c r="J21" s="133">
        <v>0.28999999999999998</v>
      </c>
      <c r="K21" s="133">
        <v>260.5</v>
      </c>
      <c r="L21" s="133">
        <v>26.32</v>
      </c>
      <c r="M21" s="133">
        <v>91.44</v>
      </c>
      <c r="N21" s="133">
        <v>0</v>
      </c>
      <c r="O21" s="133">
        <v>0</v>
      </c>
      <c r="P21" s="133">
        <v>0.72</v>
      </c>
      <c r="Q21" s="133">
        <v>4</v>
      </c>
    </row>
    <row r="22" spans="1:17" customFormat="1">
      <c r="A22" s="111" t="s">
        <v>348</v>
      </c>
      <c r="B22" s="133">
        <v>12.26</v>
      </c>
      <c r="C22" s="133">
        <v>24.85</v>
      </c>
      <c r="D22" s="133">
        <v>24.17</v>
      </c>
      <c r="E22" s="133">
        <v>8.5500000000000007</v>
      </c>
      <c r="F22" s="133">
        <v>2.56</v>
      </c>
      <c r="G22" s="133">
        <v>34.75</v>
      </c>
      <c r="H22" s="133">
        <v>16.09</v>
      </c>
      <c r="I22" s="133">
        <v>5.71</v>
      </c>
      <c r="J22" s="133">
        <v>0.28999999999999998</v>
      </c>
      <c r="K22" s="133">
        <v>260.5</v>
      </c>
      <c r="L22" s="133">
        <v>26.32</v>
      </c>
      <c r="M22" s="133">
        <v>91.44</v>
      </c>
      <c r="N22" s="133">
        <v>0</v>
      </c>
      <c r="O22" s="133">
        <v>0</v>
      </c>
      <c r="P22" s="133">
        <v>0.72</v>
      </c>
      <c r="Q22" s="133">
        <v>4</v>
      </c>
    </row>
    <row r="23" spans="1:17" customFormat="1">
      <c r="A23" s="111" t="s">
        <v>349</v>
      </c>
      <c r="B23" s="133">
        <v>12.09</v>
      </c>
      <c r="C23" s="133">
        <v>24.55</v>
      </c>
      <c r="D23" s="133">
        <v>23.88</v>
      </c>
      <c r="E23" s="133">
        <v>8.5500000000000007</v>
      </c>
      <c r="F23" s="133">
        <v>2.71</v>
      </c>
      <c r="G23" s="133">
        <v>35.299999999999997</v>
      </c>
      <c r="H23" s="133">
        <v>15.63</v>
      </c>
      <c r="I23" s="133">
        <v>5.81</v>
      </c>
      <c r="J23" s="133">
        <v>0.33</v>
      </c>
      <c r="K23" s="133">
        <v>267.33999999999997</v>
      </c>
      <c r="L23" s="133">
        <v>26.31</v>
      </c>
      <c r="M23" s="133">
        <v>92.12</v>
      </c>
      <c r="N23" s="133">
        <v>0</v>
      </c>
      <c r="O23" s="133">
        <v>0</v>
      </c>
      <c r="P23" s="133">
        <v>0.72</v>
      </c>
      <c r="Q23" s="133">
        <v>4</v>
      </c>
    </row>
    <row r="24" spans="1:17" customFormat="1">
      <c r="A24" s="111" t="s">
        <v>350</v>
      </c>
      <c r="B24" s="133">
        <v>11.9</v>
      </c>
      <c r="C24" s="133">
        <v>25.02</v>
      </c>
      <c r="D24" s="133">
        <v>23.97</v>
      </c>
      <c r="E24" s="133">
        <v>9.08</v>
      </c>
      <c r="F24" s="133">
        <v>2.61</v>
      </c>
      <c r="G24" s="133">
        <v>38.340000000000003</v>
      </c>
      <c r="H24" s="133">
        <v>13.25</v>
      </c>
      <c r="I24" s="133">
        <v>5.83</v>
      </c>
      <c r="J24" s="133">
        <v>0.34</v>
      </c>
      <c r="K24" s="133">
        <v>268.16000000000003</v>
      </c>
      <c r="L24" s="133">
        <v>26.26</v>
      </c>
      <c r="M24" s="133">
        <v>92.25</v>
      </c>
      <c r="N24" s="133">
        <v>0</v>
      </c>
      <c r="O24" s="133">
        <v>0</v>
      </c>
      <c r="P24" s="133">
        <v>0.72</v>
      </c>
      <c r="Q24" s="133">
        <v>4.0199999999999996</v>
      </c>
    </row>
    <row r="25" spans="1:17" customFormat="1">
      <c r="A25" s="111" t="s">
        <v>351</v>
      </c>
      <c r="B25" s="133">
        <v>11.98</v>
      </c>
      <c r="C25" s="133">
        <v>24.93</v>
      </c>
      <c r="D25" s="133">
        <v>23.98</v>
      </c>
      <c r="E25" s="133">
        <v>8.57</v>
      </c>
      <c r="F25" s="133">
        <v>2.6</v>
      </c>
      <c r="G25" s="133">
        <v>38.340000000000003</v>
      </c>
      <c r="H25" s="133">
        <v>13.25</v>
      </c>
      <c r="I25" s="133">
        <v>5.84</v>
      </c>
      <c r="J25" s="133">
        <v>0.41</v>
      </c>
      <c r="K25" s="133">
        <v>266.73</v>
      </c>
      <c r="L25" s="133">
        <v>26.21</v>
      </c>
      <c r="M25" s="133">
        <v>90.77</v>
      </c>
      <c r="N25" s="133">
        <v>0</v>
      </c>
      <c r="O25" s="133">
        <v>0</v>
      </c>
      <c r="P25" s="133">
        <v>0.72</v>
      </c>
      <c r="Q25" s="133">
        <v>3.96</v>
      </c>
    </row>
    <row r="26" spans="1:17" customFormat="1">
      <c r="A26" s="111" t="s">
        <v>352</v>
      </c>
      <c r="B26" s="133">
        <v>11.84</v>
      </c>
      <c r="C26" s="133">
        <v>25.03</v>
      </c>
      <c r="D26" s="133">
        <v>23.92</v>
      </c>
      <c r="E26" s="133">
        <v>8.89</v>
      </c>
      <c r="F26" s="133">
        <v>2.5099999999999998</v>
      </c>
      <c r="G26" s="133">
        <v>38.340000000000003</v>
      </c>
      <c r="H26" s="133">
        <v>13.25</v>
      </c>
      <c r="I26" s="133">
        <v>5.87</v>
      </c>
      <c r="J26" s="133">
        <v>0.55000000000000004</v>
      </c>
      <c r="K26" s="133">
        <v>263.7</v>
      </c>
      <c r="L26" s="133">
        <v>26.27</v>
      </c>
      <c r="M26" s="133">
        <v>89.51</v>
      </c>
      <c r="N26" s="133">
        <v>0</v>
      </c>
      <c r="O26" s="133">
        <v>0</v>
      </c>
      <c r="P26" s="133">
        <v>0.72</v>
      </c>
      <c r="Q26" s="133">
        <v>3.97</v>
      </c>
    </row>
    <row r="27" spans="1:17" customFormat="1">
      <c r="A27" s="111" t="s">
        <v>353</v>
      </c>
      <c r="B27" s="133">
        <v>11.76</v>
      </c>
      <c r="C27" s="133">
        <v>25.18</v>
      </c>
      <c r="D27" s="133">
        <v>23.94</v>
      </c>
      <c r="E27" s="133">
        <v>9.18</v>
      </c>
      <c r="F27" s="133">
        <v>2.68</v>
      </c>
      <c r="G27" s="133">
        <v>38.380000000000003</v>
      </c>
      <c r="H27" s="133">
        <v>13.56</v>
      </c>
      <c r="I27" s="133">
        <v>5.88</v>
      </c>
      <c r="J27" s="133">
        <v>0.36</v>
      </c>
      <c r="K27" s="133">
        <v>275.51</v>
      </c>
      <c r="L27" s="133">
        <v>26.14</v>
      </c>
      <c r="M27" s="133">
        <v>90.1</v>
      </c>
      <c r="N27" s="133">
        <v>0</v>
      </c>
      <c r="O27" s="133">
        <v>0</v>
      </c>
      <c r="P27" s="133">
        <v>0.71</v>
      </c>
      <c r="Q27" s="133">
        <v>3.95</v>
      </c>
    </row>
    <row r="28" spans="1:17" customFormat="1">
      <c r="A28" s="111" t="s">
        <v>354</v>
      </c>
      <c r="B28" s="133">
        <v>11.78</v>
      </c>
      <c r="C28" s="133">
        <v>25.58</v>
      </c>
      <c r="D28" s="133">
        <v>24.16</v>
      </c>
      <c r="E28" s="133">
        <v>8.9700000000000006</v>
      </c>
      <c r="F28" s="133">
        <v>2.65</v>
      </c>
      <c r="G28" s="133">
        <v>38.51</v>
      </c>
      <c r="H28" s="133">
        <v>14.78</v>
      </c>
      <c r="I28" s="133">
        <v>5.9</v>
      </c>
      <c r="J28" s="133">
        <v>0.36</v>
      </c>
      <c r="K28" s="133">
        <v>268.23</v>
      </c>
      <c r="L28" s="133">
        <v>26.13</v>
      </c>
      <c r="M28" s="133">
        <v>90.98</v>
      </c>
      <c r="N28" s="133">
        <v>0</v>
      </c>
      <c r="O28" s="133">
        <v>0</v>
      </c>
      <c r="P28" s="133">
        <v>0.71</v>
      </c>
      <c r="Q28" s="133">
        <v>3.94</v>
      </c>
    </row>
    <row r="29" spans="1:17" customFormat="1">
      <c r="A29" s="111" t="s">
        <v>355</v>
      </c>
      <c r="B29" s="133">
        <v>11.97</v>
      </c>
      <c r="C29" s="133">
        <v>25.19</v>
      </c>
      <c r="D29" s="133">
        <v>24.11</v>
      </c>
      <c r="E29" s="133">
        <v>9.16</v>
      </c>
      <c r="F29" s="133">
        <v>2.69</v>
      </c>
      <c r="G29" s="133">
        <v>38.51</v>
      </c>
      <c r="H29" s="133">
        <v>14.78</v>
      </c>
      <c r="I29" s="133">
        <v>5.88</v>
      </c>
      <c r="J29" s="133">
        <v>0.28999999999999998</v>
      </c>
      <c r="K29" s="133">
        <v>270.72000000000003</v>
      </c>
      <c r="L29" s="133">
        <v>26.13</v>
      </c>
      <c r="M29" s="133">
        <v>91.27</v>
      </c>
      <c r="N29" s="133">
        <v>0</v>
      </c>
      <c r="O29" s="133">
        <v>0</v>
      </c>
      <c r="P29" s="133">
        <v>0.7</v>
      </c>
      <c r="Q29" s="133">
        <v>3.94</v>
      </c>
    </row>
    <row r="30" spans="1:17" customFormat="1">
      <c r="A30" s="111" t="s">
        <v>356</v>
      </c>
      <c r="B30" s="133">
        <v>12.41</v>
      </c>
      <c r="C30" s="133">
        <v>25.78</v>
      </c>
      <c r="D30" s="133">
        <v>24.77</v>
      </c>
      <c r="E30" s="133">
        <v>9.1199999999999992</v>
      </c>
      <c r="F30" s="133">
        <v>2.5299999999999998</v>
      </c>
      <c r="G30" s="133">
        <v>38.51</v>
      </c>
      <c r="H30" s="133">
        <v>14.78</v>
      </c>
      <c r="I30" s="133">
        <v>5.87</v>
      </c>
      <c r="J30" s="133">
        <v>0.27</v>
      </c>
      <c r="K30" s="133">
        <v>276.67</v>
      </c>
      <c r="L30" s="133">
        <v>26.11</v>
      </c>
      <c r="M30" s="133">
        <v>90.11</v>
      </c>
      <c r="N30" s="133">
        <v>0</v>
      </c>
      <c r="O30" s="133">
        <v>0</v>
      </c>
      <c r="P30" s="133">
        <v>0.69</v>
      </c>
      <c r="Q30" s="133">
        <v>3.97</v>
      </c>
    </row>
    <row r="31" spans="1:17" customFormat="1">
      <c r="A31" s="111" t="s">
        <v>357</v>
      </c>
      <c r="B31" s="133">
        <v>12.92</v>
      </c>
      <c r="C31" s="133">
        <v>24.51</v>
      </c>
      <c r="D31" s="133">
        <v>24.52</v>
      </c>
      <c r="E31" s="133">
        <v>8.82</v>
      </c>
      <c r="F31" s="133">
        <v>3.12</v>
      </c>
      <c r="G31" s="133">
        <v>38.04</v>
      </c>
      <c r="H31" s="133">
        <v>15.29</v>
      </c>
      <c r="I31" s="133">
        <v>5.82</v>
      </c>
      <c r="J31" s="133">
        <v>0.32</v>
      </c>
      <c r="K31" s="133">
        <v>259.7</v>
      </c>
      <c r="L31" s="133">
        <v>25.92</v>
      </c>
      <c r="M31" s="133">
        <v>91.15</v>
      </c>
      <c r="N31" s="133">
        <v>0</v>
      </c>
      <c r="O31" s="133">
        <v>0</v>
      </c>
      <c r="P31" s="133">
        <v>0.68</v>
      </c>
      <c r="Q31" s="133">
        <v>3.99</v>
      </c>
    </row>
    <row r="32" spans="1:17" customFormat="1">
      <c r="A32" s="111" t="s">
        <v>358</v>
      </c>
      <c r="B32" s="133">
        <v>13.27</v>
      </c>
      <c r="C32" s="133">
        <v>22.91</v>
      </c>
      <c r="D32" s="133">
        <v>23.97</v>
      </c>
      <c r="E32" s="133">
        <v>8.2799999999999994</v>
      </c>
      <c r="F32" s="133">
        <v>3.48</v>
      </c>
      <c r="G32" s="133">
        <v>36.4</v>
      </c>
      <c r="H32" s="133">
        <v>16.54</v>
      </c>
      <c r="I32" s="133">
        <v>5.8</v>
      </c>
      <c r="J32" s="133">
        <v>0.28000000000000003</v>
      </c>
      <c r="K32" s="133">
        <v>262.67</v>
      </c>
      <c r="L32" s="133">
        <v>25.88</v>
      </c>
      <c r="M32" s="133">
        <v>91.73</v>
      </c>
      <c r="N32" s="133">
        <v>0</v>
      </c>
      <c r="O32" s="133">
        <v>0</v>
      </c>
      <c r="P32" s="133">
        <v>0.65</v>
      </c>
      <c r="Q32" s="133">
        <v>4.0199999999999996</v>
      </c>
    </row>
    <row r="33" spans="1:17" customFormat="1">
      <c r="A33" s="111" t="s">
        <v>359</v>
      </c>
      <c r="B33" s="133">
        <v>13.54</v>
      </c>
      <c r="C33" s="133">
        <v>21.76</v>
      </c>
      <c r="D33" s="133">
        <v>23.58</v>
      </c>
      <c r="E33" s="133">
        <v>7.9</v>
      </c>
      <c r="F33" s="133">
        <v>3.54</v>
      </c>
      <c r="G33" s="133">
        <v>36.4</v>
      </c>
      <c r="H33" s="133">
        <v>16.54</v>
      </c>
      <c r="I33" s="133">
        <v>5.75</v>
      </c>
      <c r="J33" s="133">
        <v>0.25</v>
      </c>
      <c r="K33" s="133">
        <v>266.94</v>
      </c>
      <c r="L33" s="133">
        <v>25.91</v>
      </c>
      <c r="M33" s="133">
        <v>91.6</v>
      </c>
      <c r="N33" s="133">
        <v>0.7</v>
      </c>
      <c r="O33" s="133">
        <v>0</v>
      </c>
      <c r="P33" s="133">
        <v>0.63</v>
      </c>
      <c r="Q33" s="133">
        <v>3.97</v>
      </c>
    </row>
    <row r="34" spans="1:17" customFormat="1">
      <c r="A34" s="111" t="s">
        <v>360</v>
      </c>
      <c r="B34" s="133">
        <v>13.83</v>
      </c>
      <c r="C34" s="133">
        <v>20.92</v>
      </c>
      <c r="D34" s="133">
        <v>23.37</v>
      </c>
      <c r="E34" s="133">
        <v>8.09</v>
      </c>
      <c r="F34" s="133">
        <v>3.53</v>
      </c>
      <c r="G34" s="133">
        <v>36.4</v>
      </c>
      <c r="H34" s="133">
        <v>16.54</v>
      </c>
      <c r="I34" s="133">
        <v>5.7</v>
      </c>
      <c r="J34" s="133">
        <v>0.37</v>
      </c>
      <c r="K34" s="133">
        <v>281.24</v>
      </c>
      <c r="L34" s="133">
        <v>26</v>
      </c>
      <c r="M34" s="133">
        <v>90.01</v>
      </c>
      <c r="N34" s="133">
        <v>14.2</v>
      </c>
      <c r="O34" s="133">
        <v>0</v>
      </c>
      <c r="P34" s="133">
        <v>0.61</v>
      </c>
      <c r="Q34" s="133">
        <v>3.94</v>
      </c>
    </row>
    <row r="35" spans="1:17" customFormat="1">
      <c r="A35" s="111" t="s">
        <v>361</v>
      </c>
      <c r="B35" s="133">
        <v>13.73</v>
      </c>
      <c r="C35" s="133">
        <v>20.34</v>
      </c>
      <c r="D35" s="133">
        <v>22.99</v>
      </c>
      <c r="E35" s="133">
        <v>7.81</v>
      </c>
      <c r="F35" s="133">
        <v>3.69</v>
      </c>
      <c r="G35" s="133">
        <v>36.479999999999997</v>
      </c>
      <c r="H35" s="133">
        <v>16.350000000000001</v>
      </c>
      <c r="I35" s="133">
        <v>5.68</v>
      </c>
      <c r="J35" s="133">
        <v>0.38</v>
      </c>
      <c r="K35" s="133">
        <v>277.01</v>
      </c>
      <c r="L35" s="133">
        <v>26.26</v>
      </c>
      <c r="M35" s="133">
        <v>89.39</v>
      </c>
      <c r="N35" s="133">
        <v>50.5</v>
      </c>
      <c r="O35" s="133">
        <v>0</v>
      </c>
      <c r="P35" s="133">
        <v>0.6</v>
      </c>
      <c r="Q35" s="133">
        <v>3.96</v>
      </c>
    </row>
    <row r="36" spans="1:17" customFormat="1">
      <c r="A36" s="111" t="s">
        <v>362</v>
      </c>
      <c r="B36" s="133">
        <v>13.57</v>
      </c>
      <c r="C36" s="133">
        <v>20.27</v>
      </c>
      <c r="D36" s="133">
        <v>22.82</v>
      </c>
      <c r="E36" s="133">
        <v>7.89</v>
      </c>
      <c r="F36" s="133">
        <v>4.18</v>
      </c>
      <c r="G36" s="133">
        <v>36.729999999999997</v>
      </c>
      <c r="H36" s="133">
        <v>14.81</v>
      </c>
      <c r="I36" s="133">
        <v>5.61</v>
      </c>
      <c r="J36" s="133">
        <v>0.37</v>
      </c>
      <c r="K36" s="133">
        <v>280.91000000000003</v>
      </c>
      <c r="L36" s="133">
        <v>26.42</v>
      </c>
      <c r="M36" s="133">
        <v>89.05</v>
      </c>
      <c r="N36" s="133">
        <v>56</v>
      </c>
      <c r="O36" s="133">
        <v>0</v>
      </c>
      <c r="P36" s="133">
        <v>0.57999999999999996</v>
      </c>
      <c r="Q36" s="133">
        <v>3.96</v>
      </c>
    </row>
    <row r="37" spans="1:17" customFormat="1">
      <c r="A37" s="111" t="s">
        <v>363</v>
      </c>
      <c r="B37" s="133">
        <v>14.2</v>
      </c>
      <c r="C37" s="133">
        <v>22.66</v>
      </c>
      <c r="D37" s="133">
        <v>24.58</v>
      </c>
      <c r="E37" s="133">
        <v>7.76</v>
      </c>
      <c r="F37" s="133">
        <v>2.96</v>
      </c>
      <c r="G37" s="133">
        <v>36.729999999999997</v>
      </c>
      <c r="H37" s="133">
        <v>14.81</v>
      </c>
      <c r="I37" s="133">
        <v>5.49</v>
      </c>
      <c r="J37" s="133">
        <v>0.34</v>
      </c>
      <c r="K37" s="133">
        <v>282.89</v>
      </c>
      <c r="L37" s="133">
        <v>26.53</v>
      </c>
      <c r="M37" s="133">
        <v>87.68</v>
      </c>
      <c r="N37" s="133">
        <v>56.1</v>
      </c>
      <c r="O37" s="133">
        <v>0</v>
      </c>
      <c r="P37" s="133">
        <v>0.62</v>
      </c>
      <c r="Q37" s="133">
        <v>3.94</v>
      </c>
    </row>
    <row r="38" spans="1:17" customFormat="1">
      <c r="A38" s="111" t="s">
        <v>364</v>
      </c>
      <c r="B38" s="133">
        <v>14.58</v>
      </c>
      <c r="C38" s="133">
        <v>21.97</v>
      </c>
      <c r="D38" s="133">
        <v>24.53</v>
      </c>
      <c r="E38" s="133">
        <v>7.93</v>
      </c>
      <c r="F38" s="133">
        <v>3.3</v>
      </c>
      <c r="G38" s="133">
        <v>36.729999999999997</v>
      </c>
      <c r="H38" s="133">
        <v>14.81</v>
      </c>
      <c r="I38" s="133">
        <v>5.52</v>
      </c>
      <c r="J38" s="133">
        <v>0.45</v>
      </c>
      <c r="K38" s="133">
        <v>274.45999999999998</v>
      </c>
      <c r="L38" s="133">
        <v>26.7</v>
      </c>
      <c r="M38" s="133">
        <v>86.82</v>
      </c>
      <c r="N38" s="133">
        <v>72.2</v>
      </c>
      <c r="O38" s="133">
        <v>0</v>
      </c>
      <c r="P38" s="133">
        <v>0.61</v>
      </c>
      <c r="Q38" s="133">
        <v>4.01</v>
      </c>
    </row>
    <row r="39" spans="1:17" customFormat="1">
      <c r="A39" s="111" t="s">
        <v>365</v>
      </c>
      <c r="B39" s="133">
        <v>14.46</v>
      </c>
      <c r="C39" s="133">
        <v>20.98</v>
      </c>
      <c r="D39" s="133">
        <v>23.91</v>
      </c>
      <c r="E39" s="133">
        <v>8.06</v>
      </c>
      <c r="F39" s="133">
        <v>3.98</v>
      </c>
      <c r="G39" s="133">
        <v>34.79</v>
      </c>
      <c r="H39" s="133">
        <v>14.07</v>
      </c>
      <c r="I39" s="133">
        <v>5.6</v>
      </c>
      <c r="J39" s="133">
        <v>0.39</v>
      </c>
      <c r="K39" s="133">
        <v>282.95</v>
      </c>
      <c r="L39" s="133">
        <v>26.92</v>
      </c>
      <c r="M39" s="133">
        <v>86.2</v>
      </c>
      <c r="N39" s="133">
        <v>87.3</v>
      </c>
      <c r="O39" s="133">
        <v>0</v>
      </c>
      <c r="P39" s="133">
        <v>0.59</v>
      </c>
      <c r="Q39" s="133">
        <v>3.99</v>
      </c>
    </row>
    <row r="40" spans="1:17" customFormat="1">
      <c r="A40" s="111" t="s">
        <v>366</v>
      </c>
      <c r="B40" s="133">
        <v>14.57</v>
      </c>
      <c r="C40" s="133">
        <v>20.149999999999999</v>
      </c>
      <c r="D40" s="133">
        <v>23.56</v>
      </c>
      <c r="E40" s="133">
        <v>7.75</v>
      </c>
      <c r="F40" s="133">
        <v>4.07</v>
      </c>
      <c r="G40" s="133">
        <v>28.1</v>
      </c>
      <c r="H40" s="133">
        <v>12.02</v>
      </c>
      <c r="I40" s="133">
        <v>5.53</v>
      </c>
      <c r="J40" s="133">
        <v>0.38</v>
      </c>
      <c r="K40" s="133">
        <v>286.26</v>
      </c>
      <c r="L40" s="133">
        <v>27</v>
      </c>
      <c r="M40" s="133">
        <v>85.35</v>
      </c>
      <c r="N40" s="133">
        <v>72.7</v>
      </c>
      <c r="O40" s="133">
        <v>0</v>
      </c>
      <c r="P40" s="133">
        <v>0.56999999999999995</v>
      </c>
      <c r="Q40" s="133">
        <v>3.98</v>
      </c>
    </row>
    <row r="41" spans="1:17" customFormat="1">
      <c r="A41" s="111" t="s">
        <v>367</v>
      </c>
      <c r="B41" s="133">
        <v>14.56</v>
      </c>
      <c r="C41" s="133">
        <v>19.89</v>
      </c>
      <c r="D41" s="133">
        <v>23.42</v>
      </c>
      <c r="E41" s="133">
        <v>7.87</v>
      </c>
      <c r="F41" s="133">
        <v>4</v>
      </c>
      <c r="G41" s="133">
        <v>28.1</v>
      </c>
      <c r="H41" s="133">
        <v>12.02</v>
      </c>
      <c r="I41" s="133">
        <v>5.35</v>
      </c>
      <c r="J41" s="133">
        <v>0.49</v>
      </c>
      <c r="K41" s="133">
        <v>275.5</v>
      </c>
      <c r="L41" s="133">
        <v>27.11</v>
      </c>
      <c r="M41" s="133">
        <v>84.88</v>
      </c>
      <c r="N41" s="133">
        <v>132</v>
      </c>
      <c r="O41" s="133">
        <v>0</v>
      </c>
      <c r="P41" s="133">
        <v>0.56000000000000005</v>
      </c>
      <c r="Q41" s="133">
        <v>3.96</v>
      </c>
    </row>
    <row r="42" spans="1:17" customFormat="1">
      <c r="A42" s="111" t="s">
        <v>368</v>
      </c>
      <c r="B42" s="133">
        <v>14.62</v>
      </c>
      <c r="C42" s="133">
        <v>19.96</v>
      </c>
      <c r="D42" s="133">
        <v>23.5</v>
      </c>
      <c r="E42" s="133">
        <v>7.7</v>
      </c>
      <c r="F42" s="133">
        <v>4.1100000000000003</v>
      </c>
      <c r="G42" s="133">
        <v>28.1</v>
      </c>
      <c r="H42" s="133">
        <v>12.02</v>
      </c>
      <c r="I42" s="133">
        <v>5.37</v>
      </c>
      <c r="J42" s="133">
        <v>0.42</v>
      </c>
      <c r="K42" s="133">
        <v>306.79000000000002</v>
      </c>
      <c r="L42" s="133">
        <v>27.58</v>
      </c>
      <c r="M42" s="133">
        <v>82.98</v>
      </c>
      <c r="N42" s="133">
        <v>160.4</v>
      </c>
      <c r="O42" s="133">
        <v>0</v>
      </c>
      <c r="P42" s="133">
        <v>0.56000000000000005</v>
      </c>
      <c r="Q42" s="133">
        <v>3.94</v>
      </c>
    </row>
    <row r="43" spans="1:17" customFormat="1">
      <c r="A43" s="111" t="s">
        <v>369</v>
      </c>
      <c r="B43" s="133">
        <v>14.76</v>
      </c>
      <c r="C43" s="133">
        <v>22.21</v>
      </c>
      <c r="D43" s="133">
        <v>24.8</v>
      </c>
      <c r="E43" s="133">
        <v>7.67</v>
      </c>
      <c r="F43" s="133">
        <v>3.34</v>
      </c>
      <c r="G43" s="133">
        <v>28.65</v>
      </c>
      <c r="H43" s="133">
        <v>11.88</v>
      </c>
      <c r="I43" s="133">
        <v>5.26</v>
      </c>
      <c r="J43" s="133">
        <v>0.45</v>
      </c>
      <c r="K43" s="133">
        <v>323.99</v>
      </c>
      <c r="L43" s="133">
        <v>27.95</v>
      </c>
      <c r="M43" s="133">
        <v>81.180000000000007</v>
      </c>
      <c r="N43" s="133">
        <v>208.1</v>
      </c>
      <c r="O43" s="133">
        <v>0</v>
      </c>
      <c r="P43" s="133">
        <v>0.59</v>
      </c>
      <c r="Q43" s="133">
        <v>3.96</v>
      </c>
    </row>
    <row r="44" spans="1:17" customFormat="1">
      <c r="A44" s="111" t="s">
        <v>370</v>
      </c>
      <c r="B44" s="133">
        <v>15.05</v>
      </c>
      <c r="C44" s="133">
        <v>22.27</v>
      </c>
      <c r="D44" s="133">
        <v>25.06</v>
      </c>
      <c r="E44" s="133">
        <v>7.84</v>
      </c>
      <c r="F44" s="133">
        <v>3.5</v>
      </c>
      <c r="G44" s="133">
        <v>30.54</v>
      </c>
      <c r="H44" s="133">
        <v>11.56</v>
      </c>
      <c r="I44" s="133">
        <v>5.29</v>
      </c>
      <c r="J44" s="133">
        <v>0.49</v>
      </c>
      <c r="K44" s="133">
        <v>285.55</v>
      </c>
      <c r="L44" s="133">
        <v>28.36</v>
      </c>
      <c r="M44" s="133">
        <v>80.099999999999994</v>
      </c>
      <c r="N44" s="133">
        <v>282.2</v>
      </c>
      <c r="O44" s="133">
        <v>0</v>
      </c>
      <c r="P44" s="133">
        <v>0.59</v>
      </c>
      <c r="Q44" s="133">
        <v>4.03</v>
      </c>
    </row>
    <row r="45" spans="1:17" customFormat="1">
      <c r="A45" s="111" t="s">
        <v>371</v>
      </c>
      <c r="B45" s="133">
        <v>15.13</v>
      </c>
      <c r="C45" s="133">
        <v>21.47</v>
      </c>
      <c r="D45" s="133">
        <v>24.7</v>
      </c>
      <c r="E45" s="133">
        <v>7.87</v>
      </c>
      <c r="F45" s="133">
        <v>3.66</v>
      </c>
      <c r="G45" s="133">
        <v>30.54</v>
      </c>
      <c r="H45" s="133">
        <v>11.56</v>
      </c>
      <c r="I45" s="133">
        <v>5.35</v>
      </c>
      <c r="J45" s="133">
        <v>0.4</v>
      </c>
      <c r="K45" s="133">
        <v>323.68</v>
      </c>
      <c r="L45" s="133">
        <v>29.03</v>
      </c>
      <c r="M45" s="133">
        <v>77.709999999999994</v>
      </c>
      <c r="N45" s="133">
        <v>423.2</v>
      </c>
      <c r="O45" s="133">
        <v>0</v>
      </c>
      <c r="P45" s="133">
        <v>0.57999999999999996</v>
      </c>
      <c r="Q45" s="133">
        <v>4.04</v>
      </c>
    </row>
    <row r="46" spans="1:17" customFormat="1">
      <c r="A46" s="111" t="s">
        <v>372</v>
      </c>
      <c r="B46" s="133">
        <v>15</v>
      </c>
      <c r="C46" s="133">
        <v>21.02</v>
      </c>
      <c r="D46" s="133">
        <v>24.36</v>
      </c>
      <c r="E46" s="133">
        <v>7.51</v>
      </c>
      <c r="F46" s="133">
        <v>3.94</v>
      </c>
      <c r="G46" s="133">
        <v>30.54</v>
      </c>
      <c r="H46" s="133">
        <v>11.56</v>
      </c>
      <c r="I46" s="133">
        <v>5.34</v>
      </c>
      <c r="J46" s="133">
        <v>0.42</v>
      </c>
      <c r="K46" s="133">
        <v>301.29000000000002</v>
      </c>
      <c r="L46" s="133">
        <v>30.02</v>
      </c>
      <c r="M46" s="133">
        <v>74.5</v>
      </c>
      <c r="N46" s="133">
        <v>551.70000000000005</v>
      </c>
      <c r="O46" s="133">
        <v>0</v>
      </c>
      <c r="P46" s="133">
        <v>0.57999999999999996</v>
      </c>
      <c r="Q46" s="133">
        <v>4.0199999999999996</v>
      </c>
    </row>
    <row r="47" spans="1:17" customFormat="1">
      <c r="A47" s="111" t="s">
        <v>373</v>
      </c>
      <c r="B47" s="133">
        <v>14.72</v>
      </c>
      <c r="C47" s="133">
        <v>21.05</v>
      </c>
      <c r="D47" s="133">
        <v>24.16</v>
      </c>
      <c r="E47" s="133">
        <v>8.19</v>
      </c>
      <c r="F47" s="133">
        <v>4.33</v>
      </c>
      <c r="G47" s="133">
        <v>30.15</v>
      </c>
      <c r="H47" s="133">
        <v>11.71</v>
      </c>
      <c r="I47" s="133">
        <v>5.29</v>
      </c>
      <c r="J47" s="133">
        <v>0.32</v>
      </c>
      <c r="K47" s="133">
        <v>333.94</v>
      </c>
      <c r="L47" s="133">
        <v>30.57</v>
      </c>
      <c r="M47" s="133">
        <v>71.88</v>
      </c>
      <c r="N47" s="133">
        <v>436.6</v>
      </c>
      <c r="O47" s="133">
        <v>0</v>
      </c>
      <c r="P47" s="133">
        <v>0.59</v>
      </c>
      <c r="Q47" s="133">
        <v>3.99</v>
      </c>
    </row>
    <row r="48" spans="1:17" customFormat="1">
      <c r="A48" s="111" t="s">
        <v>374</v>
      </c>
      <c r="B48" s="133">
        <v>14.48</v>
      </c>
      <c r="C48" s="133">
        <v>21.27</v>
      </c>
      <c r="D48" s="133">
        <v>24.08</v>
      </c>
      <c r="E48" s="133">
        <v>8.19</v>
      </c>
      <c r="F48" s="133">
        <v>3.91</v>
      </c>
      <c r="G48" s="133">
        <v>28.78</v>
      </c>
      <c r="H48" s="133">
        <v>12.09</v>
      </c>
      <c r="I48" s="133">
        <v>5.3</v>
      </c>
      <c r="J48" s="133">
        <v>0.52</v>
      </c>
      <c r="K48" s="133">
        <v>296.19</v>
      </c>
      <c r="L48" s="133">
        <v>30.14</v>
      </c>
      <c r="M48" s="133">
        <v>73.599999999999994</v>
      </c>
      <c r="N48" s="133">
        <v>327.5</v>
      </c>
      <c r="O48" s="133">
        <v>0</v>
      </c>
      <c r="P48" s="133">
        <v>0.59</v>
      </c>
      <c r="Q48" s="133">
        <v>3.96</v>
      </c>
    </row>
    <row r="49" spans="1:17" customFormat="1">
      <c r="A49" s="111" t="s">
        <v>375</v>
      </c>
      <c r="B49" s="133">
        <v>14.08</v>
      </c>
      <c r="C49" s="133">
        <v>21.81</v>
      </c>
      <c r="D49" s="133">
        <v>24.04</v>
      </c>
      <c r="E49" s="133">
        <v>6.47</v>
      </c>
      <c r="F49" s="133">
        <v>4.04</v>
      </c>
      <c r="G49" s="133">
        <v>28.78</v>
      </c>
      <c r="H49" s="133">
        <v>12.09</v>
      </c>
      <c r="I49" s="133">
        <v>5.26</v>
      </c>
      <c r="J49" s="133">
        <v>0.56000000000000005</v>
      </c>
      <c r="K49" s="133">
        <v>319.14</v>
      </c>
      <c r="L49" s="133">
        <v>30.4</v>
      </c>
      <c r="M49" s="133">
        <v>72.489999999999995</v>
      </c>
      <c r="N49" s="133">
        <v>616.6</v>
      </c>
      <c r="O49" s="133">
        <v>0</v>
      </c>
      <c r="P49" s="133">
        <v>0.59</v>
      </c>
      <c r="Q49" s="166" t="s">
        <v>14</v>
      </c>
    </row>
    <row r="50" spans="1:17" customFormat="1">
      <c r="A50" s="111" t="s">
        <v>376</v>
      </c>
      <c r="B50" s="133">
        <v>13.39</v>
      </c>
      <c r="C50" s="133">
        <v>22.62</v>
      </c>
      <c r="D50" s="133">
        <v>23.91</v>
      </c>
      <c r="E50" s="133">
        <v>7.23</v>
      </c>
      <c r="F50" s="133">
        <v>4.74</v>
      </c>
      <c r="G50" s="133">
        <v>28.78</v>
      </c>
      <c r="H50" s="133">
        <v>12.09</v>
      </c>
      <c r="I50" s="133">
        <v>5.28</v>
      </c>
      <c r="J50" s="133">
        <v>0.52</v>
      </c>
      <c r="K50" s="133">
        <v>337.9</v>
      </c>
      <c r="L50" s="133">
        <v>30.97</v>
      </c>
      <c r="M50" s="133">
        <v>70.5</v>
      </c>
      <c r="N50" s="133">
        <v>669</v>
      </c>
      <c r="O50" s="133">
        <v>0</v>
      </c>
      <c r="P50" s="133">
        <v>0.6</v>
      </c>
      <c r="Q50" s="166" t="s">
        <v>14</v>
      </c>
    </row>
    <row r="51" spans="1:17" customFormat="1">
      <c r="A51" s="111" t="s">
        <v>377</v>
      </c>
      <c r="B51" s="133">
        <v>12.56</v>
      </c>
      <c r="C51" s="133">
        <v>22.93</v>
      </c>
      <c r="D51" s="133">
        <v>23.4</v>
      </c>
      <c r="E51" s="133">
        <v>8.83</v>
      </c>
      <c r="F51" s="133">
        <v>6.71</v>
      </c>
      <c r="G51" s="133">
        <v>29.89</v>
      </c>
      <c r="H51" s="133">
        <v>11.81</v>
      </c>
      <c r="I51" s="133">
        <v>5.3</v>
      </c>
      <c r="J51" s="133">
        <v>0.46</v>
      </c>
      <c r="K51" s="133">
        <v>302.10000000000002</v>
      </c>
      <c r="L51" s="133">
        <v>31.53</v>
      </c>
      <c r="M51" s="133">
        <v>68.67</v>
      </c>
      <c r="N51" s="133">
        <v>693.2</v>
      </c>
      <c r="O51" s="133">
        <v>0</v>
      </c>
      <c r="P51" s="133">
        <v>0.61</v>
      </c>
      <c r="Q51" s="166" t="s">
        <v>14</v>
      </c>
    </row>
    <row r="52" spans="1:17" customFormat="1">
      <c r="A52" s="111" t="s">
        <v>378</v>
      </c>
      <c r="B52" s="133">
        <v>12.18</v>
      </c>
      <c r="C52" s="133">
        <v>23.81</v>
      </c>
      <c r="D52" s="133">
        <v>23.56</v>
      </c>
      <c r="E52" s="133">
        <v>8.19</v>
      </c>
      <c r="F52" s="133">
        <v>4.82</v>
      </c>
      <c r="G52" s="133">
        <v>32.35</v>
      </c>
      <c r="H52" s="133">
        <v>11.47</v>
      </c>
      <c r="I52" s="133">
        <v>5.29</v>
      </c>
      <c r="J52" s="133">
        <v>0.25</v>
      </c>
      <c r="K52" s="133">
        <v>314.93</v>
      </c>
      <c r="L52" s="133">
        <v>31.91</v>
      </c>
      <c r="M52" s="133">
        <v>67.22</v>
      </c>
      <c r="N52" s="133">
        <v>465.7</v>
      </c>
      <c r="O52" s="133">
        <v>0</v>
      </c>
      <c r="P52" s="133">
        <v>0.6</v>
      </c>
      <c r="Q52" s="133">
        <v>3.88</v>
      </c>
    </row>
    <row r="53" spans="1:17" customFormat="1">
      <c r="A53" s="111" t="s">
        <v>379</v>
      </c>
      <c r="B53" s="133">
        <v>11.7</v>
      </c>
      <c r="C53" s="133">
        <v>24.26</v>
      </c>
      <c r="D53" s="133">
        <v>23.41</v>
      </c>
      <c r="E53" s="133">
        <v>7.48</v>
      </c>
      <c r="F53" s="133">
        <v>4.2699999999999996</v>
      </c>
      <c r="G53" s="133">
        <v>32.35</v>
      </c>
      <c r="H53" s="133">
        <v>11.47</v>
      </c>
      <c r="I53" s="133">
        <v>5.22</v>
      </c>
      <c r="J53" s="133">
        <v>0.47</v>
      </c>
      <c r="K53" s="133">
        <v>307.74</v>
      </c>
      <c r="L53" s="133">
        <v>31.31</v>
      </c>
      <c r="M53" s="133">
        <v>68.39</v>
      </c>
      <c r="N53" s="133">
        <v>379.3</v>
      </c>
      <c r="O53" s="133">
        <v>0</v>
      </c>
      <c r="P53" s="133">
        <v>0.61</v>
      </c>
      <c r="Q53" s="133">
        <v>3.88</v>
      </c>
    </row>
    <row r="54" spans="1:17" customFormat="1">
      <c r="A54" s="111" t="s">
        <v>380</v>
      </c>
      <c r="B54" s="133">
        <v>11.24</v>
      </c>
      <c r="C54" s="133">
        <v>24.36</v>
      </c>
      <c r="D54" s="133">
        <v>23.09</v>
      </c>
      <c r="E54" s="133">
        <v>7.68</v>
      </c>
      <c r="F54" s="133">
        <v>4.4400000000000004</v>
      </c>
      <c r="G54" s="133">
        <v>32.35</v>
      </c>
      <c r="H54" s="133">
        <v>11.47</v>
      </c>
      <c r="I54" s="133">
        <v>5.22</v>
      </c>
      <c r="J54" s="133">
        <v>0.37</v>
      </c>
      <c r="K54" s="133">
        <v>345.47</v>
      </c>
      <c r="L54" s="133">
        <v>31.44</v>
      </c>
      <c r="M54" s="133">
        <v>67.209999999999994</v>
      </c>
      <c r="N54" s="133">
        <v>552.20000000000005</v>
      </c>
      <c r="O54" s="133">
        <v>0</v>
      </c>
      <c r="P54" s="133">
        <v>0.6</v>
      </c>
      <c r="Q54" s="133">
        <v>3.85</v>
      </c>
    </row>
    <row r="55" spans="1:17" customFormat="1">
      <c r="A55" s="111" t="s">
        <v>381</v>
      </c>
      <c r="B55" s="133">
        <v>10.71</v>
      </c>
      <c r="C55" s="133">
        <v>24.26</v>
      </c>
      <c r="D55" s="133">
        <v>22.62</v>
      </c>
      <c r="E55" s="133">
        <v>7.85</v>
      </c>
      <c r="F55" s="133">
        <v>5.79</v>
      </c>
      <c r="G55" s="133">
        <v>33.03</v>
      </c>
      <c r="H55" s="133">
        <v>11.51</v>
      </c>
      <c r="I55" s="133">
        <v>5.15</v>
      </c>
      <c r="J55" s="133">
        <v>0.45</v>
      </c>
      <c r="K55" s="133">
        <v>337.03</v>
      </c>
      <c r="L55" s="133">
        <v>31.94</v>
      </c>
      <c r="M55" s="133">
        <v>64.94</v>
      </c>
      <c r="N55" s="133">
        <v>570.20000000000005</v>
      </c>
      <c r="O55" s="133">
        <v>0</v>
      </c>
      <c r="P55" s="133">
        <v>0.6</v>
      </c>
      <c r="Q55" s="166" t="s">
        <v>14</v>
      </c>
    </row>
    <row r="56" spans="1:17" customFormat="1">
      <c r="A56" s="111" t="s">
        <v>382</v>
      </c>
      <c r="B56" s="133">
        <v>10.48</v>
      </c>
      <c r="C56" s="133">
        <v>24.65</v>
      </c>
      <c r="D56" s="133">
        <v>22.63</v>
      </c>
      <c r="E56" s="133">
        <v>7.41</v>
      </c>
      <c r="F56" s="133">
        <v>4.92</v>
      </c>
      <c r="G56" s="133">
        <v>34.869999999999997</v>
      </c>
      <c r="H56" s="133">
        <v>11.57</v>
      </c>
      <c r="I56" s="133">
        <v>5.05</v>
      </c>
      <c r="J56" s="133">
        <v>0.35</v>
      </c>
      <c r="K56" s="133">
        <v>345.4</v>
      </c>
      <c r="L56" s="133">
        <v>31.28</v>
      </c>
      <c r="M56" s="133">
        <v>68.459999999999994</v>
      </c>
      <c r="N56" s="133">
        <v>158.69999999999999</v>
      </c>
      <c r="O56" s="133">
        <v>0</v>
      </c>
      <c r="P56" s="133">
        <v>0.59</v>
      </c>
      <c r="Q56" s="133">
        <v>3.85</v>
      </c>
    </row>
    <row r="57" spans="1:17" customFormat="1">
      <c r="A57" s="111" t="s">
        <v>383</v>
      </c>
      <c r="B57" s="133">
        <v>10.18</v>
      </c>
      <c r="C57" s="133">
        <v>24.69</v>
      </c>
      <c r="D57" s="133">
        <v>22.41</v>
      </c>
      <c r="E57" s="133">
        <v>7.26</v>
      </c>
      <c r="F57" s="133">
        <v>4.8499999999999996</v>
      </c>
      <c r="G57" s="133">
        <v>34.869999999999997</v>
      </c>
      <c r="H57" s="133">
        <v>11.57</v>
      </c>
      <c r="I57" s="133">
        <v>5</v>
      </c>
      <c r="J57" s="133">
        <v>0.71</v>
      </c>
      <c r="K57" s="133">
        <v>27.58</v>
      </c>
      <c r="L57" s="133">
        <v>31.13</v>
      </c>
      <c r="M57" s="133">
        <v>68.900000000000006</v>
      </c>
      <c r="N57" s="133">
        <v>519.9</v>
      </c>
      <c r="O57" s="133">
        <v>0</v>
      </c>
      <c r="P57" s="133">
        <v>0.59</v>
      </c>
      <c r="Q57" s="133">
        <v>3.83</v>
      </c>
    </row>
    <row r="58" spans="1:17" customFormat="1">
      <c r="A58" s="111" t="s">
        <v>384</v>
      </c>
      <c r="B58" s="133">
        <v>10.34</v>
      </c>
      <c r="C58" s="133">
        <v>24.21</v>
      </c>
      <c r="D58" s="133">
        <v>22.29</v>
      </c>
      <c r="E58" s="133">
        <v>7.09</v>
      </c>
      <c r="F58" s="133">
        <v>4.6900000000000004</v>
      </c>
      <c r="G58" s="133">
        <v>34.869999999999997</v>
      </c>
      <c r="H58" s="133">
        <v>11.57</v>
      </c>
      <c r="I58" s="133">
        <v>4.93</v>
      </c>
      <c r="J58" s="133">
        <v>0.64</v>
      </c>
      <c r="K58" s="133">
        <v>32.090000000000003</v>
      </c>
      <c r="L58" s="133">
        <v>31.31</v>
      </c>
      <c r="M58" s="133">
        <v>69.02</v>
      </c>
      <c r="N58" s="133">
        <v>450.6</v>
      </c>
      <c r="O58" s="133">
        <v>0</v>
      </c>
      <c r="P58" s="133">
        <v>0.57999999999999996</v>
      </c>
      <c r="Q58" s="133">
        <v>3.81</v>
      </c>
    </row>
    <row r="59" spans="1:17" customFormat="1">
      <c r="A59" s="111" t="s">
        <v>385</v>
      </c>
      <c r="B59" s="133">
        <v>10.39</v>
      </c>
      <c r="C59" s="133">
        <v>23.75</v>
      </c>
      <c r="D59" s="133">
        <v>22.09</v>
      </c>
      <c r="E59" s="133">
        <v>7.54</v>
      </c>
      <c r="F59" s="133">
        <v>5.34</v>
      </c>
      <c r="G59" s="133">
        <v>33.85</v>
      </c>
      <c r="H59" s="133">
        <v>11.57</v>
      </c>
      <c r="I59" s="133">
        <v>4.8099999999999996</v>
      </c>
      <c r="J59" s="133">
        <v>0.49</v>
      </c>
      <c r="K59" s="133">
        <v>7.59</v>
      </c>
      <c r="L59" s="133">
        <v>31.47</v>
      </c>
      <c r="M59" s="133">
        <v>68.23</v>
      </c>
      <c r="N59" s="133">
        <v>289.10000000000002</v>
      </c>
      <c r="O59" s="133">
        <v>0</v>
      </c>
      <c r="P59" s="133">
        <v>0.56999999999999995</v>
      </c>
      <c r="Q59" s="133">
        <v>3.82</v>
      </c>
    </row>
    <row r="60" spans="1:17" customFormat="1">
      <c r="A60" s="111" t="s">
        <v>386</v>
      </c>
      <c r="B60" s="133">
        <v>10.26</v>
      </c>
      <c r="C60" s="133">
        <v>24.18</v>
      </c>
      <c r="D60" s="133">
        <v>22.21</v>
      </c>
      <c r="E60" s="133">
        <v>7.81</v>
      </c>
      <c r="F60" s="133">
        <v>5.03</v>
      </c>
      <c r="G60" s="133">
        <v>30.42</v>
      </c>
      <c r="H60" s="133">
        <v>12.22</v>
      </c>
      <c r="I60" s="133">
        <v>4.78</v>
      </c>
      <c r="J60" s="133">
        <v>0.44</v>
      </c>
      <c r="K60" s="133">
        <v>353.81</v>
      </c>
      <c r="L60" s="133">
        <v>30.88</v>
      </c>
      <c r="M60" s="133">
        <v>69.67</v>
      </c>
      <c r="N60" s="133">
        <v>578.5</v>
      </c>
      <c r="O60" s="133">
        <v>0</v>
      </c>
      <c r="P60" s="133">
        <v>0.56999999999999995</v>
      </c>
      <c r="Q60" s="166" t="s">
        <v>14</v>
      </c>
    </row>
    <row r="61" spans="1:17" customFormat="1">
      <c r="A61" s="111" t="s">
        <v>387</v>
      </c>
      <c r="B61" s="133">
        <v>10.26</v>
      </c>
      <c r="C61" s="133">
        <v>24.23</v>
      </c>
      <c r="D61" s="133">
        <v>22.24</v>
      </c>
      <c r="E61" s="133">
        <v>7.45</v>
      </c>
      <c r="F61" s="133">
        <v>4.4400000000000004</v>
      </c>
      <c r="G61" s="133">
        <v>30.42</v>
      </c>
      <c r="H61" s="133">
        <v>12.22</v>
      </c>
      <c r="I61" s="133">
        <v>4.6500000000000004</v>
      </c>
      <c r="J61" s="133">
        <v>0.43</v>
      </c>
      <c r="K61" s="133">
        <v>318.44</v>
      </c>
      <c r="L61" s="133">
        <v>32.049999999999997</v>
      </c>
      <c r="M61" s="133">
        <v>66.39</v>
      </c>
      <c r="N61" s="133">
        <v>738.9</v>
      </c>
      <c r="O61" s="133">
        <v>0</v>
      </c>
      <c r="P61" s="133">
        <v>0.56999999999999995</v>
      </c>
      <c r="Q61" s="133">
        <v>3.84</v>
      </c>
    </row>
    <row r="62" spans="1:17" customFormat="1">
      <c r="A62" s="111" t="s">
        <v>388</v>
      </c>
      <c r="B62" s="133">
        <v>10.27</v>
      </c>
      <c r="C62" s="133">
        <v>24.44</v>
      </c>
      <c r="D62" s="133">
        <v>22.35</v>
      </c>
      <c r="E62" s="133">
        <v>7.48</v>
      </c>
      <c r="F62" s="133">
        <v>4.26</v>
      </c>
      <c r="G62" s="133">
        <v>30.42</v>
      </c>
      <c r="H62" s="133">
        <v>12.22</v>
      </c>
      <c r="I62" s="133">
        <v>4.5599999999999996</v>
      </c>
      <c r="J62" s="133">
        <v>0.43</v>
      </c>
      <c r="K62" s="133">
        <v>328.63</v>
      </c>
      <c r="L62" s="133">
        <v>32.49</v>
      </c>
      <c r="M62" s="133">
        <v>65.040000000000006</v>
      </c>
      <c r="N62" s="133">
        <v>569.29999999999995</v>
      </c>
      <c r="O62" s="133">
        <v>0</v>
      </c>
      <c r="P62" s="133">
        <v>0.55000000000000004</v>
      </c>
      <c r="Q62" s="133">
        <v>3.84</v>
      </c>
    </row>
    <row r="63" spans="1:17" customFormat="1">
      <c r="A63" s="111" t="s">
        <v>389</v>
      </c>
      <c r="B63" s="133">
        <v>9.85</v>
      </c>
      <c r="C63" s="133">
        <v>23.9</v>
      </c>
      <c r="D63" s="133">
        <v>21.73</v>
      </c>
      <c r="E63" s="133">
        <v>7.53</v>
      </c>
      <c r="F63" s="133">
        <v>4.4800000000000004</v>
      </c>
      <c r="G63" s="133">
        <v>28.99</v>
      </c>
      <c r="H63" s="133">
        <v>12.49</v>
      </c>
      <c r="I63" s="133">
        <v>4.6100000000000003</v>
      </c>
      <c r="J63" s="133">
        <v>0.25</v>
      </c>
      <c r="K63" s="133">
        <v>319.37</v>
      </c>
      <c r="L63" s="133">
        <v>32.17</v>
      </c>
      <c r="M63" s="133">
        <v>64.19</v>
      </c>
      <c r="N63" s="133">
        <v>300.39999999999998</v>
      </c>
      <c r="O63" s="133">
        <v>0</v>
      </c>
      <c r="P63" s="133">
        <v>0.56000000000000005</v>
      </c>
      <c r="Q63" s="133">
        <v>3.8</v>
      </c>
    </row>
    <row r="64" spans="1:17" customFormat="1">
      <c r="A64" s="111" t="s">
        <v>390</v>
      </c>
      <c r="B64" s="133">
        <v>9.56</v>
      </c>
      <c r="C64" s="133">
        <v>24.88</v>
      </c>
      <c r="D64" s="133">
        <v>22.02</v>
      </c>
      <c r="E64" s="133">
        <v>7.72</v>
      </c>
      <c r="F64" s="133">
        <v>4.26</v>
      </c>
      <c r="G64" s="133">
        <v>24.53</v>
      </c>
      <c r="H64" s="133">
        <v>13.17</v>
      </c>
      <c r="I64" s="133">
        <v>4.51</v>
      </c>
      <c r="J64" s="133">
        <v>0.33</v>
      </c>
      <c r="K64" s="133">
        <v>4.3499999999999996</v>
      </c>
      <c r="L64" s="133">
        <v>31.68</v>
      </c>
      <c r="M64" s="133">
        <v>66.97</v>
      </c>
      <c r="N64" s="133">
        <v>208.1</v>
      </c>
      <c r="O64" s="133">
        <v>0</v>
      </c>
      <c r="P64" s="133">
        <v>0.54</v>
      </c>
      <c r="Q64" s="133">
        <v>3.82</v>
      </c>
    </row>
    <row r="65" spans="1:17" customFormat="1">
      <c r="A65" s="111" t="s">
        <v>391</v>
      </c>
      <c r="B65" s="133">
        <v>9.56</v>
      </c>
      <c r="C65" s="133">
        <v>24.88</v>
      </c>
      <c r="D65" s="133">
        <v>22.02</v>
      </c>
      <c r="E65" s="133">
        <v>7.72</v>
      </c>
      <c r="F65" s="133">
        <v>4.26</v>
      </c>
      <c r="G65" s="133">
        <v>24.53</v>
      </c>
      <c r="H65" s="133">
        <v>13.17</v>
      </c>
      <c r="I65" s="133">
        <v>4.51</v>
      </c>
      <c r="J65" s="133">
        <v>0.33</v>
      </c>
      <c r="K65" s="133">
        <v>4.3499999999999996</v>
      </c>
      <c r="L65" s="133">
        <v>31.68</v>
      </c>
      <c r="M65" s="133">
        <v>66.97</v>
      </c>
      <c r="N65" s="133">
        <v>208.1</v>
      </c>
      <c r="O65" s="133">
        <v>0</v>
      </c>
      <c r="P65" s="133">
        <v>0.54</v>
      </c>
      <c r="Q65" s="133">
        <v>3.82</v>
      </c>
    </row>
    <row r="66" spans="1:17" customFormat="1">
      <c r="A66" s="111" t="s">
        <v>392</v>
      </c>
      <c r="B66" s="133">
        <v>9.52</v>
      </c>
      <c r="C66" s="133">
        <v>24.09</v>
      </c>
      <c r="D66" s="133">
        <v>21.57</v>
      </c>
      <c r="E66" s="133">
        <v>7.72</v>
      </c>
      <c r="F66" s="133">
        <v>4.46</v>
      </c>
      <c r="G66" s="133">
        <v>24.53</v>
      </c>
      <c r="H66" s="133">
        <v>13.17</v>
      </c>
      <c r="I66" s="133">
        <v>4.4400000000000004</v>
      </c>
      <c r="J66" s="133">
        <v>0.39</v>
      </c>
      <c r="K66" s="133">
        <v>327.95</v>
      </c>
      <c r="L66" s="133">
        <v>31.89</v>
      </c>
      <c r="M66" s="133">
        <v>66.09</v>
      </c>
      <c r="N66" s="133">
        <v>323.39999999999998</v>
      </c>
      <c r="O66" s="133">
        <v>0</v>
      </c>
      <c r="P66" s="133">
        <v>0.56000000000000005</v>
      </c>
      <c r="Q66" s="133">
        <v>3.8</v>
      </c>
    </row>
    <row r="67" spans="1:17" customFormat="1">
      <c r="A67" s="111" t="s">
        <v>393</v>
      </c>
      <c r="B67" s="133">
        <v>9.52</v>
      </c>
      <c r="C67" s="133">
        <v>23.25</v>
      </c>
      <c r="D67" s="133">
        <v>21.13</v>
      </c>
      <c r="E67" s="133">
        <v>7.61</v>
      </c>
      <c r="F67" s="133">
        <v>4.7300000000000004</v>
      </c>
      <c r="G67" s="133">
        <v>25.95</v>
      </c>
      <c r="H67" s="133">
        <v>12.9</v>
      </c>
      <c r="I67" s="133">
        <v>4.41</v>
      </c>
      <c r="J67" s="133">
        <v>0.38</v>
      </c>
      <c r="K67" s="133">
        <v>20.72</v>
      </c>
      <c r="L67" s="133">
        <v>31.93</v>
      </c>
      <c r="M67" s="133">
        <v>66.78</v>
      </c>
      <c r="N67" s="133">
        <v>175.1</v>
      </c>
      <c r="O67" s="133">
        <v>0</v>
      </c>
      <c r="P67" s="133">
        <v>0.56000000000000005</v>
      </c>
      <c r="Q67" s="133">
        <v>3.8</v>
      </c>
    </row>
    <row r="68" spans="1:17" customFormat="1">
      <c r="A68" s="111" t="s">
        <v>394</v>
      </c>
      <c r="B68" s="133">
        <v>9.7200000000000006</v>
      </c>
      <c r="C68" s="133">
        <v>24.61</v>
      </c>
      <c r="D68" s="133">
        <v>22.01</v>
      </c>
      <c r="E68" s="133">
        <v>7.61</v>
      </c>
      <c r="F68" s="133">
        <v>3.64</v>
      </c>
      <c r="G68" s="133">
        <v>29.19</v>
      </c>
      <c r="H68" s="133">
        <v>12.34</v>
      </c>
      <c r="I68" s="133">
        <v>4.26</v>
      </c>
      <c r="J68" s="133">
        <v>0.37</v>
      </c>
      <c r="K68" s="133">
        <v>299.61</v>
      </c>
      <c r="L68" s="133">
        <v>31.27</v>
      </c>
      <c r="M68" s="133">
        <v>67.709999999999994</v>
      </c>
      <c r="N68" s="133">
        <v>97</v>
      </c>
      <c r="O68" s="133">
        <v>0</v>
      </c>
      <c r="P68" s="133">
        <v>0.56999999999999995</v>
      </c>
      <c r="Q68" s="133">
        <v>3.77</v>
      </c>
    </row>
    <row r="69" spans="1:17" customFormat="1">
      <c r="A69" s="111" t="s">
        <v>395</v>
      </c>
      <c r="B69" s="133">
        <v>9.75</v>
      </c>
      <c r="C69" s="133">
        <v>23.91</v>
      </c>
      <c r="D69" s="133">
        <v>21.66</v>
      </c>
      <c r="E69" s="133">
        <v>7.53</v>
      </c>
      <c r="F69" s="133">
        <v>3.7</v>
      </c>
      <c r="G69" s="133">
        <v>29.19</v>
      </c>
      <c r="H69" s="133">
        <v>12.34</v>
      </c>
      <c r="I69" s="133">
        <v>4.2</v>
      </c>
      <c r="J69" s="133">
        <v>0.32</v>
      </c>
      <c r="K69" s="133">
        <v>296.2</v>
      </c>
      <c r="L69" s="133">
        <v>30.95</v>
      </c>
      <c r="M69" s="133">
        <v>68.2</v>
      </c>
      <c r="N69" s="133">
        <v>68</v>
      </c>
      <c r="O69" s="133">
        <v>0</v>
      </c>
      <c r="P69" s="133">
        <v>0.55000000000000004</v>
      </c>
      <c r="Q69" s="133">
        <v>3.79</v>
      </c>
    </row>
    <row r="70" spans="1:17" customFormat="1">
      <c r="A70" s="111" t="s">
        <v>396</v>
      </c>
      <c r="B70" s="133">
        <v>9.77</v>
      </c>
      <c r="C70" s="133">
        <v>24.3</v>
      </c>
      <c r="D70" s="133">
        <v>21.88</v>
      </c>
      <c r="E70" s="133">
        <v>7.74</v>
      </c>
      <c r="F70" s="133">
        <v>3.96</v>
      </c>
      <c r="G70" s="133">
        <v>29.19</v>
      </c>
      <c r="H70" s="133">
        <v>12.34</v>
      </c>
      <c r="I70" s="133">
        <v>4.2</v>
      </c>
      <c r="J70" s="133">
        <v>0.38</v>
      </c>
      <c r="K70" s="133">
        <v>275.06</v>
      </c>
      <c r="L70" s="133">
        <v>30.65</v>
      </c>
      <c r="M70" s="133">
        <v>70.37</v>
      </c>
      <c r="N70" s="133">
        <v>66.2</v>
      </c>
      <c r="O70" s="133">
        <v>0</v>
      </c>
      <c r="P70" s="133">
        <v>0.56000000000000005</v>
      </c>
      <c r="Q70" s="166" t="s">
        <v>14</v>
      </c>
    </row>
    <row r="71" spans="1:17" customFormat="1">
      <c r="A71" s="111" t="s">
        <v>397</v>
      </c>
      <c r="B71" s="133">
        <v>10.31</v>
      </c>
      <c r="C71" s="133">
        <v>23.41</v>
      </c>
      <c r="D71" s="133">
        <v>21.85</v>
      </c>
      <c r="E71" s="133">
        <v>7.31</v>
      </c>
      <c r="F71" s="133">
        <v>5.27</v>
      </c>
      <c r="G71" s="133">
        <v>28.1</v>
      </c>
      <c r="H71" s="133">
        <v>12.06</v>
      </c>
      <c r="I71" s="133">
        <v>4.1900000000000004</v>
      </c>
      <c r="J71" s="133">
        <v>0.32</v>
      </c>
      <c r="K71" s="133">
        <v>296.2</v>
      </c>
      <c r="L71" s="133">
        <v>30.57</v>
      </c>
      <c r="M71" s="133">
        <v>69.55</v>
      </c>
      <c r="N71" s="133">
        <v>69.7</v>
      </c>
      <c r="O71" s="133">
        <v>0</v>
      </c>
      <c r="P71" s="133">
        <v>0.56000000000000005</v>
      </c>
      <c r="Q71" s="133">
        <v>3.79</v>
      </c>
    </row>
    <row r="72" spans="1:17" customFormat="1">
      <c r="A72" s="111" t="s">
        <v>398</v>
      </c>
      <c r="B72" s="133">
        <v>10.76</v>
      </c>
      <c r="C72" s="133">
        <v>22.18</v>
      </c>
      <c r="D72" s="133">
        <v>21.57</v>
      </c>
      <c r="E72" s="133">
        <v>7.58</v>
      </c>
      <c r="F72" s="133">
        <v>5.76</v>
      </c>
      <c r="G72" s="133">
        <v>23.83</v>
      </c>
      <c r="H72" s="133">
        <v>10.220000000000001</v>
      </c>
      <c r="I72" s="133">
        <v>4.09</v>
      </c>
      <c r="J72" s="133">
        <v>0.54</v>
      </c>
      <c r="K72" s="133">
        <v>261.33999999999997</v>
      </c>
      <c r="L72" s="133">
        <v>30.4</v>
      </c>
      <c r="M72" s="133">
        <v>70.16</v>
      </c>
      <c r="N72" s="133">
        <v>52</v>
      </c>
      <c r="O72" s="133">
        <v>0</v>
      </c>
      <c r="P72" s="133">
        <v>0.55000000000000004</v>
      </c>
      <c r="Q72" s="133">
        <v>3.79</v>
      </c>
    </row>
    <row r="73" spans="1:17" customFormat="1">
      <c r="A73" s="111" t="s">
        <v>399</v>
      </c>
      <c r="B73" s="133">
        <v>10.45</v>
      </c>
      <c r="C73" s="133">
        <v>20.79</v>
      </c>
      <c r="D73" s="133">
        <v>20.6</v>
      </c>
      <c r="E73" s="133">
        <v>7.23</v>
      </c>
      <c r="F73" s="133">
        <v>6.17</v>
      </c>
      <c r="G73" s="133">
        <v>23.83</v>
      </c>
      <c r="H73" s="133">
        <v>10.220000000000001</v>
      </c>
      <c r="I73" s="133">
        <v>3.92</v>
      </c>
      <c r="J73" s="133">
        <v>0.38</v>
      </c>
      <c r="K73" s="133">
        <v>261.2</v>
      </c>
      <c r="L73" s="133">
        <v>30.06</v>
      </c>
      <c r="M73" s="133">
        <v>74.680000000000007</v>
      </c>
      <c r="N73" s="133">
        <v>48.6</v>
      </c>
      <c r="O73" s="133">
        <v>0</v>
      </c>
      <c r="P73" s="133">
        <v>0.53</v>
      </c>
      <c r="Q73" s="133">
        <v>3.74</v>
      </c>
    </row>
    <row r="74" spans="1:17" customFormat="1">
      <c r="A74" s="111" t="s">
        <v>400</v>
      </c>
      <c r="B74" s="133">
        <v>10.27</v>
      </c>
      <c r="C74" s="133">
        <v>20.440000000000001</v>
      </c>
      <c r="D74" s="133">
        <v>20.27</v>
      </c>
      <c r="E74" s="133">
        <v>6.85</v>
      </c>
      <c r="F74" s="133">
        <v>6.42</v>
      </c>
      <c r="G74" s="133">
        <v>23.83</v>
      </c>
      <c r="H74" s="133">
        <v>10.220000000000001</v>
      </c>
      <c r="I74" s="133">
        <v>4</v>
      </c>
      <c r="J74" s="133">
        <v>0.41</v>
      </c>
      <c r="K74" s="133">
        <v>260.99</v>
      </c>
      <c r="L74" s="133">
        <v>29.84</v>
      </c>
      <c r="M74" s="133">
        <v>78.510000000000005</v>
      </c>
      <c r="N74" s="133">
        <v>40.299999999999997</v>
      </c>
      <c r="O74" s="133">
        <v>0</v>
      </c>
      <c r="P74" s="133">
        <v>0.55000000000000004</v>
      </c>
      <c r="Q74" s="166" t="s">
        <v>14</v>
      </c>
    </row>
    <row r="75" spans="1:17" customFormat="1">
      <c r="A75" s="111" t="s">
        <v>401</v>
      </c>
      <c r="B75" s="133">
        <v>10.27</v>
      </c>
      <c r="C75" s="133">
        <v>20.440000000000001</v>
      </c>
      <c r="D75" s="133">
        <v>20.27</v>
      </c>
      <c r="E75" s="133">
        <v>6.85</v>
      </c>
      <c r="F75" s="133">
        <v>6.42</v>
      </c>
      <c r="G75" s="133">
        <v>23.83</v>
      </c>
      <c r="H75" s="133">
        <v>10.220000000000001</v>
      </c>
      <c r="I75" s="133">
        <v>4</v>
      </c>
      <c r="J75" s="133">
        <v>0.41</v>
      </c>
      <c r="K75" s="133">
        <v>260.99</v>
      </c>
      <c r="L75" s="133">
        <v>29.84</v>
      </c>
      <c r="M75" s="133">
        <v>78.510000000000005</v>
      </c>
      <c r="N75" s="133">
        <v>40.299999999999997</v>
      </c>
      <c r="O75" s="133">
        <v>0</v>
      </c>
      <c r="P75" s="133">
        <v>0.55000000000000004</v>
      </c>
      <c r="Q75" s="166" t="s">
        <v>14</v>
      </c>
    </row>
    <row r="76" spans="1:17" customFormat="1">
      <c r="A76" s="111" t="s">
        <v>402</v>
      </c>
      <c r="B76" s="133">
        <v>9.8000000000000007</v>
      </c>
      <c r="C76" s="133">
        <v>18.36</v>
      </c>
      <c r="D76" s="133">
        <v>18.8</v>
      </c>
      <c r="E76" s="133">
        <v>7.16</v>
      </c>
      <c r="F76" s="133">
        <v>8.6</v>
      </c>
      <c r="G76" s="133">
        <v>24.53</v>
      </c>
      <c r="H76" s="133">
        <v>9.34</v>
      </c>
      <c r="I76" s="133">
        <v>4.09</v>
      </c>
      <c r="J76" s="133">
        <v>0.28999999999999998</v>
      </c>
      <c r="K76" s="133">
        <v>262.93</v>
      </c>
      <c r="L76" s="133">
        <v>29.56</v>
      </c>
      <c r="M76" s="133">
        <v>79.650000000000006</v>
      </c>
      <c r="N76" s="133">
        <v>23.6</v>
      </c>
      <c r="O76" s="133">
        <v>0</v>
      </c>
      <c r="P76" s="133">
        <v>0.53</v>
      </c>
      <c r="Q76" s="133">
        <v>3.74</v>
      </c>
    </row>
    <row r="77" spans="1:17" customFormat="1">
      <c r="A77" s="111" t="s">
        <v>403</v>
      </c>
      <c r="B77" s="133">
        <v>10.14</v>
      </c>
      <c r="C77" s="133">
        <v>18.600000000000001</v>
      </c>
      <c r="D77" s="133">
        <v>19.2</v>
      </c>
      <c r="E77" s="133">
        <v>7.37</v>
      </c>
      <c r="F77" s="133">
        <v>6.7</v>
      </c>
      <c r="G77" s="133">
        <v>24.93</v>
      </c>
      <c r="H77" s="133">
        <v>8.94</v>
      </c>
      <c r="I77" s="133">
        <v>4</v>
      </c>
      <c r="J77" s="133">
        <v>0.51</v>
      </c>
      <c r="K77" s="133">
        <v>265.04000000000002</v>
      </c>
      <c r="L77" s="133">
        <v>29.4</v>
      </c>
      <c r="M77" s="133">
        <v>80.040000000000006</v>
      </c>
      <c r="N77" s="133">
        <v>4.8</v>
      </c>
      <c r="O77" s="133">
        <v>0</v>
      </c>
      <c r="P77" s="133">
        <v>0.52</v>
      </c>
      <c r="Q77" s="166" t="s">
        <v>14</v>
      </c>
    </row>
    <row r="78" spans="1:17" customFormat="1">
      <c r="A78" s="111" t="s">
        <v>404</v>
      </c>
      <c r="B78" s="133">
        <v>10.14</v>
      </c>
      <c r="C78" s="133">
        <v>18.600000000000001</v>
      </c>
      <c r="D78" s="133">
        <v>19.2</v>
      </c>
      <c r="E78" s="133">
        <v>7.37</v>
      </c>
      <c r="F78" s="133">
        <v>6.7</v>
      </c>
      <c r="G78" s="133">
        <v>24.93</v>
      </c>
      <c r="H78" s="133">
        <v>8.94</v>
      </c>
      <c r="I78" s="133">
        <v>4</v>
      </c>
      <c r="J78" s="133">
        <v>0.51</v>
      </c>
      <c r="K78" s="133">
        <v>265.04000000000002</v>
      </c>
      <c r="L78" s="133">
        <v>29.4</v>
      </c>
      <c r="M78" s="133">
        <v>80.040000000000006</v>
      </c>
      <c r="N78" s="133">
        <v>4.8</v>
      </c>
      <c r="O78" s="133">
        <v>0</v>
      </c>
      <c r="P78" s="133">
        <v>0.52</v>
      </c>
      <c r="Q78" s="166" t="s">
        <v>14</v>
      </c>
    </row>
    <row r="79" spans="1:17" customFormat="1">
      <c r="A79" s="111" t="s">
        <v>405</v>
      </c>
      <c r="B79" s="133">
        <v>10.63</v>
      </c>
      <c r="C79" s="133">
        <v>19.510000000000002</v>
      </c>
      <c r="D79" s="133">
        <v>20.07</v>
      </c>
      <c r="E79" s="133">
        <v>6.86</v>
      </c>
      <c r="F79" s="133">
        <v>5.07</v>
      </c>
      <c r="G79" s="133">
        <v>24.73</v>
      </c>
      <c r="H79" s="133">
        <v>9.17</v>
      </c>
      <c r="I79" s="133">
        <v>4.0999999999999996</v>
      </c>
      <c r="J79" s="133">
        <v>0.46</v>
      </c>
      <c r="K79" s="133">
        <v>292.76</v>
      </c>
      <c r="L79" s="133">
        <v>27.58</v>
      </c>
      <c r="M79" s="133">
        <v>89.34</v>
      </c>
      <c r="N79" s="133">
        <v>0</v>
      </c>
      <c r="O79" s="133">
        <v>0.4</v>
      </c>
      <c r="P79" s="133">
        <v>0.56000000000000005</v>
      </c>
      <c r="Q79" s="166" t="s">
        <v>14</v>
      </c>
    </row>
    <row r="80" spans="1:17" customFormat="1">
      <c r="A80" s="111" t="s">
        <v>406</v>
      </c>
      <c r="B80" s="133">
        <v>12.35</v>
      </c>
      <c r="C80" s="133">
        <v>20.45</v>
      </c>
      <c r="D80" s="133">
        <v>21.94</v>
      </c>
      <c r="E80" s="133">
        <v>6.25</v>
      </c>
      <c r="F80" s="133">
        <v>4.0599999999999996</v>
      </c>
      <c r="G80" s="133">
        <v>24.4</v>
      </c>
      <c r="H80" s="133">
        <v>9.5399999999999991</v>
      </c>
      <c r="I80" s="133">
        <v>4.3</v>
      </c>
      <c r="J80" s="133">
        <v>0.43</v>
      </c>
      <c r="K80" s="133">
        <v>33</v>
      </c>
      <c r="L80" s="133">
        <v>25.81</v>
      </c>
      <c r="M80" s="133">
        <v>100.18</v>
      </c>
      <c r="N80" s="133">
        <v>0</v>
      </c>
      <c r="O80" s="133">
        <v>1.4</v>
      </c>
      <c r="P80" s="133">
        <v>0.6</v>
      </c>
      <c r="Q80" s="166" t="s">
        <v>14</v>
      </c>
    </row>
    <row r="81" spans="1:17" customFormat="1">
      <c r="A81" s="111" t="s">
        <v>407</v>
      </c>
      <c r="B81" s="133">
        <v>12.52</v>
      </c>
      <c r="C81" s="133">
        <v>20.92</v>
      </c>
      <c r="D81" s="133">
        <v>22.32</v>
      </c>
      <c r="E81" s="133">
        <v>6.94</v>
      </c>
      <c r="F81" s="133">
        <v>3.68</v>
      </c>
      <c r="G81" s="133">
        <v>24.4</v>
      </c>
      <c r="H81" s="133">
        <v>9.5399999999999991</v>
      </c>
      <c r="I81" s="133">
        <v>4.67</v>
      </c>
      <c r="J81" s="133">
        <v>0.17</v>
      </c>
      <c r="K81" s="133">
        <v>94.21</v>
      </c>
      <c r="L81" s="133">
        <v>25.82</v>
      </c>
      <c r="M81" s="133">
        <v>99.31</v>
      </c>
      <c r="N81" s="133">
        <v>0</v>
      </c>
      <c r="O81" s="133">
        <v>2.2000000000000002</v>
      </c>
      <c r="P81" s="133">
        <v>0.63</v>
      </c>
      <c r="Q81" s="133">
        <v>3.75</v>
      </c>
    </row>
    <row r="82" spans="1:17" customFormat="1">
      <c r="A82" s="111" t="s">
        <v>408</v>
      </c>
      <c r="B82" s="133">
        <v>13.6</v>
      </c>
      <c r="C82" s="133">
        <v>21.41</v>
      </c>
      <c r="D82" s="133">
        <v>23.44</v>
      </c>
      <c r="E82" s="133">
        <v>7.6</v>
      </c>
      <c r="F82" s="133">
        <v>3.18</v>
      </c>
      <c r="G82" s="133">
        <v>24.4</v>
      </c>
      <c r="H82" s="133">
        <v>9.5399999999999991</v>
      </c>
      <c r="I82" s="133">
        <v>5.08</v>
      </c>
      <c r="J82" s="133">
        <v>0.28999999999999998</v>
      </c>
      <c r="K82" s="133">
        <v>296.39999999999998</v>
      </c>
      <c r="L82" s="133">
        <v>25.85</v>
      </c>
      <c r="M82" s="133">
        <v>99.29</v>
      </c>
      <c r="N82" s="133">
        <v>0</v>
      </c>
      <c r="O82" s="133">
        <v>0</v>
      </c>
      <c r="P82" s="133">
        <v>0.68</v>
      </c>
      <c r="Q82" s="166" t="s">
        <v>14</v>
      </c>
    </row>
    <row r="83" spans="1:17" customFormat="1">
      <c r="A83" s="111" t="s">
        <v>409</v>
      </c>
      <c r="B83" s="133">
        <v>13.6</v>
      </c>
      <c r="C83" s="133">
        <v>21.41</v>
      </c>
      <c r="D83" s="133">
        <v>23.44</v>
      </c>
      <c r="E83" s="133">
        <v>7.6</v>
      </c>
      <c r="F83" s="133">
        <v>3.18</v>
      </c>
      <c r="G83" s="133">
        <v>24.4</v>
      </c>
      <c r="H83" s="133">
        <v>9.5399999999999991</v>
      </c>
      <c r="I83" s="133">
        <v>5.08</v>
      </c>
      <c r="J83" s="133">
        <v>0.28999999999999998</v>
      </c>
      <c r="K83" s="133">
        <v>296.39999999999998</v>
      </c>
      <c r="L83" s="133">
        <v>25.85</v>
      </c>
      <c r="M83" s="133">
        <v>99.29</v>
      </c>
      <c r="N83" s="133">
        <v>0</v>
      </c>
      <c r="O83" s="133">
        <v>0</v>
      </c>
      <c r="P83" s="133">
        <v>0.68</v>
      </c>
      <c r="Q83" s="166" t="s">
        <v>14</v>
      </c>
    </row>
    <row r="84" spans="1:17" customFormat="1">
      <c r="A84" s="111" t="s">
        <v>410</v>
      </c>
      <c r="B84" s="133">
        <v>17.89</v>
      </c>
      <c r="C84" s="133">
        <v>24.16</v>
      </c>
      <c r="D84" s="133">
        <v>28.32</v>
      </c>
      <c r="E84" s="133">
        <v>7.75</v>
      </c>
      <c r="F84" s="133">
        <v>2.36</v>
      </c>
      <c r="G84" s="133">
        <v>25.76</v>
      </c>
      <c r="H84" s="133">
        <v>10.54</v>
      </c>
      <c r="I84" s="133">
        <v>6.15</v>
      </c>
      <c r="J84" s="133">
        <v>7.0000000000000007E-2</v>
      </c>
      <c r="K84" s="133">
        <v>289.66000000000003</v>
      </c>
      <c r="L84" s="133">
        <v>25.92</v>
      </c>
      <c r="M84" s="133">
        <v>99.65</v>
      </c>
      <c r="N84" s="133">
        <v>0</v>
      </c>
      <c r="O84" s="133">
        <v>0</v>
      </c>
      <c r="P84" s="133">
        <v>0.8</v>
      </c>
      <c r="Q84" s="133">
        <v>3.91</v>
      </c>
    </row>
    <row r="85" spans="1:17" customFormat="1">
      <c r="A85" s="111" t="s">
        <v>411</v>
      </c>
      <c r="B85" s="133">
        <v>17.89</v>
      </c>
      <c r="C85" s="133">
        <v>24.16</v>
      </c>
      <c r="D85" s="133">
        <v>28.32</v>
      </c>
      <c r="E85" s="133">
        <v>7.75</v>
      </c>
      <c r="F85" s="133">
        <v>2.36</v>
      </c>
      <c r="G85" s="133">
        <v>25.76</v>
      </c>
      <c r="H85" s="133">
        <v>10.54</v>
      </c>
      <c r="I85" s="133">
        <v>6.15</v>
      </c>
      <c r="J85" s="133">
        <v>7.0000000000000007E-2</v>
      </c>
      <c r="K85" s="133">
        <v>289.66000000000003</v>
      </c>
      <c r="L85" s="133">
        <v>25.92</v>
      </c>
      <c r="M85" s="133">
        <v>99.65</v>
      </c>
      <c r="N85" s="133">
        <v>0</v>
      </c>
      <c r="O85" s="133">
        <v>0</v>
      </c>
      <c r="P85" s="133">
        <v>0.8</v>
      </c>
      <c r="Q85" s="133">
        <v>3.91</v>
      </c>
    </row>
    <row r="86" spans="1:17" customFormat="1">
      <c r="A86" s="111" t="s">
        <v>412</v>
      </c>
      <c r="B86" s="133">
        <v>16.62</v>
      </c>
      <c r="C86" s="133">
        <v>24.08</v>
      </c>
      <c r="D86" s="133">
        <v>27.26</v>
      </c>
      <c r="E86" s="133">
        <v>8.0299999999999994</v>
      </c>
      <c r="F86" s="133">
        <v>2.93</v>
      </c>
      <c r="G86" s="133">
        <v>26.49</v>
      </c>
      <c r="H86" s="133">
        <v>10.98</v>
      </c>
      <c r="I86" s="133">
        <v>7.67</v>
      </c>
      <c r="J86" s="133">
        <v>0.06</v>
      </c>
      <c r="K86" s="133">
        <v>8.85</v>
      </c>
      <c r="L86" s="133">
        <v>25.82</v>
      </c>
      <c r="M86" s="133">
        <v>99.97</v>
      </c>
      <c r="N86" s="133">
        <v>0</v>
      </c>
      <c r="O86" s="133">
        <v>0</v>
      </c>
      <c r="P86" s="133">
        <v>0.76</v>
      </c>
      <c r="Q86" s="133">
        <v>4.03</v>
      </c>
    </row>
    <row r="87" spans="1:17" customFormat="1">
      <c r="A87" s="111" t="s">
        <v>413</v>
      </c>
      <c r="B87" s="133">
        <v>16.62</v>
      </c>
      <c r="C87" s="133">
        <v>24.08</v>
      </c>
      <c r="D87" s="133">
        <v>27.26</v>
      </c>
      <c r="E87" s="133">
        <v>8.0299999999999994</v>
      </c>
      <c r="F87" s="133">
        <v>2.93</v>
      </c>
      <c r="G87" s="133">
        <v>26.49</v>
      </c>
      <c r="H87" s="133">
        <v>10.98</v>
      </c>
      <c r="I87" s="133">
        <v>7.67</v>
      </c>
      <c r="J87" s="133">
        <v>0.06</v>
      </c>
      <c r="K87" s="133">
        <v>8.85</v>
      </c>
      <c r="L87" s="133">
        <v>25.82</v>
      </c>
      <c r="M87" s="133">
        <v>99.97</v>
      </c>
      <c r="N87" s="133">
        <v>0</v>
      </c>
      <c r="O87" s="133">
        <v>0</v>
      </c>
      <c r="P87" s="133">
        <v>0.76</v>
      </c>
      <c r="Q87" s="133">
        <v>4.03</v>
      </c>
    </row>
    <row r="88" spans="1:17" customFormat="1">
      <c r="A88" s="111" t="s">
        <v>414</v>
      </c>
      <c r="B88" s="133">
        <v>16.62</v>
      </c>
      <c r="C88" s="133">
        <v>24.08</v>
      </c>
      <c r="D88" s="133">
        <v>27.26</v>
      </c>
      <c r="E88" s="133">
        <v>8.0299999999999994</v>
      </c>
      <c r="F88" s="133">
        <v>2.93</v>
      </c>
      <c r="G88" s="133">
        <v>26.49</v>
      </c>
      <c r="H88" s="133">
        <v>10.98</v>
      </c>
      <c r="I88" s="133">
        <v>7.67</v>
      </c>
      <c r="J88" s="133">
        <v>0.06</v>
      </c>
      <c r="K88" s="133">
        <v>8.85</v>
      </c>
      <c r="L88" s="133">
        <v>25.82</v>
      </c>
      <c r="M88" s="133">
        <v>99.97</v>
      </c>
      <c r="N88" s="133">
        <v>0</v>
      </c>
      <c r="O88" s="133">
        <v>0</v>
      </c>
      <c r="P88" s="133">
        <v>0.76</v>
      </c>
      <c r="Q88" s="133">
        <v>4.03</v>
      </c>
    </row>
    <row r="89" spans="1:17" customFormat="1">
      <c r="A89" s="111" t="s">
        <v>415</v>
      </c>
      <c r="B89" s="133">
        <v>18.97</v>
      </c>
      <c r="C89" s="133">
        <v>22.45</v>
      </c>
      <c r="D89" s="133">
        <v>28.29</v>
      </c>
      <c r="E89" s="133">
        <v>7.87</v>
      </c>
      <c r="F89" s="133">
        <v>3.43</v>
      </c>
      <c r="G89" s="133">
        <v>30.04</v>
      </c>
      <c r="H89" s="133">
        <v>8.92</v>
      </c>
      <c r="I89" s="133">
        <v>6.36</v>
      </c>
      <c r="J89" s="133">
        <v>0.16</v>
      </c>
      <c r="K89" s="133">
        <v>260.97000000000003</v>
      </c>
      <c r="L89" s="133">
        <v>25.62</v>
      </c>
      <c r="M89" s="133">
        <v>100.25</v>
      </c>
      <c r="N89" s="133">
        <v>0</v>
      </c>
      <c r="O89" s="133">
        <v>0</v>
      </c>
      <c r="P89" s="133">
        <v>0.72</v>
      </c>
      <c r="Q89" s="133">
        <v>4.1500000000000004</v>
      </c>
    </row>
    <row r="90" spans="1:17" customFormat="1">
      <c r="A90" s="111" t="s">
        <v>416</v>
      </c>
      <c r="B90" s="133">
        <v>18.97</v>
      </c>
      <c r="C90" s="133">
        <v>22.45</v>
      </c>
      <c r="D90" s="133">
        <v>28.29</v>
      </c>
      <c r="E90" s="133">
        <v>7.87</v>
      </c>
      <c r="F90" s="133">
        <v>3.43</v>
      </c>
      <c r="G90" s="133">
        <v>30.04</v>
      </c>
      <c r="H90" s="133">
        <v>8.92</v>
      </c>
      <c r="I90" s="133">
        <v>6.36</v>
      </c>
      <c r="J90" s="133">
        <v>0.16</v>
      </c>
      <c r="K90" s="133">
        <v>260.97000000000003</v>
      </c>
      <c r="L90" s="133">
        <v>25.62</v>
      </c>
      <c r="M90" s="133">
        <v>100.25</v>
      </c>
      <c r="N90" s="133">
        <v>0</v>
      </c>
      <c r="O90" s="133">
        <v>0</v>
      </c>
      <c r="P90" s="133">
        <v>0.72</v>
      </c>
      <c r="Q90" s="133">
        <v>4.1500000000000004</v>
      </c>
    </row>
    <row r="91" spans="1:17" customFormat="1">
      <c r="A91" s="111" t="s">
        <v>417</v>
      </c>
      <c r="B91" s="133">
        <v>18.97</v>
      </c>
      <c r="C91" s="133">
        <v>22.45</v>
      </c>
      <c r="D91" s="133">
        <v>28.29</v>
      </c>
      <c r="E91" s="133">
        <v>7.87</v>
      </c>
      <c r="F91" s="133">
        <v>3.43</v>
      </c>
      <c r="G91" s="133">
        <v>30.04</v>
      </c>
      <c r="H91" s="133">
        <v>8.92</v>
      </c>
      <c r="I91" s="133">
        <v>6.36</v>
      </c>
      <c r="J91" s="133">
        <v>0.16</v>
      </c>
      <c r="K91" s="133">
        <v>260.97000000000003</v>
      </c>
      <c r="L91" s="133">
        <v>25.62</v>
      </c>
      <c r="M91" s="133">
        <v>100.25</v>
      </c>
      <c r="N91" s="133">
        <v>0</v>
      </c>
      <c r="O91" s="133">
        <v>0</v>
      </c>
      <c r="P91" s="133">
        <v>0.72</v>
      </c>
      <c r="Q91" s="133">
        <v>4.1500000000000004</v>
      </c>
    </row>
    <row r="92" spans="1:17" customFormat="1">
      <c r="A92" s="111" t="s">
        <v>418</v>
      </c>
      <c r="B92" s="133">
        <v>18.97</v>
      </c>
      <c r="C92" s="133">
        <v>22.45</v>
      </c>
      <c r="D92" s="133">
        <v>28.29</v>
      </c>
      <c r="E92" s="133">
        <v>7.87</v>
      </c>
      <c r="F92" s="133">
        <v>3.43</v>
      </c>
      <c r="G92" s="133">
        <v>30.04</v>
      </c>
      <c r="H92" s="133">
        <v>8.92</v>
      </c>
      <c r="I92" s="133">
        <v>6.36</v>
      </c>
      <c r="J92" s="133">
        <v>0.16</v>
      </c>
      <c r="K92" s="133">
        <v>260.97000000000003</v>
      </c>
      <c r="L92" s="133">
        <v>25.62</v>
      </c>
      <c r="M92" s="133">
        <v>100.25</v>
      </c>
      <c r="N92" s="133">
        <v>0</v>
      </c>
      <c r="O92" s="133">
        <v>0</v>
      </c>
      <c r="P92" s="133">
        <v>0.72</v>
      </c>
      <c r="Q92" s="133">
        <v>4.1500000000000004</v>
      </c>
    </row>
    <row r="93" spans="1:17" customFormat="1">
      <c r="A93" s="111" t="s">
        <v>419</v>
      </c>
      <c r="B93" s="133">
        <v>17.79</v>
      </c>
      <c r="C93" s="133">
        <v>23.84</v>
      </c>
      <c r="D93" s="133">
        <v>28.07</v>
      </c>
      <c r="E93" s="133">
        <v>7.95</v>
      </c>
      <c r="F93" s="133">
        <v>3.03</v>
      </c>
      <c r="G93" s="133">
        <v>29.78</v>
      </c>
      <c r="H93" s="133">
        <v>9.93</v>
      </c>
      <c r="I93" s="133">
        <v>6.13</v>
      </c>
      <c r="J93" s="133">
        <v>0.17</v>
      </c>
      <c r="K93" s="133">
        <v>239.74</v>
      </c>
      <c r="L93" s="133">
        <v>25.8</v>
      </c>
      <c r="M93" s="133">
        <v>101.97</v>
      </c>
      <c r="N93" s="133">
        <v>0</v>
      </c>
      <c r="O93" s="133">
        <v>0</v>
      </c>
      <c r="P93" s="133">
        <v>0.75</v>
      </c>
      <c r="Q93" s="166" t="s">
        <v>14</v>
      </c>
    </row>
    <row r="94" spans="1:17" customFormat="1">
      <c r="A94" s="111" t="s">
        <v>420</v>
      </c>
      <c r="B94" s="133">
        <v>18.13</v>
      </c>
      <c r="C94" s="133">
        <v>25.3</v>
      </c>
      <c r="D94" s="133">
        <v>29.11</v>
      </c>
      <c r="E94" s="133">
        <v>7.67</v>
      </c>
      <c r="F94" s="133">
        <v>2.65</v>
      </c>
      <c r="G94" s="133">
        <v>28.96</v>
      </c>
      <c r="H94" s="133">
        <v>11.7</v>
      </c>
      <c r="I94" s="133">
        <v>6.23</v>
      </c>
      <c r="J94" s="133">
        <v>0.09</v>
      </c>
      <c r="K94" s="133">
        <v>187.51</v>
      </c>
      <c r="L94" s="133">
        <v>25.9</v>
      </c>
      <c r="M94" s="133">
        <v>101.58</v>
      </c>
      <c r="N94" s="133">
        <v>0</v>
      </c>
      <c r="O94" s="133">
        <v>0</v>
      </c>
      <c r="P94" s="133">
        <v>0.78</v>
      </c>
      <c r="Q94" s="166" t="s">
        <v>14</v>
      </c>
    </row>
    <row r="95" spans="1:17" customFormat="1">
      <c r="A95" s="111" t="s">
        <v>421</v>
      </c>
      <c r="B95" s="133">
        <v>18.41</v>
      </c>
      <c r="C95" s="133">
        <v>25.64</v>
      </c>
      <c r="D95" s="133">
        <v>29.51</v>
      </c>
      <c r="E95" s="133">
        <v>8.2799999999999994</v>
      </c>
      <c r="F95" s="133">
        <v>2.83</v>
      </c>
      <c r="G95" s="133">
        <v>29.56</v>
      </c>
      <c r="H95" s="133">
        <v>11.79</v>
      </c>
      <c r="I95" s="133">
        <v>6.37</v>
      </c>
      <c r="J95" s="133">
        <v>0.17</v>
      </c>
      <c r="K95" s="133">
        <v>206.42</v>
      </c>
      <c r="L95" s="133">
        <v>25.9</v>
      </c>
      <c r="M95" s="133">
        <v>101.83</v>
      </c>
      <c r="N95" s="133">
        <v>0</v>
      </c>
      <c r="O95" s="133">
        <v>0</v>
      </c>
      <c r="P95" s="133">
        <v>0.78</v>
      </c>
      <c r="Q95" s="166" t="s">
        <v>14</v>
      </c>
    </row>
    <row r="96" spans="1:17" customFormat="1">
      <c r="A96" s="111" t="s">
        <v>422</v>
      </c>
      <c r="B96" s="133">
        <v>18.41</v>
      </c>
      <c r="C96" s="133">
        <v>25.64</v>
      </c>
      <c r="D96" s="133">
        <v>29.51</v>
      </c>
      <c r="E96" s="133">
        <v>8.2799999999999994</v>
      </c>
      <c r="F96" s="133">
        <v>2.83</v>
      </c>
      <c r="G96" s="133">
        <v>29.56</v>
      </c>
      <c r="H96" s="133">
        <v>11.79</v>
      </c>
      <c r="I96" s="133">
        <v>6.37</v>
      </c>
      <c r="J96" s="133">
        <v>0.17</v>
      </c>
      <c r="K96" s="133">
        <v>206.42</v>
      </c>
      <c r="L96" s="133">
        <v>25.9</v>
      </c>
      <c r="M96" s="133">
        <v>101.83</v>
      </c>
      <c r="N96" s="133">
        <v>0</v>
      </c>
      <c r="O96" s="133">
        <v>0</v>
      </c>
      <c r="P96" s="133">
        <v>0.78</v>
      </c>
      <c r="Q96" s="166" t="s">
        <v>14</v>
      </c>
    </row>
    <row r="97" spans="1:22" customFormat="1">
      <c r="A97" s="111" t="s">
        <v>423</v>
      </c>
      <c r="B97" s="133">
        <v>18.41</v>
      </c>
      <c r="C97" s="133">
        <v>25.64</v>
      </c>
      <c r="D97" s="133">
        <v>29.51</v>
      </c>
      <c r="E97" s="133">
        <v>8.2799999999999994</v>
      </c>
      <c r="F97" s="133">
        <v>2.83</v>
      </c>
      <c r="G97" s="133">
        <v>29.56</v>
      </c>
      <c r="H97" s="133">
        <v>11.79</v>
      </c>
      <c r="I97" s="133">
        <v>6.37</v>
      </c>
      <c r="J97" s="133">
        <v>0.17</v>
      </c>
      <c r="K97" s="133">
        <v>206.42</v>
      </c>
      <c r="L97" s="133">
        <v>25.9</v>
      </c>
      <c r="M97" s="133">
        <v>101.83</v>
      </c>
      <c r="N97" s="133">
        <v>0</v>
      </c>
      <c r="O97" s="133">
        <v>0</v>
      </c>
      <c r="P97" s="133">
        <v>0.78</v>
      </c>
      <c r="Q97" s="166" t="s">
        <v>14</v>
      </c>
    </row>
    <row r="98" spans="1:22" customFormat="1">
      <c r="A98" s="111" t="s">
        <v>424</v>
      </c>
      <c r="B98" s="133">
        <v>18.41</v>
      </c>
      <c r="C98" s="133">
        <v>25.64</v>
      </c>
      <c r="D98" s="133">
        <v>29.51</v>
      </c>
      <c r="E98" s="133">
        <v>8.2799999999999994</v>
      </c>
      <c r="F98" s="133">
        <v>2.83</v>
      </c>
      <c r="G98" s="133">
        <v>29.56</v>
      </c>
      <c r="H98" s="133">
        <v>11.79</v>
      </c>
      <c r="I98" s="133">
        <v>6.37</v>
      </c>
      <c r="J98" s="133">
        <v>0.17</v>
      </c>
      <c r="K98" s="133">
        <v>206.42</v>
      </c>
      <c r="L98" s="133">
        <v>25.9</v>
      </c>
      <c r="M98" s="133">
        <v>101.83</v>
      </c>
      <c r="N98" s="133">
        <v>0</v>
      </c>
      <c r="O98" s="133">
        <v>0</v>
      </c>
      <c r="P98" s="133">
        <v>0.78</v>
      </c>
      <c r="Q98" s="166" t="s">
        <v>14</v>
      </c>
    </row>
    <row r="99" spans="1:22" customFormat="1">
      <c r="A99" s="111" t="s">
        <v>425</v>
      </c>
      <c r="B99" s="133">
        <v>18.41</v>
      </c>
      <c r="C99" s="133">
        <v>25.64</v>
      </c>
      <c r="D99" s="133">
        <v>29.51</v>
      </c>
      <c r="E99" s="133">
        <v>8.2799999999999994</v>
      </c>
      <c r="F99" s="133">
        <v>2.83</v>
      </c>
      <c r="G99" s="133">
        <v>29.56</v>
      </c>
      <c r="H99" s="133">
        <v>11.79</v>
      </c>
      <c r="I99" s="133">
        <v>6.37</v>
      </c>
      <c r="J99" s="133">
        <v>0.17</v>
      </c>
      <c r="K99" s="133">
        <v>206.42</v>
      </c>
      <c r="L99" s="133">
        <v>25.9</v>
      </c>
      <c r="M99" s="133">
        <v>101.83</v>
      </c>
      <c r="N99" s="133">
        <v>0</v>
      </c>
      <c r="O99" s="133">
        <v>0</v>
      </c>
      <c r="P99" s="133">
        <v>0.78</v>
      </c>
      <c r="Q99" s="166" t="s">
        <v>14</v>
      </c>
    </row>
    <row r="100" spans="1:22" customFormat="1">
      <c r="A100" s="111" t="s">
        <v>426</v>
      </c>
      <c r="B100" s="133">
        <v>18.41</v>
      </c>
      <c r="C100" s="133">
        <v>25.64</v>
      </c>
      <c r="D100" s="133">
        <v>29.51</v>
      </c>
      <c r="E100" s="133">
        <v>8.2799999999999994</v>
      </c>
      <c r="F100" s="133">
        <v>2.83</v>
      </c>
      <c r="G100" s="133">
        <v>29.56</v>
      </c>
      <c r="H100" s="133">
        <v>11.79</v>
      </c>
      <c r="I100" s="133">
        <v>6.37</v>
      </c>
      <c r="J100" s="133">
        <v>0.17</v>
      </c>
      <c r="K100" s="133">
        <v>206.42</v>
      </c>
      <c r="L100" s="133">
        <v>25.9</v>
      </c>
      <c r="M100" s="133">
        <v>101.83</v>
      </c>
      <c r="N100" s="133">
        <v>0</v>
      </c>
      <c r="O100" s="133">
        <v>0</v>
      </c>
      <c r="P100" s="133">
        <v>0.78</v>
      </c>
      <c r="Q100" s="166" t="s">
        <v>14</v>
      </c>
    </row>
    <row r="101" spans="1:22" customFormat="1">
      <c r="A101" s="111" t="s">
        <v>427</v>
      </c>
      <c r="B101" s="133">
        <v>18.41</v>
      </c>
      <c r="C101" s="133">
        <v>25.64</v>
      </c>
      <c r="D101" s="133">
        <v>29.51</v>
      </c>
      <c r="E101" s="133">
        <v>8.2799999999999994</v>
      </c>
      <c r="F101" s="133">
        <v>2.83</v>
      </c>
      <c r="G101" s="133">
        <v>29.56</v>
      </c>
      <c r="H101" s="133">
        <v>11.79</v>
      </c>
      <c r="I101" s="133">
        <v>6.37</v>
      </c>
      <c r="J101" s="133">
        <v>0.17</v>
      </c>
      <c r="K101" s="133">
        <v>206.42</v>
      </c>
      <c r="L101" s="133">
        <v>25.9</v>
      </c>
      <c r="M101" s="133">
        <v>101.83</v>
      </c>
      <c r="N101" s="133">
        <v>0</v>
      </c>
      <c r="O101" s="133">
        <v>0</v>
      </c>
      <c r="P101" s="133">
        <v>0.78</v>
      </c>
      <c r="Q101" s="166" t="s">
        <v>14</v>
      </c>
    </row>
    <row r="102" spans="1:22" customFormat="1">
      <c r="A102" s="111" t="s">
        <v>428</v>
      </c>
      <c r="B102" s="133">
        <v>18.41</v>
      </c>
      <c r="C102" s="133">
        <v>25.64</v>
      </c>
      <c r="D102" s="133">
        <v>29.51</v>
      </c>
      <c r="E102" s="133">
        <v>8.2799999999999994</v>
      </c>
      <c r="F102" s="133">
        <v>2.83</v>
      </c>
      <c r="G102" s="133">
        <v>29.56</v>
      </c>
      <c r="H102" s="133">
        <v>11.79</v>
      </c>
      <c r="I102" s="133">
        <v>6.37</v>
      </c>
      <c r="J102" s="133">
        <v>0.17</v>
      </c>
      <c r="K102" s="133">
        <v>206.42</v>
      </c>
      <c r="L102" s="133">
        <v>25.9</v>
      </c>
      <c r="M102" s="133">
        <v>101.83</v>
      </c>
      <c r="N102" s="133">
        <v>0</v>
      </c>
      <c r="O102" s="133">
        <v>0</v>
      </c>
      <c r="P102" s="133">
        <v>0.78</v>
      </c>
      <c r="Q102" s="166" t="s">
        <v>14</v>
      </c>
    </row>
    <row r="103" spans="1:22" customFormat="1">
      <c r="A103" s="111" t="s">
        <v>429</v>
      </c>
      <c r="B103" s="133">
        <v>19.48</v>
      </c>
      <c r="C103" s="133">
        <v>26.69</v>
      </c>
      <c r="D103" s="133">
        <v>30.92</v>
      </c>
      <c r="E103" s="133">
        <v>8.6199999999999992</v>
      </c>
      <c r="F103" s="133">
        <v>2.44</v>
      </c>
      <c r="G103" s="133">
        <v>33.4</v>
      </c>
      <c r="H103" s="133">
        <v>12.49</v>
      </c>
      <c r="I103" s="133">
        <v>6.34</v>
      </c>
      <c r="J103" s="133">
        <v>0.13</v>
      </c>
      <c r="K103" s="133">
        <v>214.68</v>
      </c>
      <c r="L103" s="133">
        <v>25.82</v>
      </c>
      <c r="M103" s="133">
        <v>100.64</v>
      </c>
      <c r="N103" s="133">
        <v>0</v>
      </c>
      <c r="O103" s="133">
        <v>0</v>
      </c>
      <c r="P103" s="133">
        <v>0.8</v>
      </c>
      <c r="Q103" s="133">
        <v>4.3899999999999997</v>
      </c>
    </row>
    <row r="104" spans="1:22" customFormat="1">
      <c r="A104" s="111" t="s">
        <v>430</v>
      </c>
      <c r="B104" s="133">
        <v>19.920000000000002</v>
      </c>
      <c r="C104" s="133">
        <v>27.36</v>
      </c>
      <c r="D104" s="133">
        <v>31.62</v>
      </c>
      <c r="E104" s="133">
        <v>9.1</v>
      </c>
      <c r="F104" s="133">
        <v>2.44</v>
      </c>
      <c r="G104" s="133">
        <v>32.659999999999997</v>
      </c>
      <c r="H104" s="133">
        <v>10.55</v>
      </c>
      <c r="I104" s="133">
        <v>6.1</v>
      </c>
      <c r="J104" s="133">
        <v>0.21</v>
      </c>
      <c r="K104" s="133">
        <v>240.37</v>
      </c>
      <c r="L104" s="133">
        <v>25.69</v>
      </c>
      <c r="M104" s="133">
        <v>98.25</v>
      </c>
      <c r="N104" s="133">
        <v>0</v>
      </c>
      <c r="O104" s="133">
        <v>0</v>
      </c>
      <c r="P104" s="133">
        <v>0.78</v>
      </c>
      <c r="Q104" s="166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9.52</v>
      </c>
      <c r="C106" s="183">
        <f>MIN(C9:C104)</f>
        <v>18.36</v>
      </c>
      <c r="D106" s="183">
        <f t="shared" ref="D106:Q106" si="0">MIN(D9:D104)</f>
        <v>18.8</v>
      </c>
      <c r="E106" s="183">
        <f t="shared" si="0"/>
        <v>6.25</v>
      </c>
      <c r="F106" s="183">
        <f t="shared" si="0"/>
        <v>2.36</v>
      </c>
      <c r="G106" s="183">
        <f t="shared" si="0"/>
        <v>23.83</v>
      </c>
      <c r="H106" s="183">
        <f t="shared" si="0"/>
        <v>8.92</v>
      </c>
      <c r="I106" s="183">
        <f t="shared" si="0"/>
        <v>3.92</v>
      </c>
      <c r="J106" s="183">
        <f t="shared" si="0"/>
        <v>0.06</v>
      </c>
      <c r="K106" s="183">
        <f t="shared" si="0"/>
        <v>4.3499999999999996</v>
      </c>
      <c r="L106" s="183">
        <f t="shared" si="0"/>
        <v>25.62</v>
      </c>
      <c r="M106" s="183">
        <f t="shared" si="0"/>
        <v>64.19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3.74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19.920000000000002</v>
      </c>
      <c r="C107" s="184">
        <f t="shared" ref="C107:Q107" si="1">MAX(C9:C104)</f>
        <v>27.36</v>
      </c>
      <c r="D107" s="184">
        <f t="shared" si="1"/>
        <v>31.62</v>
      </c>
      <c r="E107" s="184">
        <f t="shared" si="1"/>
        <v>9.18</v>
      </c>
      <c r="F107" s="184">
        <f t="shared" si="1"/>
        <v>8.6</v>
      </c>
      <c r="G107" s="184">
        <f t="shared" si="1"/>
        <v>38.51</v>
      </c>
      <c r="H107" s="184">
        <f t="shared" si="1"/>
        <v>17.39</v>
      </c>
      <c r="I107" s="184">
        <f t="shared" si="1"/>
        <v>7.67</v>
      </c>
      <c r="J107" s="184">
        <f t="shared" si="1"/>
        <v>0.71</v>
      </c>
      <c r="K107" s="184">
        <f t="shared" si="1"/>
        <v>353.81</v>
      </c>
      <c r="L107" s="184">
        <f t="shared" si="1"/>
        <v>32.49</v>
      </c>
      <c r="M107" s="184">
        <f t="shared" si="1"/>
        <v>101.97</v>
      </c>
      <c r="N107" s="184">
        <f t="shared" si="1"/>
        <v>738.9</v>
      </c>
      <c r="O107" s="184">
        <f t="shared" si="1"/>
        <v>2.2000000000000002</v>
      </c>
      <c r="P107" s="184">
        <f t="shared" si="1"/>
        <v>0.8</v>
      </c>
      <c r="Q107" s="184">
        <f t="shared" si="1"/>
        <v>4.3899999999999997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13.490000000000007</v>
      </c>
      <c r="C108" s="183">
        <f t="shared" ref="C108:Q108" si="2">AVERAGE(C9:C104)</f>
        <v>23.261145833333334</v>
      </c>
      <c r="D108" s="183">
        <f t="shared" si="2"/>
        <v>24.322395833333346</v>
      </c>
      <c r="E108" s="183">
        <f t="shared" si="2"/>
        <v>7.8313541666666664</v>
      </c>
      <c r="F108" s="183">
        <f t="shared" si="2"/>
        <v>3.783437499999998</v>
      </c>
      <c r="G108" s="183">
        <f t="shared" si="2"/>
        <v>31.119999999999987</v>
      </c>
      <c r="H108" s="183">
        <f t="shared" si="2"/>
        <v>12.480520833333337</v>
      </c>
      <c r="I108" s="183">
        <f t="shared" si="2"/>
        <v>5.4208333333333343</v>
      </c>
      <c r="J108" s="183">
        <f t="shared" si="2"/>
        <v>0.31197916666666681</v>
      </c>
      <c r="K108" s="183">
        <f t="shared" si="2"/>
        <v>241.39916666666662</v>
      </c>
      <c r="L108" s="183">
        <f t="shared" si="2"/>
        <v>27.889479166666689</v>
      </c>
      <c r="M108" s="183">
        <f t="shared" si="2"/>
        <v>85.90291666666667</v>
      </c>
      <c r="N108" s="183">
        <f t="shared" si="2"/>
        <v>124.09374999999999</v>
      </c>
      <c r="O108" s="183">
        <f t="shared" si="2"/>
        <v>4.1666666666666664E-2</v>
      </c>
      <c r="P108" s="183">
        <f t="shared" si="2"/>
        <v>0.65041666666666675</v>
      </c>
      <c r="Q108" s="183">
        <f t="shared" si="2"/>
        <v>3.9425352112676042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2.9872490425314453</v>
      </c>
      <c r="C109" s="183">
        <f t="shared" ref="C109:Q109" si="3">STDEV(C9:C104)</f>
        <v>1.9425435684562289</v>
      </c>
      <c r="D109" s="183">
        <f t="shared" si="3"/>
        <v>2.7971379149678057</v>
      </c>
      <c r="E109" s="183">
        <f t="shared" si="3"/>
        <v>0.61908526713404466</v>
      </c>
      <c r="F109" s="183">
        <f t="shared" si="3"/>
        <v>1.2004094285087283</v>
      </c>
      <c r="G109" s="183">
        <f t="shared" si="3"/>
        <v>4.5816901041567366</v>
      </c>
      <c r="H109" s="183">
        <f t="shared" si="3"/>
        <v>2.1933907275658653</v>
      </c>
      <c r="I109" s="183">
        <f t="shared" si="3"/>
        <v>0.81289821550543118</v>
      </c>
      <c r="J109" s="183">
        <f t="shared" si="3"/>
        <v>0.14396359036533213</v>
      </c>
      <c r="K109" s="183">
        <f t="shared" si="3"/>
        <v>88.757974333123173</v>
      </c>
      <c r="L109" s="183">
        <f t="shared" si="3"/>
        <v>2.3582006386631797</v>
      </c>
      <c r="M109" s="183">
        <f t="shared" si="3"/>
        <v>12.639615077139149</v>
      </c>
      <c r="N109" s="183">
        <f t="shared" si="3"/>
        <v>203.30109524778115</v>
      </c>
      <c r="O109" s="183">
        <f t="shared" si="3"/>
        <v>0.26741124121813681</v>
      </c>
      <c r="P109" s="183">
        <f t="shared" si="3"/>
        <v>8.4166710092051164E-2</v>
      </c>
      <c r="Q109" s="183">
        <f t="shared" si="3"/>
        <v>0.11310827063184395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P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A22" sqref="A22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03/10/2023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431</v>
      </c>
      <c r="B9" s="133">
        <v>20.41</v>
      </c>
      <c r="C9" s="133">
        <v>26.85</v>
      </c>
      <c r="D9" s="133">
        <v>31.74</v>
      </c>
      <c r="E9" s="133">
        <v>8.81</v>
      </c>
      <c r="F9" s="133">
        <v>2.38</v>
      </c>
      <c r="G9" s="133">
        <v>32.659999999999997</v>
      </c>
      <c r="H9" s="133">
        <v>10.55</v>
      </c>
      <c r="I9" s="133">
        <v>6</v>
      </c>
      <c r="J9" s="133">
        <v>0.28000000000000003</v>
      </c>
      <c r="K9" s="133">
        <v>245.15</v>
      </c>
      <c r="L9" s="133">
        <v>25.66</v>
      </c>
      <c r="M9" s="133">
        <v>97.04</v>
      </c>
      <c r="N9" s="133">
        <v>0</v>
      </c>
      <c r="O9" s="133">
        <v>0</v>
      </c>
      <c r="P9" s="133">
        <v>0.78</v>
      </c>
      <c r="Q9" s="166" t="s">
        <v>14</v>
      </c>
    </row>
    <row r="10" spans="1:21" customFormat="1">
      <c r="A10" s="111" t="s">
        <v>432</v>
      </c>
      <c r="B10" s="133">
        <v>20.41</v>
      </c>
      <c r="C10" s="133">
        <v>26.85</v>
      </c>
      <c r="D10" s="133">
        <v>31.74</v>
      </c>
      <c r="E10" s="133">
        <v>8.81</v>
      </c>
      <c r="F10" s="133">
        <v>2.38</v>
      </c>
      <c r="G10" s="133">
        <v>32.659999999999997</v>
      </c>
      <c r="H10" s="133">
        <v>10.55</v>
      </c>
      <c r="I10" s="133">
        <v>6</v>
      </c>
      <c r="J10" s="133">
        <v>0.28000000000000003</v>
      </c>
      <c r="K10" s="133">
        <v>245.15</v>
      </c>
      <c r="L10" s="133">
        <v>25.66</v>
      </c>
      <c r="M10" s="133">
        <v>97.04</v>
      </c>
      <c r="N10" s="133">
        <v>0</v>
      </c>
      <c r="O10" s="133">
        <v>0</v>
      </c>
      <c r="P10" s="133">
        <v>0.78</v>
      </c>
      <c r="Q10" s="166" t="s">
        <v>14</v>
      </c>
    </row>
    <row r="11" spans="1:21" customFormat="1">
      <c r="A11" s="111" t="s">
        <v>433</v>
      </c>
      <c r="B11" s="133">
        <v>20.88</v>
      </c>
      <c r="C11" s="133">
        <v>27.02</v>
      </c>
      <c r="D11" s="133">
        <v>32.21</v>
      </c>
      <c r="E11" s="133">
        <v>9.16</v>
      </c>
      <c r="F11" s="133">
        <v>2.39</v>
      </c>
      <c r="G11" s="133">
        <v>32.53</v>
      </c>
      <c r="H11" s="133">
        <v>10.55</v>
      </c>
      <c r="I11" s="133">
        <v>5.89</v>
      </c>
      <c r="J11" s="133">
        <v>0.2</v>
      </c>
      <c r="K11" s="133">
        <v>260.01</v>
      </c>
      <c r="L11" s="133">
        <v>25.78</v>
      </c>
      <c r="M11" s="133">
        <v>96.7</v>
      </c>
      <c r="N11" s="133">
        <v>0</v>
      </c>
      <c r="O11" s="133">
        <v>0</v>
      </c>
      <c r="P11" s="133">
        <v>0.77</v>
      </c>
      <c r="Q11" s="166" t="s">
        <v>14</v>
      </c>
    </row>
    <row r="12" spans="1:21" customFormat="1">
      <c r="A12" s="111" t="s">
        <v>434</v>
      </c>
      <c r="B12" s="133">
        <v>20.88</v>
      </c>
      <c r="C12" s="133">
        <v>27.02</v>
      </c>
      <c r="D12" s="133">
        <v>32.21</v>
      </c>
      <c r="E12" s="133">
        <v>9.16</v>
      </c>
      <c r="F12" s="133">
        <v>2.39</v>
      </c>
      <c r="G12" s="133">
        <v>32.53</v>
      </c>
      <c r="H12" s="133">
        <v>10.55</v>
      </c>
      <c r="I12" s="133">
        <v>5.89</v>
      </c>
      <c r="J12" s="133">
        <v>0.2</v>
      </c>
      <c r="K12" s="133">
        <v>260.01</v>
      </c>
      <c r="L12" s="133">
        <v>25.78</v>
      </c>
      <c r="M12" s="133">
        <v>96.7</v>
      </c>
      <c r="N12" s="133">
        <v>0</v>
      </c>
      <c r="O12" s="133">
        <v>0</v>
      </c>
      <c r="P12" s="133">
        <v>0.77</v>
      </c>
      <c r="Q12" s="166" t="s">
        <v>14</v>
      </c>
    </row>
    <row r="13" spans="1:21" customFormat="1">
      <c r="A13" s="111" t="s">
        <v>435</v>
      </c>
      <c r="B13" s="133">
        <v>21.61</v>
      </c>
      <c r="C13" s="133">
        <v>27.9</v>
      </c>
      <c r="D13" s="133">
        <v>33.26</v>
      </c>
      <c r="E13" s="133">
        <v>9.48</v>
      </c>
      <c r="F13" s="133">
        <v>2.34</v>
      </c>
      <c r="G13" s="133">
        <v>31.58</v>
      </c>
      <c r="H13" s="133">
        <v>10.66</v>
      </c>
      <c r="I13" s="133">
        <v>5.72</v>
      </c>
      <c r="J13" s="133">
        <v>0.23</v>
      </c>
      <c r="K13" s="133">
        <v>292.39999999999998</v>
      </c>
      <c r="L13" s="133">
        <v>25.85</v>
      </c>
      <c r="M13" s="133">
        <v>96.11</v>
      </c>
      <c r="N13" s="133">
        <v>0</v>
      </c>
      <c r="O13" s="133">
        <v>0</v>
      </c>
      <c r="P13" s="133">
        <v>0.75</v>
      </c>
      <c r="Q13" s="166" t="s">
        <v>14</v>
      </c>
    </row>
    <row r="14" spans="1:21" customFormat="1">
      <c r="A14" s="111" t="s">
        <v>436</v>
      </c>
      <c r="B14" s="133">
        <v>22.42</v>
      </c>
      <c r="C14" s="133">
        <v>27.76</v>
      </c>
      <c r="D14" s="133">
        <v>33.840000000000003</v>
      </c>
      <c r="E14" s="133">
        <v>9.4700000000000006</v>
      </c>
      <c r="F14" s="133">
        <v>2.59</v>
      </c>
      <c r="G14" s="133">
        <v>31.58</v>
      </c>
      <c r="H14" s="133">
        <v>10.66</v>
      </c>
      <c r="I14" s="133">
        <v>5.64</v>
      </c>
      <c r="J14" s="133">
        <v>0.16</v>
      </c>
      <c r="K14" s="133">
        <v>295.33</v>
      </c>
      <c r="L14" s="133">
        <v>25.75</v>
      </c>
      <c r="M14" s="133">
        <v>97</v>
      </c>
      <c r="N14" s="133">
        <v>0</v>
      </c>
      <c r="O14" s="133">
        <v>0</v>
      </c>
      <c r="P14" s="133">
        <v>0.74</v>
      </c>
      <c r="Q14" s="166" t="s">
        <v>14</v>
      </c>
    </row>
    <row r="15" spans="1:21" customFormat="1">
      <c r="A15" s="111" t="s">
        <v>437</v>
      </c>
      <c r="B15" s="133">
        <v>22.42</v>
      </c>
      <c r="C15" s="133">
        <v>27.76</v>
      </c>
      <c r="D15" s="133">
        <v>33.840000000000003</v>
      </c>
      <c r="E15" s="133">
        <v>9.4700000000000006</v>
      </c>
      <c r="F15" s="133">
        <v>2.59</v>
      </c>
      <c r="G15" s="133">
        <v>31.58</v>
      </c>
      <c r="H15" s="133">
        <v>10.66</v>
      </c>
      <c r="I15" s="133">
        <v>5.64</v>
      </c>
      <c r="J15" s="133">
        <v>0.16</v>
      </c>
      <c r="K15" s="133">
        <v>295.33</v>
      </c>
      <c r="L15" s="133">
        <v>25.75</v>
      </c>
      <c r="M15" s="133">
        <v>97</v>
      </c>
      <c r="N15" s="133">
        <v>0</v>
      </c>
      <c r="O15" s="133">
        <v>0</v>
      </c>
      <c r="P15" s="133">
        <v>0.74</v>
      </c>
      <c r="Q15" s="166" t="s">
        <v>14</v>
      </c>
    </row>
    <row r="16" spans="1:21" customFormat="1">
      <c r="A16" s="111" t="s">
        <v>438</v>
      </c>
      <c r="B16" s="133">
        <v>22.42</v>
      </c>
      <c r="C16" s="133">
        <v>27.76</v>
      </c>
      <c r="D16" s="133">
        <v>33.840000000000003</v>
      </c>
      <c r="E16" s="133">
        <v>9.4700000000000006</v>
      </c>
      <c r="F16" s="133">
        <v>2.59</v>
      </c>
      <c r="G16" s="133">
        <v>31.58</v>
      </c>
      <c r="H16" s="133">
        <v>10.66</v>
      </c>
      <c r="I16" s="133">
        <v>5.64</v>
      </c>
      <c r="J16" s="133">
        <v>0.16</v>
      </c>
      <c r="K16" s="133">
        <v>295.33</v>
      </c>
      <c r="L16" s="133">
        <v>25.75</v>
      </c>
      <c r="M16" s="133">
        <v>97</v>
      </c>
      <c r="N16" s="133">
        <v>0</v>
      </c>
      <c r="O16" s="133">
        <v>0</v>
      </c>
      <c r="P16" s="133">
        <v>0.74</v>
      </c>
      <c r="Q16" s="166" t="s">
        <v>14</v>
      </c>
    </row>
    <row r="17" spans="1:17" customFormat="1">
      <c r="A17" s="111" t="s">
        <v>439</v>
      </c>
      <c r="B17" s="133">
        <v>22.42</v>
      </c>
      <c r="C17" s="133">
        <v>27.76</v>
      </c>
      <c r="D17" s="133">
        <v>33.840000000000003</v>
      </c>
      <c r="E17" s="133">
        <v>9.4700000000000006</v>
      </c>
      <c r="F17" s="133">
        <v>2.59</v>
      </c>
      <c r="G17" s="133">
        <v>31.58</v>
      </c>
      <c r="H17" s="133">
        <v>10.66</v>
      </c>
      <c r="I17" s="133">
        <v>5.64</v>
      </c>
      <c r="J17" s="133">
        <v>0.16</v>
      </c>
      <c r="K17" s="133">
        <v>295.33</v>
      </c>
      <c r="L17" s="133">
        <v>25.75</v>
      </c>
      <c r="M17" s="133">
        <v>97</v>
      </c>
      <c r="N17" s="133">
        <v>0</v>
      </c>
      <c r="O17" s="133">
        <v>0</v>
      </c>
      <c r="P17" s="133">
        <v>0.74</v>
      </c>
      <c r="Q17" s="166" t="s">
        <v>14</v>
      </c>
    </row>
    <row r="18" spans="1:17" customFormat="1">
      <c r="A18" s="111" t="s">
        <v>440</v>
      </c>
      <c r="B18" s="133">
        <v>22.42</v>
      </c>
      <c r="C18" s="133">
        <v>27.76</v>
      </c>
      <c r="D18" s="133">
        <v>33.840000000000003</v>
      </c>
      <c r="E18" s="133">
        <v>9.4700000000000006</v>
      </c>
      <c r="F18" s="133">
        <v>2.59</v>
      </c>
      <c r="G18" s="133">
        <v>31.58</v>
      </c>
      <c r="H18" s="133">
        <v>10.66</v>
      </c>
      <c r="I18" s="133">
        <v>5.64</v>
      </c>
      <c r="J18" s="133">
        <v>0.16</v>
      </c>
      <c r="K18" s="133">
        <v>295.33</v>
      </c>
      <c r="L18" s="133">
        <v>25.75</v>
      </c>
      <c r="M18" s="133">
        <v>97</v>
      </c>
      <c r="N18" s="133">
        <v>0</v>
      </c>
      <c r="O18" s="133">
        <v>0</v>
      </c>
      <c r="P18" s="133">
        <v>0.74</v>
      </c>
      <c r="Q18" s="166" t="s">
        <v>14</v>
      </c>
    </row>
    <row r="19" spans="1:17" customFormat="1">
      <c r="A19" s="111" t="s">
        <v>441</v>
      </c>
      <c r="B19" s="148" t="s">
        <v>4</v>
      </c>
      <c r="C19" s="148" t="s">
        <v>4</v>
      </c>
      <c r="D19" s="148" t="s">
        <v>4</v>
      </c>
      <c r="E19" s="148" t="s">
        <v>4</v>
      </c>
      <c r="F19" s="148" t="s">
        <v>4</v>
      </c>
      <c r="G19" s="148" t="s">
        <v>4</v>
      </c>
      <c r="H19" s="148" t="s">
        <v>4</v>
      </c>
      <c r="I19" s="148" t="s">
        <v>4</v>
      </c>
      <c r="J19" s="148" t="s">
        <v>4</v>
      </c>
      <c r="K19" s="148" t="s">
        <v>4</v>
      </c>
      <c r="L19" s="148" t="s">
        <v>4</v>
      </c>
      <c r="M19" s="148" t="s">
        <v>4</v>
      </c>
      <c r="N19" s="148" t="s">
        <v>4</v>
      </c>
      <c r="O19" s="148" t="s">
        <v>4</v>
      </c>
      <c r="P19" s="148" t="s">
        <v>4</v>
      </c>
      <c r="Q19" s="148" t="s">
        <v>4</v>
      </c>
    </row>
    <row r="20" spans="1:17" customFormat="1">
      <c r="A20" s="111" t="s">
        <v>442</v>
      </c>
      <c r="B20" s="133">
        <v>22.95</v>
      </c>
      <c r="C20" s="133">
        <v>23.35</v>
      </c>
      <c r="D20" s="133">
        <v>31.95</v>
      </c>
      <c r="E20" s="133">
        <v>8.66</v>
      </c>
      <c r="F20" s="133">
        <v>3.25</v>
      </c>
      <c r="G20" s="133">
        <v>31.64</v>
      </c>
      <c r="H20" s="133">
        <v>10.64</v>
      </c>
      <c r="I20" s="133">
        <v>5.51</v>
      </c>
      <c r="J20" s="133">
        <v>0.26</v>
      </c>
      <c r="K20" s="133">
        <v>264.27999999999997</v>
      </c>
      <c r="L20" s="133">
        <v>25.6</v>
      </c>
      <c r="M20" s="133">
        <v>97.3</v>
      </c>
      <c r="N20" s="133">
        <v>0</v>
      </c>
      <c r="O20" s="133">
        <v>0</v>
      </c>
      <c r="P20" s="133">
        <v>0.68</v>
      </c>
      <c r="Q20" s="166" t="s">
        <v>14</v>
      </c>
    </row>
    <row r="21" spans="1:17" customFormat="1">
      <c r="A21" s="111" t="s">
        <v>443</v>
      </c>
      <c r="B21" s="133">
        <v>22.95</v>
      </c>
      <c r="C21" s="133">
        <v>23.35</v>
      </c>
      <c r="D21" s="133">
        <v>31.95</v>
      </c>
      <c r="E21" s="133">
        <v>8.66</v>
      </c>
      <c r="F21" s="133">
        <v>3.25</v>
      </c>
      <c r="G21" s="133">
        <v>31.64</v>
      </c>
      <c r="H21" s="133">
        <v>10.64</v>
      </c>
      <c r="I21" s="133">
        <v>5.51</v>
      </c>
      <c r="J21" s="133">
        <v>0.26</v>
      </c>
      <c r="K21" s="133">
        <v>264.27999999999997</v>
      </c>
      <c r="L21" s="133">
        <v>25.6</v>
      </c>
      <c r="M21" s="133">
        <v>97.3</v>
      </c>
      <c r="N21" s="133">
        <v>0</v>
      </c>
      <c r="O21" s="133">
        <v>0</v>
      </c>
      <c r="P21" s="133">
        <v>0.68</v>
      </c>
      <c r="Q21" s="166" t="s">
        <v>14</v>
      </c>
    </row>
    <row r="22" spans="1:17" customFormat="1">
      <c r="A22" s="111" t="s">
        <v>444</v>
      </c>
      <c r="B22" s="148" t="s">
        <v>4</v>
      </c>
      <c r="C22" s="148" t="s">
        <v>4</v>
      </c>
      <c r="D22" s="148" t="s">
        <v>4</v>
      </c>
      <c r="E22" s="148" t="s">
        <v>4</v>
      </c>
      <c r="F22" s="148" t="s">
        <v>4</v>
      </c>
      <c r="G22" s="148" t="s">
        <v>4</v>
      </c>
      <c r="H22" s="148" t="s">
        <v>4</v>
      </c>
      <c r="I22" s="148" t="s">
        <v>4</v>
      </c>
      <c r="J22" s="148" t="s">
        <v>4</v>
      </c>
      <c r="K22" s="148" t="s">
        <v>4</v>
      </c>
      <c r="L22" s="148" t="s">
        <v>4</v>
      </c>
      <c r="M22" s="148" t="s">
        <v>4</v>
      </c>
      <c r="N22" s="148" t="s">
        <v>4</v>
      </c>
      <c r="O22" s="148" t="s">
        <v>4</v>
      </c>
      <c r="P22" s="148" t="s">
        <v>4</v>
      </c>
      <c r="Q22" s="148" t="s">
        <v>4</v>
      </c>
    </row>
    <row r="23" spans="1:17" customFormat="1">
      <c r="A23" s="111" t="s">
        <v>445</v>
      </c>
      <c r="B23" s="133">
        <v>22.95</v>
      </c>
      <c r="C23" s="133">
        <v>23.35</v>
      </c>
      <c r="D23" s="133">
        <v>31.95</v>
      </c>
      <c r="E23" s="133">
        <v>8.66</v>
      </c>
      <c r="F23" s="133">
        <v>3.25</v>
      </c>
      <c r="G23" s="133">
        <v>31.64</v>
      </c>
      <c r="H23" s="133">
        <v>10.64</v>
      </c>
      <c r="I23" s="133">
        <v>5.51</v>
      </c>
      <c r="J23" s="133">
        <v>0.26</v>
      </c>
      <c r="K23" s="133">
        <v>264.27999999999997</v>
      </c>
      <c r="L23" s="133">
        <v>25.6</v>
      </c>
      <c r="M23" s="133">
        <v>97.3</v>
      </c>
      <c r="N23" s="133">
        <v>0</v>
      </c>
      <c r="O23" s="133">
        <v>0</v>
      </c>
      <c r="P23" s="133">
        <v>0.68</v>
      </c>
      <c r="Q23" s="166" t="s">
        <v>14</v>
      </c>
    </row>
    <row r="24" spans="1:17" customFormat="1">
      <c r="A24" s="111" t="s">
        <v>446</v>
      </c>
      <c r="B24" s="133">
        <v>24.88</v>
      </c>
      <c r="C24" s="133">
        <v>23.84</v>
      </c>
      <c r="D24" s="133">
        <v>33.76</v>
      </c>
      <c r="E24" s="133">
        <v>7.1</v>
      </c>
      <c r="F24" s="133">
        <v>2.5499999999999998</v>
      </c>
      <c r="G24" s="133">
        <v>31.3</v>
      </c>
      <c r="H24" s="133">
        <v>13.07</v>
      </c>
      <c r="I24" s="133">
        <v>5.0599999999999996</v>
      </c>
      <c r="J24" s="133">
        <v>-0.18</v>
      </c>
      <c r="K24" s="133">
        <v>0</v>
      </c>
      <c r="L24" s="133">
        <v>25.47</v>
      </c>
      <c r="M24" s="133">
        <v>94.68</v>
      </c>
      <c r="N24" s="133">
        <v>0</v>
      </c>
      <c r="O24" s="133">
        <v>0</v>
      </c>
      <c r="P24" s="133">
        <v>0.65</v>
      </c>
      <c r="Q24" s="166" t="s">
        <v>14</v>
      </c>
    </row>
    <row r="25" spans="1:17" customFormat="1">
      <c r="A25" s="111" t="s">
        <v>447</v>
      </c>
      <c r="B25" s="133">
        <v>25.3</v>
      </c>
      <c r="C25" s="133">
        <v>22.89</v>
      </c>
      <c r="D25" s="133">
        <v>33.6</v>
      </c>
      <c r="E25" s="133">
        <v>7.16</v>
      </c>
      <c r="F25" s="133">
        <v>2.79</v>
      </c>
      <c r="G25" s="133">
        <v>31.75</v>
      </c>
      <c r="H25" s="133">
        <v>13.3</v>
      </c>
      <c r="I25" s="133">
        <v>5.1100000000000003</v>
      </c>
      <c r="J25" s="133">
        <v>0.39</v>
      </c>
      <c r="K25" s="133">
        <v>265.44</v>
      </c>
      <c r="L25" s="133">
        <v>25.48</v>
      </c>
      <c r="M25" s="133">
        <v>94.33</v>
      </c>
      <c r="N25" s="133">
        <v>0</v>
      </c>
      <c r="O25" s="133">
        <v>0</v>
      </c>
      <c r="P25" s="133">
        <v>0.64</v>
      </c>
      <c r="Q25" s="166" t="s">
        <v>14</v>
      </c>
    </row>
    <row r="26" spans="1:17" customFormat="1">
      <c r="A26" s="111" t="s">
        <v>448</v>
      </c>
      <c r="B26" s="133">
        <v>25.39</v>
      </c>
      <c r="C26" s="133">
        <v>21.98</v>
      </c>
      <c r="D26" s="133">
        <v>33.200000000000003</v>
      </c>
      <c r="E26" s="133">
        <v>6.95</v>
      </c>
      <c r="F26" s="133">
        <v>3.05</v>
      </c>
      <c r="G26" s="133">
        <v>31.75</v>
      </c>
      <c r="H26" s="133">
        <v>13.3</v>
      </c>
      <c r="I26" s="133">
        <v>5.22</v>
      </c>
      <c r="J26" s="133">
        <v>0.44</v>
      </c>
      <c r="K26" s="133">
        <v>265.14</v>
      </c>
      <c r="L26" s="133">
        <v>25.5</v>
      </c>
      <c r="M26" s="133">
        <v>93.29</v>
      </c>
      <c r="N26" s="133">
        <v>0</v>
      </c>
      <c r="O26" s="133">
        <v>0</v>
      </c>
      <c r="P26" s="133">
        <v>0.62</v>
      </c>
      <c r="Q26" s="133">
        <v>4.5999999999999996</v>
      </c>
    </row>
    <row r="27" spans="1:17" customFormat="1">
      <c r="A27" s="111" t="s">
        <v>449</v>
      </c>
      <c r="B27" s="133">
        <v>25.16</v>
      </c>
      <c r="C27" s="133">
        <v>21.21</v>
      </c>
      <c r="D27" s="133">
        <v>32.61</v>
      </c>
      <c r="E27" s="133">
        <v>6.94</v>
      </c>
      <c r="F27" s="133">
        <v>2.99</v>
      </c>
      <c r="G27" s="133">
        <v>31.97</v>
      </c>
      <c r="H27" s="133">
        <v>13.01</v>
      </c>
      <c r="I27" s="133">
        <v>5.15</v>
      </c>
      <c r="J27" s="133">
        <v>0.42</v>
      </c>
      <c r="K27" s="133">
        <v>268.23</v>
      </c>
      <c r="L27" s="133">
        <v>25.43</v>
      </c>
      <c r="M27" s="133">
        <v>93.39</v>
      </c>
      <c r="N27" s="133">
        <v>0</v>
      </c>
      <c r="O27" s="133">
        <v>0</v>
      </c>
      <c r="P27" s="133">
        <v>0.61</v>
      </c>
      <c r="Q27" s="133">
        <v>4.59</v>
      </c>
    </row>
    <row r="28" spans="1:17" customFormat="1">
      <c r="A28" s="111" t="s">
        <v>450</v>
      </c>
      <c r="B28" s="133">
        <v>25.42</v>
      </c>
      <c r="C28" s="133">
        <v>23.54</v>
      </c>
      <c r="D28" s="133">
        <v>34.04</v>
      </c>
      <c r="E28" s="133">
        <v>6.97</v>
      </c>
      <c r="F28" s="133">
        <v>2.4500000000000002</v>
      </c>
      <c r="G28" s="133">
        <v>32.729999999999997</v>
      </c>
      <c r="H28" s="133">
        <v>12.28</v>
      </c>
      <c r="I28" s="133">
        <v>5.05</v>
      </c>
      <c r="J28" s="133">
        <v>0.38</v>
      </c>
      <c r="K28" s="133">
        <v>287.19</v>
      </c>
      <c r="L28" s="133">
        <v>25.46</v>
      </c>
      <c r="M28" s="133">
        <v>92.91</v>
      </c>
      <c r="N28" s="133">
        <v>0</v>
      </c>
      <c r="O28" s="133">
        <v>0</v>
      </c>
      <c r="P28" s="133">
        <v>0.63</v>
      </c>
      <c r="Q28" s="133">
        <v>4.5599999999999996</v>
      </c>
    </row>
    <row r="29" spans="1:17" customFormat="1">
      <c r="A29" s="111" t="s">
        <v>451</v>
      </c>
      <c r="B29" s="133">
        <v>25.52</v>
      </c>
      <c r="C29" s="133">
        <v>23.32</v>
      </c>
      <c r="D29" s="133">
        <v>34</v>
      </c>
      <c r="E29" s="133">
        <v>7.43</v>
      </c>
      <c r="F29" s="133">
        <v>2.72</v>
      </c>
      <c r="G29" s="133">
        <v>32.729999999999997</v>
      </c>
      <c r="H29" s="133">
        <v>12.28</v>
      </c>
      <c r="I29" s="133">
        <v>4.96</v>
      </c>
      <c r="J29" s="133">
        <v>0.3</v>
      </c>
      <c r="K29" s="133">
        <v>269.77999999999997</v>
      </c>
      <c r="L29" s="133">
        <v>25.38</v>
      </c>
      <c r="M29" s="133">
        <v>93.92</v>
      </c>
      <c r="N29" s="133">
        <v>0</v>
      </c>
      <c r="O29" s="133">
        <v>0</v>
      </c>
      <c r="P29" s="133">
        <v>0.62</v>
      </c>
      <c r="Q29" s="133">
        <v>4.6100000000000003</v>
      </c>
    </row>
    <row r="30" spans="1:17" customFormat="1">
      <c r="A30" s="111" t="s">
        <v>452</v>
      </c>
      <c r="B30" s="133">
        <v>25.54</v>
      </c>
      <c r="C30" s="133">
        <v>21.88</v>
      </c>
      <c r="D30" s="133">
        <v>33.270000000000003</v>
      </c>
      <c r="E30" s="133">
        <v>7.13</v>
      </c>
      <c r="F30" s="133">
        <v>3.02</v>
      </c>
      <c r="G30" s="133">
        <v>32.729999999999997</v>
      </c>
      <c r="H30" s="133">
        <v>12.28</v>
      </c>
      <c r="I30" s="133">
        <v>5.0599999999999996</v>
      </c>
      <c r="J30" s="133">
        <v>0.45</v>
      </c>
      <c r="K30" s="133">
        <v>274.76</v>
      </c>
      <c r="L30" s="133">
        <v>25.32</v>
      </c>
      <c r="M30" s="133">
        <v>94.75</v>
      </c>
      <c r="N30" s="133">
        <v>0</v>
      </c>
      <c r="O30" s="133">
        <v>0</v>
      </c>
      <c r="P30" s="133">
        <v>0.59</v>
      </c>
      <c r="Q30" s="133">
        <v>4.6100000000000003</v>
      </c>
    </row>
    <row r="31" spans="1:17" customFormat="1">
      <c r="A31" s="111" t="s">
        <v>453</v>
      </c>
      <c r="B31" s="133">
        <v>25.47</v>
      </c>
      <c r="C31" s="133">
        <v>21.31</v>
      </c>
      <c r="D31" s="133">
        <v>32.909999999999997</v>
      </c>
      <c r="E31" s="133">
        <v>6.61</v>
      </c>
      <c r="F31" s="133">
        <v>3.07</v>
      </c>
      <c r="G31" s="133">
        <v>30.87</v>
      </c>
      <c r="H31" s="133">
        <v>12.02</v>
      </c>
      <c r="I31" s="133">
        <v>4.93</v>
      </c>
      <c r="J31" s="133">
        <v>0.33</v>
      </c>
      <c r="K31" s="133">
        <v>273.94</v>
      </c>
      <c r="L31" s="133">
        <v>25.22</v>
      </c>
      <c r="M31" s="133">
        <v>96.06</v>
      </c>
      <c r="N31" s="133">
        <v>0</v>
      </c>
      <c r="O31" s="133">
        <v>0</v>
      </c>
      <c r="P31" s="133">
        <v>0.57999999999999996</v>
      </c>
      <c r="Q31" s="133">
        <v>4.62</v>
      </c>
    </row>
    <row r="32" spans="1:17" customFormat="1">
      <c r="A32" s="111" t="s">
        <v>454</v>
      </c>
      <c r="B32" s="133">
        <v>25.49</v>
      </c>
      <c r="C32" s="133">
        <v>23.92</v>
      </c>
      <c r="D32" s="133">
        <v>34.29</v>
      </c>
      <c r="E32" s="133">
        <v>6.84</v>
      </c>
      <c r="F32" s="133">
        <v>2.4500000000000002</v>
      </c>
      <c r="G32" s="133">
        <v>24.35</v>
      </c>
      <c r="H32" s="133">
        <v>11.39</v>
      </c>
      <c r="I32" s="133">
        <v>4.82</v>
      </c>
      <c r="J32" s="133">
        <v>0.32</v>
      </c>
      <c r="K32" s="133">
        <v>297.58999999999997</v>
      </c>
      <c r="L32" s="133">
        <v>25.25</v>
      </c>
      <c r="M32" s="133">
        <v>94.66</v>
      </c>
      <c r="N32" s="133">
        <v>0</v>
      </c>
      <c r="O32" s="133">
        <v>0</v>
      </c>
      <c r="P32" s="133">
        <v>0.6</v>
      </c>
      <c r="Q32" s="133">
        <v>4.58</v>
      </c>
    </row>
    <row r="33" spans="1:17" customFormat="1">
      <c r="A33" s="111" t="s">
        <v>455</v>
      </c>
      <c r="B33" s="133">
        <v>25.39</v>
      </c>
      <c r="C33" s="133">
        <v>25.25</v>
      </c>
      <c r="D33" s="133">
        <v>34.909999999999997</v>
      </c>
      <c r="E33" s="133">
        <v>7.19</v>
      </c>
      <c r="F33" s="133">
        <v>2.33</v>
      </c>
      <c r="G33" s="133">
        <v>24.35</v>
      </c>
      <c r="H33" s="133">
        <v>11.39</v>
      </c>
      <c r="I33" s="133">
        <v>4.8</v>
      </c>
      <c r="J33" s="133">
        <v>0.32</v>
      </c>
      <c r="K33" s="133">
        <v>285.61</v>
      </c>
      <c r="L33" s="133">
        <v>25.43</v>
      </c>
      <c r="M33" s="133">
        <v>92.99</v>
      </c>
      <c r="N33" s="133">
        <v>2.4</v>
      </c>
      <c r="O33" s="133">
        <v>0</v>
      </c>
      <c r="P33" s="133">
        <v>0.61</v>
      </c>
      <c r="Q33" s="133">
        <v>4.5999999999999996</v>
      </c>
    </row>
    <row r="34" spans="1:17" customFormat="1">
      <c r="A34" s="111" t="s">
        <v>456</v>
      </c>
      <c r="B34" s="133">
        <v>25.21</v>
      </c>
      <c r="C34" s="133">
        <v>25.44</v>
      </c>
      <c r="D34" s="133">
        <v>34.86</v>
      </c>
      <c r="E34" s="133">
        <v>6.75</v>
      </c>
      <c r="F34" s="133">
        <v>2.48</v>
      </c>
      <c r="G34" s="133">
        <v>24.35</v>
      </c>
      <c r="H34" s="133">
        <v>11.39</v>
      </c>
      <c r="I34" s="133">
        <v>4.88</v>
      </c>
      <c r="J34" s="133">
        <v>0.28999999999999998</v>
      </c>
      <c r="K34" s="133">
        <v>278.06</v>
      </c>
      <c r="L34" s="133">
        <v>25.52</v>
      </c>
      <c r="M34" s="133">
        <v>92.44</v>
      </c>
      <c r="N34" s="133">
        <v>17.600000000000001</v>
      </c>
      <c r="O34" s="133">
        <v>0</v>
      </c>
      <c r="P34" s="133">
        <v>0.61</v>
      </c>
      <c r="Q34" s="133">
        <v>4.62</v>
      </c>
    </row>
    <row r="35" spans="1:17" customFormat="1">
      <c r="A35" s="111" t="s">
        <v>457</v>
      </c>
      <c r="B35" s="133">
        <v>24.89</v>
      </c>
      <c r="C35" s="133">
        <v>25.62</v>
      </c>
      <c r="D35" s="133">
        <v>34.700000000000003</v>
      </c>
      <c r="E35" s="133">
        <v>6.83</v>
      </c>
      <c r="F35" s="133">
        <v>2.61</v>
      </c>
      <c r="G35" s="133">
        <v>24.81</v>
      </c>
      <c r="H35" s="133">
        <v>11.23</v>
      </c>
      <c r="I35" s="133">
        <v>4.79</v>
      </c>
      <c r="J35" s="133">
        <v>0.36</v>
      </c>
      <c r="K35" s="133">
        <v>284.81</v>
      </c>
      <c r="L35" s="133">
        <v>25.68</v>
      </c>
      <c r="M35" s="133">
        <v>92.06</v>
      </c>
      <c r="N35" s="133">
        <v>44.5</v>
      </c>
      <c r="O35" s="133">
        <v>0</v>
      </c>
      <c r="P35" s="133">
        <v>0.61</v>
      </c>
      <c r="Q35" s="133">
        <v>4.66</v>
      </c>
    </row>
    <row r="36" spans="1:17" customFormat="1">
      <c r="A36" s="111" t="s">
        <v>458</v>
      </c>
      <c r="B36" s="133">
        <v>24.4</v>
      </c>
      <c r="C36" s="133">
        <v>25.91</v>
      </c>
      <c r="D36" s="133">
        <v>34.46</v>
      </c>
      <c r="E36" s="133">
        <v>7.17</v>
      </c>
      <c r="F36" s="133">
        <v>2.74</v>
      </c>
      <c r="G36" s="133">
        <v>26.43</v>
      </c>
      <c r="H36" s="133">
        <v>10.49</v>
      </c>
      <c r="I36" s="133">
        <v>4.75</v>
      </c>
      <c r="J36" s="133">
        <v>0.4</v>
      </c>
      <c r="K36" s="133">
        <v>279.16000000000003</v>
      </c>
      <c r="L36" s="133">
        <v>25.96</v>
      </c>
      <c r="M36" s="133">
        <v>91.91</v>
      </c>
      <c r="N36" s="133">
        <v>68.7</v>
      </c>
      <c r="O36" s="133">
        <v>0</v>
      </c>
      <c r="P36" s="133">
        <v>0.61</v>
      </c>
      <c r="Q36" s="133">
        <v>4.6500000000000004</v>
      </c>
    </row>
    <row r="37" spans="1:17" customFormat="1">
      <c r="A37" s="111" t="s">
        <v>459</v>
      </c>
      <c r="B37" s="133">
        <v>24.31</v>
      </c>
      <c r="C37" s="133">
        <v>26.25</v>
      </c>
      <c r="D37" s="133">
        <v>34.56</v>
      </c>
      <c r="E37" s="133">
        <v>7.21</v>
      </c>
      <c r="F37" s="133">
        <v>2.72</v>
      </c>
      <c r="G37" s="133">
        <v>26.43</v>
      </c>
      <c r="H37" s="133">
        <v>10.49</v>
      </c>
      <c r="I37" s="133">
        <v>4.6399999999999997</v>
      </c>
      <c r="J37" s="133">
        <v>0.44</v>
      </c>
      <c r="K37" s="133">
        <v>315</v>
      </c>
      <c r="L37" s="133">
        <v>26.29</v>
      </c>
      <c r="M37" s="133">
        <v>90.08</v>
      </c>
      <c r="N37" s="133">
        <v>103.5</v>
      </c>
      <c r="O37" s="133">
        <v>0</v>
      </c>
      <c r="P37" s="133">
        <v>0.6</v>
      </c>
      <c r="Q37" s="133">
        <v>4.6399999999999997</v>
      </c>
    </row>
    <row r="38" spans="1:17" customFormat="1">
      <c r="A38" s="111" t="s">
        <v>460</v>
      </c>
      <c r="B38" s="133">
        <v>24.13</v>
      </c>
      <c r="C38" s="133">
        <v>26.56</v>
      </c>
      <c r="D38" s="133">
        <v>34.58</v>
      </c>
      <c r="E38" s="133">
        <v>7.33</v>
      </c>
      <c r="F38" s="133">
        <v>2.5299999999999998</v>
      </c>
      <c r="G38" s="133">
        <v>26.43</v>
      </c>
      <c r="H38" s="133">
        <v>10.49</v>
      </c>
      <c r="I38" s="133">
        <v>4.6100000000000003</v>
      </c>
      <c r="J38" s="133">
        <v>0.59</v>
      </c>
      <c r="K38" s="133">
        <v>306.60000000000002</v>
      </c>
      <c r="L38" s="133">
        <v>26.73</v>
      </c>
      <c r="M38" s="133">
        <v>88.34</v>
      </c>
      <c r="N38" s="133">
        <v>174.4</v>
      </c>
      <c r="O38" s="133">
        <v>0</v>
      </c>
      <c r="P38" s="133">
        <v>0.6</v>
      </c>
      <c r="Q38" s="133">
        <v>4.67</v>
      </c>
    </row>
    <row r="39" spans="1:17" customFormat="1">
      <c r="A39" s="111" t="s">
        <v>461</v>
      </c>
      <c r="B39" s="133">
        <v>23.86</v>
      </c>
      <c r="C39" s="133">
        <v>26.55</v>
      </c>
      <c r="D39" s="133">
        <v>34.35</v>
      </c>
      <c r="E39" s="133">
        <v>7.38</v>
      </c>
      <c r="F39" s="133">
        <v>2.74</v>
      </c>
      <c r="G39" s="133">
        <v>26.12</v>
      </c>
      <c r="H39" s="133">
        <v>10.29</v>
      </c>
      <c r="I39" s="133">
        <v>4.59</v>
      </c>
      <c r="J39" s="133">
        <v>0.8</v>
      </c>
      <c r="K39" s="133">
        <v>311.38</v>
      </c>
      <c r="L39" s="133">
        <v>27.07</v>
      </c>
      <c r="M39" s="133">
        <v>85.85</v>
      </c>
      <c r="N39" s="133">
        <v>163.4</v>
      </c>
      <c r="O39" s="133">
        <v>0</v>
      </c>
      <c r="P39" s="133">
        <v>0.6</v>
      </c>
      <c r="Q39" s="133">
        <v>4.66</v>
      </c>
    </row>
    <row r="40" spans="1:17" customFormat="1">
      <c r="A40" s="111" t="s">
        <v>462</v>
      </c>
      <c r="B40" s="133">
        <v>23.44</v>
      </c>
      <c r="C40" s="133">
        <v>26.92</v>
      </c>
      <c r="D40" s="133">
        <v>34.21</v>
      </c>
      <c r="E40" s="133">
        <v>7.2</v>
      </c>
      <c r="F40" s="133">
        <v>2.77</v>
      </c>
      <c r="G40" s="133">
        <v>25.03</v>
      </c>
      <c r="H40" s="133">
        <v>9.82</v>
      </c>
      <c r="I40" s="133">
        <v>4.51</v>
      </c>
      <c r="J40" s="133">
        <v>0.52</v>
      </c>
      <c r="K40" s="133">
        <v>317.97000000000003</v>
      </c>
      <c r="L40" s="133">
        <v>27.25</v>
      </c>
      <c r="M40" s="133">
        <v>85.13</v>
      </c>
      <c r="N40" s="133">
        <v>170.8</v>
      </c>
      <c r="O40" s="133">
        <v>0</v>
      </c>
      <c r="P40" s="133">
        <v>0.6</v>
      </c>
      <c r="Q40" s="133">
        <v>4.63</v>
      </c>
    </row>
    <row r="41" spans="1:17" customFormat="1">
      <c r="A41" s="111" t="s">
        <v>463</v>
      </c>
      <c r="B41" s="133">
        <v>23.06</v>
      </c>
      <c r="C41" s="133">
        <v>26.71</v>
      </c>
      <c r="D41" s="133">
        <v>33.799999999999997</v>
      </c>
      <c r="E41" s="133">
        <v>7.42</v>
      </c>
      <c r="F41" s="133">
        <v>2.94</v>
      </c>
      <c r="G41" s="133">
        <v>25.03</v>
      </c>
      <c r="H41" s="133">
        <v>9.82</v>
      </c>
      <c r="I41" s="133">
        <v>4.4800000000000004</v>
      </c>
      <c r="J41" s="133">
        <v>0.48</v>
      </c>
      <c r="K41" s="133">
        <v>295.08</v>
      </c>
      <c r="L41" s="133">
        <v>27.27</v>
      </c>
      <c r="M41" s="133">
        <v>85.36</v>
      </c>
      <c r="N41" s="133">
        <v>114.1</v>
      </c>
      <c r="O41" s="133">
        <v>0</v>
      </c>
      <c r="P41" s="133">
        <v>0.6</v>
      </c>
      <c r="Q41" s="133">
        <v>4.6100000000000003</v>
      </c>
    </row>
    <row r="42" spans="1:17" customFormat="1">
      <c r="A42" s="111" t="s">
        <v>464</v>
      </c>
      <c r="B42" s="133">
        <v>22.62</v>
      </c>
      <c r="C42" s="133">
        <v>26.92</v>
      </c>
      <c r="D42" s="133">
        <v>33.549999999999997</v>
      </c>
      <c r="E42" s="133">
        <v>7.24</v>
      </c>
      <c r="F42" s="133">
        <v>2.67</v>
      </c>
      <c r="G42" s="133">
        <v>25.03</v>
      </c>
      <c r="H42" s="133">
        <v>9.82</v>
      </c>
      <c r="I42" s="133">
        <v>4.46</v>
      </c>
      <c r="J42" s="133">
        <v>0.46</v>
      </c>
      <c r="K42" s="133">
        <v>294.43</v>
      </c>
      <c r="L42" s="133">
        <v>27.26</v>
      </c>
      <c r="M42" s="133">
        <v>85.45</v>
      </c>
      <c r="N42" s="133">
        <v>115.2</v>
      </c>
      <c r="O42" s="133">
        <v>0</v>
      </c>
      <c r="P42" s="133">
        <v>0.59</v>
      </c>
      <c r="Q42" s="133">
        <v>4.58</v>
      </c>
    </row>
    <row r="43" spans="1:17" customFormat="1">
      <c r="A43" s="111" t="s">
        <v>465</v>
      </c>
      <c r="B43" s="133">
        <v>22.34</v>
      </c>
      <c r="C43" s="133">
        <v>27</v>
      </c>
      <c r="D43" s="133">
        <v>33.369999999999997</v>
      </c>
      <c r="E43" s="133">
        <v>7.51</v>
      </c>
      <c r="F43" s="133">
        <v>2.72</v>
      </c>
      <c r="G43" s="133">
        <v>24.29</v>
      </c>
      <c r="H43" s="133">
        <v>9.17</v>
      </c>
      <c r="I43" s="133">
        <v>4.4400000000000004</v>
      </c>
      <c r="J43" s="133">
        <v>0.52</v>
      </c>
      <c r="K43" s="133">
        <v>291.18</v>
      </c>
      <c r="L43" s="133">
        <v>27.47</v>
      </c>
      <c r="M43" s="133">
        <v>84.97</v>
      </c>
      <c r="N43" s="133">
        <v>192.4</v>
      </c>
      <c r="O43" s="133">
        <v>0</v>
      </c>
      <c r="P43" s="133">
        <v>0.6</v>
      </c>
      <c r="Q43" s="133">
        <v>4.57</v>
      </c>
    </row>
    <row r="44" spans="1:17" customFormat="1">
      <c r="A44" s="111" t="s">
        <v>466</v>
      </c>
      <c r="B44" s="133">
        <v>21.93</v>
      </c>
      <c r="C44" s="133">
        <v>27.03</v>
      </c>
      <c r="D44" s="133">
        <v>33.06</v>
      </c>
      <c r="E44" s="133">
        <v>7.87</v>
      </c>
      <c r="F44" s="133">
        <v>2.73</v>
      </c>
      <c r="G44" s="133">
        <v>21.7</v>
      </c>
      <c r="H44" s="133">
        <v>7.66</v>
      </c>
      <c r="I44" s="133">
        <v>4.4000000000000004</v>
      </c>
      <c r="J44" s="133">
        <v>0.51</v>
      </c>
      <c r="K44" s="133">
        <v>320.29000000000002</v>
      </c>
      <c r="L44" s="133">
        <v>27.94</v>
      </c>
      <c r="M44" s="133">
        <v>82.57</v>
      </c>
      <c r="N44" s="133">
        <v>251.1</v>
      </c>
      <c r="O44" s="133">
        <v>0</v>
      </c>
      <c r="P44" s="133">
        <v>0.6</v>
      </c>
      <c r="Q44" s="133">
        <v>4.58</v>
      </c>
    </row>
    <row r="45" spans="1:17" customFormat="1">
      <c r="A45" s="111" t="s">
        <v>467</v>
      </c>
      <c r="B45" s="133">
        <v>21.58</v>
      </c>
      <c r="C45" s="133">
        <v>27.27</v>
      </c>
      <c r="D45" s="133">
        <v>32.909999999999997</v>
      </c>
      <c r="E45" s="133">
        <v>7.61</v>
      </c>
      <c r="F45" s="133">
        <v>2.68</v>
      </c>
      <c r="G45" s="133">
        <v>21.7</v>
      </c>
      <c r="H45" s="133">
        <v>7.66</v>
      </c>
      <c r="I45" s="133">
        <v>4.38</v>
      </c>
      <c r="J45" s="133">
        <v>0.55000000000000004</v>
      </c>
      <c r="K45" s="133">
        <v>316.13</v>
      </c>
      <c r="L45" s="133">
        <v>28.43</v>
      </c>
      <c r="M45" s="133">
        <v>81.760000000000005</v>
      </c>
      <c r="N45" s="133">
        <v>390</v>
      </c>
      <c r="O45" s="133">
        <v>0</v>
      </c>
      <c r="P45" s="133">
        <v>0.6</v>
      </c>
      <c r="Q45" s="133">
        <v>4.55</v>
      </c>
    </row>
    <row r="46" spans="1:17" customFormat="1">
      <c r="A46" s="111" t="s">
        <v>468</v>
      </c>
      <c r="B46" s="133">
        <v>21.11</v>
      </c>
      <c r="C46" s="133">
        <v>27.12</v>
      </c>
      <c r="D46" s="133">
        <v>32.450000000000003</v>
      </c>
      <c r="E46" s="133">
        <v>7.92</v>
      </c>
      <c r="F46" s="133">
        <v>2.96</v>
      </c>
      <c r="G46" s="133">
        <v>21.7</v>
      </c>
      <c r="H46" s="133">
        <v>7.66</v>
      </c>
      <c r="I46" s="133">
        <v>4.3499999999999996</v>
      </c>
      <c r="J46" s="133">
        <v>0.69</v>
      </c>
      <c r="K46" s="133">
        <v>312.97000000000003</v>
      </c>
      <c r="L46" s="133">
        <v>29.55</v>
      </c>
      <c r="M46" s="133">
        <v>78.12</v>
      </c>
      <c r="N46" s="133">
        <v>610.70000000000005</v>
      </c>
      <c r="O46" s="133">
        <v>0</v>
      </c>
      <c r="P46" s="133">
        <v>0.61</v>
      </c>
      <c r="Q46" s="133">
        <v>4.5599999999999996</v>
      </c>
    </row>
    <row r="47" spans="1:17" customFormat="1">
      <c r="A47" s="111" t="s">
        <v>469</v>
      </c>
      <c r="B47" s="133">
        <v>20.49</v>
      </c>
      <c r="C47" s="133">
        <v>27.13</v>
      </c>
      <c r="D47" s="133">
        <v>31.96</v>
      </c>
      <c r="E47" s="133">
        <v>7.8</v>
      </c>
      <c r="F47" s="133">
        <v>3.07</v>
      </c>
      <c r="G47" s="133">
        <v>22.27</v>
      </c>
      <c r="H47" s="133">
        <v>8.2200000000000006</v>
      </c>
      <c r="I47" s="133">
        <v>4.34</v>
      </c>
      <c r="J47" s="133">
        <v>0.7</v>
      </c>
      <c r="K47" s="133">
        <v>317.72000000000003</v>
      </c>
      <c r="L47" s="133">
        <v>29.98</v>
      </c>
      <c r="M47" s="133">
        <v>76.77</v>
      </c>
      <c r="N47" s="133">
        <v>476.1</v>
      </c>
      <c r="O47" s="133">
        <v>0</v>
      </c>
      <c r="P47" s="133">
        <v>0.63</v>
      </c>
      <c r="Q47" s="133">
        <v>4.49</v>
      </c>
    </row>
    <row r="48" spans="1:17" customFormat="1">
      <c r="A48" s="111" t="s">
        <v>470</v>
      </c>
      <c r="B48" s="133">
        <v>19.940000000000001</v>
      </c>
      <c r="C48" s="133">
        <v>27.43</v>
      </c>
      <c r="D48" s="133">
        <v>31.68</v>
      </c>
      <c r="E48" s="133">
        <v>7.77</v>
      </c>
      <c r="F48" s="133">
        <v>2.99</v>
      </c>
      <c r="G48" s="133">
        <v>24.26</v>
      </c>
      <c r="H48" s="133">
        <v>9.5299999999999994</v>
      </c>
      <c r="I48" s="133">
        <v>4.34</v>
      </c>
      <c r="J48" s="133">
        <v>0.55000000000000004</v>
      </c>
      <c r="K48" s="133">
        <v>325.91000000000003</v>
      </c>
      <c r="L48" s="133">
        <v>30.45</v>
      </c>
      <c r="M48" s="133">
        <v>74.53</v>
      </c>
      <c r="N48" s="133">
        <v>414.4</v>
      </c>
      <c r="O48" s="133">
        <v>0</v>
      </c>
      <c r="P48" s="133">
        <v>0.62</v>
      </c>
      <c r="Q48" s="133">
        <v>4.45</v>
      </c>
    </row>
    <row r="49" spans="1:17" customFormat="1">
      <c r="A49" s="111" t="s">
        <v>471</v>
      </c>
      <c r="B49" s="133">
        <v>19.47</v>
      </c>
      <c r="C49" s="133">
        <v>26.99</v>
      </c>
      <c r="D49" s="133">
        <v>31.06</v>
      </c>
      <c r="E49" s="133">
        <v>6.22</v>
      </c>
      <c r="F49" s="133">
        <v>3.25</v>
      </c>
      <c r="G49" s="133">
        <v>24.26</v>
      </c>
      <c r="H49" s="133">
        <v>9.5299999999999994</v>
      </c>
      <c r="I49" s="133">
        <v>4.34</v>
      </c>
      <c r="J49" s="133">
        <v>0.68</v>
      </c>
      <c r="K49" s="133">
        <v>326.24</v>
      </c>
      <c r="L49" s="133">
        <v>30.28</v>
      </c>
      <c r="M49" s="133">
        <v>74.92</v>
      </c>
      <c r="N49" s="133">
        <v>481.1</v>
      </c>
      <c r="O49" s="133">
        <v>0</v>
      </c>
      <c r="P49" s="133">
        <v>0.62</v>
      </c>
      <c r="Q49" s="133">
        <v>4.43</v>
      </c>
    </row>
    <row r="50" spans="1:17" customFormat="1">
      <c r="A50" s="111" t="s">
        <v>472</v>
      </c>
      <c r="B50" s="133">
        <v>18.670000000000002</v>
      </c>
      <c r="C50" s="133">
        <v>26.71</v>
      </c>
      <c r="D50" s="133">
        <v>30.28</v>
      </c>
      <c r="E50" s="133">
        <v>7.85</v>
      </c>
      <c r="F50" s="133">
        <v>3.57</v>
      </c>
      <c r="G50" s="133">
        <v>24.26</v>
      </c>
      <c r="H50" s="133">
        <v>9.5299999999999994</v>
      </c>
      <c r="I50" s="133">
        <v>4.3499999999999996</v>
      </c>
      <c r="J50" s="133">
        <v>0.77</v>
      </c>
      <c r="K50" s="133">
        <v>312.33999999999997</v>
      </c>
      <c r="L50" s="133">
        <v>29.95</v>
      </c>
      <c r="M50" s="133">
        <v>76.33</v>
      </c>
      <c r="N50" s="133">
        <v>417.6</v>
      </c>
      <c r="O50" s="133">
        <v>0</v>
      </c>
      <c r="P50" s="133">
        <v>0.61</v>
      </c>
      <c r="Q50" s="133">
        <v>4.4000000000000004</v>
      </c>
    </row>
    <row r="51" spans="1:17" customFormat="1">
      <c r="A51" s="111" t="s">
        <v>473</v>
      </c>
      <c r="B51" s="133">
        <v>17.79</v>
      </c>
      <c r="C51" s="133">
        <v>26.44</v>
      </c>
      <c r="D51" s="133">
        <v>29.43</v>
      </c>
      <c r="E51" s="133">
        <v>7.11</v>
      </c>
      <c r="F51" s="133">
        <v>3.34</v>
      </c>
      <c r="G51" s="133">
        <v>25.08</v>
      </c>
      <c r="H51" s="133">
        <v>9.93</v>
      </c>
      <c r="I51" s="133">
        <v>4.34</v>
      </c>
      <c r="J51" s="133">
        <v>0.72</v>
      </c>
      <c r="K51" s="133">
        <v>307.08999999999997</v>
      </c>
      <c r="L51" s="133">
        <v>29.88</v>
      </c>
      <c r="M51" s="133">
        <v>76.650000000000006</v>
      </c>
      <c r="N51" s="133">
        <v>303.5</v>
      </c>
      <c r="O51" s="133">
        <v>0</v>
      </c>
      <c r="P51" s="133">
        <v>0.62</v>
      </c>
      <c r="Q51" s="133">
        <v>4.3499999999999996</v>
      </c>
    </row>
    <row r="52" spans="1:17" customFormat="1">
      <c r="A52" s="111" t="s">
        <v>474</v>
      </c>
      <c r="B52" s="133">
        <v>17.02</v>
      </c>
      <c r="C52" s="133">
        <v>27.21</v>
      </c>
      <c r="D52" s="133">
        <v>29.22</v>
      </c>
      <c r="E52" s="133">
        <v>7.48</v>
      </c>
      <c r="F52" s="133">
        <v>3.28</v>
      </c>
      <c r="G52" s="133">
        <v>27.94</v>
      </c>
      <c r="H52" s="133">
        <v>10.93</v>
      </c>
      <c r="I52" s="133">
        <v>4.2699999999999996</v>
      </c>
      <c r="J52" s="133">
        <v>0.65</v>
      </c>
      <c r="K52" s="133">
        <v>311.43</v>
      </c>
      <c r="L52" s="133">
        <v>29.98</v>
      </c>
      <c r="M52" s="133">
        <v>74.39</v>
      </c>
      <c r="N52" s="133">
        <v>382.9</v>
      </c>
      <c r="O52" s="133">
        <v>0</v>
      </c>
      <c r="P52" s="133">
        <v>0.6</v>
      </c>
      <c r="Q52" s="133">
        <v>4.3099999999999996</v>
      </c>
    </row>
    <row r="53" spans="1:17" customFormat="1">
      <c r="A53" s="111" t="s">
        <v>475</v>
      </c>
      <c r="B53" s="133">
        <v>16.55</v>
      </c>
      <c r="C53" s="133">
        <v>25.58</v>
      </c>
      <c r="D53" s="133">
        <v>27.98</v>
      </c>
      <c r="E53" s="133">
        <v>7.14</v>
      </c>
      <c r="F53" s="133">
        <v>4.13</v>
      </c>
      <c r="G53" s="133">
        <v>27.94</v>
      </c>
      <c r="H53" s="133">
        <v>10.93</v>
      </c>
      <c r="I53" s="133">
        <v>4.32</v>
      </c>
      <c r="J53" s="133">
        <v>0.77</v>
      </c>
      <c r="K53" s="133">
        <v>319.07</v>
      </c>
      <c r="L53" s="133">
        <v>30.36</v>
      </c>
      <c r="M53" s="133">
        <v>73.61</v>
      </c>
      <c r="N53" s="133">
        <v>544.5</v>
      </c>
      <c r="O53" s="133">
        <v>0</v>
      </c>
      <c r="P53" s="133">
        <v>0.59</v>
      </c>
      <c r="Q53" s="133">
        <v>4.2300000000000004</v>
      </c>
    </row>
    <row r="54" spans="1:17" customFormat="1">
      <c r="A54" s="111" t="s">
        <v>476</v>
      </c>
      <c r="B54" s="133">
        <v>15.77</v>
      </c>
      <c r="C54" s="133">
        <v>24.45</v>
      </c>
      <c r="D54" s="133">
        <v>26.77</v>
      </c>
      <c r="E54" s="133">
        <v>7.52</v>
      </c>
      <c r="F54" s="133">
        <v>4.3899999999999997</v>
      </c>
      <c r="G54" s="133">
        <v>27.94</v>
      </c>
      <c r="H54" s="133">
        <v>10.93</v>
      </c>
      <c r="I54" s="133">
        <v>4.2300000000000004</v>
      </c>
      <c r="J54" s="133">
        <v>0.93</v>
      </c>
      <c r="K54" s="133">
        <v>307.14999999999998</v>
      </c>
      <c r="L54" s="133">
        <v>30.49</v>
      </c>
      <c r="M54" s="133">
        <v>73.930000000000007</v>
      </c>
      <c r="N54" s="133">
        <v>672.6</v>
      </c>
      <c r="O54" s="133">
        <v>0</v>
      </c>
      <c r="P54" s="133">
        <v>0.59</v>
      </c>
      <c r="Q54" s="133">
        <v>4.18</v>
      </c>
    </row>
    <row r="55" spans="1:17" customFormat="1">
      <c r="A55" s="111" t="s">
        <v>477</v>
      </c>
      <c r="B55" s="133">
        <v>14.87</v>
      </c>
      <c r="C55" s="133">
        <v>22.57</v>
      </c>
      <c r="D55" s="133">
        <v>25.07</v>
      </c>
      <c r="E55" s="133">
        <v>6.94</v>
      </c>
      <c r="F55" s="133">
        <v>5.51</v>
      </c>
      <c r="G55" s="133">
        <v>27.31</v>
      </c>
      <c r="H55" s="133">
        <v>10.89</v>
      </c>
      <c r="I55" s="133">
        <v>4.1900000000000004</v>
      </c>
      <c r="J55" s="133">
        <v>0.64</v>
      </c>
      <c r="K55" s="133">
        <v>321.49</v>
      </c>
      <c r="L55" s="133">
        <v>30.39</v>
      </c>
      <c r="M55" s="133">
        <v>73.98</v>
      </c>
      <c r="N55" s="133">
        <v>441</v>
      </c>
      <c r="O55" s="133">
        <v>0</v>
      </c>
      <c r="P55" s="133">
        <v>0.59</v>
      </c>
      <c r="Q55" s="133">
        <v>4.1100000000000003</v>
      </c>
    </row>
    <row r="56" spans="1:17" customFormat="1">
      <c r="A56" s="111" t="s">
        <v>478</v>
      </c>
      <c r="B56" s="133">
        <v>14.13</v>
      </c>
      <c r="C56" s="133">
        <v>20.88</v>
      </c>
      <c r="D56" s="133">
        <v>23.59</v>
      </c>
      <c r="E56" s="133">
        <v>6.18</v>
      </c>
      <c r="F56" s="133">
        <v>6.56</v>
      </c>
      <c r="G56" s="133">
        <v>25.13</v>
      </c>
      <c r="H56" s="133">
        <v>10.8</v>
      </c>
      <c r="I56" s="133">
        <v>4.16</v>
      </c>
      <c r="J56" s="133">
        <v>0.56000000000000005</v>
      </c>
      <c r="K56" s="133">
        <v>331.45</v>
      </c>
      <c r="L56" s="133">
        <v>30.65</v>
      </c>
      <c r="M56" s="133">
        <v>73.28</v>
      </c>
      <c r="N56" s="133">
        <v>441.8</v>
      </c>
      <c r="O56" s="133">
        <v>0</v>
      </c>
      <c r="P56" s="133">
        <v>0.56999999999999995</v>
      </c>
      <c r="Q56" s="133">
        <v>4.0599999999999996</v>
      </c>
    </row>
    <row r="57" spans="1:17" customFormat="1">
      <c r="A57" s="111" t="s">
        <v>479</v>
      </c>
      <c r="B57" s="133">
        <v>13.71</v>
      </c>
      <c r="C57" s="133">
        <v>19.86</v>
      </c>
      <c r="D57" s="133">
        <v>22.72</v>
      </c>
      <c r="E57" s="133">
        <v>6.06</v>
      </c>
      <c r="F57" s="133">
        <v>6.75</v>
      </c>
      <c r="G57" s="133">
        <v>25.13</v>
      </c>
      <c r="H57" s="133">
        <v>10.8</v>
      </c>
      <c r="I57" s="133">
        <v>4</v>
      </c>
      <c r="J57" s="133">
        <v>0.69</v>
      </c>
      <c r="K57" s="133">
        <v>325.2</v>
      </c>
      <c r="L57" s="133">
        <v>30.41</v>
      </c>
      <c r="M57" s="133">
        <v>73.59</v>
      </c>
      <c r="N57" s="133">
        <v>297.3</v>
      </c>
      <c r="O57" s="133">
        <v>0</v>
      </c>
      <c r="P57" s="133">
        <v>0.55000000000000004</v>
      </c>
      <c r="Q57" s="133">
        <v>3.98</v>
      </c>
    </row>
    <row r="58" spans="1:17" customFormat="1">
      <c r="A58" s="111" t="s">
        <v>480</v>
      </c>
      <c r="B58" s="133">
        <v>13.22</v>
      </c>
      <c r="C58" s="133">
        <v>19.73</v>
      </c>
      <c r="D58" s="133">
        <v>22.26</v>
      </c>
      <c r="E58" s="133">
        <v>5.47</v>
      </c>
      <c r="F58" s="133">
        <v>6.18</v>
      </c>
      <c r="G58" s="133">
        <v>25.13</v>
      </c>
      <c r="H58" s="133">
        <v>10.8</v>
      </c>
      <c r="I58" s="133">
        <v>3.91</v>
      </c>
      <c r="J58" s="133">
        <v>0.61</v>
      </c>
      <c r="K58" s="133">
        <v>310.94</v>
      </c>
      <c r="L58" s="133">
        <v>30</v>
      </c>
      <c r="M58" s="133">
        <v>76.680000000000007</v>
      </c>
      <c r="N58" s="133">
        <v>328.6</v>
      </c>
      <c r="O58" s="133">
        <v>0</v>
      </c>
      <c r="P58" s="133">
        <v>0.54</v>
      </c>
      <c r="Q58" s="133">
        <v>3.93</v>
      </c>
    </row>
    <row r="59" spans="1:17" customFormat="1">
      <c r="A59" s="111" t="s">
        <v>481</v>
      </c>
      <c r="B59" s="133">
        <v>12.8</v>
      </c>
      <c r="C59" s="133">
        <v>18.61</v>
      </c>
      <c r="D59" s="133">
        <v>21.34</v>
      </c>
      <c r="E59" s="133">
        <v>5.67</v>
      </c>
      <c r="F59" s="133">
        <v>7.06</v>
      </c>
      <c r="G59" s="133">
        <v>24.84</v>
      </c>
      <c r="H59" s="133">
        <v>10.52</v>
      </c>
      <c r="I59" s="133">
        <v>3.8</v>
      </c>
      <c r="J59" s="133">
        <v>0.83</v>
      </c>
      <c r="K59" s="133">
        <v>353.8</v>
      </c>
      <c r="L59" s="133">
        <v>30.44</v>
      </c>
      <c r="M59" s="133">
        <v>71.16</v>
      </c>
      <c r="N59" s="133">
        <v>452.1</v>
      </c>
      <c r="O59" s="133">
        <v>0</v>
      </c>
      <c r="P59" s="133">
        <v>0.51</v>
      </c>
      <c r="Q59" s="133">
        <v>3.9</v>
      </c>
    </row>
    <row r="60" spans="1:17" customFormat="1">
      <c r="A60" s="111" t="s">
        <v>482</v>
      </c>
      <c r="B60" s="133">
        <v>12.55</v>
      </c>
      <c r="C60" s="133">
        <v>17.87</v>
      </c>
      <c r="D60" s="133">
        <v>20.75</v>
      </c>
      <c r="E60" s="133">
        <v>5.62</v>
      </c>
      <c r="F60" s="133">
        <v>7.86</v>
      </c>
      <c r="G60" s="133">
        <v>23.82</v>
      </c>
      <c r="H60" s="133">
        <v>9.1999999999999993</v>
      </c>
      <c r="I60" s="133">
        <v>3.86</v>
      </c>
      <c r="J60" s="133">
        <v>1.1100000000000001</v>
      </c>
      <c r="K60" s="133">
        <v>25</v>
      </c>
      <c r="L60" s="133">
        <v>30.74</v>
      </c>
      <c r="M60" s="133">
        <v>71.44</v>
      </c>
      <c r="N60" s="133">
        <v>511.6</v>
      </c>
      <c r="O60" s="133">
        <v>0</v>
      </c>
      <c r="P60" s="133">
        <v>0.5</v>
      </c>
      <c r="Q60" s="133">
        <v>3.89</v>
      </c>
    </row>
    <row r="61" spans="1:17" customFormat="1">
      <c r="A61" s="111" t="s">
        <v>483</v>
      </c>
      <c r="B61" s="133">
        <v>12.55</v>
      </c>
      <c r="C61" s="133">
        <v>18.05</v>
      </c>
      <c r="D61" s="133">
        <v>20.85</v>
      </c>
      <c r="E61" s="133">
        <v>7</v>
      </c>
      <c r="F61" s="133">
        <v>7.2</v>
      </c>
      <c r="G61" s="133">
        <v>23.82</v>
      </c>
      <c r="H61" s="133">
        <v>9.1999999999999993</v>
      </c>
      <c r="I61" s="133">
        <v>3.63</v>
      </c>
      <c r="J61" s="133">
        <v>1.1599999999999999</v>
      </c>
      <c r="K61" s="133">
        <v>21.29</v>
      </c>
      <c r="L61" s="133">
        <v>31.02</v>
      </c>
      <c r="M61" s="133">
        <v>68.319999999999993</v>
      </c>
      <c r="N61" s="133">
        <v>676.1</v>
      </c>
      <c r="O61" s="133">
        <v>0</v>
      </c>
      <c r="P61" s="133">
        <v>0.5</v>
      </c>
      <c r="Q61" s="133">
        <v>3.89</v>
      </c>
    </row>
    <row r="62" spans="1:17" customFormat="1">
      <c r="A62" s="111" t="s">
        <v>484</v>
      </c>
      <c r="B62" s="133">
        <v>11.24</v>
      </c>
      <c r="C62" s="133">
        <v>18.38</v>
      </c>
      <c r="D62" s="133">
        <v>19.97</v>
      </c>
      <c r="E62" s="133">
        <v>7.93</v>
      </c>
      <c r="F62" s="133">
        <v>8.7100000000000009</v>
      </c>
      <c r="G62" s="133">
        <v>23.82</v>
      </c>
      <c r="H62" s="133">
        <v>9.1999999999999993</v>
      </c>
      <c r="I62" s="133">
        <v>3.55</v>
      </c>
      <c r="J62" s="133">
        <v>1.98</v>
      </c>
      <c r="K62" s="133">
        <v>21.63</v>
      </c>
      <c r="L62" s="133">
        <v>28.76</v>
      </c>
      <c r="M62" s="133">
        <v>78.510000000000005</v>
      </c>
      <c r="N62" s="133">
        <v>159.4</v>
      </c>
      <c r="O62" s="133">
        <v>2</v>
      </c>
      <c r="P62" s="133">
        <v>0.48</v>
      </c>
      <c r="Q62" s="133">
        <v>3.87</v>
      </c>
    </row>
    <row r="63" spans="1:17" customFormat="1">
      <c r="A63" s="111" t="s">
        <v>485</v>
      </c>
      <c r="B63" s="133">
        <v>9.0299999999999994</v>
      </c>
      <c r="C63" s="133">
        <v>19.489999999999998</v>
      </c>
      <c r="D63" s="133">
        <v>18.77</v>
      </c>
      <c r="E63" s="133">
        <v>5.38</v>
      </c>
      <c r="F63" s="133">
        <v>7.94</v>
      </c>
      <c r="G63" s="133">
        <v>24.14</v>
      </c>
      <c r="H63" s="133">
        <v>8.7100000000000009</v>
      </c>
      <c r="I63" s="133">
        <v>3.59</v>
      </c>
      <c r="J63" s="133">
        <v>0.72</v>
      </c>
      <c r="K63" s="133">
        <v>27.38</v>
      </c>
      <c r="L63" s="133">
        <v>25.94</v>
      </c>
      <c r="M63" s="133">
        <v>98.5</v>
      </c>
      <c r="N63" s="133">
        <v>382.9</v>
      </c>
      <c r="O63" s="133">
        <v>0</v>
      </c>
      <c r="P63" s="133">
        <v>0.46</v>
      </c>
      <c r="Q63" s="133">
        <v>3.73</v>
      </c>
    </row>
    <row r="64" spans="1:17" customFormat="1">
      <c r="A64" s="111" t="s">
        <v>486</v>
      </c>
      <c r="B64" s="133">
        <v>8.1</v>
      </c>
      <c r="C64" s="133">
        <v>19.97</v>
      </c>
      <c r="D64" s="133">
        <v>18.28</v>
      </c>
      <c r="E64" s="133">
        <v>8.6300000000000008</v>
      </c>
      <c r="F64" s="133">
        <v>8.99</v>
      </c>
      <c r="G64" s="133">
        <v>25.16</v>
      </c>
      <c r="H64" s="133">
        <v>7.5</v>
      </c>
      <c r="I64" s="133">
        <v>3.27</v>
      </c>
      <c r="J64" s="133">
        <v>0.71</v>
      </c>
      <c r="K64" s="133">
        <v>21.33</v>
      </c>
      <c r="L64" s="133">
        <v>27.81</v>
      </c>
      <c r="M64" s="133">
        <v>90.34</v>
      </c>
      <c r="N64" s="133">
        <v>430.7</v>
      </c>
      <c r="O64" s="133">
        <v>0</v>
      </c>
      <c r="P64" s="133">
        <v>0.5</v>
      </c>
      <c r="Q64" s="133">
        <v>3.68</v>
      </c>
    </row>
    <row r="65" spans="1:17" customFormat="1">
      <c r="A65" s="111" t="s">
        <v>487</v>
      </c>
      <c r="B65" s="133">
        <v>7.78</v>
      </c>
      <c r="C65" s="133">
        <v>19.8</v>
      </c>
      <c r="D65" s="133">
        <v>17.93</v>
      </c>
      <c r="E65" s="133">
        <v>11.94</v>
      </c>
      <c r="F65" s="133">
        <v>10.37</v>
      </c>
      <c r="G65" s="133">
        <v>25.16</v>
      </c>
      <c r="H65" s="133">
        <v>7.5</v>
      </c>
      <c r="I65" s="133">
        <v>2.87</v>
      </c>
      <c r="J65" s="133">
        <v>1.81</v>
      </c>
      <c r="K65" s="133">
        <v>19.73</v>
      </c>
      <c r="L65" s="133">
        <v>28.19</v>
      </c>
      <c r="M65" s="133">
        <v>77.83</v>
      </c>
      <c r="N65" s="133">
        <v>352</v>
      </c>
      <c r="O65" s="133">
        <v>0</v>
      </c>
      <c r="P65" s="133">
        <v>0.5</v>
      </c>
      <c r="Q65" s="133">
        <v>3.64</v>
      </c>
    </row>
    <row r="66" spans="1:17" customFormat="1">
      <c r="A66" s="111" t="s">
        <v>488</v>
      </c>
      <c r="B66" s="133">
        <v>6.08</v>
      </c>
      <c r="C66" s="133">
        <v>18.7</v>
      </c>
      <c r="D66" s="133">
        <v>15.99</v>
      </c>
      <c r="E66" s="133">
        <v>7.15</v>
      </c>
      <c r="F66" s="133">
        <v>11.78</v>
      </c>
      <c r="G66" s="133">
        <v>25.16</v>
      </c>
      <c r="H66" s="133">
        <v>7.5</v>
      </c>
      <c r="I66" s="133">
        <v>2.92</v>
      </c>
      <c r="J66" s="133">
        <v>2.16</v>
      </c>
      <c r="K66" s="133">
        <v>19.690000000000001</v>
      </c>
      <c r="L66" s="133">
        <v>28.91</v>
      </c>
      <c r="M66" s="133">
        <v>70.13</v>
      </c>
      <c r="N66" s="133">
        <v>564.5</v>
      </c>
      <c r="O66" s="133">
        <v>0</v>
      </c>
      <c r="P66" s="133">
        <v>0.46</v>
      </c>
      <c r="Q66" s="133">
        <v>3.57</v>
      </c>
    </row>
    <row r="67" spans="1:17" customFormat="1">
      <c r="A67" s="111" t="s">
        <v>489</v>
      </c>
      <c r="B67" s="133">
        <v>4.2699999999999996</v>
      </c>
      <c r="C67" s="133">
        <v>18.350000000000001</v>
      </c>
      <c r="D67" s="133">
        <v>14.36</v>
      </c>
      <c r="E67" s="133">
        <v>6.01</v>
      </c>
      <c r="F67" s="133">
        <v>11</v>
      </c>
      <c r="G67" s="133">
        <v>25.49</v>
      </c>
      <c r="H67" s="133">
        <v>7.65</v>
      </c>
      <c r="I67" s="133">
        <v>2.82</v>
      </c>
      <c r="J67" s="133">
        <v>1.79</v>
      </c>
      <c r="K67" s="133">
        <v>20</v>
      </c>
      <c r="L67" s="133">
        <v>29.1</v>
      </c>
      <c r="M67" s="133">
        <v>72.27</v>
      </c>
      <c r="N67" s="133">
        <v>369.9</v>
      </c>
      <c r="O67" s="133">
        <v>0</v>
      </c>
      <c r="P67" s="133">
        <v>0.43</v>
      </c>
      <c r="Q67" s="133">
        <v>3.49</v>
      </c>
    </row>
    <row r="68" spans="1:17" customFormat="1">
      <c r="A68" s="111" t="s">
        <v>490</v>
      </c>
      <c r="B68" s="133">
        <v>3.64</v>
      </c>
      <c r="C68" s="133">
        <v>18.350000000000001</v>
      </c>
      <c r="D68" s="133">
        <v>13.85</v>
      </c>
      <c r="E68" s="133">
        <v>5.16</v>
      </c>
      <c r="F68" s="133">
        <v>10.08</v>
      </c>
      <c r="G68" s="133">
        <v>26.58</v>
      </c>
      <c r="H68" s="133">
        <v>8.01</v>
      </c>
      <c r="I68" s="133">
        <v>2.58</v>
      </c>
      <c r="J68" s="133">
        <v>1.81</v>
      </c>
      <c r="K68" s="133">
        <v>19.87</v>
      </c>
      <c r="L68" s="133">
        <v>29.01</v>
      </c>
      <c r="M68" s="133">
        <v>68.400000000000006</v>
      </c>
      <c r="N68" s="133">
        <v>314.5</v>
      </c>
      <c r="O68" s="133">
        <v>0</v>
      </c>
      <c r="P68" s="133">
        <v>0.42</v>
      </c>
      <c r="Q68" s="133">
        <v>3.41</v>
      </c>
    </row>
    <row r="69" spans="1:17" customFormat="1">
      <c r="A69" s="111" t="s">
        <v>491</v>
      </c>
      <c r="B69" s="133">
        <v>3.41</v>
      </c>
      <c r="C69" s="133">
        <v>19.27</v>
      </c>
      <c r="D69" s="133">
        <v>14.15</v>
      </c>
      <c r="E69" s="133">
        <v>4.38</v>
      </c>
      <c r="F69" s="133">
        <v>8.9</v>
      </c>
      <c r="G69" s="133">
        <v>26.58</v>
      </c>
      <c r="H69" s="133">
        <v>8.01</v>
      </c>
      <c r="I69" s="133">
        <v>2.27</v>
      </c>
      <c r="J69" s="133">
        <v>1.76</v>
      </c>
      <c r="K69" s="133">
        <v>22.57</v>
      </c>
      <c r="L69" s="133">
        <v>28.74</v>
      </c>
      <c r="M69" s="133">
        <v>63.19</v>
      </c>
      <c r="N69" s="133">
        <v>332</v>
      </c>
      <c r="O69" s="133">
        <v>0</v>
      </c>
      <c r="P69" s="133">
        <v>0.42</v>
      </c>
      <c r="Q69" s="133">
        <v>3.38</v>
      </c>
    </row>
    <row r="70" spans="1:17" customFormat="1">
      <c r="A70" s="111" t="s">
        <v>492</v>
      </c>
      <c r="B70" s="133">
        <v>4.24</v>
      </c>
      <c r="C70" s="133">
        <v>18.95</v>
      </c>
      <c r="D70" s="133">
        <v>14.65</v>
      </c>
      <c r="E70" s="133">
        <v>5.88</v>
      </c>
      <c r="F70" s="133">
        <v>8.9700000000000006</v>
      </c>
      <c r="G70" s="133">
        <v>26.58</v>
      </c>
      <c r="H70" s="133">
        <v>8.01</v>
      </c>
      <c r="I70" s="133">
        <v>2.2599999999999998</v>
      </c>
      <c r="J70" s="133">
        <v>1.3</v>
      </c>
      <c r="K70" s="133">
        <v>21.59</v>
      </c>
      <c r="L70" s="133">
        <v>28.66</v>
      </c>
      <c r="M70" s="133">
        <v>61.64</v>
      </c>
      <c r="N70" s="133">
        <v>209</v>
      </c>
      <c r="O70" s="133">
        <v>0</v>
      </c>
      <c r="P70" s="133">
        <v>0.4</v>
      </c>
      <c r="Q70" s="133">
        <v>3.41</v>
      </c>
    </row>
    <row r="71" spans="1:17" customFormat="1">
      <c r="A71" s="111" t="s">
        <v>493</v>
      </c>
      <c r="B71" s="133">
        <v>4.8</v>
      </c>
      <c r="C71" s="133">
        <v>19.739999999999998</v>
      </c>
      <c r="D71" s="133">
        <v>15.51</v>
      </c>
      <c r="E71" s="133">
        <v>7.87</v>
      </c>
      <c r="F71" s="133">
        <v>7.16</v>
      </c>
      <c r="G71" s="133">
        <v>25.57</v>
      </c>
      <c r="H71" s="133">
        <v>7.29</v>
      </c>
      <c r="I71" s="133">
        <v>2.31</v>
      </c>
      <c r="J71" s="133">
        <v>0.82</v>
      </c>
      <c r="K71" s="133">
        <v>22.13</v>
      </c>
      <c r="L71" s="133">
        <v>28.51</v>
      </c>
      <c r="M71" s="133">
        <v>62.83</v>
      </c>
      <c r="N71" s="133">
        <v>133</v>
      </c>
      <c r="O71" s="133">
        <v>0</v>
      </c>
      <c r="P71" s="133">
        <v>0.41</v>
      </c>
      <c r="Q71" s="133">
        <v>3.43</v>
      </c>
    </row>
    <row r="72" spans="1:17" customFormat="1">
      <c r="A72" s="111" t="s">
        <v>494</v>
      </c>
      <c r="B72" s="133">
        <v>5.0599999999999996</v>
      </c>
      <c r="C72" s="133">
        <v>23.06</v>
      </c>
      <c r="D72" s="133">
        <v>17.45</v>
      </c>
      <c r="E72" s="133">
        <v>6.66</v>
      </c>
      <c r="F72" s="133">
        <v>4.6100000000000003</v>
      </c>
      <c r="G72" s="133">
        <v>22.01</v>
      </c>
      <c r="H72" s="133">
        <v>5.61</v>
      </c>
      <c r="I72" s="133">
        <v>2.36</v>
      </c>
      <c r="J72" s="133">
        <v>0.56000000000000005</v>
      </c>
      <c r="K72" s="133">
        <v>21.45</v>
      </c>
      <c r="L72" s="133">
        <v>28.53</v>
      </c>
      <c r="M72" s="133">
        <v>62.73</v>
      </c>
      <c r="N72" s="133">
        <v>113</v>
      </c>
      <c r="O72" s="133">
        <v>0</v>
      </c>
      <c r="P72" s="133">
        <v>0.43</v>
      </c>
      <c r="Q72" s="133">
        <v>3.5</v>
      </c>
    </row>
    <row r="73" spans="1:17" customFormat="1">
      <c r="A73" s="111" t="s">
        <v>495</v>
      </c>
      <c r="B73" s="133">
        <v>5.69</v>
      </c>
      <c r="C73" s="133">
        <v>24.52</v>
      </c>
      <c r="D73" s="133">
        <v>18.72</v>
      </c>
      <c r="E73" s="133">
        <v>7.07</v>
      </c>
      <c r="F73" s="133">
        <v>4.55</v>
      </c>
      <c r="G73" s="133">
        <v>22.01</v>
      </c>
      <c r="H73" s="133">
        <v>5.61</v>
      </c>
      <c r="I73" s="133">
        <v>2.4500000000000002</v>
      </c>
      <c r="J73" s="133">
        <v>0.59</v>
      </c>
      <c r="K73" s="133">
        <v>23.44</v>
      </c>
      <c r="L73" s="133">
        <v>28.67</v>
      </c>
      <c r="M73" s="133">
        <v>60.27</v>
      </c>
      <c r="N73" s="133">
        <v>100.6</v>
      </c>
      <c r="O73" s="133">
        <v>0</v>
      </c>
      <c r="P73" s="133">
        <v>0.46</v>
      </c>
      <c r="Q73" s="133">
        <v>3.6</v>
      </c>
    </row>
    <row r="74" spans="1:17" customFormat="1">
      <c r="A74" s="111" t="s">
        <v>496</v>
      </c>
      <c r="B74" s="133">
        <v>6.52</v>
      </c>
      <c r="C74" s="133">
        <v>24.94</v>
      </c>
      <c r="D74" s="133">
        <v>19.61</v>
      </c>
      <c r="E74" s="133">
        <v>7.16</v>
      </c>
      <c r="F74" s="133">
        <v>4.37</v>
      </c>
      <c r="G74" s="133">
        <v>22.01</v>
      </c>
      <c r="H74" s="133">
        <v>5.61</v>
      </c>
      <c r="I74" s="133">
        <v>2.63</v>
      </c>
      <c r="J74" s="133">
        <v>0.33</v>
      </c>
      <c r="K74" s="133">
        <v>25.27</v>
      </c>
      <c r="L74" s="133">
        <v>28.59</v>
      </c>
      <c r="M74" s="133">
        <v>62.35</v>
      </c>
      <c r="N74" s="133">
        <v>70.8</v>
      </c>
      <c r="O74" s="133">
        <v>0</v>
      </c>
      <c r="P74" s="133">
        <v>0.49</v>
      </c>
      <c r="Q74" s="133">
        <v>3.68</v>
      </c>
    </row>
    <row r="75" spans="1:17" customFormat="1">
      <c r="A75" s="111" t="s">
        <v>497</v>
      </c>
      <c r="B75" s="133">
        <v>8.9499999999999993</v>
      </c>
      <c r="C75" s="133">
        <v>26.25</v>
      </c>
      <c r="D75" s="133">
        <v>22.24</v>
      </c>
      <c r="E75" s="133">
        <v>7.37</v>
      </c>
      <c r="F75" s="133">
        <v>3.65</v>
      </c>
      <c r="G75" s="133">
        <v>24.78</v>
      </c>
      <c r="H75" s="133">
        <v>5.99</v>
      </c>
      <c r="I75" s="133">
        <v>2.75</v>
      </c>
      <c r="J75" s="133">
        <v>0.27</v>
      </c>
      <c r="K75" s="133">
        <v>28.74</v>
      </c>
      <c r="L75" s="133">
        <v>28.51</v>
      </c>
      <c r="M75" s="133">
        <v>64.819999999999993</v>
      </c>
      <c r="N75" s="133">
        <v>47.2</v>
      </c>
      <c r="O75" s="133">
        <v>0</v>
      </c>
      <c r="P75" s="133">
        <v>0.52</v>
      </c>
      <c r="Q75" s="133">
        <v>3.79</v>
      </c>
    </row>
    <row r="76" spans="1:17" customFormat="1">
      <c r="A76" s="111" t="s">
        <v>498</v>
      </c>
      <c r="B76" s="133">
        <v>10.029999999999999</v>
      </c>
      <c r="C76" s="133">
        <v>26.87</v>
      </c>
      <c r="D76" s="133">
        <v>23.44</v>
      </c>
      <c r="E76" s="133">
        <v>6.91</v>
      </c>
      <c r="F76" s="133">
        <v>3.53</v>
      </c>
      <c r="G76" s="133">
        <v>33.880000000000003</v>
      </c>
      <c r="H76" s="133">
        <v>6.89</v>
      </c>
      <c r="I76" s="133">
        <v>2.81</v>
      </c>
      <c r="J76" s="133">
        <v>0.22</v>
      </c>
      <c r="K76" s="133">
        <v>18.95</v>
      </c>
      <c r="L76" s="133">
        <v>28.29</v>
      </c>
      <c r="M76" s="133">
        <v>67.040000000000006</v>
      </c>
      <c r="N76" s="133">
        <v>37.799999999999997</v>
      </c>
      <c r="O76" s="133">
        <v>0</v>
      </c>
      <c r="P76" s="133">
        <v>0.53</v>
      </c>
      <c r="Q76" s="133">
        <v>3.91</v>
      </c>
    </row>
    <row r="77" spans="1:17" customFormat="1">
      <c r="A77" s="111" t="s">
        <v>499</v>
      </c>
      <c r="B77" s="133">
        <v>10.49</v>
      </c>
      <c r="C77" s="133">
        <v>27.2</v>
      </c>
      <c r="D77" s="133">
        <v>23.98</v>
      </c>
      <c r="E77" s="133">
        <v>6.16</v>
      </c>
      <c r="F77" s="133">
        <v>3.37</v>
      </c>
      <c r="G77" s="133">
        <v>33.880000000000003</v>
      </c>
      <c r="H77" s="133">
        <v>6.89</v>
      </c>
      <c r="I77" s="133">
        <v>2.97</v>
      </c>
      <c r="J77" s="133">
        <v>0.24</v>
      </c>
      <c r="K77" s="133">
        <v>28.33</v>
      </c>
      <c r="L77" s="133">
        <v>28.26</v>
      </c>
      <c r="M77" s="133">
        <v>67.16</v>
      </c>
      <c r="N77" s="133">
        <v>24.3</v>
      </c>
      <c r="O77" s="133">
        <v>0</v>
      </c>
      <c r="P77" s="133">
        <v>0.54</v>
      </c>
      <c r="Q77" s="133">
        <v>4</v>
      </c>
    </row>
    <row r="78" spans="1:17" customFormat="1">
      <c r="A78" s="111" t="s">
        <v>500</v>
      </c>
      <c r="B78" s="133">
        <v>11.33</v>
      </c>
      <c r="C78" s="133">
        <v>27.55</v>
      </c>
      <c r="D78" s="133">
        <v>24.83</v>
      </c>
      <c r="E78" s="133">
        <v>6.21</v>
      </c>
      <c r="F78" s="133">
        <v>3.14</v>
      </c>
      <c r="G78" s="133">
        <v>33.880000000000003</v>
      </c>
      <c r="H78" s="133">
        <v>6.89</v>
      </c>
      <c r="I78" s="133">
        <v>3.04</v>
      </c>
      <c r="J78" s="133">
        <v>7.0000000000000007E-2</v>
      </c>
      <c r="K78" s="133">
        <v>79.17</v>
      </c>
      <c r="L78" s="133">
        <v>28.17</v>
      </c>
      <c r="M78" s="133">
        <v>67.45</v>
      </c>
      <c r="N78" s="133">
        <v>10.9</v>
      </c>
      <c r="O78" s="133">
        <v>0</v>
      </c>
      <c r="P78" s="133">
        <v>0.56999999999999995</v>
      </c>
      <c r="Q78" s="133">
        <v>4.07</v>
      </c>
    </row>
    <row r="79" spans="1:17" customFormat="1">
      <c r="A79" s="111" t="s">
        <v>501</v>
      </c>
      <c r="B79" s="133">
        <v>12.05</v>
      </c>
      <c r="C79" s="133">
        <v>28.23</v>
      </c>
      <c r="D79" s="133">
        <v>25.76</v>
      </c>
      <c r="E79" s="133">
        <v>6.2</v>
      </c>
      <c r="F79" s="133">
        <v>2.93</v>
      </c>
      <c r="G79" s="133">
        <v>36.21</v>
      </c>
      <c r="H79" s="133">
        <v>8</v>
      </c>
      <c r="I79" s="133">
        <v>3.16</v>
      </c>
      <c r="J79" s="133">
        <v>0.19</v>
      </c>
      <c r="K79" s="133">
        <v>64.58</v>
      </c>
      <c r="L79" s="133">
        <v>27.96</v>
      </c>
      <c r="M79" s="133">
        <v>68.47</v>
      </c>
      <c r="N79" s="133">
        <v>1</v>
      </c>
      <c r="O79" s="133">
        <v>0</v>
      </c>
      <c r="P79" s="133">
        <v>0.57999999999999996</v>
      </c>
      <c r="Q79" s="133">
        <v>4.1500000000000004</v>
      </c>
    </row>
    <row r="80" spans="1:17" customFormat="1">
      <c r="A80" s="111" t="s">
        <v>502</v>
      </c>
      <c r="B80" s="133">
        <v>13.49</v>
      </c>
      <c r="C80" s="133">
        <v>28.74</v>
      </c>
      <c r="D80" s="133">
        <v>27.19</v>
      </c>
      <c r="E80" s="133">
        <v>6.12</v>
      </c>
      <c r="F80" s="133">
        <v>2.81</v>
      </c>
      <c r="G80" s="133">
        <v>44.35</v>
      </c>
      <c r="H80" s="133">
        <v>10.62</v>
      </c>
      <c r="I80" s="133">
        <v>3.2</v>
      </c>
      <c r="J80" s="133">
        <v>0.25</v>
      </c>
      <c r="K80" s="133">
        <v>56.74</v>
      </c>
      <c r="L80" s="133">
        <v>27.83</v>
      </c>
      <c r="M80" s="133">
        <v>71.39</v>
      </c>
      <c r="N80" s="133">
        <v>0</v>
      </c>
      <c r="O80" s="133">
        <v>0</v>
      </c>
      <c r="P80" s="133">
        <v>0.6</v>
      </c>
      <c r="Q80" s="133">
        <v>4.22</v>
      </c>
    </row>
    <row r="81" spans="1:17" customFormat="1">
      <c r="A81" s="111" t="s">
        <v>503</v>
      </c>
      <c r="B81" s="133">
        <v>14.88</v>
      </c>
      <c r="C81" s="133">
        <v>29.05</v>
      </c>
      <c r="D81" s="133">
        <v>28.46</v>
      </c>
      <c r="E81" s="133">
        <v>6.84</v>
      </c>
      <c r="F81" s="133">
        <v>2.71</v>
      </c>
      <c r="G81" s="133">
        <v>44.35</v>
      </c>
      <c r="H81" s="133">
        <v>10.62</v>
      </c>
      <c r="I81" s="133">
        <v>3.29</v>
      </c>
      <c r="J81" s="133">
        <v>0.03</v>
      </c>
      <c r="K81" s="133">
        <v>249.08</v>
      </c>
      <c r="L81" s="133">
        <v>27.32</v>
      </c>
      <c r="M81" s="133">
        <v>76.81</v>
      </c>
      <c r="N81" s="133">
        <v>0</v>
      </c>
      <c r="O81" s="133">
        <v>0</v>
      </c>
      <c r="P81" s="133">
        <v>0.61</v>
      </c>
      <c r="Q81" s="133">
        <v>4.3</v>
      </c>
    </row>
    <row r="82" spans="1:17" customFormat="1">
      <c r="A82" s="111" t="s">
        <v>504</v>
      </c>
      <c r="B82" s="133">
        <v>16.16</v>
      </c>
      <c r="C82" s="133">
        <v>29.57</v>
      </c>
      <c r="D82" s="133">
        <v>29.76</v>
      </c>
      <c r="E82" s="133">
        <v>7.3</v>
      </c>
      <c r="F82" s="133">
        <v>2.61</v>
      </c>
      <c r="G82" s="133">
        <v>44.35</v>
      </c>
      <c r="H82" s="133">
        <v>10.62</v>
      </c>
      <c r="I82" s="133">
        <v>3.43</v>
      </c>
      <c r="J82" s="133">
        <v>0.25</v>
      </c>
      <c r="K82" s="133">
        <v>170.48</v>
      </c>
      <c r="L82" s="133">
        <v>26.86</v>
      </c>
      <c r="M82" s="133">
        <v>81.11</v>
      </c>
      <c r="N82" s="133">
        <v>0</v>
      </c>
      <c r="O82" s="133">
        <v>0</v>
      </c>
      <c r="P82" s="133">
        <v>0.64</v>
      </c>
      <c r="Q82" s="133">
        <v>4.37</v>
      </c>
    </row>
    <row r="83" spans="1:17" customFormat="1">
      <c r="A83" s="111" t="s">
        <v>505</v>
      </c>
      <c r="B83" s="133">
        <v>16.989999999999998</v>
      </c>
      <c r="C83" s="133">
        <v>29.88</v>
      </c>
      <c r="D83" s="133">
        <v>30.59</v>
      </c>
      <c r="E83" s="133">
        <v>7.48</v>
      </c>
      <c r="F83" s="133">
        <v>2.35</v>
      </c>
      <c r="G83" s="133">
        <v>46.69</v>
      </c>
      <c r="H83" s="133">
        <v>11.21</v>
      </c>
      <c r="I83" s="133">
        <v>3.55</v>
      </c>
      <c r="J83" s="133">
        <v>0.19</v>
      </c>
      <c r="K83" s="133">
        <v>202.08</v>
      </c>
      <c r="L83" s="133">
        <v>26.6</v>
      </c>
      <c r="M83" s="133">
        <v>83.66</v>
      </c>
      <c r="N83" s="133">
        <v>0</v>
      </c>
      <c r="O83" s="133">
        <v>0</v>
      </c>
      <c r="P83" s="133">
        <v>0.67</v>
      </c>
      <c r="Q83" s="133">
        <v>4.41</v>
      </c>
    </row>
    <row r="84" spans="1:17" customFormat="1">
      <c r="A84" s="111" t="s">
        <v>506</v>
      </c>
      <c r="B84" s="133">
        <v>17.39</v>
      </c>
      <c r="C84" s="133">
        <v>29.8</v>
      </c>
      <c r="D84" s="133">
        <v>30.86</v>
      </c>
      <c r="E84" s="133">
        <v>7.69</v>
      </c>
      <c r="F84" s="133">
        <v>2.2000000000000002</v>
      </c>
      <c r="G84" s="133">
        <v>54.88</v>
      </c>
      <c r="H84" s="133">
        <v>14</v>
      </c>
      <c r="I84" s="133">
        <v>3.77</v>
      </c>
      <c r="J84" s="133">
        <v>0.19</v>
      </c>
      <c r="K84" s="133">
        <v>212.38</v>
      </c>
      <c r="L84" s="133">
        <v>26.36</v>
      </c>
      <c r="M84" s="133">
        <v>83.91</v>
      </c>
      <c r="N84" s="133">
        <v>0</v>
      </c>
      <c r="O84" s="133">
        <v>0</v>
      </c>
      <c r="P84" s="133">
        <v>0.69</v>
      </c>
      <c r="Q84" s="133">
        <v>4.45</v>
      </c>
    </row>
    <row r="85" spans="1:17" customFormat="1">
      <c r="A85" s="111" t="s">
        <v>507</v>
      </c>
      <c r="B85" s="133">
        <v>17.899999999999999</v>
      </c>
      <c r="C85" s="133">
        <v>29.58</v>
      </c>
      <c r="D85" s="133">
        <v>31.16</v>
      </c>
      <c r="E85" s="133">
        <v>7.73</v>
      </c>
      <c r="F85" s="133">
        <v>2.4500000000000002</v>
      </c>
      <c r="G85" s="133">
        <v>54.88</v>
      </c>
      <c r="H85" s="133">
        <v>14</v>
      </c>
      <c r="I85" s="133">
        <v>4.0599999999999996</v>
      </c>
      <c r="J85" s="133">
        <v>0.11</v>
      </c>
      <c r="K85" s="133">
        <v>195.66</v>
      </c>
      <c r="L85" s="133">
        <v>26.16</v>
      </c>
      <c r="M85" s="133">
        <v>83.57</v>
      </c>
      <c r="N85" s="133">
        <v>0</v>
      </c>
      <c r="O85" s="133">
        <v>0</v>
      </c>
      <c r="P85" s="133">
        <v>0.69</v>
      </c>
      <c r="Q85" s="133">
        <v>4.4400000000000004</v>
      </c>
    </row>
    <row r="86" spans="1:17" customFormat="1">
      <c r="A86" s="111" t="s">
        <v>508</v>
      </c>
      <c r="B86" s="133">
        <v>17.96</v>
      </c>
      <c r="C86" s="133">
        <v>29.26</v>
      </c>
      <c r="D86" s="133">
        <v>31.04</v>
      </c>
      <c r="E86" s="133">
        <v>7.48</v>
      </c>
      <c r="F86" s="133">
        <v>2.4500000000000002</v>
      </c>
      <c r="G86" s="133">
        <v>54.88</v>
      </c>
      <c r="H86" s="133">
        <v>14</v>
      </c>
      <c r="I86" s="133">
        <v>4.16</v>
      </c>
      <c r="J86" s="133">
        <v>0.17</v>
      </c>
      <c r="K86" s="133">
        <v>182.62</v>
      </c>
      <c r="L86" s="133">
        <v>26.15</v>
      </c>
      <c r="M86" s="133">
        <v>84.81</v>
      </c>
      <c r="N86" s="133">
        <v>0</v>
      </c>
      <c r="O86" s="133">
        <v>0</v>
      </c>
      <c r="P86" s="133">
        <v>0.7</v>
      </c>
      <c r="Q86" s="133">
        <v>4.4400000000000004</v>
      </c>
    </row>
    <row r="87" spans="1:17" customFormat="1">
      <c r="A87" s="111" t="s">
        <v>509</v>
      </c>
      <c r="B87" s="133">
        <v>18.04</v>
      </c>
      <c r="C87" s="133">
        <v>29.28</v>
      </c>
      <c r="D87" s="133">
        <v>31.12</v>
      </c>
      <c r="E87" s="133">
        <v>7.22</v>
      </c>
      <c r="F87" s="133">
        <v>2.46</v>
      </c>
      <c r="G87" s="133">
        <v>54.89</v>
      </c>
      <c r="H87" s="133">
        <v>13.01</v>
      </c>
      <c r="I87" s="133">
        <v>4.21</v>
      </c>
      <c r="J87" s="133">
        <v>0.18</v>
      </c>
      <c r="K87" s="133">
        <v>186.77</v>
      </c>
      <c r="L87" s="133">
        <v>26.34</v>
      </c>
      <c r="M87" s="133">
        <v>84.23</v>
      </c>
      <c r="N87" s="133">
        <v>0</v>
      </c>
      <c r="O87" s="133">
        <v>0</v>
      </c>
      <c r="P87" s="133">
        <v>0.72</v>
      </c>
      <c r="Q87" s="133">
        <v>4.42</v>
      </c>
    </row>
    <row r="88" spans="1:17" customFormat="1">
      <c r="A88" s="111" t="s">
        <v>510</v>
      </c>
      <c r="B88" s="133">
        <v>18.739999999999998</v>
      </c>
      <c r="C88" s="133">
        <v>29.66</v>
      </c>
      <c r="D88" s="133">
        <v>31.88</v>
      </c>
      <c r="E88" s="133">
        <v>7.6</v>
      </c>
      <c r="F88" s="133">
        <v>2.37</v>
      </c>
      <c r="G88" s="133">
        <v>54.92</v>
      </c>
      <c r="H88" s="133">
        <v>10.69</v>
      </c>
      <c r="I88" s="133">
        <v>4.45</v>
      </c>
      <c r="J88" s="133">
        <v>0.16</v>
      </c>
      <c r="K88" s="133">
        <v>195.15</v>
      </c>
      <c r="L88" s="133">
        <v>26.45</v>
      </c>
      <c r="M88" s="133">
        <v>82.6</v>
      </c>
      <c r="N88" s="133">
        <v>0</v>
      </c>
      <c r="O88" s="133">
        <v>0</v>
      </c>
      <c r="P88" s="133">
        <v>0.74</v>
      </c>
      <c r="Q88" s="133">
        <v>4.4000000000000004</v>
      </c>
    </row>
    <row r="89" spans="1:17" customFormat="1">
      <c r="A89" s="111" t="s">
        <v>511</v>
      </c>
      <c r="B89" s="133">
        <v>19.7</v>
      </c>
      <c r="C89" s="133">
        <v>29.72</v>
      </c>
      <c r="D89" s="133">
        <v>32.67</v>
      </c>
      <c r="E89" s="133">
        <v>7.46</v>
      </c>
      <c r="F89" s="133">
        <v>2.41</v>
      </c>
      <c r="G89" s="133">
        <v>54.92</v>
      </c>
      <c r="H89" s="133">
        <v>10.69</v>
      </c>
      <c r="I89" s="133">
        <v>4.75</v>
      </c>
      <c r="J89" s="133">
        <v>0.18</v>
      </c>
      <c r="K89" s="133">
        <v>192.19</v>
      </c>
      <c r="L89" s="133">
        <v>26.36</v>
      </c>
      <c r="M89" s="133">
        <v>83.48</v>
      </c>
      <c r="N89" s="133">
        <v>0</v>
      </c>
      <c r="O89" s="133">
        <v>0</v>
      </c>
      <c r="P89" s="133">
        <v>0.78</v>
      </c>
      <c r="Q89" s="133">
        <v>4.46</v>
      </c>
    </row>
    <row r="90" spans="1:17" customFormat="1">
      <c r="A90" s="111" t="s">
        <v>512</v>
      </c>
      <c r="B90" s="133">
        <v>20.239999999999998</v>
      </c>
      <c r="C90" s="133">
        <v>29.83</v>
      </c>
      <c r="D90" s="133">
        <v>33.17</v>
      </c>
      <c r="E90" s="133">
        <v>7.8</v>
      </c>
      <c r="F90" s="133">
        <v>2.4700000000000002</v>
      </c>
      <c r="G90" s="133">
        <v>54.92</v>
      </c>
      <c r="H90" s="133">
        <v>10.69</v>
      </c>
      <c r="I90" s="133">
        <v>5.04</v>
      </c>
      <c r="J90" s="133">
        <v>0.16</v>
      </c>
      <c r="K90" s="133">
        <v>183.67</v>
      </c>
      <c r="L90" s="133">
        <v>26.7</v>
      </c>
      <c r="M90" s="133">
        <v>81.64</v>
      </c>
      <c r="N90" s="133">
        <v>0</v>
      </c>
      <c r="O90" s="133">
        <v>0</v>
      </c>
      <c r="P90" s="133">
        <v>0.8</v>
      </c>
      <c r="Q90" s="133">
        <v>4.47</v>
      </c>
    </row>
    <row r="91" spans="1:17" customFormat="1">
      <c r="A91" s="111" t="s">
        <v>513</v>
      </c>
      <c r="B91" s="133">
        <v>20.98</v>
      </c>
      <c r="C91" s="133">
        <v>30.03</v>
      </c>
      <c r="D91" s="133">
        <v>33.86</v>
      </c>
      <c r="E91" s="133">
        <v>7.63</v>
      </c>
      <c r="F91" s="133">
        <v>2.37</v>
      </c>
      <c r="G91" s="133">
        <v>55.95</v>
      </c>
      <c r="H91" s="133">
        <v>12.28</v>
      </c>
      <c r="I91" s="133">
        <v>5.3</v>
      </c>
      <c r="J91" s="133">
        <v>0.21</v>
      </c>
      <c r="K91" s="133">
        <v>176.88</v>
      </c>
      <c r="L91" s="133">
        <v>26.44</v>
      </c>
      <c r="M91" s="133">
        <v>84.94</v>
      </c>
      <c r="N91" s="133">
        <v>0</v>
      </c>
      <c r="O91" s="133">
        <v>0</v>
      </c>
      <c r="P91" s="133">
        <v>0.82</v>
      </c>
      <c r="Q91" s="133">
        <v>4.54</v>
      </c>
    </row>
    <row r="92" spans="1:17" customFormat="1">
      <c r="A92" s="111" t="s">
        <v>514</v>
      </c>
      <c r="B92" s="133">
        <v>21.27</v>
      </c>
      <c r="C92" s="133">
        <v>29.96</v>
      </c>
      <c r="D92" s="133">
        <v>34.06</v>
      </c>
      <c r="E92" s="133">
        <v>8</v>
      </c>
      <c r="F92" s="133">
        <v>2.52</v>
      </c>
      <c r="G92" s="133">
        <v>59.33</v>
      </c>
      <c r="H92" s="133">
        <v>16.010000000000002</v>
      </c>
      <c r="I92" s="133">
        <v>5.49</v>
      </c>
      <c r="J92" s="133">
        <v>0.2</v>
      </c>
      <c r="K92" s="133">
        <v>186.75</v>
      </c>
      <c r="L92" s="133">
        <v>26.32</v>
      </c>
      <c r="M92" s="133">
        <v>83.55</v>
      </c>
      <c r="N92" s="133">
        <v>0</v>
      </c>
      <c r="O92" s="133">
        <v>0</v>
      </c>
      <c r="P92" s="133">
        <v>0.83</v>
      </c>
      <c r="Q92" s="133">
        <v>4.55</v>
      </c>
    </row>
    <row r="93" spans="1:17" customFormat="1">
      <c r="A93" s="111" t="s">
        <v>515</v>
      </c>
      <c r="B93" s="133">
        <v>21.77</v>
      </c>
      <c r="C93" s="133">
        <v>28.19</v>
      </c>
      <c r="D93" s="133">
        <v>33.54</v>
      </c>
      <c r="E93" s="133">
        <v>7.71</v>
      </c>
      <c r="F93" s="133">
        <v>2.86</v>
      </c>
      <c r="G93" s="133">
        <v>59.33</v>
      </c>
      <c r="H93" s="133">
        <v>16.010000000000002</v>
      </c>
      <c r="I93" s="133">
        <v>5.66</v>
      </c>
      <c r="J93" s="133">
        <v>0.16</v>
      </c>
      <c r="K93" s="133">
        <v>219.7</v>
      </c>
      <c r="L93" s="133">
        <v>26.42</v>
      </c>
      <c r="M93" s="133">
        <v>78.33</v>
      </c>
      <c r="N93" s="133">
        <v>0</v>
      </c>
      <c r="O93" s="133">
        <v>0</v>
      </c>
      <c r="P93" s="133">
        <v>0.83</v>
      </c>
      <c r="Q93" s="133">
        <v>4.55</v>
      </c>
    </row>
    <row r="94" spans="1:17" customFormat="1">
      <c r="A94" s="111" t="s">
        <v>516</v>
      </c>
      <c r="B94" s="133">
        <v>22.29</v>
      </c>
      <c r="C94" s="133">
        <v>26.56</v>
      </c>
      <c r="D94" s="133">
        <v>33.11</v>
      </c>
      <c r="E94" s="133">
        <v>8.5</v>
      </c>
      <c r="F94" s="133">
        <v>3.14</v>
      </c>
      <c r="G94" s="133">
        <v>59.33</v>
      </c>
      <c r="H94" s="133">
        <v>16.010000000000002</v>
      </c>
      <c r="I94" s="133">
        <v>5.78</v>
      </c>
      <c r="J94" s="133">
        <v>0.1</v>
      </c>
      <c r="K94" s="133">
        <v>224.48</v>
      </c>
      <c r="L94" s="133">
        <v>26.59</v>
      </c>
      <c r="M94" s="133">
        <v>74.22</v>
      </c>
      <c r="N94" s="133">
        <v>0</v>
      </c>
      <c r="O94" s="133">
        <v>0</v>
      </c>
      <c r="P94" s="133">
        <v>0.83</v>
      </c>
      <c r="Q94" s="133">
        <v>4.55</v>
      </c>
    </row>
    <row r="95" spans="1:17" customFormat="1">
      <c r="A95" s="111" t="s">
        <v>517</v>
      </c>
      <c r="B95" s="133">
        <v>22.46</v>
      </c>
      <c r="C95" s="133">
        <v>26.3</v>
      </c>
      <c r="D95" s="133">
        <v>33.1</v>
      </c>
      <c r="E95" s="133">
        <v>8.52</v>
      </c>
      <c r="F95" s="133">
        <v>3.39</v>
      </c>
      <c r="G95" s="133">
        <v>59.52</v>
      </c>
      <c r="H95" s="133">
        <v>16.05</v>
      </c>
      <c r="I95" s="133">
        <v>5.87</v>
      </c>
      <c r="J95" s="133">
        <v>7.0000000000000007E-2</v>
      </c>
      <c r="K95" s="133">
        <v>221.17</v>
      </c>
      <c r="L95" s="133">
        <v>26.7</v>
      </c>
      <c r="M95" s="133">
        <v>72.930000000000007</v>
      </c>
      <c r="N95" s="133">
        <v>0</v>
      </c>
      <c r="O95" s="133">
        <v>0</v>
      </c>
      <c r="P95" s="133">
        <v>0.82</v>
      </c>
      <c r="Q95" s="133">
        <v>4.53</v>
      </c>
    </row>
    <row r="96" spans="1:17" customFormat="1">
      <c r="A96" s="111" t="s">
        <v>518</v>
      </c>
      <c r="B96" s="133">
        <v>22.11</v>
      </c>
      <c r="C96" s="133">
        <v>26.16</v>
      </c>
      <c r="D96" s="133">
        <v>32.75</v>
      </c>
      <c r="E96" s="133">
        <v>9.5</v>
      </c>
      <c r="F96" s="133">
        <v>3.72</v>
      </c>
      <c r="G96" s="133">
        <v>60.15</v>
      </c>
      <c r="H96" s="133">
        <v>16.13</v>
      </c>
      <c r="I96" s="133">
        <v>5.92</v>
      </c>
      <c r="J96" s="133">
        <v>0.21</v>
      </c>
      <c r="K96" s="133">
        <v>249.88</v>
      </c>
      <c r="L96" s="133">
        <v>26.73</v>
      </c>
      <c r="M96" s="133">
        <v>74.319999999999993</v>
      </c>
      <c r="N96" s="133">
        <v>0</v>
      </c>
      <c r="O96" s="133">
        <v>0</v>
      </c>
      <c r="P96" s="133">
        <v>0.8</v>
      </c>
      <c r="Q96" s="133">
        <v>4.49</v>
      </c>
    </row>
    <row r="97" spans="1:22" customFormat="1">
      <c r="A97" s="111" t="s">
        <v>519</v>
      </c>
      <c r="B97" s="133">
        <v>21.88</v>
      </c>
      <c r="C97" s="133">
        <v>25.87</v>
      </c>
      <c r="D97" s="133">
        <v>32.409999999999997</v>
      </c>
      <c r="E97" s="133">
        <v>11.61</v>
      </c>
      <c r="F97" s="133">
        <v>3.73</v>
      </c>
      <c r="G97" s="133">
        <v>60.15</v>
      </c>
      <c r="H97" s="133">
        <v>16.13</v>
      </c>
      <c r="I97" s="133">
        <v>5.86</v>
      </c>
      <c r="J97" s="133">
        <v>0.1</v>
      </c>
      <c r="K97" s="133">
        <v>250.02</v>
      </c>
      <c r="L97" s="133">
        <v>26.86</v>
      </c>
      <c r="M97" s="133">
        <v>74.209999999999994</v>
      </c>
      <c r="N97" s="133">
        <v>0</v>
      </c>
      <c r="O97" s="133">
        <v>0</v>
      </c>
      <c r="P97" s="133">
        <v>0.79</v>
      </c>
      <c r="Q97" s="133">
        <v>4.49</v>
      </c>
    </row>
    <row r="98" spans="1:22" customFormat="1">
      <c r="A98" s="111" t="s">
        <v>520</v>
      </c>
      <c r="B98" s="133">
        <v>22.38</v>
      </c>
      <c r="C98" s="133">
        <v>25.87</v>
      </c>
      <c r="D98" s="133">
        <v>32.81</v>
      </c>
      <c r="E98" s="133">
        <v>11.06</v>
      </c>
      <c r="F98" s="133">
        <v>3.68</v>
      </c>
      <c r="G98" s="133">
        <v>60.15</v>
      </c>
      <c r="H98" s="133">
        <v>16.13</v>
      </c>
      <c r="I98" s="133">
        <v>5.8</v>
      </c>
      <c r="J98" s="133">
        <v>0.25</v>
      </c>
      <c r="K98" s="133">
        <v>284.24</v>
      </c>
      <c r="L98" s="133">
        <v>26.84</v>
      </c>
      <c r="M98" s="133">
        <v>74.56</v>
      </c>
      <c r="N98" s="133">
        <v>0</v>
      </c>
      <c r="O98" s="133">
        <v>0</v>
      </c>
      <c r="P98" s="133">
        <v>0.79</v>
      </c>
      <c r="Q98" s="133">
        <v>4.49</v>
      </c>
    </row>
    <row r="99" spans="1:22" customFormat="1">
      <c r="A99" s="111" t="s">
        <v>521</v>
      </c>
      <c r="B99" s="133">
        <v>23.11</v>
      </c>
      <c r="C99" s="133">
        <v>27.05</v>
      </c>
      <c r="D99" s="133">
        <v>34.020000000000003</v>
      </c>
      <c r="E99" s="133">
        <v>8.58</v>
      </c>
      <c r="F99" s="133">
        <v>2.96</v>
      </c>
      <c r="G99" s="133">
        <v>61.13</v>
      </c>
      <c r="H99" s="133">
        <v>17.36</v>
      </c>
      <c r="I99" s="133">
        <v>5.77</v>
      </c>
      <c r="J99" s="133">
        <v>0.22</v>
      </c>
      <c r="K99" s="133">
        <v>275</v>
      </c>
      <c r="L99" s="133">
        <v>26.94</v>
      </c>
      <c r="M99" s="133">
        <v>73.39</v>
      </c>
      <c r="N99" s="133">
        <v>0</v>
      </c>
      <c r="O99" s="133">
        <v>0</v>
      </c>
      <c r="P99" s="133">
        <v>0.81</v>
      </c>
      <c r="Q99" s="133">
        <v>4.4800000000000004</v>
      </c>
    </row>
    <row r="100" spans="1:22" customFormat="1">
      <c r="A100" s="111" t="s">
        <v>522</v>
      </c>
      <c r="B100" s="133">
        <v>23.24</v>
      </c>
      <c r="C100" s="133">
        <v>26.34</v>
      </c>
      <c r="D100" s="133">
        <v>33.75</v>
      </c>
      <c r="E100" s="133">
        <v>8.57</v>
      </c>
      <c r="F100" s="133">
        <v>3.31</v>
      </c>
      <c r="G100" s="133">
        <v>64.36</v>
      </c>
      <c r="H100" s="133">
        <v>20.25</v>
      </c>
      <c r="I100" s="133">
        <v>5.8</v>
      </c>
      <c r="J100" s="133">
        <v>0.35</v>
      </c>
      <c r="K100" s="133">
        <v>257.74</v>
      </c>
      <c r="L100" s="133">
        <v>26.59</v>
      </c>
      <c r="M100" s="133">
        <v>75.67</v>
      </c>
      <c r="N100" s="133">
        <v>0</v>
      </c>
      <c r="O100" s="133">
        <v>0</v>
      </c>
      <c r="P100" s="133">
        <v>0.81</v>
      </c>
      <c r="Q100" s="133">
        <v>4.5199999999999996</v>
      </c>
    </row>
    <row r="101" spans="1:22" customFormat="1">
      <c r="A101" s="111" t="s">
        <v>523</v>
      </c>
      <c r="B101" s="133">
        <v>23.01</v>
      </c>
      <c r="C101" s="133">
        <v>24.94</v>
      </c>
      <c r="D101" s="133">
        <v>32.83</v>
      </c>
      <c r="E101" s="133">
        <v>7.99</v>
      </c>
      <c r="F101" s="133">
        <v>3.83</v>
      </c>
      <c r="G101" s="133">
        <v>64.36</v>
      </c>
      <c r="H101" s="133">
        <v>20.25</v>
      </c>
      <c r="I101" s="133">
        <v>5.9</v>
      </c>
      <c r="J101" s="133">
        <v>0.34</v>
      </c>
      <c r="K101" s="133">
        <v>258.97000000000003</v>
      </c>
      <c r="L101" s="133">
        <v>26.6</v>
      </c>
      <c r="M101" s="133">
        <v>74.41</v>
      </c>
      <c r="N101" s="133">
        <v>0</v>
      </c>
      <c r="O101" s="133">
        <v>0</v>
      </c>
      <c r="P101" s="133">
        <v>0.79</v>
      </c>
      <c r="Q101" s="133">
        <v>4.53</v>
      </c>
    </row>
    <row r="102" spans="1:22" customFormat="1">
      <c r="A102" s="111" t="s">
        <v>524</v>
      </c>
      <c r="B102" s="133">
        <v>22.7</v>
      </c>
      <c r="C102" s="133">
        <v>24.42</v>
      </c>
      <c r="D102" s="133">
        <v>32.32</v>
      </c>
      <c r="E102" s="133">
        <v>7.45</v>
      </c>
      <c r="F102" s="133">
        <v>3.88</v>
      </c>
      <c r="G102" s="133">
        <v>64.36</v>
      </c>
      <c r="H102" s="133">
        <v>20.25</v>
      </c>
      <c r="I102" s="133">
        <v>5.87</v>
      </c>
      <c r="J102" s="133">
        <v>0.42</v>
      </c>
      <c r="K102" s="133">
        <v>262.01</v>
      </c>
      <c r="L102" s="133">
        <v>26.41</v>
      </c>
      <c r="M102" s="133">
        <v>74.760000000000005</v>
      </c>
      <c r="N102" s="133">
        <v>0</v>
      </c>
      <c r="O102" s="133">
        <v>0</v>
      </c>
      <c r="P102" s="133">
        <v>0.77</v>
      </c>
      <c r="Q102" s="133">
        <v>4.5</v>
      </c>
    </row>
    <row r="103" spans="1:22" customFormat="1">
      <c r="A103" s="111" t="s">
        <v>525</v>
      </c>
      <c r="B103" s="133">
        <v>23.02</v>
      </c>
      <c r="C103" s="133">
        <v>25.74</v>
      </c>
      <c r="D103" s="133">
        <v>33.26</v>
      </c>
      <c r="E103" s="133">
        <v>7.39</v>
      </c>
      <c r="F103" s="133">
        <v>2.94</v>
      </c>
      <c r="G103" s="133">
        <v>63.4</v>
      </c>
      <c r="H103" s="133">
        <v>19.920000000000002</v>
      </c>
      <c r="I103" s="133">
        <v>5.7</v>
      </c>
      <c r="J103" s="133">
        <v>0.4</v>
      </c>
      <c r="K103" s="133">
        <v>266.38</v>
      </c>
      <c r="L103" s="133">
        <v>26.24</v>
      </c>
      <c r="M103" s="133">
        <v>74.13</v>
      </c>
      <c r="N103" s="133">
        <v>0</v>
      </c>
      <c r="O103" s="133">
        <v>0</v>
      </c>
      <c r="P103" s="133">
        <v>0.79</v>
      </c>
      <c r="Q103" s="133">
        <v>4.46</v>
      </c>
    </row>
    <row r="104" spans="1:22" customFormat="1">
      <c r="A104" s="111" t="s">
        <v>526</v>
      </c>
      <c r="B104" s="133">
        <v>23.12</v>
      </c>
      <c r="C104" s="133">
        <v>26.71</v>
      </c>
      <c r="D104" s="133">
        <v>33.85</v>
      </c>
      <c r="E104" s="133">
        <v>7.95</v>
      </c>
      <c r="F104" s="133">
        <v>2.77</v>
      </c>
      <c r="G104" s="133">
        <v>60.03</v>
      </c>
      <c r="H104" s="133">
        <v>19.170000000000002</v>
      </c>
      <c r="I104" s="133">
        <v>5.66</v>
      </c>
      <c r="J104" s="133">
        <v>0.5</v>
      </c>
      <c r="K104" s="133">
        <v>266.58999999999997</v>
      </c>
      <c r="L104" s="133">
        <v>26.07</v>
      </c>
      <c r="M104" s="133">
        <v>73.53</v>
      </c>
      <c r="N104" s="133">
        <v>0</v>
      </c>
      <c r="O104" s="133">
        <v>0</v>
      </c>
      <c r="P104" s="133">
        <v>0.79</v>
      </c>
      <c r="Q104" s="133">
        <v>4.4800000000000004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3.41</v>
      </c>
      <c r="C106" s="183">
        <f>MIN(C9:C104)</f>
        <v>17.87</v>
      </c>
      <c r="D106" s="183">
        <f t="shared" ref="D106:Q106" si="0">MIN(D9:D104)</f>
        <v>13.85</v>
      </c>
      <c r="E106" s="183">
        <f t="shared" si="0"/>
        <v>4.38</v>
      </c>
      <c r="F106" s="183">
        <f t="shared" si="0"/>
        <v>2.2000000000000002</v>
      </c>
      <c r="G106" s="183">
        <f t="shared" si="0"/>
        <v>21.7</v>
      </c>
      <c r="H106" s="183">
        <f t="shared" si="0"/>
        <v>5.61</v>
      </c>
      <c r="I106" s="183">
        <f t="shared" si="0"/>
        <v>2.2599999999999998</v>
      </c>
      <c r="J106" s="183">
        <f t="shared" si="0"/>
        <v>-0.18</v>
      </c>
      <c r="K106" s="183">
        <f t="shared" si="0"/>
        <v>0</v>
      </c>
      <c r="L106" s="183">
        <f t="shared" si="0"/>
        <v>25.22</v>
      </c>
      <c r="M106" s="183">
        <f t="shared" si="0"/>
        <v>60.27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3.38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25.54</v>
      </c>
      <c r="C107" s="184">
        <f t="shared" ref="C107:Q107" si="1">MAX(C9:C104)</f>
        <v>30.03</v>
      </c>
      <c r="D107" s="184">
        <f t="shared" si="1"/>
        <v>34.909999999999997</v>
      </c>
      <c r="E107" s="184">
        <f t="shared" si="1"/>
        <v>11.94</v>
      </c>
      <c r="F107" s="184">
        <f t="shared" si="1"/>
        <v>11.78</v>
      </c>
      <c r="G107" s="184">
        <f t="shared" si="1"/>
        <v>64.36</v>
      </c>
      <c r="H107" s="184">
        <f t="shared" si="1"/>
        <v>20.25</v>
      </c>
      <c r="I107" s="184">
        <f t="shared" si="1"/>
        <v>6</v>
      </c>
      <c r="J107" s="184">
        <f t="shared" si="1"/>
        <v>2.16</v>
      </c>
      <c r="K107" s="184">
        <f t="shared" si="1"/>
        <v>353.8</v>
      </c>
      <c r="L107" s="184">
        <f t="shared" si="1"/>
        <v>31.02</v>
      </c>
      <c r="M107" s="184">
        <f t="shared" si="1"/>
        <v>98.5</v>
      </c>
      <c r="N107" s="184">
        <f t="shared" si="1"/>
        <v>676.1</v>
      </c>
      <c r="O107" s="184">
        <f t="shared" si="1"/>
        <v>2</v>
      </c>
      <c r="P107" s="184">
        <f t="shared" si="1"/>
        <v>0.83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18.283510638297873</v>
      </c>
      <c r="C108" s="183">
        <f t="shared" ref="C108:Q108" si="2">AVERAGE(C9:C104)</f>
        <v>25.176276595744675</v>
      </c>
      <c r="D108" s="183">
        <f t="shared" si="2"/>
        <v>29.166808510638297</v>
      </c>
      <c r="E108" s="183">
        <f t="shared" si="2"/>
        <v>7.5701063829787287</v>
      </c>
      <c r="F108" s="183">
        <f t="shared" si="2"/>
        <v>3.9241489361702127</v>
      </c>
      <c r="G108" s="183">
        <f t="shared" si="2"/>
        <v>35.27627659574469</v>
      </c>
      <c r="H108" s="183">
        <f t="shared" si="2"/>
        <v>11.096808510638303</v>
      </c>
      <c r="I108" s="183">
        <f t="shared" si="2"/>
        <v>4.4750000000000014</v>
      </c>
      <c r="J108" s="183">
        <f t="shared" si="2"/>
        <v>0.49627659574468086</v>
      </c>
      <c r="K108" s="183">
        <f t="shared" si="2"/>
        <v>214.16542553191493</v>
      </c>
      <c r="L108" s="183">
        <f t="shared" si="2"/>
        <v>27.352659574468092</v>
      </c>
      <c r="M108" s="183">
        <f t="shared" si="2"/>
        <v>81.480638297872346</v>
      </c>
      <c r="N108" s="183">
        <f t="shared" si="2"/>
        <v>137.37765957446808</v>
      </c>
      <c r="O108" s="183">
        <f t="shared" si="2"/>
        <v>2.1276595744680851E-2</v>
      </c>
      <c r="P108" s="183">
        <f t="shared" si="2"/>
        <v>0.63531914893617025</v>
      </c>
      <c r="Q108" s="183">
        <f t="shared" si="2"/>
        <v>4.2683544303797465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6.3905115664186631</v>
      </c>
      <c r="C109" s="183">
        <f t="shared" ref="C109:Q109" si="3">STDEV(C9:C104)</f>
        <v>3.4168519700212761</v>
      </c>
      <c r="D109" s="183">
        <f t="shared" si="3"/>
        <v>6.1444259577306717</v>
      </c>
      <c r="E109" s="183">
        <f t="shared" si="3"/>
        <v>1.2769608532836749</v>
      </c>
      <c r="F109" s="183">
        <f t="shared" si="3"/>
        <v>2.2508466314310849</v>
      </c>
      <c r="G109" s="183">
        <f t="shared" si="3"/>
        <v>13.706370544898796</v>
      </c>
      <c r="H109" s="183">
        <f t="shared" si="3"/>
        <v>3.3060639016929598</v>
      </c>
      <c r="I109" s="183">
        <f t="shared" si="3"/>
        <v>1.0772383548306541</v>
      </c>
      <c r="J109" s="183">
        <f t="shared" si="3"/>
        <v>0.44865625906833123</v>
      </c>
      <c r="K109" s="183">
        <f t="shared" si="3"/>
        <v>110.93253038763723</v>
      </c>
      <c r="L109" s="183">
        <f t="shared" si="3"/>
        <v>1.7011344573559346</v>
      </c>
      <c r="M109" s="183">
        <f t="shared" si="3"/>
        <v>10.897017033727897</v>
      </c>
      <c r="N109" s="183">
        <f t="shared" si="3"/>
        <v>194.61027509604455</v>
      </c>
      <c r="O109" s="183">
        <f t="shared" si="3"/>
        <v>0.20628424925175867</v>
      </c>
      <c r="P109" s="183">
        <f t="shared" si="3"/>
        <v>0.11556967016321014</v>
      </c>
      <c r="Q109" s="183">
        <f t="shared" si="3"/>
        <v>0.38337044540446319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4">IF(C110&gt;=87,"&gt;90%",IF(C110&lt;=87,"&lt;90%"))</f>
        <v>&gt;90%</v>
      </c>
      <c r="D111" s="146" t="str">
        <f t="shared" si="4"/>
        <v>&gt;90%</v>
      </c>
      <c r="E111" s="146" t="str">
        <f t="shared" si="4"/>
        <v>&gt;90%</v>
      </c>
      <c r="F111" s="146" t="str">
        <f t="shared" si="4"/>
        <v>&gt;90%</v>
      </c>
      <c r="G111" s="146" t="str">
        <f t="shared" si="4"/>
        <v>&gt;90%</v>
      </c>
      <c r="H111" s="146" t="str">
        <f t="shared" si="4"/>
        <v>&gt;90%</v>
      </c>
      <c r="I111" s="146" t="str">
        <f t="shared" si="4"/>
        <v>&gt;90%</v>
      </c>
      <c r="J111" s="146" t="str">
        <f t="shared" si="4"/>
        <v>&gt;90%</v>
      </c>
      <c r="K111" s="146" t="str">
        <f t="shared" si="4"/>
        <v>&gt;90%</v>
      </c>
      <c r="L111" s="146" t="str">
        <f t="shared" si="4"/>
        <v>&gt;90%</v>
      </c>
      <c r="M111" s="146" t="str">
        <f t="shared" si="4"/>
        <v>&gt;90%</v>
      </c>
      <c r="N111" s="146" t="str">
        <f t="shared" si="4"/>
        <v>&gt;90%</v>
      </c>
      <c r="O111" s="146" t="str">
        <f t="shared" si="4"/>
        <v>&gt;90%</v>
      </c>
      <c r="P111" s="146" t="str">
        <f t="shared" si="4"/>
        <v>&gt;90%</v>
      </c>
      <c r="Q111" s="146" t="str">
        <f t="shared" si="4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5">IF(C110&gt;=87,"OK",IF(C110&lt;=87,"LESS"))</f>
        <v>OK</v>
      </c>
      <c r="D112" s="146" t="str">
        <f t="shared" si="5"/>
        <v>OK</v>
      </c>
      <c r="E112" s="146" t="str">
        <f t="shared" si="5"/>
        <v>OK</v>
      </c>
      <c r="F112" s="146" t="str">
        <f t="shared" si="5"/>
        <v>OK</v>
      </c>
      <c r="G112" s="146" t="str">
        <f t="shared" si="5"/>
        <v>OK</v>
      </c>
      <c r="H112" s="146" t="str">
        <f t="shared" si="5"/>
        <v>OK</v>
      </c>
      <c r="I112" s="146" t="str">
        <f t="shared" si="5"/>
        <v>OK</v>
      </c>
      <c r="J112" s="146" t="str">
        <f t="shared" si="5"/>
        <v>OK</v>
      </c>
      <c r="K112" s="146" t="str">
        <f t="shared" si="5"/>
        <v>OK</v>
      </c>
      <c r="L112" s="146" t="str">
        <f t="shared" si="5"/>
        <v>OK</v>
      </c>
      <c r="M112" s="146" t="str">
        <f t="shared" si="5"/>
        <v>OK</v>
      </c>
      <c r="N112" s="146" t="str">
        <f t="shared" si="5"/>
        <v>OK</v>
      </c>
      <c r="O112" s="146" t="str">
        <f t="shared" si="5"/>
        <v>OK</v>
      </c>
      <c r="P112" s="146" t="str">
        <f t="shared" si="5"/>
        <v>OK</v>
      </c>
      <c r="Q112" s="146" t="str">
        <f t="shared" si="5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04/10/2023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527</v>
      </c>
      <c r="B9" s="133">
        <v>23.61</v>
      </c>
      <c r="C9" s="133">
        <v>24.25</v>
      </c>
      <c r="D9" s="133">
        <v>32.950000000000003</v>
      </c>
      <c r="E9" s="133">
        <v>7.63</v>
      </c>
      <c r="F9" s="133">
        <v>3.26</v>
      </c>
      <c r="G9" s="133">
        <v>60.03</v>
      </c>
      <c r="H9" s="133">
        <v>19.170000000000002</v>
      </c>
      <c r="I9" s="133">
        <v>5.8</v>
      </c>
      <c r="J9" s="133">
        <v>0.44</v>
      </c>
      <c r="K9" s="133">
        <v>270.42</v>
      </c>
      <c r="L9" s="133">
        <v>25.92</v>
      </c>
      <c r="M9" s="133">
        <v>73</v>
      </c>
      <c r="N9" s="133">
        <v>0</v>
      </c>
      <c r="O9" s="133">
        <v>0</v>
      </c>
      <c r="P9" s="133">
        <v>0.77</v>
      </c>
      <c r="Q9" s="133">
        <v>4.51</v>
      </c>
    </row>
    <row r="10" spans="1:21" customFormat="1">
      <c r="A10" s="111" t="s">
        <v>528</v>
      </c>
      <c r="B10" s="133">
        <v>23</v>
      </c>
      <c r="C10" s="133">
        <v>23.77</v>
      </c>
      <c r="D10" s="133">
        <v>32.21</v>
      </c>
      <c r="E10" s="133">
        <v>6.86</v>
      </c>
      <c r="F10" s="133">
        <v>3.72</v>
      </c>
      <c r="G10" s="133">
        <v>60.03</v>
      </c>
      <c r="H10" s="133">
        <v>19.170000000000002</v>
      </c>
      <c r="I10" s="133">
        <v>5.73</v>
      </c>
      <c r="J10" s="133">
        <v>0.35</v>
      </c>
      <c r="K10" s="133">
        <v>296.01</v>
      </c>
      <c r="L10" s="133">
        <v>25.86</v>
      </c>
      <c r="M10" s="133">
        <v>72.12</v>
      </c>
      <c r="N10" s="133">
        <v>0</v>
      </c>
      <c r="O10" s="133">
        <v>0</v>
      </c>
      <c r="P10" s="133">
        <v>0.74</v>
      </c>
      <c r="Q10" s="133">
        <v>4.4800000000000004</v>
      </c>
    </row>
    <row r="11" spans="1:21" customFormat="1">
      <c r="A11" s="111" t="s">
        <v>529</v>
      </c>
      <c r="B11" s="133">
        <v>22.51</v>
      </c>
      <c r="C11" s="133">
        <v>23.96</v>
      </c>
      <c r="D11" s="133">
        <v>31.92</v>
      </c>
      <c r="E11" s="133">
        <v>7.43</v>
      </c>
      <c r="F11" s="133">
        <v>3.74</v>
      </c>
      <c r="G11" s="133">
        <v>58.04</v>
      </c>
      <c r="H11" s="133">
        <v>18.05</v>
      </c>
      <c r="I11" s="133">
        <v>5.59</v>
      </c>
      <c r="J11" s="133">
        <v>0.35</v>
      </c>
      <c r="K11" s="133">
        <v>285.29000000000002</v>
      </c>
      <c r="L11" s="133">
        <v>25.95</v>
      </c>
      <c r="M11" s="133">
        <v>71.099999999999994</v>
      </c>
      <c r="N11" s="133">
        <v>0</v>
      </c>
      <c r="O11" s="133">
        <v>0</v>
      </c>
      <c r="P11" s="133">
        <v>0.73</v>
      </c>
      <c r="Q11" s="133">
        <v>4.42</v>
      </c>
    </row>
    <row r="12" spans="1:21" customFormat="1">
      <c r="A12" s="111" t="s">
        <v>530</v>
      </c>
      <c r="B12" s="133">
        <v>22.39</v>
      </c>
      <c r="C12" s="133">
        <v>26.56</v>
      </c>
      <c r="D12" s="133">
        <v>33.18</v>
      </c>
      <c r="E12" s="133">
        <v>7.69</v>
      </c>
      <c r="F12" s="133">
        <v>2.54</v>
      </c>
      <c r="G12" s="133">
        <v>51.48</v>
      </c>
      <c r="H12" s="133">
        <v>12.78</v>
      </c>
      <c r="I12" s="133">
        <v>5.5</v>
      </c>
      <c r="J12" s="133">
        <v>0.31</v>
      </c>
      <c r="K12" s="133">
        <v>274.73</v>
      </c>
      <c r="L12" s="133">
        <v>26.08</v>
      </c>
      <c r="M12" s="133">
        <v>71.92</v>
      </c>
      <c r="N12" s="133">
        <v>0</v>
      </c>
      <c r="O12" s="133">
        <v>0</v>
      </c>
      <c r="P12" s="133">
        <v>0.76</v>
      </c>
      <c r="Q12" s="133">
        <v>4.38</v>
      </c>
    </row>
    <row r="13" spans="1:21" customFormat="1">
      <c r="A13" s="111" t="s">
        <v>531</v>
      </c>
      <c r="B13" s="133">
        <v>22.36</v>
      </c>
      <c r="C13" s="133">
        <v>26.1</v>
      </c>
      <c r="D13" s="133">
        <v>32.92</v>
      </c>
      <c r="E13" s="133">
        <v>7.92</v>
      </c>
      <c r="F13" s="133">
        <v>2.97</v>
      </c>
      <c r="G13" s="133">
        <v>51.48</v>
      </c>
      <c r="H13" s="133">
        <v>12.78</v>
      </c>
      <c r="I13" s="133">
        <v>5.49</v>
      </c>
      <c r="J13" s="133">
        <v>0.31</v>
      </c>
      <c r="K13" s="133">
        <v>277.41000000000003</v>
      </c>
      <c r="L13" s="133">
        <v>26.01</v>
      </c>
      <c r="M13" s="133">
        <v>71.63</v>
      </c>
      <c r="N13" s="133">
        <v>0</v>
      </c>
      <c r="O13" s="133">
        <v>0</v>
      </c>
      <c r="P13" s="133">
        <v>0.74</v>
      </c>
      <c r="Q13" s="133">
        <v>4.41</v>
      </c>
    </row>
    <row r="14" spans="1:21" customFormat="1">
      <c r="A14" s="111" t="s">
        <v>532</v>
      </c>
      <c r="B14" s="133">
        <v>22.15</v>
      </c>
      <c r="C14" s="133">
        <v>24.43</v>
      </c>
      <c r="D14" s="133">
        <v>31.88</v>
      </c>
      <c r="E14" s="133">
        <v>7.42</v>
      </c>
      <c r="F14" s="133">
        <v>3.51</v>
      </c>
      <c r="G14" s="133">
        <v>51.48</v>
      </c>
      <c r="H14" s="133">
        <v>12.78</v>
      </c>
      <c r="I14" s="133">
        <v>5.57</v>
      </c>
      <c r="J14" s="133">
        <v>0.37</v>
      </c>
      <c r="K14" s="133">
        <v>267.92</v>
      </c>
      <c r="L14" s="133">
        <v>25.96</v>
      </c>
      <c r="M14" s="133">
        <v>71.53</v>
      </c>
      <c r="N14" s="133">
        <v>0</v>
      </c>
      <c r="O14" s="133">
        <v>0</v>
      </c>
      <c r="P14" s="133">
        <v>0.72</v>
      </c>
      <c r="Q14" s="133">
        <v>4.43</v>
      </c>
    </row>
    <row r="15" spans="1:21" customFormat="1">
      <c r="A15" s="111" t="s">
        <v>533</v>
      </c>
      <c r="B15" s="133">
        <v>21.83</v>
      </c>
      <c r="C15" s="133">
        <v>23.62</v>
      </c>
      <c r="D15" s="133">
        <v>31.2</v>
      </c>
      <c r="E15" s="133">
        <v>6.93</v>
      </c>
      <c r="F15" s="133">
        <v>3.36</v>
      </c>
      <c r="G15" s="133">
        <v>48.85</v>
      </c>
      <c r="H15" s="133">
        <v>11.56</v>
      </c>
      <c r="I15" s="133">
        <v>5.48</v>
      </c>
      <c r="J15" s="133">
        <v>0.43</v>
      </c>
      <c r="K15" s="133">
        <v>261.87</v>
      </c>
      <c r="L15" s="133">
        <v>25.85</v>
      </c>
      <c r="M15" s="133">
        <v>72.150000000000006</v>
      </c>
      <c r="N15" s="133">
        <v>0</v>
      </c>
      <c r="O15" s="133">
        <v>0</v>
      </c>
      <c r="P15" s="133">
        <v>0.7</v>
      </c>
      <c r="Q15" s="133">
        <v>4.3600000000000003</v>
      </c>
    </row>
    <row r="16" spans="1:21" customFormat="1">
      <c r="A16" s="111" t="s">
        <v>534</v>
      </c>
      <c r="B16" s="133">
        <v>21.1</v>
      </c>
      <c r="C16" s="133">
        <v>24.44</v>
      </c>
      <c r="D16" s="133">
        <v>31.04</v>
      </c>
      <c r="E16" s="133">
        <v>7</v>
      </c>
      <c r="F16" s="133">
        <v>3.19</v>
      </c>
      <c r="G16" s="133">
        <v>39.68</v>
      </c>
      <c r="H16" s="133">
        <v>8.68</v>
      </c>
      <c r="I16" s="133">
        <v>5.35</v>
      </c>
      <c r="J16" s="133">
        <v>0.31</v>
      </c>
      <c r="K16" s="133">
        <v>281.79000000000002</v>
      </c>
      <c r="L16" s="133">
        <v>25.85</v>
      </c>
      <c r="M16" s="133">
        <v>71.930000000000007</v>
      </c>
      <c r="N16" s="133">
        <v>0</v>
      </c>
      <c r="O16" s="133">
        <v>0</v>
      </c>
      <c r="P16" s="133">
        <v>0.7</v>
      </c>
      <c r="Q16" s="133">
        <v>4.28</v>
      </c>
    </row>
    <row r="17" spans="1:17" customFormat="1">
      <c r="A17" s="111" t="s">
        <v>535</v>
      </c>
      <c r="B17" s="133">
        <v>19.73</v>
      </c>
      <c r="C17" s="133">
        <v>25.31</v>
      </c>
      <c r="D17" s="133">
        <v>30.39</v>
      </c>
      <c r="E17" s="133">
        <v>6.91</v>
      </c>
      <c r="F17" s="133">
        <v>3.37</v>
      </c>
      <c r="G17" s="133">
        <v>39.68</v>
      </c>
      <c r="H17" s="133">
        <v>8.68</v>
      </c>
      <c r="I17" s="133">
        <v>5.3</v>
      </c>
      <c r="J17" s="133">
        <v>0.32</v>
      </c>
      <c r="K17" s="133">
        <v>297.88</v>
      </c>
      <c r="L17" s="133">
        <v>25.91</v>
      </c>
      <c r="M17" s="133">
        <v>70.150000000000006</v>
      </c>
      <c r="N17" s="133">
        <v>0</v>
      </c>
      <c r="O17" s="133">
        <v>0</v>
      </c>
      <c r="P17" s="133">
        <v>0.7</v>
      </c>
      <c r="Q17" s="133">
        <v>4.2300000000000004</v>
      </c>
    </row>
    <row r="18" spans="1:17" customFormat="1">
      <c r="A18" s="111" t="s">
        <v>536</v>
      </c>
      <c r="B18" s="133">
        <v>18.52</v>
      </c>
      <c r="C18" s="133">
        <v>25.75</v>
      </c>
      <c r="D18" s="133">
        <v>29.66</v>
      </c>
      <c r="E18" s="133">
        <v>7.85</v>
      </c>
      <c r="F18" s="133">
        <v>3.75</v>
      </c>
      <c r="G18" s="133">
        <v>39.68</v>
      </c>
      <c r="H18" s="133">
        <v>8.68</v>
      </c>
      <c r="I18" s="133">
        <v>5.19</v>
      </c>
      <c r="J18" s="133">
        <v>0.45</v>
      </c>
      <c r="K18" s="133">
        <v>304.52</v>
      </c>
      <c r="L18" s="133">
        <v>26</v>
      </c>
      <c r="M18" s="133">
        <v>68.540000000000006</v>
      </c>
      <c r="N18" s="133">
        <v>0</v>
      </c>
      <c r="O18" s="133">
        <v>0</v>
      </c>
      <c r="P18" s="133">
        <v>0.68</v>
      </c>
      <c r="Q18" s="133">
        <v>4.18</v>
      </c>
    </row>
    <row r="19" spans="1:17" customFormat="1">
      <c r="A19" s="111" t="s">
        <v>537</v>
      </c>
      <c r="B19" s="133">
        <v>17.52</v>
      </c>
      <c r="C19" s="133">
        <v>26.35</v>
      </c>
      <c r="D19" s="133">
        <v>29.16</v>
      </c>
      <c r="E19" s="133">
        <v>7.61</v>
      </c>
      <c r="F19" s="133">
        <v>3.59</v>
      </c>
      <c r="G19" s="133">
        <v>39.19</v>
      </c>
      <c r="H19" s="133">
        <v>8.77</v>
      </c>
      <c r="I19" s="133">
        <v>5.0599999999999996</v>
      </c>
      <c r="J19" s="133">
        <v>0.32</v>
      </c>
      <c r="K19" s="133">
        <v>313.89</v>
      </c>
      <c r="L19" s="133">
        <v>25.98</v>
      </c>
      <c r="M19" s="133">
        <v>69.33</v>
      </c>
      <c r="N19" s="133">
        <v>0</v>
      </c>
      <c r="O19" s="133">
        <v>0</v>
      </c>
      <c r="P19" s="133">
        <v>0.68</v>
      </c>
      <c r="Q19" s="133">
        <v>4.16</v>
      </c>
    </row>
    <row r="20" spans="1:17" customFormat="1">
      <c r="A20" s="111" t="s">
        <v>538</v>
      </c>
      <c r="B20" s="133">
        <v>16.7</v>
      </c>
      <c r="C20" s="133">
        <v>27.09</v>
      </c>
      <c r="D20" s="133">
        <v>28.9</v>
      </c>
      <c r="E20" s="133">
        <v>7.38</v>
      </c>
      <c r="F20" s="133">
        <v>3.77</v>
      </c>
      <c r="G20" s="133">
        <v>37.5</v>
      </c>
      <c r="H20" s="133">
        <v>9</v>
      </c>
      <c r="I20" s="133">
        <v>4.92</v>
      </c>
      <c r="J20" s="133">
        <v>0.27</v>
      </c>
      <c r="K20" s="133">
        <v>292.07</v>
      </c>
      <c r="L20" s="133">
        <v>25.9</v>
      </c>
      <c r="M20" s="133">
        <v>69.63</v>
      </c>
      <c r="N20" s="133">
        <v>0</v>
      </c>
      <c r="O20" s="133">
        <v>0</v>
      </c>
      <c r="P20" s="133">
        <v>0.67</v>
      </c>
      <c r="Q20" s="133">
        <v>4.09</v>
      </c>
    </row>
    <row r="21" spans="1:17" customFormat="1">
      <c r="A21" s="111" t="s">
        <v>539</v>
      </c>
      <c r="B21" s="133">
        <v>16.09</v>
      </c>
      <c r="C21" s="133">
        <v>27.31</v>
      </c>
      <c r="D21" s="133">
        <v>28.52</v>
      </c>
      <c r="E21" s="133">
        <v>7.55</v>
      </c>
      <c r="F21" s="133">
        <v>3.33</v>
      </c>
      <c r="G21" s="133">
        <v>37.5</v>
      </c>
      <c r="H21" s="133">
        <v>9</v>
      </c>
      <c r="I21" s="133">
        <v>4.8499999999999996</v>
      </c>
      <c r="J21" s="133">
        <v>0.28999999999999998</v>
      </c>
      <c r="K21" s="133">
        <v>298.89</v>
      </c>
      <c r="L21" s="133">
        <v>25.8</v>
      </c>
      <c r="M21" s="133">
        <v>70.62</v>
      </c>
      <c r="N21" s="133">
        <v>0</v>
      </c>
      <c r="O21" s="133">
        <v>0</v>
      </c>
      <c r="P21" s="133">
        <v>0.66</v>
      </c>
      <c r="Q21" s="133">
        <v>4.07</v>
      </c>
    </row>
    <row r="22" spans="1:17" customFormat="1">
      <c r="A22" s="111" t="s">
        <v>540</v>
      </c>
      <c r="B22" s="133">
        <v>15.52</v>
      </c>
      <c r="C22" s="133">
        <v>27.72</v>
      </c>
      <c r="D22" s="133">
        <v>28.28</v>
      </c>
      <c r="E22" s="133">
        <v>7.52</v>
      </c>
      <c r="F22" s="133">
        <v>3.17</v>
      </c>
      <c r="G22" s="133">
        <v>37.5</v>
      </c>
      <c r="H22" s="133">
        <v>9</v>
      </c>
      <c r="I22" s="133">
        <v>4.74</v>
      </c>
      <c r="J22" s="133">
        <v>0.4</v>
      </c>
      <c r="K22" s="133">
        <v>289.44</v>
      </c>
      <c r="L22" s="133">
        <v>25.69</v>
      </c>
      <c r="M22" s="133">
        <v>71.06</v>
      </c>
      <c r="N22" s="133">
        <v>0</v>
      </c>
      <c r="O22" s="133">
        <v>0</v>
      </c>
      <c r="P22" s="133">
        <v>0.65</v>
      </c>
      <c r="Q22" s="133">
        <v>4.0599999999999996</v>
      </c>
    </row>
    <row r="23" spans="1:17" customFormat="1">
      <c r="A23" s="111" t="s">
        <v>541</v>
      </c>
      <c r="B23" s="133">
        <v>14.8</v>
      </c>
      <c r="C23" s="133">
        <v>27.98</v>
      </c>
      <c r="D23" s="133">
        <v>27.83</v>
      </c>
      <c r="E23" s="133">
        <v>7.93</v>
      </c>
      <c r="F23" s="133">
        <v>3.11</v>
      </c>
      <c r="G23" s="133">
        <v>36.479999999999997</v>
      </c>
      <c r="H23" s="133">
        <v>9.4</v>
      </c>
      <c r="I23" s="133">
        <v>4.68</v>
      </c>
      <c r="J23" s="133">
        <v>0.41</v>
      </c>
      <c r="K23" s="133">
        <v>297.81</v>
      </c>
      <c r="L23" s="133">
        <v>25.65</v>
      </c>
      <c r="M23" s="133">
        <v>70.44</v>
      </c>
      <c r="N23" s="133">
        <v>0</v>
      </c>
      <c r="O23" s="133">
        <v>0</v>
      </c>
      <c r="P23" s="133">
        <v>0.63</v>
      </c>
      <c r="Q23" s="133">
        <v>4.0199999999999996</v>
      </c>
    </row>
    <row r="24" spans="1:17" customFormat="1">
      <c r="A24" s="111" t="s">
        <v>542</v>
      </c>
      <c r="B24" s="133">
        <v>14.26</v>
      </c>
      <c r="C24" s="133">
        <v>28.21</v>
      </c>
      <c r="D24" s="133">
        <v>27.52</v>
      </c>
      <c r="E24" s="133">
        <v>7.85</v>
      </c>
      <c r="F24" s="133">
        <v>3.05</v>
      </c>
      <c r="G24" s="133">
        <v>32.94</v>
      </c>
      <c r="H24" s="133">
        <v>10.38</v>
      </c>
      <c r="I24" s="133">
        <v>4.57</v>
      </c>
      <c r="J24" s="133">
        <v>0.34</v>
      </c>
      <c r="K24" s="133">
        <v>302.88</v>
      </c>
      <c r="L24" s="133">
        <v>25.55</v>
      </c>
      <c r="M24" s="133">
        <v>69.540000000000006</v>
      </c>
      <c r="N24" s="133">
        <v>0</v>
      </c>
      <c r="O24" s="133">
        <v>0</v>
      </c>
      <c r="P24" s="133">
        <v>0.62</v>
      </c>
      <c r="Q24" s="133">
        <v>4</v>
      </c>
    </row>
    <row r="25" spans="1:17" customFormat="1">
      <c r="A25" s="111" t="s">
        <v>543</v>
      </c>
      <c r="B25" s="133">
        <v>13.72</v>
      </c>
      <c r="C25" s="133">
        <v>28.6</v>
      </c>
      <c r="D25" s="133">
        <v>27.3</v>
      </c>
      <c r="E25" s="133">
        <v>7.69</v>
      </c>
      <c r="F25" s="133">
        <v>2.88</v>
      </c>
      <c r="G25" s="133">
        <v>32.94</v>
      </c>
      <c r="H25" s="133">
        <v>10.38</v>
      </c>
      <c r="I25" s="133">
        <v>4.4800000000000004</v>
      </c>
      <c r="J25" s="133">
        <v>0.3</v>
      </c>
      <c r="K25" s="133">
        <v>297.02999999999997</v>
      </c>
      <c r="L25" s="133">
        <v>25.26</v>
      </c>
      <c r="M25" s="133">
        <v>70.25</v>
      </c>
      <c r="N25" s="133">
        <v>0</v>
      </c>
      <c r="O25" s="133">
        <v>0</v>
      </c>
      <c r="P25" s="133">
        <v>0.61</v>
      </c>
      <c r="Q25" s="133">
        <v>3.97</v>
      </c>
    </row>
    <row r="26" spans="1:17" customFormat="1">
      <c r="A26" s="111" t="s">
        <v>544</v>
      </c>
      <c r="B26" s="133">
        <v>13.35</v>
      </c>
      <c r="C26" s="133">
        <v>28.84</v>
      </c>
      <c r="D26" s="133">
        <v>27.12</v>
      </c>
      <c r="E26" s="133">
        <v>7.96</v>
      </c>
      <c r="F26" s="133">
        <v>2.77</v>
      </c>
      <c r="G26" s="133">
        <v>32.94</v>
      </c>
      <c r="H26" s="133">
        <v>10.38</v>
      </c>
      <c r="I26" s="133">
        <v>4.42</v>
      </c>
      <c r="J26" s="133">
        <v>0.18</v>
      </c>
      <c r="K26" s="133">
        <v>256.85000000000002</v>
      </c>
      <c r="L26" s="133">
        <v>24.97</v>
      </c>
      <c r="M26" s="133">
        <v>70.73</v>
      </c>
      <c r="N26" s="133">
        <v>0</v>
      </c>
      <c r="O26" s="133">
        <v>0</v>
      </c>
      <c r="P26" s="133">
        <v>0.6</v>
      </c>
      <c r="Q26" s="133">
        <v>3.92</v>
      </c>
    </row>
    <row r="27" spans="1:17" customFormat="1">
      <c r="A27" s="111" t="s">
        <v>545</v>
      </c>
      <c r="B27" s="133">
        <v>13.14</v>
      </c>
      <c r="C27" s="133">
        <v>28.86</v>
      </c>
      <c r="D27" s="133">
        <v>26.97</v>
      </c>
      <c r="E27" s="133">
        <v>8.0299999999999994</v>
      </c>
      <c r="F27" s="133">
        <v>2.89</v>
      </c>
      <c r="G27" s="133">
        <v>33.68</v>
      </c>
      <c r="H27" s="133">
        <v>10.36</v>
      </c>
      <c r="I27" s="133">
        <v>4.34</v>
      </c>
      <c r="J27" s="133">
        <v>0.3</v>
      </c>
      <c r="K27" s="133">
        <v>261.16000000000003</v>
      </c>
      <c r="L27" s="133">
        <v>24.62</v>
      </c>
      <c r="M27" s="133">
        <v>71.11</v>
      </c>
      <c r="N27" s="133">
        <v>0</v>
      </c>
      <c r="O27" s="133">
        <v>0</v>
      </c>
      <c r="P27" s="133">
        <v>0.59</v>
      </c>
      <c r="Q27" s="133">
        <v>3.94</v>
      </c>
    </row>
    <row r="28" spans="1:17" customFormat="1">
      <c r="A28" s="111" t="s">
        <v>546</v>
      </c>
      <c r="B28" s="133">
        <v>12.84</v>
      </c>
      <c r="C28" s="133">
        <v>28.94</v>
      </c>
      <c r="D28" s="133">
        <v>26.77</v>
      </c>
      <c r="E28" s="133">
        <v>7.81</v>
      </c>
      <c r="F28" s="133">
        <v>2.77</v>
      </c>
      <c r="G28" s="133">
        <v>36.24</v>
      </c>
      <c r="H28" s="133">
        <v>10.31</v>
      </c>
      <c r="I28" s="133">
        <v>4.25</v>
      </c>
      <c r="J28" s="133">
        <v>0.34</v>
      </c>
      <c r="K28" s="133">
        <v>252.72</v>
      </c>
      <c r="L28" s="133">
        <v>24.32</v>
      </c>
      <c r="M28" s="133">
        <v>72.38</v>
      </c>
      <c r="N28" s="133">
        <v>0</v>
      </c>
      <c r="O28" s="133">
        <v>0</v>
      </c>
      <c r="P28" s="133">
        <v>0.57999999999999996</v>
      </c>
      <c r="Q28" s="133">
        <v>3.95</v>
      </c>
    </row>
    <row r="29" spans="1:17" customFormat="1">
      <c r="A29" s="111" t="s">
        <v>547</v>
      </c>
      <c r="B29" s="133">
        <v>12.51</v>
      </c>
      <c r="C29" s="133">
        <v>28.93</v>
      </c>
      <c r="D29" s="133">
        <v>26.5</v>
      </c>
      <c r="E29" s="133">
        <v>7.83</v>
      </c>
      <c r="F29" s="133">
        <v>2.7</v>
      </c>
      <c r="G29" s="133">
        <v>36.24</v>
      </c>
      <c r="H29" s="133">
        <v>10.31</v>
      </c>
      <c r="I29" s="133">
        <v>4.17</v>
      </c>
      <c r="J29" s="133">
        <v>0.44</v>
      </c>
      <c r="K29" s="133">
        <v>256.51</v>
      </c>
      <c r="L29" s="133">
        <v>24.14</v>
      </c>
      <c r="M29" s="133">
        <v>71.89</v>
      </c>
      <c r="N29" s="133">
        <v>0</v>
      </c>
      <c r="O29" s="133">
        <v>0</v>
      </c>
      <c r="P29" s="133">
        <v>0.56999999999999995</v>
      </c>
      <c r="Q29" s="133">
        <v>3.91</v>
      </c>
    </row>
    <row r="30" spans="1:17" customFormat="1">
      <c r="A30" s="111" t="s">
        <v>548</v>
      </c>
      <c r="B30" s="133">
        <v>12.23</v>
      </c>
      <c r="C30" s="133">
        <v>28.93</v>
      </c>
      <c r="D30" s="133">
        <v>26.28</v>
      </c>
      <c r="E30" s="133">
        <v>7.77</v>
      </c>
      <c r="F30" s="133">
        <v>2.5099999999999998</v>
      </c>
      <c r="G30" s="133">
        <v>36.24</v>
      </c>
      <c r="H30" s="133">
        <v>10.31</v>
      </c>
      <c r="I30" s="133">
        <v>4.12</v>
      </c>
      <c r="J30" s="133">
        <v>0.42</v>
      </c>
      <c r="K30" s="133">
        <v>261.22000000000003</v>
      </c>
      <c r="L30" s="133">
        <v>23.84</v>
      </c>
      <c r="M30" s="133">
        <v>71.150000000000006</v>
      </c>
      <c r="N30" s="133">
        <v>0</v>
      </c>
      <c r="O30" s="133">
        <v>0</v>
      </c>
      <c r="P30" s="133">
        <v>0.56000000000000005</v>
      </c>
      <c r="Q30" s="133">
        <v>3.87</v>
      </c>
    </row>
    <row r="31" spans="1:17" customFormat="1">
      <c r="A31" s="111" t="s">
        <v>549</v>
      </c>
      <c r="B31" s="133">
        <v>12.04</v>
      </c>
      <c r="C31" s="133">
        <v>29.02</v>
      </c>
      <c r="D31" s="133">
        <v>26.17</v>
      </c>
      <c r="E31" s="133">
        <v>7.96</v>
      </c>
      <c r="F31" s="133">
        <v>2.66</v>
      </c>
      <c r="G31" s="133">
        <v>36.229999999999997</v>
      </c>
      <c r="H31" s="133">
        <v>10.17</v>
      </c>
      <c r="I31" s="133">
        <v>4.0599999999999996</v>
      </c>
      <c r="J31" s="133">
        <v>0.21</v>
      </c>
      <c r="K31" s="133">
        <v>237.32</v>
      </c>
      <c r="L31" s="133">
        <v>23.58</v>
      </c>
      <c r="M31" s="133">
        <v>74.19</v>
      </c>
      <c r="N31" s="133">
        <v>0</v>
      </c>
      <c r="O31" s="133">
        <v>0</v>
      </c>
      <c r="P31" s="133">
        <v>0.56000000000000005</v>
      </c>
      <c r="Q31" s="133">
        <v>3.85</v>
      </c>
    </row>
    <row r="32" spans="1:17" customFormat="1">
      <c r="A32" s="111" t="s">
        <v>550</v>
      </c>
      <c r="B32" s="133">
        <v>11.85</v>
      </c>
      <c r="C32" s="133">
        <v>29.28</v>
      </c>
      <c r="D32" s="133">
        <v>26.15</v>
      </c>
      <c r="E32" s="133">
        <v>7.84</v>
      </c>
      <c r="F32" s="133">
        <v>2.69</v>
      </c>
      <c r="G32" s="133">
        <v>36.21</v>
      </c>
      <c r="H32" s="133">
        <v>9.85</v>
      </c>
      <c r="I32" s="133">
        <v>4.05</v>
      </c>
      <c r="J32" s="133">
        <v>0.23</v>
      </c>
      <c r="K32" s="133">
        <v>253.24</v>
      </c>
      <c r="L32" s="133">
        <v>23.36</v>
      </c>
      <c r="M32" s="133">
        <v>73.83</v>
      </c>
      <c r="N32" s="133">
        <v>0</v>
      </c>
      <c r="O32" s="133">
        <v>0</v>
      </c>
      <c r="P32" s="133">
        <v>0.55000000000000004</v>
      </c>
      <c r="Q32" s="133">
        <v>3.84</v>
      </c>
    </row>
    <row r="33" spans="1:17" customFormat="1">
      <c r="A33" s="111" t="s">
        <v>551</v>
      </c>
      <c r="B33" s="133">
        <v>11.78</v>
      </c>
      <c r="C33" s="133">
        <v>28.92</v>
      </c>
      <c r="D33" s="133">
        <v>25.91</v>
      </c>
      <c r="E33" s="133">
        <v>8.15</v>
      </c>
      <c r="F33" s="133">
        <v>2.76</v>
      </c>
      <c r="G33" s="133">
        <v>36.21</v>
      </c>
      <c r="H33" s="133">
        <v>9.85</v>
      </c>
      <c r="I33" s="133">
        <v>4</v>
      </c>
      <c r="J33" s="133">
        <v>0.38</v>
      </c>
      <c r="K33" s="133">
        <v>256.72000000000003</v>
      </c>
      <c r="L33" s="133">
        <v>23.6</v>
      </c>
      <c r="M33" s="133">
        <v>69.78</v>
      </c>
      <c r="N33" s="133">
        <v>7.4</v>
      </c>
      <c r="O33" s="133">
        <v>0</v>
      </c>
      <c r="P33" s="133">
        <v>0.55000000000000004</v>
      </c>
      <c r="Q33" s="133">
        <v>3.85</v>
      </c>
    </row>
    <row r="34" spans="1:17" customFormat="1">
      <c r="A34" s="111" t="s">
        <v>552</v>
      </c>
      <c r="B34" s="133">
        <v>11.49</v>
      </c>
      <c r="C34" s="133">
        <v>29.18</v>
      </c>
      <c r="D34" s="133">
        <v>25.81</v>
      </c>
      <c r="E34" s="133">
        <v>8.17</v>
      </c>
      <c r="F34" s="133">
        <v>2.82</v>
      </c>
      <c r="G34" s="133">
        <v>36.21</v>
      </c>
      <c r="H34" s="133">
        <v>9.85</v>
      </c>
      <c r="I34" s="133">
        <v>3.95</v>
      </c>
      <c r="J34" s="133">
        <v>0.4</v>
      </c>
      <c r="K34" s="133">
        <v>265.25</v>
      </c>
      <c r="L34" s="133">
        <v>23.89</v>
      </c>
      <c r="M34" s="133">
        <v>67.52</v>
      </c>
      <c r="N34" s="133">
        <v>27.6</v>
      </c>
      <c r="O34" s="133">
        <v>0</v>
      </c>
      <c r="P34" s="133">
        <v>0.55000000000000004</v>
      </c>
      <c r="Q34" s="133">
        <v>3.84</v>
      </c>
    </row>
    <row r="35" spans="1:17" customFormat="1">
      <c r="A35" s="111" t="s">
        <v>553</v>
      </c>
      <c r="B35" s="133">
        <v>11.27</v>
      </c>
      <c r="C35" s="133">
        <v>29.21</v>
      </c>
      <c r="D35" s="133">
        <v>25.65</v>
      </c>
      <c r="E35" s="133">
        <v>7.61</v>
      </c>
      <c r="F35" s="133">
        <v>2.73</v>
      </c>
      <c r="G35" s="133">
        <v>36.479999999999997</v>
      </c>
      <c r="H35" s="133">
        <v>10.23</v>
      </c>
      <c r="I35" s="133">
        <v>3.95</v>
      </c>
      <c r="J35" s="133">
        <v>0.5</v>
      </c>
      <c r="K35" s="133">
        <v>268.45</v>
      </c>
      <c r="L35" s="133">
        <v>24.22</v>
      </c>
      <c r="M35" s="133">
        <v>65.84</v>
      </c>
      <c r="N35" s="133">
        <v>42.1</v>
      </c>
      <c r="O35" s="133">
        <v>0</v>
      </c>
      <c r="P35" s="133">
        <v>0.54</v>
      </c>
      <c r="Q35" s="133">
        <v>3.82</v>
      </c>
    </row>
    <row r="36" spans="1:17" customFormat="1">
      <c r="A36" s="111" t="s">
        <v>554</v>
      </c>
      <c r="B36" s="133">
        <v>11.21</v>
      </c>
      <c r="C36" s="133">
        <v>29.53</v>
      </c>
      <c r="D36" s="133">
        <v>25.78</v>
      </c>
      <c r="E36" s="133">
        <v>8.39</v>
      </c>
      <c r="F36" s="133">
        <v>2.69</v>
      </c>
      <c r="G36" s="133">
        <v>37.409999999999997</v>
      </c>
      <c r="H36" s="133">
        <v>12.04</v>
      </c>
      <c r="I36" s="133">
        <v>3.96</v>
      </c>
      <c r="J36" s="133">
        <v>0.52</v>
      </c>
      <c r="K36" s="133">
        <v>270.04000000000002</v>
      </c>
      <c r="L36" s="133">
        <v>24.54</v>
      </c>
      <c r="M36" s="133">
        <v>63.79</v>
      </c>
      <c r="N36" s="133">
        <v>57.5</v>
      </c>
      <c r="O36" s="133">
        <v>0</v>
      </c>
      <c r="P36" s="133">
        <v>0.54</v>
      </c>
      <c r="Q36" s="133">
        <v>3.82</v>
      </c>
    </row>
    <row r="37" spans="1:17" customFormat="1">
      <c r="A37" s="111" t="s">
        <v>555</v>
      </c>
      <c r="B37" s="133">
        <v>11.52</v>
      </c>
      <c r="C37" s="133">
        <v>27.49</v>
      </c>
      <c r="D37" s="133">
        <v>24.95</v>
      </c>
      <c r="E37" s="133">
        <v>7.94</v>
      </c>
      <c r="F37" s="133">
        <v>3.1</v>
      </c>
      <c r="G37" s="133">
        <v>37.409999999999997</v>
      </c>
      <c r="H37" s="133">
        <v>12.04</v>
      </c>
      <c r="I37" s="133">
        <v>3.94</v>
      </c>
      <c r="J37" s="133">
        <v>0.46</v>
      </c>
      <c r="K37" s="133">
        <v>275.36</v>
      </c>
      <c r="L37" s="133">
        <v>24.94</v>
      </c>
      <c r="M37" s="133">
        <v>63.03</v>
      </c>
      <c r="N37" s="133">
        <v>94.5</v>
      </c>
      <c r="O37" s="133">
        <v>0</v>
      </c>
      <c r="P37" s="133">
        <v>0.53</v>
      </c>
      <c r="Q37" s="133">
        <v>3.85</v>
      </c>
    </row>
    <row r="38" spans="1:17" customFormat="1">
      <c r="A38" s="111" t="s">
        <v>556</v>
      </c>
      <c r="B38" s="133">
        <v>11.69</v>
      </c>
      <c r="C38" s="133">
        <v>25.43</v>
      </c>
      <c r="D38" s="133">
        <v>24.01</v>
      </c>
      <c r="E38" s="133">
        <v>7.91</v>
      </c>
      <c r="F38" s="133">
        <v>3.2</v>
      </c>
      <c r="G38" s="133">
        <v>37.409999999999997</v>
      </c>
      <c r="H38" s="133">
        <v>12.04</v>
      </c>
      <c r="I38" s="133">
        <v>4.0199999999999996</v>
      </c>
      <c r="J38" s="133">
        <v>0.38</v>
      </c>
      <c r="K38" s="133">
        <v>285.55</v>
      </c>
      <c r="L38" s="133">
        <v>25.43</v>
      </c>
      <c r="M38" s="133">
        <v>61.63</v>
      </c>
      <c r="N38" s="133">
        <v>151</v>
      </c>
      <c r="O38" s="133">
        <v>0</v>
      </c>
      <c r="P38" s="133">
        <v>0.51</v>
      </c>
      <c r="Q38" s="133">
        <v>3.81</v>
      </c>
    </row>
    <row r="39" spans="1:17" customFormat="1">
      <c r="A39" s="111" t="s">
        <v>557</v>
      </c>
      <c r="B39" s="133">
        <v>11.78</v>
      </c>
      <c r="C39" s="133">
        <v>24.46</v>
      </c>
      <c r="D39" s="133">
        <v>23.58</v>
      </c>
      <c r="E39" s="133">
        <v>7.28</v>
      </c>
      <c r="F39" s="133">
        <v>3.31</v>
      </c>
      <c r="G39" s="133">
        <v>36.880000000000003</v>
      </c>
      <c r="H39" s="133">
        <v>11.1</v>
      </c>
      <c r="I39" s="133">
        <v>4.04</v>
      </c>
      <c r="J39" s="133">
        <v>0.42</v>
      </c>
      <c r="K39" s="133">
        <v>308.67</v>
      </c>
      <c r="L39" s="133">
        <v>26.12</v>
      </c>
      <c r="M39" s="133">
        <v>58.01</v>
      </c>
      <c r="N39" s="133">
        <v>130.80000000000001</v>
      </c>
      <c r="O39" s="133">
        <v>0</v>
      </c>
      <c r="P39" s="133">
        <v>0.5</v>
      </c>
      <c r="Q39" s="133">
        <v>3.77</v>
      </c>
    </row>
    <row r="40" spans="1:17" customFormat="1">
      <c r="A40" s="111" t="s">
        <v>558</v>
      </c>
      <c r="B40" s="133">
        <v>11.76</v>
      </c>
      <c r="C40" s="133">
        <v>23.75</v>
      </c>
      <c r="D40" s="133">
        <v>23.19</v>
      </c>
      <c r="E40" s="133">
        <v>7.72</v>
      </c>
      <c r="F40" s="133">
        <v>3.69</v>
      </c>
      <c r="G40" s="133">
        <v>34.99</v>
      </c>
      <c r="H40" s="133">
        <v>8.7899999999999991</v>
      </c>
      <c r="I40" s="133">
        <v>4.0599999999999996</v>
      </c>
      <c r="J40" s="133">
        <v>0.49</v>
      </c>
      <c r="K40" s="133">
        <v>291.74</v>
      </c>
      <c r="L40" s="133">
        <v>26.67</v>
      </c>
      <c r="M40" s="133">
        <v>56.7</v>
      </c>
      <c r="N40" s="133">
        <v>245.5</v>
      </c>
      <c r="O40" s="133">
        <v>0</v>
      </c>
      <c r="P40" s="133">
        <v>0.49</v>
      </c>
      <c r="Q40" s="133">
        <v>3.75</v>
      </c>
    </row>
    <row r="41" spans="1:17" customFormat="1">
      <c r="A41" s="111" t="s">
        <v>559</v>
      </c>
      <c r="B41" s="133">
        <v>11.49</v>
      </c>
      <c r="C41" s="133">
        <v>23.41</v>
      </c>
      <c r="D41" s="133">
        <v>22.79</v>
      </c>
      <c r="E41" s="133">
        <v>7.51</v>
      </c>
      <c r="F41" s="133">
        <v>3.55</v>
      </c>
      <c r="G41" s="133">
        <v>34.99</v>
      </c>
      <c r="H41" s="133">
        <v>8.7899999999999991</v>
      </c>
      <c r="I41" s="133">
        <v>4.12</v>
      </c>
      <c r="J41" s="133">
        <v>0.55000000000000004</v>
      </c>
      <c r="K41" s="133">
        <v>280.83999999999997</v>
      </c>
      <c r="L41" s="133">
        <v>27.31</v>
      </c>
      <c r="M41" s="133">
        <v>55.44</v>
      </c>
      <c r="N41" s="133">
        <v>367.1</v>
      </c>
      <c r="O41" s="133">
        <v>0</v>
      </c>
      <c r="P41" s="133">
        <v>0.48</v>
      </c>
      <c r="Q41" s="133">
        <v>3.74</v>
      </c>
    </row>
    <row r="42" spans="1:17" customFormat="1">
      <c r="A42" s="111" t="s">
        <v>560</v>
      </c>
      <c r="B42" s="133">
        <v>11.19</v>
      </c>
      <c r="C42" s="133">
        <v>23.65</v>
      </c>
      <c r="D42" s="133">
        <v>22.68</v>
      </c>
      <c r="E42" s="133">
        <v>7.19</v>
      </c>
      <c r="F42" s="133">
        <v>3.35</v>
      </c>
      <c r="G42" s="133">
        <v>34.99</v>
      </c>
      <c r="H42" s="133">
        <v>8.7899999999999991</v>
      </c>
      <c r="I42" s="133">
        <v>4.17</v>
      </c>
      <c r="J42" s="133">
        <v>0.61</v>
      </c>
      <c r="K42" s="133">
        <v>297.95999999999998</v>
      </c>
      <c r="L42" s="133">
        <v>27.95</v>
      </c>
      <c r="M42" s="133">
        <v>53.58</v>
      </c>
      <c r="N42" s="133">
        <v>422.8</v>
      </c>
      <c r="O42" s="133">
        <v>0</v>
      </c>
      <c r="P42" s="133">
        <v>0.49</v>
      </c>
      <c r="Q42" s="133">
        <v>3.72</v>
      </c>
    </row>
    <row r="43" spans="1:17" customFormat="1">
      <c r="A43" s="111" t="s">
        <v>561</v>
      </c>
      <c r="B43" s="133">
        <v>10.9</v>
      </c>
      <c r="C43" s="133">
        <v>25.01</v>
      </c>
      <c r="D43" s="133">
        <v>23.15</v>
      </c>
      <c r="E43" s="133">
        <v>7.42</v>
      </c>
      <c r="F43" s="133">
        <v>3.48</v>
      </c>
      <c r="G43" s="133">
        <v>36.03</v>
      </c>
      <c r="H43" s="133">
        <v>9.3800000000000008</v>
      </c>
      <c r="I43" s="133">
        <v>4.18</v>
      </c>
      <c r="J43" s="133">
        <v>0.65</v>
      </c>
      <c r="K43" s="133">
        <v>310.91000000000003</v>
      </c>
      <c r="L43" s="133">
        <v>28.24</v>
      </c>
      <c r="M43" s="133">
        <v>51.29</v>
      </c>
      <c r="N43" s="133">
        <v>469.3</v>
      </c>
      <c r="O43" s="133">
        <v>0</v>
      </c>
      <c r="P43" s="133">
        <v>0.52</v>
      </c>
      <c r="Q43" s="133">
        <v>3.69</v>
      </c>
    </row>
    <row r="44" spans="1:17" customFormat="1">
      <c r="A44" s="111" t="s">
        <v>562</v>
      </c>
      <c r="B44" s="133">
        <v>10.73</v>
      </c>
      <c r="C44" s="133">
        <v>24.3</v>
      </c>
      <c r="D44" s="133">
        <v>22.65</v>
      </c>
      <c r="E44" s="133">
        <v>7.68</v>
      </c>
      <c r="F44" s="133">
        <v>3.74</v>
      </c>
      <c r="G44" s="133">
        <v>39.69</v>
      </c>
      <c r="H44" s="133">
        <v>10.83</v>
      </c>
      <c r="I44" s="133">
        <v>4.22</v>
      </c>
      <c r="J44" s="133">
        <v>0.85</v>
      </c>
      <c r="K44" s="133">
        <v>301.04000000000002</v>
      </c>
      <c r="L44" s="133">
        <v>28.63</v>
      </c>
      <c r="M44" s="133">
        <v>50.51</v>
      </c>
      <c r="N44" s="133">
        <v>507.4</v>
      </c>
      <c r="O44" s="133">
        <v>0</v>
      </c>
      <c r="P44" s="133">
        <v>0.52</v>
      </c>
      <c r="Q44" s="133">
        <v>3.7</v>
      </c>
    </row>
    <row r="45" spans="1:17" customFormat="1">
      <c r="A45" s="111" t="s">
        <v>563</v>
      </c>
      <c r="B45" s="133">
        <v>10.3</v>
      </c>
      <c r="C45" s="133">
        <v>23.91</v>
      </c>
      <c r="D45" s="133">
        <v>22.1</v>
      </c>
      <c r="E45" s="133">
        <v>7.51</v>
      </c>
      <c r="F45" s="133">
        <v>3.84</v>
      </c>
      <c r="G45" s="133">
        <v>39.69</v>
      </c>
      <c r="H45" s="133">
        <v>10.83</v>
      </c>
      <c r="I45" s="133">
        <v>4.28</v>
      </c>
      <c r="J45" s="133">
        <v>0.61</v>
      </c>
      <c r="K45" s="133">
        <v>307.3</v>
      </c>
      <c r="L45" s="133">
        <v>29.06</v>
      </c>
      <c r="M45" s="133">
        <v>50.86</v>
      </c>
      <c r="N45" s="133">
        <v>550.29999999999995</v>
      </c>
      <c r="O45" s="133">
        <v>0</v>
      </c>
      <c r="P45" s="133">
        <v>0.51</v>
      </c>
      <c r="Q45" s="133">
        <v>3.67</v>
      </c>
    </row>
    <row r="46" spans="1:17" customFormat="1">
      <c r="A46" s="111" t="s">
        <v>564</v>
      </c>
      <c r="B46" s="133">
        <v>9.94</v>
      </c>
      <c r="C46" s="133">
        <v>23.65</v>
      </c>
      <c r="D46" s="133">
        <v>21.68</v>
      </c>
      <c r="E46" s="133">
        <v>7.45</v>
      </c>
      <c r="F46" s="133">
        <v>4.2699999999999996</v>
      </c>
      <c r="G46" s="133">
        <v>39.69</v>
      </c>
      <c r="H46" s="133">
        <v>10.83</v>
      </c>
      <c r="I46" s="133">
        <v>4.3</v>
      </c>
      <c r="J46" s="133">
        <v>0.77</v>
      </c>
      <c r="K46" s="133">
        <v>291.07</v>
      </c>
      <c r="L46" s="133">
        <v>29.35</v>
      </c>
      <c r="M46" s="133">
        <v>50.98</v>
      </c>
      <c r="N46" s="133">
        <v>537.79999999999995</v>
      </c>
      <c r="O46" s="133">
        <v>0</v>
      </c>
      <c r="P46" s="133">
        <v>0.53</v>
      </c>
      <c r="Q46" s="133">
        <v>3.62</v>
      </c>
    </row>
    <row r="47" spans="1:17" customFormat="1">
      <c r="A47" s="111" t="s">
        <v>565</v>
      </c>
      <c r="B47" s="133">
        <v>9.5500000000000007</v>
      </c>
      <c r="C47" s="133">
        <v>23.51</v>
      </c>
      <c r="D47" s="133">
        <v>21.29</v>
      </c>
      <c r="E47" s="133">
        <v>7.55</v>
      </c>
      <c r="F47" s="133">
        <v>4.5</v>
      </c>
      <c r="G47" s="133">
        <v>40.83</v>
      </c>
      <c r="H47" s="133">
        <v>10.89</v>
      </c>
      <c r="I47" s="133">
        <v>4.29</v>
      </c>
      <c r="J47" s="133">
        <v>0.67</v>
      </c>
      <c r="K47" s="133">
        <v>306.13</v>
      </c>
      <c r="L47" s="133">
        <v>29.77</v>
      </c>
      <c r="M47" s="133">
        <v>50.77</v>
      </c>
      <c r="N47" s="133">
        <v>445.6</v>
      </c>
      <c r="O47" s="133">
        <v>0</v>
      </c>
      <c r="P47" s="133">
        <v>0.53</v>
      </c>
      <c r="Q47" s="133">
        <v>3.63</v>
      </c>
    </row>
    <row r="48" spans="1:17" customFormat="1">
      <c r="A48" s="111" t="s">
        <v>566</v>
      </c>
      <c r="B48" s="133">
        <v>9.25</v>
      </c>
      <c r="C48" s="133">
        <v>23.92</v>
      </c>
      <c r="D48" s="133">
        <v>21.26</v>
      </c>
      <c r="E48" s="133">
        <v>7.97</v>
      </c>
      <c r="F48" s="133">
        <v>4.8</v>
      </c>
      <c r="G48" s="133">
        <v>44.83</v>
      </c>
      <c r="H48" s="133">
        <v>11.05</v>
      </c>
      <c r="I48" s="133">
        <v>4.3</v>
      </c>
      <c r="J48" s="133">
        <v>0.63</v>
      </c>
      <c r="K48" s="133">
        <v>326.72000000000003</v>
      </c>
      <c r="L48" s="133">
        <v>30.24</v>
      </c>
      <c r="M48" s="133">
        <v>50.25</v>
      </c>
      <c r="N48" s="133">
        <v>468.6</v>
      </c>
      <c r="O48" s="133">
        <v>0</v>
      </c>
      <c r="P48" s="133">
        <v>0.54</v>
      </c>
      <c r="Q48" s="133">
        <v>3.6</v>
      </c>
    </row>
    <row r="49" spans="1:17" customFormat="1">
      <c r="A49" s="111" t="s">
        <v>567</v>
      </c>
      <c r="B49" s="133">
        <v>8.9499999999999993</v>
      </c>
      <c r="C49" s="133">
        <v>23.66</v>
      </c>
      <c r="D49" s="133">
        <v>20.89</v>
      </c>
      <c r="E49" s="133">
        <v>5.98</v>
      </c>
      <c r="F49" s="133">
        <v>5.39</v>
      </c>
      <c r="G49" s="133">
        <v>44.83</v>
      </c>
      <c r="H49" s="133">
        <v>11.05</v>
      </c>
      <c r="I49" s="133">
        <v>4.3</v>
      </c>
      <c r="J49" s="133">
        <v>0.76</v>
      </c>
      <c r="K49" s="133">
        <v>310.5</v>
      </c>
      <c r="L49" s="133">
        <v>30.45</v>
      </c>
      <c r="M49" s="133">
        <v>49.27</v>
      </c>
      <c r="N49" s="133">
        <v>699.9</v>
      </c>
      <c r="O49" s="133">
        <v>0</v>
      </c>
      <c r="P49" s="133">
        <v>0.55000000000000004</v>
      </c>
      <c r="Q49" s="133">
        <v>3.57</v>
      </c>
    </row>
    <row r="50" spans="1:17" customFormat="1">
      <c r="A50" s="111" t="s">
        <v>568</v>
      </c>
      <c r="B50" s="133">
        <v>8.52</v>
      </c>
      <c r="C50" s="133">
        <v>23.75</v>
      </c>
      <c r="D50" s="133">
        <v>20.59</v>
      </c>
      <c r="E50" s="133">
        <v>7.22</v>
      </c>
      <c r="F50" s="133">
        <v>6.5</v>
      </c>
      <c r="G50" s="133">
        <v>44.83</v>
      </c>
      <c r="H50" s="133">
        <v>11.05</v>
      </c>
      <c r="I50" s="133">
        <v>4.3099999999999996</v>
      </c>
      <c r="J50" s="133">
        <v>0.62</v>
      </c>
      <c r="K50" s="133">
        <v>318.36</v>
      </c>
      <c r="L50" s="133">
        <v>30.77</v>
      </c>
      <c r="M50" s="133">
        <v>49.89</v>
      </c>
      <c r="N50" s="133">
        <v>728.8</v>
      </c>
      <c r="O50" s="133">
        <v>0</v>
      </c>
      <c r="P50" s="133">
        <v>0.55000000000000004</v>
      </c>
      <c r="Q50" s="133">
        <v>3.56</v>
      </c>
    </row>
    <row r="51" spans="1:17" customFormat="1">
      <c r="A51" s="111" t="s">
        <v>569</v>
      </c>
      <c r="B51" s="133">
        <v>8.14</v>
      </c>
      <c r="C51" s="133">
        <v>23.74</v>
      </c>
      <c r="D51" s="133">
        <v>20.28</v>
      </c>
      <c r="E51" s="133">
        <v>7.28</v>
      </c>
      <c r="F51" s="133">
        <v>7.19</v>
      </c>
      <c r="G51" s="133">
        <v>46.79</v>
      </c>
      <c r="H51" s="133">
        <v>12.04</v>
      </c>
      <c r="I51" s="133">
        <v>4.34</v>
      </c>
      <c r="J51" s="133">
        <v>0.7</v>
      </c>
      <c r="K51" s="133">
        <v>310.76</v>
      </c>
      <c r="L51" s="133">
        <v>30.98</v>
      </c>
      <c r="M51" s="133">
        <v>48.39</v>
      </c>
      <c r="N51" s="133">
        <v>763</v>
      </c>
      <c r="O51" s="133">
        <v>0</v>
      </c>
      <c r="P51" s="133">
        <v>0.56000000000000005</v>
      </c>
      <c r="Q51" s="133">
        <v>3.51</v>
      </c>
    </row>
    <row r="52" spans="1:17" customFormat="1">
      <c r="A52" s="111" t="s">
        <v>570</v>
      </c>
      <c r="B52" s="133">
        <v>7.58</v>
      </c>
      <c r="C52" s="133">
        <v>23.77</v>
      </c>
      <c r="D52" s="133">
        <v>19.850000000000001</v>
      </c>
      <c r="E52" s="133">
        <v>6.64</v>
      </c>
      <c r="F52" s="133">
        <v>6.7</v>
      </c>
      <c r="G52" s="133">
        <v>53.65</v>
      </c>
      <c r="H52" s="133">
        <v>14.48</v>
      </c>
      <c r="I52" s="133">
        <v>4.3499999999999996</v>
      </c>
      <c r="J52" s="133">
        <v>0.93</v>
      </c>
      <c r="K52" s="133">
        <v>304.36</v>
      </c>
      <c r="L52" s="133">
        <v>30.84</v>
      </c>
      <c r="M52" s="133">
        <v>48.24</v>
      </c>
      <c r="N52" s="133">
        <v>723.1</v>
      </c>
      <c r="O52" s="133">
        <v>0</v>
      </c>
      <c r="P52" s="133">
        <v>0.56000000000000005</v>
      </c>
      <c r="Q52" s="133">
        <v>3.48</v>
      </c>
    </row>
    <row r="53" spans="1:17" customFormat="1">
      <c r="A53" s="111" t="s">
        <v>571</v>
      </c>
      <c r="B53" s="133">
        <v>7.04</v>
      </c>
      <c r="C53" s="133">
        <v>23.36</v>
      </c>
      <c r="D53" s="133">
        <v>19.2</v>
      </c>
      <c r="E53" s="133">
        <v>7.12</v>
      </c>
      <c r="F53" s="133">
        <v>9.64</v>
      </c>
      <c r="G53" s="133">
        <v>53.65</v>
      </c>
      <c r="H53" s="133">
        <v>14.48</v>
      </c>
      <c r="I53" s="133">
        <v>4.3600000000000003</v>
      </c>
      <c r="J53" s="133">
        <v>0.67</v>
      </c>
      <c r="K53" s="133">
        <v>328.72</v>
      </c>
      <c r="L53" s="133">
        <v>31.16</v>
      </c>
      <c r="M53" s="133">
        <v>48.56</v>
      </c>
      <c r="N53" s="133">
        <v>810.8</v>
      </c>
      <c r="O53" s="133">
        <v>0</v>
      </c>
      <c r="P53" s="133">
        <v>0.56000000000000005</v>
      </c>
      <c r="Q53" s="133">
        <v>3.46</v>
      </c>
    </row>
    <row r="54" spans="1:17" customFormat="1">
      <c r="A54" s="111" t="s">
        <v>572</v>
      </c>
      <c r="B54" s="133">
        <v>6.58</v>
      </c>
      <c r="C54" s="133">
        <v>23.39</v>
      </c>
      <c r="D54" s="133">
        <v>18.84</v>
      </c>
      <c r="E54" s="133">
        <v>6.46</v>
      </c>
      <c r="F54" s="133">
        <v>9.75</v>
      </c>
      <c r="G54" s="133">
        <v>53.65</v>
      </c>
      <c r="H54" s="133">
        <v>14.48</v>
      </c>
      <c r="I54" s="133">
        <v>4.3600000000000003</v>
      </c>
      <c r="J54" s="133">
        <v>0.93</v>
      </c>
      <c r="K54" s="133">
        <v>314</v>
      </c>
      <c r="L54" s="133">
        <v>31.23</v>
      </c>
      <c r="M54" s="133">
        <v>46.9</v>
      </c>
      <c r="N54" s="133">
        <v>821.8</v>
      </c>
      <c r="O54" s="133">
        <v>0</v>
      </c>
      <c r="P54" s="133">
        <v>0.56999999999999995</v>
      </c>
      <c r="Q54" s="133">
        <v>3.42</v>
      </c>
    </row>
    <row r="55" spans="1:17" customFormat="1">
      <c r="A55" s="111" t="s">
        <v>573</v>
      </c>
      <c r="B55" s="133">
        <v>6.01</v>
      </c>
      <c r="C55" s="133">
        <v>23.58</v>
      </c>
      <c r="D55" s="133">
        <v>18.489999999999998</v>
      </c>
      <c r="E55" s="133">
        <v>7.22</v>
      </c>
      <c r="F55" s="133">
        <v>10.61</v>
      </c>
      <c r="G55" s="133">
        <v>53.54</v>
      </c>
      <c r="H55" s="133">
        <v>15.17</v>
      </c>
      <c r="I55" s="133">
        <v>4.32</v>
      </c>
      <c r="J55" s="133">
        <v>0.85</v>
      </c>
      <c r="K55" s="133">
        <v>316.57</v>
      </c>
      <c r="L55" s="133">
        <v>31.21</v>
      </c>
      <c r="M55" s="133">
        <v>46.61</v>
      </c>
      <c r="N55" s="133">
        <v>835.9</v>
      </c>
      <c r="O55" s="133">
        <v>0</v>
      </c>
      <c r="P55" s="133">
        <v>0.56999999999999995</v>
      </c>
      <c r="Q55" s="133">
        <v>3.38</v>
      </c>
    </row>
    <row r="56" spans="1:17" customFormat="1">
      <c r="A56" s="111" t="s">
        <v>574</v>
      </c>
      <c r="B56" s="133">
        <v>5.42</v>
      </c>
      <c r="C56" s="133">
        <v>24.17</v>
      </c>
      <c r="D56" s="133">
        <v>18.32</v>
      </c>
      <c r="E56" s="133">
        <v>6.75</v>
      </c>
      <c r="F56" s="133">
        <v>8.76</v>
      </c>
      <c r="G56" s="133">
        <v>53.15</v>
      </c>
      <c r="H56" s="133">
        <v>16.79</v>
      </c>
      <c r="I56" s="133">
        <v>4.33</v>
      </c>
      <c r="J56" s="133">
        <v>0.82</v>
      </c>
      <c r="K56" s="133">
        <v>315.26</v>
      </c>
      <c r="L56" s="133">
        <v>31.36</v>
      </c>
      <c r="M56" s="133">
        <v>46.78</v>
      </c>
      <c r="N56" s="133">
        <v>840.7</v>
      </c>
      <c r="O56" s="133">
        <v>0</v>
      </c>
      <c r="P56" s="133">
        <v>0.56000000000000005</v>
      </c>
      <c r="Q56" s="133">
        <v>3.35</v>
      </c>
    </row>
    <row r="57" spans="1:17" customFormat="1">
      <c r="A57" s="111" t="s">
        <v>575</v>
      </c>
      <c r="B57" s="133">
        <v>5.23</v>
      </c>
      <c r="C57" s="133">
        <v>24.26</v>
      </c>
      <c r="D57" s="133">
        <v>18.22</v>
      </c>
      <c r="E57" s="133">
        <v>6.83</v>
      </c>
      <c r="F57" s="133">
        <v>10.34</v>
      </c>
      <c r="G57" s="133">
        <v>53.15</v>
      </c>
      <c r="H57" s="133">
        <v>16.79</v>
      </c>
      <c r="I57" s="133">
        <v>4.25</v>
      </c>
      <c r="J57" s="133">
        <v>0.9</v>
      </c>
      <c r="K57" s="133">
        <v>319.48</v>
      </c>
      <c r="L57" s="133">
        <v>31.5</v>
      </c>
      <c r="M57" s="133">
        <v>46.7</v>
      </c>
      <c r="N57" s="133">
        <v>842.7</v>
      </c>
      <c r="O57" s="133">
        <v>0</v>
      </c>
      <c r="P57" s="133">
        <v>0.56999999999999995</v>
      </c>
      <c r="Q57" s="133">
        <v>3.35</v>
      </c>
    </row>
    <row r="58" spans="1:17" customFormat="1">
      <c r="A58" s="111" t="s">
        <v>576</v>
      </c>
      <c r="B58" s="133">
        <v>4.96</v>
      </c>
      <c r="C58" s="133">
        <v>24.12</v>
      </c>
      <c r="D58" s="133">
        <v>17.93</v>
      </c>
      <c r="E58" s="133">
        <v>6.51</v>
      </c>
      <c r="F58" s="133">
        <v>9.11</v>
      </c>
      <c r="G58" s="133">
        <v>53.15</v>
      </c>
      <c r="H58" s="133">
        <v>16.79</v>
      </c>
      <c r="I58" s="133">
        <v>4.2699999999999996</v>
      </c>
      <c r="J58" s="133">
        <v>1.06</v>
      </c>
      <c r="K58" s="133">
        <v>311.73</v>
      </c>
      <c r="L58" s="133">
        <v>31.58</v>
      </c>
      <c r="M58" s="133">
        <v>45.34</v>
      </c>
      <c r="N58" s="133">
        <v>850.2</v>
      </c>
      <c r="O58" s="133">
        <v>0</v>
      </c>
      <c r="P58" s="133">
        <v>0.56999999999999995</v>
      </c>
      <c r="Q58" s="133">
        <v>3.33</v>
      </c>
    </row>
    <row r="59" spans="1:17" customFormat="1">
      <c r="A59" s="111" t="s">
        <v>577</v>
      </c>
      <c r="B59" s="133">
        <v>4.88</v>
      </c>
      <c r="C59" s="133">
        <v>24.09</v>
      </c>
      <c r="D59" s="133">
        <v>17.850000000000001</v>
      </c>
      <c r="E59" s="133">
        <v>7.06</v>
      </c>
      <c r="F59" s="133">
        <v>10.44</v>
      </c>
      <c r="G59" s="133">
        <v>53.87</v>
      </c>
      <c r="H59" s="133">
        <v>16.47</v>
      </c>
      <c r="I59" s="133">
        <v>4.2</v>
      </c>
      <c r="J59" s="133">
        <v>0.78</v>
      </c>
      <c r="K59" s="133">
        <v>320.14999999999998</v>
      </c>
      <c r="L59" s="133">
        <v>31.75</v>
      </c>
      <c r="M59" s="133">
        <v>45.77</v>
      </c>
      <c r="N59" s="133">
        <v>830.1</v>
      </c>
      <c r="O59" s="133">
        <v>0</v>
      </c>
      <c r="P59" s="133">
        <v>0.56000000000000005</v>
      </c>
      <c r="Q59" s="133">
        <v>3.31</v>
      </c>
    </row>
    <row r="60" spans="1:17" customFormat="1">
      <c r="A60" s="111" t="s">
        <v>578</v>
      </c>
      <c r="B60" s="133">
        <v>4.87</v>
      </c>
      <c r="C60" s="133">
        <v>23.96</v>
      </c>
      <c r="D60" s="133">
        <v>17.78</v>
      </c>
      <c r="E60" s="133">
        <v>7.42</v>
      </c>
      <c r="F60" s="133">
        <v>9.34</v>
      </c>
      <c r="G60" s="133">
        <v>56.21</v>
      </c>
      <c r="H60" s="133">
        <v>14.82</v>
      </c>
      <c r="I60" s="133">
        <v>4.16</v>
      </c>
      <c r="J60" s="133">
        <v>0.7</v>
      </c>
      <c r="K60" s="133">
        <v>316.08</v>
      </c>
      <c r="L60" s="133">
        <v>32.049999999999997</v>
      </c>
      <c r="M60" s="133">
        <v>45.15</v>
      </c>
      <c r="N60" s="133">
        <v>792.6</v>
      </c>
      <c r="O60" s="133">
        <v>0</v>
      </c>
      <c r="P60" s="133">
        <v>0.56999999999999995</v>
      </c>
      <c r="Q60" s="133">
        <v>3.36</v>
      </c>
    </row>
    <row r="61" spans="1:17" customFormat="1">
      <c r="A61" s="111" t="s">
        <v>579</v>
      </c>
      <c r="B61" s="133">
        <v>5.12</v>
      </c>
      <c r="C61" s="133">
        <v>24.42</v>
      </c>
      <c r="D61" s="133">
        <v>18.21</v>
      </c>
      <c r="E61" s="133">
        <v>7.17</v>
      </c>
      <c r="F61" s="133">
        <v>10.34</v>
      </c>
      <c r="G61" s="133">
        <v>56.21</v>
      </c>
      <c r="H61" s="133">
        <v>14.82</v>
      </c>
      <c r="I61" s="133">
        <v>4.1100000000000003</v>
      </c>
      <c r="J61" s="133">
        <v>0.62</v>
      </c>
      <c r="K61" s="133">
        <v>334.64</v>
      </c>
      <c r="L61" s="133">
        <v>32.11</v>
      </c>
      <c r="M61" s="133">
        <v>45.38</v>
      </c>
      <c r="N61" s="133">
        <v>733.9</v>
      </c>
      <c r="O61" s="133">
        <v>0</v>
      </c>
      <c r="P61" s="133">
        <v>0.56000000000000005</v>
      </c>
      <c r="Q61" s="133">
        <v>3.34</v>
      </c>
    </row>
    <row r="62" spans="1:17" customFormat="1">
      <c r="A62" s="111" t="s">
        <v>580</v>
      </c>
      <c r="B62" s="133">
        <v>5.07</v>
      </c>
      <c r="C62" s="133">
        <v>24.32</v>
      </c>
      <c r="D62" s="133">
        <v>18.12</v>
      </c>
      <c r="E62" s="133">
        <v>6.75</v>
      </c>
      <c r="F62" s="133">
        <v>7.45</v>
      </c>
      <c r="G62" s="133">
        <v>56.21</v>
      </c>
      <c r="H62" s="133">
        <v>14.82</v>
      </c>
      <c r="I62" s="133">
        <v>4.0999999999999996</v>
      </c>
      <c r="J62" s="133">
        <v>0.55000000000000004</v>
      </c>
      <c r="K62" s="133">
        <v>339.32</v>
      </c>
      <c r="L62" s="133">
        <v>32.35</v>
      </c>
      <c r="M62" s="133">
        <v>46.74</v>
      </c>
      <c r="N62" s="133">
        <v>744.5</v>
      </c>
      <c r="O62" s="133">
        <v>0</v>
      </c>
      <c r="P62" s="133">
        <v>0.56999999999999995</v>
      </c>
      <c r="Q62" s="133">
        <v>3.35</v>
      </c>
    </row>
    <row r="63" spans="1:17" customFormat="1">
      <c r="A63" s="111" t="s">
        <v>581</v>
      </c>
      <c r="B63" s="133">
        <v>5.05</v>
      </c>
      <c r="C63" s="133">
        <v>24.38</v>
      </c>
      <c r="D63" s="133">
        <v>18.14</v>
      </c>
      <c r="E63" s="133">
        <v>6.84</v>
      </c>
      <c r="F63" s="133">
        <v>9.08</v>
      </c>
      <c r="G63" s="133">
        <v>55.47</v>
      </c>
      <c r="H63" s="133">
        <v>14.46</v>
      </c>
      <c r="I63" s="133">
        <v>4.03</v>
      </c>
      <c r="J63" s="133">
        <v>0.56000000000000005</v>
      </c>
      <c r="K63" s="133">
        <v>321.23</v>
      </c>
      <c r="L63" s="133">
        <v>32.520000000000003</v>
      </c>
      <c r="M63" s="133">
        <v>45.99</v>
      </c>
      <c r="N63" s="133">
        <v>732.8</v>
      </c>
      <c r="O63" s="133">
        <v>0</v>
      </c>
      <c r="P63" s="133">
        <v>0.56999999999999995</v>
      </c>
      <c r="Q63" s="133">
        <v>3.37</v>
      </c>
    </row>
    <row r="64" spans="1:17" customFormat="1">
      <c r="A64" s="111" t="s">
        <v>582</v>
      </c>
      <c r="B64" s="133">
        <v>5.17</v>
      </c>
      <c r="C64" s="133">
        <v>24.51</v>
      </c>
      <c r="D64" s="133">
        <v>18.3</v>
      </c>
      <c r="E64" s="133">
        <v>6.7</v>
      </c>
      <c r="F64" s="133">
        <v>7.66</v>
      </c>
      <c r="G64" s="133">
        <v>53.04</v>
      </c>
      <c r="H64" s="133">
        <v>13.61</v>
      </c>
      <c r="I64" s="133">
        <v>4.05</v>
      </c>
      <c r="J64" s="133">
        <v>0.6</v>
      </c>
      <c r="K64" s="133">
        <v>308.93</v>
      </c>
      <c r="L64" s="133">
        <v>32.44</v>
      </c>
      <c r="M64" s="133">
        <v>47.77</v>
      </c>
      <c r="N64" s="133">
        <v>622.79999999999995</v>
      </c>
      <c r="O64" s="133">
        <v>0</v>
      </c>
      <c r="P64" s="133">
        <v>0.56999999999999995</v>
      </c>
      <c r="Q64" s="133">
        <v>3.4</v>
      </c>
    </row>
    <row r="65" spans="1:17" customFormat="1">
      <c r="A65" s="111" t="s">
        <v>583</v>
      </c>
      <c r="B65" s="133">
        <v>5.08</v>
      </c>
      <c r="C65" s="133">
        <v>24.67</v>
      </c>
      <c r="D65" s="133">
        <v>18.309999999999999</v>
      </c>
      <c r="E65" s="133">
        <v>6.7</v>
      </c>
      <c r="F65" s="133">
        <v>7.38</v>
      </c>
      <c r="G65" s="133">
        <v>53.04</v>
      </c>
      <c r="H65" s="133">
        <v>13.61</v>
      </c>
      <c r="I65" s="133">
        <v>4.01</v>
      </c>
      <c r="J65" s="133">
        <v>0.71</v>
      </c>
      <c r="K65" s="133">
        <v>311.64</v>
      </c>
      <c r="L65" s="133">
        <v>32.31</v>
      </c>
      <c r="M65" s="133">
        <v>45.64</v>
      </c>
      <c r="N65" s="133">
        <v>652.20000000000005</v>
      </c>
      <c r="O65" s="133">
        <v>0</v>
      </c>
      <c r="P65" s="133">
        <v>0.51</v>
      </c>
      <c r="Q65" s="133">
        <v>3.4</v>
      </c>
    </row>
    <row r="66" spans="1:17" customFormat="1">
      <c r="A66" s="111" t="s">
        <v>584</v>
      </c>
      <c r="B66" s="133">
        <v>5.21</v>
      </c>
      <c r="C66" s="133">
        <v>24.89</v>
      </c>
      <c r="D66" s="133">
        <v>18.53</v>
      </c>
      <c r="E66" s="133">
        <v>6.4</v>
      </c>
      <c r="F66" s="133">
        <v>7.2</v>
      </c>
      <c r="G66" s="133">
        <v>53.04</v>
      </c>
      <c r="H66" s="133">
        <v>13.61</v>
      </c>
      <c r="I66" s="133">
        <v>3.99</v>
      </c>
      <c r="J66" s="133">
        <v>0.44</v>
      </c>
      <c r="K66" s="133">
        <v>329.2</v>
      </c>
      <c r="L66" s="133">
        <v>32.520000000000003</v>
      </c>
      <c r="M66" s="133">
        <v>44.84</v>
      </c>
      <c r="N66" s="133">
        <v>211.1</v>
      </c>
      <c r="O66" s="133">
        <v>0</v>
      </c>
      <c r="P66" s="133">
        <v>0.53</v>
      </c>
      <c r="Q66" s="133">
        <v>3.42</v>
      </c>
    </row>
    <row r="67" spans="1:17" customFormat="1">
      <c r="A67" s="111" t="s">
        <v>585</v>
      </c>
      <c r="B67" s="133">
        <v>5.38</v>
      </c>
      <c r="C67" s="133">
        <v>24.76</v>
      </c>
      <c r="D67" s="133">
        <v>18.600000000000001</v>
      </c>
      <c r="E67" s="133">
        <v>7.07</v>
      </c>
      <c r="F67" s="133">
        <v>9.39</v>
      </c>
      <c r="G67" s="133">
        <v>52.38</v>
      </c>
      <c r="H67" s="133">
        <v>13.85</v>
      </c>
      <c r="I67" s="133">
        <v>3.97</v>
      </c>
      <c r="J67" s="133">
        <v>0.83</v>
      </c>
      <c r="K67" s="133">
        <v>310.88</v>
      </c>
      <c r="L67" s="133">
        <v>31.81</v>
      </c>
      <c r="M67" s="133">
        <v>45.23</v>
      </c>
      <c r="N67" s="133">
        <v>228.9</v>
      </c>
      <c r="O67" s="133">
        <v>0</v>
      </c>
      <c r="P67" s="133">
        <v>0.53</v>
      </c>
      <c r="Q67" s="133">
        <v>3.42</v>
      </c>
    </row>
    <row r="68" spans="1:17" customFormat="1">
      <c r="A68" s="111" t="s">
        <v>586</v>
      </c>
      <c r="B68" s="133">
        <v>5.31</v>
      </c>
      <c r="C68" s="133">
        <v>24.57</v>
      </c>
      <c r="D68" s="133">
        <v>18.45</v>
      </c>
      <c r="E68" s="133">
        <v>6.82</v>
      </c>
      <c r="F68" s="133">
        <v>8.09</v>
      </c>
      <c r="G68" s="133">
        <v>50.07</v>
      </c>
      <c r="H68" s="133">
        <v>14.41</v>
      </c>
      <c r="I68" s="133">
        <v>3.95</v>
      </c>
      <c r="J68" s="133">
        <v>0.79</v>
      </c>
      <c r="K68" s="133">
        <v>310.47000000000003</v>
      </c>
      <c r="L68" s="133">
        <v>31.69</v>
      </c>
      <c r="M68" s="133">
        <v>45.89</v>
      </c>
      <c r="N68" s="133">
        <v>318.89999999999998</v>
      </c>
      <c r="O68" s="133">
        <v>0</v>
      </c>
      <c r="P68" s="133">
        <v>0.53</v>
      </c>
      <c r="Q68" s="133">
        <v>3.43</v>
      </c>
    </row>
    <row r="69" spans="1:17" customFormat="1">
      <c r="A69" s="111" t="s">
        <v>587</v>
      </c>
      <c r="B69" s="133">
        <v>5.36</v>
      </c>
      <c r="C69" s="133">
        <v>24.59</v>
      </c>
      <c r="D69" s="133">
        <v>18.5</v>
      </c>
      <c r="E69" s="133">
        <v>6.95</v>
      </c>
      <c r="F69" s="133">
        <v>7.62</v>
      </c>
      <c r="G69" s="133">
        <v>50.07</v>
      </c>
      <c r="H69" s="133">
        <v>14.41</v>
      </c>
      <c r="I69" s="133">
        <v>3.86</v>
      </c>
      <c r="J69" s="133">
        <v>0.86</v>
      </c>
      <c r="K69" s="133">
        <v>305.62</v>
      </c>
      <c r="L69" s="133">
        <v>31.59</v>
      </c>
      <c r="M69" s="133">
        <v>44.04</v>
      </c>
      <c r="N69" s="133">
        <v>142.4</v>
      </c>
      <c r="O69" s="133">
        <v>0</v>
      </c>
      <c r="P69" s="133">
        <v>0.53</v>
      </c>
      <c r="Q69" s="133">
        <v>3.42</v>
      </c>
    </row>
    <row r="70" spans="1:17" customFormat="1">
      <c r="A70" s="111" t="s">
        <v>588</v>
      </c>
      <c r="B70" s="133">
        <v>5.32</v>
      </c>
      <c r="C70" s="133">
        <v>24.77</v>
      </c>
      <c r="D70" s="133">
        <v>18.559999999999999</v>
      </c>
      <c r="E70" s="133">
        <v>6.94</v>
      </c>
      <c r="F70" s="133">
        <v>9.11</v>
      </c>
      <c r="G70" s="133">
        <v>50.07</v>
      </c>
      <c r="H70" s="133">
        <v>14.41</v>
      </c>
      <c r="I70" s="133">
        <v>3.83</v>
      </c>
      <c r="J70" s="133">
        <v>0.66</v>
      </c>
      <c r="K70" s="133">
        <v>308.82</v>
      </c>
      <c r="L70" s="133">
        <v>31.65</v>
      </c>
      <c r="M70" s="133">
        <v>43.43</v>
      </c>
      <c r="N70" s="133">
        <v>398</v>
      </c>
      <c r="O70" s="133">
        <v>0</v>
      </c>
      <c r="P70" s="133">
        <v>0.53</v>
      </c>
      <c r="Q70" s="133">
        <v>3.44</v>
      </c>
    </row>
    <row r="71" spans="1:17" customFormat="1">
      <c r="A71" s="111" t="s">
        <v>589</v>
      </c>
      <c r="B71" s="133">
        <v>5.32</v>
      </c>
      <c r="C71" s="133">
        <v>24.74</v>
      </c>
      <c r="D71" s="133">
        <v>18.54</v>
      </c>
      <c r="E71" s="133">
        <v>7.41</v>
      </c>
      <c r="F71" s="133">
        <v>11.51</v>
      </c>
      <c r="G71" s="133">
        <v>49.73</v>
      </c>
      <c r="H71" s="133">
        <v>14.19</v>
      </c>
      <c r="I71" s="133">
        <v>3.81</v>
      </c>
      <c r="J71" s="133">
        <v>0.55000000000000004</v>
      </c>
      <c r="K71" s="133">
        <v>320.86</v>
      </c>
      <c r="L71" s="133">
        <v>31.54</v>
      </c>
      <c r="M71" s="133">
        <v>43.37</v>
      </c>
      <c r="N71" s="133">
        <v>100.9</v>
      </c>
      <c r="O71" s="133">
        <v>0</v>
      </c>
      <c r="P71" s="133">
        <v>0.53</v>
      </c>
      <c r="Q71" s="133">
        <v>3.45</v>
      </c>
    </row>
    <row r="72" spans="1:17" customFormat="1">
      <c r="A72" s="111" t="s">
        <v>590</v>
      </c>
      <c r="B72" s="133">
        <v>5.36</v>
      </c>
      <c r="C72" s="133">
        <v>25.25</v>
      </c>
      <c r="D72" s="133">
        <v>18.84</v>
      </c>
      <c r="E72" s="133">
        <v>7.04</v>
      </c>
      <c r="F72" s="133">
        <v>10.26</v>
      </c>
      <c r="G72" s="133">
        <v>48.55</v>
      </c>
      <c r="H72" s="133">
        <v>13.67</v>
      </c>
      <c r="I72" s="133">
        <v>3.75</v>
      </c>
      <c r="J72" s="133">
        <v>0.76</v>
      </c>
      <c r="K72" s="133">
        <v>309.83</v>
      </c>
      <c r="L72" s="133">
        <v>31.24</v>
      </c>
      <c r="M72" s="133">
        <v>41.67</v>
      </c>
      <c r="N72" s="133">
        <v>51.4</v>
      </c>
      <c r="O72" s="133">
        <v>0</v>
      </c>
      <c r="P72" s="133">
        <v>0.54</v>
      </c>
      <c r="Q72" s="133">
        <v>3.45</v>
      </c>
    </row>
    <row r="73" spans="1:17" customFormat="1">
      <c r="A73" s="111" t="s">
        <v>591</v>
      </c>
      <c r="B73" s="133">
        <v>5.27</v>
      </c>
      <c r="C73" s="133">
        <v>25.21</v>
      </c>
      <c r="D73" s="133">
        <v>18.75</v>
      </c>
      <c r="E73" s="133">
        <v>7.08</v>
      </c>
      <c r="F73" s="133">
        <v>8.41</v>
      </c>
      <c r="G73" s="133">
        <v>48.55</v>
      </c>
      <c r="H73" s="133">
        <v>13.67</v>
      </c>
      <c r="I73" s="133">
        <v>3.66</v>
      </c>
      <c r="J73" s="133">
        <v>0.64</v>
      </c>
      <c r="K73" s="133">
        <v>314.89</v>
      </c>
      <c r="L73" s="133">
        <v>31.1</v>
      </c>
      <c r="M73" s="133">
        <v>43.29</v>
      </c>
      <c r="N73" s="133">
        <v>42.7</v>
      </c>
      <c r="O73" s="133">
        <v>0</v>
      </c>
      <c r="P73" s="133">
        <v>0.53</v>
      </c>
      <c r="Q73" s="133">
        <v>3.44</v>
      </c>
    </row>
    <row r="74" spans="1:17" customFormat="1">
      <c r="A74" s="111" t="s">
        <v>592</v>
      </c>
      <c r="B74" s="133">
        <v>5.26</v>
      </c>
      <c r="C74" s="133">
        <v>25.31</v>
      </c>
      <c r="D74" s="133">
        <v>18.79</v>
      </c>
      <c r="E74" s="133">
        <v>7.5</v>
      </c>
      <c r="F74" s="133">
        <v>9.1</v>
      </c>
      <c r="G74" s="133">
        <v>48.55</v>
      </c>
      <c r="H74" s="133">
        <v>13.67</v>
      </c>
      <c r="I74" s="133">
        <v>3.71</v>
      </c>
      <c r="J74" s="133">
        <v>0.53</v>
      </c>
      <c r="K74" s="133">
        <v>302.88</v>
      </c>
      <c r="L74" s="133">
        <v>30.91</v>
      </c>
      <c r="M74" s="133">
        <v>43.57</v>
      </c>
      <c r="N74" s="133">
        <v>36</v>
      </c>
      <c r="O74" s="133">
        <v>0</v>
      </c>
      <c r="P74" s="133">
        <v>0.52</v>
      </c>
      <c r="Q74" s="133">
        <v>3.43</v>
      </c>
    </row>
    <row r="75" spans="1:17" customFormat="1">
      <c r="A75" s="111" t="s">
        <v>593</v>
      </c>
      <c r="B75" s="133">
        <v>5.4</v>
      </c>
      <c r="C75" s="133">
        <v>25.84</v>
      </c>
      <c r="D75" s="133">
        <v>19.18</v>
      </c>
      <c r="E75" s="133">
        <v>7.18</v>
      </c>
      <c r="F75" s="133">
        <v>8.34</v>
      </c>
      <c r="G75" s="133">
        <v>49.48</v>
      </c>
      <c r="H75" s="133">
        <v>13.22</v>
      </c>
      <c r="I75" s="133">
        <v>3.7</v>
      </c>
      <c r="J75" s="133">
        <v>0.67</v>
      </c>
      <c r="K75" s="133">
        <v>303.27999999999997</v>
      </c>
      <c r="L75" s="133">
        <v>30.69</v>
      </c>
      <c r="M75" s="133">
        <v>44.51</v>
      </c>
      <c r="N75" s="133">
        <v>28.7</v>
      </c>
      <c r="O75" s="133">
        <v>0</v>
      </c>
      <c r="P75" s="133">
        <v>0.54</v>
      </c>
      <c r="Q75" s="133">
        <v>3.42</v>
      </c>
    </row>
    <row r="76" spans="1:17" customFormat="1">
      <c r="A76" s="111" t="s">
        <v>594</v>
      </c>
      <c r="B76" s="133">
        <v>5.7</v>
      </c>
      <c r="C76" s="133">
        <v>25.37</v>
      </c>
      <c r="D76" s="133">
        <v>19.18</v>
      </c>
      <c r="E76" s="133">
        <v>6.98</v>
      </c>
      <c r="F76" s="133">
        <v>8.36</v>
      </c>
      <c r="G76" s="133">
        <v>52.52</v>
      </c>
      <c r="H76" s="133">
        <v>12.16</v>
      </c>
      <c r="I76" s="133">
        <v>3.7</v>
      </c>
      <c r="J76" s="133">
        <v>0.47</v>
      </c>
      <c r="K76" s="133">
        <v>297.79000000000002</v>
      </c>
      <c r="L76" s="133">
        <v>30.35</v>
      </c>
      <c r="M76" s="133">
        <v>46.62</v>
      </c>
      <c r="N76" s="133">
        <v>23.2</v>
      </c>
      <c r="O76" s="133">
        <v>0</v>
      </c>
      <c r="P76" s="133">
        <v>0.54</v>
      </c>
      <c r="Q76" s="133">
        <v>3.43</v>
      </c>
    </row>
    <row r="77" spans="1:17" customFormat="1">
      <c r="A77" s="111" t="s">
        <v>595</v>
      </c>
      <c r="B77" s="133">
        <v>5.91</v>
      </c>
      <c r="C77" s="133">
        <v>24.48</v>
      </c>
      <c r="D77" s="133">
        <v>18.88</v>
      </c>
      <c r="E77" s="133">
        <v>6.63</v>
      </c>
      <c r="F77" s="133">
        <v>7.67</v>
      </c>
      <c r="G77" s="133">
        <v>52.52</v>
      </c>
      <c r="H77" s="133">
        <v>12.16</v>
      </c>
      <c r="I77" s="133">
        <v>3.65</v>
      </c>
      <c r="J77" s="133">
        <v>0.41</v>
      </c>
      <c r="K77" s="133">
        <v>295.64999999999998</v>
      </c>
      <c r="L77" s="133">
        <v>30.09</v>
      </c>
      <c r="M77" s="133">
        <v>48.94</v>
      </c>
      <c r="N77" s="133">
        <v>10.5</v>
      </c>
      <c r="O77" s="133">
        <v>0</v>
      </c>
      <c r="P77" s="133">
        <v>0.53</v>
      </c>
      <c r="Q77" s="133">
        <v>3.44</v>
      </c>
    </row>
    <row r="78" spans="1:17" customFormat="1">
      <c r="A78" s="111" t="s">
        <v>596</v>
      </c>
      <c r="B78" s="133">
        <v>6.08</v>
      </c>
      <c r="C78" s="133">
        <v>23.76</v>
      </c>
      <c r="D78" s="133">
        <v>18.64</v>
      </c>
      <c r="E78" s="133">
        <v>6.62</v>
      </c>
      <c r="F78" s="133">
        <v>7.06</v>
      </c>
      <c r="G78" s="133">
        <v>52.52</v>
      </c>
      <c r="H78" s="133">
        <v>12.16</v>
      </c>
      <c r="I78" s="133">
        <v>3.66</v>
      </c>
      <c r="J78" s="133">
        <v>0.43</v>
      </c>
      <c r="K78" s="133">
        <v>283.37</v>
      </c>
      <c r="L78" s="133">
        <v>29.67</v>
      </c>
      <c r="M78" s="133">
        <v>51.12</v>
      </c>
      <c r="N78" s="133">
        <v>0.2</v>
      </c>
      <c r="O78" s="133">
        <v>0</v>
      </c>
      <c r="P78" s="133">
        <v>0.54</v>
      </c>
      <c r="Q78" s="133">
        <v>3.43</v>
      </c>
    </row>
    <row r="79" spans="1:17" customFormat="1">
      <c r="A79" s="111" t="s">
        <v>597</v>
      </c>
      <c r="B79" s="133">
        <v>6.18</v>
      </c>
      <c r="C79" s="133">
        <v>24.29</v>
      </c>
      <c r="D79" s="133">
        <v>19</v>
      </c>
      <c r="E79" s="133">
        <v>7.07</v>
      </c>
      <c r="F79" s="133">
        <v>8.35</v>
      </c>
      <c r="G79" s="133">
        <v>53.11</v>
      </c>
      <c r="H79" s="133">
        <v>14.04</v>
      </c>
      <c r="I79" s="133">
        <v>3.7</v>
      </c>
      <c r="J79" s="133">
        <v>0.33</v>
      </c>
      <c r="K79" s="133">
        <v>261.27</v>
      </c>
      <c r="L79" s="133">
        <v>29.03</v>
      </c>
      <c r="M79" s="133">
        <v>54.34</v>
      </c>
      <c r="N79" s="133">
        <v>0</v>
      </c>
      <c r="O79" s="133">
        <v>0</v>
      </c>
      <c r="P79" s="133">
        <v>0.55000000000000004</v>
      </c>
      <c r="Q79" s="133">
        <v>3.4</v>
      </c>
    </row>
    <row r="80" spans="1:17" customFormat="1">
      <c r="A80" s="111" t="s">
        <v>598</v>
      </c>
      <c r="B80" s="133">
        <v>6.32</v>
      </c>
      <c r="C80" s="133">
        <v>25.36</v>
      </c>
      <c r="D80" s="133">
        <v>19.670000000000002</v>
      </c>
      <c r="E80" s="133">
        <v>7.28</v>
      </c>
      <c r="F80" s="133">
        <v>8.23</v>
      </c>
      <c r="G80" s="133">
        <v>55.15</v>
      </c>
      <c r="H80" s="133">
        <v>18.46</v>
      </c>
      <c r="I80" s="133">
        <v>3.81</v>
      </c>
      <c r="J80" s="133">
        <v>0.28000000000000003</v>
      </c>
      <c r="K80" s="133">
        <v>258.18</v>
      </c>
      <c r="L80" s="133">
        <v>28.64</v>
      </c>
      <c r="M80" s="133">
        <v>55.8</v>
      </c>
      <c r="N80" s="133">
        <v>0</v>
      </c>
      <c r="O80" s="133">
        <v>0</v>
      </c>
      <c r="P80" s="133">
        <v>0.57999999999999996</v>
      </c>
      <c r="Q80" s="133">
        <v>3.4</v>
      </c>
    </row>
    <row r="81" spans="1:17" customFormat="1">
      <c r="A81" s="111" t="s">
        <v>599</v>
      </c>
      <c r="B81" s="133">
        <v>6.65</v>
      </c>
      <c r="C81" s="133">
        <v>24.94</v>
      </c>
      <c r="D81" s="133">
        <v>19.71</v>
      </c>
      <c r="E81" s="133">
        <v>4.53</v>
      </c>
      <c r="F81" s="133">
        <v>6.38</v>
      </c>
      <c r="G81" s="133">
        <v>55.15</v>
      </c>
      <c r="H81" s="133">
        <v>18.46</v>
      </c>
      <c r="I81" s="133">
        <v>3.85</v>
      </c>
      <c r="J81" s="133">
        <v>0.41</v>
      </c>
      <c r="K81" s="133">
        <v>261.95999999999998</v>
      </c>
      <c r="L81" s="133">
        <v>28.52</v>
      </c>
      <c r="M81" s="133">
        <v>55.95</v>
      </c>
      <c r="N81" s="133">
        <v>0</v>
      </c>
      <c r="O81" s="133">
        <v>0</v>
      </c>
      <c r="P81" s="133">
        <v>0.56999999999999995</v>
      </c>
      <c r="Q81" s="133">
        <v>3.43</v>
      </c>
    </row>
    <row r="82" spans="1:17" customFormat="1">
      <c r="A82" s="111" t="s">
        <v>600</v>
      </c>
      <c r="B82" s="133">
        <v>6.83</v>
      </c>
      <c r="C82" s="133">
        <v>24.59</v>
      </c>
      <c r="D82" s="133">
        <v>19.68</v>
      </c>
      <c r="E82" s="133">
        <v>4.78</v>
      </c>
      <c r="F82" s="133">
        <v>6.35</v>
      </c>
      <c r="G82" s="133">
        <v>55.15</v>
      </c>
      <c r="H82" s="133">
        <v>18.46</v>
      </c>
      <c r="I82" s="133">
        <v>3.88</v>
      </c>
      <c r="J82" s="133">
        <v>0.39</v>
      </c>
      <c r="K82" s="133">
        <v>258.83999999999997</v>
      </c>
      <c r="L82" s="133">
        <v>28.4</v>
      </c>
      <c r="M82" s="133">
        <v>55.99</v>
      </c>
      <c r="N82" s="133">
        <v>0</v>
      </c>
      <c r="O82" s="133">
        <v>0</v>
      </c>
      <c r="P82" s="133">
        <v>0.57999999999999996</v>
      </c>
      <c r="Q82" s="133">
        <v>3.45</v>
      </c>
    </row>
    <row r="83" spans="1:17" customFormat="1">
      <c r="A83" s="111" t="s">
        <v>601</v>
      </c>
      <c r="B83" s="133">
        <v>7.04</v>
      </c>
      <c r="C83" s="133">
        <v>24.93</v>
      </c>
      <c r="D83" s="133">
        <v>20.02</v>
      </c>
      <c r="E83" s="133">
        <v>5.46</v>
      </c>
      <c r="F83" s="133">
        <v>7.9</v>
      </c>
      <c r="G83" s="133">
        <v>55.82</v>
      </c>
      <c r="H83" s="133">
        <v>18.04</v>
      </c>
      <c r="I83" s="133">
        <v>3.98</v>
      </c>
      <c r="J83" s="133">
        <v>0.3</v>
      </c>
      <c r="K83" s="133">
        <v>254.46</v>
      </c>
      <c r="L83" s="133">
        <v>28.14</v>
      </c>
      <c r="M83" s="133">
        <v>57.07</v>
      </c>
      <c r="N83" s="133">
        <v>0</v>
      </c>
      <c r="O83" s="133">
        <v>0</v>
      </c>
      <c r="P83" s="133">
        <v>0.61</v>
      </c>
      <c r="Q83" s="133">
        <v>3.44</v>
      </c>
    </row>
    <row r="84" spans="1:17" customFormat="1">
      <c r="A84" s="111" t="s">
        <v>602</v>
      </c>
      <c r="B84" s="133">
        <v>7.15</v>
      </c>
      <c r="C84" s="133">
        <v>25.8</v>
      </c>
      <c r="D84" s="133">
        <v>20.56</v>
      </c>
      <c r="E84" s="133">
        <v>5.18</v>
      </c>
      <c r="F84" s="133">
        <v>7.34</v>
      </c>
      <c r="G84" s="133">
        <v>58.02</v>
      </c>
      <c r="H84" s="133">
        <v>16.059999999999999</v>
      </c>
      <c r="I84" s="133">
        <v>4.08</v>
      </c>
      <c r="J84" s="133">
        <v>0.42</v>
      </c>
      <c r="K84" s="133">
        <v>262.95</v>
      </c>
      <c r="L84" s="133">
        <v>27.98</v>
      </c>
      <c r="M84" s="133">
        <v>56.26</v>
      </c>
      <c r="N84" s="133">
        <v>0</v>
      </c>
      <c r="O84" s="133">
        <v>0</v>
      </c>
      <c r="P84" s="133">
        <v>0.6</v>
      </c>
      <c r="Q84" s="133">
        <v>3.47</v>
      </c>
    </row>
    <row r="85" spans="1:17" customFormat="1">
      <c r="A85" s="111" t="s">
        <v>603</v>
      </c>
      <c r="B85" s="133">
        <v>7.28</v>
      </c>
      <c r="C85" s="133">
        <v>24.97</v>
      </c>
      <c r="D85" s="133">
        <v>20.23</v>
      </c>
      <c r="E85" s="133">
        <v>5.31</v>
      </c>
      <c r="F85" s="133">
        <v>6.69</v>
      </c>
      <c r="G85" s="133">
        <v>58.02</v>
      </c>
      <c r="H85" s="133">
        <v>16.059999999999999</v>
      </c>
      <c r="I85" s="133">
        <v>4.2699999999999996</v>
      </c>
      <c r="J85" s="133">
        <v>0.38</v>
      </c>
      <c r="K85" s="133">
        <v>254.4</v>
      </c>
      <c r="L85" s="133">
        <v>27.73</v>
      </c>
      <c r="M85" s="133">
        <v>57.69</v>
      </c>
      <c r="N85" s="133">
        <v>0</v>
      </c>
      <c r="O85" s="133">
        <v>0</v>
      </c>
      <c r="P85" s="133">
        <v>0.59</v>
      </c>
      <c r="Q85" s="133">
        <v>3.48</v>
      </c>
    </row>
    <row r="86" spans="1:17" customFormat="1">
      <c r="A86" s="111" t="s">
        <v>604</v>
      </c>
      <c r="B86" s="133">
        <v>7.89</v>
      </c>
      <c r="C86" s="133">
        <v>25.93</v>
      </c>
      <c r="D86" s="133">
        <v>21.23</v>
      </c>
      <c r="E86" s="133">
        <v>4.8899999999999997</v>
      </c>
      <c r="F86" s="133">
        <v>3.94</v>
      </c>
      <c r="G86" s="133">
        <v>58.02</v>
      </c>
      <c r="H86" s="133">
        <v>16.059999999999999</v>
      </c>
      <c r="I86" s="133">
        <v>4.26</v>
      </c>
      <c r="J86" s="133">
        <v>0.34</v>
      </c>
      <c r="K86" s="133">
        <v>276.48</v>
      </c>
      <c r="L86" s="133">
        <v>27.66</v>
      </c>
      <c r="M86" s="133">
        <v>56.46</v>
      </c>
      <c r="N86" s="133">
        <v>0</v>
      </c>
      <c r="O86" s="133">
        <v>0</v>
      </c>
      <c r="P86" s="133">
        <v>0.61</v>
      </c>
      <c r="Q86" s="133">
        <v>3.48</v>
      </c>
    </row>
    <row r="87" spans="1:17" customFormat="1">
      <c r="A87" s="111" t="s">
        <v>605</v>
      </c>
      <c r="B87" s="133">
        <v>8.42</v>
      </c>
      <c r="C87" s="133">
        <v>25.73</v>
      </c>
      <c r="D87" s="133">
        <v>21.55</v>
      </c>
      <c r="E87" s="133">
        <v>5.65</v>
      </c>
      <c r="F87" s="133">
        <v>4.8099999999999996</v>
      </c>
      <c r="G87" s="133">
        <v>57.74</v>
      </c>
      <c r="H87" s="133">
        <v>15.6</v>
      </c>
      <c r="I87" s="133">
        <v>4.34</v>
      </c>
      <c r="J87" s="133">
        <v>0.28000000000000003</v>
      </c>
      <c r="K87" s="133">
        <v>282.54000000000002</v>
      </c>
      <c r="L87" s="133">
        <v>27.5</v>
      </c>
      <c r="M87" s="133">
        <v>55.78</v>
      </c>
      <c r="N87" s="133">
        <v>0</v>
      </c>
      <c r="O87" s="133">
        <v>0</v>
      </c>
      <c r="P87" s="133">
        <v>0.64</v>
      </c>
      <c r="Q87" s="133">
        <v>3.55</v>
      </c>
    </row>
    <row r="88" spans="1:17" customFormat="1">
      <c r="A88" s="111" t="s">
        <v>606</v>
      </c>
      <c r="B88" s="133">
        <v>8.4700000000000006</v>
      </c>
      <c r="C88" s="133">
        <v>24.98</v>
      </c>
      <c r="D88" s="133">
        <v>21.19</v>
      </c>
      <c r="E88" s="133">
        <v>5.78</v>
      </c>
      <c r="F88" s="133">
        <v>6.71</v>
      </c>
      <c r="G88" s="133">
        <v>56.82</v>
      </c>
      <c r="H88" s="133">
        <v>14.46</v>
      </c>
      <c r="I88" s="133">
        <v>4.38</v>
      </c>
      <c r="J88" s="133">
        <v>0.24</v>
      </c>
      <c r="K88" s="133">
        <v>280.93</v>
      </c>
      <c r="L88" s="133">
        <v>27.44</v>
      </c>
      <c r="M88" s="133">
        <v>55.14</v>
      </c>
      <c r="N88" s="133">
        <v>0</v>
      </c>
      <c r="O88" s="133">
        <v>0</v>
      </c>
      <c r="P88" s="133">
        <v>0.64</v>
      </c>
      <c r="Q88" s="133">
        <v>3.61</v>
      </c>
    </row>
    <row r="89" spans="1:17" customFormat="1">
      <c r="A89" s="111" t="s">
        <v>607</v>
      </c>
      <c r="B89" s="133">
        <v>8.8000000000000007</v>
      </c>
      <c r="C89" s="133">
        <v>24.66</v>
      </c>
      <c r="D89" s="133">
        <v>21.29</v>
      </c>
      <c r="E89" s="133">
        <v>5</v>
      </c>
      <c r="F89" s="133">
        <v>5.28</v>
      </c>
      <c r="G89" s="133">
        <v>56.82</v>
      </c>
      <c r="H89" s="133">
        <v>14.46</v>
      </c>
      <c r="I89" s="133">
        <v>4.4800000000000004</v>
      </c>
      <c r="J89" s="133">
        <v>0.31</v>
      </c>
      <c r="K89" s="133">
        <v>283.14</v>
      </c>
      <c r="L89" s="133">
        <v>27.27</v>
      </c>
      <c r="M89" s="133">
        <v>53.61</v>
      </c>
      <c r="N89" s="133">
        <v>0</v>
      </c>
      <c r="O89" s="133">
        <v>0</v>
      </c>
      <c r="P89" s="133">
        <v>0.62</v>
      </c>
      <c r="Q89" s="133">
        <v>3.62</v>
      </c>
    </row>
    <row r="90" spans="1:17" customFormat="1">
      <c r="A90" s="111" t="s">
        <v>608</v>
      </c>
      <c r="B90" s="133">
        <v>9.1999999999999993</v>
      </c>
      <c r="C90" s="133">
        <v>26.35</v>
      </c>
      <c r="D90" s="133">
        <v>22.49</v>
      </c>
      <c r="E90" s="133">
        <v>5.08</v>
      </c>
      <c r="F90" s="133">
        <v>3.12</v>
      </c>
      <c r="G90" s="133">
        <v>56.82</v>
      </c>
      <c r="H90" s="133">
        <v>14.46</v>
      </c>
      <c r="I90" s="133">
        <v>4.51</v>
      </c>
      <c r="J90" s="133">
        <v>0.24</v>
      </c>
      <c r="K90" s="133">
        <v>244.29</v>
      </c>
      <c r="L90" s="133">
        <v>26.9</v>
      </c>
      <c r="M90" s="133">
        <v>54.91</v>
      </c>
      <c r="N90" s="133">
        <v>0</v>
      </c>
      <c r="O90" s="133">
        <v>0</v>
      </c>
      <c r="P90" s="133">
        <v>0.66</v>
      </c>
      <c r="Q90" s="133">
        <v>3.61</v>
      </c>
    </row>
    <row r="91" spans="1:17" customFormat="1">
      <c r="A91" s="111" t="s">
        <v>609</v>
      </c>
      <c r="B91" s="133">
        <v>9.74</v>
      </c>
      <c r="C91" s="133">
        <v>26.19</v>
      </c>
      <c r="D91" s="133">
        <v>22.84</v>
      </c>
      <c r="E91" s="133">
        <v>4.82</v>
      </c>
      <c r="F91" s="133">
        <v>3.41</v>
      </c>
      <c r="G91" s="133">
        <v>56.72</v>
      </c>
      <c r="H91" s="133">
        <v>14.94</v>
      </c>
      <c r="I91" s="133">
        <v>4.5</v>
      </c>
      <c r="J91" s="133">
        <v>0.32</v>
      </c>
      <c r="K91" s="133">
        <v>243.28</v>
      </c>
      <c r="L91" s="133">
        <v>26.43</v>
      </c>
      <c r="M91" s="133">
        <v>58.94</v>
      </c>
      <c r="N91" s="133">
        <v>0</v>
      </c>
      <c r="O91" s="133">
        <v>0</v>
      </c>
      <c r="P91" s="133">
        <v>0.67</v>
      </c>
      <c r="Q91" s="133">
        <v>3.67</v>
      </c>
    </row>
    <row r="92" spans="1:17" customFormat="1">
      <c r="A92" s="111" t="s">
        <v>610</v>
      </c>
      <c r="B92" s="133">
        <v>9.82</v>
      </c>
      <c r="C92" s="133">
        <v>25.33</v>
      </c>
      <c r="D92" s="133">
        <v>22.46</v>
      </c>
      <c r="E92" s="133">
        <v>5.29</v>
      </c>
      <c r="F92" s="133">
        <v>4.3499999999999996</v>
      </c>
      <c r="G92" s="133">
        <v>56.42</v>
      </c>
      <c r="H92" s="133">
        <v>16.05</v>
      </c>
      <c r="I92" s="133">
        <v>4.62</v>
      </c>
      <c r="J92" s="133">
        <v>0.26</v>
      </c>
      <c r="K92" s="133">
        <v>235.96</v>
      </c>
      <c r="L92" s="133">
        <v>26.4</v>
      </c>
      <c r="M92" s="133">
        <v>58.28</v>
      </c>
      <c r="N92" s="133">
        <v>0</v>
      </c>
      <c r="O92" s="133">
        <v>0</v>
      </c>
      <c r="P92" s="133">
        <v>0.66</v>
      </c>
      <c r="Q92" s="133">
        <v>3.68</v>
      </c>
    </row>
    <row r="93" spans="1:17" customFormat="1">
      <c r="A93" s="111" t="s">
        <v>611</v>
      </c>
      <c r="B93" s="133">
        <v>10.199999999999999</v>
      </c>
      <c r="C93" s="133">
        <v>26.44</v>
      </c>
      <c r="D93" s="133">
        <v>23.35</v>
      </c>
      <c r="E93" s="133">
        <v>5.12</v>
      </c>
      <c r="F93" s="133">
        <v>3.01</v>
      </c>
      <c r="G93" s="133">
        <v>56.42</v>
      </c>
      <c r="H93" s="133">
        <v>16.05</v>
      </c>
      <c r="I93" s="133">
        <v>4.66</v>
      </c>
      <c r="J93" s="133">
        <v>0.21</v>
      </c>
      <c r="K93" s="133">
        <v>184.45</v>
      </c>
      <c r="L93" s="133">
        <v>25.83</v>
      </c>
      <c r="M93" s="133">
        <v>61.74</v>
      </c>
      <c r="N93" s="133">
        <v>0</v>
      </c>
      <c r="O93" s="133">
        <v>0</v>
      </c>
      <c r="P93" s="133">
        <v>0.67</v>
      </c>
      <c r="Q93" s="133">
        <v>3.7</v>
      </c>
    </row>
    <row r="94" spans="1:17" customFormat="1">
      <c r="A94" s="111" t="s">
        <v>612</v>
      </c>
      <c r="B94" s="133">
        <v>10.64</v>
      </c>
      <c r="C94" s="133">
        <v>25.98</v>
      </c>
      <c r="D94" s="133">
        <v>23.45</v>
      </c>
      <c r="E94" s="133">
        <v>4.9000000000000004</v>
      </c>
      <c r="F94" s="133">
        <v>2.99</v>
      </c>
      <c r="G94" s="133">
        <v>56.42</v>
      </c>
      <c r="H94" s="133">
        <v>16.05</v>
      </c>
      <c r="I94" s="133">
        <v>4.6399999999999997</v>
      </c>
      <c r="J94" s="133">
        <v>0.19</v>
      </c>
      <c r="K94" s="133">
        <v>170.32</v>
      </c>
      <c r="L94" s="133">
        <v>25.3</v>
      </c>
      <c r="M94" s="133">
        <v>66.14</v>
      </c>
      <c r="N94" s="133">
        <v>0</v>
      </c>
      <c r="O94" s="133">
        <v>0</v>
      </c>
      <c r="P94" s="133">
        <v>0.68</v>
      </c>
      <c r="Q94" s="133">
        <v>3.75</v>
      </c>
    </row>
    <row r="95" spans="1:17" customFormat="1">
      <c r="A95" s="111" t="s">
        <v>613</v>
      </c>
      <c r="B95" s="133">
        <v>10.65</v>
      </c>
      <c r="C95" s="133">
        <v>26.49</v>
      </c>
      <c r="D95" s="133">
        <v>23.73</v>
      </c>
      <c r="E95" s="133">
        <v>4.99</v>
      </c>
      <c r="F95" s="133">
        <v>3.11</v>
      </c>
      <c r="G95" s="133">
        <v>57.6</v>
      </c>
      <c r="H95" s="133">
        <v>16.3</v>
      </c>
      <c r="I95" s="133">
        <v>4.7699999999999996</v>
      </c>
      <c r="J95" s="133">
        <v>0.16</v>
      </c>
      <c r="K95" s="133">
        <v>195.4</v>
      </c>
      <c r="L95" s="133">
        <v>25.06</v>
      </c>
      <c r="M95" s="133">
        <v>67.91</v>
      </c>
      <c r="N95" s="133">
        <v>0</v>
      </c>
      <c r="O95" s="133">
        <v>0</v>
      </c>
      <c r="P95" s="133">
        <v>0.7</v>
      </c>
      <c r="Q95" s="133">
        <v>3.72</v>
      </c>
    </row>
    <row r="96" spans="1:17" customFormat="1">
      <c r="A96" s="111" t="s">
        <v>614</v>
      </c>
      <c r="B96" s="133">
        <v>10.62</v>
      </c>
      <c r="C96" s="133">
        <v>26.65</v>
      </c>
      <c r="D96" s="133">
        <v>23.8</v>
      </c>
      <c r="E96" s="133">
        <v>4.74</v>
      </c>
      <c r="F96" s="133">
        <v>3.03</v>
      </c>
      <c r="G96" s="133">
        <v>61.73</v>
      </c>
      <c r="H96" s="133">
        <v>16.89</v>
      </c>
      <c r="I96" s="133">
        <v>4.82</v>
      </c>
      <c r="J96" s="133">
        <v>0.16</v>
      </c>
      <c r="K96" s="133">
        <v>195.01</v>
      </c>
      <c r="L96" s="133">
        <v>24.32</v>
      </c>
      <c r="M96" s="133">
        <v>76.5</v>
      </c>
      <c r="N96" s="133">
        <v>0</v>
      </c>
      <c r="O96" s="133">
        <v>0</v>
      </c>
      <c r="P96" s="133">
        <v>0.71</v>
      </c>
      <c r="Q96" s="133">
        <v>3.76</v>
      </c>
    </row>
    <row r="97" spans="1:22" customFormat="1">
      <c r="A97" s="111" t="s">
        <v>615</v>
      </c>
      <c r="B97" s="133">
        <v>10.71</v>
      </c>
      <c r="C97" s="133">
        <v>26.67</v>
      </c>
      <c r="D97" s="133">
        <v>23.87</v>
      </c>
      <c r="E97" s="133">
        <v>4.8600000000000003</v>
      </c>
      <c r="F97" s="133">
        <v>2.98</v>
      </c>
      <c r="G97" s="133">
        <v>61.73</v>
      </c>
      <c r="H97" s="133">
        <v>16.89</v>
      </c>
      <c r="I97" s="133">
        <v>4.96</v>
      </c>
      <c r="J97" s="133">
        <v>0.15</v>
      </c>
      <c r="K97" s="133">
        <v>189.75</v>
      </c>
      <c r="L97" s="133">
        <v>24.27</v>
      </c>
      <c r="M97" s="133">
        <v>77.08</v>
      </c>
      <c r="N97" s="133">
        <v>0</v>
      </c>
      <c r="O97" s="133">
        <v>0</v>
      </c>
      <c r="P97" s="133">
        <v>0.72</v>
      </c>
      <c r="Q97" s="133">
        <v>3.76</v>
      </c>
    </row>
    <row r="98" spans="1:22" customFormat="1">
      <c r="A98" s="111" t="s">
        <v>616</v>
      </c>
      <c r="B98" s="133">
        <v>10.67</v>
      </c>
      <c r="C98" s="133">
        <v>26.67</v>
      </c>
      <c r="D98" s="133">
        <v>23.84</v>
      </c>
      <c r="E98" s="133">
        <v>5.12</v>
      </c>
      <c r="F98" s="133">
        <v>2.83</v>
      </c>
      <c r="G98" s="133">
        <v>61.73</v>
      </c>
      <c r="H98" s="133">
        <v>16.89</v>
      </c>
      <c r="I98" s="133">
        <v>5.16</v>
      </c>
      <c r="J98" s="133">
        <v>0.12</v>
      </c>
      <c r="K98" s="133">
        <v>174.94</v>
      </c>
      <c r="L98" s="133">
        <v>24.27</v>
      </c>
      <c r="M98" s="133">
        <v>76.11</v>
      </c>
      <c r="N98" s="133">
        <v>0</v>
      </c>
      <c r="O98" s="133">
        <v>0</v>
      </c>
      <c r="P98" s="133">
        <v>0.74</v>
      </c>
      <c r="Q98" s="133">
        <v>3.78</v>
      </c>
    </row>
    <row r="99" spans="1:22" customFormat="1">
      <c r="A99" s="111" t="s">
        <v>617</v>
      </c>
      <c r="B99" s="133">
        <v>10.67</v>
      </c>
      <c r="C99" s="133">
        <v>26.73</v>
      </c>
      <c r="D99" s="133">
        <v>23.88</v>
      </c>
      <c r="E99" s="133">
        <v>4.4400000000000004</v>
      </c>
      <c r="F99" s="133">
        <v>2.73</v>
      </c>
      <c r="G99" s="133">
        <v>62.24</v>
      </c>
      <c r="H99" s="133">
        <v>16.850000000000001</v>
      </c>
      <c r="I99" s="133">
        <v>5.52</v>
      </c>
      <c r="J99" s="133">
        <v>0.12</v>
      </c>
      <c r="K99" s="133">
        <v>199.57</v>
      </c>
      <c r="L99" s="133">
        <v>23.97</v>
      </c>
      <c r="M99" s="133">
        <v>80.33</v>
      </c>
      <c r="N99" s="133">
        <v>0</v>
      </c>
      <c r="O99" s="133">
        <v>0</v>
      </c>
      <c r="P99" s="133">
        <v>0.76</v>
      </c>
      <c r="Q99" s="133">
        <v>3.78</v>
      </c>
    </row>
    <row r="100" spans="1:22" customFormat="1">
      <c r="A100" s="111" t="s">
        <v>618</v>
      </c>
      <c r="B100" s="133">
        <v>10.65</v>
      </c>
      <c r="C100" s="133">
        <v>26.93</v>
      </c>
      <c r="D100" s="133">
        <v>23.96</v>
      </c>
      <c r="E100" s="133">
        <v>4.8499999999999996</v>
      </c>
      <c r="F100" s="133">
        <v>2.61</v>
      </c>
      <c r="G100" s="133">
        <v>63.93</v>
      </c>
      <c r="H100" s="133">
        <v>16.78</v>
      </c>
      <c r="I100" s="133">
        <v>5.9</v>
      </c>
      <c r="J100" s="133">
        <v>0.13</v>
      </c>
      <c r="K100" s="133">
        <v>200.98</v>
      </c>
      <c r="L100" s="133">
        <v>23.65</v>
      </c>
      <c r="M100" s="133">
        <v>84.21</v>
      </c>
      <c r="N100" s="133">
        <v>0</v>
      </c>
      <c r="O100" s="133">
        <v>0</v>
      </c>
      <c r="P100" s="133">
        <v>0.77</v>
      </c>
      <c r="Q100" s="133">
        <v>3.82</v>
      </c>
    </row>
    <row r="101" spans="1:22" customFormat="1">
      <c r="A101" s="111" t="s">
        <v>619</v>
      </c>
      <c r="B101" s="133">
        <v>10.64</v>
      </c>
      <c r="C101" s="133">
        <v>26.95</v>
      </c>
      <c r="D101" s="133">
        <v>23.97</v>
      </c>
      <c r="E101" s="133">
        <v>5.0599999999999996</v>
      </c>
      <c r="F101" s="133">
        <v>2.57</v>
      </c>
      <c r="G101" s="133">
        <v>63.93</v>
      </c>
      <c r="H101" s="133">
        <v>16.78</v>
      </c>
      <c r="I101" s="133">
        <v>6.19</v>
      </c>
      <c r="J101" s="133">
        <v>0.13</v>
      </c>
      <c r="K101" s="133">
        <v>193.5</v>
      </c>
      <c r="L101" s="133">
        <v>23.57</v>
      </c>
      <c r="M101" s="133">
        <v>82.67</v>
      </c>
      <c r="N101" s="133">
        <v>0</v>
      </c>
      <c r="O101" s="133">
        <v>0</v>
      </c>
      <c r="P101" s="133">
        <v>0.78</v>
      </c>
      <c r="Q101" s="133">
        <v>3.83</v>
      </c>
    </row>
    <row r="102" spans="1:22" customFormat="1">
      <c r="A102" s="111" t="s">
        <v>620</v>
      </c>
      <c r="B102" s="133">
        <v>10.65</v>
      </c>
      <c r="C102" s="133">
        <v>27.19</v>
      </c>
      <c r="D102" s="133">
        <v>24.09</v>
      </c>
      <c r="E102" s="133">
        <v>4.74</v>
      </c>
      <c r="F102" s="133">
        <v>2.63</v>
      </c>
      <c r="G102" s="133">
        <v>63.93</v>
      </c>
      <c r="H102" s="133">
        <v>16.78</v>
      </c>
      <c r="I102" s="133">
        <v>6.43</v>
      </c>
      <c r="J102" s="133">
        <v>0.14000000000000001</v>
      </c>
      <c r="K102" s="133">
        <v>225.24</v>
      </c>
      <c r="L102" s="133">
        <v>23.96</v>
      </c>
      <c r="M102" s="133">
        <v>78.55</v>
      </c>
      <c r="N102" s="133">
        <v>0</v>
      </c>
      <c r="O102" s="133">
        <v>0</v>
      </c>
      <c r="P102" s="133">
        <v>0.79</v>
      </c>
      <c r="Q102" s="133">
        <v>3.83</v>
      </c>
    </row>
    <row r="103" spans="1:22" customFormat="1">
      <c r="A103" s="111" t="s">
        <v>621</v>
      </c>
      <c r="B103" s="133">
        <v>10.64</v>
      </c>
      <c r="C103" s="133">
        <v>27.39</v>
      </c>
      <c r="D103" s="133">
        <v>24.19</v>
      </c>
      <c r="E103" s="133">
        <v>5.34</v>
      </c>
      <c r="F103" s="133">
        <v>2.73</v>
      </c>
      <c r="G103" s="133">
        <v>63.48</v>
      </c>
      <c r="H103" s="133">
        <v>17.11</v>
      </c>
      <c r="I103" s="133">
        <v>6.66</v>
      </c>
      <c r="J103" s="133">
        <v>0.15</v>
      </c>
      <c r="K103" s="133">
        <v>204.69</v>
      </c>
      <c r="L103" s="133">
        <v>24.22</v>
      </c>
      <c r="M103" s="133">
        <v>77.11</v>
      </c>
      <c r="N103" s="133">
        <v>0</v>
      </c>
      <c r="O103" s="133">
        <v>0</v>
      </c>
      <c r="P103" s="133">
        <v>0.8</v>
      </c>
      <c r="Q103" s="133">
        <v>3.83</v>
      </c>
    </row>
    <row r="104" spans="1:22" customFormat="1">
      <c r="A104" s="111" t="s">
        <v>622</v>
      </c>
      <c r="B104" s="133">
        <v>10.73</v>
      </c>
      <c r="C104" s="133">
        <v>27.37</v>
      </c>
      <c r="D104" s="133">
        <v>24.25</v>
      </c>
      <c r="E104" s="133">
        <v>4.9800000000000004</v>
      </c>
      <c r="F104" s="133">
        <v>2.7</v>
      </c>
      <c r="G104" s="133">
        <v>62</v>
      </c>
      <c r="H104" s="133">
        <v>17.89</v>
      </c>
      <c r="I104" s="133">
        <v>6.77</v>
      </c>
      <c r="J104" s="133">
        <v>0.18</v>
      </c>
      <c r="K104" s="133">
        <v>221.08</v>
      </c>
      <c r="L104" s="133">
        <v>24.16</v>
      </c>
      <c r="M104" s="133">
        <v>77.34</v>
      </c>
      <c r="N104" s="133">
        <v>0</v>
      </c>
      <c r="O104" s="133">
        <v>0</v>
      </c>
      <c r="P104" s="133">
        <v>0.8</v>
      </c>
      <c r="Q104" s="133">
        <v>3.84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4.87</v>
      </c>
      <c r="C106" s="183">
        <f>MIN(C9:C104)</f>
        <v>23.36</v>
      </c>
      <c r="D106" s="183">
        <f t="shared" ref="D106:Q106" si="0">MIN(D9:D104)</f>
        <v>17.78</v>
      </c>
      <c r="E106" s="183">
        <f t="shared" si="0"/>
        <v>4.4400000000000004</v>
      </c>
      <c r="F106" s="183">
        <f t="shared" si="0"/>
        <v>2.5099999999999998</v>
      </c>
      <c r="G106" s="183">
        <f t="shared" si="0"/>
        <v>32.94</v>
      </c>
      <c r="H106" s="183">
        <f t="shared" si="0"/>
        <v>8.68</v>
      </c>
      <c r="I106" s="183">
        <f t="shared" si="0"/>
        <v>3.65</v>
      </c>
      <c r="J106" s="183">
        <f t="shared" si="0"/>
        <v>0.12</v>
      </c>
      <c r="K106" s="183">
        <f t="shared" si="0"/>
        <v>170.32</v>
      </c>
      <c r="L106" s="183">
        <f t="shared" si="0"/>
        <v>23.36</v>
      </c>
      <c r="M106" s="183">
        <f t="shared" si="0"/>
        <v>41.67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3.31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23.61</v>
      </c>
      <c r="C107" s="184">
        <f t="shared" ref="C107:Q107" si="1">MAX(C9:C104)</f>
        <v>29.53</v>
      </c>
      <c r="D107" s="184">
        <f t="shared" si="1"/>
        <v>33.18</v>
      </c>
      <c r="E107" s="184">
        <f t="shared" si="1"/>
        <v>8.39</v>
      </c>
      <c r="F107" s="184">
        <f t="shared" si="1"/>
        <v>11.51</v>
      </c>
      <c r="G107" s="184">
        <f t="shared" si="1"/>
        <v>63.93</v>
      </c>
      <c r="H107" s="184">
        <f t="shared" si="1"/>
        <v>19.170000000000002</v>
      </c>
      <c r="I107" s="184">
        <f t="shared" si="1"/>
        <v>6.77</v>
      </c>
      <c r="J107" s="184">
        <f t="shared" si="1"/>
        <v>1.06</v>
      </c>
      <c r="K107" s="184">
        <f t="shared" si="1"/>
        <v>339.32</v>
      </c>
      <c r="L107" s="184">
        <f t="shared" si="1"/>
        <v>32.520000000000003</v>
      </c>
      <c r="M107" s="184">
        <f t="shared" si="1"/>
        <v>84.21</v>
      </c>
      <c r="N107" s="184">
        <f t="shared" si="1"/>
        <v>850.2</v>
      </c>
      <c r="O107" s="184">
        <f t="shared" si="1"/>
        <v>0</v>
      </c>
      <c r="P107" s="184">
        <f t="shared" si="1"/>
        <v>0.8</v>
      </c>
      <c r="Q107" s="184">
        <f t="shared" si="1"/>
        <v>4.51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10.4315625</v>
      </c>
      <c r="C108" s="183">
        <f t="shared" ref="C108:Q108" si="2">AVERAGE(C9:C104)</f>
        <v>25.633124999999989</v>
      </c>
      <c r="D108" s="183">
        <f t="shared" si="2"/>
        <v>23.107916666666664</v>
      </c>
      <c r="E108" s="183">
        <f t="shared" si="2"/>
        <v>6.7536458333333336</v>
      </c>
      <c r="F108" s="183">
        <f t="shared" si="2"/>
        <v>5.2678124999999998</v>
      </c>
      <c r="G108" s="183">
        <f t="shared" si="2"/>
        <v>48.785520833333351</v>
      </c>
      <c r="H108" s="183">
        <f t="shared" si="2"/>
        <v>13.3903125</v>
      </c>
      <c r="I108" s="183">
        <f t="shared" si="2"/>
        <v>4.4762499999999994</v>
      </c>
      <c r="J108" s="183">
        <f t="shared" si="2"/>
        <v>0.45958333333333323</v>
      </c>
      <c r="K108" s="183">
        <f t="shared" si="2"/>
        <v>278.55729166666669</v>
      </c>
      <c r="L108" s="183">
        <f t="shared" si="2"/>
        <v>27.709270833333331</v>
      </c>
      <c r="M108" s="183">
        <f t="shared" si="2"/>
        <v>59.455729166666636</v>
      </c>
      <c r="N108" s="183">
        <f t="shared" si="2"/>
        <v>199.41666666666677</v>
      </c>
      <c r="O108" s="183">
        <f t="shared" si="2"/>
        <v>0</v>
      </c>
      <c r="P108" s="183">
        <f t="shared" si="2"/>
        <v>0.60468749999999993</v>
      </c>
      <c r="Q108" s="183">
        <f t="shared" si="2"/>
        <v>3.7131249999999985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4.9476181038269127</v>
      </c>
      <c r="C109" s="183">
        <f t="shared" ref="C109:Q109" si="3">STDEV(C9:C104)</f>
        <v>1.7556125411768964</v>
      </c>
      <c r="D109" s="183">
        <f t="shared" si="3"/>
        <v>4.2946005063069546</v>
      </c>
      <c r="E109" s="183">
        <f t="shared" si="3"/>
        <v>1.0960523612076034</v>
      </c>
      <c r="F109" s="183">
        <f t="shared" si="3"/>
        <v>2.675072139951999</v>
      </c>
      <c r="G109" s="183">
        <f t="shared" si="3"/>
        <v>9.4016257126980225</v>
      </c>
      <c r="H109" s="183">
        <f t="shared" si="3"/>
        <v>3.003822285417113</v>
      </c>
      <c r="I109" s="183">
        <f t="shared" si="3"/>
        <v>0.69219293020919326</v>
      </c>
      <c r="J109" s="183">
        <f t="shared" si="3"/>
        <v>0.22441932868565342</v>
      </c>
      <c r="K109" s="183">
        <f t="shared" si="3"/>
        <v>39.556122753937736</v>
      </c>
      <c r="L109" s="183">
        <f t="shared" si="3"/>
        <v>2.9117515961112095</v>
      </c>
      <c r="M109" s="183">
        <f t="shared" si="3"/>
        <v>11.846208253658194</v>
      </c>
      <c r="N109" s="183">
        <f t="shared" si="3"/>
        <v>300.02195346574803</v>
      </c>
      <c r="O109" s="183">
        <f t="shared" si="3"/>
        <v>0</v>
      </c>
      <c r="P109" s="183">
        <f t="shared" si="3"/>
        <v>8.4217176957772644E-2</v>
      </c>
      <c r="Q109" s="183">
        <f t="shared" si="3"/>
        <v>0.30839247891710936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05/10/2023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623</v>
      </c>
      <c r="B9" s="133">
        <v>10.27</v>
      </c>
      <c r="C9" s="133">
        <v>27.52</v>
      </c>
      <c r="D9" s="133">
        <v>23.96</v>
      </c>
      <c r="E9" s="133">
        <v>4.92</v>
      </c>
      <c r="F9" s="133">
        <v>2.66</v>
      </c>
      <c r="G9" s="133">
        <v>62</v>
      </c>
      <c r="H9" s="133">
        <v>17.89</v>
      </c>
      <c r="I9" s="133">
        <v>6.84</v>
      </c>
      <c r="J9" s="133">
        <v>0.31</v>
      </c>
      <c r="K9" s="133">
        <v>255.2</v>
      </c>
      <c r="L9" s="133">
        <v>24.54</v>
      </c>
      <c r="M9" s="133">
        <v>74.62</v>
      </c>
      <c r="N9" s="133">
        <v>0</v>
      </c>
      <c r="O9" s="133">
        <v>0</v>
      </c>
      <c r="P9" s="133">
        <v>0.81</v>
      </c>
      <c r="Q9" s="133">
        <v>3.87</v>
      </c>
    </row>
    <row r="10" spans="1:21" customFormat="1">
      <c r="A10" s="111" t="s">
        <v>624</v>
      </c>
      <c r="B10" s="133">
        <v>10.24</v>
      </c>
      <c r="C10" s="133">
        <v>27.53</v>
      </c>
      <c r="D10" s="133">
        <v>23.95</v>
      </c>
      <c r="E10" s="133">
        <v>5.0999999999999996</v>
      </c>
      <c r="F10" s="133">
        <v>2.65</v>
      </c>
      <c r="G10" s="133">
        <v>62</v>
      </c>
      <c r="H10" s="133">
        <v>17.89</v>
      </c>
      <c r="I10" s="133">
        <v>6.86</v>
      </c>
      <c r="J10" s="133">
        <v>0.28000000000000003</v>
      </c>
      <c r="K10" s="133">
        <v>251.35</v>
      </c>
      <c r="L10" s="133">
        <v>24.53</v>
      </c>
      <c r="M10" s="133">
        <v>75.11</v>
      </c>
      <c r="N10" s="133">
        <v>0</v>
      </c>
      <c r="O10" s="133">
        <v>0</v>
      </c>
      <c r="P10" s="133">
        <v>0.82</v>
      </c>
      <c r="Q10" s="133">
        <v>3.87</v>
      </c>
    </row>
    <row r="11" spans="1:21" customFormat="1">
      <c r="A11" s="111" t="s">
        <v>625</v>
      </c>
      <c r="B11" s="133">
        <v>10.210000000000001</v>
      </c>
      <c r="C11" s="133">
        <v>27.9</v>
      </c>
      <c r="D11" s="133">
        <v>24.12</v>
      </c>
      <c r="E11" s="133">
        <v>5.23</v>
      </c>
      <c r="F11" s="133">
        <v>2.6</v>
      </c>
      <c r="G11" s="133">
        <v>61.8</v>
      </c>
      <c r="H11" s="133">
        <v>17.920000000000002</v>
      </c>
      <c r="I11" s="133">
        <v>6.91</v>
      </c>
      <c r="J11" s="133">
        <v>0.27</v>
      </c>
      <c r="K11" s="133">
        <v>249.89</v>
      </c>
      <c r="L11" s="133">
        <v>24.49</v>
      </c>
      <c r="M11" s="133">
        <v>76.010000000000005</v>
      </c>
      <c r="N11" s="133">
        <v>0</v>
      </c>
      <c r="O11" s="133">
        <v>0</v>
      </c>
      <c r="P11" s="133">
        <v>0.81</v>
      </c>
      <c r="Q11" s="133">
        <v>3.85</v>
      </c>
    </row>
    <row r="12" spans="1:21" customFormat="1">
      <c r="A12" s="111" t="s">
        <v>626</v>
      </c>
      <c r="B12" s="133">
        <v>10.28</v>
      </c>
      <c r="C12" s="133">
        <v>28.48</v>
      </c>
      <c r="D12" s="133">
        <v>24.47</v>
      </c>
      <c r="E12" s="133">
        <v>5.24</v>
      </c>
      <c r="F12" s="133">
        <v>2.44</v>
      </c>
      <c r="G12" s="133">
        <v>61.13</v>
      </c>
      <c r="H12" s="133">
        <v>18.079999999999998</v>
      </c>
      <c r="I12" s="133">
        <v>7</v>
      </c>
      <c r="J12" s="133">
        <v>0.2</v>
      </c>
      <c r="K12" s="133">
        <v>233.66</v>
      </c>
      <c r="L12" s="133">
        <v>24.52</v>
      </c>
      <c r="M12" s="133">
        <v>76.760000000000005</v>
      </c>
      <c r="N12" s="133">
        <v>0</v>
      </c>
      <c r="O12" s="133">
        <v>0</v>
      </c>
      <c r="P12" s="133">
        <v>0.82</v>
      </c>
      <c r="Q12" s="133">
        <v>3.87</v>
      </c>
    </row>
    <row r="13" spans="1:21" customFormat="1">
      <c r="A13" s="111" t="s">
        <v>627</v>
      </c>
      <c r="B13" s="133">
        <v>10.43</v>
      </c>
      <c r="C13" s="133">
        <v>29.01</v>
      </c>
      <c r="D13" s="133">
        <v>24.87</v>
      </c>
      <c r="E13" s="133">
        <v>5.46</v>
      </c>
      <c r="F13" s="133">
        <v>2.4900000000000002</v>
      </c>
      <c r="G13" s="133">
        <v>61.13</v>
      </c>
      <c r="H13" s="133">
        <v>18.079999999999998</v>
      </c>
      <c r="I13" s="133">
        <v>7.1</v>
      </c>
      <c r="J13" s="133">
        <v>0.28999999999999998</v>
      </c>
      <c r="K13" s="133">
        <v>242.52</v>
      </c>
      <c r="L13" s="133">
        <v>24.44</v>
      </c>
      <c r="M13" s="133">
        <v>77.22</v>
      </c>
      <c r="N13" s="133">
        <v>0</v>
      </c>
      <c r="O13" s="133">
        <v>0</v>
      </c>
      <c r="P13" s="133">
        <v>0.81</v>
      </c>
      <c r="Q13" s="133">
        <v>3.89</v>
      </c>
    </row>
    <row r="14" spans="1:21" customFormat="1">
      <c r="A14" s="111" t="s">
        <v>628</v>
      </c>
      <c r="B14" s="133">
        <v>10.77</v>
      </c>
      <c r="C14" s="133">
        <v>29.55</v>
      </c>
      <c r="D14" s="133">
        <v>25.43</v>
      </c>
      <c r="E14" s="133">
        <v>5.22</v>
      </c>
      <c r="F14" s="133">
        <v>2.4</v>
      </c>
      <c r="G14" s="133">
        <v>61.13</v>
      </c>
      <c r="H14" s="133">
        <v>18.079999999999998</v>
      </c>
      <c r="I14" s="133">
        <v>7.2</v>
      </c>
      <c r="J14" s="133">
        <v>0.39</v>
      </c>
      <c r="K14" s="133">
        <v>255.45</v>
      </c>
      <c r="L14" s="133">
        <v>24.66</v>
      </c>
      <c r="M14" s="133">
        <v>75.349999999999994</v>
      </c>
      <c r="N14" s="133">
        <v>0</v>
      </c>
      <c r="O14" s="133">
        <v>0</v>
      </c>
      <c r="P14" s="133">
        <v>0.82</v>
      </c>
      <c r="Q14" s="133">
        <v>3.92</v>
      </c>
    </row>
    <row r="15" spans="1:21" customFormat="1">
      <c r="A15" s="111" t="s">
        <v>629</v>
      </c>
      <c r="B15" s="133">
        <v>10.88</v>
      </c>
      <c r="C15" s="133">
        <v>30.08</v>
      </c>
      <c r="D15" s="133">
        <v>25.79</v>
      </c>
      <c r="E15" s="133">
        <v>5.63</v>
      </c>
      <c r="F15" s="133">
        <v>2.44</v>
      </c>
      <c r="G15" s="133">
        <v>61.61</v>
      </c>
      <c r="H15" s="133">
        <v>18.170000000000002</v>
      </c>
      <c r="I15" s="133">
        <v>7.3</v>
      </c>
      <c r="J15" s="133">
        <v>0.34</v>
      </c>
      <c r="K15" s="133">
        <v>256.55</v>
      </c>
      <c r="L15" s="133">
        <v>24.61</v>
      </c>
      <c r="M15" s="133">
        <v>75.06</v>
      </c>
      <c r="N15" s="133">
        <v>0</v>
      </c>
      <c r="O15" s="133">
        <v>0</v>
      </c>
      <c r="P15" s="133">
        <v>0.82</v>
      </c>
      <c r="Q15" s="133">
        <v>3.95</v>
      </c>
    </row>
    <row r="16" spans="1:21" customFormat="1">
      <c r="A16" s="111" t="s">
        <v>630</v>
      </c>
      <c r="B16" s="133">
        <v>10.93</v>
      </c>
      <c r="C16" s="133">
        <v>30.5</v>
      </c>
      <c r="D16" s="133">
        <v>26.05</v>
      </c>
      <c r="E16" s="133">
        <v>5.9</v>
      </c>
      <c r="F16" s="133">
        <v>2.4900000000000002</v>
      </c>
      <c r="G16" s="133">
        <v>63.29</v>
      </c>
      <c r="H16" s="133">
        <v>18.37</v>
      </c>
      <c r="I16" s="133">
        <v>7.39</v>
      </c>
      <c r="J16" s="133">
        <v>0.4</v>
      </c>
      <c r="K16" s="133">
        <v>261.14</v>
      </c>
      <c r="L16" s="133">
        <v>24.58</v>
      </c>
      <c r="M16" s="133">
        <v>75.849999999999994</v>
      </c>
      <c r="N16" s="133">
        <v>0</v>
      </c>
      <c r="O16" s="133">
        <v>0</v>
      </c>
      <c r="P16" s="133">
        <v>0.8</v>
      </c>
      <c r="Q16" s="133">
        <v>3.96</v>
      </c>
    </row>
    <row r="17" spans="1:17" customFormat="1">
      <c r="A17" s="111" t="s">
        <v>631</v>
      </c>
      <c r="B17" s="133">
        <v>10.88</v>
      </c>
      <c r="C17" s="133">
        <v>30.28</v>
      </c>
      <c r="D17" s="133">
        <v>25.9</v>
      </c>
      <c r="E17" s="133">
        <v>5.73</v>
      </c>
      <c r="F17" s="133">
        <v>2.65</v>
      </c>
      <c r="G17" s="133">
        <v>63.29</v>
      </c>
      <c r="H17" s="133">
        <v>18.37</v>
      </c>
      <c r="I17" s="133">
        <v>7.5</v>
      </c>
      <c r="J17" s="133">
        <v>0.22</v>
      </c>
      <c r="K17" s="133">
        <v>241.34</v>
      </c>
      <c r="L17" s="133">
        <v>24.37</v>
      </c>
      <c r="M17" s="133">
        <v>78.47</v>
      </c>
      <c r="N17" s="133">
        <v>0</v>
      </c>
      <c r="O17" s="133">
        <v>0</v>
      </c>
      <c r="P17" s="133">
        <v>0.8</v>
      </c>
      <c r="Q17" s="133">
        <v>3.95</v>
      </c>
    </row>
    <row r="18" spans="1:17" customFormat="1">
      <c r="A18" s="111" t="s">
        <v>632</v>
      </c>
      <c r="B18" s="133">
        <v>10.79</v>
      </c>
      <c r="C18" s="133">
        <v>30.1</v>
      </c>
      <c r="D18" s="133">
        <v>25.73</v>
      </c>
      <c r="E18" s="133">
        <v>6.61</v>
      </c>
      <c r="F18" s="133">
        <v>2.64</v>
      </c>
      <c r="G18" s="133">
        <v>63.29</v>
      </c>
      <c r="H18" s="133">
        <v>18.37</v>
      </c>
      <c r="I18" s="133">
        <v>7.61</v>
      </c>
      <c r="J18" s="133">
        <v>0.17</v>
      </c>
      <c r="K18" s="133">
        <v>216.23</v>
      </c>
      <c r="L18" s="133">
        <v>23.92</v>
      </c>
      <c r="M18" s="133">
        <v>81.67</v>
      </c>
      <c r="N18" s="133">
        <v>0</v>
      </c>
      <c r="O18" s="133">
        <v>0</v>
      </c>
      <c r="P18" s="133">
        <v>0.8</v>
      </c>
      <c r="Q18" s="133">
        <v>3.91</v>
      </c>
    </row>
    <row r="19" spans="1:17" customFormat="1">
      <c r="A19" s="111" t="s">
        <v>633</v>
      </c>
      <c r="B19" s="133">
        <v>11.03</v>
      </c>
      <c r="C19" s="133">
        <v>30.01</v>
      </c>
      <c r="D19" s="133">
        <v>25.87</v>
      </c>
      <c r="E19" s="133">
        <v>6.95</v>
      </c>
      <c r="F19" s="133">
        <v>2.5</v>
      </c>
      <c r="G19" s="133">
        <v>62.68</v>
      </c>
      <c r="H19" s="133">
        <v>18.79</v>
      </c>
      <c r="I19" s="133">
        <v>7.76</v>
      </c>
      <c r="J19" s="133">
        <v>0.4</v>
      </c>
      <c r="K19" s="133">
        <v>264.36</v>
      </c>
      <c r="L19" s="133">
        <v>23.91</v>
      </c>
      <c r="M19" s="133">
        <v>82.8</v>
      </c>
      <c r="N19" s="133">
        <v>0</v>
      </c>
      <c r="O19" s="133">
        <v>0</v>
      </c>
      <c r="P19" s="133">
        <v>0.79</v>
      </c>
      <c r="Q19" s="133">
        <v>3.94</v>
      </c>
    </row>
    <row r="20" spans="1:17" customFormat="1">
      <c r="A20" s="111" t="s">
        <v>634</v>
      </c>
      <c r="B20" s="133">
        <v>11.42</v>
      </c>
      <c r="C20" s="133">
        <v>27.83</v>
      </c>
      <c r="D20" s="133">
        <v>25.05</v>
      </c>
      <c r="E20" s="133">
        <v>6.48</v>
      </c>
      <c r="F20" s="133">
        <v>3.09</v>
      </c>
      <c r="G20" s="133">
        <v>60.54</v>
      </c>
      <c r="H20" s="133">
        <v>19.77</v>
      </c>
      <c r="I20" s="133">
        <v>7.92</v>
      </c>
      <c r="J20" s="133">
        <v>0.39</v>
      </c>
      <c r="K20" s="133">
        <v>264.14</v>
      </c>
      <c r="L20" s="133">
        <v>23.97</v>
      </c>
      <c r="M20" s="133">
        <v>82.44</v>
      </c>
      <c r="N20" s="133">
        <v>0</v>
      </c>
      <c r="O20" s="133">
        <v>0</v>
      </c>
      <c r="P20" s="133">
        <v>0.77</v>
      </c>
      <c r="Q20" s="133">
        <v>3.95</v>
      </c>
    </row>
    <row r="21" spans="1:17" customFormat="1">
      <c r="A21" s="111" t="s">
        <v>635</v>
      </c>
      <c r="B21" s="133">
        <v>11.76</v>
      </c>
      <c r="C21" s="133">
        <v>25.78</v>
      </c>
      <c r="D21" s="133">
        <v>24.25</v>
      </c>
      <c r="E21" s="133">
        <v>6.14</v>
      </c>
      <c r="F21" s="133">
        <v>3.26</v>
      </c>
      <c r="G21" s="133">
        <v>60.54</v>
      </c>
      <c r="H21" s="133">
        <v>19.77</v>
      </c>
      <c r="I21" s="133">
        <v>8.0299999999999994</v>
      </c>
      <c r="J21" s="133">
        <v>0.45</v>
      </c>
      <c r="K21" s="133">
        <v>267.02</v>
      </c>
      <c r="L21" s="133">
        <v>23.89</v>
      </c>
      <c r="M21" s="133">
        <v>82.2</v>
      </c>
      <c r="N21" s="133">
        <v>0</v>
      </c>
      <c r="O21" s="133">
        <v>0</v>
      </c>
      <c r="P21" s="133">
        <v>0.74</v>
      </c>
      <c r="Q21" s="133">
        <v>3.9</v>
      </c>
    </row>
    <row r="22" spans="1:17" customFormat="1">
      <c r="A22" s="111" t="s">
        <v>636</v>
      </c>
      <c r="B22" s="133">
        <v>11.91</v>
      </c>
      <c r="C22" s="133">
        <v>24.68</v>
      </c>
      <c r="D22" s="133">
        <v>23.8</v>
      </c>
      <c r="E22" s="133">
        <v>6.07</v>
      </c>
      <c r="F22" s="133">
        <v>3.14</v>
      </c>
      <c r="G22" s="133">
        <v>60.54</v>
      </c>
      <c r="H22" s="133">
        <v>19.77</v>
      </c>
      <c r="I22" s="133">
        <v>8.11</v>
      </c>
      <c r="J22" s="133">
        <v>0.47</v>
      </c>
      <c r="K22" s="133">
        <v>265.79000000000002</v>
      </c>
      <c r="L22" s="133">
        <v>23.9</v>
      </c>
      <c r="M22" s="133">
        <v>82.17</v>
      </c>
      <c r="N22" s="133">
        <v>0</v>
      </c>
      <c r="O22" s="133">
        <v>0</v>
      </c>
      <c r="P22" s="133">
        <v>0.73</v>
      </c>
      <c r="Q22" s="133">
        <v>3.85</v>
      </c>
    </row>
    <row r="23" spans="1:17" customFormat="1">
      <c r="A23" s="111" t="s">
        <v>637</v>
      </c>
      <c r="B23" s="133">
        <v>12.05</v>
      </c>
      <c r="C23" s="133">
        <v>25.13</v>
      </c>
      <c r="D23" s="133">
        <v>24.15</v>
      </c>
      <c r="E23" s="133">
        <v>6.56</v>
      </c>
      <c r="F23" s="133">
        <v>2.78</v>
      </c>
      <c r="G23" s="133">
        <v>60.26</v>
      </c>
      <c r="H23" s="133">
        <v>19.28</v>
      </c>
      <c r="I23" s="133">
        <v>8.14</v>
      </c>
      <c r="J23" s="133">
        <v>0.27</v>
      </c>
      <c r="K23" s="133">
        <v>249.2</v>
      </c>
      <c r="L23" s="133">
        <v>23.7</v>
      </c>
      <c r="M23" s="133">
        <v>84.3</v>
      </c>
      <c r="N23" s="133">
        <v>0</v>
      </c>
      <c r="O23" s="133">
        <v>0</v>
      </c>
      <c r="P23" s="133">
        <v>0.73</v>
      </c>
      <c r="Q23" s="133">
        <v>3.82</v>
      </c>
    </row>
    <row r="24" spans="1:17" customFormat="1">
      <c r="A24" s="111" t="s">
        <v>638</v>
      </c>
      <c r="B24" s="133">
        <v>12.37</v>
      </c>
      <c r="C24" s="133">
        <v>26.8</v>
      </c>
      <c r="D24" s="133">
        <v>25.27</v>
      </c>
      <c r="E24" s="133">
        <v>6.28</v>
      </c>
      <c r="F24" s="133">
        <v>2.31</v>
      </c>
      <c r="G24" s="133">
        <v>59.25</v>
      </c>
      <c r="H24" s="133">
        <v>18.07</v>
      </c>
      <c r="I24" s="133">
        <v>8.18</v>
      </c>
      <c r="J24" s="133">
        <v>0.12</v>
      </c>
      <c r="K24" s="133">
        <v>188.23</v>
      </c>
      <c r="L24" s="133">
        <v>23.14</v>
      </c>
      <c r="M24" s="133">
        <v>86.44</v>
      </c>
      <c r="N24" s="133">
        <v>0</v>
      </c>
      <c r="O24" s="133">
        <v>0</v>
      </c>
      <c r="P24" s="133">
        <v>0.75</v>
      </c>
      <c r="Q24" s="133">
        <v>3.84</v>
      </c>
    </row>
    <row r="25" spans="1:17" customFormat="1">
      <c r="A25" s="111" t="s">
        <v>639</v>
      </c>
      <c r="B25" s="133">
        <v>12.66</v>
      </c>
      <c r="C25" s="133">
        <v>25.3</v>
      </c>
      <c r="D25" s="133">
        <v>24.72</v>
      </c>
      <c r="E25" s="133">
        <v>6.23</v>
      </c>
      <c r="F25" s="133">
        <v>2.9</v>
      </c>
      <c r="G25" s="133">
        <v>59.25</v>
      </c>
      <c r="H25" s="133">
        <v>18.07</v>
      </c>
      <c r="I25" s="133">
        <v>8.1999999999999993</v>
      </c>
      <c r="J25" s="133">
        <v>0.14000000000000001</v>
      </c>
      <c r="K25" s="133">
        <v>187.6</v>
      </c>
      <c r="L25" s="133">
        <v>22.84</v>
      </c>
      <c r="M25" s="133">
        <v>88.54</v>
      </c>
      <c r="N25" s="133">
        <v>0</v>
      </c>
      <c r="O25" s="133">
        <v>0</v>
      </c>
      <c r="P25" s="133">
        <v>0.73</v>
      </c>
      <c r="Q25" s="133">
        <v>3.88</v>
      </c>
    </row>
    <row r="26" spans="1:17" customFormat="1">
      <c r="A26" s="111" t="s">
        <v>640</v>
      </c>
      <c r="B26" s="133">
        <v>12.82</v>
      </c>
      <c r="C26" s="133">
        <v>25.29</v>
      </c>
      <c r="D26" s="133">
        <v>24.84</v>
      </c>
      <c r="E26" s="133">
        <v>5.86</v>
      </c>
      <c r="F26" s="133">
        <v>2.82</v>
      </c>
      <c r="G26" s="133">
        <v>59.25</v>
      </c>
      <c r="H26" s="133">
        <v>18.07</v>
      </c>
      <c r="I26" s="133">
        <v>8.2200000000000006</v>
      </c>
      <c r="J26" s="133">
        <v>0.14000000000000001</v>
      </c>
      <c r="K26" s="133">
        <v>188.95</v>
      </c>
      <c r="L26" s="133">
        <v>22.66</v>
      </c>
      <c r="M26" s="133">
        <v>88</v>
      </c>
      <c r="N26" s="133">
        <v>0</v>
      </c>
      <c r="O26" s="133">
        <v>0</v>
      </c>
      <c r="P26" s="133">
        <v>0.73</v>
      </c>
      <c r="Q26" s="133">
        <v>3.89</v>
      </c>
    </row>
    <row r="27" spans="1:17" customFormat="1">
      <c r="A27" s="111" t="s">
        <v>641</v>
      </c>
      <c r="B27" s="133">
        <v>13.24</v>
      </c>
      <c r="C27" s="133">
        <v>25.82</v>
      </c>
      <c r="D27" s="133">
        <v>25.45</v>
      </c>
      <c r="E27" s="133">
        <v>6.13</v>
      </c>
      <c r="F27" s="133">
        <v>2.69</v>
      </c>
      <c r="G27" s="133">
        <v>59.02</v>
      </c>
      <c r="H27" s="133">
        <v>17.850000000000001</v>
      </c>
      <c r="I27" s="133">
        <v>8.19</v>
      </c>
      <c r="J27" s="133">
        <v>0.14000000000000001</v>
      </c>
      <c r="K27" s="133">
        <v>179.7</v>
      </c>
      <c r="L27" s="133">
        <v>22.59</v>
      </c>
      <c r="M27" s="133">
        <v>89.41</v>
      </c>
      <c r="N27" s="133">
        <v>0</v>
      </c>
      <c r="O27" s="133">
        <v>0</v>
      </c>
      <c r="P27" s="133">
        <v>0.74</v>
      </c>
      <c r="Q27" s="133">
        <v>3.9</v>
      </c>
    </row>
    <row r="28" spans="1:17" customFormat="1">
      <c r="A28" s="111" t="s">
        <v>642</v>
      </c>
      <c r="B28" s="133">
        <v>13.53</v>
      </c>
      <c r="C28" s="133">
        <v>24.47</v>
      </c>
      <c r="D28" s="133">
        <v>24.99</v>
      </c>
      <c r="E28" s="133">
        <v>6.25</v>
      </c>
      <c r="F28" s="133">
        <v>2.99</v>
      </c>
      <c r="G28" s="133">
        <v>58.22</v>
      </c>
      <c r="H28" s="133">
        <v>17.32</v>
      </c>
      <c r="I28" s="133">
        <v>8.23</v>
      </c>
      <c r="J28" s="133">
        <v>0.1</v>
      </c>
      <c r="K28" s="133">
        <v>172.73</v>
      </c>
      <c r="L28" s="133">
        <v>22.44</v>
      </c>
      <c r="M28" s="133">
        <v>90.27</v>
      </c>
      <c r="N28" s="133">
        <v>0</v>
      </c>
      <c r="O28" s="133">
        <v>0</v>
      </c>
      <c r="P28" s="133">
        <v>0.73</v>
      </c>
      <c r="Q28" s="133">
        <v>3.93</v>
      </c>
    </row>
    <row r="29" spans="1:17" customFormat="1">
      <c r="A29" s="111" t="s">
        <v>643</v>
      </c>
      <c r="B29" s="133">
        <v>13.62</v>
      </c>
      <c r="C29" s="133">
        <v>25.62</v>
      </c>
      <c r="D29" s="133">
        <v>25.65</v>
      </c>
      <c r="E29" s="133">
        <v>6.12</v>
      </c>
      <c r="F29" s="133">
        <v>2.44</v>
      </c>
      <c r="G29" s="133">
        <v>58.22</v>
      </c>
      <c r="H29" s="133">
        <v>17.32</v>
      </c>
      <c r="I29" s="133">
        <v>8.24</v>
      </c>
      <c r="J29" s="133">
        <v>0.11</v>
      </c>
      <c r="K29" s="133">
        <v>184.69</v>
      </c>
      <c r="L29" s="133">
        <v>22.5</v>
      </c>
      <c r="M29" s="133">
        <v>87.22</v>
      </c>
      <c r="N29" s="133">
        <v>0</v>
      </c>
      <c r="O29" s="133">
        <v>0</v>
      </c>
      <c r="P29" s="133">
        <v>0.74</v>
      </c>
      <c r="Q29" s="133">
        <v>3.9</v>
      </c>
    </row>
    <row r="30" spans="1:17" customFormat="1">
      <c r="A30" s="111" t="s">
        <v>644</v>
      </c>
      <c r="B30" s="133">
        <v>13.93</v>
      </c>
      <c r="C30" s="133">
        <v>25.19</v>
      </c>
      <c r="D30" s="133">
        <v>25.68</v>
      </c>
      <c r="E30" s="133">
        <v>6.36</v>
      </c>
      <c r="F30" s="133">
        <v>2.7</v>
      </c>
      <c r="G30" s="133">
        <v>58.22</v>
      </c>
      <c r="H30" s="133">
        <v>17.32</v>
      </c>
      <c r="I30" s="133">
        <v>8.23</v>
      </c>
      <c r="J30" s="133">
        <v>0.14000000000000001</v>
      </c>
      <c r="K30" s="133">
        <v>156.80000000000001</v>
      </c>
      <c r="L30" s="133">
        <v>22.37</v>
      </c>
      <c r="M30" s="133">
        <v>88.82</v>
      </c>
      <c r="N30" s="133">
        <v>0</v>
      </c>
      <c r="O30" s="133">
        <v>0</v>
      </c>
      <c r="P30" s="133">
        <v>0.73</v>
      </c>
      <c r="Q30" s="133">
        <v>3.94</v>
      </c>
    </row>
    <row r="31" spans="1:17" customFormat="1">
      <c r="A31" s="111" t="s">
        <v>645</v>
      </c>
      <c r="B31" s="133">
        <v>14.07</v>
      </c>
      <c r="C31" s="133">
        <v>23.9</v>
      </c>
      <c r="D31" s="133">
        <v>25.12</v>
      </c>
      <c r="E31" s="133">
        <v>6.22</v>
      </c>
      <c r="F31" s="133">
        <v>3.04</v>
      </c>
      <c r="G31" s="133">
        <v>57.83</v>
      </c>
      <c r="H31" s="133">
        <v>18.03</v>
      </c>
      <c r="I31" s="133">
        <v>8.35</v>
      </c>
      <c r="J31" s="133">
        <v>0.11</v>
      </c>
      <c r="K31" s="133">
        <v>163.16</v>
      </c>
      <c r="L31" s="133">
        <v>22.06</v>
      </c>
      <c r="M31" s="133">
        <v>95.73</v>
      </c>
      <c r="N31" s="133">
        <v>0</v>
      </c>
      <c r="O31" s="133">
        <v>0</v>
      </c>
      <c r="P31" s="133">
        <v>0.72</v>
      </c>
      <c r="Q31" s="133">
        <v>3.97</v>
      </c>
    </row>
    <row r="32" spans="1:17" customFormat="1">
      <c r="A32" s="111" t="s">
        <v>646</v>
      </c>
      <c r="B32" s="133">
        <v>14.18</v>
      </c>
      <c r="C32" s="133">
        <v>25.62</v>
      </c>
      <c r="D32" s="133">
        <v>26.1</v>
      </c>
      <c r="E32" s="133">
        <v>6.59</v>
      </c>
      <c r="F32" s="133">
        <v>2.4300000000000002</v>
      </c>
      <c r="G32" s="133">
        <v>56.45</v>
      </c>
      <c r="H32" s="133">
        <v>19.8</v>
      </c>
      <c r="I32" s="133">
        <v>8.2899999999999991</v>
      </c>
      <c r="J32" s="133">
        <v>0.11</v>
      </c>
      <c r="K32" s="133">
        <v>215.13</v>
      </c>
      <c r="L32" s="133">
        <v>22.01</v>
      </c>
      <c r="M32" s="133">
        <v>93.96</v>
      </c>
      <c r="N32" s="133">
        <v>0.4</v>
      </c>
      <c r="O32" s="133">
        <v>0</v>
      </c>
      <c r="P32" s="133">
        <v>0.73</v>
      </c>
      <c r="Q32" s="133">
        <v>3.94</v>
      </c>
    </row>
    <row r="33" spans="1:17" customFormat="1">
      <c r="A33" s="111" t="s">
        <v>647</v>
      </c>
      <c r="B33" s="133">
        <v>14.52</v>
      </c>
      <c r="C33" s="133">
        <v>25.93</v>
      </c>
      <c r="D33" s="133">
        <v>26.54</v>
      </c>
      <c r="E33" s="133">
        <v>6.7</v>
      </c>
      <c r="F33" s="133">
        <v>2.4300000000000002</v>
      </c>
      <c r="G33" s="133">
        <v>56.45</v>
      </c>
      <c r="H33" s="133">
        <v>19.8</v>
      </c>
      <c r="I33" s="133">
        <v>8.2799999999999994</v>
      </c>
      <c r="J33" s="133">
        <v>0.12</v>
      </c>
      <c r="K33" s="133">
        <v>203.61</v>
      </c>
      <c r="L33" s="133">
        <v>22.32</v>
      </c>
      <c r="M33" s="133">
        <v>88.36</v>
      </c>
      <c r="N33" s="133">
        <v>7</v>
      </c>
      <c r="O33" s="133">
        <v>0</v>
      </c>
      <c r="P33" s="133">
        <v>0.75</v>
      </c>
      <c r="Q33" s="133">
        <v>3.97</v>
      </c>
    </row>
    <row r="34" spans="1:17" customFormat="1">
      <c r="A34" s="111" t="s">
        <v>648</v>
      </c>
      <c r="B34" s="133">
        <v>14.82</v>
      </c>
      <c r="C34" s="133">
        <v>24.24</v>
      </c>
      <c r="D34" s="133">
        <v>25.9</v>
      </c>
      <c r="E34" s="133">
        <v>6.32</v>
      </c>
      <c r="F34" s="133">
        <v>2.94</v>
      </c>
      <c r="G34" s="133">
        <v>56.45</v>
      </c>
      <c r="H34" s="133">
        <v>19.8</v>
      </c>
      <c r="I34" s="133">
        <v>8.35</v>
      </c>
      <c r="J34" s="133">
        <v>0.32</v>
      </c>
      <c r="K34" s="133">
        <v>263.61</v>
      </c>
      <c r="L34" s="133">
        <v>22.91</v>
      </c>
      <c r="M34" s="133">
        <v>81.180000000000007</v>
      </c>
      <c r="N34" s="133">
        <v>16.7</v>
      </c>
      <c r="O34" s="133">
        <v>0</v>
      </c>
      <c r="P34" s="133">
        <v>0.72</v>
      </c>
      <c r="Q34" s="133">
        <v>4.03</v>
      </c>
    </row>
    <row r="35" spans="1:17" customFormat="1">
      <c r="A35" s="111" t="s">
        <v>649</v>
      </c>
      <c r="B35" s="133">
        <v>14.95</v>
      </c>
      <c r="C35" s="133">
        <v>25.17</v>
      </c>
      <c r="D35" s="133">
        <v>26.49</v>
      </c>
      <c r="E35" s="133">
        <v>6.73</v>
      </c>
      <c r="F35" s="133">
        <v>2.71</v>
      </c>
      <c r="G35" s="133">
        <v>55.61</v>
      </c>
      <c r="H35" s="133">
        <v>19.38</v>
      </c>
      <c r="I35" s="133">
        <v>8.34</v>
      </c>
      <c r="J35" s="133">
        <v>0.36</v>
      </c>
      <c r="K35" s="133">
        <v>265.63</v>
      </c>
      <c r="L35" s="133">
        <v>23.61</v>
      </c>
      <c r="M35" s="133">
        <v>75.14</v>
      </c>
      <c r="N35" s="133">
        <v>26</v>
      </c>
      <c r="O35" s="133">
        <v>0</v>
      </c>
      <c r="P35" s="133">
        <v>0.74</v>
      </c>
      <c r="Q35" s="133">
        <v>4</v>
      </c>
    </row>
    <row r="36" spans="1:17" customFormat="1">
      <c r="A36" s="111" t="s">
        <v>650</v>
      </c>
      <c r="B36" s="133">
        <v>15.31</v>
      </c>
      <c r="C36" s="133">
        <v>26.32</v>
      </c>
      <c r="D36" s="133">
        <v>27.38</v>
      </c>
      <c r="E36" s="133">
        <v>6.58</v>
      </c>
      <c r="F36" s="133">
        <v>2.48</v>
      </c>
      <c r="G36" s="133">
        <v>52.69</v>
      </c>
      <c r="H36" s="133">
        <v>17.2</v>
      </c>
      <c r="I36" s="133">
        <v>8.33</v>
      </c>
      <c r="J36" s="133">
        <v>0.4</v>
      </c>
      <c r="K36" s="133">
        <v>263.27</v>
      </c>
      <c r="L36" s="133">
        <v>23.91</v>
      </c>
      <c r="M36" s="133">
        <v>73.97</v>
      </c>
      <c r="N36" s="133">
        <v>39.5</v>
      </c>
      <c r="O36" s="133">
        <v>0</v>
      </c>
      <c r="P36" s="133">
        <v>0.74</v>
      </c>
      <c r="Q36" s="133">
        <v>4.03</v>
      </c>
    </row>
    <row r="37" spans="1:17" customFormat="1">
      <c r="A37" s="111" t="s">
        <v>651</v>
      </c>
      <c r="B37" s="133">
        <v>15.45</v>
      </c>
      <c r="C37" s="133">
        <v>25.05</v>
      </c>
      <c r="D37" s="133">
        <v>26.83</v>
      </c>
      <c r="E37" s="133">
        <v>6.56</v>
      </c>
      <c r="F37" s="133">
        <v>3.01</v>
      </c>
      <c r="G37" s="133">
        <v>52.69</v>
      </c>
      <c r="H37" s="133">
        <v>17.2</v>
      </c>
      <c r="I37" s="133">
        <v>8.33</v>
      </c>
      <c r="J37" s="133">
        <v>0.4</v>
      </c>
      <c r="K37" s="133">
        <v>269.63</v>
      </c>
      <c r="L37" s="133">
        <v>24.28</v>
      </c>
      <c r="M37" s="133">
        <v>72.22</v>
      </c>
      <c r="N37" s="133">
        <v>72.3</v>
      </c>
      <c r="O37" s="133">
        <v>0</v>
      </c>
      <c r="P37" s="133">
        <v>0.72</v>
      </c>
      <c r="Q37" s="133">
        <v>4.0599999999999996</v>
      </c>
    </row>
    <row r="38" spans="1:17" customFormat="1">
      <c r="A38" s="111" t="s">
        <v>652</v>
      </c>
      <c r="B38" s="133">
        <v>15.07</v>
      </c>
      <c r="C38" s="133">
        <v>24.85</v>
      </c>
      <c r="D38" s="133">
        <v>26.42</v>
      </c>
      <c r="E38" s="133">
        <v>6.28</v>
      </c>
      <c r="F38" s="133">
        <v>3.1</v>
      </c>
      <c r="G38" s="133">
        <v>52.69</v>
      </c>
      <c r="H38" s="133">
        <v>17.2</v>
      </c>
      <c r="I38" s="133">
        <v>8.27</v>
      </c>
      <c r="J38" s="133">
        <v>0.36</v>
      </c>
      <c r="K38" s="133">
        <v>269.33</v>
      </c>
      <c r="L38" s="133">
        <v>24.81</v>
      </c>
      <c r="M38" s="133">
        <v>70</v>
      </c>
      <c r="N38" s="133">
        <v>120.5</v>
      </c>
      <c r="O38" s="133">
        <v>0</v>
      </c>
      <c r="P38" s="133">
        <v>0.72</v>
      </c>
      <c r="Q38" s="133">
        <v>4.01</v>
      </c>
    </row>
    <row r="39" spans="1:17" customFormat="1">
      <c r="A39" s="111" t="s">
        <v>653</v>
      </c>
      <c r="B39" s="133">
        <v>14.31</v>
      </c>
      <c r="C39" s="133">
        <v>25.47</v>
      </c>
      <c r="D39" s="133">
        <v>26.14</v>
      </c>
      <c r="E39" s="133">
        <v>6.29</v>
      </c>
      <c r="F39" s="133">
        <v>3.08</v>
      </c>
      <c r="G39" s="133">
        <v>53.14</v>
      </c>
      <c r="H39" s="133">
        <v>15.73</v>
      </c>
      <c r="I39" s="133">
        <v>8.15</v>
      </c>
      <c r="J39" s="133">
        <v>0.28000000000000003</v>
      </c>
      <c r="K39" s="133">
        <v>262.07</v>
      </c>
      <c r="L39" s="133">
        <v>25.43</v>
      </c>
      <c r="M39" s="133">
        <v>67.8</v>
      </c>
      <c r="N39" s="133">
        <v>100</v>
      </c>
      <c r="O39" s="133">
        <v>0</v>
      </c>
      <c r="P39" s="133">
        <v>0.73</v>
      </c>
      <c r="Q39" s="133">
        <v>3.96</v>
      </c>
    </row>
    <row r="40" spans="1:17" customFormat="1">
      <c r="A40" s="111" t="s">
        <v>654</v>
      </c>
      <c r="B40" s="133">
        <v>13.48</v>
      </c>
      <c r="C40" s="133">
        <v>26.24</v>
      </c>
      <c r="D40" s="133">
        <v>25.87</v>
      </c>
      <c r="E40" s="133">
        <v>6.49</v>
      </c>
      <c r="F40" s="133">
        <v>3.12</v>
      </c>
      <c r="G40" s="133">
        <v>54.7</v>
      </c>
      <c r="H40" s="133">
        <v>12.29</v>
      </c>
      <c r="I40" s="133">
        <v>7.99</v>
      </c>
      <c r="J40" s="133">
        <v>0.35</v>
      </c>
      <c r="K40" s="133">
        <v>268.27</v>
      </c>
      <c r="L40" s="133">
        <v>26.19</v>
      </c>
      <c r="M40" s="133">
        <v>65.069999999999993</v>
      </c>
      <c r="N40" s="133">
        <v>227.1</v>
      </c>
      <c r="O40" s="133">
        <v>0</v>
      </c>
      <c r="P40" s="133">
        <v>0.72</v>
      </c>
      <c r="Q40" s="133">
        <v>3.93</v>
      </c>
    </row>
    <row r="41" spans="1:17" customFormat="1">
      <c r="A41" s="111" t="s">
        <v>655</v>
      </c>
      <c r="B41" s="133">
        <v>12.44</v>
      </c>
      <c r="C41" s="133">
        <v>27.03</v>
      </c>
      <c r="D41" s="133">
        <v>25.45</v>
      </c>
      <c r="E41" s="133">
        <v>6.45</v>
      </c>
      <c r="F41" s="133">
        <v>3.24</v>
      </c>
      <c r="G41" s="133">
        <v>54.7</v>
      </c>
      <c r="H41" s="133">
        <v>12.29</v>
      </c>
      <c r="I41" s="133">
        <v>7.86</v>
      </c>
      <c r="J41" s="133">
        <v>0.33</v>
      </c>
      <c r="K41" s="133">
        <v>281.31</v>
      </c>
      <c r="L41" s="133">
        <v>27.13</v>
      </c>
      <c r="M41" s="133">
        <v>62.48</v>
      </c>
      <c r="N41" s="133">
        <v>335</v>
      </c>
      <c r="O41" s="133">
        <v>0</v>
      </c>
      <c r="P41" s="133">
        <v>0.72</v>
      </c>
      <c r="Q41" s="133">
        <v>3.9</v>
      </c>
    </row>
    <row r="42" spans="1:17" customFormat="1">
      <c r="A42" s="111" t="s">
        <v>656</v>
      </c>
      <c r="B42" s="133">
        <v>11.55</v>
      </c>
      <c r="C42" s="133">
        <v>27.56</v>
      </c>
      <c r="D42" s="133">
        <v>25.01</v>
      </c>
      <c r="E42" s="133">
        <v>6.05</v>
      </c>
      <c r="F42" s="133">
        <v>3.21</v>
      </c>
      <c r="G42" s="133">
        <v>54.7</v>
      </c>
      <c r="H42" s="133">
        <v>12.29</v>
      </c>
      <c r="I42" s="133">
        <v>7.73</v>
      </c>
      <c r="J42" s="133">
        <v>0.37</v>
      </c>
      <c r="K42" s="133">
        <v>321.13</v>
      </c>
      <c r="L42" s="133">
        <v>28.01</v>
      </c>
      <c r="M42" s="133">
        <v>59.15</v>
      </c>
      <c r="N42" s="133">
        <v>389.8</v>
      </c>
      <c r="O42" s="133">
        <v>0</v>
      </c>
      <c r="P42" s="133">
        <v>0.72</v>
      </c>
      <c r="Q42" s="133">
        <v>3.86</v>
      </c>
    </row>
    <row r="43" spans="1:17" customFormat="1">
      <c r="A43" s="111" t="s">
        <v>657</v>
      </c>
      <c r="B43" s="133">
        <v>10.77</v>
      </c>
      <c r="C43" s="133">
        <v>28.55</v>
      </c>
      <c r="D43" s="133">
        <v>24.9</v>
      </c>
      <c r="E43" s="133">
        <v>5.69</v>
      </c>
      <c r="F43" s="133">
        <v>3.6</v>
      </c>
      <c r="G43" s="133">
        <v>54.64</v>
      </c>
      <c r="H43" s="133">
        <v>13.17</v>
      </c>
      <c r="I43" s="133">
        <v>7.63</v>
      </c>
      <c r="J43" s="133">
        <v>0.47</v>
      </c>
      <c r="K43" s="133">
        <v>323.04000000000002</v>
      </c>
      <c r="L43" s="133">
        <v>28.47</v>
      </c>
      <c r="M43" s="133">
        <v>56.37</v>
      </c>
      <c r="N43" s="133">
        <v>445.3</v>
      </c>
      <c r="O43" s="133">
        <v>0</v>
      </c>
      <c r="P43" s="133">
        <v>0.72</v>
      </c>
      <c r="Q43" s="133">
        <v>3.84</v>
      </c>
    </row>
    <row r="44" spans="1:17" customFormat="1">
      <c r="A44" s="111" t="s">
        <v>658</v>
      </c>
      <c r="B44" s="133">
        <v>10.08</v>
      </c>
      <c r="C44" s="133">
        <v>29.12</v>
      </c>
      <c r="D44" s="133">
        <v>24.65</v>
      </c>
      <c r="E44" s="133">
        <v>6.32</v>
      </c>
      <c r="F44" s="133">
        <v>3.7</v>
      </c>
      <c r="G44" s="133">
        <v>54.45</v>
      </c>
      <c r="H44" s="133">
        <v>15.24</v>
      </c>
      <c r="I44" s="133">
        <v>7.49</v>
      </c>
      <c r="J44" s="133">
        <v>0.64</v>
      </c>
      <c r="K44" s="133">
        <v>267.33</v>
      </c>
      <c r="L44" s="133">
        <v>28.7</v>
      </c>
      <c r="M44" s="133">
        <v>57.06</v>
      </c>
      <c r="N44" s="133">
        <v>490.2</v>
      </c>
      <c r="O44" s="133">
        <v>0</v>
      </c>
      <c r="P44" s="133">
        <v>0.72</v>
      </c>
      <c r="Q44" s="133">
        <v>3.8</v>
      </c>
    </row>
    <row r="45" spans="1:17" customFormat="1">
      <c r="A45" s="111" t="s">
        <v>659</v>
      </c>
      <c r="B45" s="133">
        <v>9.16</v>
      </c>
      <c r="C45" s="133">
        <v>29.27</v>
      </c>
      <c r="D45" s="133">
        <v>23.98</v>
      </c>
      <c r="E45" s="133">
        <v>6.17</v>
      </c>
      <c r="F45" s="133">
        <v>3.86</v>
      </c>
      <c r="G45" s="133">
        <v>54.45</v>
      </c>
      <c r="H45" s="133">
        <v>15.24</v>
      </c>
      <c r="I45" s="133">
        <v>7.38</v>
      </c>
      <c r="J45" s="133">
        <v>0.5</v>
      </c>
      <c r="K45" s="133">
        <v>317</v>
      </c>
      <c r="L45" s="133">
        <v>29.11</v>
      </c>
      <c r="M45" s="133">
        <v>56.05</v>
      </c>
      <c r="N45" s="133">
        <v>536.9</v>
      </c>
      <c r="O45" s="133">
        <v>0</v>
      </c>
      <c r="P45" s="133">
        <v>0.72</v>
      </c>
      <c r="Q45" s="133">
        <v>3.75</v>
      </c>
    </row>
    <row r="46" spans="1:17" customFormat="1">
      <c r="A46" s="111" t="s">
        <v>660</v>
      </c>
      <c r="B46" s="133">
        <v>8.31</v>
      </c>
      <c r="C46" s="133">
        <v>29.55</v>
      </c>
      <c r="D46" s="133">
        <v>23.45</v>
      </c>
      <c r="E46" s="133">
        <v>6.52</v>
      </c>
      <c r="F46" s="133">
        <v>3.78</v>
      </c>
      <c r="G46" s="133">
        <v>54.45</v>
      </c>
      <c r="H46" s="133">
        <v>15.24</v>
      </c>
      <c r="I46" s="133">
        <v>7.31</v>
      </c>
      <c r="J46" s="133">
        <v>0.59</v>
      </c>
      <c r="K46" s="133">
        <v>320.61</v>
      </c>
      <c r="L46" s="133">
        <v>29.68</v>
      </c>
      <c r="M46" s="133">
        <v>54.02</v>
      </c>
      <c r="N46" s="133">
        <v>513.1</v>
      </c>
      <c r="O46" s="133">
        <v>0</v>
      </c>
      <c r="P46" s="133">
        <v>0.72</v>
      </c>
      <c r="Q46" s="133">
        <v>3.68</v>
      </c>
    </row>
    <row r="47" spans="1:17" customFormat="1">
      <c r="A47" s="111" t="s">
        <v>661</v>
      </c>
      <c r="B47" s="133">
        <v>7.58</v>
      </c>
      <c r="C47" s="133">
        <v>29.69</v>
      </c>
      <c r="D47" s="133">
        <v>22.94</v>
      </c>
      <c r="E47" s="133">
        <v>6.82</v>
      </c>
      <c r="F47" s="133">
        <v>4.8899999999999997</v>
      </c>
      <c r="G47" s="133">
        <v>55.04</v>
      </c>
      <c r="H47" s="133">
        <v>15.69</v>
      </c>
      <c r="I47" s="133">
        <v>7.17</v>
      </c>
      <c r="J47" s="133">
        <v>0.51</v>
      </c>
      <c r="K47" s="133">
        <v>310.8</v>
      </c>
      <c r="L47" s="133">
        <v>30.11</v>
      </c>
      <c r="M47" s="133">
        <v>54.12</v>
      </c>
      <c r="N47" s="133">
        <v>442.4</v>
      </c>
      <c r="O47" s="133">
        <v>0</v>
      </c>
      <c r="P47" s="133">
        <v>0.72</v>
      </c>
      <c r="Q47" s="133">
        <v>3.63</v>
      </c>
    </row>
    <row r="48" spans="1:17" customFormat="1">
      <c r="A48" s="111" t="s">
        <v>662</v>
      </c>
      <c r="B48" s="133">
        <v>7.16</v>
      </c>
      <c r="C48" s="133">
        <v>29.88</v>
      </c>
      <c r="D48" s="133">
        <v>22.71</v>
      </c>
      <c r="E48" s="133">
        <v>6.59</v>
      </c>
      <c r="F48" s="133">
        <v>4.6100000000000003</v>
      </c>
      <c r="G48" s="133">
        <v>57.12</v>
      </c>
      <c r="H48" s="133">
        <v>16.73</v>
      </c>
      <c r="I48" s="133">
        <v>7.09</v>
      </c>
      <c r="J48" s="133">
        <v>0.52</v>
      </c>
      <c r="K48" s="133">
        <v>329.18</v>
      </c>
      <c r="L48" s="133">
        <v>30.76</v>
      </c>
      <c r="M48" s="133">
        <v>52.53</v>
      </c>
      <c r="N48" s="133">
        <v>476.8</v>
      </c>
      <c r="O48" s="133">
        <v>0</v>
      </c>
      <c r="P48" s="133">
        <v>0.72</v>
      </c>
      <c r="Q48" s="133">
        <v>3.63</v>
      </c>
    </row>
    <row r="49" spans="1:17" customFormat="1">
      <c r="A49" s="111" t="s">
        <v>663</v>
      </c>
      <c r="B49" s="133">
        <v>6.85</v>
      </c>
      <c r="C49" s="133">
        <v>29.89</v>
      </c>
      <c r="D49" s="133">
        <v>22.46</v>
      </c>
      <c r="E49" s="133">
        <v>6.13</v>
      </c>
      <c r="F49" s="133">
        <v>4.1500000000000004</v>
      </c>
      <c r="G49" s="133">
        <v>57.12</v>
      </c>
      <c r="H49" s="133">
        <v>16.73</v>
      </c>
      <c r="I49" s="133">
        <v>6.92</v>
      </c>
      <c r="J49" s="133">
        <v>0.44</v>
      </c>
      <c r="K49" s="133">
        <v>319.16000000000003</v>
      </c>
      <c r="L49" s="133">
        <v>31.05</v>
      </c>
      <c r="M49" s="133">
        <v>52.22</v>
      </c>
      <c r="N49" s="133">
        <v>684.7</v>
      </c>
      <c r="O49" s="133">
        <v>0</v>
      </c>
      <c r="P49" s="133">
        <v>0.72</v>
      </c>
      <c r="Q49" s="133">
        <v>3.6</v>
      </c>
    </row>
    <row r="50" spans="1:17" customFormat="1">
      <c r="A50" s="111" t="s">
        <v>664</v>
      </c>
      <c r="B50" s="133">
        <v>6.45</v>
      </c>
      <c r="C50" s="133">
        <v>30.15</v>
      </c>
      <c r="D50" s="133">
        <v>22.27</v>
      </c>
      <c r="E50" s="133">
        <v>7.2</v>
      </c>
      <c r="F50" s="133">
        <v>5.05</v>
      </c>
      <c r="G50" s="133">
        <v>57.12</v>
      </c>
      <c r="H50" s="133">
        <v>16.73</v>
      </c>
      <c r="I50" s="133">
        <v>6.85</v>
      </c>
      <c r="J50" s="133">
        <v>0.57999999999999996</v>
      </c>
      <c r="K50" s="133">
        <v>296.61</v>
      </c>
      <c r="L50" s="133">
        <v>31.51</v>
      </c>
      <c r="M50" s="133">
        <v>50.58</v>
      </c>
      <c r="N50" s="133">
        <v>722.3</v>
      </c>
      <c r="O50" s="133">
        <v>0</v>
      </c>
      <c r="P50" s="133">
        <v>0.73</v>
      </c>
      <c r="Q50" s="133">
        <v>3.6</v>
      </c>
    </row>
    <row r="51" spans="1:17" customFormat="1">
      <c r="A51" s="111" t="s">
        <v>665</v>
      </c>
      <c r="B51" s="133">
        <v>6.08</v>
      </c>
      <c r="C51" s="133">
        <v>30.08</v>
      </c>
      <c r="D51" s="133">
        <v>21.94</v>
      </c>
      <c r="E51" s="133">
        <v>7.42</v>
      </c>
      <c r="F51" s="133">
        <v>5.73</v>
      </c>
      <c r="G51" s="133">
        <v>59.16</v>
      </c>
      <c r="H51" s="133">
        <v>18.11</v>
      </c>
      <c r="I51" s="133">
        <v>6.77</v>
      </c>
      <c r="J51" s="133">
        <v>0.44</v>
      </c>
      <c r="K51" s="133">
        <v>318.36</v>
      </c>
      <c r="L51" s="133">
        <v>31.8</v>
      </c>
      <c r="M51" s="133">
        <v>48.04</v>
      </c>
      <c r="N51" s="133">
        <v>751.5</v>
      </c>
      <c r="O51" s="133">
        <v>0</v>
      </c>
      <c r="P51" s="133">
        <v>0.72</v>
      </c>
      <c r="Q51" s="133">
        <v>3.6</v>
      </c>
    </row>
    <row r="52" spans="1:17" customFormat="1">
      <c r="A52" s="111" t="s">
        <v>666</v>
      </c>
      <c r="B52" s="133">
        <v>5.86</v>
      </c>
      <c r="C52" s="133">
        <v>29.94</v>
      </c>
      <c r="D52" s="133">
        <v>21.69</v>
      </c>
      <c r="E52" s="133">
        <v>7.45</v>
      </c>
      <c r="F52" s="133">
        <v>6.74</v>
      </c>
      <c r="G52" s="133">
        <v>65.89</v>
      </c>
      <c r="H52" s="133">
        <v>21.35</v>
      </c>
      <c r="I52" s="133">
        <v>6.67</v>
      </c>
      <c r="J52" s="133">
        <v>0.47</v>
      </c>
      <c r="K52" s="133">
        <v>346.75</v>
      </c>
      <c r="L52" s="133">
        <v>31.9</v>
      </c>
      <c r="M52" s="133">
        <v>45.54</v>
      </c>
      <c r="N52" s="133">
        <v>712.8</v>
      </c>
      <c r="O52" s="133">
        <v>0</v>
      </c>
      <c r="P52" s="133">
        <v>0.72</v>
      </c>
      <c r="Q52" s="133">
        <v>3.56</v>
      </c>
    </row>
    <row r="53" spans="1:17" customFormat="1">
      <c r="A53" s="111" t="s">
        <v>667</v>
      </c>
      <c r="B53" s="133">
        <v>5.56</v>
      </c>
      <c r="C53" s="133">
        <v>29.72</v>
      </c>
      <c r="D53" s="133">
        <v>21.33</v>
      </c>
      <c r="E53" s="133">
        <v>7.2</v>
      </c>
      <c r="F53" s="133">
        <v>9.51</v>
      </c>
      <c r="G53" s="133">
        <v>65.89</v>
      </c>
      <c r="H53" s="133">
        <v>21.35</v>
      </c>
      <c r="I53" s="133">
        <v>6.54</v>
      </c>
      <c r="J53" s="133">
        <v>0.69</v>
      </c>
      <c r="K53" s="133">
        <v>335.6</v>
      </c>
      <c r="L53" s="133">
        <v>31.79</v>
      </c>
      <c r="M53" s="133">
        <v>42.29</v>
      </c>
      <c r="N53" s="133">
        <v>813.8</v>
      </c>
      <c r="O53" s="133">
        <v>0</v>
      </c>
      <c r="P53" s="133">
        <v>0.71</v>
      </c>
      <c r="Q53" s="133">
        <v>3.54</v>
      </c>
    </row>
    <row r="54" spans="1:17" customFormat="1">
      <c r="A54" s="111" t="s">
        <v>668</v>
      </c>
      <c r="B54" s="133">
        <v>5.27</v>
      </c>
      <c r="C54" s="133">
        <v>29.19</v>
      </c>
      <c r="D54" s="133">
        <v>20.83</v>
      </c>
      <c r="E54" s="133">
        <v>7.85</v>
      </c>
      <c r="F54" s="133">
        <v>9.06</v>
      </c>
      <c r="G54" s="133">
        <v>65.89</v>
      </c>
      <c r="H54" s="133">
        <v>21.35</v>
      </c>
      <c r="I54" s="133">
        <v>6.39</v>
      </c>
      <c r="J54" s="133">
        <v>0.5</v>
      </c>
      <c r="K54" s="133">
        <v>356.24</v>
      </c>
      <c r="L54" s="133">
        <v>31.82</v>
      </c>
      <c r="M54" s="133">
        <v>44.37</v>
      </c>
      <c r="N54" s="133">
        <v>828</v>
      </c>
      <c r="O54" s="133">
        <v>0</v>
      </c>
      <c r="P54" s="133">
        <v>0.7</v>
      </c>
      <c r="Q54" s="133">
        <v>3.52</v>
      </c>
    </row>
    <row r="55" spans="1:17" customFormat="1">
      <c r="A55" s="111" t="s">
        <v>669</v>
      </c>
      <c r="B55" s="133">
        <v>5.27</v>
      </c>
      <c r="C55" s="133">
        <v>28.9</v>
      </c>
      <c r="D55" s="133">
        <v>20.68</v>
      </c>
      <c r="E55" s="133">
        <v>7.1</v>
      </c>
      <c r="F55" s="133">
        <v>8.25</v>
      </c>
      <c r="G55" s="133">
        <v>65.56</v>
      </c>
      <c r="H55" s="133">
        <v>20.6</v>
      </c>
      <c r="I55" s="133">
        <v>6.25</v>
      </c>
      <c r="J55" s="133">
        <v>0.49</v>
      </c>
      <c r="K55" s="133">
        <v>8.66</v>
      </c>
      <c r="L55" s="133">
        <v>32.06</v>
      </c>
      <c r="M55" s="133">
        <v>44.57</v>
      </c>
      <c r="N55" s="133">
        <v>839.6</v>
      </c>
      <c r="O55" s="133">
        <v>0</v>
      </c>
      <c r="P55" s="133">
        <v>0.7</v>
      </c>
      <c r="Q55" s="133">
        <v>3.5</v>
      </c>
    </row>
    <row r="56" spans="1:17" customFormat="1">
      <c r="A56" s="111" t="s">
        <v>670</v>
      </c>
      <c r="B56" s="133">
        <v>5.15</v>
      </c>
      <c r="C56" s="133">
        <v>28.41</v>
      </c>
      <c r="D56" s="133">
        <v>20.32</v>
      </c>
      <c r="E56" s="133">
        <v>7.04</v>
      </c>
      <c r="F56" s="133">
        <v>7.39</v>
      </c>
      <c r="G56" s="133">
        <v>64.430000000000007</v>
      </c>
      <c r="H56" s="133">
        <v>18.82</v>
      </c>
      <c r="I56" s="133">
        <v>6.13</v>
      </c>
      <c r="J56" s="133">
        <v>0.44</v>
      </c>
      <c r="K56" s="133">
        <v>336.04</v>
      </c>
      <c r="L56" s="133">
        <v>32.119999999999997</v>
      </c>
      <c r="M56" s="133">
        <v>46.21</v>
      </c>
      <c r="N56" s="133">
        <v>839.9</v>
      </c>
      <c r="O56" s="133">
        <v>0</v>
      </c>
      <c r="P56" s="133">
        <v>0.69</v>
      </c>
      <c r="Q56" s="133">
        <v>3.48</v>
      </c>
    </row>
    <row r="57" spans="1:17" customFormat="1">
      <c r="A57" s="111" t="s">
        <v>671</v>
      </c>
      <c r="B57" s="133">
        <v>5.14</v>
      </c>
      <c r="C57" s="133">
        <v>28.32</v>
      </c>
      <c r="D57" s="133">
        <v>20.27</v>
      </c>
      <c r="E57" s="133">
        <v>7.11</v>
      </c>
      <c r="F57" s="133">
        <v>7.6</v>
      </c>
      <c r="G57" s="133">
        <v>64.430000000000007</v>
      </c>
      <c r="H57" s="133">
        <v>18.82</v>
      </c>
      <c r="I57" s="133">
        <v>6.01</v>
      </c>
      <c r="J57" s="133">
        <v>0.56000000000000005</v>
      </c>
      <c r="K57" s="133">
        <v>357.83</v>
      </c>
      <c r="L57" s="133">
        <v>32.270000000000003</v>
      </c>
      <c r="M57" s="133">
        <v>46.06</v>
      </c>
      <c r="N57" s="133">
        <v>841</v>
      </c>
      <c r="O57" s="133">
        <v>0</v>
      </c>
      <c r="P57" s="133">
        <v>0.68</v>
      </c>
      <c r="Q57" s="133">
        <v>3.46</v>
      </c>
    </row>
    <row r="58" spans="1:17" customFormat="1">
      <c r="A58" s="111" t="s">
        <v>672</v>
      </c>
      <c r="B58" s="133">
        <v>5.2</v>
      </c>
      <c r="C58" s="133">
        <v>28.17</v>
      </c>
      <c r="D58" s="133">
        <v>20.239999999999998</v>
      </c>
      <c r="E58" s="133">
        <v>7.34</v>
      </c>
      <c r="F58" s="133">
        <v>7.27</v>
      </c>
      <c r="G58" s="133">
        <v>64.430000000000007</v>
      </c>
      <c r="H58" s="133">
        <v>18.82</v>
      </c>
      <c r="I58" s="133">
        <v>5.92</v>
      </c>
      <c r="J58" s="133">
        <v>0.56000000000000005</v>
      </c>
      <c r="K58" s="133">
        <v>333.37</v>
      </c>
      <c r="L58" s="133">
        <v>32.19</v>
      </c>
      <c r="M58" s="133">
        <v>45.27</v>
      </c>
      <c r="N58" s="133">
        <v>837.9</v>
      </c>
      <c r="O58" s="133">
        <v>0</v>
      </c>
      <c r="P58" s="133">
        <v>0.68</v>
      </c>
      <c r="Q58" s="133">
        <v>3.48</v>
      </c>
    </row>
    <row r="59" spans="1:17" customFormat="1">
      <c r="A59" s="111" t="s">
        <v>673</v>
      </c>
      <c r="B59" s="133">
        <v>5.31</v>
      </c>
      <c r="C59" s="133">
        <v>26.58</v>
      </c>
      <c r="D59" s="133">
        <v>19.489999999999998</v>
      </c>
      <c r="E59" s="133">
        <v>7.14</v>
      </c>
      <c r="F59" s="133">
        <v>9.57</v>
      </c>
      <c r="G59" s="133">
        <v>64.38</v>
      </c>
      <c r="H59" s="133">
        <v>18.87</v>
      </c>
      <c r="I59" s="133">
        <v>5.78</v>
      </c>
      <c r="J59" s="133">
        <v>0.52</v>
      </c>
      <c r="K59" s="133">
        <v>324.89</v>
      </c>
      <c r="L59" s="133">
        <v>32.1</v>
      </c>
      <c r="M59" s="133">
        <v>45.03</v>
      </c>
      <c r="N59" s="133">
        <v>828</v>
      </c>
      <c r="O59" s="133">
        <v>0</v>
      </c>
      <c r="P59" s="133">
        <v>0.67</v>
      </c>
      <c r="Q59" s="133">
        <v>3.47</v>
      </c>
    </row>
    <row r="60" spans="1:17" customFormat="1">
      <c r="A60" s="111" t="s">
        <v>674</v>
      </c>
      <c r="B60" s="133">
        <v>5.35</v>
      </c>
      <c r="C60" s="133">
        <v>24.71</v>
      </c>
      <c r="D60" s="133">
        <v>18.55</v>
      </c>
      <c r="E60" s="133">
        <v>7.27</v>
      </c>
      <c r="F60" s="133">
        <v>9.84</v>
      </c>
      <c r="G60" s="133">
        <v>64.2</v>
      </c>
      <c r="H60" s="133">
        <v>19.149999999999999</v>
      </c>
      <c r="I60" s="133">
        <v>5.67</v>
      </c>
      <c r="J60" s="133">
        <v>0.59</v>
      </c>
      <c r="K60" s="133">
        <v>330.75</v>
      </c>
      <c r="L60" s="133">
        <v>32.18</v>
      </c>
      <c r="M60" s="133">
        <v>45.9</v>
      </c>
      <c r="N60" s="133">
        <v>784</v>
      </c>
      <c r="O60" s="133">
        <v>0</v>
      </c>
      <c r="P60" s="133">
        <v>0.65</v>
      </c>
      <c r="Q60" s="133">
        <v>3.45</v>
      </c>
    </row>
    <row r="61" spans="1:17" customFormat="1">
      <c r="A61" s="111" t="s">
        <v>675</v>
      </c>
      <c r="B61" s="133">
        <v>5.5</v>
      </c>
      <c r="C61" s="133">
        <v>24.09</v>
      </c>
      <c r="D61" s="133">
        <v>18.34</v>
      </c>
      <c r="E61" s="133">
        <v>6.64</v>
      </c>
      <c r="F61" s="133">
        <v>10.02</v>
      </c>
      <c r="G61" s="133">
        <v>64.2</v>
      </c>
      <c r="H61" s="133">
        <v>19.149999999999999</v>
      </c>
      <c r="I61" s="133">
        <v>5.53</v>
      </c>
      <c r="J61" s="133">
        <v>0.56000000000000005</v>
      </c>
      <c r="K61" s="133">
        <v>10.46</v>
      </c>
      <c r="L61" s="133">
        <v>32.369999999999997</v>
      </c>
      <c r="M61" s="133">
        <v>45.87</v>
      </c>
      <c r="N61" s="133">
        <v>737.3</v>
      </c>
      <c r="O61" s="133">
        <v>0</v>
      </c>
      <c r="P61" s="133">
        <v>0.64</v>
      </c>
      <c r="Q61" s="133">
        <v>3.4</v>
      </c>
    </row>
    <row r="62" spans="1:17" customFormat="1">
      <c r="A62" s="111" t="s">
        <v>676</v>
      </c>
      <c r="B62" s="133">
        <v>5.45</v>
      </c>
      <c r="C62" s="133">
        <v>23.53</v>
      </c>
      <c r="D62" s="133">
        <v>18.02</v>
      </c>
      <c r="E62" s="133">
        <v>6.53</v>
      </c>
      <c r="F62" s="133">
        <v>9.08</v>
      </c>
      <c r="G62" s="133">
        <v>64.2</v>
      </c>
      <c r="H62" s="133">
        <v>19.149999999999999</v>
      </c>
      <c r="I62" s="133">
        <v>5.47</v>
      </c>
      <c r="J62" s="133">
        <v>0.65</v>
      </c>
      <c r="K62" s="133">
        <v>11.83</v>
      </c>
      <c r="L62" s="133">
        <v>32.32</v>
      </c>
      <c r="M62" s="133">
        <v>45.49</v>
      </c>
      <c r="N62" s="133">
        <v>754</v>
      </c>
      <c r="O62" s="133">
        <v>0</v>
      </c>
      <c r="P62" s="133">
        <v>0.63</v>
      </c>
      <c r="Q62" s="133">
        <v>3.38</v>
      </c>
    </row>
    <row r="63" spans="1:17" customFormat="1">
      <c r="A63" s="111" t="s">
        <v>677</v>
      </c>
      <c r="B63" s="133">
        <v>5.5</v>
      </c>
      <c r="C63" s="133">
        <v>23.12</v>
      </c>
      <c r="D63" s="133">
        <v>17.84</v>
      </c>
      <c r="E63" s="133">
        <v>6.26</v>
      </c>
      <c r="F63" s="133">
        <v>10.25</v>
      </c>
      <c r="G63" s="133">
        <v>64.069999999999993</v>
      </c>
      <c r="H63" s="133">
        <v>18.649999999999999</v>
      </c>
      <c r="I63" s="133">
        <v>5.37</v>
      </c>
      <c r="J63" s="133">
        <v>0.92</v>
      </c>
      <c r="K63" s="133">
        <v>34.11</v>
      </c>
      <c r="L63" s="133">
        <v>32.24</v>
      </c>
      <c r="M63" s="133">
        <v>45.54</v>
      </c>
      <c r="N63" s="133">
        <v>714.6</v>
      </c>
      <c r="O63" s="133">
        <v>0</v>
      </c>
      <c r="P63" s="133">
        <v>0.63</v>
      </c>
      <c r="Q63" s="133">
        <v>3.37</v>
      </c>
    </row>
    <row r="64" spans="1:17" customFormat="1">
      <c r="A64" s="111" t="s">
        <v>678</v>
      </c>
      <c r="B64" s="133">
        <v>5.45</v>
      </c>
      <c r="C64" s="133">
        <v>22.69</v>
      </c>
      <c r="D64" s="133">
        <v>17.57</v>
      </c>
      <c r="E64" s="133">
        <v>6.69</v>
      </c>
      <c r="F64" s="133">
        <v>9.58</v>
      </c>
      <c r="G64" s="133">
        <v>63.62</v>
      </c>
      <c r="H64" s="133">
        <v>17.48</v>
      </c>
      <c r="I64" s="133">
        <v>5.28</v>
      </c>
      <c r="J64" s="133">
        <v>0.61</v>
      </c>
      <c r="K64" s="133">
        <v>11.18</v>
      </c>
      <c r="L64" s="133">
        <v>32.33</v>
      </c>
      <c r="M64" s="133">
        <v>46.43</v>
      </c>
      <c r="N64" s="133">
        <v>684.7</v>
      </c>
      <c r="O64" s="133">
        <v>0</v>
      </c>
      <c r="P64" s="133">
        <v>0.62</v>
      </c>
      <c r="Q64" s="133">
        <v>3.36</v>
      </c>
    </row>
    <row r="65" spans="1:17" customFormat="1">
      <c r="A65" s="111" t="s">
        <v>679</v>
      </c>
      <c r="B65" s="133">
        <v>5.41</v>
      </c>
      <c r="C65" s="133">
        <v>22.4</v>
      </c>
      <c r="D65" s="133">
        <v>17.399999999999999</v>
      </c>
      <c r="E65" s="133">
        <v>6.43</v>
      </c>
      <c r="F65" s="133">
        <v>8.84</v>
      </c>
      <c r="G65" s="133">
        <v>63.62</v>
      </c>
      <c r="H65" s="133">
        <v>17.48</v>
      </c>
      <c r="I65" s="133">
        <v>5.21</v>
      </c>
      <c r="J65" s="133">
        <v>0.46</v>
      </c>
      <c r="K65" s="133">
        <v>1.98</v>
      </c>
      <c r="L65" s="133">
        <v>32.56</v>
      </c>
      <c r="M65" s="133">
        <v>45.99</v>
      </c>
      <c r="N65" s="133">
        <v>639.4</v>
      </c>
      <c r="O65" s="133">
        <v>0</v>
      </c>
      <c r="P65" s="133">
        <v>0.6</v>
      </c>
      <c r="Q65" s="133">
        <v>3.36</v>
      </c>
    </row>
    <row r="66" spans="1:17" customFormat="1">
      <c r="A66" s="111" t="s">
        <v>680</v>
      </c>
      <c r="B66" s="133">
        <v>5.61</v>
      </c>
      <c r="C66" s="133">
        <v>22.09</v>
      </c>
      <c r="D66" s="133">
        <v>17.39</v>
      </c>
      <c r="E66" s="133">
        <v>6.12</v>
      </c>
      <c r="F66" s="133">
        <v>9.49</v>
      </c>
      <c r="G66" s="133">
        <v>63.62</v>
      </c>
      <c r="H66" s="133">
        <v>17.48</v>
      </c>
      <c r="I66" s="133">
        <v>5.17</v>
      </c>
      <c r="J66" s="133">
        <v>0.56000000000000005</v>
      </c>
      <c r="K66" s="133">
        <v>6.38</v>
      </c>
      <c r="L66" s="133">
        <v>32.25</v>
      </c>
      <c r="M66" s="133">
        <v>44.27</v>
      </c>
      <c r="N66" s="133">
        <v>187</v>
      </c>
      <c r="O66" s="133">
        <v>0</v>
      </c>
      <c r="P66" s="133">
        <v>0.61</v>
      </c>
      <c r="Q66" s="133">
        <v>3.35</v>
      </c>
    </row>
    <row r="67" spans="1:17" customFormat="1">
      <c r="A67" s="111" t="s">
        <v>681</v>
      </c>
      <c r="B67" s="133">
        <v>5.73</v>
      </c>
      <c r="C67" s="133">
        <v>21.99</v>
      </c>
      <c r="D67" s="133">
        <v>17.440000000000001</v>
      </c>
      <c r="E67" s="133">
        <v>6.36</v>
      </c>
      <c r="F67" s="133">
        <v>9.4700000000000006</v>
      </c>
      <c r="G67" s="133">
        <v>62.14</v>
      </c>
      <c r="H67" s="133">
        <v>17.59</v>
      </c>
      <c r="I67" s="133">
        <v>5.14</v>
      </c>
      <c r="J67" s="133">
        <v>0.66</v>
      </c>
      <c r="K67" s="133">
        <v>31.73</v>
      </c>
      <c r="L67" s="133">
        <v>31.75</v>
      </c>
      <c r="M67" s="133">
        <v>46.39</v>
      </c>
      <c r="N67" s="133">
        <v>110.5</v>
      </c>
      <c r="O67" s="133">
        <v>0</v>
      </c>
      <c r="P67" s="133">
        <v>0.61</v>
      </c>
      <c r="Q67" s="133">
        <v>3.34</v>
      </c>
    </row>
    <row r="68" spans="1:17" customFormat="1">
      <c r="A68" s="111" t="s">
        <v>682</v>
      </c>
      <c r="B68" s="133">
        <v>5.88</v>
      </c>
      <c r="C68" s="133">
        <v>21.92</v>
      </c>
      <c r="D68" s="133">
        <v>17.52</v>
      </c>
      <c r="E68" s="133">
        <v>6.51</v>
      </c>
      <c r="F68" s="133">
        <v>9.32</v>
      </c>
      <c r="G68" s="133">
        <v>57.27</v>
      </c>
      <c r="H68" s="133">
        <v>17.850000000000001</v>
      </c>
      <c r="I68" s="133">
        <v>5.0199999999999996</v>
      </c>
      <c r="J68" s="133">
        <v>0.46</v>
      </c>
      <c r="K68" s="133">
        <v>10.34</v>
      </c>
      <c r="L68" s="133">
        <v>31.53</v>
      </c>
      <c r="M68" s="133">
        <v>46.16</v>
      </c>
      <c r="N68" s="133">
        <v>128.4</v>
      </c>
      <c r="O68" s="133">
        <v>0</v>
      </c>
      <c r="P68" s="133">
        <v>0.61</v>
      </c>
      <c r="Q68" s="133">
        <v>3.35</v>
      </c>
    </row>
    <row r="69" spans="1:17" customFormat="1">
      <c r="A69" s="111" t="s">
        <v>683</v>
      </c>
      <c r="B69" s="133">
        <v>6.05</v>
      </c>
      <c r="C69" s="133">
        <v>22.31</v>
      </c>
      <c r="D69" s="133">
        <v>17.86</v>
      </c>
      <c r="E69" s="133">
        <v>6.7</v>
      </c>
      <c r="F69" s="133">
        <v>7.2</v>
      </c>
      <c r="G69" s="133">
        <v>57.27</v>
      </c>
      <c r="H69" s="133">
        <v>17.850000000000001</v>
      </c>
      <c r="I69" s="133">
        <v>4.95</v>
      </c>
      <c r="J69" s="133">
        <v>0.38</v>
      </c>
      <c r="K69" s="133">
        <v>325.33</v>
      </c>
      <c r="L69" s="133">
        <v>31.66</v>
      </c>
      <c r="M69" s="133">
        <v>45.34</v>
      </c>
      <c r="N69" s="133">
        <v>112.2</v>
      </c>
      <c r="O69" s="133">
        <v>0</v>
      </c>
      <c r="P69" s="133">
        <v>0.61</v>
      </c>
      <c r="Q69" s="133">
        <v>3.36</v>
      </c>
    </row>
    <row r="70" spans="1:17" customFormat="1">
      <c r="A70" s="111" t="s">
        <v>684</v>
      </c>
      <c r="B70" s="133">
        <v>6.05</v>
      </c>
      <c r="C70" s="133">
        <v>22.55</v>
      </c>
      <c r="D70" s="133">
        <v>17.98</v>
      </c>
      <c r="E70" s="133">
        <v>7</v>
      </c>
      <c r="F70" s="133">
        <v>9.41</v>
      </c>
      <c r="G70" s="133">
        <v>57.27</v>
      </c>
      <c r="H70" s="133">
        <v>17.850000000000001</v>
      </c>
      <c r="I70" s="133">
        <v>4.96</v>
      </c>
      <c r="J70" s="133">
        <v>0.38</v>
      </c>
      <c r="K70" s="133">
        <v>343.31</v>
      </c>
      <c r="L70" s="133">
        <v>31.57</v>
      </c>
      <c r="M70" s="133">
        <v>46.3</v>
      </c>
      <c r="N70" s="133">
        <v>334</v>
      </c>
      <c r="O70" s="133">
        <v>0</v>
      </c>
      <c r="P70" s="133">
        <v>0.61</v>
      </c>
      <c r="Q70" s="133">
        <v>3.35</v>
      </c>
    </row>
    <row r="71" spans="1:17" customFormat="1">
      <c r="A71" s="111" t="s">
        <v>685</v>
      </c>
      <c r="B71" s="133">
        <v>6.35</v>
      </c>
      <c r="C71" s="133">
        <v>24.95</v>
      </c>
      <c r="D71" s="133">
        <v>19.47</v>
      </c>
      <c r="E71" s="133">
        <v>7.58</v>
      </c>
      <c r="F71" s="133">
        <v>12</v>
      </c>
      <c r="G71" s="133">
        <v>57.56</v>
      </c>
      <c r="H71" s="133">
        <v>17.239999999999998</v>
      </c>
      <c r="I71" s="133">
        <v>5</v>
      </c>
      <c r="J71" s="133">
        <v>0.44</v>
      </c>
      <c r="K71" s="133">
        <v>345.18</v>
      </c>
      <c r="L71" s="133">
        <v>31.68</v>
      </c>
      <c r="M71" s="133">
        <v>46.83</v>
      </c>
      <c r="N71" s="133">
        <v>83.3</v>
      </c>
      <c r="O71" s="133">
        <v>0</v>
      </c>
      <c r="P71" s="133">
        <v>0.61</v>
      </c>
      <c r="Q71" s="133">
        <v>3.37</v>
      </c>
    </row>
    <row r="72" spans="1:17" customFormat="1">
      <c r="A72" s="111" t="s">
        <v>686</v>
      </c>
      <c r="B72" s="133">
        <v>6.05</v>
      </c>
      <c r="C72" s="133">
        <v>22.64</v>
      </c>
      <c r="D72" s="133">
        <v>18.03</v>
      </c>
      <c r="E72" s="133">
        <v>7.34</v>
      </c>
      <c r="F72" s="133">
        <v>11.88</v>
      </c>
      <c r="G72" s="133">
        <v>58.49</v>
      </c>
      <c r="H72" s="133">
        <v>15.82</v>
      </c>
      <c r="I72" s="133">
        <v>4.87</v>
      </c>
      <c r="J72" s="133">
        <v>0.46</v>
      </c>
      <c r="K72" s="133">
        <v>315.08</v>
      </c>
      <c r="L72" s="133">
        <v>31.3</v>
      </c>
      <c r="M72" s="133">
        <v>45.69</v>
      </c>
      <c r="N72" s="133">
        <v>52.6</v>
      </c>
      <c r="O72" s="133">
        <v>0</v>
      </c>
      <c r="P72" s="133">
        <v>0.6</v>
      </c>
      <c r="Q72" s="133">
        <v>3.39</v>
      </c>
    </row>
    <row r="73" spans="1:17" customFormat="1">
      <c r="A73" s="111" t="s">
        <v>687</v>
      </c>
      <c r="B73" s="133">
        <v>5.96</v>
      </c>
      <c r="C73" s="133">
        <v>21.81</v>
      </c>
      <c r="D73" s="133">
        <v>17.52</v>
      </c>
      <c r="E73" s="133">
        <v>7.78</v>
      </c>
      <c r="F73" s="133">
        <v>14.75</v>
      </c>
      <c r="G73" s="133">
        <v>58.49</v>
      </c>
      <c r="H73" s="133">
        <v>15.82</v>
      </c>
      <c r="I73" s="133">
        <v>4.7300000000000004</v>
      </c>
      <c r="J73" s="133">
        <v>0.3</v>
      </c>
      <c r="K73" s="133">
        <v>316.64999999999998</v>
      </c>
      <c r="L73" s="133">
        <v>31.08</v>
      </c>
      <c r="M73" s="133">
        <v>47.35</v>
      </c>
      <c r="N73" s="133">
        <v>43.2</v>
      </c>
      <c r="O73" s="133">
        <v>0</v>
      </c>
      <c r="P73" s="133">
        <v>0.59</v>
      </c>
      <c r="Q73" s="133">
        <v>3.41</v>
      </c>
    </row>
    <row r="74" spans="1:17" customFormat="1">
      <c r="A74" s="111" t="s">
        <v>688</v>
      </c>
      <c r="B74" s="133">
        <v>6</v>
      </c>
      <c r="C74" s="133">
        <v>22.59</v>
      </c>
      <c r="D74" s="133">
        <v>17.97</v>
      </c>
      <c r="E74" s="133">
        <v>8.32</v>
      </c>
      <c r="F74" s="133">
        <v>13.66</v>
      </c>
      <c r="G74" s="133">
        <v>58.49</v>
      </c>
      <c r="H74" s="133">
        <v>15.82</v>
      </c>
      <c r="I74" s="133">
        <v>4.7300000000000004</v>
      </c>
      <c r="J74" s="133">
        <v>0.24</v>
      </c>
      <c r="K74" s="133">
        <v>312.32</v>
      </c>
      <c r="L74" s="133">
        <v>30.9</v>
      </c>
      <c r="M74" s="133">
        <v>49.19</v>
      </c>
      <c r="N74" s="133">
        <v>35.799999999999997</v>
      </c>
      <c r="O74" s="133">
        <v>0</v>
      </c>
      <c r="P74" s="133">
        <v>0.61</v>
      </c>
      <c r="Q74" s="133">
        <v>3.42</v>
      </c>
    </row>
    <row r="75" spans="1:17" customFormat="1">
      <c r="A75" s="111" t="s">
        <v>689</v>
      </c>
      <c r="B75" s="133">
        <v>6.36</v>
      </c>
      <c r="C75" s="133">
        <v>23.57</v>
      </c>
      <c r="D75" s="133">
        <v>18.77</v>
      </c>
      <c r="E75" s="133">
        <v>7.5</v>
      </c>
      <c r="F75" s="133">
        <v>11.47</v>
      </c>
      <c r="G75" s="133">
        <v>58.78</v>
      </c>
      <c r="H75" s="133">
        <v>16.28</v>
      </c>
      <c r="I75" s="133">
        <v>4.57</v>
      </c>
      <c r="J75" s="133">
        <v>0.32</v>
      </c>
      <c r="K75" s="133">
        <v>308.08999999999997</v>
      </c>
      <c r="L75" s="133">
        <v>30.7</v>
      </c>
      <c r="M75" s="133">
        <v>50.28</v>
      </c>
      <c r="N75" s="133">
        <v>23.7</v>
      </c>
      <c r="O75" s="133">
        <v>0</v>
      </c>
      <c r="P75" s="133">
        <v>0.6</v>
      </c>
      <c r="Q75" s="133">
        <v>3.45</v>
      </c>
    </row>
    <row r="76" spans="1:17" customFormat="1">
      <c r="A76" s="111" t="s">
        <v>690</v>
      </c>
      <c r="B76" s="133">
        <v>6.24</v>
      </c>
      <c r="C76" s="133">
        <v>23.49</v>
      </c>
      <c r="D76" s="133">
        <v>18.63</v>
      </c>
      <c r="E76" s="133">
        <v>7.53</v>
      </c>
      <c r="F76" s="133">
        <v>11.53</v>
      </c>
      <c r="G76" s="133">
        <v>59.81</v>
      </c>
      <c r="H76" s="133">
        <v>17.37</v>
      </c>
      <c r="I76" s="133">
        <v>4.63</v>
      </c>
      <c r="J76" s="133">
        <v>0.31</v>
      </c>
      <c r="K76" s="133">
        <v>278.79000000000002</v>
      </c>
      <c r="L76" s="133">
        <v>30.17</v>
      </c>
      <c r="M76" s="133">
        <v>50.94</v>
      </c>
      <c r="N76" s="133">
        <v>14.4</v>
      </c>
      <c r="O76" s="133">
        <v>0</v>
      </c>
      <c r="P76" s="133">
        <v>0.61</v>
      </c>
      <c r="Q76" s="133">
        <v>3.5</v>
      </c>
    </row>
    <row r="77" spans="1:17" customFormat="1">
      <c r="A77" s="111" t="s">
        <v>691</v>
      </c>
      <c r="B77" s="133">
        <v>6.18</v>
      </c>
      <c r="C77" s="133">
        <v>24.04</v>
      </c>
      <c r="D77" s="133">
        <v>18.87</v>
      </c>
      <c r="E77" s="133">
        <v>6.89</v>
      </c>
      <c r="F77" s="133">
        <v>9.73</v>
      </c>
      <c r="G77" s="133">
        <v>59.81</v>
      </c>
      <c r="H77" s="133">
        <v>17.37</v>
      </c>
      <c r="I77" s="133">
        <v>4.59</v>
      </c>
      <c r="J77" s="133">
        <v>0.28999999999999998</v>
      </c>
      <c r="K77" s="133">
        <v>261.85000000000002</v>
      </c>
      <c r="L77" s="133">
        <v>29.51</v>
      </c>
      <c r="M77" s="133">
        <v>53.74</v>
      </c>
      <c r="N77" s="133">
        <v>0.5</v>
      </c>
      <c r="O77" s="133">
        <v>0</v>
      </c>
      <c r="P77" s="133">
        <v>0.62</v>
      </c>
      <c r="Q77" s="133">
        <v>3.53</v>
      </c>
    </row>
    <row r="78" spans="1:17" customFormat="1">
      <c r="A78" s="111" t="s">
        <v>692</v>
      </c>
      <c r="B78" s="133">
        <v>6.28</v>
      </c>
      <c r="C78" s="133">
        <v>25.21</v>
      </c>
      <c r="D78" s="133">
        <v>19.559999999999999</v>
      </c>
      <c r="E78" s="133">
        <v>6.47</v>
      </c>
      <c r="F78" s="133">
        <v>7.12</v>
      </c>
      <c r="G78" s="133">
        <v>59.81</v>
      </c>
      <c r="H78" s="133">
        <v>17.37</v>
      </c>
      <c r="I78" s="133">
        <v>4.6399999999999997</v>
      </c>
      <c r="J78" s="133">
        <v>0.23</v>
      </c>
      <c r="K78" s="133">
        <v>261.55</v>
      </c>
      <c r="L78" s="133">
        <v>29.35</v>
      </c>
      <c r="M78" s="133">
        <v>53.85</v>
      </c>
      <c r="N78" s="133">
        <v>0</v>
      </c>
      <c r="O78" s="133">
        <v>0</v>
      </c>
      <c r="P78" s="133">
        <v>0.64</v>
      </c>
      <c r="Q78" s="133">
        <v>3.6</v>
      </c>
    </row>
    <row r="79" spans="1:17" customFormat="1">
      <c r="A79" s="111" t="s">
        <v>693</v>
      </c>
      <c r="B79" s="133">
        <v>6.3</v>
      </c>
      <c r="C79" s="133">
        <v>26.62</v>
      </c>
      <c r="D79" s="133">
        <v>20.309999999999999</v>
      </c>
      <c r="E79" s="133">
        <v>6.63</v>
      </c>
      <c r="F79" s="133">
        <v>6.86</v>
      </c>
      <c r="G79" s="133">
        <v>59.99</v>
      </c>
      <c r="H79" s="133">
        <v>17.5</v>
      </c>
      <c r="I79" s="133">
        <v>4.74</v>
      </c>
      <c r="J79" s="133">
        <v>0.21</v>
      </c>
      <c r="K79" s="133">
        <v>194.36</v>
      </c>
      <c r="L79" s="133">
        <v>29.03</v>
      </c>
      <c r="M79" s="133">
        <v>56.8</v>
      </c>
      <c r="N79" s="133">
        <v>0</v>
      </c>
      <c r="O79" s="133">
        <v>0</v>
      </c>
      <c r="P79" s="133">
        <v>0.66</v>
      </c>
      <c r="Q79" s="133">
        <v>3.66</v>
      </c>
    </row>
    <row r="80" spans="1:17" customFormat="1">
      <c r="A80" s="111" t="s">
        <v>694</v>
      </c>
      <c r="B80" s="133">
        <v>6.41</v>
      </c>
      <c r="C80" s="133">
        <v>27.78</v>
      </c>
      <c r="D80" s="133">
        <v>21</v>
      </c>
      <c r="E80" s="133">
        <v>6.82</v>
      </c>
      <c r="F80" s="133">
        <v>5.2</v>
      </c>
      <c r="G80" s="133">
        <v>60.63</v>
      </c>
      <c r="H80" s="133">
        <v>17.8</v>
      </c>
      <c r="I80" s="133">
        <v>4.8</v>
      </c>
      <c r="J80" s="133">
        <v>0.21</v>
      </c>
      <c r="K80" s="133">
        <v>197.78</v>
      </c>
      <c r="L80" s="133">
        <v>28.55</v>
      </c>
      <c r="M80" s="133">
        <v>59.25</v>
      </c>
      <c r="N80" s="133">
        <v>0</v>
      </c>
      <c r="O80" s="133">
        <v>0</v>
      </c>
      <c r="P80" s="133">
        <v>0.68</v>
      </c>
      <c r="Q80" s="133">
        <v>3.75</v>
      </c>
    </row>
    <row r="81" spans="1:17" customFormat="1">
      <c r="A81" s="111" t="s">
        <v>695</v>
      </c>
      <c r="B81" s="133">
        <v>6.61</v>
      </c>
      <c r="C81" s="133">
        <v>28.48</v>
      </c>
      <c r="D81" s="133">
        <v>21.53</v>
      </c>
      <c r="E81" s="133">
        <v>6.5</v>
      </c>
      <c r="F81" s="133">
        <v>4.42</v>
      </c>
      <c r="G81" s="133">
        <v>60.63</v>
      </c>
      <c r="H81" s="133">
        <v>17.8</v>
      </c>
      <c r="I81" s="133">
        <v>4.8499999999999996</v>
      </c>
      <c r="J81" s="133">
        <v>0.28000000000000003</v>
      </c>
      <c r="K81" s="133">
        <v>176.27</v>
      </c>
      <c r="L81" s="133">
        <v>28.18</v>
      </c>
      <c r="M81" s="133">
        <v>63.8</v>
      </c>
      <c r="N81" s="133">
        <v>0</v>
      </c>
      <c r="O81" s="133">
        <v>0</v>
      </c>
      <c r="P81" s="133">
        <v>0.69</v>
      </c>
      <c r="Q81" s="133">
        <v>3.81</v>
      </c>
    </row>
    <row r="82" spans="1:17" customFormat="1">
      <c r="A82" s="111" t="s">
        <v>696</v>
      </c>
      <c r="B82" s="133">
        <v>6.89</v>
      </c>
      <c r="C82" s="133">
        <v>27.91</v>
      </c>
      <c r="D82" s="133">
        <v>21.46</v>
      </c>
      <c r="E82" s="133">
        <v>7.63</v>
      </c>
      <c r="F82" s="133">
        <v>5.42</v>
      </c>
      <c r="G82" s="133">
        <v>60.63</v>
      </c>
      <c r="H82" s="133">
        <v>17.8</v>
      </c>
      <c r="I82" s="133">
        <v>4.95</v>
      </c>
      <c r="J82" s="133">
        <v>0.11</v>
      </c>
      <c r="K82" s="133">
        <v>174.79</v>
      </c>
      <c r="L82" s="133">
        <v>27.17</v>
      </c>
      <c r="M82" s="133">
        <v>70.62</v>
      </c>
      <c r="N82" s="133">
        <v>0</v>
      </c>
      <c r="O82" s="133">
        <v>0</v>
      </c>
      <c r="P82" s="133">
        <v>0.69</v>
      </c>
      <c r="Q82" s="133">
        <v>3.86</v>
      </c>
    </row>
    <row r="83" spans="1:17" customFormat="1">
      <c r="A83" s="111" t="s">
        <v>697</v>
      </c>
      <c r="B83" s="133">
        <v>7</v>
      </c>
      <c r="C83" s="133">
        <v>27.22</v>
      </c>
      <c r="D83" s="133">
        <v>21.18</v>
      </c>
      <c r="E83" s="133">
        <v>7.64</v>
      </c>
      <c r="F83" s="133">
        <v>5.43</v>
      </c>
      <c r="G83" s="133">
        <v>62.58</v>
      </c>
      <c r="H83" s="133">
        <v>18.03</v>
      </c>
      <c r="I83" s="133">
        <v>5.04</v>
      </c>
      <c r="J83" s="133">
        <v>0.12</v>
      </c>
      <c r="K83" s="133">
        <v>169.79</v>
      </c>
      <c r="L83" s="133">
        <v>26.72</v>
      </c>
      <c r="M83" s="133">
        <v>74.19</v>
      </c>
      <c r="N83" s="133">
        <v>0</v>
      </c>
      <c r="O83" s="133">
        <v>0</v>
      </c>
      <c r="P83" s="133">
        <v>0.69</v>
      </c>
      <c r="Q83" s="133">
        <v>3.9</v>
      </c>
    </row>
    <row r="84" spans="1:17" customFormat="1">
      <c r="A84" s="111" t="s">
        <v>698</v>
      </c>
      <c r="B84" s="133">
        <v>6.92</v>
      </c>
      <c r="C84" s="133">
        <v>26.86</v>
      </c>
      <c r="D84" s="133">
        <v>20.94</v>
      </c>
      <c r="E84" s="133">
        <v>8.0399999999999991</v>
      </c>
      <c r="F84" s="133">
        <v>5.26</v>
      </c>
      <c r="G84" s="133">
        <v>69</v>
      </c>
      <c r="H84" s="133">
        <v>19.13</v>
      </c>
      <c r="I84" s="133">
        <v>5.19</v>
      </c>
      <c r="J84" s="133">
        <v>0.14000000000000001</v>
      </c>
      <c r="K84" s="133">
        <v>167.8</v>
      </c>
      <c r="L84" s="133">
        <v>26.48</v>
      </c>
      <c r="M84" s="133">
        <v>75.739999999999995</v>
      </c>
      <c r="N84" s="133">
        <v>0</v>
      </c>
      <c r="O84" s="133">
        <v>0</v>
      </c>
      <c r="P84" s="133">
        <v>0.69</v>
      </c>
      <c r="Q84" s="133">
        <v>3.94</v>
      </c>
    </row>
    <row r="85" spans="1:17" customFormat="1">
      <c r="A85" s="111" t="s">
        <v>699</v>
      </c>
      <c r="B85" s="133">
        <v>7.04</v>
      </c>
      <c r="C85" s="133">
        <v>26.74</v>
      </c>
      <c r="D85" s="133">
        <v>20.97</v>
      </c>
      <c r="E85" s="133">
        <v>8</v>
      </c>
      <c r="F85" s="133">
        <v>4.1900000000000004</v>
      </c>
      <c r="G85" s="133">
        <v>69</v>
      </c>
      <c r="H85" s="133">
        <v>19.13</v>
      </c>
      <c r="I85" s="133">
        <v>5.27</v>
      </c>
      <c r="J85" s="133">
        <v>0.12</v>
      </c>
      <c r="K85" s="133">
        <v>199.62</v>
      </c>
      <c r="L85" s="133">
        <v>26.25</v>
      </c>
      <c r="M85" s="133">
        <v>75.37</v>
      </c>
      <c r="N85" s="133">
        <v>0</v>
      </c>
      <c r="O85" s="133">
        <v>0</v>
      </c>
      <c r="P85" s="133">
        <v>0.69</v>
      </c>
      <c r="Q85" s="133">
        <v>3.95</v>
      </c>
    </row>
    <row r="86" spans="1:17" customFormat="1">
      <c r="A86" s="111" t="s">
        <v>700</v>
      </c>
      <c r="B86" s="133">
        <v>6.97</v>
      </c>
      <c r="C86" s="133">
        <v>26.59</v>
      </c>
      <c r="D86" s="133">
        <v>20.83</v>
      </c>
      <c r="E86" s="133">
        <v>7.64</v>
      </c>
      <c r="F86" s="133">
        <v>4.29</v>
      </c>
      <c r="G86" s="133">
        <v>69</v>
      </c>
      <c r="H86" s="133">
        <v>19.13</v>
      </c>
      <c r="I86" s="133">
        <v>5.26</v>
      </c>
      <c r="J86" s="133">
        <v>0.1</v>
      </c>
      <c r="K86" s="133">
        <v>188.97</v>
      </c>
      <c r="L86" s="133">
        <v>26.02</v>
      </c>
      <c r="M86" s="133">
        <v>75.86</v>
      </c>
      <c r="N86" s="133">
        <v>0</v>
      </c>
      <c r="O86" s="133">
        <v>0</v>
      </c>
      <c r="P86" s="133">
        <v>0.7</v>
      </c>
      <c r="Q86" s="133">
        <v>3.91</v>
      </c>
    </row>
    <row r="87" spans="1:17" customFormat="1">
      <c r="A87" s="111" t="s">
        <v>701</v>
      </c>
      <c r="B87" s="133">
        <v>6.92</v>
      </c>
      <c r="C87" s="133">
        <v>26.53</v>
      </c>
      <c r="D87" s="133">
        <v>20.76</v>
      </c>
      <c r="E87" s="133">
        <v>7.81</v>
      </c>
      <c r="F87" s="133">
        <v>3.59</v>
      </c>
      <c r="G87" s="133">
        <v>68.63</v>
      </c>
      <c r="H87" s="133">
        <v>18.829999999999998</v>
      </c>
      <c r="I87" s="133">
        <v>5.34</v>
      </c>
      <c r="J87" s="133">
        <v>0.16</v>
      </c>
      <c r="K87" s="133">
        <v>171.53</v>
      </c>
      <c r="L87" s="133">
        <v>25.92</v>
      </c>
      <c r="M87" s="133">
        <v>76.239999999999995</v>
      </c>
      <c r="N87" s="133">
        <v>0</v>
      </c>
      <c r="O87" s="133">
        <v>0</v>
      </c>
      <c r="P87" s="133">
        <v>0.71</v>
      </c>
      <c r="Q87" s="133">
        <v>3.88</v>
      </c>
    </row>
    <row r="88" spans="1:17" customFormat="1">
      <c r="A88" s="111" t="s">
        <v>702</v>
      </c>
      <c r="B88" s="133">
        <v>6.94</v>
      </c>
      <c r="C88" s="133">
        <v>26.7</v>
      </c>
      <c r="D88" s="133">
        <v>20.87</v>
      </c>
      <c r="E88" s="133">
        <v>7.87</v>
      </c>
      <c r="F88" s="133">
        <v>3.16</v>
      </c>
      <c r="G88" s="133">
        <v>67.42</v>
      </c>
      <c r="H88" s="133">
        <v>18.13</v>
      </c>
      <c r="I88" s="133">
        <v>5.42</v>
      </c>
      <c r="J88" s="133">
        <v>0.11</v>
      </c>
      <c r="K88" s="133">
        <v>190.08</v>
      </c>
      <c r="L88" s="133">
        <v>25.71</v>
      </c>
      <c r="M88" s="133">
        <v>75.95</v>
      </c>
      <c r="N88" s="133">
        <v>0</v>
      </c>
      <c r="O88" s="133">
        <v>0</v>
      </c>
      <c r="P88" s="133">
        <v>0.71</v>
      </c>
      <c r="Q88" s="133">
        <v>3.88</v>
      </c>
    </row>
    <row r="89" spans="1:17" customFormat="1">
      <c r="A89" s="111" t="s">
        <v>703</v>
      </c>
      <c r="B89" s="133">
        <v>7.06</v>
      </c>
      <c r="C89" s="133">
        <v>26.57</v>
      </c>
      <c r="D89" s="133">
        <v>20.89</v>
      </c>
      <c r="E89" s="133">
        <v>8</v>
      </c>
      <c r="F89" s="133">
        <v>3.26</v>
      </c>
      <c r="G89" s="133">
        <v>67.42</v>
      </c>
      <c r="H89" s="133">
        <v>18.13</v>
      </c>
      <c r="I89" s="133">
        <v>5.46</v>
      </c>
      <c r="J89" s="133">
        <v>0.13</v>
      </c>
      <c r="K89" s="133">
        <v>191.79</v>
      </c>
      <c r="L89" s="133">
        <v>25.5</v>
      </c>
      <c r="M89" s="133">
        <v>77.930000000000007</v>
      </c>
      <c r="N89" s="133">
        <v>0</v>
      </c>
      <c r="O89" s="133">
        <v>0</v>
      </c>
      <c r="P89" s="133">
        <v>0.73</v>
      </c>
      <c r="Q89" s="133">
        <v>3.88</v>
      </c>
    </row>
    <row r="90" spans="1:17" customFormat="1">
      <c r="A90" s="111" t="s">
        <v>704</v>
      </c>
      <c r="B90" s="133">
        <v>7.14</v>
      </c>
      <c r="C90" s="133">
        <v>26.57</v>
      </c>
      <c r="D90" s="133">
        <v>20.96</v>
      </c>
      <c r="E90" s="133">
        <v>8.32</v>
      </c>
      <c r="F90" s="133">
        <v>2.91</v>
      </c>
      <c r="G90" s="133">
        <v>67.42</v>
      </c>
      <c r="H90" s="133">
        <v>18.13</v>
      </c>
      <c r="I90" s="133">
        <v>5.57</v>
      </c>
      <c r="J90" s="133">
        <v>0.16</v>
      </c>
      <c r="K90" s="133">
        <v>166.19</v>
      </c>
      <c r="L90" s="133">
        <v>25.35</v>
      </c>
      <c r="M90" s="133">
        <v>80.510000000000005</v>
      </c>
      <c r="N90" s="133">
        <v>0</v>
      </c>
      <c r="O90" s="133">
        <v>0</v>
      </c>
      <c r="P90" s="133">
        <v>0.74</v>
      </c>
      <c r="Q90" s="133">
        <v>3.84</v>
      </c>
    </row>
    <row r="91" spans="1:17" customFormat="1">
      <c r="A91" s="111" t="s">
        <v>705</v>
      </c>
      <c r="B91" s="133">
        <v>7.29</v>
      </c>
      <c r="C91" s="133">
        <v>26.5</v>
      </c>
      <c r="D91" s="133">
        <v>21.04</v>
      </c>
      <c r="E91" s="133">
        <v>7.85</v>
      </c>
      <c r="F91" s="133">
        <v>2.81</v>
      </c>
      <c r="G91" s="133">
        <v>67.97</v>
      </c>
      <c r="H91" s="133">
        <v>18.91</v>
      </c>
      <c r="I91" s="133">
        <v>5.88</v>
      </c>
      <c r="J91" s="133">
        <v>0.15</v>
      </c>
      <c r="K91" s="133">
        <v>171.2</v>
      </c>
      <c r="L91" s="133">
        <v>25.23</v>
      </c>
      <c r="M91" s="133">
        <v>81.27</v>
      </c>
      <c r="N91" s="133">
        <v>0</v>
      </c>
      <c r="O91" s="133">
        <v>0</v>
      </c>
      <c r="P91" s="133">
        <v>0.76</v>
      </c>
      <c r="Q91" s="133">
        <v>3.83</v>
      </c>
    </row>
    <row r="92" spans="1:17" customFormat="1">
      <c r="A92" s="111" t="s">
        <v>706</v>
      </c>
      <c r="B92" s="133">
        <v>7.47</v>
      </c>
      <c r="C92" s="133">
        <v>26.44</v>
      </c>
      <c r="D92" s="133">
        <v>21.16</v>
      </c>
      <c r="E92" s="133">
        <v>8.02</v>
      </c>
      <c r="F92" s="133">
        <v>2.7</v>
      </c>
      <c r="G92" s="133">
        <v>69.790000000000006</v>
      </c>
      <c r="H92" s="133">
        <v>20.76</v>
      </c>
      <c r="I92" s="133">
        <v>6.26</v>
      </c>
      <c r="J92" s="133">
        <v>0.15</v>
      </c>
      <c r="K92" s="133">
        <v>166.69</v>
      </c>
      <c r="L92" s="133">
        <v>25.2</v>
      </c>
      <c r="M92" s="133">
        <v>81.72</v>
      </c>
      <c r="N92" s="133">
        <v>0</v>
      </c>
      <c r="O92" s="133">
        <v>0</v>
      </c>
      <c r="P92" s="133">
        <v>0.76</v>
      </c>
      <c r="Q92" s="133">
        <v>3.82</v>
      </c>
    </row>
    <row r="93" spans="1:17" customFormat="1">
      <c r="A93" s="111" t="s">
        <v>707</v>
      </c>
      <c r="B93" s="133">
        <v>7.51</v>
      </c>
      <c r="C93" s="133">
        <v>26.49</v>
      </c>
      <c r="D93" s="133">
        <v>21.21</v>
      </c>
      <c r="E93" s="133">
        <v>8.17</v>
      </c>
      <c r="F93" s="133">
        <v>2.74</v>
      </c>
      <c r="G93" s="133">
        <v>69.790000000000006</v>
      </c>
      <c r="H93" s="133">
        <v>20.76</v>
      </c>
      <c r="I93" s="133">
        <v>6.64</v>
      </c>
      <c r="J93" s="133">
        <v>0.13</v>
      </c>
      <c r="K93" s="133">
        <v>210.49</v>
      </c>
      <c r="L93" s="133">
        <v>25.03</v>
      </c>
      <c r="M93" s="133">
        <v>82.46</v>
      </c>
      <c r="N93" s="133">
        <v>0</v>
      </c>
      <c r="O93" s="133">
        <v>0</v>
      </c>
      <c r="P93" s="133">
        <v>0.78</v>
      </c>
      <c r="Q93" s="133">
        <v>3.83</v>
      </c>
    </row>
    <row r="94" spans="1:17" customFormat="1">
      <c r="A94" s="111" t="s">
        <v>708</v>
      </c>
      <c r="B94" s="133">
        <v>7.54</v>
      </c>
      <c r="C94" s="133">
        <v>26.5</v>
      </c>
      <c r="D94" s="133">
        <v>21.24</v>
      </c>
      <c r="E94" s="133">
        <v>8.49</v>
      </c>
      <c r="F94" s="133">
        <v>2.77</v>
      </c>
      <c r="G94" s="133">
        <v>69.790000000000006</v>
      </c>
      <c r="H94" s="133">
        <v>20.76</v>
      </c>
      <c r="I94" s="133">
        <v>6.97</v>
      </c>
      <c r="J94" s="133">
        <v>0.18</v>
      </c>
      <c r="K94" s="133">
        <v>241.94</v>
      </c>
      <c r="L94" s="133">
        <v>24.91</v>
      </c>
      <c r="M94" s="133">
        <v>82.3</v>
      </c>
      <c r="N94" s="133">
        <v>0</v>
      </c>
      <c r="O94" s="133">
        <v>0</v>
      </c>
      <c r="P94" s="133">
        <v>0.79</v>
      </c>
      <c r="Q94" s="133">
        <v>3.83</v>
      </c>
    </row>
    <row r="95" spans="1:17" customFormat="1">
      <c r="A95" s="111" t="s">
        <v>709</v>
      </c>
      <c r="B95" s="133">
        <v>7.75</v>
      </c>
      <c r="C95" s="133">
        <v>26.14</v>
      </c>
      <c r="D95" s="133">
        <v>21.22</v>
      </c>
      <c r="E95" s="133">
        <v>8.06</v>
      </c>
      <c r="F95" s="133">
        <v>3.11</v>
      </c>
      <c r="G95" s="133">
        <v>69.48</v>
      </c>
      <c r="H95" s="133">
        <v>20.47</v>
      </c>
      <c r="I95" s="133">
        <v>7.2</v>
      </c>
      <c r="J95" s="133">
        <v>0.13</v>
      </c>
      <c r="K95" s="133">
        <v>196</v>
      </c>
      <c r="L95" s="133">
        <v>25.15</v>
      </c>
      <c r="M95" s="133">
        <v>80.73</v>
      </c>
      <c r="N95" s="133">
        <v>0</v>
      </c>
      <c r="O95" s="133">
        <v>0</v>
      </c>
      <c r="P95" s="133">
        <v>0.81</v>
      </c>
      <c r="Q95" s="133">
        <v>3.8</v>
      </c>
    </row>
    <row r="96" spans="1:17" customFormat="1">
      <c r="A96" s="111" t="s">
        <v>710</v>
      </c>
      <c r="B96" s="133">
        <v>7.89</v>
      </c>
      <c r="C96" s="133">
        <v>26.43</v>
      </c>
      <c r="D96" s="133">
        <v>21.49</v>
      </c>
      <c r="E96" s="133">
        <v>8.7200000000000006</v>
      </c>
      <c r="F96" s="133">
        <v>2.81</v>
      </c>
      <c r="G96" s="133">
        <v>68.48</v>
      </c>
      <c r="H96" s="133">
        <v>19.79</v>
      </c>
      <c r="I96" s="133">
        <v>7.46</v>
      </c>
      <c r="J96" s="133">
        <v>0.15</v>
      </c>
      <c r="K96" s="133">
        <v>185.11</v>
      </c>
      <c r="L96" s="133">
        <v>25.07</v>
      </c>
      <c r="M96" s="133">
        <v>81.92</v>
      </c>
      <c r="N96" s="133">
        <v>0</v>
      </c>
      <c r="O96" s="133">
        <v>0</v>
      </c>
      <c r="P96" s="133">
        <v>0.81</v>
      </c>
      <c r="Q96" s="133">
        <v>3.79</v>
      </c>
    </row>
    <row r="97" spans="1:22" customFormat="1">
      <c r="A97" s="111" t="s">
        <v>711</v>
      </c>
      <c r="B97" s="133">
        <v>8.02</v>
      </c>
      <c r="C97" s="133">
        <v>26.53</v>
      </c>
      <c r="D97" s="133">
        <v>21.64</v>
      </c>
      <c r="E97" s="133">
        <v>8.32</v>
      </c>
      <c r="F97" s="133">
        <v>2.72</v>
      </c>
      <c r="G97" s="133">
        <v>68.48</v>
      </c>
      <c r="H97" s="133">
        <v>19.79</v>
      </c>
      <c r="I97" s="133">
        <v>7.49</v>
      </c>
      <c r="J97" s="133">
        <v>0.15</v>
      </c>
      <c r="K97" s="133">
        <v>163.38999999999999</v>
      </c>
      <c r="L97" s="133">
        <v>24.83</v>
      </c>
      <c r="M97" s="133">
        <v>84.19</v>
      </c>
      <c r="N97" s="133">
        <v>0</v>
      </c>
      <c r="O97" s="133">
        <v>0</v>
      </c>
      <c r="P97" s="133">
        <v>0.82</v>
      </c>
      <c r="Q97" s="133">
        <v>3.8</v>
      </c>
    </row>
    <row r="98" spans="1:22" customFormat="1">
      <c r="A98" s="111" t="s">
        <v>712</v>
      </c>
      <c r="B98" s="133">
        <v>8.23</v>
      </c>
      <c r="C98" s="133">
        <v>26.68</v>
      </c>
      <c r="D98" s="133">
        <v>21.89</v>
      </c>
      <c r="E98" s="133">
        <v>8.3000000000000007</v>
      </c>
      <c r="F98" s="133">
        <v>2.65</v>
      </c>
      <c r="G98" s="133">
        <v>68.48</v>
      </c>
      <c r="H98" s="133">
        <v>19.79</v>
      </c>
      <c r="I98" s="133">
        <v>7.49</v>
      </c>
      <c r="J98" s="133">
        <v>0.14000000000000001</v>
      </c>
      <c r="K98" s="133">
        <v>166.93</v>
      </c>
      <c r="L98" s="133">
        <v>24.42</v>
      </c>
      <c r="M98" s="133">
        <v>88.22</v>
      </c>
      <c r="N98" s="133">
        <v>0</v>
      </c>
      <c r="O98" s="133">
        <v>0</v>
      </c>
      <c r="P98" s="133">
        <v>0.83</v>
      </c>
      <c r="Q98" s="133">
        <v>3.8</v>
      </c>
    </row>
    <row r="99" spans="1:22" customFormat="1">
      <c r="A99" s="111" t="s">
        <v>713</v>
      </c>
      <c r="B99" s="133">
        <v>8.68</v>
      </c>
      <c r="C99" s="133">
        <v>25.13</v>
      </c>
      <c r="D99" s="133">
        <v>21.44</v>
      </c>
      <c r="E99" s="133">
        <v>8.49</v>
      </c>
      <c r="F99" s="133">
        <v>3.13</v>
      </c>
      <c r="G99" s="133">
        <v>68.290000000000006</v>
      </c>
      <c r="H99" s="133">
        <v>19.38</v>
      </c>
      <c r="I99" s="133">
        <v>7.51</v>
      </c>
      <c r="J99" s="133">
        <v>0.13</v>
      </c>
      <c r="K99" s="133">
        <v>199.69</v>
      </c>
      <c r="L99" s="133">
        <v>24.18</v>
      </c>
      <c r="M99" s="133">
        <v>88.23</v>
      </c>
      <c r="N99" s="133">
        <v>0</v>
      </c>
      <c r="O99" s="133">
        <v>0</v>
      </c>
      <c r="P99" s="133">
        <v>0.82</v>
      </c>
      <c r="Q99" s="133">
        <v>3.79</v>
      </c>
    </row>
    <row r="100" spans="1:22" customFormat="1">
      <c r="A100" s="111" t="s">
        <v>714</v>
      </c>
      <c r="B100" s="133">
        <v>9.01</v>
      </c>
      <c r="C100" s="133">
        <v>23.82</v>
      </c>
      <c r="D100" s="133">
        <v>21.02</v>
      </c>
      <c r="E100" s="133">
        <v>8.15</v>
      </c>
      <c r="F100" s="133">
        <v>3.33</v>
      </c>
      <c r="G100" s="133">
        <v>67.63</v>
      </c>
      <c r="H100" s="133">
        <v>18.440000000000001</v>
      </c>
      <c r="I100" s="133">
        <v>7.58</v>
      </c>
      <c r="J100" s="133">
        <v>0.16</v>
      </c>
      <c r="K100" s="133">
        <v>193.3</v>
      </c>
      <c r="L100" s="133">
        <v>23.91</v>
      </c>
      <c r="M100" s="133">
        <v>89.26</v>
      </c>
      <c r="N100" s="133">
        <v>0</v>
      </c>
      <c r="O100" s="133">
        <v>0</v>
      </c>
      <c r="P100" s="133">
        <v>0.8</v>
      </c>
      <c r="Q100" s="133">
        <v>3.76</v>
      </c>
    </row>
    <row r="101" spans="1:22" customFormat="1">
      <c r="A101" s="111" t="s">
        <v>715</v>
      </c>
      <c r="B101" s="133">
        <v>9.33</v>
      </c>
      <c r="C101" s="133">
        <v>22.71</v>
      </c>
      <c r="D101" s="133">
        <v>20.7</v>
      </c>
      <c r="E101" s="133">
        <v>8.06</v>
      </c>
      <c r="F101" s="133">
        <v>3.12</v>
      </c>
      <c r="G101" s="133">
        <v>67.63</v>
      </c>
      <c r="H101" s="133">
        <v>18.440000000000001</v>
      </c>
      <c r="I101" s="133">
        <v>7.65</v>
      </c>
      <c r="J101" s="133">
        <v>0.16</v>
      </c>
      <c r="K101" s="133">
        <v>192.84</v>
      </c>
      <c r="L101" s="133">
        <v>23.87</v>
      </c>
      <c r="M101" s="133">
        <v>86.1</v>
      </c>
      <c r="N101" s="133">
        <v>0</v>
      </c>
      <c r="O101" s="133">
        <v>0</v>
      </c>
      <c r="P101" s="133">
        <v>0.78</v>
      </c>
      <c r="Q101" s="133">
        <v>3.71</v>
      </c>
    </row>
    <row r="102" spans="1:22" customFormat="1">
      <c r="A102" s="111" t="s">
        <v>716</v>
      </c>
      <c r="B102" s="133">
        <v>9.39</v>
      </c>
      <c r="C102" s="133">
        <v>22.34</v>
      </c>
      <c r="D102" s="133">
        <v>20.55</v>
      </c>
      <c r="E102" s="133">
        <v>7.4</v>
      </c>
      <c r="F102" s="133">
        <v>3.17</v>
      </c>
      <c r="G102" s="133">
        <v>67.63</v>
      </c>
      <c r="H102" s="133">
        <v>18.440000000000001</v>
      </c>
      <c r="I102" s="133">
        <v>7.65</v>
      </c>
      <c r="J102" s="133">
        <v>0.12</v>
      </c>
      <c r="K102" s="133">
        <v>216.96</v>
      </c>
      <c r="L102" s="133">
        <v>23.86</v>
      </c>
      <c r="M102" s="133">
        <v>85.55</v>
      </c>
      <c r="N102" s="133">
        <v>0</v>
      </c>
      <c r="O102" s="133">
        <v>0</v>
      </c>
      <c r="P102" s="133">
        <v>0.78</v>
      </c>
      <c r="Q102" s="133">
        <v>3.69</v>
      </c>
    </row>
    <row r="103" spans="1:22" customFormat="1">
      <c r="A103" s="111" t="s">
        <v>717</v>
      </c>
      <c r="B103" s="133">
        <v>9.65</v>
      </c>
      <c r="C103" s="133">
        <v>24.17</v>
      </c>
      <c r="D103" s="133">
        <v>21.72</v>
      </c>
      <c r="E103" s="133">
        <v>7.91</v>
      </c>
      <c r="F103" s="133">
        <v>2.61</v>
      </c>
      <c r="G103" s="133">
        <v>67.290000000000006</v>
      </c>
      <c r="H103" s="133">
        <v>18.59</v>
      </c>
      <c r="I103" s="133">
        <v>7.64</v>
      </c>
      <c r="J103" s="133">
        <v>0.11</v>
      </c>
      <c r="K103" s="133">
        <v>195.86</v>
      </c>
      <c r="L103" s="133">
        <v>24.1</v>
      </c>
      <c r="M103" s="133">
        <v>85.01</v>
      </c>
      <c r="N103" s="133">
        <v>0</v>
      </c>
      <c r="O103" s="133">
        <v>0</v>
      </c>
      <c r="P103" s="133">
        <v>0.8</v>
      </c>
      <c r="Q103" s="133">
        <v>3.66</v>
      </c>
    </row>
    <row r="104" spans="1:22" customFormat="1">
      <c r="A104" s="111" t="s">
        <v>718</v>
      </c>
      <c r="B104" s="133">
        <v>10.31</v>
      </c>
      <c r="C104" s="133">
        <v>24.13</v>
      </c>
      <c r="D104" s="133">
        <v>22.23</v>
      </c>
      <c r="E104" s="133">
        <v>8.48</v>
      </c>
      <c r="F104" s="133">
        <v>2.75</v>
      </c>
      <c r="G104" s="133">
        <v>66.17</v>
      </c>
      <c r="H104" s="133">
        <v>18.95</v>
      </c>
      <c r="I104" s="133">
        <v>7.65</v>
      </c>
      <c r="J104" s="133">
        <v>0.19</v>
      </c>
      <c r="K104" s="133">
        <v>199.28</v>
      </c>
      <c r="L104" s="133">
        <v>24.06</v>
      </c>
      <c r="M104" s="133">
        <v>84.61</v>
      </c>
      <c r="N104" s="133">
        <v>0</v>
      </c>
      <c r="O104" s="133">
        <v>0</v>
      </c>
      <c r="P104" s="133">
        <v>0.81</v>
      </c>
      <c r="Q104" s="133">
        <v>3.72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5.14</v>
      </c>
      <c r="C106" s="183">
        <f>MIN(C9:C104)</f>
        <v>21.81</v>
      </c>
      <c r="D106" s="183">
        <f t="shared" ref="D106:Q106" si="0">MIN(D9:D104)</f>
        <v>17.39</v>
      </c>
      <c r="E106" s="183">
        <f t="shared" si="0"/>
        <v>4.92</v>
      </c>
      <c r="F106" s="183">
        <f t="shared" si="0"/>
        <v>2.31</v>
      </c>
      <c r="G106" s="183">
        <f t="shared" si="0"/>
        <v>52.69</v>
      </c>
      <c r="H106" s="183">
        <f t="shared" si="0"/>
        <v>12.29</v>
      </c>
      <c r="I106" s="183">
        <f t="shared" si="0"/>
        <v>4.57</v>
      </c>
      <c r="J106" s="183">
        <f t="shared" si="0"/>
        <v>0.1</v>
      </c>
      <c r="K106" s="183">
        <f t="shared" si="0"/>
        <v>1.98</v>
      </c>
      <c r="L106" s="183">
        <f t="shared" si="0"/>
        <v>22.01</v>
      </c>
      <c r="M106" s="183">
        <f t="shared" si="0"/>
        <v>42.29</v>
      </c>
      <c r="N106" s="183">
        <f t="shared" si="0"/>
        <v>0</v>
      </c>
      <c r="O106" s="183">
        <f t="shared" si="0"/>
        <v>0</v>
      </c>
      <c r="P106" s="183">
        <f t="shared" si="0"/>
        <v>0.59</v>
      </c>
      <c r="Q106" s="183">
        <f t="shared" si="0"/>
        <v>3.34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15.45</v>
      </c>
      <c r="C107" s="184">
        <f t="shared" ref="C107:Q107" si="1">MAX(C9:C104)</f>
        <v>30.5</v>
      </c>
      <c r="D107" s="184">
        <f t="shared" si="1"/>
        <v>27.38</v>
      </c>
      <c r="E107" s="184">
        <f t="shared" si="1"/>
        <v>8.7200000000000006</v>
      </c>
      <c r="F107" s="184">
        <f t="shared" si="1"/>
        <v>14.75</v>
      </c>
      <c r="G107" s="184">
        <f t="shared" si="1"/>
        <v>69.790000000000006</v>
      </c>
      <c r="H107" s="184">
        <f t="shared" si="1"/>
        <v>21.35</v>
      </c>
      <c r="I107" s="184">
        <f t="shared" si="1"/>
        <v>8.35</v>
      </c>
      <c r="J107" s="184">
        <f t="shared" si="1"/>
        <v>0.92</v>
      </c>
      <c r="K107" s="184">
        <f t="shared" si="1"/>
        <v>357.83</v>
      </c>
      <c r="L107" s="184">
        <f t="shared" si="1"/>
        <v>32.56</v>
      </c>
      <c r="M107" s="184">
        <f t="shared" si="1"/>
        <v>95.73</v>
      </c>
      <c r="N107" s="184">
        <f t="shared" si="1"/>
        <v>841</v>
      </c>
      <c r="O107" s="184">
        <f t="shared" si="1"/>
        <v>0</v>
      </c>
      <c r="P107" s="184">
        <f t="shared" si="1"/>
        <v>0.83</v>
      </c>
      <c r="Q107" s="184">
        <f t="shared" si="1"/>
        <v>4.0599999999999996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8.8858333333333288</v>
      </c>
      <c r="C108" s="183">
        <f t="shared" ref="C108:Q108" si="2">AVERAGE(C9:C104)</f>
        <v>26.291041666666676</v>
      </c>
      <c r="D108" s="183">
        <f t="shared" si="2"/>
        <v>22.212187499999999</v>
      </c>
      <c r="E108" s="183">
        <f t="shared" si="2"/>
        <v>6.8964583333333307</v>
      </c>
      <c r="F108" s="183">
        <f t="shared" si="2"/>
        <v>5.0800000000000018</v>
      </c>
      <c r="G108" s="183">
        <f t="shared" si="2"/>
        <v>61.574791666666634</v>
      </c>
      <c r="H108" s="183">
        <f t="shared" si="2"/>
        <v>18.042395833333334</v>
      </c>
      <c r="I108" s="183">
        <f t="shared" si="2"/>
        <v>6.6689583333333351</v>
      </c>
      <c r="J108" s="183">
        <f t="shared" si="2"/>
        <v>0.32177083333333328</v>
      </c>
      <c r="K108" s="183">
        <f t="shared" si="2"/>
        <v>225.89291666666665</v>
      </c>
      <c r="L108" s="183">
        <f t="shared" si="2"/>
        <v>27.133645833333322</v>
      </c>
      <c r="M108" s="183">
        <f t="shared" si="2"/>
        <v>67.598958333333314</v>
      </c>
      <c r="N108" s="183">
        <f t="shared" si="2"/>
        <v>191.43854166666668</v>
      </c>
      <c r="O108" s="183">
        <f t="shared" si="2"/>
        <v>0</v>
      </c>
      <c r="P108" s="183">
        <f t="shared" si="2"/>
        <v>0.71895833333333314</v>
      </c>
      <c r="Q108" s="183">
        <f t="shared" si="2"/>
        <v>3.7334375000000004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3.1105787806897434</v>
      </c>
      <c r="C109" s="183">
        <f t="shared" ref="C109:Q109" si="3">STDEV(C9:C104)</f>
        <v>2.4157415682479026</v>
      </c>
      <c r="D109" s="183">
        <f t="shared" si="3"/>
        <v>2.8427389324659842</v>
      </c>
      <c r="E109" s="183">
        <f t="shared" si="3"/>
        <v>0.89021579780787419</v>
      </c>
      <c r="F109" s="183">
        <f t="shared" si="3"/>
        <v>3.145933047100983</v>
      </c>
      <c r="G109" s="183">
        <f t="shared" si="3"/>
        <v>4.814453891350035</v>
      </c>
      <c r="H109" s="183">
        <f t="shared" si="3"/>
        <v>1.7828863321159234</v>
      </c>
      <c r="I109" s="183">
        <f t="shared" si="3"/>
        <v>1.2662355972406072</v>
      </c>
      <c r="J109" s="183">
        <f t="shared" si="3"/>
        <v>0.17959600740883161</v>
      </c>
      <c r="K109" s="183">
        <f t="shared" si="3"/>
        <v>89.127941769318809</v>
      </c>
      <c r="L109" s="183">
        <f t="shared" si="3"/>
        <v>3.5091774774130391</v>
      </c>
      <c r="M109" s="183">
        <f t="shared" si="3"/>
        <v>16.590072267801599</v>
      </c>
      <c r="N109" s="183">
        <f t="shared" si="3"/>
        <v>298.69885992409831</v>
      </c>
      <c r="O109" s="183">
        <f t="shared" si="3"/>
        <v>0</v>
      </c>
      <c r="P109" s="183">
        <f t="shared" si="3"/>
        <v>6.5910292570032156E-2</v>
      </c>
      <c r="Q109" s="183">
        <f t="shared" si="3"/>
        <v>0.21313118334910205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06/10/2023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719</v>
      </c>
      <c r="B9" s="133">
        <v>10.95</v>
      </c>
      <c r="C9" s="133">
        <v>22.85</v>
      </c>
      <c r="D9" s="133">
        <v>22.07</v>
      </c>
      <c r="E9" s="133">
        <v>7.86</v>
      </c>
      <c r="F9" s="133">
        <v>3.09</v>
      </c>
      <c r="G9" s="133">
        <v>66.17</v>
      </c>
      <c r="H9" s="133">
        <v>18.95</v>
      </c>
      <c r="I9" s="133">
        <v>7.79</v>
      </c>
      <c r="J9" s="133">
        <v>0.2</v>
      </c>
      <c r="K9" s="133">
        <v>198.69</v>
      </c>
      <c r="L9" s="133">
        <v>23.77</v>
      </c>
      <c r="M9" s="133">
        <v>86.76</v>
      </c>
      <c r="N9" s="133">
        <v>0</v>
      </c>
      <c r="O9" s="133">
        <v>0</v>
      </c>
      <c r="P9" s="133">
        <v>0.8</v>
      </c>
      <c r="Q9" s="133">
        <v>3.76</v>
      </c>
    </row>
    <row r="10" spans="1:21" customFormat="1">
      <c r="A10" s="111" t="s">
        <v>720</v>
      </c>
      <c r="B10" s="133">
        <v>11.49</v>
      </c>
      <c r="C10" s="133">
        <v>24.15</v>
      </c>
      <c r="D10" s="133">
        <v>23.18</v>
      </c>
      <c r="E10" s="133">
        <v>8.19</v>
      </c>
      <c r="F10" s="133">
        <v>2.4500000000000002</v>
      </c>
      <c r="G10" s="133">
        <v>66.17</v>
      </c>
      <c r="H10" s="133">
        <v>18.95</v>
      </c>
      <c r="I10" s="133">
        <v>7.81</v>
      </c>
      <c r="J10" s="133">
        <v>0.19</v>
      </c>
      <c r="K10" s="133">
        <v>196.5</v>
      </c>
      <c r="L10" s="133">
        <v>23.69</v>
      </c>
      <c r="M10" s="133">
        <v>89.93</v>
      </c>
      <c r="N10" s="133">
        <v>0</v>
      </c>
      <c r="O10" s="133">
        <v>0</v>
      </c>
      <c r="P10" s="133">
        <v>0.82</v>
      </c>
      <c r="Q10" s="133">
        <v>3.75</v>
      </c>
    </row>
    <row r="11" spans="1:21" customFormat="1">
      <c r="A11" s="111" t="s">
        <v>721</v>
      </c>
      <c r="B11" s="133">
        <v>11.97</v>
      </c>
      <c r="C11" s="133">
        <v>24.04</v>
      </c>
      <c r="D11" s="133">
        <v>23.51</v>
      </c>
      <c r="E11" s="133">
        <v>8.4499999999999993</v>
      </c>
      <c r="F11" s="133">
        <v>2.58</v>
      </c>
      <c r="G11" s="133">
        <v>65.44</v>
      </c>
      <c r="H11" s="133">
        <v>19.11</v>
      </c>
      <c r="I11" s="133">
        <v>7.82</v>
      </c>
      <c r="J11" s="133">
        <v>0.14000000000000001</v>
      </c>
      <c r="K11" s="133">
        <v>220.54</v>
      </c>
      <c r="L11" s="133">
        <v>23.45</v>
      </c>
      <c r="M11" s="133">
        <v>90.2</v>
      </c>
      <c r="N11" s="133">
        <v>0</v>
      </c>
      <c r="O11" s="133">
        <v>0</v>
      </c>
      <c r="P11" s="133">
        <v>0.82</v>
      </c>
      <c r="Q11" s="133">
        <v>3.82</v>
      </c>
    </row>
    <row r="12" spans="1:21" customFormat="1">
      <c r="A12" s="111" t="s">
        <v>722</v>
      </c>
      <c r="B12" s="133">
        <v>12.33</v>
      </c>
      <c r="C12" s="133">
        <v>22.98</v>
      </c>
      <c r="D12" s="133">
        <v>23.25</v>
      </c>
      <c r="E12" s="133">
        <v>7.79</v>
      </c>
      <c r="F12" s="133">
        <v>3.02</v>
      </c>
      <c r="G12" s="133">
        <v>63.03</v>
      </c>
      <c r="H12" s="133">
        <v>19.88</v>
      </c>
      <c r="I12" s="133">
        <v>7.89</v>
      </c>
      <c r="J12" s="133">
        <v>0.12</v>
      </c>
      <c r="K12" s="133">
        <v>221.89</v>
      </c>
      <c r="L12" s="133">
        <v>23.39</v>
      </c>
      <c r="M12" s="133">
        <v>89.64</v>
      </c>
      <c r="N12" s="133">
        <v>0</v>
      </c>
      <c r="O12" s="133">
        <v>0</v>
      </c>
      <c r="P12" s="133">
        <v>0.81</v>
      </c>
      <c r="Q12" s="133">
        <v>3.84</v>
      </c>
    </row>
    <row r="13" spans="1:21" customFormat="1">
      <c r="A13" s="111" t="s">
        <v>723</v>
      </c>
      <c r="B13" s="133">
        <v>12.62</v>
      </c>
      <c r="C13" s="133">
        <v>24.63</v>
      </c>
      <c r="D13" s="133">
        <v>24.34</v>
      </c>
      <c r="E13" s="133">
        <v>8.77</v>
      </c>
      <c r="F13" s="133">
        <v>2.38</v>
      </c>
      <c r="G13" s="133">
        <v>63.03</v>
      </c>
      <c r="H13" s="133">
        <v>19.88</v>
      </c>
      <c r="I13" s="133">
        <v>7.81</v>
      </c>
      <c r="J13" s="133">
        <v>0.14000000000000001</v>
      </c>
      <c r="K13" s="133">
        <v>164.06</v>
      </c>
      <c r="L13" s="133">
        <v>23.38</v>
      </c>
      <c r="M13" s="133">
        <v>90.41</v>
      </c>
      <c r="N13" s="133">
        <v>0</v>
      </c>
      <c r="O13" s="133">
        <v>0</v>
      </c>
      <c r="P13" s="133">
        <v>0.82</v>
      </c>
      <c r="Q13" s="133">
        <v>3.84</v>
      </c>
    </row>
    <row r="14" spans="1:21" customFormat="1">
      <c r="A14" s="111" t="s">
        <v>724</v>
      </c>
      <c r="B14" s="133">
        <v>13.05</v>
      </c>
      <c r="C14" s="133">
        <v>23.84</v>
      </c>
      <c r="D14" s="133">
        <v>24.27</v>
      </c>
      <c r="E14" s="133">
        <v>8.32</v>
      </c>
      <c r="F14" s="133">
        <v>2.85</v>
      </c>
      <c r="G14" s="133">
        <v>63.03</v>
      </c>
      <c r="H14" s="133">
        <v>19.88</v>
      </c>
      <c r="I14" s="133">
        <v>7.8</v>
      </c>
      <c r="J14" s="133">
        <v>0.14000000000000001</v>
      </c>
      <c r="K14" s="133">
        <v>149.78</v>
      </c>
      <c r="L14" s="133">
        <v>23.33</v>
      </c>
      <c r="M14" s="133">
        <v>91.3</v>
      </c>
      <c r="N14" s="133">
        <v>0</v>
      </c>
      <c r="O14" s="133">
        <v>0</v>
      </c>
      <c r="P14" s="133">
        <v>0.82</v>
      </c>
      <c r="Q14" s="133">
        <v>3.87</v>
      </c>
    </row>
    <row r="15" spans="1:21" customFormat="1">
      <c r="A15" s="111" t="s">
        <v>725</v>
      </c>
      <c r="B15" s="133">
        <v>13.31</v>
      </c>
      <c r="C15" s="133">
        <v>22.94</v>
      </c>
      <c r="D15" s="133">
        <v>24.01</v>
      </c>
      <c r="E15" s="133">
        <v>8.14</v>
      </c>
      <c r="F15" s="133">
        <v>2.96</v>
      </c>
      <c r="G15" s="133">
        <v>62</v>
      </c>
      <c r="H15" s="133">
        <v>19.18</v>
      </c>
      <c r="I15" s="133">
        <v>7.93</v>
      </c>
      <c r="J15" s="133">
        <v>0.13</v>
      </c>
      <c r="K15" s="133">
        <v>138.13999999999999</v>
      </c>
      <c r="L15" s="133">
        <v>23.31</v>
      </c>
      <c r="M15" s="133">
        <v>92.72</v>
      </c>
      <c r="N15" s="133">
        <v>0</v>
      </c>
      <c r="O15" s="133">
        <v>0</v>
      </c>
      <c r="P15" s="133">
        <v>0.82</v>
      </c>
      <c r="Q15" s="133">
        <v>3.87</v>
      </c>
    </row>
    <row r="16" spans="1:21" customFormat="1">
      <c r="A16" s="111" t="s">
        <v>726</v>
      </c>
      <c r="B16" s="133">
        <v>13.6</v>
      </c>
      <c r="C16" s="133">
        <v>24.8</v>
      </c>
      <c r="D16" s="133">
        <v>25.22</v>
      </c>
      <c r="E16" s="133">
        <v>8.3699999999999992</v>
      </c>
      <c r="F16" s="133">
        <v>2.48</v>
      </c>
      <c r="G16" s="133">
        <v>58.38</v>
      </c>
      <c r="H16" s="133">
        <v>17.440000000000001</v>
      </c>
      <c r="I16" s="133">
        <v>7.85</v>
      </c>
      <c r="J16" s="133">
        <v>0.09</v>
      </c>
      <c r="K16" s="133">
        <v>181.77</v>
      </c>
      <c r="L16" s="133">
        <v>23.16</v>
      </c>
      <c r="M16" s="133">
        <v>92.59</v>
      </c>
      <c r="N16" s="133">
        <v>0</v>
      </c>
      <c r="O16" s="133">
        <v>0</v>
      </c>
      <c r="P16" s="133">
        <v>0.83</v>
      </c>
      <c r="Q16" s="133">
        <v>3.86</v>
      </c>
    </row>
    <row r="17" spans="1:17" customFormat="1">
      <c r="A17" s="111" t="s">
        <v>727</v>
      </c>
      <c r="B17" s="133">
        <v>14.02</v>
      </c>
      <c r="C17" s="133">
        <v>24.1</v>
      </c>
      <c r="D17" s="133">
        <v>25.18</v>
      </c>
      <c r="E17" s="133">
        <v>6.95</v>
      </c>
      <c r="F17" s="133">
        <v>2.76</v>
      </c>
      <c r="G17" s="133">
        <v>58.38</v>
      </c>
      <c r="H17" s="133">
        <v>17.440000000000001</v>
      </c>
      <c r="I17" s="133">
        <v>7.82</v>
      </c>
      <c r="J17" s="133">
        <v>0.11</v>
      </c>
      <c r="K17" s="133">
        <v>241.15</v>
      </c>
      <c r="L17" s="133">
        <v>23.05</v>
      </c>
      <c r="M17" s="133">
        <v>92.99</v>
      </c>
      <c r="N17" s="133">
        <v>0</v>
      </c>
      <c r="O17" s="133">
        <v>0</v>
      </c>
      <c r="P17" s="133">
        <v>0.83</v>
      </c>
      <c r="Q17" s="133">
        <v>3.92</v>
      </c>
    </row>
    <row r="18" spans="1:17" customFormat="1">
      <c r="A18" s="111" t="s">
        <v>728</v>
      </c>
      <c r="B18" s="133">
        <v>14.28</v>
      </c>
      <c r="C18" s="133">
        <v>22.94</v>
      </c>
      <c r="D18" s="133">
        <v>24.79</v>
      </c>
      <c r="E18" s="133">
        <v>7.46</v>
      </c>
      <c r="F18" s="133">
        <v>2.97</v>
      </c>
      <c r="G18" s="133">
        <v>58.38</v>
      </c>
      <c r="H18" s="133">
        <v>17.440000000000001</v>
      </c>
      <c r="I18" s="133">
        <v>7.9</v>
      </c>
      <c r="J18" s="133">
        <v>0.1</v>
      </c>
      <c r="K18" s="133">
        <v>230.49</v>
      </c>
      <c r="L18" s="133">
        <v>22.91</v>
      </c>
      <c r="M18" s="133">
        <v>93.08</v>
      </c>
      <c r="N18" s="133">
        <v>0</v>
      </c>
      <c r="O18" s="133">
        <v>0</v>
      </c>
      <c r="P18" s="133">
        <v>0.81</v>
      </c>
      <c r="Q18" s="133">
        <v>3.94</v>
      </c>
    </row>
    <row r="19" spans="1:17" customFormat="1">
      <c r="A19" s="111" t="s">
        <v>729</v>
      </c>
      <c r="B19" s="133">
        <v>14.47</v>
      </c>
      <c r="C19" s="133">
        <v>24.33</v>
      </c>
      <c r="D19" s="133">
        <v>25.67</v>
      </c>
      <c r="E19" s="133">
        <v>7.84</v>
      </c>
      <c r="F19" s="133">
        <v>2.39</v>
      </c>
      <c r="G19" s="133">
        <v>58.48</v>
      </c>
      <c r="H19" s="133">
        <v>16.809999999999999</v>
      </c>
      <c r="I19" s="133">
        <v>7.83</v>
      </c>
      <c r="J19" s="133">
        <v>0.15</v>
      </c>
      <c r="K19" s="133">
        <v>182.83</v>
      </c>
      <c r="L19" s="133">
        <v>22.85</v>
      </c>
      <c r="M19" s="133">
        <v>93.31</v>
      </c>
      <c r="N19" s="133">
        <v>0</v>
      </c>
      <c r="O19" s="133">
        <v>0</v>
      </c>
      <c r="P19" s="133">
        <v>0.82</v>
      </c>
      <c r="Q19" s="133">
        <v>3.93</v>
      </c>
    </row>
    <row r="20" spans="1:17" customFormat="1">
      <c r="A20" s="111" t="s">
        <v>730</v>
      </c>
      <c r="B20" s="133">
        <v>14.75</v>
      </c>
      <c r="C20" s="133">
        <v>23.88</v>
      </c>
      <c r="D20" s="133">
        <v>25.66</v>
      </c>
      <c r="E20" s="133">
        <v>7.83</v>
      </c>
      <c r="F20" s="133">
        <v>2.76</v>
      </c>
      <c r="G20" s="133">
        <v>58.81</v>
      </c>
      <c r="H20" s="133">
        <v>15.24</v>
      </c>
      <c r="I20" s="133">
        <v>7.78</v>
      </c>
      <c r="J20" s="133">
        <v>0.17</v>
      </c>
      <c r="K20" s="133">
        <v>176.94</v>
      </c>
      <c r="L20" s="133">
        <v>22.89</v>
      </c>
      <c r="M20" s="133">
        <v>93.22</v>
      </c>
      <c r="N20" s="133">
        <v>0</v>
      </c>
      <c r="O20" s="133">
        <v>0</v>
      </c>
      <c r="P20" s="133">
        <v>0.8</v>
      </c>
      <c r="Q20" s="133">
        <v>3.96</v>
      </c>
    </row>
    <row r="21" spans="1:17" customFormat="1">
      <c r="A21" s="111" t="s">
        <v>731</v>
      </c>
      <c r="B21" s="133">
        <v>14.74</v>
      </c>
      <c r="C21" s="133">
        <v>23.54</v>
      </c>
      <c r="D21" s="133">
        <v>25.47</v>
      </c>
      <c r="E21" s="133">
        <v>7.72</v>
      </c>
      <c r="F21" s="133">
        <v>2.91</v>
      </c>
      <c r="G21" s="133">
        <v>58.81</v>
      </c>
      <c r="H21" s="133">
        <v>15.24</v>
      </c>
      <c r="I21" s="133">
        <v>7.75</v>
      </c>
      <c r="J21" s="133">
        <v>0.22</v>
      </c>
      <c r="K21" s="133">
        <v>184.3</v>
      </c>
      <c r="L21" s="133">
        <v>22.98</v>
      </c>
      <c r="M21" s="133">
        <v>93.12</v>
      </c>
      <c r="N21" s="133">
        <v>0</v>
      </c>
      <c r="O21" s="133">
        <v>0</v>
      </c>
      <c r="P21" s="133">
        <v>0.81</v>
      </c>
      <c r="Q21" s="133">
        <v>3.95</v>
      </c>
    </row>
    <row r="22" spans="1:17" customFormat="1">
      <c r="A22" s="111" t="s">
        <v>732</v>
      </c>
      <c r="B22" s="133">
        <v>14.58</v>
      </c>
      <c r="C22" s="133">
        <v>23.71</v>
      </c>
      <c r="D22" s="133">
        <v>25.43</v>
      </c>
      <c r="E22" s="133">
        <v>7.63</v>
      </c>
      <c r="F22" s="133">
        <v>2.72</v>
      </c>
      <c r="G22" s="133">
        <v>58.81</v>
      </c>
      <c r="H22" s="133">
        <v>15.24</v>
      </c>
      <c r="I22" s="133">
        <v>7.68</v>
      </c>
      <c r="J22" s="133">
        <v>0.19</v>
      </c>
      <c r="K22" s="133">
        <v>180.18</v>
      </c>
      <c r="L22" s="133">
        <v>23</v>
      </c>
      <c r="M22" s="133">
        <v>92</v>
      </c>
      <c r="N22" s="133">
        <v>0</v>
      </c>
      <c r="O22" s="133">
        <v>0</v>
      </c>
      <c r="P22" s="133">
        <v>0.82</v>
      </c>
      <c r="Q22" s="133">
        <v>3.93</v>
      </c>
    </row>
    <row r="23" spans="1:17" customFormat="1">
      <c r="A23" s="111" t="s">
        <v>733</v>
      </c>
      <c r="B23" s="133">
        <v>14.23</v>
      </c>
      <c r="C23" s="133">
        <v>23.97</v>
      </c>
      <c r="D23" s="133">
        <v>25.29</v>
      </c>
      <c r="E23" s="133">
        <v>7.49</v>
      </c>
      <c r="F23" s="133">
        <v>2.71</v>
      </c>
      <c r="G23" s="133">
        <v>57.38</v>
      </c>
      <c r="H23" s="133">
        <v>15.1</v>
      </c>
      <c r="I23" s="133">
        <v>7.54</v>
      </c>
      <c r="J23" s="133">
        <v>0.16</v>
      </c>
      <c r="K23" s="133">
        <v>166.97</v>
      </c>
      <c r="L23" s="133">
        <v>22.94</v>
      </c>
      <c r="M23" s="133">
        <v>92.15</v>
      </c>
      <c r="N23" s="133">
        <v>0</v>
      </c>
      <c r="O23" s="133">
        <v>0</v>
      </c>
      <c r="P23" s="133">
        <v>0.82</v>
      </c>
      <c r="Q23" s="133">
        <v>3.92</v>
      </c>
    </row>
    <row r="24" spans="1:17" customFormat="1">
      <c r="A24" s="111" t="s">
        <v>734</v>
      </c>
      <c r="B24" s="133">
        <v>14.08</v>
      </c>
      <c r="C24" s="133">
        <v>24.43</v>
      </c>
      <c r="D24" s="133">
        <v>25.41</v>
      </c>
      <c r="E24" s="133">
        <v>7.07</v>
      </c>
      <c r="F24" s="133">
        <v>2.86</v>
      </c>
      <c r="G24" s="133">
        <v>52.36</v>
      </c>
      <c r="H24" s="133">
        <v>14.75</v>
      </c>
      <c r="I24" s="133">
        <v>7.48</v>
      </c>
      <c r="J24" s="133">
        <v>0.13</v>
      </c>
      <c r="K24" s="133">
        <v>155.85</v>
      </c>
      <c r="L24" s="133">
        <v>22.86</v>
      </c>
      <c r="M24" s="133">
        <v>92.88</v>
      </c>
      <c r="N24" s="133">
        <v>0</v>
      </c>
      <c r="O24" s="133">
        <v>0</v>
      </c>
      <c r="P24" s="133">
        <v>0.82</v>
      </c>
      <c r="Q24" s="133">
        <v>3.92</v>
      </c>
    </row>
    <row r="25" spans="1:17" customFormat="1">
      <c r="A25" s="111" t="s">
        <v>735</v>
      </c>
      <c r="B25" s="133">
        <v>13.89</v>
      </c>
      <c r="C25" s="133">
        <v>24.81</v>
      </c>
      <c r="D25" s="133">
        <v>25.45</v>
      </c>
      <c r="E25" s="133">
        <v>7.44</v>
      </c>
      <c r="F25" s="133">
        <v>2.81</v>
      </c>
      <c r="G25" s="133">
        <v>52.36</v>
      </c>
      <c r="H25" s="133">
        <v>14.75</v>
      </c>
      <c r="I25" s="133">
        <v>7.41</v>
      </c>
      <c r="J25" s="133">
        <v>0.1</v>
      </c>
      <c r="K25" s="133">
        <v>179.02</v>
      </c>
      <c r="L25" s="133">
        <v>22.71</v>
      </c>
      <c r="M25" s="133">
        <v>93.11</v>
      </c>
      <c r="N25" s="133">
        <v>0</v>
      </c>
      <c r="O25" s="133">
        <v>0</v>
      </c>
      <c r="P25" s="133">
        <v>0.81</v>
      </c>
      <c r="Q25" s="133">
        <v>3.93</v>
      </c>
    </row>
    <row r="26" spans="1:17" customFormat="1">
      <c r="A26" s="111" t="s">
        <v>736</v>
      </c>
      <c r="B26" s="133">
        <v>13.71</v>
      </c>
      <c r="C26" s="133">
        <v>24.95</v>
      </c>
      <c r="D26" s="133">
        <v>25.38</v>
      </c>
      <c r="E26" s="133">
        <v>7.9</v>
      </c>
      <c r="F26" s="133">
        <v>2.74</v>
      </c>
      <c r="G26" s="133">
        <v>52.36</v>
      </c>
      <c r="H26" s="133">
        <v>14.75</v>
      </c>
      <c r="I26" s="133">
        <v>7.34</v>
      </c>
      <c r="J26" s="133">
        <v>0.11</v>
      </c>
      <c r="K26" s="133">
        <v>214.43</v>
      </c>
      <c r="L26" s="133">
        <v>22.64</v>
      </c>
      <c r="M26" s="133">
        <v>93.29</v>
      </c>
      <c r="N26" s="133">
        <v>0</v>
      </c>
      <c r="O26" s="133">
        <v>0</v>
      </c>
      <c r="P26" s="133">
        <v>0.8</v>
      </c>
      <c r="Q26" s="133">
        <v>3.94</v>
      </c>
    </row>
    <row r="27" spans="1:17" customFormat="1">
      <c r="A27" s="111" t="s">
        <v>737</v>
      </c>
      <c r="B27" s="133">
        <v>13.46</v>
      </c>
      <c r="C27" s="133">
        <v>25.29</v>
      </c>
      <c r="D27" s="133">
        <v>25.36</v>
      </c>
      <c r="E27" s="133">
        <v>7.59</v>
      </c>
      <c r="F27" s="133">
        <v>2.68</v>
      </c>
      <c r="G27" s="133">
        <v>51.28</v>
      </c>
      <c r="H27" s="133">
        <v>14.49</v>
      </c>
      <c r="I27" s="133">
        <v>7.28</v>
      </c>
      <c r="J27" s="133">
        <v>0.08</v>
      </c>
      <c r="K27" s="133">
        <v>180</v>
      </c>
      <c r="L27" s="133">
        <v>22.6</v>
      </c>
      <c r="M27" s="133">
        <v>94.74</v>
      </c>
      <c r="N27" s="133">
        <v>0</v>
      </c>
      <c r="O27" s="133">
        <v>0</v>
      </c>
      <c r="P27" s="133">
        <v>0.81</v>
      </c>
      <c r="Q27" s="133">
        <v>3.94</v>
      </c>
    </row>
    <row r="28" spans="1:17" customFormat="1">
      <c r="A28" s="111" t="s">
        <v>738</v>
      </c>
      <c r="B28" s="133">
        <v>13.34</v>
      </c>
      <c r="C28" s="133">
        <v>25.8</v>
      </c>
      <c r="D28" s="133">
        <v>25.53</v>
      </c>
      <c r="E28" s="133">
        <v>7.36</v>
      </c>
      <c r="F28" s="133">
        <v>2.5</v>
      </c>
      <c r="G28" s="133">
        <v>47.5</v>
      </c>
      <c r="H28" s="133">
        <v>13.84</v>
      </c>
      <c r="I28" s="133">
        <v>7.21</v>
      </c>
      <c r="J28" s="133">
        <v>0.14000000000000001</v>
      </c>
      <c r="K28" s="133">
        <v>165.65</v>
      </c>
      <c r="L28" s="133">
        <v>22.61</v>
      </c>
      <c r="M28" s="133">
        <v>94.23</v>
      </c>
      <c r="N28" s="133">
        <v>0</v>
      </c>
      <c r="O28" s="133">
        <v>0</v>
      </c>
      <c r="P28" s="133">
        <v>0.79</v>
      </c>
      <c r="Q28" s="133">
        <v>3.93</v>
      </c>
    </row>
    <row r="29" spans="1:17" customFormat="1">
      <c r="A29" s="111" t="s">
        <v>739</v>
      </c>
      <c r="B29" s="133">
        <v>13.27</v>
      </c>
      <c r="C29" s="133">
        <v>25.87</v>
      </c>
      <c r="D29" s="133">
        <v>25.51</v>
      </c>
      <c r="E29" s="133">
        <v>7.67</v>
      </c>
      <c r="F29" s="133">
        <v>2.58</v>
      </c>
      <c r="G29" s="133">
        <v>47.5</v>
      </c>
      <c r="H29" s="133">
        <v>13.84</v>
      </c>
      <c r="I29" s="133">
        <v>7.15</v>
      </c>
      <c r="J29" s="133">
        <v>0.17</v>
      </c>
      <c r="K29" s="133">
        <v>200.38</v>
      </c>
      <c r="L29" s="133">
        <v>22.66</v>
      </c>
      <c r="M29" s="133">
        <v>93.93</v>
      </c>
      <c r="N29" s="133">
        <v>0</v>
      </c>
      <c r="O29" s="133">
        <v>0</v>
      </c>
      <c r="P29" s="133">
        <v>0.79</v>
      </c>
      <c r="Q29" s="133">
        <v>3.93</v>
      </c>
    </row>
    <row r="30" spans="1:17" customFormat="1">
      <c r="A30" s="111" t="s">
        <v>740</v>
      </c>
      <c r="B30" s="133">
        <v>13.25</v>
      </c>
      <c r="C30" s="133">
        <v>25.94</v>
      </c>
      <c r="D30" s="133">
        <v>25.53</v>
      </c>
      <c r="E30" s="133">
        <v>7.54</v>
      </c>
      <c r="F30" s="133">
        <v>2.54</v>
      </c>
      <c r="G30" s="133">
        <v>47.5</v>
      </c>
      <c r="H30" s="133">
        <v>13.84</v>
      </c>
      <c r="I30" s="133">
        <v>7.13</v>
      </c>
      <c r="J30" s="133">
        <v>0.14000000000000001</v>
      </c>
      <c r="K30" s="133">
        <v>160.01</v>
      </c>
      <c r="L30" s="133">
        <v>22.53</v>
      </c>
      <c r="M30" s="133">
        <v>93.92</v>
      </c>
      <c r="N30" s="133">
        <v>0</v>
      </c>
      <c r="O30" s="133">
        <v>0</v>
      </c>
      <c r="P30" s="133">
        <v>0.78</v>
      </c>
      <c r="Q30" s="133">
        <v>3.94</v>
      </c>
    </row>
    <row r="31" spans="1:17" customFormat="1">
      <c r="A31" s="111" t="s">
        <v>741</v>
      </c>
      <c r="B31" s="133">
        <v>13.08</v>
      </c>
      <c r="C31" s="133">
        <v>26.32</v>
      </c>
      <c r="D31" s="133">
        <v>25.59</v>
      </c>
      <c r="E31" s="133">
        <v>8.06</v>
      </c>
      <c r="F31" s="133">
        <v>2.5099999999999998</v>
      </c>
      <c r="G31" s="133">
        <v>47.01</v>
      </c>
      <c r="H31" s="133">
        <v>14.26</v>
      </c>
      <c r="I31" s="133">
        <v>7.1</v>
      </c>
      <c r="J31" s="133">
        <v>0.08</v>
      </c>
      <c r="K31" s="133">
        <v>168.34</v>
      </c>
      <c r="L31" s="133">
        <v>22.39</v>
      </c>
      <c r="M31" s="133">
        <v>94.71</v>
      </c>
      <c r="N31" s="133">
        <v>0</v>
      </c>
      <c r="O31" s="133">
        <v>0</v>
      </c>
      <c r="P31" s="133">
        <v>0.78</v>
      </c>
      <c r="Q31" s="133">
        <v>3.96</v>
      </c>
    </row>
    <row r="32" spans="1:17" customFormat="1">
      <c r="A32" s="111" t="s">
        <v>742</v>
      </c>
      <c r="B32" s="133">
        <v>13.07</v>
      </c>
      <c r="C32" s="133">
        <v>26.59</v>
      </c>
      <c r="D32" s="133">
        <v>25.73</v>
      </c>
      <c r="E32" s="133">
        <v>7.59</v>
      </c>
      <c r="F32" s="133">
        <v>2.44</v>
      </c>
      <c r="G32" s="133">
        <v>45.28</v>
      </c>
      <c r="H32" s="133">
        <v>15.29</v>
      </c>
      <c r="I32" s="133">
        <v>7.08</v>
      </c>
      <c r="J32" s="133">
        <v>0.1</v>
      </c>
      <c r="K32" s="133">
        <v>164.38</v>
      </c>
      <c r="L32" s="133">
        <v>22.38</v>
      </c>
      <c r="M32" s="133">
        <v>94.7</v>
      </c>
      <c r="N32" s="133">
        <v>0</v>
      </c>
      <c r="O32" s="133">
        <v>0</v>
      </c>
      <c r="P32" s="133">
        <v>0.77</v>
      </c>
      <c r="Q32" s="133">
        <v>3.98</v>
      </c>
    </row>
    <row r="33" spans="1:17" customFormat="1">
      <c r="A33" s="111" t="s">
        <v>743</v>
      </c>
      <c r="B33" s="133">
        <v>13.17</v>
      </c>
      <c r="C33" s="133">
        <v>26.6</v>
      </c>
      <c r="D33" s="133">
        <v>25.81</v>
      </c>
      <c r="E33" s="133">
        <v>7.86</v>
      </c>
      <c r="F33" s="133">
        <v>2.48</v>
      </c>
      <c r="G33" s="133">
        <v>45.28</v>
      </c>
      <c r="H33" s="133">
        <v>15.29</v>
      </c>
      <c r="I33" s="133">
        <v>6.97</v>
      </c>
      <c r="J33" s="133">
        <v>0.1</v>
      </c>
      <c r="K33" s="133">
        <v>162.04</v>
      </c>
      <c r="L33" s="133">
        <v>22.57</v>
      </c>
      <c r="M33" s="133">
        <v>95.38</v>
      </c>
      <c r="N33" s="133">
        <v>4.3</v>
      </c>
      <c r="O33" s="133">
        <v>0</v>
      </c>
      <c r="P33" s="133">
        <v>0.77</v>
      </c>
      <c r="Q33" s="133">
        <v>3.98</v>
      </c>
    </row>
    <row r="34" spans="1:17" customFormat="1">
      <c r="A34" s="111" t="s">
        <v>744</v>
      </c>
      <c r="B34" s="133">
        <v>13.15</v>
      </c>
      <c r="C34" s="133">
        <v>26.82</v>
      </c>
      <c r="D34" s="133">
        <v>25.91</v>
      </c>
      <c r="E34" s="133">
        <v>7.73</v>
      </c>
      <c r="F34" s="133">
        <v>2.52</v>
      </c>
      <c r="G34" s="133">
        <v>45.28</v>
      </c>
      <c r="H34" s="133">
        <v>15.29</v>
      </c>
      <c r="I34" s="133">
        <v>6.96</v>
      </c>
      <c r="J34" s="133">
        <v>0.15</v>
      </c>
      <c r="K34" s="133">
        <v>153.79</v>
      </c>
      <c r="L34" s="133">
        <v>22.81</v>
      </c>
      <c r="M34" s="133">
        <v>95.39</v>
      </c>
      <c r="N34" s="133">
        <v>14.5</v>
      </c>
      <c r="O34" s="133">
        <v>0</v>
      </c>
      <c r="P34" s="133">
        <v>0.76</v>
      </c>
      <c r="Q34" s="133">
        <v>3.98</v>
      </c>
    </row>
    <row r="35" spans="1:17" customFormat="1">
      <c r="A35" s="111" t="s">
        <v>745</v>
      </c>
      <c r="B35" s="133">
        <v>13.12</v>
      </c>
      <c r="C35" s="133">
        <v>26.82</v>
      </c>
      <c r="D35" s="133">
        <v>25.88</v>
      </c>
      <c r="E35" s="133">
        <v>7.7</v>
      </c>
      <c r="F35" s="133">
        <v>2.57</v>
      </c>
      <c r="G35" s="133">
        <v>45.92</v>
      </c>
      <c r="H35" s="133">
        <v>15.14</v>
      </c>
      <c r="I35" s="133">
        <v>6.9</v>
      </c>
      <c r="J35" s="133">
        <v>0.15</v>
      </c>
      <c r="K35" s="133">
        <v>149.04</v>
      </c>
      <c r="L35" s="133">
        <v>23.32</v>
      </c>
      <c r="M35" s="133">
        <v>92.54</v>
      </c>
      <c r="N35" s="133">
        <v>24.3</v>
      </c>
      <c r="O35" s="133">
        <v>0</v>
      </c>
      <c r="P35" s="133">
        <v>0.76</v>
      </c>
      <c r="Q35" s="133">
        <v>3.98</v>
      </c>
    </row>
    <row r="36" spans="1:17" customFormat="1">
      <c r="A36" s="111" t="s">
        <v>746</v>
      </c>
      <c r="B36" s="133">
        <v>13.17</v>
      </c>
      <c r="C36" s="133">
        <v>27.21</v>
      </c>
      <c r="D36" s="133">
        <v>26.13</v>
      </c>
      <c r="E36" s="133">
        <v>7.95</v>
      </c>
      <c r="F36" s="133">
        <v>2.4500000000000002</v>
      </c>
      <c r="G36" s="133">
        <v>48.16</v>
      </c>
      <c r="H36" s="133">
        <v>14.52</v>
      </c>
      <c r="I36" s="133">
        <v>6.91</v>
      </c>
      <c r="J36" s="133">
        <v>0.1</v>
      </c>
      <c r="K36" s="133">
        <v>204.2</v>
      </c>
      <c r="L36" s="133">
        <v>23.81</v>
      </c>
      <c r="M36" s="133">
        <v>91.28</v>
      </c>
      <c r="N36" s="133">
        <v>37.299999999999997</v>
      </c>
      <c r="O36" s="133">
        <v>0</v>
      </c>
      <c r="P36" s="133">
        <v>0.76</v>
      </c>
      <c r="Q36" s="133">
        <v>3.99</v>
      </c>
    </row>
    <row r="37" spans="1:17" customFormat="1">
      <c r="A37" s="111" t="s">
        <v>747</v>
      </c>
      <c r="B37" s="133">
        <v>13.15</v>
      </c>
      <c r="C37" s="133">
        <v>27.34</v>
      </c>
      <c r="D37" s="133">
        <v>26.18</v>
      </c>
      <c r="E37" s="133">
        <v>8.5299999999999994</v>
      </c>
      <c r="F37" s="133">
        <v>2.4300000000000002</v>
      </c>
      <c r="G37" s="133">
        <v>48.16</v>
      </c>
      <c r="H37" s="133">
        <v>14.52</v>
      </c>
      <c r="I37" s="133">
        <v>6.87</v>
      </c>
      <c r="J37" s="133">
        <v>0.2</v>
      </c>
      <c r="K37" s="133">
        <v>155.9</v>
      </c>
      <c r="L37" s="133">
        <v>24.42</v>
      </c>
      <c r="M37" s="133">
        <v>90.12</v>
      </c>
      <c r="N37" s="133">
        <v>76.900000000000006</v>
      </c>
      <c r="O37" s="133">
        <v>0</v>
      </c>
      <c r="P37" s="133">
        <v>0.75</v>
      </c>
      <c r="Q37" s="133">
        <v>3.98</v>
      </c>
    </row>
    <row r="38" spans="1:17" customFormat="1">
      <c r="A38" s="111" t="s">
        <v>748</v>
      </c>
      <c r="B38" s="133">
        <v>13.12</v>
      </c>
      <c r="C38" s="133">
        <v>27.38</v>
      </c>
      <c r="D38" s="133">
        <v>26.18</v>
      </c>
      <c r="E38" s="133">
        <v>8.27</v>
      </c>
      <c r="F38" s="133">
        <v>2.52</v>
      </c>
      <c r="G38" s="133">
        <v>48.16</v>
      </c>
      <c r="H38" s="133">
        <v>14.52</v>
      </c>
      <c r="I38" s="133">
        <v>6.83</v>
      </c>
      <c r="J38" s="133">
        <v>0.23</v>
      </c>
      <c r="K38" s="133">
        <v>152.93</v>
      </c>
      <c r="L38" s="133">
        <v>25.39</v>
      </c>
      <c r="M38" s="133">
        <v>84.87</v>
      </c>
      <c r="N38" s="133">
        <v>124.7</v>
      </c>
      <c r="O38" s="133">
        <v>0</v>
      </c>
      <c r="P38" s="133">
        <v>0.75</v>
      </c>
      <c r="Q38" s="133">
        <v>4</v>
      </c>
    </row>
    <row r="39" spans="1:17" customFormat="1">
      <c r="A39" s="111" t="s">
        <v>749</v>
      </c>
      <c r="B39" s="133">
        <v>12.91</v>
      </c>
      <c r="C39" s="133">
        <v>27.61</v>
      </c>
      <c r="D39" s="133">
        <v>26.13</v>
      </c>
      <c r="E39" s="133">
        <v>8.11</v>
      </c>
      <c r="F39" s="133">
        <v>2.56</v>
      </c>
      <c r="G39" s="133">
        <v>48.43</v>
      </c>
      <c r="H39" s="133">
        <v>13.92</v>
      </c>
      <c r="I39" s="133">
        <v>6.87</v>
      </c>
      <c r="J39" s="133">
        <v>0.17</v>
      </c>
      <c r="K39" s="133">
        <v>181.2</v>
      </c>
      <c r="L39" s="133">
        <v>26.18</v>
      </c>
      <c r="M39" s="133">
        <v>81.84</v>
      </c>
      <c r="N39" s="133">
        <v>101.6</v>
      </c>
      <c r="O39" s="133">
        <v>0</v>
      </c>
      <c r="P39" s="133">
        <v>0.75</v>
      </c>
      <c r="Q39" s="133">
        <v>3.98</v>
      </c>
    </row>
    <row r="40" spans="1:17" customFormat="1">
      <c r="A40" s="111" t="s">
        <v>750</v>
      </c>
      <c r="B40" s="133">
        <v>12.72</v>
      </c>
      <c r="C40" s="133">
        <v>27.99</v>
      </c>
      <c r="D40" s="133">
        <v>26.18</v>
      </c>
      <c r="E40" s="133">
        <v>8.02</v>
      </c>
      <c r="F40" s="133">
        <v>2.66</v>
      </c>
      <c r="G40" s="133">
        <v>49.4</v>
      </c>
      <c r="H40" s="133">
        <v>12.52</v>
      </c>
      <c r="I40" s="133">
        <v>6.88</v>
      </c>
      <c r="J40" s="133">
        <v>0.2</v>
      </c>
      <c r="K40" s="133">
        <v>239.12</v>
      </c>
      <c r="L40" s="133">
        <v>27.03</v>
      </c>
      <c r="M40" s="133">
        <v>78.56</v>
      </c>
      <c r="N40" s="133">
        <v>235.8</v>
      </c>
      <c r="O40" s="133">
        <v>0</v>
      </c>
      <c r="P40" s="133">
        <v>0.75</v>
      </c>
      <c r="Q40" s="133">
        <v>3.99</v>
      </c>
    </row>
    <row r="41" spans="1:17" customFormat="1">
      <c r="A41" s="111" t="s">
        <v>751</v>
      </c>
      <c r="B41" s="133">
        <v>12.5</v>
      </c>
      <c r="C41" s="133">
        <v>27.84</v>
      </c>
      <c r="D41" s="133">
        <v>25.92</v>
      </c>
      <c r="E41" s="133">
        <v>7.94</v>
      </c>
      <c r="F41" s="133">
        <v>2.74</v>
      </c>
      <c r="G41" s="133">
        <v>49.4</v>
      </c>
      <c r="H41" s="133">
        <v>12.52</v>
      </c>
      <c r="I41" s="133">
        <v>6.91</v>
      </c>
      <c r="J41" s="133">
        <v>0.11</v>
      </c>
      <c r="K41" s="133">
        <v>282.05</v>
      </c>
      <c r="L41" s="133">
        <v>27.9</v>
      </c>
      <c r="M41" s="133">
        <v>73.67</v>
      </c>
      <c r="N41" s="133">
        <v>324.5</v>
      </c>
      <c r="O41" s="133">
        <v>0</v>
      </c>
      <c r="P41" s="133">
        <v>0.75</v>
      </c>
      <c r="Q41" s="133">
        <v>3.98</v>
      </c>
    </row>
    <row r="42" spans="1:17" customFormat="1">
      <c r="A42" s="111" t="s">
        <v>752</v>
      </c>
      <c r="B42" s="133">
        <v>12.6</v>
      </c>
      <c r="C42" s="133">
        <v>27.61</v>
      </c>
      <c r="D42" s="133">
        <v>25.89</v>
      </c>
      <c r="E42" s="133">
        <v>8.73</v>
      </c>
      <c r="F42" s="133">
        <v>2.93</v>
      </c>
      <c r="G42" s="133">
        <v>49.4</v>
      </c>
      <c r="H42" s="133">
        <v>12.52</v>
      </c>
      <c r="I42" s="133">
        <v>6.95</v>
      </c>
      <c r="J42" s="133">
        <v>0.19</v>
      </c>
      <c r="K42" s="133">
        <v>349.19</v>
      </c>
      <c r="L42" s="133">
        <v>28.84</v>
      </c>
      <c r="M42" s="133">
        <v>66.42</v>
      </c>
      <c r="N42" s="133">
        <v>372.6</v>
      </c>
      <c r="O42" s="133">
        <v>0</v>
      </c>
      <c r="P42" s="133">
        <v>0.75</v>
      </c>
      <c r="Q42" s="133">
        <v>3.96</v>
      </c>
    </row>
    <row r="43" spans="1:17" customFormat="1">
      <c r="A43" s="111" t="s">
        <v>753</v>
      </c>
      <c r="B43" s="133">
        <v>12.71</v>
      </c>
      <c r="C43" s="133">
        <v>26.78</v>
      </c>
      <c r="D43" s="133">
        <v>25.54</v>
      </c>
      <c r="E43" s="133">
        <v>8.81</v>
      </c>
      <c r="F43" s="133">
        <v>3.4</v>
      </c>
      <c r="G43" s="133">
        <v>50.23</v>
      </c>
      <c r="H43" s="133">
        <v>13.44</v>
      </c>
      <c r="I43" s="133">
        <v>6.98</v>
      </c>
      <c r="J43" s="133">
        <v>0.24</v>
      </c>
      <c r="K43" s="133">
        <v>319.06</v>
      </c>
      <c r="L43" s="133">
        <v>29.56</v>
      </c>
      <c r="M43" s="133">
        <v>64.88</v>
      </c>
      <c r="N43" s="133">
        <v>430.6</v>
      </c>
      <c r="O43" s="133">
        <v>0</v>
      </c>
      <c r="P43" s="133">
        <v>0.75</v>
      </c>
      <c r="Q43" s="133">
        <v>3.91</v>
      </c>
    </row>
    <row r="44" spans="1:17" customFormat="1">
      <c r="A44" s="111" t="s">
        <v>754</v>
      </c>
      <c r="B44" s="133">
        <v>12.8</v>
      </c>
      <c r="C44" s="133">
        <v>26.35</v>
      </c>
      <c r="D44" s="133">
        <v>25.39</v>
      </c>
      <c r="E44" s="133">
        <v>8.1</v>
      </c>
      <c r="F44" s="133">
        <v>3.49</v>
      </c>
      <c r="G44" s="133">
        <v>52.98</v>
      </c>
      <c r="H44" s="133">
        <v>15.59</v>
      </c>
      <c r="I44" s="133">
        <v>7.01</v>
      </c>
      <c r="J44" s="133">
        <v>0.24</v>
      </c>
      <c r="K44" s="133">
        <v>313.58</v>
      </c>
      <c r="L44" s="133">
        <v>30.14</v>
      </c>
      <c r="M44" s="133">
        <v>63.92</v>
      </c>
      <c r="N44" s="133">
        <v>478.6</v>
      </c>
      <c r="O44" s="133">
        <v>0</v>
      </c>
      <c r="P44" s="133">
        <v>0.75</v>
      </c>
      <c r="Q44" s="133">
        <v>3.88</v>
      </c>
    </row>
    <row r="45" spans="1:17" customFormat="1">
      <c r="A45" s="111" t="s">
        <v>755</v>
      </c>
      <c r="B45" s="133">
        <v>12.69</v>
      </c>
      <c r="C45" s="133">
        <v>26.37</v>
      </c>
      <c r="D45" s="133">
        <v>25.31</v>
      </c>
      <c r="E45" s="133">
        <v>8.66</v>
      </c>
      <c r="F45" s="133">
        <v>3.44</v>
      </c>
      <c r="G45" s="133">
        <v>52.98</v>
      </c>
      <c r="H45" s="133">
        <v>15.59</v>
      </c>
      <c r="I45" s="133">
        <v>6.98</v>
      </c>
      <c r="J45" s="133">
        <v>0.27</v>
      </c>
      <c r="K45" s="133">
        <v>297.36</v>
      </c>
      <c r="L45" s="133">
        <v>30.46</v>
      </c>
      <c r="M45" s="133">
        <v>63.3</v>
      </c>
      <c r="N45" s="133">
        <v>519.79999999999995</v>
      </c>
      <c r="O45" s="133">
        <v>0</v>
      </c>
      <c r="P45" s="133">
        <v>0.75</v>
      </c>
      <c r="Q45" s="133">
        <v>3.88</v>
      </c>
    </row>
    <row r="46" spans="1:17" customFormat="1">
      <c r="A46" s="111" t="s">
        <v>756</v>
      </c>
      <c r="B46" s="133">
        <v>12.46</v>
      </c>
      <c r="C46" s="133">
        <v>26.43</v>
      </c>
      <c r="D46" s="133">
        <v>25.15</v>
      </c>
      <c r="E46" s="133">
        <v>9.14</v>
      </c>
      <c r="F46" s="133">
        <v>3.69</v>
      </c>
      <c r="G46" s="133">
        <v>52.98</v>
      </c>
      <c r="H46" s="133">
        <v>15.59</v>
      </c>
      <c r="I46" s="133">
        <v>7.02</v>
      </c>
      <c r="J46" s="133">
        <v>0.34</v>
      </c>
      <c r="K46" s="133">
        <v>343.83</v>
      </c>
      <c r="L46" s="133">
        <v>30.78</v>
      </c>
      <c r="M46" s="133">
        <v>63.18</v>
      </c>
      <c r="N46" s="133">
        <v>472.2</v>
      </c>
      <c r="O46" s="133">
        <v>0</v>
      </c>
      <c r="P46" s="133">
        <v>0.75</v>
      </c>
      <c r="Q46" s="133">
        <v>3.85</v>
      </c>
    </row>
    <row r="47" spans="1:17" customFormat="1">
      <c r="A47" s="111" t="s">
        <v>757</v>
      </c>
      <c r="B47" s="133">
        <v>12.29</v>
      </c>
      <c r="C47" s="133">
        <v>26.3</v>
      </c>
      <c r="D47" s="133">
        <v>24.95</v>
      </c>
      <c r="E47" s="133">
        <v>9.57</v>
      </c>
      <c r="F47" s="133">
        <v>4.13</v>
      </c>
      <c r="G47" s="133">
        <v>55.87</v>
      </c>
      <c r="H47" s="133">
        <v>17.989999999999998</v>
      </c>
      <c r="I47" s="133">
        <v>7.03</v>
      </c>
      <c r="J47" s="133">
        <v>0.27</v>
      </c>
      <c r="K47" s="133">
        <v>307.87</v>
      </c>
      <c r="L47" s="133">
        <v>31.11</v>
      </c>
      <c r="M47" s="133">
        <v>61.4</v>
      </c>
      <c r="N47" s="133">
        <v>426.7</v>
      </c>
      <c r="O47" s="133">
        <v>0</v>
      </c>
      <c r="P47" s="133">
        <v>0.77</v>
      </c>
      <c r="Q47" s="133">
        <v>3.81</v>
      </c>
    </row>
    <row r="48" spans="1:17" customFormat="1">
      <c r="A48" s="111" t="s">
        <v>758</v>
      </c>
      <c r="B48" s="133">
        <v>12.32</v>
      </c>
      <c r="C48" s="133">
        <v>26.48</v>
      </c>
      <c r="D48" s="133">
        <v>25.06</v>
      </c>
      <c r="E48" s="133">
        <v>10.73</v>
      </c>
      <c r="F48" s="133">
        <v>4.34</v>
      </c>
      <c r="G48" s="133">
        <v>65.989999999999995</v>
      </c>
      <c r="H48" s="133">
        <v>23.63</v>
      </c>
      <c r="I48" s="133">
        <v>7.01</v>
      </c>
      <c r="J48" s="133">
        <v>0.23</v>
      </c>
      <c r="K48" s="133">
        <v>357.16</v>
      </c>
      <c r="L48" s="133">
        <v>31.41</v>
      </c>
      <c r="M48" s="133">
        <v>61.55</v>
      </c>
      <c r="N48" s="133">
        <v>434.7</v>
      </c>
      <c r="O48" s="133">
        <v>0</v>
      </c>
      <c r="P48" s="133">
        <v>0.78</v>
      </c>
      <c r="Q48" s="133">
        <v>3.82</v>
      </c>
    </row>
    <row r="49" spans="1:17" customFormat="1">
      <c r="A49" s="111" t="s">
        <v>759</v>
      </c>
      <c r="B49" s="133">
        <v>12.2</v>
      </c>
      <c r="C49" s="133">
        <v>26.8</v>
      </c>
      <c r="D49" s="133">
        <v>25.14</v>
      </c>
      <c r="E49" s="133">
        <v>9.09</v>
      </c>
      <c r="F49" s="133">
        <v>3.81</v>
      </c>
      <c r="G49" s="133">
        <v>65.989999999999995</v>
      </c>
      <c r="H49" s="133">
        <v>23.63</v>
      </c>
      <c r="I49" s="133">
        <v>7.04</v>
      </c>
      <c r="J49" s="133">
        <v>0.12</v>
      </c>
      <c r="K49" s="133">
        <v>305.89</v>
      </c>
      <c r="L49" s="133">
        <v>31.98</v>
      </c>
      <c r="M49" s="133">
        <v>61.87</v>
      </c>
      <c r="N49" s="133">
        <v>605.20000000000005</v>
      </c>
      <c r="O49" s="133">
        <v>0</v>
      </c>
      <c r="P49" s="133">
        <v>0.79</v>
      </c>
      <c r="Q49" s="133">
        <v>3.8</v>
      </c>
    </row>
    <row r="50" spans="1:17" customFormat="1">
      <c r="A50" s="111" t="s">
        <v>760</v>
      </c>
      <c r="B50" s="133">
        <v>12.03</v>
      </c>
      <c r="C50" s="133">
        <v>26.99</v>
      </c>
      <c r="D50" s="133">
        <v>25.1</v>
      </c>
      <c r="E50" s="133">
        <v>10.210000000000001</v>
      </c>
      <c r="F50" s="133">
        <v>4.2300000000000004</v>
      </c>
      <c r="G50" s="133">
        <v>65.989999999999995</v>
      </c>
      <c r="H50" s="133">
        <v>23.63</v>
      </c>
      <c r="I50" s="133">
        <v>7.06</v>
      </c>
      <c r="J50" s="133">
        <v>0.42</v>
      </c>
      <c r="K50" s="133">
        <v>12.09</v>
      </c>
      <c r="L50" s="133">
        <v>32.25</v>
      </c>
      <c r="M50" s="133">
        <v>61.17</v>
      </c>
      <c r="N50" s="133">
        <v>622.6</v>
      </c>
      <c r="O50" s="133">
        <v>0</v>
      </c>
      <c r="P50" s="133">
        <v>0.8</v>
      </c>
      <c r="Q50" s="133">
        <v>3.78</v>
      </c>
    </row>
    <row r="51" spans="1:17" customFormat="1">
      <c r="A51" s="111" t="s">
        <v>761</v>
      </c>
      <c r="B51" s="133">
        <v>11.86</v>
      </c>
      <c r="C51" s="133">
        <v>26.87</v>
      </c>
      <c r="D51" s="133">
        <v>24.9</v>
      </c>
      <c r="E51" s="133">
        <v>10.19</v>
      </c>
      <c r="F51" s="133">
        <v>5.25</v>
      </c>
      <c r="G51" s="133">
        <v>71.819999999999993</v>
      </c>
      <c r="H51" s="133">
        <v>27.13</v>
      </c>
      <c r="I51" s="133">
        <v>7.14</v>
      </c>
      <c r="J51" s="133">
        <v>0.09</v>
      </c>
      <c r="K51" s="133">
        <v>338.13</v>
      </c>
      <c r="L51" s="133">
        <v>31.98</v>
      </c>
      <c r="M51" s="133">
        <v>61.26</v>
      </c>
      <c r="N51" s="133">
        <v>537.70000000000005</v>
      </c>
      <c r="O51" s="133">
        <v>0</v>
      </c>
      <c r="P51" s="133">
        <v>0.79</v>
      </c>
      <c r="Q51" s="133">
        <v>3.78</v>
      </c>
    </row>
    <row r="52" spans="1:17" customFormat="1">
      <c r="A52" s="111" t="s">
        <v>762</v>
      </c>
      <c r="B52" s="133">
        <v>11.54</v>
      </c>
      <c r="C52" s="133">
        <v>25.82</v>
      </c>
      <c r="D52" s="133">
        <v>24.09</v>
      </c>
      <c r="E52" s="133">
        <v>9.07</v>
      </c>
      <c r="F52" s="133">
        <v>5.46</v>
      </c>
      <c r="G52" s="133">
        <v>92.22</v>
      </c>
      <c r="H52" s="133">
        <v>35.380000000000003</v>
      </c>
      <c r="I52" s="133">
        <v>7.15</v>
      </c>
      <c r="J52" s="133">
        <v>0.25</v>
      </c>
      <c r="K52" s="133">
        <v>262.74</v>
      </c>
      <c r="L52" s="133">
        <v>32.39</v>
      </c>
      <c r="M52" s="133">
        <v>59.75</v>
      </c>
      <c r="N52" s="133">
        <v>645</v>
      </c>
      <c r="O52" s="133">
        <v>0</v>
      </c>
      <c r="P52" s="133">
        <v>0.78</v>
      </c>
      <c r="Q52" s="133">
        <v>3.76</v>
      </c>
    </row>
    <row r="53" spans="1:17" customFormat="1">
      <c r="A53" s="111" t="s">
        <v>763</v>
      </c>
      <c r="B53" s="133">
        <v>9.39</v>
      </c>
      <c r="C53" s="133">
        <v>24.6</v>
      </c>
      <c r="D53" s="133">
        <v>21.73</v>
      </c>
      <c r="E53" s="133">
        <v>12.2</v>
      </c>
      <c r="F53" s="133">
        <v>21.7</v>
      </c>
      <c r="G53" s="133">
        <v>92.22</v>
      </c>
      <c r="H53" s="133">
        <v>35.380000000000003</v>
      </c>
      <c r="I53" s="133">
        <v>7.07</v>
      </c>
      <c r="J53" s="133">
        <v>0.33</v>
      </c>
      <c r="K53" s="133">
        <v>25.95</v>
      </c>
      <c r="L53" s="133">
        <v>32.64</v>
      </c>
      <c r="M53" s="133">
        <v>57.62</v>
      </c>
      <c r="N53" s="133">
        <v>763.4</v>
      </c>
      <c r="O53" s="133">
        <v>0</v>
      </c>
      <c r="P53" s="133">
        <v>0.79</v>
      </c>
      <c r="Q53" s="133">
        <v>3.63</v>
      </c>
    </row>
    <row r="54" spans="1:17" customFormat="1">
      <c r="A54" s="111" t="s">
        <v>764</v>
      </c>
      <c r="B54" s="133">
        <v>4.5999999999999996</v>
      </c>
      <c r="C54" s="133">
        <v>24.71</v>
      </c>
      <c r="D54" s="133">
        <v>17.95</v>
      </c>
      <c r="E54" s="133">
        <v>13.64</v>
      </c>
      <c r="F54" s="133">
        <v>25</v>
      </c>
      <c r="G54" s="133">
        <v>92.22</v>
      </c>
      <c r="H54" s="133">
        <v>35.380000000000003</v>
      </c>
      <c r="I54" s="133">
        <v>6.99</v>
      </c>
      <c r="J54" s="133">
        <v>0.21</v>
      </c>
      <c r="K54" s="133">
        <v>24.58</v>
      </c>
      <c r="L54" s="133">
        <v>32.67</v>
      </c>
      <c r="M54" s="133">
        <v>58.39</v>
      </c>
      <c r="N54" s="133">
        <v>507.1</v>
      </c>
      <c r="O54" s="133">
        <v>0</v>
      </c>
      <c r="P54" s="133">
        <v>0.77</v>
      </c>
      <c r="Q54" s="133">
        <v>3.41</v>
      </c>
    </row>
    <row r="55" spans="1:17" customFormat="1">
      <c r="A55" s="111" t="s">
        <v>765</v>
      </c>
      <c r="B55" s="133">
        <v>3.5</v>
      </c>
      <c r="C55" s="133">
        <v>23.84</v>
      </c>
      <c r="D55" s="133">
        <v>16.61</v>
      </c>
      <c r="E55" s="133">
        <v>12.64</v>
      </c>
      <c r="F55" s="133">
        <v>27.93</v>
      </c>
      <c r="G55" s="150" t="s">
        <v>12</v>
      </c>
      <c r="H55" s="150" t="s">
        <v>12</v>
      </c>
      <c r="I55" s="133">
        <v>6.31</v>
      </c>
      <c r="J55" s="133">
        <v>0.4</v>
      </c>
      <c r="K55" s="133">
        <v>29.82</v>
      </c>
      <c r="L55" s="133">
        <v>32.83</v>
      </c>
      <c r="M55" s="133">
        <v>56.69</v>
      </c>
      <c r="N55" s="133">
        <v>708.6</v>
      </c>
      <c r="O55" s="133">
        <v>0</v>
      </c>
      <c r="P55" s="133">
        <v>0.75</v>
      </c>
      <c r="Q55" s="133">
        <v>3.33</v>
      </c>
    </row>
    <row r="56" spans="1:17" customFormat="1">
      <c r="A56" s="111" t="s">
        <v>766</v>
      </c>
      <c r="B56" s="133">
        <v>3.44</v>
      </c>
      <c r="C56" s="133">
        <v>23.26</v>
      </c>
      <c r="D56" s="133">
        <v>16.260000000000002</v>
      </c>
      <c r="E56" s="133">
        <v>13.07</v>
      </c>
      <c r="F56" s="133">
        <v>28.28</v>
      </c>
      <c r="G56" s="150" t="s">
        <v>12</v>
      </c>
      <c r="H56" s="150" t="s">
        <v>12</v>
      </c>
      <c r="I56" s="133">
        <v>5.47</v>
      </c>
      <c r="J56" s="133">
        <v>0.14000000000000001</v>
      </c>
      <c r="K56" s="133">
        <v>335.99</v>
      </c>
      <c r="L56" s="133">
        <v>32.950000000000003</v>
      </c>
      <c r="M56" s="133">
        <v>54.16</v>
      </c>
      <c r="N56" s="133">
        <v>641.6</v>
      </c>
      <c r="O56" s="133">
        <v>0</v>
      </c>
      <c r="P56" s="133">
        <v>0.72</v>
      </c>
      <c r="Q56" s="133">
        <v>3.31</v>
      </c>
    </row>
    <row r="57" spans="1:17" customFormat="1">
      <c r="A57" s="111" t="s">
        <v>767</v>
      </c>
      <c r="B57" s="133">
        <v>3.08</v>
      </c>
      <c r="C57" s="133">
        <v>21.87</v>
      </c>
      <c r="D57" s="133">
        <v>15.25</v>
      </c>
      <c r="E57" s="133">
        <v>13.6</v>
      </c>
      <c r="F57" s="133">
        <v>25.72</v>
      </c>
      <c r="G57" s="150" t="s">
        <v>12</v>
      </c>
      <c r="H57" s="150" t="s">
        <v>12</v>
      </c>
      <c r="I57" s="133">
        <v>4.99</v>
      </c>
      <c r="J57" s="133">
        <v>0.18</v>
      </c>
      <c r="K57" s="133">
        <v>348.48</v>
      </c>
      <c r="L57" s="133">
        <v>32.979999999999997</v>
      </c>
      <c r="M57" s="133">
        <v>55.42</v>
      </c>
      <c r="N57" s="133">
        <v>397.2</v>
      </c>
      <c r="O57" s="133">
        <v>0</v>
      </c>
      <c r="P57" s="133">
        <v>0.69</v>
      </c>
      <c r="Q57" s="133">
        <v>3.3</v>
      </c>
    </row>
    <row r="58" spans="1:17" customFormat="1">
      <c r="A58" s="111" t="s">
        <v>768</v>
      </c>
      <c r="B58" s="133">
        <v>3.02</v>
      </c>
      <c r="C58" s="133">
        <v>22.44</v>
      </c>
      <c r="D58" s="133">
        <v>15.5</v>
      </c>
      <c r="E58" s="133">
        <v>15.54</v>
      </c>
      <c r="F58" s="133">
        <v>22.29</v>
      </c>
      <c r="G58" s="150" t="s">
        <v>12</v>
      </c>
      <c r="H58" s="150" t="s">
        <v>12</v>
      </c>
      <c r="I58" s="133">
        <v>4.63</v>
      </c>
      <c r="J58" s="133">
        <v>0.26</v>
      </c>
      <c r="K58" s="133">
        <v>319.63</v>
      </c>
      <c r="L58" s="133">
        <v>32.340000000000003</v>
      </c>
      <c r="M58" s="133">
        <v>57.96</v>
      </c>
      <c r="N58" s="133">
        <v>315.8</v>
      </c>
      <c r="O58" s="133">
        <v>0</v>
      </c>
      <c r="P58" s="133">
        <v>0.68</v>
      </c>
      <c r="Q58" s="133">
        <v>3.27</v>
      </c>
    </row>
    <row r="59" spans="1:17" customFormat="1">
      <c r="A59" s="111" t="s">
        <v>769</v>
      </c>
      <c r="B59" s="133">
        <v>2.65</v>
      </c>
      <c r="C59" s="133">
        <v>23.56</v>
      </c>
      <c r="D59" s="133">
        <v>15.79</v>
      </c>
      <c r="E59" s="133">
        <v>15.57</v>
      </c>
      <c r="F59" s="133">
        <v>25.2</v>
      </c>
      <c r="G59" s="150" t="s">
        <v>12</v>
      </c>
      <c r="H59" s="150" t="s">
        <v>12</v>
      </c>
      <c r="I59" s="133">
        <v>4.01</v>
      </c>
      <c r="J59" s="133">
        <v>0.25</v>
      </c>
      <c r="K59" s="133">
        <v>356.96</v>
      </c>
      <c r="L59" s="133">
        <v>31.88</v>
      </c>
      <c r="M59" s="133">
        <v>58.45</v>
      </c>
      <c r="N59" s="133">
        <v>209.6</v>
      </c>
      <c r="O59" s="133">
        <v>0</v>
      </c>
      <c r="P59" s="133">
        <v>0.68</v>
      </c>
      <c r="Q59" s="133">
        <v>3.26</v>
      </c>
    </row>
    <row r="60" spans="1:17" customFormat="1">
      <c r="A60" s="111" t="s">
        <v>770</v>
      </c>
      <c r="B60" s="133">
        <v>2.4700000000000002</v>
      </c>
      <c r="C60" s="133">
        <v>22.71</v>
      </c>
      <c r="D60" s="133">
        <v>15.2</v>
      </c>
      <c r="E60" s="133">
        <v>12.78</v>
      </c>
      <c r="F60" s="133">
        <v>25.34</v>
      </c>
      <c r="G60" s="150" t="s">
        <v>12</v>
      </c>
      <c r="H60" s="150" t="s">
        <v>12</v>
      </c>
      <c r="I60" s="133">
        <v>4.3</v>
      </c>
      <c r="J60" s="133">
        <v>0.54</v>
      </c>
      <c r="K60" s="133">
        <v>28.83</v>
      </c>
      <c r="L60" s="133">
        <v>32.06</v>
      </c>
      <c r="M60" s="133">
        <v>54.39</v>
      </c>
      <c r="N60" s="133">
        <v>510.3</v>
      </c>
      <c r="O60" s="133">
        <v>0</v>
      </c>
      <c r="P60" s="133">
        <v>0.66</v>
      </c>
      <c r="Q60" s="133">
        <v>3.25</v>
      </c>
    </row>
    <row r="61" spans="1:17" customFormat="1">
      <c r="A61" s="111" t="s">
        <v>771</v>
      </c>
      <c r="B61" s="133">
        <v>2.75</v>
      </c>
      <c r="C61" s="133">
        <v>20.76</v>
      </c>
      <c r="D61" s="133">
        <v>14.4</v>
      </c>
      <c r="E61" s="133">
        <v>11.08</v>
      </c>
      <c r="F61" s="133">
        <v>30.66</v>
      </c>
      <c r="G61" s="133">
        <v>61.29</v>
      </c>
      <c r="H61" s="133">
        <v>10.64</v>
      </c>
      <c r="I61" s="133">
        <v>4.0999999999999996</v>
      </c>
      <c r="J61" s="133">
        <v>0.57999999999999996</v>
      </c>
      <c r="K61" s="133">
        <v>19.329999999999998</v>
      </c>
      <c r="L61" s="133">
        <v>32.65</v>
      </c>
      <c r="M61" s="133">
        <v>49.99</v>
      </c>
      <c r="N61" s="133">
        <v>649.70000000000005</v>
      </c>
      <c r="O61" s="133">
        <v>0</v>
      </c>
      <c r="P61" s="133">
        <v>0.6</v>
      </c>
      <c r="Q61" s="133">
        <v>3.28</v>
      </c>
    </row>
    <row r="62" spans="1:17" customFormat="1">
      <c r="A62" s="111" t="s">
        <v>772</v>
      </c>
      <c r="B62" s="133">
        <v>3.87</v>
      </c>
      <c r="C62" s="133">
        <v>22.27</v>
      </c>
      <c r="D62" s="133">
        <v>16.09</v>
      </c>
      <c r="E62" s="133">
        <v>8.68</v>
      </c>
      <c r="F62" s="133">
        <v>15.22</v>
      </c>
      <c r="G62" s="133">
        <v>61.29</v>
      </c>
      <c r="H62" s="133">
        <v>10.64</v>
      </c>
      <c r="I62" s="133">
        <v>3.22</v>
      </c>
      <c r="J62" s="133">
        <v>0.37</v>
      </c>
      <c r="K62" s="133">
        <v>353.8</v>
      </c>
      <c r="L62" s="133">
        <v>33.31</v>
      </c>
      <c r="M62" s="133">
        <v>49.32</v>
      </c>
      <c r="N62" s="133">
        <v>677.7</v>
      </c>
      <c r="O62" s="133">
        <v>0</v>
      </c>
      <c r="P62" s="133">
        <v>0.59</v>
      </c>
      <c r="Q62" s="133">
        <v>3.3</v>
      </c>
    </row>
    <row r="63" spans="1:17" customFormat="1">
      <c r="A63" s="111" t="s">
        <v>773</v>
      </c>
      <c r="B63" s="133">
        <v>2.76</v>
      </c>
      <c r="C63" s="133">
        <v>22.22</v>
      </c>
      <c r="D63" s="133">
        <v>15.18</v>
      </c>
      <c r="E63" s="133">
        <v>7.67</v>
      </c>
      <c r="F63" s="133">
        <v>8.52</v>
      </c>
      <c r="G63" s="133">
        <v>61.29</v>
      </c>
      <c r="H63" s="133">
        <v>10.64</v>
      </c>
      <c r="I63" s="133">
        <v>2.92</v>
      </c>
      <c r="J63" s="133">
        <v>0.28000000000000003</v>
      </c>
      <c r="K63" s="133">
        <v>346.97</v>
      </c>
      <c r="L63" s="133">
        <v>33.57</v>
      </c>
      <c r="M63" s="133">
        <v>48.98</v>
      </c>
      <c r="N63" s="133">
        <v>640.1</v>
      </c>
      <c r="O63" s="133">
        <v>0</v>
      </c>
      <c r="P63" s="133">
        <v>0.57999999999999996</v>
      </c>
      <c r="Q63" s="133">
        <v>3.33</v>
      </c>
    </row>
    <row r="64" spans="1:17" customFormat="1">
      <c r="A64" s="111" t="s">
        <v>774</v>
      </c>
      <c r="B64" s="133">
        <v>3.11</v>
      </c>
      <c r="C64" s="133">
        <v>25.18</v>
      </c>
      <c r="D64" s="133">
        <v>17</v>
      </c>
      <c r="E64" s="133">
        <v>7.54</v>
      </c>
      <c r="F64" s="133">
        <v>6.29</v>
      </c>
      <c r="G64" s="133">
        <v>60.85</v>
      </c>
      <c r="H64" s="133">
        <v>10.88</v>
      </c>
      <c r="I64" s="133">
        <v>3.09</v>
      </c>
      <c r="J64" s="133">
        <v>0.36</v>
      </c>
      <c r="K64" s="133">
        <v>329.61</v>
      </c>
      <c r="L64" s="133">
        <v>33.409999999999997</v>
      </c>
      <c r="M64" s="133">
        <v>49.51</v>
      </c>
      <c r="N64" s="133">
        <v>510.2</v>
      </c>
      <c r="O64" s="133">
        <v>0</v>
      </c>
      <c r="P64" s="133">
        <v>0.6</v>
      </c>
      <c r="Q64" s="133">
        <v>3.32</v>
      </c>
    </row>
    <row r="65" spans="1:17" customFormat="1">
      <c r="A65" s="111" t="s">
        <v>775</v>
      </c>
      <c r="B65" s="133">
        <v>3.62</v>
      </c>
      <c r="C65" s="133">
        <v>24.62</v>
      </c>
      <c r="D65" s="133">
        <v>17.12</v>
      </c>
      <c r="E65" s="133">
        <v>7.77</v>
      </c>
      <c r="F65" s="133">
        <v>8.16</v>
      </c>
      <c r="G65" s="133">
        <v>57.34</v>
      </c>
      <c r="H65" s="133">
        <v>12.3</v>
      </c>
      <c r="I65" s="133">
        <v>3.16</v>
      </c>
      <c r="J65" s="133">
        <v>0.48</v>
      </c>
      <c r="K65" s="133">
        <v>14.3</v>
      </c>
      <c r="L65" s="133">
        <v>33.130000000000003</v>
      </c>
      <c r="M65" s="133">
        <v>50.85</v>
      </c>
      <c r="N65" s="133">
        <v>565.6</v>
      </c>
      <c r="O65" s="133">
        <v>0</v>
      </c>
      <c r="P65" s="133">
        <v>0.63</v>
      </c>
      <c r="Q65" s="133">
        <v>3.36</v>
      </c>
    </row>
    <row r="66" spans="1:17" customFormat="1">
      <c r="A66" s="111" t="s">
        <v>776</v>
      </c>
      <c r="B66" s="133">
        <v>3.98</v>
      </c>
      <c r="C66" s="133">
        <v>24.83</v>
      </c>
      <c r="D66" s="133">
        <v>17.52</v>
      </c>
      <c r="E66" s="133">
        <v>7.82</v>
      </c>
      <c r="F66" s="133">
        <v>7.2</v>
      </c>
      <c r="G66" s="133">
        <v>57.34</v>
      </c>
      <c r="H66" s="133">
        <v>12.3</v>
      </c>
      <c r="I66" s="133">
        <v>3.25</v>
      </c>
      <c r="J66" s="133">
        <v>0.35</v>
      </c>
      <c r="K66" s="133">
        <v>347.31</v>
      </c>
      <c r="L66" s="133">
        <v>33.03</v>
      </c>
      <c r="M66" s="133">
        <v>49.09</v>
      </c>
      <c r="N66" s="133">
        <v>223.9</v>
      </c>
      <c r="O66" s="133">
        <v>0</v>
      </c>
      <c r="P66" s="133">
        <v>0.66</v>
      </c>
      <c r="Q66" s="133">
        <v>3.39</v>
      </c>
    </row>
    <row r="67" spans="1:17" customFormat="1">
      <c r="A67" s="111" t="s">
        <v>777</v>
      </c>
      <c r="B67" s="133">
        <v>4</v>
      </c>
      <c r="C67" s="133">
        <v>26.63</v>
      </c>
      <c r="D67" s="133">
        <v>18.48</v>
      </c>
      <c r="E67" s="133">
        <v>8.1999999999999993</v>
      </c>
      <c r="F67" s="133">
        <v>8.19</v>
      </c>
      <c r="G67" s="133">
        <v>57.34</v>
      </c>
      <c r="H67" s="133">
        <v>12.3</v>
      </c>
      <c r="I67" s="133">
        <v>3.26</v>
      </c>
      <c r="J67" s="133">
        <v>0.45</v>
      </c>
      <c r="K67" s="133">
        <v>320.8</v>
      </c>
      <c r="L67" s="133">
        <v>32.549999999999997</v>
      </c>
      <c r="M67" s="133">
        <v>50.16</v>
      </c>
      <c r="N67" s="133">
        <v>146.69999999999999</v>
      </c>
      <c r="O67" s="133">
        <v>0</v>
      </c>
      <c r="P67" s="133">
        <v>0.66</v>
      </c>
      <c r="Q67" s="133">
        <v>3.42</v>
      </c>
    </row>
    <row r="68" spans="1:17" customFormat="1">
      <c r="A68" s="111" t="s">
        <v>778</v>
      </c>
      <c r="B68" s="133">
        <v>4.2</v>
      </c>
      <c r="C68" s="133">
        <v>25.58</v>
      </c>
      <c r="D68" s="133">
        <v>18.079999999999998</v>
      </c>
      <c r="E68" s="133">
        <v>7.62</v>
      </c>
      <c r="F68" s="133">
        <v>6.53</v>
      </c>
      <c r="G68" s="133">
        <v>57.21</v>
      </c>
      <c r="H68" s="133">
        <v>12.26</v>
      </c>
      <c r="I68" s="133">
        <v>3.3</v>
      </c>
      <c r="J68" s="133">
        <v>0.61</v>
      </c>
      <c r="K68" s="133">
        <v>18.28</v>
      </c>
      <c r="L68" s="133">
        <v>32.229999999999997</v>
      </c>
      <c r="M68" s="133">
        <v>50.76</v>
      </c>
      <c r="N68" s="133">
        <v>142.5</v>
      </c>
      <c r="O68" s="133">
        <v>0</v>
      </c>
      <c r="P68" s="133">
        <v>0.66</v>
      </c>
      <c r="Q68" s="133">
        <v>3.42</v>
      </c>
    </row>
    <row r="69" spans="1:17" customFormat="1">
      <c r="A69" s="111" t="s">
        <v>779</v>
      </c>
      <c r="B69" s="133">
        <v>4.43</v>
      </c>
      <c r="C69" s="133">
        <v>27.23</v>
      </c>
      <c r="D69" s="133">
        <v>19.13</v>
      </c>
      <c r="E69" s="133">
        <v>8.52</v>
      </c>
      <c r="F69" s="133">
        <v>8.85</v>
      </c>
      <c r="G69" s="133">
        <v>56.17</v>
      </c>
      <c r="H69" s="133">
        <v>12.01</v>
      </c>
      <c r="I69" s="133">
        <v>3.71</v>
      </c>
      <c r="J69" s="133">
        <v>0.23</v>
      </c>
      <c r="K69" s="133">
        <v>344.91</v>
      </c>
      <c r="L69" s="133">
        <v>32.090000000000003</v>
      </c>
      <c r="M69" s="133">
        <v>49.01</v>
      </c>
      <c r="N69" s="133">
        <v>120.6</v>
      </c>
      <c r="O69" s="133">
        <v>0</v>
      </c>
      <c r="P69" s="133">
        <v>0.67</v>
      </c>
      <c r="Q69" s="133">
        <v>3.43</v>
      </c>
    </row>
    <row r="70" spans="1:17" customFormat="1">
      <c r="A70" s="111" t="s">
        <v>780</v>
      </c>
      <c r="B70" s="133">
        <v>4.96</v>
      </c>
      <c r="C70" s="133">
        <v>27.12</v>
      </c>
      <c r="D70" s="133">
        <v>19.5</v>
      </c>
      <c r="E70" s="133">
        <v>8.3000000000000007</v>
      </c>
      <c r="F70" s="133">
        <v>6.66</v>
      </c>
      <c r="G70" s="133">
        <v>56.17</v>
      </c>
      <c r="H70" s="133">
        <v>12.01</v>
      </c>
      <c r="I70" s="133">
        <v>3.36</v>
      </c>
      <c r="J70" s="133">
        <v>0.53</v>
      </c>
      <c r="K70" s="133">
        <v>10.199999999999999</v>
      </c>
      <c r="L70" s="133">
        <v>31.93</v>
      </c>
      <c r="M70" s="133">
        <v>51.52</v>
      </c>
      <c r="N70" s="133">
        <v>278.5</v>
      </c>
      <c r="O70" s="133">
        <v>0</v>
      </c>
      <c r="P70" s="133">
        <v>0.68</v>
      </c>
      <c r="Q70" s="133">
        <v>3.43</v>
      </c>
    </row>
    <row r="71" spans="1:17" customFormat="1">
      <c r="A71" s="111" t="s">
        <v>781</v>
      </c>
      <c r="B71" s="133">
        <v>5.64</v>
      </c>
      <c r="C71" s="133">
        <v>28.7</v>
      </c>
      <c r="D71" s="133">
        <v>20.87</v>
      </c>
      <c r="E71" s="133">
        <v>9.94</v>
      </c>
      <c r="F71" s="133">
        <v>9.01</v>
      </c>
      <c r="G71" s="133">
        <v>56.17</v>
      </c>
      <c r="H71" s="133">
        <v>12.01</v>
      </c>
      <c r="I71" s="133">
        <v>3.92</v>
      </c>
      <c r="J71" s="133">
        <v>0.51</v>
      </c>
      <c r="K71" s="133">
        <v>24.77</v>
      </c>
      <c r="L71" s="133">
        <v>31.86</v>
      </c>
      <c r="M71" s="133">
        <v>51.92</v>
      </c>
      <c r="N71" s="133">
        <v>86.3</v>
      </c>
      <c r="O71" s="133">
        <v>0</v>
      </c>
      <c r="P71" s="133">
        <v>0.67</v>
      </c>
      <c r="Q71" s="133">
        <v>3.46</v>
      </c>
    </row>
    <row r="72" spans="1:17" customFormat="1">
      <c r="A72" s="111" t="s">
        <v>782</v>
      </c>
      <c r="B72" s="133">
        <v>5.49</v>
      </c>
      <c r="C72" s="133">
        <v>27.81</v>
      </c>
      <c r="D72" s="133">
        <v>20.28</v>
      </c>
      <c r="E72" s="133">
        <v>9.42</v>
      </c>
      <c r="F72" s="133">
        <v>9.5299999999999994</v>
      </c>
      <c r="G72" s="133">
        <v>56.3</v>
      </c>
      <c r="H72" s="133">
        <v>12.06</v>
      </c>
      <c r="I72" s="133">
        <v>3.66</v>
      </c>
      <c r="J72" s="133">
        <v>0.32</v>
      </c>
      <c r="K72" s="133">
        <v>23.98</v>
      </c>
      <c r="L72" s="133">
        <v>31.55</v>
      </c>
      <c r="M72" s="133">
        <v>52.38</v>
      </c>
      <c r="N72" s="133">
        <v>60.6</v>
      </c>
      <c r="O72" s="133">
        <v>0</v>
      </c>
      <c r="P72" s="133">
        <v>0.67</v>
      </c>
      <c r="Q72" s="133">
        <v>3.51</v>
      </c>
    </row>
    <row r="73" spans="1:17" customFormat="1">
      <c r="A73" s="111" t="s">
        <v>783</v>
      </c>
      <c r="B73" s="133">
        <v>5.54</v>
      </c>
      <c r="C73" s="133">
        <v>27.83</v>
      </c>
      <c r="D73" s="133">
        <v>20.329999999999998</v>
      </c>
      <c r="E73" s="133">
        <v>9.82</v>
      </c>
      <c r="F73" s="133">
        <v>9.49</v>
      </c>
      <c r="G73" s="133">
        <v>57.35</v>
      </c>
      <c r="H73" s="133">
        <v>12.34</v>
      </c>
      <c r="I73" s="133">
        <v>3.98</v>
      </c>
      <c r="J73" s="133">
        <v>0.22</v>
      </c>
      <c r="K73" s="133">
        <v>3.7</v>
      </c>
      <c r="L73" s="133">
        <v>31.42</v>
      </c>
      <c r="M73" s="133">
        <v>51.21</v>
      </c>
      <c r="N73" s="133">
        <v>43.7</v>
      </c>
      <c r="O73" s="133">
        <v>0</v>
      </c>
      <c r="P73" s="133">
        <v>0.68</v>
      </c>
      <c r="Q73" s="133">
        <v>3.53</v>
      </c>
    </row>
    <row r="74" spans="1:17" customFormat="1">
      <c r="A74" s="111" t="s">
        <v>784</v>
      </c>
      <c r="B74" s="133">
        <v>5.76</v>
      </c>
      <c r="C74" s="133">
        <v>29.17</v>
      </c>
      <c r="D74" s="133">
        <v>21.21</v>
      </c>
      <c r="E74" s="133">
        <v>9.32</v>
      </c>
      <c r="F74" s="133">
        <v>8.7899999999999991</v>
      </c>
      <c r="G74" s="133">
        <v>57.35</v>
      </c>
      <c r="H74" s="133">
        <v>12.34</v>
      </c>
      <c r="I74" s="133">
        <v>3.97</v>
      </c>
      <c r="J74" s="133">
        <v>0.39</v>
      </c>
      <c r="K74" s="133">
        <v>25.35</v>
      </c>
      <c r="L74" s="133">
        <v>31.11</v>
      </c>
      <c r="M74" s="133">
        <v>53.17</v>
      </c>
      <c r="N74" s="133">
        <v>33.799999999999997</v>
      </c>
      <c r="O74" s="133">
        <v>0</v>
      </c>
      <c r="P74" s="133">
        <v>0.7</v>
      </c>
      <c r="Q74" s="133">
        <v>3.54</v>
      </c>
    </row>
    <row r="75" spans="1:17" customFormat="1">
      <c r="A75" s="111" t="s">
        <v>785</v>
      </c>
      <c r="B75" s="133">
        <v>6.07</v>
      </c>
      <c r="C75" s="133">
        <v>28.85</v>
      </c>
      <c r="D75" s="133">
        <v>21.29</v>
      </c>
      <c r="E75" s="133">
        <v>9.56</v>
      </c>
      <c r="F75" s="133">
        <v>6.44</v>
      </c>
      <c r="G75" s="133">
        <v>57.35</v>
      </c>
      <c r="H75" s="133">
        <v>12.34</v>
      </c>
      <c r="I75" s="133">
        <v>3.97</v>
      </c>
      <c r="J75" s="133">
        <v>0.28000000000000003</v>
      </c>
      <c r="K75" s="133">
        <v>29.75</v>
      </c>
      <c r="L75" s="133">
        <v>31.08</v>
      </c>
      <c r="M75" s="133">
        <v>54.89</v>
      </c>
      <c r="N75" s="133">
        <v>25.3</v>
      </c>
      <c r="O75" s="133">
        <v>0</v>
      </c>
      <c r="P75" s="133">
        <v>0.7</v>
      </c>
      <c r="Q75" s="133">
        <v>3.57</v>
      </c>
    </row>
    <row r="76" spans="1:17" customFormat="1">
      <c r="A76" s="111" t="s">
        <v>786</v>
      </c>
      <c r="B76" s="133">
        <v>6.76</v>
      </c>
      <c r="C76" s="133">
        <v>31.26</v>
      </c>
      <c r="D76" s="133">
        <v>23.11</v>
      </c>
      <c r="E76" s="133">
        <v>10.119999999999999</v>
      </c>
      <c r="F76" s="133">
        <v>6.61</v>
      </c>
      <c r="G76" s="133">
        <v>57.74</v>
      </c>
      <c r="H76" s="133">
        <v>12.73</v>
      </c>
      <c r="I76" s="133">
        <v>3.99</v>
      </c>
      <c r="J76" s="133">
        <v>0.11</v>
      </c>
      <c r="K76" s="133">
        <v>26.86</v>
      </c>
      <c r="L76" s="133">
        <v>30.65</v>
      </c>
      <c r="M76" s="133">
        <v>56.79</v>
      </c>
      <c r="N76" s="133">
        <v>17.899999999999999</v>
      </c>
      <c r="O76" s="133">
        <v>0</v>
      </c>
      <c r="P76" s="133">
        <v>0.72</v>
      </c>
      <c r="Q76" s="133">
        <v>3.58</v>
      </c>
    </row>
    <row r="77" spans="1:17" customFormat="1">
      <c r="A77" s="111" t="s">
        <v>787</v>
      </c>
      <c r="B77" s="133">
        <v>6.87</v>
      </c>
      <c r="C77" s="133">
        <v>30.95</v>
      </c>
      <c r="D77" s="133">
        <v>23.03</v>
      </c>
      <c r="E77" s="133">
        <v>9.31</v>
      </c>
      <c r="F77" s="133">
        <v>5</v>
      </c>
      <c r="G77" s="133">
        <v>60.84</v>
      </c>
      <c r="H77" s="133">
        <v>14.96</v>
      </c>
      <c r="I77" s="133">
        <v>4.13</v>
      </c>
      <c r="J77" s="133">
        <v>0.08</v>
      </c>
      <c r="K77" s="133">
        <v>60.76</v>
      </c>
      <c r="L77" s="133">
        <v>30.2</v>
      </c>
      <c r="M77" s="133">
        <v>58.84</v>
      </c>
      <c r="N77" s="133">
        <v>7.5</v>
      </c>
      <c r="O77" s="133">
        <v>0</v>
      </c>
      <c r="P77" s="133">
        <v>0.74</v>
      </c>
      <c r="Q77" s="133">
        <v>3.59</v>
      </c>
    </row>
    <row r="78" spans="1:17" customFormat="1">
      <c r="A78" s="111" t="s">
        <v>788</v>
      </c>
      <c r="B78" s="133">
        <v>7.22</v>
      </c>
      <c r="C78" s="133">
        <v>30.31</v>
      </c>
      <c r="D78" s="133">
        <v>22.98</v>
      </c>
      <c r="E78" s="133">
        <v>9.49</v>
      </c>
      <c r="F78" s="133">
        <v>4.5199999999999996</v>
      </c>
      <c r="G78" s="133">
        <v>60.84</v>
      </c>
      <c r="H78" s="133">
        <v>14.96</v>
      </c>
      <c r="I78" s="133">
        <v>4.0999999999999996</v>
      </c>
      <c r="J78" s="133">
        <v>0.14000000000000001</v>
      </c>
      <c r="K78" s="133">
        <v>144.93</v>
      </c>
      <c r="L78" s="133">
        <v>29.75</v>
      </c>
      <c r="M78" s="133">
        <v>64.739999999999995</v>
      </c>
      <c r="N78" s="133">
        <v>0.8</v>
      </c>
      <c r="O78" s="133">
        <v>0</v>
      </c>
      <c r="P78" s="133">
        <v>0.74</v>
      </c>
      <c r="Q78" s="133">
        <v>3.63</v>
      </c>
    </row>
    <row r="79" spans="1:17" customFormat="1">
      <c r="A79" s="111" t="s">
        <v>789</v>
      </c>
      <c r="B79" s="133">
        <v>7.57</v>
      </c>
      <c r="C79" s="133">
        <v>30.77</v>
      </c>
      <c r="D79" s="133">
        <v>23.5</v>
      </c>
      <c r="E79" s="133">
        <v>9.4</v>
      </c>
      <c r="F79" s="133">
        <v>3.36</v>
      </c>
      <c r="G79" s="133">
        <v>60.84</v>
      </c>
      <c r="H79" s="133">
        <v>14.96</v>
      </c>
      <c r="I79" s="133">
        <v>4.22</v>
      </c>
      <c r="J79" s="133">
        <v>0.32</v>
      </c>
      <c r="K79" s="133">
        <v>164.97</v>
      </c>
      <c r="L79" s="133">
        <v>29.03</v>
      </c>
      <c r="M79" s="133">
        <v>68.59</v>
      </c>
      <c r="N79" s="133">
        <v>0</v>
      </c>
      <c r="O79" s="133">
        <v>0</v>
      </c>
      <c r="P79" s="133">
        <v>0.75</v>
      </c>
      <c r="Q79" s="133">
        <v>3.63</v>
      </c>
    </row>
    <row r="80" spans="1:17" customFormat="1">
      <c r="A80" s="111" t="s">
        <v>790</v>
      </c>
      <c r="B80" s="133">
        <v>7.87</v>
      </c>
      <c r="C80" s="133">
        <v>30.84</v>
      </c>
      <c r="D80" s="133">
        <v>23.78</v>
      </c>
      <c r="E80" s="133">
        <v>8.92</v>
      </c>
      <c r="F80" s="133">
        <v>2.99</v>
      </c>
      <c r="G80" s="133">
        <v>61.92</v>
      </c>
      <c r="H80" s="133">
        <v>15.05</v>
      </c>
      <c r="I80" s="133">
        <v>4.3</v>
      </c>
      <c r="J80" s="133">
        <v>0.27</v>
      </c>
      <c r="K80" s="133">
        <v>169.6</v>
      </c>
      <c r="L80" s="133">
        <v>28.6</v>
      </c>
      <c r="M80" s="133">
        <v>72.67</v>
      </c>
      <c r="N80" s="133">
        <v>0</v>
      </c>
      <c r="O80" s="133">
        <v>0</v>
      </c>
      <c r="P80" s="133">
        <v>0.75</v>
      </c>
      <c r="Q80" s="133">
        <v>3.66</v>
      </c>
    </row>
    <row r="81" spans="1:17" customFormat="1">
      <c r="A81" s="111" t="s">
        <v>791</v>
      </c>
      <c r="B81" s="133">
        <v>8.17</v>
      </c>
      <c r="C81" s="133">
        <v>29.62</v>
      </c>
      <c r="D81" s="133">
        <v>23.38</v>
      </c>
      <c r="E81" s="133">
        <v>5.47</v>
      </c>
      <c r="F81" s="133">
        <v>3.59</v>
      </c>
      <c r="G81" s="133">
        <v>70.55</v>
      </c>
      <c r="H81" s="133">
        <v>15.59</v>
      </c>
      <c r="I81" s="133">
        <v>4.34</v>
      </c>
      <c r="J81" s="133">
        <v>0.27</v>
      </c>
      <c r="K81" s="133">
        <v>171.82</v>
      </c>
      <c r="L81" s="133">
        <v>28.21</v>
      </c>
      <c r="M81" s="133">
        <v>77.260000000000005</v>
      </c>
      <c r="N81" s="133">
        <v>0</v>
      </c>
      <c r="O81" s="133">
        <v>0</v>
      </c>
      <c r="P81" s="133">
        <v>0.78</v>
      </c>
      <c r="Q81" s="133">
        <v>3.7</v>
      </c>
    </row>
    <row r="82" spans="1:17" customFormat="1">
      <c r="A82" s="111" t="s">
        <v>792</v>
      </c>
      <c r="B82" s="133">
        <v>8.6300000000000008</v>
      </c>
      <c r="C82" s="133">
        <v>27.23</v>
      </c>
      <c r="D82" s="133">
        <v>22.5</v>
      </c>
      <c r="E82" s="133">
        <v>6.02</v>
      </c>
      <c r="F82" s="133">
        <v>4.17</v>
      </c>
      <c r="G82" s="133">
        <v>70.55</v>
      </c>
      <c r="H82" s="133">
        <v>15.59</v>
      </c>
      <c r="I82" s="133">
        <v>4.43</v>
      </c>
      <c r="J82" s="133">
        <v>0.16</v>
      </c>
      <c r="K82" s="133">
        <v>187.02</v>
      </c>
      <c r="L82" s="133">
        <v>27.49</v>
      </c>
      <c r="M82" s="133">
        <v>81.47</v>
      </c>
      <c r="N82" s="133">
        <v>0</v>
      </c>
      <c r="O82" s="133">
        <v>0</v>
      </c>
      <c r="P82" s="133">
        <v>0.77</v>
      </c>
      <c r="Q82" s="133">
        <v>3.73</v>
      </c>
    </row>
    <row r="83" spans="1:17" customFormat="1">
      <c r="A83" s="111" t="s">
        <v>793</v>
      </c>
      <c r="B83" s="133">
        <v>9.1300000000000008</v>
      </c>
      <c r="C83" s="133">
        <v>25.44</v>
      </c>
      <c r="D83" s="133">
        <v>21.96</v>
      </c>
      <c r="E83" s="133">
        <v>5.94</v>
      </c>
      <c r="F83" s="133">
        <v>4.43</v>
      </c>
      <c r="G83" s="133">
        <v>70.55</v>
      </c>
      <c r="H83" s="133">
        <v>15.59</v>
      </c>
      <c r="I83" s="133">
        <v>4.57</v>
      </c>
      <c r="J83" s="133">
        <v>0.19</v>
      </c>
      <c r="K83" s="133">
        <v>220.84</v>
      </c>
      <c r="L83" s="133">
        <v>27.06</v>
      </c>
      <c r="M83" s="133">
        <v>77.19</v>
      </c>
      <c r="N83" s="133">
        <v>0</v>
      </c>
      <c r="O83" s="133">
        <v>0</v>
      </c>
      <c r="P83" s="133">
        <v>0.77</v>
      </c>
      <c r="Q83" s="133">
        <v>3.7</v>
      </c>
    </row>
    <row r="84" spans="1:17" customFormat="1">
      <c r="A84" s="111" t="s">
        <v>794</v>
      </c>
      <c r="B84" s="133">
        <v>9.23</v>
      </c>
      <c r="C84" s="133">
        <v>23.8</v>
      </c>
      <c r="D84" s="133">
        <v>21.19</v>
      </c>
      <c r="E84" s="133">
        <v>5.49</v>
      </c>
      <c r="F84" s="133">
        <v>5.6</v>
      </c>
      <c r="G84" s="133">
        <v>70.3</v>
      </c>
      <c r="H84" s="133">
        <v>15.6</v>
      </c>
      <c r="I84" s="133">
        <v>4.6500000000000004</v>
      </c>
      <c r="J84" s="133">
        <v>0.13</v>
      </c>
      <c r="K84" s="133">
        <v>204.17</v>
      </c>
      <c r="L84" s="133">
        <v>26.72</v>
      </c>
      <c r="M84" s="133">
        <v>80.290000000000006</v>
      </c>
      <c r="N84" s="133">
        <v>0</v>
      </c>
      <c r="O84" s="133">
        <v>0</v>
      </c>
      <c r="P84" s="133">
        <v>0.76</v>
      </c>
      <c r="Q84" s="133">
        <v>3.67</v>
      </c>
    </row>
    <row r="85" spans="1:17" customFormat="1">
      <c r="A85" s="111" t="s">
        <v>795</v>
      </c>
      <c r="B85" s="133">
        <v>9.11</v>
      </c>
      <c r="C85" s="133">
        <v>22.19</v>
      </c>
      <c r="D85" s="133">
        <v>20.25</v>
      </c>
      <c r="E85" s="133">
        <v>5.26</v>
      </c>
      <c r="F85" s="133">
        <v>7.34</v>
      </c>
      <c r="G85" s="133">
        <v>68.34</v>
      </c>
      <c r="H85" s="133">
        <v>15.7</v>
      </c>
      <c r="I85" s="133">
        <v>4.72</v>
      </c>
      <c r="J85" s="133">
        <v>0.13</v>
      </c>
      <c r="K85" s="133">
        <v>200.49</v>
      </c>
      <c r="L85" s="133">
        <v>26.56</v>
      </c>
      <c r="M85" s="133">
        <v>82.48</v>
      </c>
      <c r="N85" s="133">
        <v>0</v>
      </c>
      <c r="O85" s="133">
        <v>0</v>
      </c>
      <c r="P85" s="133">
        <v>0.75</v>
      </c>
      <c r="Q85" s="133">
        <v>3.7</v>
      </c>
    </row>
    <row r="86" spans="1:17" customFormat="1">
      <c r="A86" s="111" t="s">
        <v>796</v>
      </c>
      <c r="B86" s="133">
        <v>9.4</v>
      </c>
      <c r="C86" s="133">
        <v>21.38</v>
      </c>
      <c r="D86" s="133">
        <v>20.059999999999999</v>
      </c>
      <c r="E86" s="133">
        <v>5.83</v>
      </c>
      <c r="F86" s="133">
        <v>6.81</v>
      </c>
      <c r="G86" s="133">
        <v>68.34</v>
      </c>
      <c r="H86" s="133">
        <v>15.7</v>
      </c>
      <c r="I86" s="133">
        <v>4.7699999999999996</v>
      </c>
      <c r="J86" s="133">
        <v>0.14000000000000001</v>
      </c>
      <c r="K86" s="133">
        <v>208.69</v>
      </c>
      <c r="L86" s="133">
        <v>26.28</v>
      </c>
      <c r="M86" s="133">
        <v>85.01</v>
      </c>
      <c r="N86" s="133">
        <v>0</v>
      </c>
      <c r="O86" s="133">
        <v>0</v>
      </c>
      <c r="P86" s="133">
        <v>0.75</v>
      </c>
      <c r="Q86" s="133">
        <v>3.68</v>
      </c>
    </row>
    <row r="87" spans="1:17" customFormat="1">
      <c r="A87" s="111" t="s">
        <v>797</v>
      </c>
      <c r="B87" s="133">
        <v>9.48</v>
      </c>
      <c r="C87" s="133">
        <v>20.85</v>
      </c>
      <c r="D87" s="133">
        <v>19.850000000000001</v>
      </c>
      <c r="E87" s="133">
        <v>4.99</v>
      </c>
      <c r="F87" s="133">
        <v>5.68</v>
      </c>
      <c r="G87" s="133">
        <v>68.34</v>
      </c>
      <c r="H87" s="133">
        <v>15.7</v>
      </c>
      <c r="I87" s="133">
        <v>4.8</v>
      </c>
      <c r="J87" s="133">
        <v>0.13</v>
      </c>
      <c r="K87" s="133">
        <v>182.43</v>
      </c>
      <c r="L87" s="133">
        <v>26.12</v>
      </c>
      <c r="M87" s="133">
        <v>88.31</v>
      </c>
      <c r="N87" s="133">
        <v>0</v>
      </c>
      <c r="O87" s="133">
        <v>0</v>
      </c>
      <c r="P87" s="133">
        <v>0.77</v>
      </c>
      <c r="Q87" s="133">
        <v>3.67</v>
      </c>
    </row>
    <row r="88" spans="1:17" customFormat="1">
      <c r="A88" s="111" t="s">
        <v>798</v>
      </c>
      <c r="B88" s="133">
        <v>10.09</v>
      </c>
      <c r="C88" s="133">
        <v>21.86</v>
      </c>
      <c r="D88" s="133">
        <v>20.86</v>
      </c>
      <c r="E88" s="133">
        <v>5.48</v>
      </c>
      <c r="F88" s="133">
        <v>5.38</v>
      </c>
      <c r="G88" s="133">
        <v>68.16</v>
      </c>
      <c r="H88" s="133">
        <v>15.83</v>
      </c>
      <c r="I88" s="133">
        <v>5.05</v>
      </c>
      <c r="J88" s="133">
        <v>0.16</v>
      </c>
      <c r="K88" s="133">
        <v>186.8</v>
      </c>
      <c r="L88" s="133">
        <v>26.19</v>
      </c>
      <c r="M88" s="133">
        <v>84.23</v>
      </c>
      <c r="N88" s="133">
        <v>0</v>
      </c>
      <c r="O88" s="133">
        <v>0</v>
      </c>
      <c r="P88" s="133">
        <v>0.81</v>
      </c>
      <c r="Q88" s="133">
        <v>3.67</v>
      </c>
    </row>
    <row r="89" spans="1:17" customFormat="1">
      <c r="A89" s="111" t="s">
        <v>799</v>
      </c>
      <c r="B89" s="133">
        <v>11.03</v>
      </c>
      <c r="C89" s="133">
        <v>24.5</v>
      </c>
      <c r="D89" s="133">
        <v>22.99</v>
      </c>
      <c r="E89" s="133">
        <v>5.22</v>
      </c>
      <c r="F89" s="133">
        <v>3.5</v>
      </c>
      <c r="G89" s="133">
        <v>66.69</v>
      </c>
      <c r="H89" s="133">
        <v>16.66</v>
      </c>
      <c r="I89" s="133">
        <v>5.19</v>
      </c>
      <c r="J89" s="133">
        <v>0.23</v>
      </c>
      <c r="K89" s="133">
        <v>214.11</v>
      </c>
      <c r="L89" s="133">
        <v>25.9</v>
      </c>
      <c r="M89" s="133">
        <v>88.31</v>
      </c>
      <c r="N89" s="133">
        <v>0</v>
      </c>
      <c r="O89" s="133">
        <v>0</v>
      </c>
      <c r="P89" s="133">
        <v>0.77</v>
      </c>
      <c r="Q89" s="133">
        <v>3.67</v>
      </c>
    </row>
    <row r="90" spans="1:17" customFormat="1">
      <c r="A90" s="111" t="s">
        <v>800</v>
      </c>
      <c r="B90" s="133">
        <v>11.49</v>
      </c>
      <c r="C90" s="133">
        <v>24.73</v>
      </c>
      <c r="D90" s="133">
        <v>23.48</v>
      </c>
      <c r="E90" s="133">
        <v>5.58</v>
      </c>
      <c r="F90" s="133">
        <v>2.88</v>
      </c>
      <c r="G90" s="133">
        <v>66.69</v>
      </c>
      <c r="H90" s="133">
        <v>16.66</v>
      </c>
      <c r="I90" s="133">
        <v>5.67</v>
      </c>
      <c r="J90" s="133">
        <v>0.18</v>
      </c>
      <c r="K90" s="133">
        <v>201.39</v>
      </c>
      <c r="L90" s="133">
        <v>25.51</v>
      </c>
      <c r="M90" s="133">
        <v>87.53</v>
      </c>
      <c r="N90" s="133">
        <v>0</v>
      </c>
      <c r="O90" s="133">
        <v>0</v>
      </c>
      <c r="P90" s="133">
        <v>0.8</v>
      </c>
      <c r="Q90" s="133">
        <v>3.74</v>
      </c>
    </row>
    <row r="91" spans="1:17" customFormat="1">
      <c r="A91" s="111" t="s">
        <v>801</v>
      </c>
      <c r="B91" s="133">
        <v>11.81</v>
      </c>
      <c r="C91" s="133">
        <v>23.12</v>
      </c>
      <c r="D91" s="133">
        <v>22.9</v>
      </c>
      <c r="E91" s="133">
        <v>5.22</v>
      </c>
      <c r="F91" s="133">
        <v>3.17</v>
      </c>
      <c r="G91" s="133">
        <v>66.69</v>
      </c>
      <c r="H91" s="133">
        <v>16.66</v>
      </c>
      <c r="I91" s="133">
        <v>5.26</v>
      </c>
      <c r="J91" s="133">
        <v>0.14000000000000001</v>
      </c>
      <c r="K91" s="133">
        <v>169.91</v>
      </c>
      <c r="L91" s="133">
        <v>25.4</v>
      </c>
      <c r="M91" s="133">
        <v>87.95</v>
      </c>
      <c r="N91" s="133">
        <v>0</v>
      </c>
      <c r="O91" s="133">
        <v>0</v>
      </c>
      <c r="P91" s="133">
        <v>0.81</v>
      </c>
      <c r="Q91" s="133">
        <v>3.79</v>
      </c>
    </row>
    <row r="92" spans="1:17" customFormat="1">
      <c r="A92" s="111" t="s">
        <v>802</v>
      </c>
      <c r="B92" s="133">
        <v>11.93</v>
      </c>
      <c r="C92" s="133">
        <v>22.39</v>
      </c>
      <c r="D92" s="133">
        <v>22.62</v>
      </c>
      <c r="E92" s="133">
        <v>5.23</v>
      </c>
      <c r="F92" s="133">
        <v>3.25</v>
      </c>
      <c r="G92" s="133">
        <v>66.53</v>
      </c>
      <c r="H92" s="133">
        <v>16.86</v>
      </c>
      <c r="I92" s="133">
        <v>5.36</v>
      </c>
      <c r="J92" s="133">
        <v>0.17</v>
      </c>
      <c r="K92" s="133">
        <v>219.14</v>
      </c>
      <c r="L92" s="133">
        <v>25.29</v>
      </c>
      <c r="M92" s="133">
        <v>89.51</v>
      </c>
      <c r="N92" s="133">
        <v>0</v>
      </c>
      <c r="O92" s="133">
        <v>0</v>
      </c>
      <c r="P92" s="133">
        <v>0.84</v>
      </c>
      <c r="Q92" s="133">
        <v>3.78</v>
      </c>
    </row>
    <row r="93" spans="1:17" customFormat="1">
      <c r="A93" s="111" t="s">
        <v>803</v>
      </c>
      <c r="B93" s="133">
        <v>12.01</v>
      </c>
      <c r="C93" s="133">
        <v>22.02</v>
      </c>
      <c r="D93" s="133">
        <v>22.48</v>
      </c>
      <c r="E93" s="133">
        <v>4.84</v>
      </c>
      <c r="F93" s="133">
        <v>3.44</v>
      </c>
      <c r="G93" s="133">
        <v>65.290000000000006</v>
      </c>
      <c r="H93" s="133">
        <v>17.95</v>
      </c>
      <c r="I93" s="133">
        <v>5.64</v>
      </c>
      <c r="J93" s="133">
        <v>0.12</v>
      </c>
      <c r="K93" s="133">
        <v>197.42</v>
      </c>
      <c r="L93" s="133">
        <v>25.08</v>
      </c>
      <c r="M93" s="133">
        <v>86.26</v>
      </c>
      <c r="N93" s="133">
        <v>0</v>
      </c>
      <c r="O93" s="133">
        <v>0</v>
      </c>
      <c r="P93" s="133">
        <v>0.84</v>
      </c>
      <c r="Q93" s="133">
        <v>3.8</v>
      </c>
    </row>
    <row r="94" spans="1:17" customFormat="1">
      <c r="A94" s="111" t="s">
        <v>804</v>
      </c>
      <c r="B94" s="133">
        <v>12.6</v>
      </c>
      <c r="C94" s="133">
        <v>24</v>
      </c>
      <c r="D94" s="133">
        <v>24</v>
      </c>
      <c r="E94" s="133">
        <v>4.8600000000000003</v>
      </c>
      <c r="F94" s="133">
        <v>2.69</v>
      </c>
      <c r="G94" s="133">
        <v>65.290000000000006</v>
      </c>
      <c r="H94" s="133">
        <v>17.95</v>
      </c>
      <c r="I94" s="133">
        <v>5.94</v>
      </c>
      <c r="J94" s="133">
        <v>0.08</v>
      </c>
      <c r="K94" s="133">
        <v>231.49</v>
      </c>
      <c r="L94" s="133">
        <v>25.1</v>
      </c>
      <c r="M94" s="133">
        <v>83.37</v>
      </c>
      <c r="N94" s="133">
        <v>0</v>
      </c>
      <c r="O94" s="133">
        <v>0</v>
      </c>
      <c r="P94" s="133">
        <v>0.86</v>
      </c>
      <c r="Q94" s="133">
        <v>3.78</v>
      </c>
    </row>
    <row r="95" spans="1:17" customFormat="1">
      <c r="A95" s="111" t="s">
        <v>805</v>
      </c>
      <c r="B95" s="133">
        <v>13.04</v>
      </c>
      <c r="C95" s="133">
        <v>23.97</v>
      </c>
      <c r="D95" s="133">
        <v>24.33</v>
      </c>
      <c r="E95" s="133">
        <v>5.12</v>
      </c>
      <c r="F95" s="133">
        <v>2.67</v>
      </c>
      <c r="G95" s="133">
        <v>65.290000000000006</v>
      </c>
      <c r="H95" s="133">
        <v>17.95</v>
      </c>
      <c r="I95" s="133">
        <v>5.95</v>
      </c>
      <c r="J95" s="133">
        <v>0.1</v>
      </c>
      <c r="K95" s="133">
        <v>172.46</v>
      </c>
      <c r="L95" s="133">
        <v>25.06</v>
      </c>
      <c r="M95" s="133">
        <v>84.78</v>
      </c>
      <c r="N95" s="133">
        <v>0</v>
      </c>
      <c r="O95" s="133">
        <v>0</v>
      </c>
      <c r="P95" s="133">
        <v>0.87</v>
      </c>
      <c r="Q95" s="133">
        <v>3.85</v>
      </c>
    </row>
    <row r="96" spans="1:17" customFormat="1">
      <c r="A96" s="111" t="s">
        <v>806</v>
      </c>
      <c r="B96" s="133">
        <v>13.16</v>
      </c>
      <c r="C96" s="133">
        <v>22.49</v>
      </c>
      <c r="D96" s="133">
        <v>23.65</v>
      </c>
      <c r="E96" s="133">
        <v>5.0999999999999996</v>
      </c>
      <c r="F96" s="133">
        <v>3.46</v>
      </c>
      <c r="G96" s="133">
        <v>65.34</v>
      </c>
      <c r="H96" s="133">
        <v>18.149999999999999</v>
      </c>
      <c r="I96" s="133">
        <v>5.97</v>
      </c>
      <c r="J96" s="133">
        <v>7.0000000000000007E-2</v>
      </c>
      <c r="K96" s="133">
        <v>193.6</v>
      </c>
      <c r="L96" s="133">
        <v>24.84</v>
      </c>
      <c r="M96" s="133">
        <v>89.39</v>
      </c>
      <c r="N96" s="133">
        <v>0</v>
      </c>
      <c r="O96" s="133">
        <v>0</v>
      </c>
      <c r="P96" s="133">
        <v>0.87</v>
      </c>
      <c r="Q96" s="133">
        <v>3.87</v>
      </c>
    </row>
    <row r="97" spans="1:22" customFormat="1">
      <c r="A97" s="111" t="s">
        <v>807</v>
      </c>
      <c r="B97" s="133">
        <v>13.33</v>
      </c>
      <c r="C97" s="133">
        <v>22.76</v>
      </c>
      <c r="D97" s="133">
        <v>23.94</v>
      </c>
      <c r="E97" s="133">
        <v>5.22</v>
      </c>
      <c r="F97" s="133">
        <v>3.22</v>
      </c>
      <c r="G97" s="133">
        <v>65.75</v>
      </c>
      <c r="H97" s="133">
        <v>19.260000000000002</v>
      </c>
      <c r="I97" s="133">
        <v>6.03</v>
      </c>
      <c r="J97" s="133">
        <v>0.1</v>
      </c>
      <c r="K97" s="133">
        <v>207.49</v>
      </c>
      <c r="L97" s="133">
        <v>24.77</v>
      </c>
      <c r="M97" s="133">
        <v>86.96</v>
      </c>
      <c r="N97" s="133">
        <v>0</v>
      </c>
      <c r="O97" s="133">
        <v>0</v>
      </c>
      <c r="P97" s="133">
        <v>0.88</v>
      </c>
      <c r="Q97" s="133">
        <v>3.84</v>
      </c>
    </row>
    <row r="98" spans="1:22" customFormat="1">
      <c r="A98" s="111" t="s">
        <v>808</v>
      </c>
      <c r="B98" s="133">
        <v>13.79</v>
      </c>
      <c r="C98" s="133">
        <v>24.13</v>
      </c>
      <c r="D98" s="133">
        <v>25.02</v>
      </c>
      <c r="E98" s="133">
        <v>5.76</v>
      </c>
      <c r="F98" s="133">
        <v>2.64</v>
      </c>
      <c r="G98" s="133">
        <v>65.75</v>
      </c>
      <c r="H98" s="133">
        <v>19.260000000000002</v>
      </c>
      <c r="I98" s="133">
        <v>6.18</v>
      </c>
      <c r="J98" s="133">
        <v>0.15</v>
      </c>
      <c r="K98" s="133">
        <v>182.8</v>
      </c>
      <c r="L98" s="133">
        <v>24.79</v>
      </c>
      <c r="M98" s="133">
        <v>84.95</v>
      </c>
      <c r="N98" s="133">
        <v>0</v>
      </c>
      <c r="O98" s="133">
        <v>0</v>
      </c>
      <c r="P98" s="133">
        <v>0.9</v>
      </c>
      <c r="Q98" s="133">
        <v>3.87</v>
      </c>
    </row>
    <row r="99" spans="1:22" customFormat="1">
      <c r="A99" s="111" t="s">
        <v>809</v>
      </c>
      <c r="B99" s="133">
        <v>14.08</v>
      </c>
      <c r="C99" s="133">
        <v>23.27</v>
      </c>
      <c r="D99" s="133">
        <v>24.8</v>
      </c>
      <c r="E99" s="133">
        <v>5.42</v>
      </c>
      <c r="F99" s="133">
        <v>3.03</v>
      </c>
      <c r="G99" s="133">
        <v>65.75</v>
      </c>
      <c r="H99" s="133">
        <v>19.260000000000002</v>
      </c>
      <c r="I99" s="133">
        <v>6.2</v>
      </c>
      <c r="J99" s="133">
        <v>0.17</v>
      </c>
      <c r="K99" s="133">
        <v>170.56</v>
      </c>
      <c r="L99" s="133">
        <v>24.99</v>
      </c>
      <c r="M99" s="133">
        <v>84.35</v>
      </c>
      <c r="N99" s="133">
        <v>0</v>
      </c>
      <c r="O99" s="133">
        <v>0</v>
      </c>
      <c r="P99" s="133">
        <v>0.89</v>
      </c>
      <c r="Q99" s="133">
        <v>3.93</v>
      </c>
    </row>
    <row r="100" spans="1:22" customFormat="1">
      <c r="A100" s="111" t="s">
        <v>810</v>
      </c>
      <c r="B100" s="133">
        <v>14.27</v>
      </c>
      <c r="C100" s="133">
        <v>23.95</v>
      </c>
      <c r="D100" s="133">
        <v>25.31</v>
      </c>
      <c r="E100" s="133">
        <v>5.24</v>
      </c>
      <c r="F100" s="133">
        <v>3.01</v>
      </c>
      <c r="G100" s="133">
        <v>65.63</v>
      </c>
      <c r="H100" s="133">
        <v>19.38</v>
      </c>
      <c r="I100" s="133">
        <v>6.31</v>
      </c>
      <c r="J100" s="133">
        <v>0.2</v>
      </c>
      <c r="K100" s="133">
        <v>184.78</v>
      </c>
      <c r="L100" s="133">
        <v>24.91</v>
      </c>
      <c r="M100" s="133">
        <v>87.64</v>
      </c>
      <c r="N100" s="133">
        <v>0</v>
      </c>
      <c r="O100" s="133">
        <v>0</v>
      </c>
      <c r="P100" s="133">
        <v>0.91</v>
      </c>
      <c r="Q100" s="133">
        <v>3.91</v>
      </c>
    </row>
    <row r="101" spans="1:22" customFormat="1">
      <c r="A101" s="111" t="s">
        <v>811</v>
      </c>
      <c r="B101" s="133">
        <v>14.25</v>
      </c>
      <c r="C101" s="133">
        <v>25.11</v>
      </c>
      <c r="D101" s="133">
        <v>25.9</v>
      </c>
      <c r="E101" s="133">
        <v>5.6</v>
      </c>
      <c r="F101" s="133">
        <v>3.02</v>
      </c>
      <c r="G101" s="133">
        <v>64.680000000000007</v>
      </c>
      <c r="H101" s="133">
        <v>20.07</v>
      </c>
      <c r="I101" s="133">
        <v>6.39</v>
      </c>
      <c r="J101" s="133">
        <v>0.17</v>
      </c>
      <c r="K101" s="133">
        <v>211.11</v>
      </c>
      <c r="L101" s="133">
        <v>25.31</v>
      </c>
      <c r="M101" s="133">
        <v>78.09</v>
      </c>
      <c r="N101" s="133">
        <v>0</v>
      </c>
      <c r="O101" s="133">
        <v>0</v>
      </c>
      <c r="P101" s="133">
        <v>0.93</v>
      </c>
      <c r="Q101" s="133">
        <v>3.91</v>
      </c>
    </row>
    <row r="102" spans="1:22" customFormat="1">
      <c r="A102" s="111" t="s">
        <v>812</v>
      </c>
      <c r="B102" s="133">
        <v>14.24</v>
      </c>
      <c r="C102" s="133">
        <v>25.94</v>
      </c>
      <c r="D102" s="133">
        <v>26.33</v>
      </c>
      <c r="E102" s="133">
        <v>5.69</v>
      </c>
      <c r="F102" s="133">
        <v>2.93</v>
      </c>
      <c r="G102" s="133">
        <v>64.680000000000007</v>
      </c>
      <c r="H102" s="133">
        <v>20.07</v>
      </c>
      <c r="I102" s="133">
        <v>6.51</v>
      </c>
      <c r="J102" s="133">
        <v>0.21</v>
      </c>
      <c r="K102" s="133">
        <v>173.47</v>
      </c>
      <c r="L102" s="133">
        <v>25.55</v>
      </c>
      <c r="M102" s="133">
        <v>75.69</v>
      </c>
      <c r="N102" s="133">
        <v>0</v>
      </c>
      <c r="O102" s="133">
        <v>0</v>
      </c>
      <c r="P102" s="133">
        <v>0.94</v>
      </c>
      <c r="Q102" s="133">
        <v>3.88</v>
      </c>
    </row>
    <row r="103" spans="1:22" customFormat="1">
      <c r="A103" s="111" t="s">
        <v>813</v>
      </c>
      <c r="B103" s="133">
        <v>14.18</v>
      </c>
      <c r="C103" s="133">
        <v>26.78</v>
      </c>
      <c r="D103" s="133">
        <v>26.72</v>
      </c>
      <c r="E103" s="133">
        <v>5.21</v>
      </c>
      <c r="F103" s="133">
        <v>2.92</v>
      </c>
      <c r="G103" s="133">
        <v>64.680000000000007</v>
      </c>
      <c r="H103" s="133">
        <v>20.07</v>
      </c>
      <c r="I103" s="133">
        <v>6.59</v>
      </c>
      <c r="J103" s="133">
        <v>0.17</v>
      </c>
      <c r="K103" s="133">
        <v>189.95</v>
      </c>
      <c r="L103" s="133">
        <v>25.23</v>
      </c>
      <c r="M103" s="133">
        <v>79.14</v>
      </c>
      <c r="N103" s="133">
        <v>0</v>
      </c>
      <c r="O103" s="133">
        <v>0</v>
      </c>
      <c r="P103" s="133">
        <v>0.94</v>
      </c>
      <c r="Q103" s="133">
        <v>3.91</v>
      </c>
    </row>
    <row r="104" spans="1:22" customFormat="1">
      <c r="A104" s="111" t="s">
        <v>814</v>
      </c>
      <c r="B104" s="133">
        <v>13.99</v>
      </c>
      <c r="C104" s="133">
        <v>27.2</v>
      </c>
      <c r="D104" s="133">
        <v>26.79</v>
      </c>
      <c r="E104" s="133">
        <v>5.28</v>
      </c>
      <c r="F104" s="133">
        <v>2.86</v>
      </c>
      <c r="G104" s="133">
        <v>64.78</v>
      </c>
      <c r="H104" s="133">
        <v>20.46</v>
      </c>
      <c r="I104" s="133">
        <v>6.64</v>
      </c>
      <c r="J104" s="133">
        <v>0.2</v>
      </c>
      <c r="K104" s="133">
        <v>183.99</v>
      </c>
      <c r="L104" s="133">
        <v>24.83</v>
      </c>
      <c r="M104" s="133">
        <v>82.79</v>
      </c>
      <c r="N104" s="133">
        <v>0</v>
      </c>
      <c r="O104" s="133">
        <v>0</v>
      </c>
      <c r="P104" s="133">
        <v>0.94</v>
      </c>
      <c r="Q104" s="133">
        <v>3.93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2.4700000000000002</v>
      </c>
      <c r="C106" s="183">
        <f>MIN(C9:C104)</f>
        <v>20.76</v>
      </c>
      <c r="D106" s="183">
        <f t="shared" ref="D106:Q106" si="0">MIN(D9:D104)</f>
        <v>14.4</v>
      </c>
      <c r="E106" s="183">
        <f t="shared" si="0"/>
        <v>4.84</v>
      </c>
      <c r="F106" s="183">
        <f t="shared" si="0"/>
        <v>2.38</v>
      </c>
      <c r="G106" s="183">
        <f t="shared" si="0"/>
        <v>45.28</v>
      </c>
      <c r="H106" s="183">
        <f t="shared" si="0"/>
        <v>10.64</v>
      </c>
      <c r="I106" s="183">
        <f t="shared" si="0"/>
        <v>2.92</v>
      </c>
      <c r="J106" s="183">
        <f t="shared" si="0"/>
        <v>7.0000000000000007E-2</v>
      </c>
      <c r="K106" s="183">
        <f t="shared" si="0"/>
        <v>3.7</v>
      </c>
      <c r="L106" s="183">
        <f t="shared" si="0"/>
        <v>22.38</v>
      </c>
      <c r="M106" s="183">
        <f t="shared" si="0"/>
        <v>48.98</v>
      </c>
      <c r="N106" s="183">
        <f t="shared" si="0"/>
        <v>0</v>
      </c>
      <c r="O106" s="183">
        <f t="shared" si="0"/>
        <v>0</v>
      </c>
      <c r="P106" s="183">
        <f t="shared" si="0"/>
        <v>0.57999999999999996</v>
      </c>
      <c r="Q106" s="183">
        <f t="shared" si="0"/>
        <v>3.25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14.75</v>
      </c>
      <c r="C107" s="184">
        <f t="shared" ref="C107:Q107" si="1">MAX(C9:C104)</f>
        <v>31.26</v>
      </c>
      <c r="D107" s="184">
        <f t="shared" si="1"/>
        <v>26.79</v>
      </c>
      <c r="E107" s="184">
        <f t="shared" si="1"/>
        <v>15.57</v>
      </c>
      <c r="F107" s="184">
        <f t="shared" si="1"/>
        <v>30.66</v>
      </c>
      <c r="G107" s="184">
        <f t="shared" si="1"/>
        <v>92.22</v>
      </c>
      <c r="H107" s="184">
        <f t="shared" si="1"/>
        <v>35.380000000000003</v>
      </c>
      <c r="I107" s="184">
        <f t="shared" si="1"/>
        <v>7.93</v>
      </c>
      <c r="J107" s="184">
        <f t="shared" si="1"/>
        <v>0.61</v>
      </c>
      <c r="K107" s="184">
        <f t="shared" si="1"/>
        <v>357.16</v>
      </c>
      <c r="L107" s="184">
        <f t="shared" si="1"/>
        <v>33.57</v>
      </c>
      <c r="M107" s="184">
        <f t="shared" si="1"/>
        <v>95.39</v>
      </c>
      <c r="N107" s="184">
        <f t="shared" si="1"/>
        <v>763.4</v>
      </c>
      <c r="O107" s="184">
        <f t="shared" si="1"/>
        <v>0</v>
      </c>
      <c r="P107" s="184">
        <f t="shared" si="1"/>
        <v>0.94</v>
      </c>
      <c r="Q107" s="184">
        <f t="shared" si="1"/>
        <v>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10.324062500000002</v>
      </c>
      <c r="C108" s="183">
        <f t="shared" ref="C108:Q108" si="2">AVERAGE(C9:C104)</f>
        <v>25.351666666666659</v>
      </c>
      <c r="D108" s="183">
        <f t="shared" si="2"/>
        <v>22.876562499999991</v>
      </c>
      <c r="E108" s="183">
        <f t="shared" si="2"/>
        <v>8.1046875000000043</v>
      </c>
      <c r="F108" s="183">
        <f t="shared" si="2"/>
        <v>6.218333333333331</v>
      </c>
      <c r="G108" s="183">
        <f t="shared" si="2"/>
        <v>60.290666666666667</v>
      </c>
      <c r="H108" s="183">
        <f t="shared" si="2"/>
        <v>16.560111111111109</v>
      </c>
      <c r="I108" s="183">
        <f t="shared" si="2"/>
        <v>5.9603125000000015</v>
      </c>
      <c r="J108" s="183">
        <f t="shared" si="2"/>
        <v>0.21177083333333338</v>
      </c>
      <c r="K108" s="183">
        <f t="shared" si="2"/>
        <v>189.85218749999999</v>
      </c>
      <c r="L108" s="183">
        <f t="shared" si="2"/>
        <v>27.359374999999996</v>
      </c>
      <c r="M108" s="183">
        <f t="shared" si="2"/>
        <v>75.434375000000031</v>
      </c>
      <c r="N108" s="183">
        <f t="shared" si="2"/>
        <v>153.90208333333334</v>
      </c>
      <c r="O108" s="183">
        <f t="shared" si="2"/>
        <v>0</v>
      </c>
      <c r="P108" s="183">
        <f t="shared" si="2"/>
        <v>0.77083333333333381</v>
      </c>
      <c r="Q108" s="183">
        <f t="shared" si="2"/>
        <v>3.7379166666666683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3.9151569379380118</v>
      </c>
      <c r="C109" s="183">
        <f t="shared" ref="C109:Q109" si="3">STDEV(C9:C104)</f>
        <v>2.365707490334497</v>
      </c>
      <c r="D109" s="183">
        <f t="shared" si="3"/>
        <v>3.3477567754590845</v>
      </c>
      <c r="E109" s="183">
        <f t="shared" si="3"/>
        <v>2.2883793176210374</v>
      </c>
      <c r="F109" s="183">
        <f t="shared" si="3"/>
        <v>6.7538177377752611</v>
      </c>
      <c r="G109" s="183">
        <f t="shared" si="3"/>
        <v>9.3315604148117064</v>
      </c>
      <c r="H109" s="183">
        <f t="shared" si="3"/>
        <v>4.7297926159360015</v>
      </c>
      <c r="I109" s="183">
        <f t="shared" si="3"/>
        <v>1.5321614956277243</v>
      </c>
      <c r="J109" s="183">
        <f t="shared" si="3"/>
        <v>0.12034157344095836</v>
      </c>
      <c r="K109" s="183">
        <f t="shared" si="3"/>
        <v>96.955715992331008</v>
      </c>
      <c r="L109" s="183">
        <f t="shared" si="3"/>
        <v>3.8657363464157855</v>
      </c>
      <c r="M109" s="183">
        <f t="shared" si="3"/>
        <v>16.363250469300063</v>
      </c>
      <c r="N109" s="183">
        <f t="shared" si="3"/>
        <v>233.59243678237925</v>
      </c>
      <c r="O109" s="183">
        <f t="shared" si="3"/>
        <v>0</v>
      </c>
      <c r="P109" s="183">
        <f t="shared" si="3"/>
        <v>7.5890040490261476E-2</v>
      </c>
      <c r="Q109" s="183">
        <f t="shared" si="3"/>
        <v>0.22392628799703526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07/10/2023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815</v>
      </c>
      <c r="B9" s="133">
        <v>13.51</v>
      </c>
      <c r="C9" s="133">
        <v>27.93</v>
      </c>
      <c r="D9" s="133">
        <v>26.77</v>
      </c>
      <c r="E9" s="133">
        <v>5.28</v>
      </c>
      <c r="F9" s="133">
        <v>2.76</v>
      </c>
      <c r="G9" s="133">
        <v>65.650000000000006</v>
      </c>
      <c r="H9" s="133">
        <v>22.89</v>
      </c>
      <c r="I9" s="133">
        <v>6.63</v>
      </c>
      <c r="J9" s="133">
        <v>0.15</v>
      </c>
      <c r="K9" s="133">
        <v>227.73</v>
      </c>
      <c r="L9" s="133">
        <v>24.33</v>
      </c>
      <c r="M9" s="133">
        <v>86.57</v>
      </c>
      <c r="N9" s="133">
        <v>0</v>
      </c>
      <c r="O9" s="133">
        <v>0</v>
      </c>
      <c r="P9" s="133">
        <v>0.92</v>
      </c>
      <c r="Q9" s="133">
        <v>3.95</v>
      </c>
    </row>
    <row r="10" spans="1:21" customFormat="1">
      <c r="A10" s="111" t="s">
        <v>816</v>
      </c>
      <c r="B10" s="133">
        <v>13.69</v>
      </c>
      <c r="C10" s="133">
        <v>27.53</v>
      </c>
      <c r="D10" s="133">
        <v>26.72</v>
      </c>
      <c r="E10" s="133">
        <v>5.5</v>
      </c>
      <c r="F10" s="133">
        <v>2.61</v>
      </c>
      <c r="G10" s="133">
        <v>65.650000000000006</v>
      </c>
      <c r="H10" s="133">
        <v>22.89</v>
      </c>
      <c r="I10" s="133">
        <v>6.66</v>
      </c>
      <c r="J10" s="133">
        <v>0.16</v>
      </c>
      <c r="K10" s="133">
        <v>203.12</v>
      </c>
      <c r="L10" s="133">
        <v>24.12</v>
      </c>
      <c r="M10" s="133">
        <v>85.22</v>
      </c>
      <c r="N10" s="133">
        <v>0</v>
      </c>
      <c r="O10" s="133">
        <v>0</v>
      </c>
      <c r="P10" s="133">
        <v>0.93</v>
      </c>
      <c r="Q10" s="133">
        <v>3.95</v>
      </c>
    </row>
    <row r="11" spans="1:21" customFormat="1">
      <c r="A11" s="111" t="s">
        <v>817</v>
      </c>
      <c r="B11" s="133">
        <v>13.65</v>
      </c>
      <c r="C11" s="133">
        <v>27.49</v>
      </c>
      <c r="D11" s="133">
        <v>26.66</v>
      </c>
      <c r="E11" s="133">
        <v>5.53</v>
      </c>
      <c r="F11" s="133">
        <v>2.58</v>
      </c>
      <c r="G11" s="133">
        <v>65.650000000000006</v>
      </c>
      <c r="H11" s="133">
        <v>22.89</v>
      </c>
      <c r="I11" s="133">
        <v>6.66</v>
      </c>
      <c r="J11" s="133">
        <v>0.13</v>
      </c>
      <c r="K11" s="133">
        <v>218.17</v>
      </c>
      <c r="L11" s="133">
        <v>23.9</v>
      </c>
      <c r="M11" s="133">
        <v>86.7</v>
      </c>
      <c r="N11" s="133">
        <v>0</v>
      </c>
      <c r="O11" s="133">
        <v>0</v>
      </c>
      <c r="P11" s="133">
        <v>0.93</v>
      </c>
      <c r="Q11" s="133">
        <v>3.96</v>
      </c>
    </row>
    <row r="12" spans="1:21" customFormat="1">
      <c r="A12" s="111" t="s">
        <v>818</v>
      </c>
      <c r="B12" s="133">
        <v>13.6</v>
      </c>
      <c r="C12" s="133">
        <v>27.45</v>
      </c>
      <c r="D12" s="133">
        <v>26.61</v>
      </c>
      <c r="E12" s="133">
        <v>5.32</v>
      </c>
      <c r="F12" s="133">
        <v>2.4900000000000002</v>
      </c>
      <c r="G12" s="133">
        <v>64.569999999999993</v>
      </c>
      <c r="H12" s="133">
        <v>22.49</v>
      </c>
      <c r="I12" s="133">
        <v>6.67</v>
      </c>
      <c r="J12" s="133">
        <v>0.12</v>
      </c>
      <c r="K12" s="133">
        <v>184.39</v>
      </c>
      <c r="L12" s="133">
        <v>23.62</v>
      </c>
      <c r="M12" s="133">
        <v>88.19</v>
      </c>
      <c r="N12" s="133">
        <v>0</v>
      </c>
      <c r="O12" s="133">
        <v>0</v>
      </c>
      <c r="P12" s="133">
        <v>0.93</v>
      </c>
      <c r="Q12" s="133">
        <v>3.95</v>
      </c>
    </row>
    <row r="13" spans="1:21" customFormat="1">
      <c r="A13" s="111" t="s">
        <v>819</v>
      </c>
      <c r="B13" s="133">
        <v>13.52</v>
      </c>
      <c r="C13" s="133">
        <v>27.46</v>
      </c>
      <c r="D13" s="133">
        <v>26.54</v>
      </c>
      <c r="E13" s="133">
        <v>5.59</v>
      </c>
      <c r="F13" s="133">
        <v>2.62</v>
      </c>
      <c r="G13" s="133">
        <v>55.93</v>
      </c>
      <c r="H13" s="133">
        <v>20.22</v>
      </c>
      <c r="I13" s="133">
        <v>6.72</v>
      </c>
      <c r="J13" s="133">
        <v>0.13</v>
      </c>
      <c r="K13" s="133">
        <v>184.84</v>
      </c>
      <c r="L13" s="133">
        <v>23.56</v>
      </c>
      <c r="M13" s="133">
        <v>90.11</v>
      </c>
      <c r="N13" s="133">
        <v>0</v>
      </c>
      <c r="O13" s="133">
        <v>0</v>
      </c>
      <c r="P13" s="133">
        <v>0.92</v>
      </c>
      <c r="Q13" s="133">
        <v>3.95</v>
      </c>
    </row>
    <row r="14" spans="1:21" customFormat="1">
      <c r="A14" s="111" t="s">
        <v>820</v>
      </c>
      <c r="B14" s="133">
        <v>13.56</v>
      </c>
      <c r="C14" s="133">
        <v>27.46</v>
      </c>
      <c r="D14" s="133">
        <v>26.58</v>
      </c>
      <c r="E14" s="133">
        <v>5.52</v>
      </c>
      <c r="F14" s="133">
        <v>2.5099999999999998</v>
      </c>
      <c r="G14" s="133">
        <v>55.93</v>
      </c>
      <c r="H14" s="133">
        <v>20.22</v>
      </c>
      <c r="I14" s="133">
        <v>6.7</v>
      </c>
      <c r="J14" s="133">
        <v>0.09</v>
      </c>
      <c r="K14" s="133">
        <v>197.76</v>
      </c>
      <c r="L14" s="133">
        <v>23.42</v>
      </c>
      <c r="M14" s="133">
        <v>92.55</v>
      </c>
      <c r="N14" s="133">
        <v>0</v>
      </c>
      <c r="O14" s="133">
        <v>0</v>
      </c>
      <c r="P14" s="133">
        <v>0.92</v>
      </c>
      <c r="Q14" s="133">
        <v>3.96</v>
      </c>
    </row>
    <row r="15" spans="1:21" customFormat="1">
      <c r="A15" s="111" t="s">
        <v>821</v>
      </c>
      <c r="B15" s="133">
        <v>13.54</v>
      </c>
      <c r="C15" s="133">
        <v>27.41</v>
      </c>
      <c r="D15" s="133">
        <v>26.53</v>
      </c>
      <c r="E15" s="133">
        <v>5.62</v>
      </c>
      <c r="F15" s="133">
        <v>2.5299999999999998</v>
      </c>
      <c r="G15" s="133">
        <v>55.93</v>
      </c>
      <c r="H15" s="133">
        <v>20.22</v>
      </c>
      <c r="I15" s="133">
        <v>6.74</v>
      </c>
      <c r="J15" s="133">
        <v>0.12</v>
      </c>
      <c r="K15" s="133">
        <v>160.22999999999999</v>
      </c>
      <c r="L15" s="133">
        <v>23.37</v>
      </c>
      <c r="M15" s="133">
        <v>92.2</v>
      </c>
      <c r="N15" s="133">
        <v>0</v>
      </c>
      <c r="O15" s="133">
        <v>0</v>
      </c>
      <c r="P15" s="133">
        <v>0.91</v>
      </c>
      <c r="Q15" s="133">
        <v>4</v>
      </c>
    </row>
    <row r="16" spans="1:21" customFormat="1">
      <c r="A16" s="111" t="s">
        <v>822</v>
      </c>
      <c r="B16" s="133">
        <v>13.84</v>
      </c>
      <c r="C16" s="133">
        <v>27.49</v>
      </c>
      <c r="D16" s="133">
        <v>26.82</v>
      </c>
      <c r="E16" s="133">
        <v>5.4</v>
      </c>
      <c r="F16" s="133">
        <v>2.38</v>
      </c>
      <c r="G16" s="133">
        <v>56.3</v>
      </c>
      <c r="H16" s="133">
        <v>20.079999999999998</v>
      </c>
      <c r="I16" s="133">
        <v>6.67</v>
      </c>
      <c r="J16" s="133">
        <v>0.09</v>
      </c>
      <c r="K16" s="133">
        <v>207.88</v>
      </c>
      <c r="L16" s="133">
        <v>23.35</v>
      </c>
      <c r="M16" s="133">
        <v>89.24</v>
      </c>
      <c r="N16" s="133">
        <v>0</v>
      </c>
      <c r="O16" s="133">
        <v>0</v>
      </c>
      <c r="P16" s="133">
        <v>0.92</v>
      </c>
      <c r="Q16" s="133">
        <v>4</v>
      </c>
    </row>
    <row r="17" spans="1:17" customFormat="1">
      <c r="A17" s="111" t="s">
        <v>823</v>
      </c>
      <c r="B17" s="133">
        <v>15.15</v>
      </c>
      <c r="C17" s="133">
        <v>28.52</v>
      </c>
      <c r="D17" s="133">
        <v>28.4</v>
      </c>
      <c r="E17" s="133">
        <v>6.54</v>
      </c>
      <c r="F17" s="133">
        <v>2.29</v>
      </c>
      <c r="G17" s="133">
        <v>59.29</v>
      </c>
      <c r="H17" s="133">
        <v>19.18</v>
      </c>
      <c r="I17" s="133">
        <v>6.69</v>
      </c>
      <c r="J17" s="133">
        <v>0.12</v>
      </c>
      <c r="K17" s="133">
        <v>266.06</v>
      </c>
      <c r="L17" s="133">
        <v>23.56</v>
      </c>
      <c r="M17" s="133">
        <v>84.31</v>
      </c>
      <c r="N17" s="133">
        <v>0</v>
      </c>
      <c r="O17" s="133">
        <v>0</v>
      </c>
      <c r="P17" s="133">
        <v>0.9</v>
      </c>
      <c r="Q17" s="133">
        <v>4.05</v>
      </c>
    </row>
    <row r="18" spans="1:17" customFormat="1">
      <c r="A18" s="111" t="s">
        <v>824</v>
      </c>
      <c r="B18" s="133">
        <v>16.47</v>
      </c>
      <c r="C18" s="133">
        <v>29.38</v>
      </c>
      <c r="D18" s="133">
        <v>29.91</v>
      </c>
      <c r="E18" s="133">
        <v>7.23</v>
      </c>
      <c r="F18" s="133">
        <v>2.46</v>
      </c>
      <c r="G18" s="133">
        <v>59.29</v>
      </c>
      <c r="H18" s="133">
        <v>19.18</v>
      </c>
      <c r="I18" s="133">
        <v>6.71</v>
      </c>
      <c r="J18" s="133">
        <v>0.19</v>
      </c>
      <c r="K18" s="133">
        <v>294.72000000000003</v>
      </c>
      <c r="L18" s="133">
        <v>23.92</v>
      </c>
      <c r="M18" s="133">
        <v>78.14</v>
      </c>
      <c r="N18" s="133">
        <v>0</v>
      </c>
      <c r="O18" s="133">
        <v>0</v>
      </c>
      <c r="P18" s="133">
        <v>0.91</v>
      </c>
      <c r="Q18" s="133">
        <v>4.16</v>
      </c>
    </row>
    <row r="19" spans="1:17" customFormat="1">
      <c r="A19" s="111" t="s">
        <v>825</v>
      </c>
      <c r="B19" s="133">
        <v>16.850000000000001</v>
      </c>
      <c r="C19" s="133">
        <v>30.05</v>
      </c>
      <c r="D19" s="133">
        <v>30.56</v>
      </c>
      <c r="E19" s="133">
        <v>7.32</v>
      </c>
      <c r="F19" s="133">
        <v>2.34</v>
      </c>
      <c r="G19" s="133">
        <v>59.29</v>
      </c>
      <c r="H19" s="133">
        <v>19.18</v>
      </c>
      <c r="I19" s="133">
        <v>6.71</v>
      </c>
      <c r="J19" s="133">
        <v>0.06</v>
      </c>
      <c r="K19" s="133">
        <v>309.58999999999997</v>
      </c>
      <c r="L19" s="133">
        <v>23.9</v>
      </c>
      <c r="M19" s="133">
        <v>78.45</v>
      </c>
      <c r="N19" s="133">
        <v>0</v>
      </c>
      <c r="O19" s="133">
        <v>0</v>
      </c>
      <c r="P19" s="133">
        <v>0.91</v>
      </c>
      <c r="Q19" s="133">
        <v>4.21</v>
      </c>
    </row>
    <row r="20" spans="1:17" customFormat="1">
      <c r="A20" s="111" t="s">
        <v>826</v>
      </c>
      <c r="B20" s="133">
        <v>16.829999999999998</v>
      </c>
      <c r="C20" s="133">
        <v>30.36</v>
      </c>
      <c r="D20" s="133">
        <v>30.71</v>
      </c>
      <c r="E20" s="133">
        <v>7.71</v>
      </c>
      <c r="F20" s="133">
        <v>2.5099999999999998</v>
      </c>
      <c r="G20" s="133">
        <v>59.65</v>
      </c>
      <c r="H20" s="133">
        <v>19.73</v>
      </c>
      <c r="I20" s="133">
        <v>6.69</v>
      </c>
      <c r="J20" s="133">
        <v>0.15</v>
      </c>
      <c r="K20" s="133">
        <v>57.08</v>
      </c>
      <c r="L20" s="133">
        <v>23.66</v>
      </c>
      <c r="M20" s="133">
        <v>80.5</v>
      </c>
      <c r="N20" s="133">
        <v>0</v>
      </c>
      <c r="O20" s="133">
        <v>0</v>
      </c>
      <c r="P20" s="133">
        <v>0.9</v>
      </c>
      <c r="Q20" s="133">
        <v>4.21</v>
      </c>
    </row>
    <row r="21" spans="1:17" customFormat="1">
      <c r="A21" s="111" t="s">
        <v>827</v>
      </c>
      <c r="B21" s="133">
        <v>16.98</v>
      </c>
      <c r="C21" s="133">
        <v>30.75</v>
      </c>
      <c r="D21" s="133">
        <v>31.04</v>
      </c>
      <c r="E21" s="133">
        <v>7.15</v>
      </c>
      <c r="F21" s="133">
        <v>2.4500000000000002</v>
      </c>
      <c r="G21" s="133">
        <v>62.48</v>
      </c>
      <c r="H21" s="133">
        <v>23.2</v>
      </c>
      <c r="I21" s="133">
        <v>6.61</v>
      </c>
      <c r="J21" s="133">
        <v>7.0000000000000007E-2</v>
      </c>
      <c r="K21" s="133">
        <v>87.58</v>
      </c>
      <c r="L21" s="133">
        <v>23.59</v>
      </c>
      <c r="M21" s="133">
        <v>81.52</v>
      </c>
      <c r="N21" s="133">
        <v>0</v>
      </c>
      <c r="O21" s="133">
        <v>0</v>
      </c>
      <c r="P21" s="133">
        <v>0.9</v>
      </c>
      <c r="Q21" s="133">
        <v>4.2300000000000004</v>
      </c>
    </row>
    <row r="22" spans="1:17" customFormat="1">
      <c r="A22" s="111" t="s">
        <v>828</v>
      </c>
      <c r="B22" s="133">
        <v>17.440000000000001</v>
      </c>
      <c r="C22" s="133">
        <v>30.95</v>
      </c>
      <c r="D22" s="133">
        <v>31.51</v>
      </c>
      <c r="E22" s="133">
        <v>7.14</v>
      </c>
      <c r="F22" s="133">
        <v>2.39</v>
      </c>
      <c r="G22" s="133">
        <v>62.48</v>
      </c>
      <c r="H22" s="133">
        <v>23.2</v>
      </c>
      <c r="I22" s="133">
        <v>6.56</v>
      </c>
      <c r="J22" s="133">
        <v>0.11</v>
      </c>
      <c r="K22" s="133">
        <v>62.82</v>
      </c>
      <c r="L22" s="133">
        <v>23.29</v>
      </c>
      <c r="M22" s="133">
        <v>81.14</v>
      </c>
      <c r="N22" s="133">
        <v>0</v>
      </c>
      <c r="O22" s="133">
        <v>0</v>
      </c>
      <c r="P22" s="133">
        <v>0.88</v>
      </c>
      <c r="Q22" s="133">
        <v>4.24</v>
      </c>
    </row>
    <row r="23" spans="1:17" customFormat="1">
      <c r="A23" s="111" t="s">
        <v>829</v>
      </c>
      <c r="B23" s="133">
        <v>17.82</v>
      </c>
      <c r="C23" s="133">
        <v>31.3</v>
      </c>
      <c r="D23" s="133">
        <v>32</v>
      </c>
      <c r="E23" s="133">
        <v>7.64</v>
      </c>
      <c r="F23" s="133">
        <v>2.33</v>
      </c>
      <c r="G23" s="133">
        <v>62.48</v>
      </c>
      <c r="H23" s="133">
        <v>23.2</v>
      </c>
      <c r="I23" s="133">
        <v>6.56</v>
      </c>
      <c r="J23" s="133">
        <v>0.15</v>
      </c>
      <c r="K23" s="133">
        <v>76.45</v>
      </c>
      <c r="L23" s="133">
        <v>23.41</v>
      </c>
      <c r="M23" s="133">
        <v>79.95</v>
      </c>
      <c r="N23" s="133">
        <v>0</v>
      </c>
      <c r="O23" s="133">
        <v>0</v>
      </c>
      <c r="P23" s="133">
        <v>0.88</v>
      </c>
      <c r="Q23" s="133">
        <v>4.2699999999999996</v>
      </c>
    </row>
    <row r="24" spans="1:17" customFormat="1">
      <c r="A24" s="111" t="s">
        <v>830</v>
      </c>
      <c r="B24" s="133">
        <v>18.2</v>
      </c>
      <c r="C24" s="133">
        <v>31.33</v>
      </c>
      <c r="D24" s="133">
        <v>32.32</v>
      </c>
      <c r="E24" s="133">
        <v>7.34</v>
      </c>
      <c r="F24" s="133">
        <v>2.4700000000000002</v>
      </c>
      <c r="G24" s="133">
        <v>63.89</v>
      </c>
      <c r="H24" s="133">
        <v>23.79</v>
      </c>
      <c r="I24" s="133">
        <v>6.6</v>
      </c>
      <c r="J24" s="133">
        <v>0.06</v>
      </c>
      <c r="K24" s="133">
        <v>169.62</v>
      </c>
      <c r="L24" s="133">
        <v>23.26</v>
      </c>
      <c r="M24" s="133">
        <v>80.06</v>
      </c>
      <c r="N24" s="133">
        <v>0</v>
      </c>
      <c r="O24" s="133">
        <v>0</v>
      </c>
      <c r="P24" s="133">
        <v>0.88</v>
      </c>
      <c r="Q24" s="133">
        <v>4.28</v>
      </c>
    </row>
    <row r="25" spans="1:17" customFormat="1">
      <c r="A25" s="111" t="s">
        <v>831</v>
      </c>
      <c r="B25" s="133">
        <v>18.670000000000002</v>
      </c>
      <c r="C25" s="133">
        <v>29.72</v>
      </c>
      <c r="D25" s="133">
        <v>31.85</v>
      </c>
      <c r="E25" s="133">
        <v>6.96</v>
      </c>
      <c r="F25" s="133">
        <v>2.83</v>
      </c>
      <c r="G25" s="133">
        <v>75.150000000000006</v>
      </c>
      <c r="H25" s="133">
        <v>27.52</v>
      </c>
      <c r="I25" s="133">
        <v>6.62</v>
      </c>
      <c r="J25" s="133">
        <v>7.0000000000000007E-2</v>
      </c>
      <c r="K25" s="133">
        <v>178.78</v>
      </c>
      <c r="L25" s="133">
        <v>22.98</v>
      </c>
      <c r="M25" s="133">
        <v>81.41</v>
      </c>
      <c r="N25" s="133">
        <v>0</v>
      </c>
      <c r="O25" s="133">
        <v>0</v>
      </c>
      <c r="P25" s="133">
        <v>0.87</v>
      </c>
      <c r="Q25" s="133">
        <v>4.3</v>
      </c>
    </row>
    <row r="26" spans="1:17" customFormat="1">
      <c r="A26" s="111" t="s">
        <v>832</v>
      </c>
      <c r="B26" s="133">
        <v>19.25</v>
      </c>
      <c r="C26" s="133">
        <v>27.32</v>
      </c>
      <c r="D26" s="133">
        <v>31.06</v>
      </c>
      <c r="E26" s="133">
        <v>6.71</v>
      </c>
      <c r="F26" s="133">
        <v>3.19</v>
      </c>
      <c r="G26" s="133">
        <v>75.150000000000006</v>
      </c>
      <c r="H26" s="133">
        <v>27.52</v>
      </c>
      <c r="I26" s="133">
        <v>6.58</v>
      </c>
      <c r="J26" s="133">
        <v>0.14000000000000001</v>
      </c>
      <c r="K26" s="133">
        <v>209.71</v>
      </c>
      <c r="L26" s="133">
        <v>22.94</v>
      </c>
      <c r="M26" s="133">
        <v>82.28</v>
      </c>
      <c r="N26" s="133">
        <v>0</v>
      </c>
      <c r="O26" s="133">
        <v>0</v>
      </c>
      <c r="P26" s="133">
        <v>0.83</v>
      </c>
      <c r="Q26" s="133">
        <v>4.28</v>
      </c>
    </row>
    <row r="27" spans="1:17" customFormat="1">
      <c r="A27" s="111" t="s">
        <v>833</v>
      </c>
      <c r="B27" s="133">
        <v>19.739999999999998</v>
      </c>
      <c r="C27" s="133">
        <v>26.84</v>
      </c>
      <c r="D27" s="133">
        <v>31.2</v>
      </c>
      <c r="E27" s="133">
        <v>6.92</v>
      </c>
      <c r="F27" s="133">
        <v>3</v>
      </c>
      <c r="G27" s="133">
        <v>75.150000000000006</v>
      </c>
      <c r="H27" s="133">
        <v>27.52</v>
      </c>
      <c r="I27" s="133">
        <v>6.56</v>
      </c>
      <c r="J27" s="133">
        <v>0.11</v>
      </c>
      <c r="K27" s="133">
        <v>207.06</v>
      </c>
      <c r="L27" s="133">
        <v>22.75</v>
      </c>
      <c r="M27" s="133">
        <v>83.25</v>
      </c>
      <c r="N27" s="133">
        <v>0</v>
      </c>
      <c r="O27" s="133">
        <v>0</v>
      </c>
      <c r="P27" s="133">
        <v>0.82</v>
      </c>
      <c r="Q27" s="133">
        <v>4.25</v>
      </c>
    </row>
    <row r="28" spans="1:17" customFormat="1">
      <c r="A28" s="111" t="s">
        <v>834</v>
      </c>
      <c r="B28" s="133">
        <v>20.47</v>
      </c>
      <c r="C28" s="133">
        <v>28.96</v>
      </c>
      <c r="D28" s="133">
        <v>32.9</v>
      </c>
      <c r="E28" s="133">
        <v>6.86</v>
      </c>
      <c r="F28" s="133">
        <v>2.58</v>
      </c>
      <c r="G28" s="133">
        <v>74.67</v>
      </c>
      <c r="H28" s="133">
        <v>27.63</v>
      </c>
      <c r="I28" s="133">
        <v>6.54</v>
      </c>
      <c r="J28" s="133">
        <v>0.13</v>
      </c>
      <c r="K28" s="133">
        <v>208.05</v>
      </c>
      <c r="L28" s="133">
        <v>22.78</v>
      </c>
      <c r="M28" s="133">
        <v>82.36</v>
      </c>
      <c r="N28" s="133">
        <v>0</v>
      </c>
      <c r="O28" s="133">
        <v>0</v>
      </c>
      <c r="P28" s="133">
        <v>0.83</v>
      </c>
      <c r="Q28" s="133">
        <v>4.28</v>
      </c>
    </row>
    <row r="29" spans="1:17" customFormat="1">
      <c r="A29" s="111" t="s">
        <v>835</v>
      </c>
      <c r="B29" s="133">
        <v>21.38</v>
      </c>
      <c r="C29" s="133">
        <v>27.54</v>
      </c>
      <c r="D29" s="133">
        <v>32.89</v>
      </c>
      <c r="E29" s="133">
        <v>6.43</v>
      </c>
      <c r="F29" s="133">
        <v>3.09</v>
      </c>
      <c r="G29" s="133">
        <v>70.790000000000006</v>
      </c>
      <c r="H29" s="133">
        <v>28.29</v>
      </c>
      <c r="I29" s="133">
        <v>6.52</v>
      </c>
      <c r="J29" s="133">
        <v>0.13</v>
      </c>
      <c r="K29" s="133">
        <v>187.9</v>
      </c>
      <c r="L29" s="133">
        <v>22.56</v>
      </c>
      <c r="M29" s="133">
        <v>85.52</v>
      </c>
      <c r="N29" s="133">
        <v>0</v>
      </c>
      <c r="O29" s="133">
        <v>0</v>
      </c>
      <c r="P29" s="133">
        <v>0.82</v>
      </c>
      <c r="Q29" s="133">
        <v>4.3499999999999996</v>
      </c>
    </row>
    <row r="30" spans="1:17" customFormat="1">
      <c r="A30" s="111" t="s">
        <v>836</v>
      </c>
      <c r="B30" s="133">
        <v>21.68</v>
      </c>
      <c r="C30" s="133">
        <v>27.73</v>
      </c>
      <c r="D30" s="133">
        <v>33.22</v>
      </c>
      <c r="E30" s="133">
        <v>6.71</v>
      </c>
      <c r="F30" s="133">
        <v>2.82</v>
      </c>
      <c r="G30" s="133">
        <v>70.790000000000006</v>
      </c>
      <c r="H30" s="133">
        <v>28.29</v>
      </c>
      <c r="I30" s="133">
        <v>6.58</v>
      </c>
      <c r="J30" s="133">
        <v>0.12</v>
      </c>
      <c r="K30" s="133">
        <v>226.88</v>
      </c>
      <c r="L30" s="133">
        <v>22.18</v>
      </c>
      <c r="M30" s="133">
        <v>91.18</v>
      </c>
      <c r="N30" s="133">
        <v>0</v>
      </c>
      <c r="O30" s="133">
        <v>0</v>
      </c>
      <c r="P30" s="133">
        <v>0.81</v>
      </c>
      <c r="Q30" s="133">
        <v>4.3600000000000003</v>
      </c>
    </row>
    <row r="31" spans="1:17" customFormat="1">
      <c r="A31" s="111" t="s">
        <v>837</v>
      </c>
      <c r="B31" s="133">
        <v>21.86</v>
      </c>
      <c r="C31" s="133">
        <v>28.75</v>
      </c>
      <c r="D31" s="133">
        <v>33.9</v>
      </c>
      <c r="E31" s="133">
        <v>7.2</v>
      </c>
      <c r="F31" s="133">
        <v>2.58</v>
      </c>
      <c r="G31" s="133">
        <v>70.790000000000006</v>
      </c>
      <c r="H31" s="133">
        <v>28.29</v>
      </c>
      <c r="I31" s="133">
        <v>6.58</v>
      </c>
      <c r="J31" s="133">
        <v>0.13</v>
      </c>
      <c r="K31" s="133">
        <v>184.89</v>
      </c>
      <c r="L31" s="133">
        <v>21.95</v>
      </c>
      <c r="M31" s="133">
        <v>89.17</v>
      </c>
      <c r="N31" s="133">
        <v>0</v>
      </c>
      <c r="O31" s="133">
        <v>0</v>
      </c>
      <c r="P31" s="133">
        <v>0.83</v>
      </c>
      <c r="Q31" s="133">
        <v>4.38</v>
      </c>
    </row>
    <row r="32" spans="1:17" customFormat="1">
      <c r="A32" s="111" t="s">
        <v>838</v>
      </c>
      <c r="B32" s="133">
        <v>22.31</v>
      </c>
      <c r="C32" s="133">
        <v>27.01</v>
      </c>
      <c r="D32" s="133">
        <v>33.36</v>
      </c>
      <c r="E32" s="133">
        <v>6.7</v>
      </c>
      <c r="F32" s="133">
        <v>2.97</v>
      </c>
      <c r="G32" s="133">
        <v>72.02</v>
      </c>
      <c r="H32" s="133">
        <v>28.52</v>
      </c>
      <c r="I32" s="133">
        <v>6.58</v>
      </c>
      <c r="J32" s="133">
        <v>0.15</v>
      </c>
      <c r="K32" s="133">
        <v>208.88</v>
      </c>
      <c r="L32" s="133">
        <v>22.09</v>
      </c>
      <c r="M32" s="133">
        <v>89.44</v>
      </c>
      <c r="N32" s="133">
        <v>0</v>
      </c>
      <c r="O32" s="133">
        <v>0</v>
      </c>
      <c r="P32" s="133">
        <v>0.8</v>
      </c>
      <c r="Q32" s="133">
        <v>4.42</v>
      </c>
    </row>
    <row r="33" spans="1:17" customFormat="1">
      <c r="A33" s="111" t="s">
        <v>839</v>
      </c>
      <c r="B33" s="133">
        <v>22.48</v>
      </c>
      <c r="C33" s="133">
        <v>27.46</v>
      </c>
      <c r="D33" s="133">
        <v>33.72</v>
      </c>
      <c r="E33" s="133">
        <v>6.89</v>
      </c>
      <c r="F33" s="133">
        <v>2.66</v>
      </c>
      <c r="G33" s="133">
        <v>81.8</v>
      </c>
      <c r="H33" s="133">
        <v>29.98</v>
      </c>
      <c r="I33" s="133">
        <v>6.58</v>
      </c>
      <c r="J33" s="133">
        <v>0.09</v>
      </c>
      <c r="K33" s="133">
        <v>198.83</v>
      </c>
      <c r="L33" s="133">
        <v>22</v>
      </c>
      <c r="M33" s="133">
        <v>92</v>
      </c>
      <c r="N33" s="133">
        <v>3</v>
      </c>
      <c r="O33" s="133">
        <v>0</v>
      </c>
      <c r="P33" s="133">
        <v>0.81</v>
      </c>
      <c r="Q33" s="133">
        <v>4.4000000000000004</v>
      </c>
    </row>
    <row r="34" spans="1:17" customFormat="1">
      <c r="A34" s="111" t="s">
        <v>840</v>
      </c>
      <c r="B34" s="133">
        <v>22.78</v>
      </c>
      <c r="C34" s="133">
        <v>28.72</v>
      </c>
      <c r="D34" s="133">
        <v>34.619999999999997</v>
      </c>
      <c r="E34" s="133">
        <v>6.86</v>
      </c>
      <c r="F34" s="133">
        <v>2.5099999999999998</v>
      </c>
      <c r="G34" s="133">
        <v>81.8</v>
      </c>
      <c r="H34" s="133">
        <v>29.98</v>
      </c>
      <c r="I34" s="133">
        <v>6.54</v>
      </c>
      <c r="J34" s="133">
        <v>0.11</v>
      </c>
      <c r="K34" s="133">
        <v>231.49</v>
      </c>
      <c r="L34" s="133">
        <v>22.17</v>
      </c>
      <c r="M34" s="133">
        <v>89.28</v>
      </c>
      <c r="N34" s="133">
        <v>11.1</v>
      </c>
      <c r="O34" s="133">
        <v>0</v>
      </c>
      <c r="P34" s="133">
        <v>0.83</v>
      </c>
      <c r="Q34" s="133">
        <v>4.42</v>
      </c>
    </row>
    <row r="35" spans="1:17" customFormat="1">
      <c r="A35" s="111" t="s">
        <v>841</v>
      </c>
      <c r="B35" s="133">
        <v>23.71</v>
      </c>
      <c r="C35" s="133">
        <v>27.24</v>
      </c>
      <c r="D35" s="133">
        <v>34.590000000000003</v>
      </c>
      <c r="E35" s="133">
        <v>7.07</v>
      </c>
      <c r="F35" s="133">
        <v>2.96</v>
      </c>
      <c r="G35" s="133">
        <v>81.8</v>
      </c>
      <c r="H35" s="133">
        <v>29.98</v>
      </c>
      <c r="I35" s="133">
        <v>6.59</v>
      </c>
      <c r="J35" s="133">
        <v>7.0000000000000007E-2</v>
      </c>
      <c r="K35" s="133">
        <v>173.44</v>
      </c>
      <c r="L35" s="133">
        <v>22.72</v>
      </c>
      <c r="M35" s="133">
        <v>86.68</v>
      </c>
      <c r="N35" s="133">
        <v>23.2</v>
      </c>
      <c r="O35" s="133">
        <v>0</v>
      </c>
      <c r="P35" s="133">
        <v>0.82</v>
      </c>
      <c r="Q35" s="133">
        <v>4.49</v>
      </c>
    </row>
    <row r="36" spans="1:17" customFormat="1">
      <c r="A36" s="111" t="s">
        <v>842</v>
      </c>
      <c r="B36" s="133">
        <v>24.86</v>
      </c>
      <c r="C36" s="133">
        <v>27.73</v>
      </c>
      <c r="D36" s="133">
        <v>35.770000000000003</v>
      </c>
      <c r="E36" s="133">
        <v>6.9</v>
      </c>
      <c r="F36" s="133">
        <v>2.63</v>
      </c>
      <c r="G36" s="133">
        <v>83.41</v>
      </c>
      <c r="H36" s="133">
        <v>30.48</v>
      </c>
      <c r="I36" s="133">
        <v>6.63</v>
      </c>
      <c r="J36" s="133">
        <v>0.19</v>
      </c>
      <c r="K36" s="133">
        <v>174.43</v>
      </c>
      <c r="L36" s="133">
        <v>23.26</v>
      </c>
      <c r="M36" s="133">
        <v>84.39</v>
      </c>
      <c r="N36" s="133">
        <v>35.4</v>
      </c>
      <c r="O36" s="133">
        <v>0</v>
      </c>
      <c r="P36" s="133">
        <v>0.83</v>
      </c>
      <c r="Q36" s="133">
        <v>4.5199999999999996</v>
      </c>
    </row>
    <row r="37" spans="1:17" customFormat="1">
      <c r="A37" s="111" t="s">
        <v>843</v>
      </c>
      <c r="B37" s="133">
        <v>25.82</v>
      </c>
      <c r="C37" s="133">
        <v>29</v>
      </c>
      <c r="D37" s="133">
        <v>37.200000000000003</v>
      </c>
      <c r="E37" s="133">
        <v>7.28</v>
      </c>
      <c r="F37" s="133">
        <v>2.52</v>
      </c>
      <c r="G37" s="133">
        <v>96.28</v>
      </c>
      <c r="H37" s="133">
        <v>33.299999999999997</v>
      </c>
      <c r="I37" s="133">
        <v>6.64</v>
      </c>
      <c r="J37" s="133">
        <v>0.14000000000000001</v>
      </c>
      <c r="K37" s="133">
        <v>173.46</v>
      </c>
      <c r="L37" s="133">
        <v>23.92</v>
      </c>
      <c r="M37" s="133">
        <v>81.92</v>
      </c>
      <c r="N37" s="133">
        <v>72.3</v>
      </c>
      <c r="O37" s="133">
        <v>0</v>
      </c>
      <c r="P37" s="133">
        <v>0.85</v>
      </c>
      <c r="Q37" s="133">
        <v>4.5999999999999996</v>
      </c>
    </row>
    <row r="38" spans="1:17" customFormat="1">
      <c r="A38" s="111" t="s">
        <v>844</v>
      </c>
      <c r="B38" s="133">
        <v>26.56</v>
      </c>
      <c r="C38" s="133">
        <v>27.36</v>
      </c>
      <c r="D38" s="133">
        <v>36.950000000000003</v>
      </c>
      <c r="E38" s="133">
        <v>6.71</v>
      </c>
      <c r="F38" s="133">
        <v>3.02</v>
      </c>
      <c r="G38" s="133">
        <v>96.28</v>
      </c>
      <c r="H38" s="133">
        <v>33.299999999999997</v>
      </c>
      <c r="I38" s="133">
        <v>6.69</v>
      </c>
      <c r="J38" s="133">
        <v>0.02</v>
      </c>
      <c r="K38" s="133">
        <v>322.56</v>
      </c>
      <c r="L38" s="133">
        <v>24.53</v>
      </c>
      <c r="M38" s="133">
        <v>76.3</v>
      </c>
      <c r="N38" s="133">
        <v>107</v>
      </c>
      <c r="O38" s="133">
        <v>0</v>
      </c>
      <c r="P38" s="133">
        <v>0.84</v>
      </c>
      <c r="Q38" s="133">
        <v>4.6500000000000004</v>
      </c>
    </row>
    <row r="39" spans="1:17" customFormat="1">
      <c r="A39" s="111" t="s">
        <v>845</v>
      </c>
      <c r="B39" s="133">
        <v>27.03</v>
      </c>
      <c r="C39" s="133">
        <v>26.2</v>
      </c>
      <c r="D39" s="133">
        <v>36.71</v>
      </c>
      <c r="E39" s="133">
        <v>7.2</v>
      </c>
      <c r="F39" s="133">
        <v>3.01</v>
      </c>
      <c r="G39" s="133">
        <v>96.28</v>
      </c>
      <c r="H39" s="133">
        <v>33.299999999999997</v>
      </c>
      <c r="I39" s="133">
        <v>6.74</v>
      </c>
      <c r="J39" s="133">
        <v>0.12</v>
      </c>
      <c r="K39" s="133">
        <v>303.83</v>
      </c>
      <c r="L39" s="133">
        <v>25.54</v>
      </c>
      <c r="M39" s="133">
        <v>70.23</v>
      </c>
      <c r="N39" s="133">
        <v>100.7</v>
      </c>
      <c r="O39" s="133">
        <v>0</v>
      </c>
      <c r="P39" s="133">
        <v>0.83</v>
      </c>
      <c r="Q39" s="133">
        <v>4.66</v>
      </c>
    </row>
    <row r="40" spans="1:17" customFormat="1">
      <c r="A40" s="111" t="s">
        <v>846</v>
      </c>
      <c r="B40" s="133">
        <v>27.07</v>
      </c>
      <c r="C40" s="133">
        <v>28.33</v>
      </c>
      <c r="D40" s="133">
        <v>37.86</v>
      </c>
      <c r="E40" s="133">
        <v>6.79</v>
      </c>
      <c r="F40" s="133">
        <v>2.4300000000000002</v>
      </c>
      <c r="G40" s="133">
        <v>96.73</v>
      </c>
      <c r="H40" s="133">
        <v>33.85</v>
      </c>
      <c r="I40" s="133">
        <v>6.77</v>
      </c>
      <c r="J40" s="133">
        <v>0.13</v>
      </c>
      <c r="K40" s="133">
        <v>318.48</v>
      </c>
      <c r="L40" s="133">
        <v>26.31</v>
      </c>
      <c r="M40" s="133">
        <v>66.37</v>
      </c>
      <c r="N40" s="133">
        <v>220.1</v>
      </c>
      <c r="O40" s="133">
        <v>0</v>
      </c>
      <c r="P40" s="133">
        <v>0.86</v>
      </c>
      <c r="Q40" s="133">
        <v>4.5999999999999996</v>
      </c>
    </row>
    <row r="41" spans="1:17" customFormat="1">
      <c r="A41" s="111" t="s">
        <v>847</v>
      </c>
      <c r="B41" s="133">
        <v>27.32</v>
      </c>
      <c r="C41" s="133">
        <v>27.99</v>
      </c>
      <c r="D41" s="133">
        <v>37.880000000000003</v>
      </c>
      <c r="E41" s="133">
        <v>7.1</v>
      </c>
      <c r="F41" s="133">
        <v>2.72</v>
      </c>
      <c r="G41" s="133">
        <v>100.38</v>
      </c>
      <c r="H41" s="133">
        <v>37.29</v>
      </c>
      <c r="I41" s="133">
        <v>6.82</v>
      </c>
      <c r="J41" s="133">
        <v>0.15</v>
      </c>
      <c r="K41" s="133">
        <v>32.5</v>
      </c>
      <c r="L41" s="133">
        <v>27.39</v>
      </c>
      <c r="M41" s="133">
        <v>62.19</v>
      </c>
      <c r="N41" s="133">
        <v>297.8</v>
      </c>
      <c r="O41" s="133">
        <v>0</v>
      </c>
      <c r="P41" s="133">
        <v>0.87</v>
      </c>
      <c r="Q41" s="133">
        <v>4.6399999999999997</v>
      </c>
    </row>
    <row r="42" spans="1:17" customFormat="1">
      <c r="A42" s="111" t="s">
        <v>848</v>
      </c>
      <c r="B42" s="133">
        <v>27.4</v>
      </c>
      <c r="C42" s="133">
        <v>27.36</v>
      </c>
      <c r="D42" s="133">
        <v>37.61</v>
      </c>
      <c r="E42" s="133">
        <v>8.01</v>
      </c>
      <c r="F42" s="133">
        <v>3.04</v>
      </c>
      <c r="G42" s="133">
        <v>100.38</v>
      </c>
      <c r="H42" s="133">
        <v>37.29</v>
      </c>
      <c r="I42" s="133">
        <v>6.92</v>
      </c>
      <c r="J42" s="133">
        <v>0.2</v>
      </c>
      <c r="K42" s="133">
        <v>318.95999999999998</v>
      </c>
      <c r="L42" s="133">
        <v>28.03</v>
      </c>
      <c r="M42" s="133">
        <v>59.84</v>
      </c>
      <c r="N42" s="133">
        <v>350.7</v>
      </c>
      <c r="O42" s="133">
        <v>0</v>
      </c>
      <c r="P42" s="133">
        <v>0.87</v>
      </c>
      <c r="Q42" s="133">
        <v>4.66</v>
      </c>
    </row>
    <row r="43" spans="1:17" customFormat="1">
      <c r="A43" s="111" t="s">
        <v>849</v>
      </c>
      <c r="B43" s="133">
        <v>26.98</v>
      </c>
      <c r="C43" s="133">
        <v>27.61</v>
      </c>
      <c r="D43" s="133">
        <v>37.409999999999997</v>
      </c>
      <c r="E43" s="133">
        <v>8.99</v>
      </c>
      <c r="F43" s="133">
        <v>3.28</v>
      </c>
      <c r="G43" s="133">
        <v>100.38</v>
      </c>
      <c r="H43" s="133">
        <v>37.29</v>
      </c>
      <c r="I43" s="133">
        <v>6.98</v>
      </c>
      <c r="J43" s="133">
        <v>0.21</v>
      </c>
      <c r="K43" s="133">
        <v>331.2</v>
      </c>
      <c r="L43" s="133">
        <v>28.63</v>
      </c>
      <c r="M43" s="133">
        <v>58.31</v>
      </c>
      <c r="N43" s="133">
        <v>404</v>
      </c>
      <c r="O43" s="133">
        <v>0</v>
      </c>
      <c r="P43" s="133">
        <v>0.88</v>
      </c>
      <c r="Q43" s="133">
        <v>4.6399999999999997</v>
      </c>
    </row>
    <row r="44" spans="1:17" customFormat="1">
      <c r="A44" s="111" t="s">
        <v>850</v>
      </c>
      <c r="B44" s="133">
        <v>25.87</v>
      </c>
      <c r="C44" s="133">
        <v>29.32</v>
      </c>
      <c r="D44" s="133">
        <v>37.42</v>
      </c>
      <c r="E44" s="133">
        <v>9.68</v>
      </c>
      <c r="F44" s="133">
        <v>3.35</v>
      </c>
      <c r="G44" s="133">
        <v>101.8</v>
      </c>
      <c r="H44" s="133">
        <v>37.53</v>
      </c>
      <c r="I44" s="133">
        <v>7.08</v>
      </c>
      <c r="J44" s="133">
        <v>0.22</v>
      </c>
      <c r="K44" s="133">
        <v>350.92</v>
      </c>
      <c r="L44" s="133">
        <v>29.25</v>
      </c>
      <c r="M44" s="133">
        <v>54.7</v>
      </c>
      <c r="N44" s="133">
        <v>453.6</v>
      </c>
      <c r="O44" s="133">
        <v>0</v>
      </c>
      <c r="P44" s="133">
        <v>0.91</v>
      </c>
      <c r="Q44" s="133">
        <v>4.57</v>
      </c>
    </row>
    <row r="45" spans="1:17" customFormat="1">
      <c r="A45" s="111" t="s">
        <v>851</v>
      </c>
      <c r="B45" s="133">
        <v>24.6</v>
      </c>
      <c r="C45" s="133">
        <v>31.08</v>
      </c>
      <c r="D45" s="133">
        <v>37.32</v>
      </c>
      <c r="E45" s="133">
        <v>9.3699999999999992</v>
      </c>
      <c r="F45" s="133">
        <v>3.42</v>
      </c>
      <c r="G45" s="133">
        <v>113.18</v>
      </c>
      <c r="H45" s="133">
        <v>39.04</v>
      </c>
      <c r="I45" s="133">
        <v>7.21</v>
      </c>
      <c r="J45" s="133">
        <v>0.25</v>
      </c>
      <c r="K45" s="133">
        <v>312.11</v>
      </c>
      <c r="L45" s="133">
        <v>29.74</v>
      </c>
      <c r="M45" s="133">
        <v>53.47</v>
      </c>
      <c r="N45" s="133">
        <v>496.6</v>
      </c>
      <c r="O45" s="133">
        <v>0</v>
      </c>
      <c r="P45" s="133">
        <v>0.93</v>
      </c>
      <c r="Q45" s="133">
        <v>4.5199999999999996</v>
      </c>
    </row>
    <row r="46" spans="1:17" customFormat="1">
      <c r="A46" s="111" t="s">
        <v>852</v>
      </c>
      <c r="B46" s="133">
        <v>23.13</v>
      </c>
      <c r="C46" s="133">
        <v>32.409999999999997</v>
      </c>
      <c r="D46" s="133">
        <v>36.83</v>
      </c>
      <c r="E46" s="133">
        <v>9.68</v>
      </c>
      <c r="F46" s="133">
        <v>3.16</v>
      </c>
      <c r="G46" s="133">
        <v>113.18</v>
      </c>
      <c r="H46" s="133">
        <v>39.04</v>
      </c>
      <c r="I46" s="133">
        <v>7.25</v>
      </c>
      <c r="J46" s="133">
        <v>0.37</v>
      </c>
      <c r="K46" s="133">
        <v>23.45</v>
      </c>
      <c r="L46" s="133">
        <v>30.53</v>
      </c>
      <c r="M46" s="133">
        <v>50.93</v>
      </c>
      <c r="N46" s="133">
        <v>448.5</v>
      </c>
      <c r="O46" s="133">
        <v>0</v>
      </c>
      <c r="P46" s="133">
        <v>0.94</v>
      </c>
      <c r="Q46" s="133">
        <v>4.4800000000000004</v>
      </c>
    </row>
    <row r="47" spans="1:17" customFormat="1">
      <c r="A47" s="111" t="s">
        <v>853</v>
      </c>
      <c r="B47" s="133">
        <v>22.06</v>
      </c>
      <c r="C47" s="133">
        <v>33.479999999999997</v>
      </c>
      <c r="D47" s="133">
        <v>36.54</v>
      </c>
      <c r="E47" s="133">
        <v>9.9700000000000006</v>
      </c>
      <c r="F47" s="133">
        <v>3.41</v>
      </c>
      <c r="G47" s="133">
        <v>113.18</v>
      </c>
      <c r="H47" s="133">
        <v>39.04</v>
      </c>
      <c r="I47" s="133">
        <v>7.26</v>
      </c>
      <c r="J47" s="133">
        <v>0.18</v>
      </c>
      <c r="K47" s="133">
        <v>346.24</v>
      </c>
      <c r="L47" s="133">
        <v>30.78</v>
      </c>
      <c r="M47" s="133">
        <v>48.68</v>
      </c>
      <c r="N47" s="133">
        <v>432.3</v>
      </c>
      <c r="O47" s="133">
        <v>0</v>
      </c>
      <c r="P47" s="133">
        <v>0.98</v>
      </c>
      <c r="Q47" s="133">
        <v>4.4400000000000004</v>
      </c>
    </row>
    <row r="48" spans="1:17" customFormat="1">
      <c r="A48" s="111" t="s">
        <v>854</v>
      </c>
      <c r="B48" s="133">
        <v>20.48</v>
      </c>
      <c r="C48" s="133">
        <v>34.409999999999997</v>
      </c>
      <c r="D48" s="133">
        <v>35.76</v>
      </c>
      <c r="E48" s="133">
        <v>10.029999999999999</v>
      </c>
      <c r="F48" s="133">
        <v>3.99</v>
      </c>
      <c r="G48" s="133">
        <v>113.87</v>
      </c>
      <c r="H48" s="133">
        <v>38.86</v>
      </c>
      <c r="I48" s="133">
        <v>7.2</v>
      </c>
      <c r="J48" s="133">
        <v>0.14000000000000001</v>
      </c>
      <c r="K48" s="133">
        <v>343.79</v>
      </c>
      <c r="L48" s="133">
        <v>31.18</v>
      </c>
      <c r="M48" s="133">
        <v>47.77</v>
      </c>
      <c r="N48" s="133">
        <v>477.3</v>
      </c>
      <c r="O48" s="133">
        <v>0</v>
      </c>
      <c r="P48" s="133">
        <v>0.99</v>
      </c>
      <c r="Q48" s="133">
        <v>4.3899999999999997</v>
      </c>
    </row>
    <row r="49" spans="1:17" customFormat="1">
      <c r="A49" s="111" t="s">
        <v>855</v>
      </c>
      <c r="B49" s="133">
        <v>19.2</v>
      </c>
      <c r="C49" s="133">
        <v>35.06</v>
      </c>
      <c r="D49" s="133">
        <v>35.07</v>
      </c>
      <c r="E49" s="133">
        <v>10.56</v>
      </c>
      <c r="F49" s="133">
        <v>4.09</v>
      </c>
      <c r="G49" s="133">
        <v>119.32</v>
      </c>
      <c r="H49" s="133">
        <v>37.72</v>
      </c>
      <c r="I49" s="133">
        <v>7.19</v>
      </c>
      <c r="J49" s="133">
        <v>0.39</v>
      </c>
      <c r="K49" s="133">
        <v>43.01</v>
      </c>
      <c r="L49" s="133">
        <v>31.82</v>
      </c>
      <c r="M49" s="133">
        <v>47.62</v>
      </c>
      <c r="N49" s="133">
        <v>642.9</v>
      </c>
      <c r="O49" s="133">
        <v>0</v>
      </c>
      <c r="P49" s="133">
        <v>1.02</v>
      </c>
      <c r="Q49" s="133">
        <v>4.33</v>
      </c>
    </row>
    <row r="50" spans="1:17" customFormat="1">
      <c r="A50" s="111" t="s">
        <v>856</v>
      </c>
      <c r="B50" s="133">
        <v>17.940000000000001</v>
      </c>
      <c r="C50" s="133">
        <v>35.25</v>
      </c>
      <c r="D50" s="133">
        <v>34.15</v>
      </c>
      <c r="E50" s="133">
        <v>11.83</v>
      </c>
      <c r="F50" s="133">
        <v>5.15</v>
      </c>
      <c r="G50" s="133">
        <v>119.32</v>
      </c>
      <c r="H50" s="133">
        <v>37.72</v>
      </c>
      <c r="I50" s="133">
        <v>7.12</v>
      </c>
      <c r="J50" s="133">
        <v>0.46</v>
      </c>
      <c r="K50" s="133">
        <v>15.85</v>
      </c>
      <c r="L50" s="133">
        <v>32.03</v>
      </c>
      <c r="M50" s="133">
        <v>46.56</v>
      </c>
      <c r="N50" s="133">
        <v>677</v>
      </c>
      <c r="O50" s="133">
        <v>0</v>
      </c>
      <c r="P50" s="133">
        <v>1.03</v>
      </c>
      <c r="Q50" s="133">
        <v>4.29</v>
      </c>
    </row>
    <row r="51" spans="1:17" customFormat="1">
      <c r="A51" s="111" t="s">
        <v>857</v>
      </c>
      <c r="B51" s="133">
        <v>16.57</v>
      </c>
      <c r="C51" s="133">
        <v>35.479999999999997</v>
      </c>
      <c r="D51" s="133">
        <v>33.18</v>
      </c>
      <c r="E51" s="133">
        <v>11.21</v>
      </c>
      <c r="F51" s="133">
        <v>5.31</v>
      </c>
      <c r="G51" s="133">
        <v>119.32</v>
      </c>
      <c r="H51" s="133">
        <v>37.72</v>
      </c>
      <c r="I51" s="133">
        <v>7.08</v>
      </c>
      <c r="J51" s="133">
        <v>0.43</v>
      </c>
      <c r="K51" s="133">
        <v>26.72</v>
      </c>
      <c r="L51" s="133">
        <v>32.4</v>
      </c>
      <c r="M51" s="133">
        <v>45.55</v>
      </c>
      <c r="N51" s="133">
        <v>702.1</v>
      </c>
      <c r="O51" s="133">
        <v>0</v>
      </c>
      <c r="P51" s="133">
        <v>1.03</v>
      </c>
      <c r="Q51" s="133">
        <v>4.2</v>
      </c>
    </row>
    <row r="52" spans="1:17" customFormat="1">
      <c r="A52" s="111" t="s">
        <v>858</v>
      </c>
      <c r="B52" s="133">
        <v>15.17</v>
      </c>
      <c r="C52" s="133">
        <v>35.700000000000003</v>
      </c>
      <c r="D52" s="133">
        <v>32.17</v>
      </c>
      <c r="E52" s="133">
        <v>11.61</v>
      </c>
      <c r="F52" s="133">
        <v>5.39</v>
      </c>
      <c r="G52" s="133">
        <v>118.99</v>
      </c>
      <c r="H52" s="133">
        <v>38.049999999999997</v>
      </c>
      <c r="I52" s="133">
        <v>7.01</v>
      </c>
      <c r="J52" s="133">
        <v>0.37</v>
      </c>
      <c r="K52" s="133">
        <v>33.97</v>
      </c>
      <c r="L52" s="133">
        <v>32.43</v>
      </c>
      <c r="M52" s="133">
        <v>45.85</v>
      </c>
      <c r="N52" s="133">
        <v>662.7</v>
      </c>
      <c r="O52" s="133">
        <v>0</v>
      </c>
      <c r="P52" s="133">
        <v>1.02</v>
      </c>
      <c r="Q52" s="133">
        <v>4.1500000000000004</v>
      </c>
    </row>
    <row r="53" spans="1:17" customFormat="1">
      <c r="A53" s="111" t="s">
        <v>859</v>
      </c>
      <c r="B53" s="133">
        <v>13.63</v>
      </c>
      <c r="C53" s="133">
        <v>35.65</v>
      </c>
      <c r="D53" s="133">
        <v>30.9</v>
      </c>
      <c r="E53" s="133">
        <v>11.75</v>
      </c>
      <c r="F53" s="133">
        <v>6.68</v>
      </c>
      <c r="G53" s="133">
        <v>116.37</v>
      </c>
      <c r="H53" s="133">
        <v>40.119999999999997</v>
      </c>
      <c r="I53" s="133">
        <v>6.92</v>
      </c>
      <c r="J53" s="133">
        <v>0.25</v>
      </c>
      <c r="K53" s="133">
        <v>35.299999999999997</v>
      </c>
      <c r="L53" s="133">
        <v>32.42</v>
      </c>
      <c r="M53" s="133">
        <v>45.68</v>
      </c>
      <c r="N53" s="133">
        <v>741.1</v>
      </c>
      <c r="O53" s="133">
        <v>0</v>
      </c>
      <c r="P53" s="133">
        <v>1.01</v>
      </c>
      <c r="Q53" s="133">
        <v>4.08</v>
      </c>
    </row>
    <row r="54" spans="1:17" customFormat="1">
      <c r="A54" s="111" t="s">
        <v>860</v>
      </c>
      <c r="B54" s="133">
        <v>12.32</v>
      </c>
      <c r="C54" s="133">
        <v>35.409999999999997</v>
      </c>
      <c r="D54" s="133">
        <v>29.73</v>
      </c>
      <c r="E54" s="133">
        <v>11.52</v>
      </c>
      <c r="F54" s="133">
        <v>5.04</v>
      </c>
      <c r="G54" s="133">
        <v>116.37</v>
      </c>
      <c r="H54" s="133">
        <v>40.119999999999997</v>
      </c>
      <c r="I54" s="133">
        <v>6.81</v>
      </c>
      <c r="J54" s="133">
        <v>0.35</v>
      </c>
      <c r="K54" s="133">
        <v>39.1</v>
      </c>
      <c r="L54" s="133">
        <v>32.6</v>
      </c>
      <c r="M54" s="133">
        <v>46.37</v>
      </c>
      <c r="N54" s="133">
        <v>765.3</v>
      </c>
      <c r="O54" s="133">
        <v>0</v>
      </c>
      <c r="P54" s="133">
        <v>1</v>
      </c>
      <c r="Q54" s="133">
        <v>3.99</v>
      </c>
    </row>
    <row r="55" spans="1:17" customFormat="1">
      <c r="A55" s="111" t="s">
        <v>861</v>
      </c>
      <c r="B55" s="133">
        <v>11.1</v>
      </c>
      <c r="C55" s="133">
        <v>35.200000000000003</v>
      </c>
      <c r="D55" s="133">
        <v>28.64</v>
      </c>
      <c r="E55" s="133">
        <v>10.61</v>
      </c>
      <c r="F55" s="133">
        <v>5.75</v>
      </c>
      <c r="G55" s="133">
        <v>116.37</v>
      </c>
      <c r="H55" s="133">
        <v>40.119999999999997</v>
      </c>
      <c r="I55" s="133">
        <v>6.69</v>
      </c>
      <c r="J55" s="133">
        <v>0.31</v>
      </c>
      <c r="K55" s="133">
        <v>41.17</v>
      </c>
      <c r="L55" s="133">
        <v>32.869999999999997</v>
      </c>
      <c r="M55" s="133">
        <v>45.88</v>
      </c>
      <c r="N55" s="133">
        <v>769.9</v>
      </c>
      <c r="O55" s="133">
        <v>0</v>
      </c>
      <c r="P55" s="133">
        <v>0.99</v>
      </c>
      <c r="Q55" s="133">
        <v>3.91</v>
      </c>
    </row>
    <row r="56" spans="1:17" customFormat="1">
      <c r="A56" s="111" t="s">
        <v>862</v>
      </c>
      <c r="B56" s="133">
        <v>9.92</v>
      </c>
      <c r="C56" s="133">
        <v>34.94</v>
      </c>
      <c r="D56" s="133">
        <v>27.56</v>
      </c>
      <c r="E56" s="133">
        <v>12.61</v>
      </c>
      <c r="F56" s="133">
        <v>7.61</v>
      </c>
      <c r="G56" s="133">
        <v>114.6</v>
      </c>
      <c r="H56" s="133">
        <v>39.47</v>
      </c>
      <c r="I56" s="133">
        <v>6.59</v>
      </c>
      <c r="J56" s="133">
        <v>0.34</v>
      </c>
      <c r="K56" s="133">
        <v>359.17</v>
      </c>
      <c r="L56" s="133">
        <v>33.08</v>
      </c>
      <c r="M56" s="133">
        <v>43.13</v>
      </c>
      <c r="N56" s="133">
        <v>795.8</v>
      </c>
      <c r="O56" s="133">
        <v>0</v>
      </c>
      <c r="P56" s="133">
        <v>0.99</v>
      </c>
      <c r="Q56" s="133">
        <v>3.83</v>
      </c>
    </row>
    <row r="57" spans="1:17" customFormat="1">
      <c r="A57" s="111" t="s">
        <v>863</v>
      </c>
      <c r="B57" s="133">
        <v>8.8800000000000008</v>
      </c>
      <c r="C57" s="133">
        <v>34.06</v>
      </c>
      <c r="D57" s="133">
        <v>26.27</v>
      </c>
      <c r="E57" s="133">
        <v>18.190000000000001</v>
      </c>
      <c r="F57" s="133">
        <v>10.31</v>
      </c>
      <c r="G57" s="133">
        <v>100.46</v>
      </c>
      <c r="H57" s="133">
        <v>35.35</v>
      </c>
      <c r="I57" s="133">
        <v>6.49</v>
      </c>
      <c r="J57" s="133">
        <v>0.49</v>
      </c>
      <c r="K57" s="133">
        <v>9.93</v>
      </c>
      <c r="L57" s="133">
        <v>33.08</v>
      </c>
      <c r="M57" s="133">
        <v>40.43</v>
      </c>
      <c r="N57" s="133">
        <v>798.3</v>
      </c>
      <c r="O57" s="133">
        <v>0</v>
      </c>
      <c r="P57" s="133">
        <v>0.96</v>
      </c>
      <c r="Q57" s="133">
        <v>3.79</v>
      </c>
    </row>
    <row r="58" spans="1:17" customFormat="1">
      <c r="A58" s="111" t="s">
        <v>864</v>
      </c>
      <c r="B58" s="133">
        <v>8.19</v>
      </c>
      <c r="C58" s="133">
        <v>33.65</v>
      </c>
      <c r="D58" s="133">
        <v>25.5</v>
      </c>
      <c r="E58" s="133">
        <v>11.25</v>
      </c>
      <c r="F58" s="133">
        <v>7.04</v>
      </c>
      <c r="G58" s="133">
        <v>100.46</v>
      </c>
      <c r="H58" s="133">
        <v>35.35</v>
      </c>
      <c r="I58" s="133">
        <v>6.34</v>
      </c>
      <c r="J58" s="133">
        <v>0.61</v>
      </c>
      <c r="K58" s="133">
        <v>37.76</v>
      </c>
      <c r="L58" s="133">
        <v>33.159999999999997</v>
      </c>
      <c r="M58" s="133">
        <v>38.01</v>
      </c>
      <c r="N58" s="133">
        <v>803.6</v>
      </c>
      <c r="O58" s="133">
        <v>0</v>
      </c>
      <c r="P58" s="133">
        <v>0.94</v>
      </c>
      <c r="Q58" s="133">
        <v>3.75</v>
      </c>
    </row>
    <row r="59" spans="1:17" customFormat="1">
      <c r="A59" s="111" t="s">
        <v>865</v>
      </c>
      <c r="B59" s="133">
        <v>7.47</v>
      </c>
      <c r="C59" s="133">
        <v>32.770000000000003</v>
      </c>
      <c r="D59" s="133">
        <v>24.46</v>
      </c>
      <c r="E59" s="133">
        <v>10.56</v>
      </c>
      <c r="F59" s="133">
        <v>9.23</v>
      </c>
      <c r="G59" s="133">
        <v>100.46</v>
      </c>
      <c r="H59" s="133">
        <v>35.35</v>
      </c>
      <c r="I59" s="133">
        <v>6.18</v>
      </c>
      <c r="J59" s="133">
        <v>0.6</v>
      </c>
      <c r="K59" s="133">
        <v>29.68</v>
      </c>
      <c r="L59" s="133">
        <v>33.33</v>
      </c>
      <c r="M59" s="133">
        <v>36.25</v>
      </c>
      <c r="N59" s="133">
        <v>804.6</v>
      </c>
      <c r="O59" s="133">
        <v>0</v>
      </c>
      <c r="P59" s="133">
        <v>0.92</v>
      </c>
      <c r="Q59" s="133">
        <v>3.7</v>
      </c>
    </row>
    <row r="60" spans="1:17" customFormat="1">
      <c r="A60" s="111" t="s">
        <v>866</v>
      </c>
      <c r="B60" s="133">
        <v>6.87</v>
      </c>
      <c r="C60" s="133">
        <v>32.47</v>
      </c>
      <c r="D60" s="133">
        <v>23.83</v>
      </c>
      <c r="E60" s="133">
        <v>9.9700000000000006</v>
      </c>
      <c r="F60" s="133">
        <v>8.86</v>
      </c>
      <c r="G60" s="133">
        <v>98.51</v>
      </c>
      <c r="H60" s="133">
        <v>34.35</v>
      </c>
      <c r="I60" s="133">
        <v>6.14</v>
      </c>
      <c r="J60" s="133">
        <v>0.56999999999999995</v>
      </c>
      <c r="K60" s="133">
        <v>36.39</v>
      </c>
      <c r="L60" s="133">
        <v>33.450000000000003</v>
      </c>
      <c r="M60" s="133">
        <v>36.54</v>
      </c>
      <c r="N60" s="133">
        <v>769.1</v>
      </c>
      <c r="O60" s="133">
        <v>0</v>
      </c>
      <c r="P60" s="133">
        <v>0.9</v>
      </c>
      <c r="Q60" s="133">
        <v>3.65</v>
      </c>
    </row>
    <row r="61" spans="1:17" customFormat="1">
      <c r="A61" s="111" t="s">
        <v>867</v>
      </c>
      <c r="B61" s="133">
        <v>6.71</v>
      </c>
      <c r="C61" s="133">
        <v>31.83</v>
      </c>
      <c r="D61" s="133">
        <v>23.36</v>
      </c>
      <c r="E61" s="133">
        <v>9.14</v>
      </c>
      <c r="F61" s="133">
        <v>8.36</v>
      </c>
      <c r="G61" s="133">
        <v>82.84</v>
      </c>
      <c r="H61" s="133">
        <v>28</v>
      </c>
      <c r="I61" s="133">
        <v>5.99</v>
      </c>
      <c r="J61" s="133">
        <v>0.72</v>
      </c>
      <c r="K61" s="133">
        <v>28.32</v>
      </c>
      <c r="L61" s="133">
        <v>33.450000000000003</v>
      </c>
      <c r="M61" s="133">
        <v>36.450000000000003</v>
      </c>
      <c r="N61" s="133">
        <v>723.3</v>
      </c>
      <c r="O61" s="133">
        <v>0</v>
      </c>
      <c r="P61" s="133">
        <v>0.89</v>
      </c>
      <c r="Q61" s="133">
        <v>3.61</v>
      </c>
    </row>
    <row r="62" spans="1:17" customFormat="1">
      <c r="A62" s="111" t="s">
        <v>868</v>
      </c>
      <c r="B62" s="133">
        <v>6.33</v>
      </c>
      <c r="C62" s="133">
        <v>30.21</v>
      </c>
      <c r="D62" s="133">
        <v>22.21</v>
      </c>
      <c r="E62" s="133">
        <v>9.61</v>
      </c>
      <c r="F62" s="133">
        <v>8.69</v>
      </c>
      <c r="G62" s="133">
        <v>82.84</v>
      </c>
      <c r="H62" s="133">
        <v>28</v>
      </c>
      <c r="I62" s="133">
        <v>5.82</v>
      </c>
      <c r="J62" s="133">
        <v>0.62</v>
      </c>
      <c r="K62" s="133">
        <v>30.15</v>
      </c>
      <c r="L62" s="133">
        <v>33.299999999999997</v>
      </c>
      <c r="M62" s="133">
        <v>36.6</v>
      </c>
      <c r="N62" s="133">
        <v>738.4</v>
      </c>
      <c r="O62" s="133">
        <v>0</v>
      </c>
      <c r="P62" s="133">
        <v>0.87</v>
      </c>
      <c r="Q62" s="133">
        <v>3.6</v>
      </c>
    </row>
    <row r="63" spans="1:17" customFormat="1">
      <c r="A63" s="111" t="s">
        <v>869</v>
      </c>
      <c r="B63" s="133">
        <v>5.98</v>
      </c>
      <c r="C63" s="133">
        <v>30.79</v>
      </c>
      <c r="D63" s="133">
        <v>22.23</v>
      </c>
      <c r="E63" s="133">
        <v>9.06</v>
      </c>
      <c r="F63" s="133">
        <v>6.32</v>
      </c>
      <c r="G63" s="133">
        <v>82.84</v>
      </c>
      <c r="H63" s="133">
        <v>28</v>
      </c>
      <c r="I63" s="133">
        <v>5.72</v>
      </c>
      <c r="J63" s="133">
        <v>0.47</v>
      </c>
      <c r="K63" s="133">
        <v>35.799999999999997</v>
      </c>
      <c r="L63" s="133">
        <v>33.450000000000003</v>
      </c>
      <c r="M63" s="133">
        <v>40.64</v>
      </c>
      <c r="N63" s="133">
        <v>701.5</v>
      </c>
      <c r="O63" s="133">
        <v>0</v>
      </c>
      <c r="P63" s="133">
        <v>0.86</v>
      </c>
      <c r="Q63" s="133">
        <v>3.57</v>
      </c>
    </row>
    <row r="64" spans="1:17" customFormat="1">
      <c r="A64" s="111" t="s">
        <v>870</v>
      </c>
      <c r="B64" s="133">
        <v>6.02</v>
      </c>
      <c r="C64" s="133">
        <v>29.97</v>
      </c>
      <c r="D64" s="133">
        <v>21.84</v>
      </c>
      <c r="E64" s="133">
        <v>8.67</v>
      </c>
      <c r="F64" s="133">
        <v>6.37</v>
      </c>
      <c r="G64" s="133">
        <v>81.62</v>
      </c>
      <c r="H64" s="133">
        <v>27.65</v>
      </c>
      <c r="I64" s="133">
        <v>5.62</v>
      </c>
      <c r="J64" s="133">
        <v>0.45</v>
      </c>
      <c r="K64" s="133">
        <v>16.07</v>
      </c>
      <c r="L64" s="133">
        <v>33.81</v>
      </c>
      <c r="M64" s="133">
        <v>40.909999999999997</v>
      </c>
      <c r="N64" s="133">
        <v>655.6</v>
      </c>
      <c r="O64" s="133">
        <v>0</v>
      </c>
      <c r="P64" s="133">
        <v>0.85</v>
      </c>
      <c r="Q64" s="133">
        <v>3.55</v>
      </c>
    </row>
    <row r="65" spans="1:17" customFormat="1">
      <c r="A65" s="111" t="s">
        <v>871</v>
      </c>
      <c r="B65" s="133">
        <v>6.15</v>
      </c>
      <c r="C65" s="133">
        <v>28.4</v>
      </c>
      <c r="D65" s="133">
        <v>21.12</v>
      </c>
      <c r="E65" s="133">
        <v>9.11</v>
      </c>
      <c r="F65" s="133">
        <v>7.74</v>
      </c>
      <c r="G65" s="133">
        <v>71.87</v>
      </c>
      <c r="H65" s="133">
        <v>25.43</v>
      </c>
      <c r="I65" s="133">
        <v>5.57</v>
      </c>
      <c r="J65" s="133">
        <v>0.49</v>
      </c>
      <c r="K65" s="133">
        <v>13.91</v>
      </c>
      <c r="L65" s="133">
        <v>33.53</v>
      </c>
      <c r="M65" s="133">
        <v>39.64</v>
      </c>
      <c r="N65" s="133">
        <v>645.1</v>
      </c>
      <c r="O65" s="133">
        <v>0</v>
      </c>
      <c r="P65" s="133">
        <v>0.72</v>
      </c>
      <c r="Q65" s="133">
        <v>3.53</v>
      </c>
    </row>
    <row r="66" spans="1:17" customFormat="1">
      <c r="A66" s="111" t="s">
        <v>872</v>
      </c>
      <c r="B66" s="133">
        <v>6.22</v>
      </c>
      <c r="C66" s="133">
        <v>26.77</v>
      </c>
      <c r="D66" s="133">
        <v>20.329999999999998</v>
      </c>
      <c r="E66" s="133">
        <v>9.32</v>
      </c>
      <c r="F66" s="133">
        <v>7.95</v>
      </c>
      <c r="G66" s="133">
        <v>71.87</v>
      </c>
      <c r="H66" s="133">
        <v>25.43</v>
      </c>
      <c r="I66" s="133">
        <v>5.47</v>
      </c>
      <c r="J66" s="133">
        <v>0.35</v>
      </c>
      <c r="K66" s="133">
        <v>13.32</v>
      </c>
      <c r="L66" s="133">
        <v>33.51</v>
      </c>
      <c r="M66" s="133">
        <v>37.020000000000003</v>
      </c>
      <c r="N66" s="133">
        <v>265.10000000000002</v>
      </c>
      <c r="O66" s="133">
        <v>0</v>
      </c>
      <c r="P66" s="133">
        <v>0.74</v>
      </c>
      <c r="Q66" s="133">
        <v>3.49</v>
      </c>
    </row>
    <row r="67" spans="1:17" customFormat="1">
      <c r="A67" s="111" t="s">
        <v>873</v>
      </c>
      <c r="B67" s="133">
        <v>6.31</v>
      </c>
      <c r="C67" s="133">
        <v>25.47</v>
      </c>
      <c r="D67" s="133">
        <v>19.72</v>
      </c>
      <c r="E67" s="133">
        <v>10.039999999999999</v>
      </c>
      <c r="F67" s="133">
        <v>9.8800000000000008</v>
      </c>
      <c r="G67" s="133">
        <v>71.87</v>
      </c>
      <c r="H67" s="133">
        <v>25.43</v>
      </c>
      <c r="I67" s="133">
        <v>5.48</v>
      </c>
      <c r="J67" s="133">
        <v>0.5</v>
      </c>
      <c r="K67" s="133">
        <v>40.44</v>
      </c>
      <c r="L67" s="133">
        <v>32.93</v>
      </c>
      <c r="M67" s="133">
        <v>40.03</v>
      </c>
      <c r="N67" s="133">
        <v>112.9</v>
      </c>
      <c r="O67" s="133">
        <v>0</v>
      </c>
      <c r="P67" s="133">
        <v>0.72</v>
      </c>
      <c r="Q67" s="133">
        <v>3.47</v>
      </c>
    </row>
    <row r="68" spans="1:17" customFormat="1">
      <c r="A68" s="111" t="s">
        <v>874</v>
      </c>
      <c r="B68" s="133">
        <v>6.26</v>
      </c>
      <c r="C68" s="133">
        <v>24.43</v>
      </c>
      <c r="D68" s="133">
        <v>19.14</v>
      </c>
      <c r="E68" s="133">
        <v>11.46</v>
      </c>
      <c r="F68" s="133">
        <v>14.32</v>
      </c>
      <c r="G68" s="133">
        <v>70.209999999999994</v>
      </c>
      <c r="H68" s="133">
        <v>25</v>
      </c>
      <c r="I68" s="133">
        <v>5.37</v>
      </c>
      <c r="J68" s="133">
        <v>0.28999999999999998</v>
      </c>
      <c r="K68" s="133">
        <v>353.89</v>
      </c>
      <c r="L68" s="133">
        <v>32.369999999999997</v>
      </c>
      <c r="M68" s="133">
        <v>37.049999999999997</v>
      </c>
      <c r="N68" s="133">
        <v>99.2</v>
      </c>
      <c r="O68" s="133">
        <v>0</v>
      </c>
      <c r="P68" s="133">
        <v>0.69</v>
      </c>
      <c r="Q68" s="133">
        <v>3.41</v>
      </c>
    </row>
    <row r="69" spans="1:17" customFormat="1">
      <c r="A69" s="111" t="s">
        <v>875</v>
      </c>
      <c r="B69" s="133">
        <v>6.53</v>
      </c>
      <c r="C69" s="133">
        <v>24.02</v>
      </c>
      <c r="D69" s="133">
        <v>19.14</v>
      </c>
      <c r="E69" s="133">
        <v>10.79</v>
      </c>
      <c r="F69" s="133">
        <v>9.58</v>
      </c>
      <c r="G69" s="133">
        <v>56.93</v>
      </c>
      <c r="H69" s="133">
        <v>22.29</v>
      </c>
      <c r="I69" s="133">
        <v>5.25</v>
      </c>
      <c r="J69" s="133">
        <v>0.33</v>
      </c>
      <c r="K69" s="133">
        <v>56.45</v>
      </c>
      <c r="L69" s="133">
        <v>32.29</v>
      </c>
      <c r="M69" s="133">
        <v>35.57</v>
      </c>
      <c r="N69" s="133">
        <v>101.5</v>
      </c>
      <c r="O69" s="133">
        <v>0</v>
      </c>
      <c r="P69" s="133">
        <v>0.69</v>
      </c>
      <c r="Q69" s="133">
        <v>3.39</v>
      </c>
    </row>
    <row r="70" spans="1:17" customFormat="1">
      <c r="A70" s="111" t="s">
        <v>876</v>
      </c>
      <c r="B70" s="133">
        <v>6.9</v>
      </c>
      <c r="C70" s="133">
        <v>24.45</v>
      </c>
      <c r="D70" s="133">
        <v>19.66</v>
      </c>
      <c r="E70" s="133">
        <v>12.29</v>
      </c>
      <c r="F70" s="133">
        <v>11.24</v>
      </c>
      <c r="G70" s="133">
        <v>56.93</v>
      </c>
      <c r="H70" s="133">
        <v>22.29</v>
      </c>
      <c r="I70" s="133">
        <v>4.9800000000000004</v>
      </c>
      <c r="J70" s="133">
        <v>0.38</v>
      </c>
      <c r="K70" s="133">
        <v>17.46</v>
      </c>
      <c r="L70" s="133">
        <v>32.270000000000003</v>
      </c>
      <c r="M70" s="133">
        <v>36.46</v>
      </c>
      <c r="N70" s="133">
        <v>282.39999999999998</v>
      </c>
      <c r="O70" s="133">
        <v>0</v>
      </c>
      <c r="P70" s="133">
        <v>0.68</v>
      </c>
      <c r="Q70" s="133">
        <v>3.39</v>
      </c>
    </row>
    <row r="71" spans="1:17" customFormat="1">
      <c r="A71" s="111" t="s">
        <v>877</v>
      </c>
      <c r="B71" s="133">
        <v>6.69</v>
      </c>
      <c r="C71" s="133">
        <v>23.99</v>
      </c>
      <c r="D71" s="133">
        <v>19.25</v>
      </c>
      <c r="E71" s="133">
        <v>14.45</v>
      </c>
      <c r="F71" s="133">
        <v>19.48</v>
      </c>
      <c r="G71" s="133">
        <v>56.93</v>
      </c>
      <c r="H71" s="133">
        <v>22.29</v>
      </c>
      <c r="I71" s="133">
        <v>5.07</v>
      </c>
      <c r="J71" s="133">
        <v>0.35</v>
      </c>
      <c r="K71" s="133">
        <v>56.91</v>
      </c>
      <c r="L71" s="133">
        <v>32.35</v>
      </c>
      <c r="M71" s="133">
        <v>34.92</v>
      </c>
      <c r="N71" s="133">
        <v>74.5</v>
      </c>
      <c r="O71" s="133">
        <v>0</v>
      </c>
      <c r="P71" s="133">
        <v>0.67</v>
      </c>
      <c r="Q71" s="133">
        <v>3.41</v>
      </c>
    </row>
    <row r="72" spans="1:17" customFormat="1">
      <c r="A72" s="111" t="s">
        <v>878</v>
      </c>
      <c r="B72" s="133">
        <v>6.41</v>
      </c>
      <c r="C72" s="133">
        <v>22.9</v>
      </c>
      <c r="D72" s="133">
        <v>18.46</v>
      </c>
      <c r="E72" s="133">
        <v>14.04</v>
      </c>
      <c r="F72" s="133">
        <v>24.57</v>
      </c>
      <c r="G72" s="133">
        <v>56.88</v>
      </c>
      <c r="H72" s="133">
        <v>21.39</v>
      </c>
      <c r="I72" s="133">
        <v>4.91</v>
      </c>
      <c r="J72" s="133">
        <v>0.34</v>
      </c>
      <c r="K72" s="133">
        <v>26.03</v>
      </c>
      <c r="L72" s="133">
        <v>31.93</v>
      </c>
      <c r="M72" s="133">
        <v>37.700000000000003</v>
      </c>
      <c r="N72" s="133">
        <v>54.3</v>
      </c>
      <c r="O72" s="133">
        <v>0</v>
      </c>
      <c r="P72" s="133">
        <v>0.64</v>
      </c>
      <c r="Q72" s="133">
        <v>3.42</v>
      </c>
    </row>
    <row r="73" spans="1:17" customFormat="1">
      <c r="A73" s="111" t="s">
        <v>879</v>
      </c>
      <c r="B73" s="133">
        <v>7.09</v>
      </c>
      <c r="C73" s="133">
        <v>24.19</v>
      </c>
      <c r="D73" s="133">
        <v>19.68</v>
      </c>
      <c r="E73" s="133">
        <v>13.15</v>
      </c>
      <c r="F73" s="133">
        <v>15.19</v>
      </c>
      <c r="G73" s="133">
        <v>56.46</v>
      </c>
      <c r="H73" s="133">
        <v>15.73</v>
      </c>
      <c r="I73" s="133">
        <v>4.6500000000000004</v>
      </c>
      <c r="J73" s="133">
        <v>0.46</v>
      </c>
      <c r="K73" s="133">
        <v>26.59</v>
      </c>
      <c r="L73" s="133">
        <v>31.72</v>
      </c>
      <c r="M73" s="133">
        <v>35.76</v>
      </c>
      <c r="N73" s="133">
        <v>46.1</v>
      </c>
      <c r="O73" s="133">
        <v>0</v>
      </c>
      <c r="P73" s="133">
        <v>0.66</v>
      </c>
      <c r="Q73" s="133">
        <v>3.43</v>
      </c>
    </row>
    <row r="74" spans="1:17" customFormat="1">
      <c r="A74" s="111" t="s">
        <v>880</v>
      </c>
      <c r="B74" s="133">
        <v>8.14</v>
      </c>
      <c r="C74" s="133">
        <v>28</v>
      </c>
      <c r="D74" s="133">
        <v>22.51</v>
      </c>
      <c r="E74" s="133">
        <v>13.57</v>
      </c>
      <c r="F74" s="133">
        <v>17.88</v>
      </c>
      <c r="G74" s="133">
        <v>56.46</v>
      </c>
      <c r="H74" s="133">
        <v>15.73</v>
      </c>
      <c r="I74" s="133">
        <v>4.34</v>
      </c>
      <c r="J74" s="133">
        <v>0.37</v>
      </c>
      <c r="K74" s="133">
        <v>22.48</v>
      </c>
      <c r="L74" s="133">
        <v>31.58</v>
      </c>
      <c r="M74" s="133">
        <v>36.67</v>
      </c>
      <c r="N74" s="133">
        <v>43.8</v>
      </c>
      <c r="O74" s="133">
        <v>0</v>
      </c>
      <c r="P74" s="133">
        <v>0.67</v>
      </c>
      <c r="Q74" s="133">
        <v>3.44</v>
      </c>
    </row>
    <row r="75" spans="1:17" customFormat="1">
      <c r="A75" s="111" t="s">
        <v>881</v>
      </c>
      <c r="B75" s="133">
        <v>8.23</v>
      </c>
      <c r="C75" s="133">
        <v>28.51</v>
      </c>
      <c r="D75" s="133">
        <v>22.85</v>
      </c>
      <c r="E75" s="133">
        <v>13.52</v>
      </c>
      <c r="F75" s="133">
        <v>17.100000000000001</v>
      </c>
      <c r="G75" s="133">
        <v>56.46</v>
      </c>
      <c r="H75" s="133">
        <v>15.73</v>
      </c>
      <c r="I75" s="133">
        <v>4.62</v>
      </c>
      <c r="J75" s="133">
        <v>0.19</v>
      </c>
      <c r="K75" s="133">
        <v>67</v>
      </c>
      <c r="L75" s="133">
        <v>31.32</v>
      </c>
      <c r="M75" s="133">
        <v>40.54</v>
      </c>
      <c r="N75" s="133">
        <v>28.2</v>
      </c>
      <c r="O75" s="133">
        <v>0</v>
      </c>
      <c r="P75" s="133">
        <v>0.67</v>
      </c>
      <c r="Q75" s="133">
        <v>3.49</v>
      </c>
    </row>
    <row r="76" spans="1:17" customFormat="1">
      <c r="A76" s="111" t="s">
        <v>882</v>
      </c>
      <c r="B76" s="133">
        <v>7.86</v>
      </c>
      <c r="C76" s="133">
        <v>28.5</v>
      </c>
      <c r="D76" s="133">
        <v>22.55</v>
      </c>
      <c r="E76" s="133">
        <v>13.48</v>
      </c>
      <c r="F76" s="133">
        <v>13.57</v>
      </c>
      <c r="G76" s="133">
        <v>56.57</v>
      </c>
      <c r="H76" s="133">
        <v>16.059999999999999</v>
      </c>
      <c r="I76" s="133">
        <v>4.57</v>
      </c>
      <c r="J76" s="133">
        <v>0.09</v>
      </c>
      <c r="K76" s="133">
        <v>116.37</v>
      </c>
      <c r="L76" s="133">
        <v>30.45</v>
      </c>
      <c r="M76" s="133">
        <v>49.59</v>
      </c>
      <c r="N76" s="133">
        <v>19.3</v>
      </c>
      <c r="O76" s="133">
        <v>0</v>
      </c>
      <c r="P76" s="133">
        <v>0.67</v>
      </c>
      <c r="Q76" s="133">
        <v>3.56</v>
      </c>
    </row>
    <row r="77" spans="1:17" customFormat="1">
      <c r="A77" s="111" t="s">
        <v>883</v>
      </c>
      <c r="B77" s="133">
        <v>7.07</v>
      </c>
      <c r="C77" s="133">
        <v>26.9</v>
      </c>
      <c r="D77" s="133">
        <v>21.08</v>
      </c>
      <c r="E77" s="133">
        <v>12.96</v>
      </c>
      <c r="F77" s="133">
        <v>14.25</v>
      </c>
      <c r="G77" s="133">
        <v>57.5</v>
      </c>
      <c r="H77" s="133">
        <v>17.98</v>
      </c>
      <c r="I77" s="133">
        <v>4.67</v>
      </c>
      <c r="J77" s="133">
        <v>0.27</v>
      </c>
      <c r="K77" s="133">
        <v>169.43</v>
      </c>
      <c r="L77" s="133">
        <v>29.43</v>
      </c>
      <c r="M77" s="133">
        <v>53.11</v>
      </c>
      <c r="N77" s="133">
        <v>11.3</v>
      </c>
      <c r="O77" s="133">
        <v>0</v>
      </c>
      <c r="P77" s="133">
        <v>0.66</v>
      </c>
      <c r="Q77" s="133">
        <v>3.65</v>
      </c>
    </row>
    <row r="78" spans="1:17" customFormat="1">
      <c r="A78" s="111" t="s">
        <v>884</v>
      </c>
      <c r="B78" s="133">
        <v>6.91</v>
      </c>
      <c r="C78" s="133">
        <v>26.49</v>
      </c>
      <c r="D78" s="133">
        <v>20.74</v>
      </c>
      <c r="E78" s="133">
        <v>11.04</v>
      </c>
      <c r="F78" s="133">
        <v>12.56</v>
      </c>
      <c r="G78" s="133">
        <v>57.5</v>
      </c>
      <c r="H78" s="133">
        <v>17.98</v>
      </c>
      <c r="I78" s="133">
        <v>4.53</v>
      </c>
      <c r="J78" s="133">
        <v>0.28000000000000003</v>
      </c>
      <c r="K78" s="133">
        <v>170.71</v>
      </c>
      <c r="L78" s="133">
        <v>28.83</v>
      </c>
      <c r="M78" s="133">
        <v>55.61</v>
      </c>
      <c r="N78" s="133">
        <v>2</v>
      </c>
      <c r="O78" s="133">
        <v>0</v>
      </c>
      <c r="P78" s="133">
        <v>0.67</v>
      </c>
      <c r="Q78" s="133">
        <v>3.74</v>
      </c>
    </row>
    <row r="79" spans="1:17" customFormat="1">
      <c r="A79" s="111" t="s">
        <v>885</v>
      </c>
      <c r="B79" s="133">
        <v>7.36</v>
      </c>
      <c r="C79" s="133">
        <v>28.36</v>
      </c>
      <c r="D79" s="133">
        <v>22.07</v>
      </c>
      <c r="E79" s="133">
        <v>10.93</v>
      </c>
      <c r="F79" s="133">
        <v>8.7200000000000006</v>
      </c>
      <c r="G79" s="133">
        <v>57.5</v>
      </c>
      <c r="H79" s="133">
        <v>17.98</v>
      </c>
      <c r="I79" s="133">
        <v>4.54</v>
      </c>
      <c r="J79" s="133">
        <v>0.2</v>
      </c>
      <c r="K79" s="133">
        <v>177.59</v>
      </c>
      <c r="L79" s="133">
        <v>28.34</v>
      </c>
      <c r="M79" s="133">
        <v>57.15</v>
      </c>
      <c r="N79" s="133">
        <v>0</v>
      </c>
      <c r="O79" s="133">
        <v>0</v>
      </c>
      <c r="P79" s="133">
        <v>0.75</v>
      </c>
      <c r="Q79" s="133">
        <v>3.79</v>
      </c>
    </row>
    <row r="80" spans="1:17" customFormat="1">
      <c r="A80" s="111" t="s">
        <v>886</v>
      </c>
      <c r="B80" s="133">
        <v>8.2899999999999991</v>
      </c>
      <c r="C80" s="133">
        <v>30.53</v>
      </c>
      <c r="D80" s="133">
        <v>23.95</v>
      </c>
      <c r="E80" s="133">
        <v>9.7100000000000009</v>
      </c>
      <c r="F80" s="133">
        <v>4.83</v>
      </c>
      <c r="G80" s="133">
        <v>59.85</v>
      </c>
      <c r="H80" s="133">
        <v>18.34</v>
      </c>
      <c r="I80" s="133">
        <v>4.6900000000000004</v>
      </c>
      <c r="J80" s="133">
        <v>0.22</v>
      </c>
      <c r="K80" s="133">
        <v>173.01</v>
      </c>
      <c r="L80" s="133">
        <v>27.94</v>
      </c>
      <c r="M80" s="133">
        <v>62.02</v>
      </c>
      <c r="N80" s="133">
        <v>0</v>
      </c>
      <c r="O80" s="133">
        <v>0</v>
      </c>
      <c r="P80" s="133">
        <v>0.77</v>
      </c>
      <c r="Q80" s="133">
        <v>3.9</v>
      </c>
    </row>
    <row r="81" spans="1:17" customFormat="1">
      <c r="A81" s="111" t="s">
        <v>887</v>
      </c>
      <c r="B81" s="133">
        <v>8.67</v>
      </c>
      <c r="C81" s="133">
        <v>29.6</v>
      </c>
      <c r="D81" s="133">
        <v>23.77</v>
      </c>
      <c r="E81" s="133">
        <v>7.39</v>
      </c>
      <c r="F81" s="133">
        <v>3.74</v>
      </c>
      <c r="G81" s="133">
        <v>78.67</v>
      </c>
      <c r="H81" s="133">
        <v>20.61</v>
      </c>
      <c r="I81" s="133">
        <v>4.9800000000000004</v>
      </c>
      <c r="J81" s="133">
        <v>0.23</v>
      </c>
      <c r="K81" s="133">
        <v>171.14</v>
      </c>
      <c r="L81" s="133">
        <v>27.49</v>
      </c>
      <c r="M81" s="133">
        <v>71.05</v>
      </c>
      <c r="N81" s="133">
        <v>0</v>
      </c>
      <c r="O81" s="133">
        <v>0</v>
      </c>
      <c r="P81" s="133">
        <v>0.76</v>
      </c>
      <c r="Q81" s="133">
        <v>4.04</v>
      </c>
    </row>
    <row r="82" spans="1:17" customFormat="1">
      <c r="A82" s="111" t="s">
        <v>888</v>
      </c>
      <c r="B82" s="133">
        <v>9.44</v>
      </c>
      <c r="C82" s="133">
        <v>29.55</v>
      </c>
      <c r="D82" s="133">
        <v>24.36</v>
      </c>
      <c r="E82" s="133">
        <v>8.26</v>
      </c>
      <c r="F82" s="133">
        <v>3.58</v>
      </c>
      <c r="G82" s="133">
        <v>78.67</v>
      </c>
      <c r="H82" s="133">
        <v>20.61</v>
      </c>
      <c r="I82" s="133">
        <v>5.22</v>
      </c>
      <c r="J82" s="133">
        <v>0.21</v>
      </c>
      <c r="K82" s="133">
        <v>184.62</v>
      </c>
      <c r="L82" s="133">
        <v>27.16</v>
      </c>
      <c r="M82" s="133">
        <v>75.75</v>
      </c>
      <c r="N82" s="133">
        <v>0</v>
      </c>
      <c r="O82" s="133">
        <v>0</v>
      </c>
      <c r="P82" s="133">
        <v>0.78</v>
      </c>
      <c r="Q82" s="133">
        <v>4.2</v>
      </c>
    </row>
    <row r="83" spans="1:17" customFormat="1">
      <c r="A83" s="111" t="s">
        <v>889</v>
      </c>
      <c r="B83" s="133">
        <v>9.68</v>
      </c>
      <c r="C83" s="133">
        <v>27.75</v>
      </c>
      <c r="D83" s="133">
        <v>23.61</v>
      </c>
      <c r="E83" s="133">
        <v>7.93</v>
      </c>
      <c r="F83" s="133">
        <v>5.3</v>
      </c>
      <c r="G83" s="133">
        <v>78.67</v>
      </c>
      <c r="H83" s="133">
        <v>20.61</v>
      </c>
      <c r="I83" s="133">
        <v>5.38</v>
      </c>
      <c r="J83" s="133">
        <v>0.17</v>
      </c>
      <c r="K83" s="133">
        <v>199.04</v>
      </c>
      <c r="L83" s="133">
        <v>26.52</v>
      </c>
      <c r="M83" s="133">
        <v>77.25</v>
      </c>
      <c r="N83" s="133">
        <v>0</v>
      </c>
      <c r="O83" s="133">
        <v>0</v>
      </c>
      <c r="P83" s="133">
        <v>0.76</v>
      </c>
      <c r="Q83" s="133">
        <v>4.2699999999999996</v>
      </c>
    </row>
    <row r="84" spans="1:17" customFormat="1">
      <c r="A84" s="111" t="s">
        <v>890</v>
      </c>
      <c r="B84" s="133">
        <v>9.83</v>
      </c>
      <c r="C84" s="133">
        <v>27.19</v>
      </c>
      <c r="D84" s="133">
        <v>23.44</v>
      </c>
      <c r="E84" s="133">
        <v>8.0299999999999994</v>
      </c>
      <c r="F84" s="133">
        <v>4.97</v>
      </c>
      <c r="G84" s="133">
        <v>78.78</v>
      </c>
      <c r="H84" s="133">
        <v>20.65</v>
      </c>
      <c r="I84" s="133">
        <v>5.61</v>
      </c>
      <c r="J84" s="133">
        <v>0.14000000000000001</v>
      </c>
      <c r="K84" s="133">
        <v>183.45</v>
      </c>
      <c r="L84" s="133">
        <v>26.3</v>
      </c>
      <c r="M84" s="133">
        <v>74.41</v>
      </c>
      <c r="N84" s="133">
        <v>0</v>
      </c>
      <c r="O84" s="133">
        <v>0</v>
      </c>
      <c r="P84" s="133">
        <v>0.78</v>
      </c>
      <c r="Q84" s="133">
        <v>4.3099999999999996</v>
      </c>
    </row>
    <row r="85" spans="1:17" customFormat="1">
      <c r="A85" s="111" t="s">
        <v>891</v>
      </c>
      <c r="B85" s="133">
        <v>9.91</v>
      </c>
      <c r="C85" s="133">
        <v>26.92</v>
      </c>
      <c r="D85" s="133">
        <v>23.37</v>
      </c>
      <c r="E85" s="133">
        <v>7.74</v>
      </c>
      <c r="F85" s="133">
        <v>4.29</v>
      </c>
      <c r="G85" s="133">
        <v>79.72</v>
      </c>
      <c r="H85" s="133">
        <v>20.9</v>
      </c>
      <c r="I85" s="133">
        <v>5.6</v>
      </c>
      <c r="J85" s="133">
        <v>0.15</v>
      </c>
      <c r="K85" s="133">
        <v>174.43</v>
      </c>
      <c r="L85" s="133">
        <v>26.28</v>
      </c>
      <c r="M85" s="133">
        <v>81.69</v>
      </c>
      <c r="N85" s="133">
        <v>0</v>
      </c>
      <c r="O85" s="133">
        <v>0</v>
      </c>
      <c r="P85" s="133">
        <v>0.79</v>
      </c>
      <c r="Q85" s="133">
        <v>4.32</v>
      </c>
    </row>
    <row r="86" spans="1:17" customFormat="1">
      <c r="A86" s="111" t="s">
        <v>892</v>
      </c>
      <c r="B86" s="133">
        <v>9.9</v>
      </c>
      <c r="C86" s="133">
        <v>26.97</v>
      </c>
      <c r="D86" s="133">
        <v>23.38</v>
      </c>
      <c r="E86" s="133">
        <v>7.67</v>
      </c>
      <c r="F86" s="133">
        <v>3.92</v>
      </c>
      <c r="G86" s="133">
        <v>79.72</v>
      </c>
      <c r="H86" s="133">
        <v>20.9</v>
      </c>
      <c r="I86" s="133">
        <v>5.68</v>
      </c>
      <c r="J86" s="133">
        <v>0.14000000000000001</v>
      </c>
      <c r="K86" s="133">
        <v>229.11</v>
      </c>
      <c r="L86" s="133">
        <v>25.85</v>
      </c>
      <c r="M86" s="133">
        <v>83.42</v>
      </c>
      <c r="N86" s="133">
        <v>0</v>
      </c>
      <c r="O86" s="133">
        <v>0</v>
      </c>
      <c r="P86" s="133">
        <v>0.8</v>
      </c>
      <c r="Q86" s="133">
        <v>4.3499999999999996</v>
      </c>
    </row>
    <row r="87" spans="1:17" customFormat="1">
      <c r="A87" s="111" t="s">
        <v>893</v>
      </c>
      <c r="B87" s="133">
        <v>10.029999999999999</v>
      </c>
      <c r="C87" s="133">
        <v>27.03</v>
      </c>
      <c r="D87" s="133">
        <v>23.52</v>
      </c>
      <c r="E87" s="133">
        <v>7.57</v>
      </c>
      <c r="F87" s="133">
        <v>3.58</v>
      </c>
      <c r="G87" s="133">
        <v>79.72</v>
      </c>
      <c r="H87" s="133">
        <v>20.9</v>
      </c>
      <c r="I87" s="133">
        <v>5.76</v>
      </c>
      <c r="J87" s="133">
        <v>0.1</v>
      </c>
      <c r="K87" s="133">
        <v>163.41</v>
      </c>
      <c r="L87" s="133">
        <v>25.56</v>
      </c>
      <c r="M87" s="133">
        <v>80.38</v>
      </c>
      <c r="N87" s="133">
        <v>0</v>
      </c>
      <c r="O87" s="133">
        <v>0</v>
      </c>
      <c r="P87" s="133">
        <v>0.81</v>
      </c>
      <c r="Q87" s="133">
        <v>4.34</v>
      </c>
    </row>
    <row r="88" spans="1:17" customFormat="1">
      <c r="A88" s="111" t="s">
        <v>894</v>
      </c>
      <c r="B88" s="133">
        <v>9.92</v>
      </c>
      <c r="C88" s="133">
        <v>27.16</v>
      </c>
      <c r="D88" s="133">
        <v>23.5</v>
      </c>
      <c r="E88" s="133">
        <v>7.54</v>
      </c>
      <c r="F88" s="133">
        <v>3.58</v>
      </c>
      <c r="G88" s="133">
        <v>78.48</v>
      </c>
      <c r="H88" s="133">
        <v>20.68</v>
      </c>
      <c r="I88" s="133">
        <v>5.88</v>
      </c>
      <c r="J88" s="133">
        <v>0.25</v>
      </c>
      <c r="K88" s="133">
        <v>165.92</v>
      </c>
      <c r="L88" s="133">
        <v>25.71</v>
      </c>
      <c r="M88" s="133">
        <v>83.33</v>
      </c>
      <c r="N88" s="133">
        <v>0</v>
      </c>
      <c r="O88" s="133">
        <v>0</v>
      </c>
      <c r="P88" s="133">
        <v>0.81</v>
      </c>
      <c r="Q88" s="133">
        <v>4.32</v>
      </c>
    </row>
    <row r="89" spans="1:17" customFormat="1">
      <c r="A89" s="111" t="s">
        <v>895</v>
      </c>
      <c r="B89" s="133">
        <v>9.9499999999999993</v>
      </c>
      <c r="C89" s="133">
        <v>27.17</v>
      </c>
      <c r="D89" s="133">
        <v>23.52</v>
      </c>
      <c r="E89" s="133">
        <v>7.79</v>
      </c>
      <c r="F89" s="133">
        <v>3.34</v>
      </c>
      <c r="G89" s="133">
        <v>68.61</v>
      </c>
      <c r="H89" s="133">
        <v>19.25</v>
      </c>
      <c r="I89" s="133">
        <v>5.92</v>
      </c>
      <c r="J89" s="133">
        <v>0.14000000000000001</v>
      </c>
      <c r="K89" s="133">
        <v>168.79</v>
      </c>
      <c r="L89" s="133">
        <v>25.72</v>
      </c>
      <c r="M89" s="133">
        <v>82.26</v>
      </c>
      <c r="N89" s="133">
        <v>0</v>
      </c>
      <c r="O89" s="133">
        <v>0</v>
      </c>
      <c r="P89" s="133">
        <v>0.82</v>
      </c>
      <c r="Q89" s="133">
        <v>4.2699999999999996</v>
      </c>
    </row>
    <row r="90" spans="1:17" customFormat="1">
      <c r="A90" s="111" t="s">
        <v>896</v>
      </c>
      <c r="B90" s="133">
        <v>10.1</v>
      </c>
      <c r="C90" s="133">
        <v>27.24</v>
      </c>
      <c r="D90" s="133">
        <v>23.68</v>
      </c>
      <c r="E90" s="133">
        <v>7.79</v>
      </c>
      <c r="F90" s="133">
        <v>3.01</v>
      </c>
      <c r="G90" s="133">
        <v>68.61</v>
      </c>
      <c r="H90" s="133">
        <v>19.25</v>
      </c>
      <c r="I90" s="133">
        <v>5.97</v>
      </c>
      <c r="J90" s="133">
        <v>0.13</v>
      </c>
      <c r="K90" s="133">
        <v>196.87</v>
      </c>
      <c r="L90" s="133">
        <v>25.61</v>
      </c>
      <c r="M90" s="133">
        <v>77</v>
      </c>
      <c r="N90" s="133">
        <v>0</v>
      </c>
      <c r="O90" s="133">
        <v>0</v>
      </c>
      <c r="P90" s="133">
        <v>0.83</v>
      </c>
      <c r="Q90" s="133">
        <v>4.26</v>
      </c>
    </row>
    <row r="91" spans="1:17" customFormat="1">
      <c r="A91" s="111" t="s">
        <v>897</v>
      </c>
      <c r="B91" s="133">
        <v>9.98</v>
      </c>
      <c r="C91" s="133">
        <v>27.37</v>
      </c>
      <c r="D91" s="133">
        <v>23.65</v>
      </c>
      <c r="E91" s="133">
        <v>7.73</v>
      </c>
      <c r="F91" s="133">
        <v>2.95</v>
      </c>
      <c r="G91" s="133">
        <v>68.61</v>
      </c>
      <c r="H91" s="133">
        <v>19.25</v>
      </c>
      <c r="I91" s="133">
        <v>6.04</v>
      </c>
      <c r="J91" s="133">
        <v>0.16</v>
      </c>
      <c r="K91" s="133">
        <v>224.46</v>
      </c>
      <c r="L91" s="133">
        <v>25.34</v>
      </c>
      <c r="M91" s="133">
        <v>82.96</v>
      </c>
      <c r="N91" s="133">
        <v>0</v>
      </c>
      <c r="O91" s="133">
        <v>0</v>
      </c>
      <c r="P91" s="133">
        <v>0.83</v>
      </c>
      <c r="Q91" s="133">
        <v>4.2</v>
      </c>
    </row>
    <row r="92" spans="1:17" customFormat="1">
      <c r="A92" s="111" t="s">
        <v>898</v>
      </c>
      <c r="B92" s="133">
        <v>10.02</v>
      </c>
      <c r="C92" s="133">
        <v>27.29</v>
      </c>
      <c r="D92" s="133">
        <v>23.65</v>
      </c>
      <c r="E92" s="133">
        <v>7.76</v>
      </c>
      <c r="F92" s="133">
        <v>2.8</v>
      </c>
      <c r="G92" s="133">
        <v>68.099999999999994</v>
      </c>
      <c r="H92" s="133">
        <v>19.13</v>
      </c>
      <c r="I92" s="133">
        <v>6.16</v>
      </c>
      <c r="J92" s="133">
        <v>0.14000000000000001</v>
      </c>
      <c r="K92" s="133">
        <v>228.15</v>
      </c>
      <c r="L92" s="133">
        <v>25.07</v>
      </c>
      <c r="M92" s="133">
        <v>83.31</v>
      </c>
      <c r="N92" s="133">
        <v>0</v>
      </c>
      <c r="O92" s="133">
        <v>0</v>
      </c>
      <c r="P92" s="133">
        <v>0.84</v>
      </c>
      <c r="Q92" s="133">
        <v>4.16</v>
      </c>
    </row>
    <row r="93" spans="1:17" customFormat="1">
      <c r="A93" s="111" t="s">
        <v>899</v>
      </c>
      <c r="B93" s="133">
        <v>10.09</v>
      </c>
      <c r="C93" s="133">
        <v>27.55</v>
      </c>
      <c r="D93" s="133">
        <v>23.84</v>
      </c>
      <c r="E93" s="133">
        <v>7.83</v>
      </c>
      <c r="F93" s="133">
        <v>2.71</v>
      </c>
      <c r="G93" s="133">
        <v>64.03</v>
      </c>
      <c r="H93" s="133">
        <v>18.36</v>
      </c>
      <c r="I93" s="133">
        <v>6.2</v>
      </c>
      <c r="J93" s="133">
        <v>0.14000000000000001</v>
      </c>
      <c r="K93" s="133">
        <v>228.19</v>
      </c>
      <c r="L93" s="133">
        <v>25.11</v>
      </c>
      <c r="M93" s="133">
        <v>82.81</v>
      </c>
      <c r="N93" s="133">
        <v>0</v>
      </c>
      <c r="O93" s="133">
        <v>0</v>
      </c>
      <c r="P93" s="133">
        <v>0.85</v>
      </c>
      <c r="Q93" s="133">
        <v>4.1100000000000003</v>
      </c>
    </row>
    <row r="94" spans="1:17" customFormat="1">
      <c r="A94" s="111" t="s">
        <v>900</v>
      </c>
      <c r="B94" s="133">
        <v>10.220000000000001</v>
      </c>
      <c r="C94" s="133">
        <v>27.91</v>
      </c>
      <c r="D94" s="133">
        <v>24.13</v>
      </c>
      <c r="E94" s="133">
        <v>7.73</v>
      </c>
      <c r="F94" s="133">
        <v>2.59</v>
      </c>
      <c r="G94" s="133">
        <v>64.03</v>
      </c>
      <c r="H94" s="133">
        <v>18.36</v>
      </c>
      <c r="I94" s="133">
        <v>6.31</v>
      </c>
      <c r="J94" s="133">
        <v>0.14000000000000001</v>
      </c>
      <c r="K94" s="133">
        <v>204.46</v>
      </c>
      <c r="L94" s="133">
        <v>25.32</v>
      </c>
      <c r="M94" s="133">
        <v>80.709999999999994</v>
      </c>
      <c r="N94" s="133">
        <v>0</v>
      </c>
      <c r="O94" s="133">
        <v>0</v>
      </c>
      <c r="P94" s="133">
        <v>0.87</v>
      </c>
      <c r="Q94" s="133">
        <v>4.0999999999999996</v>
      </c>
    </row>
    <row r="95" spans="1:17" customFormat="1">
      <c r="A95" s="111" t="s">
        <v>901</v>
      </c>
      <c r="B95" s="133">
        <v>10.32</v>
      </c>
      <c r="C95" s="133">
        <v>28.27</v>
      </c>
      <c r="D95" s="133">
        <v>24.4</v>
      </c>
      <c r="E95" s="133">
        <v>7.87</v>
      </c>
      <c r="F95" s="133">
        <v>2.63</v>
      </c>
      <c r="G95" s="133">
        <v>64.03</v>
      </c>
      <c r="H95" s="133">
        <v>18.36</v>
      </c>
      <c r="I95" s="133">
        <v>6.42</v>
      </c>
      <c r="J95" s="133">
        <v>0.12</v>
      </c>
      <c r="K95" s="133">
        <v>197.8</v>
      </c>
      <c r="L95" s="133">
        <v>25.34</v>
      </c>
      <c r="M95" s="133">
        <v>79.040000000000006</v>
      </c>
      <c r="N95" s="133">
        <v>0</v>
      </c>
      <c r="O95" s="133">
        <v>0</v>
      </c>
      <c r="P95" s="133">
        <v>0.89</v>
      </c>
      <c r="Q95" s="133">
        <v>4.0599999999999996</v>
      </c>
    </row>
    <row r="96" spans="1:17" customFormat="1">
      <c r="A96" s="111" t="s">
        <v>902</v>
      </c>
      <c r="B96" s="133">
        <v>10.48</v>
      </c>
      <c r="C96" s="133">
        <v>28.53</v>
      </c>
      <c r="D96" s="133">
        <v>24.66</v>
      </c>
      <c r="E96" s="133">
        <v>7.51</v>
      </c>
      <c r="F96" s="133">
        <v>2.7</v>
      </c>
      <c r="G96" s="133">
        <v>64.42</v>
      </c>
      <c r="H96" s="133">
        <v>18.73</v>
      </c>
      <c r="I96" s="133">
        <v>6.6</v>
      </c>
      <c r="J96" s="133">
        <v>0.11</v>
      </c>
      <c r="K96" s="133">
        <v>215.84</v>
      </c>
      <c r="L96" s="133">
        <v>24.95</v>
      </c>
      <c r="M96" s="133">
        <v>84.38</v>
      </c>
      <c r="N96" s="133">
        <v>0</v>
      </c>
      <c r="O96" s="133">
        <v>0</v>
      </c>
      <c r="P96" s="133">
        <v>0.9</v>
      </c>
      <c r="Q96" s="133">
        <v>4.0599999999999996</v>
      </c>
    </row>
    <row r="97" spans="1:22" customFormat="1">
      <c r="A97" s="111" t="s">
        <v>903</v>
      </c>
      <c r="B97" s="133">
        <v>10.69</v>
      </c>
      <c r="C97" s="133">
        <v>28.54</v>
      </c>
      <c r="D97" s="133">
        <v>24.83</v>
      </c>
      <c r="E97" s="133">
        <v>8.25</v>
      </c>
      <c r="F97" s="133">
        <v>2.54</v>
      </c>
      <c r="G97" s="133">
        <v>67.5</v>
      </c>
      <c r="H97" s="133">
        <v>21.09</v>
      </c>
      <c r="I97" s="133">
        <v>6.72</v>
      </c>
      <c r="J97" s="133">
        <v>0.13</v>
      </c>
      <c r="K97" s="133">
        <v>197.09</v>
      </c>
      <c r="L97" s="133">
        <v>24.75</v>
      </c>
      <c r="M97" s="133">
        <v>87.5</v>
      </c>
      <c r="N97" s="133">
        <v>0</v>
      </c>
      <c r="O97" s="133">
        <v>0</v>
      </c>
      <c r="P97" s="133">
        <v>0.91</v>
      </c>
      <c r="Q97" s="133">
        <v>4.05</v>
      </c>
    </row>
    <row r="98" spans="1:22" customFormat="1">
      <c r="A98" s="111" t="s">
        <v>904</v>
      </c>
      <c r="B98" s="133">
        <v>10.81</v>
      </c>
      <c r="C98" s="133">
        <v>28.65</v>
      </c>
      <c r="D98" s="133">
        <v>24.99</v>
      </c>
      <c r="E98" s="133">
        <v>8.18</v>
      </c>
      <c r="F98" s="133">
        <v>2.5</v>
      </c>
      <c r="G98" s="133">
        <v>67.5</v>
      </c>
      <c r="H98" s="133">
        <v>21.09</v>
      </c>
      <c r="I98" s="133">
        <v>6.82</v>
      </c>
      <c r="J98" s="133">
        <v>0.12</v>
      </c>
      <c r="K98" s="133">
        <v>177.34</v>
      </c>
      <c r="L98" s="133">
        <v>24.59</v>
      </c>
      <c r="M98" s="133">
        <v>85.62</v>
      </c>
      <c r="N98" s="133">
        <v>0</v>
      </c>
      <c r="O98" s="133">
        <v>0</v>
      </c>
      <c r="P98" s="133">
        <v>0.93</v>
      </c>
      <c r="Q98" s="133">
        <v>4.04</v>
      </c>
    </row>
    <row r="99" spans="1:22" customFormat="1">
      <c r="A99" s="111" t="s">
        <v>905</v>
      </c>
      <c r="B99" s="133">
        <v>10.94</v>
      </c>
      <c r="C99" s="133">
        <v>28.91</v>
      </c>
      <c r="D99" s="133">
        <v>25.23</v>
      </c>
      <c r="E99" s="133">
        <v>7.83</v>
      </c>
      <c r="F99" s="133">
        <v>2.54</v>
      </c>
      <c r="G99" s="133">
        <v>67.5</v>
      </c>
      <c r="H99" s="133">
        <v>21.09</v>
      </c>
      <c r="I99" s="133">
        <v>6.91</v>
      </c>
      <c r="J99" s="133">
        <v>0.1</v>
      </c>
      <c r="K99" s="133">
        <v>197.54</v>
      </c>
      <c r="L99" s="133">
        <v>24.42</v>
      </c>
      <c r="M99" s="133">
        <v>87.63</v>
      </c>
      <c r="N99" s="133">
        <v>0</v>
      </c>
      <c r="O99" s="133">
        <v>0</v>
      </c>
      <c r="P99" s="133">
        <v>0.93</v>
      </c>
      <c r="Q99" s="133">
        <v>4.0199999999999996</v>
      </c>
    </row>
    <row r="100" spans="1:22" customFormat="1">
      <c r="A100" s="111" t="s">
        <v>906</v>
      </c>
      <c r="B100" s="133">
        <v>10.91</v>
      </c>
      <c r="C100" s="133">
        <v>29.1</v>
      </c>
      <c r="D100" s="133">
        <v>25.31</v>
      </c>
      <c r="E100" s="133">
        <v>7.59</v>
      </c>
      <c r="F100" s="133">
        <v>2.5299999999999998</v>
      </c>
      <c r="G100" s="133">
        <v>67.540000000000006</v>
      </c>
      <c r="H100" s="133">
        <v>21.03</v>
      </c>
      <c r="I100" s="133">
        <v>6.98</v>
      </c>
      <c r="J100" s="133">
        <v>0.14000000000000001</v>
      </c>
      <c r="K100" s="133">
        <v>191.86</v>
      </c>
      <c r="L100" s="133">
        <v>24.33</v>
      </c>
      <c r="M100" s="133">
        <v>86.02</v>
      </c>
      <c r="N100" s="133">
        <v>0</v>
      </c>
      <c r="O100" s="133">
        <v>0</v>
      </c>
      <c r="P100" s="133">
        <v>0.93</v>
      </c>
      <c r="Q100" s="133">
        <v>3.99</v>
      </c>
    </row>
    <row r="101" spans="1:22" customFormat="1">
      <c r="A101" s="111" t="s">
        <v>907</v>
      </c>
      <c r="B101" s="133">
        <v>10.96</v>
      </c>
      <c r="C101" s="133">
        <v>29.15</v>
      </c>
      <c r="D101" s="133">
        <v>25.38</v>
      </c>
      <c r="E101" s="133">
        <v>7.98</v>
      </c>
      <c r="F101" s="133">
        <v>2.58</v>
      </c>
      <c r="G101" s="133">
        <v>67.86</v>
      </c>
      <c r="H101" s="133">
        <v>20.71</v>
      </c>
      <c r="I101" s="133">
        <v>6.99</v>
      </c>
      <c r="J101" s="133">
        <v>0.13</v>
      </c>
      <c r="K101" s="133">
        <v>204.47</v>
      </c>
      <c r="L101" s="133">
        <v>24.34</v>
      </c>
      <c r="M101" s="133">
        <v>84.4</v>
      </c>
      <c r="N101" s="133">
        <v>0</v>
      </c>
      <c r="O101" s="133">
        <v>0</v>
      </c>
      <c r="P101" s="133">
        <v>0.94</v>
      </c>
      <c r="Q101" s="133">
        <v>3.99</v>
      </c>
    </row>
    <row r="102" spans="1:22" customFormat="1">
      <c r="A102" s="111" t="s">
        <v>908</v>
      </c>
      <c r="B102" s="133">
        <v>10.9</v>
      </c>
      <c r="C102" s="133">
        <v>29.09</v>
      </c>
      <c r="D102" s="133">
        <v>25.29</v>
      </c>
      <c r="E102" s="133">
        <v>8.43</v>
      </c>
      <c r="F102" s="133">
        <v>2.67</v>
      </c>
      <c r="G102" s="133">
        <v>67.86</v>
      </c>
      <c r="H102" s="133">
        <v>20.71</v>
      </c>
      <c r="I102" s="133">
        <v>7</v>
      </c>
      <c r="J102" s="133">
        <v>0.11</v>
      </c>
      <c r="K102" s="133">
        <v>204.95</v>
      </c>
      <c r="L102" s="133">
        <v>24.36</v>
      </c>
      <c r="M102" s="133">
        <v>84.45</v>
      </c>
      <c r="N102" s="133">
        <v>0</v>
      </c>
      <c r="O102" s="133">
        <v>0</v>
      </c>
      <c r="P102" s="133">
        <v>0.92</v>
      </c>
      <c r="Q102" s="133">
        <v>3.97</v>
      </c>
    </row>
    <row r="103" spans="1:22" customFormat="1">
      <c r="A103" s="111" t="s">
        <v>909</v>
      </c>
      <c r="B103" s="133">
        <v>10.92</v>
      </c>
      <c r="C103" s="133">
        <v>29.35</v>
      </c>
      <c r="D103" s="133">
        <v>25.44</v>
      </c>
      <c r="E103" s="133">
        <v>8.5299999999999994</v>
      </c>
      <c r="F103" s="133">
        <v>2.63</v>
      </c>
      <c r="G103" s="133">
        <v>67.86</v>
      </c>
      <c r="H103" s="133">
        <v>20.71</v>
      </c>
      <c r="I103" s="133">
        <v>6.98</v>
      </c>
      <c r="J103" s="133">
        <v>0.1</v>
      </c>
      <c r="K103" s="133">
        <v>210.66</v>
      </c>
      <c r="L103" s="133">
        <v>24.28</v>
      </c>
      <c r="M103" s="133">
        <v>84.91</v>
      </c>
      <c r="N103" s="133">
        <v>0</v>
      </c>
      <c r="O103" s="133">
        <v>0</v>
      </c>
      <c r="P103" s="133">
        <v>0.92</v>
      </c>
      <c r="Q103" s="133">
        <v>3.92</v>
      </c>
    </row>
    <row r="104" spans="1:22" customFormat="1">
      <c r="A104" s="111" t="s">
        <v>910</v>
      </c>
      <c r="B104" s="133">
        <v>11.11</v>
      </c>
      <c r="C104" s="133">
        <v>29.08</v>
      </c>
      <c r="D104" s="133">
        <v>25.46</v>
      </c>
      <c r="E104" s="133">
        <v>8.19</v>
      </c>
      <c r="F104" s="133">
        <v>2.72</v>
      </c>
      <c r="G104" s="133">
        <v>67.44</v>
      </c>
      <c r="H104" s="133">
        <v>20.56</v>
      </c>
      <c r="I104" s="133">
        <v>6.93</v>
      </c>
      <c r="J104" s="133">
        <v>0.11</v>
      </c>
      <c r="K104" s="133">
        <v>234.52</v>
      </c>
      <c r="L104" s="133">
        <v>24.16</v>
      </c>
      <c r="M104" s="133">
        <v>86.21</v>
      </c>
      <c r="N104" s="133">
        <v>0</v>
      </c>
      <c r="O104" s="133">
        <v>0</v>
      </c>
      <c r="P104" s="133">
        <v>0.92</v>
      </c>
      <c r="Q104" s="133">
        <v>3.92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5.98</v>
      </c>
      <c r="C106" s="183">
        <f>MIN(C9:C104)</f>
        <v>22.9</v>
      </c>
      <c r="D106" s="183">
        <f t="shared" ref="D106:Q106" si="0">MIN(D9:D104)</f>
        <v>18.46</v>
      </c>
      <c r="E106" s="183">
        <f t="shared" si="0"/>
        <v>5.28</v>
      </c>
      <c r="F106" s="183">
        <f t="shared" si="0"/>
        <v>2.29</v>
      </c>
      <c r="G106" s="183">
        <f t="shared" si="0"/>
        <v>55.93</v>
      </c>
      <c r="H106" s="183">
        <f t="shared" si="0"/>
        <v>15.73</v>
      </c>
      <c r="I106" s="183">
        <f t="shared" si="0"/>
        <v>4.34</v>
      </c>
      <c r="J106" s="183">
        <f t="shared" si="0"/>
        <v>0.02</v>
      </c>
      <c r="K106" s="183">
        <f t="shared" si="0"/>
        <v>9.93</v>
      </c>
      <c r="L106" s="183">
        <f t="shared" si="0"/>
        <v>21.95</v>
      </c>
      <c r="M106" s="183">
        <f t="shared" si="0"/>
        <v>34.92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3.39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27.4</v>
      </c>
      <c r="C107" s="184">
        <f t="shared" ref="C107:Q107" si="1">MAX(C9:C104)</f>
        <v>35.700000000000003</v>
      </c>
      <c r="D107" s="184">
        <f t="shared" si="1"/>
        <v>37.880000000000003</v>
      </c>
      <c r="E107" s="184">
        <f t="shared" si="1"/>
        <v>18.190000000000001</v>
      </c>
      <c r="F107" s="184">
        <f t="shared" si="1"/>
        <v>24.57</v>
      </c>
      <c r="G107" s="184">
        <f t="shared" si="1"/>
        <v>119.32</v>
      </c>
      <c r="H107" s="184">
        <f t="shared" si="1"/>
        <v>40.119999999999997</v>
      </c>
      <c r="I107" s="184">
        <f t="shared" si="1"/>
        <v>7.26</v>
      </c>
      <c r="J107" s="184">
        <f t="shared" si="1"/>
        <v>0.72</v>
      </c>
      <c r="K107" s="184">
        <f t="shared" si="1"/>
        <v>359.17</v>
      </c>
      <c r="L107" s="184">
        <f t="shared" si="1"/>
        <v>33.81</v>
      </c>
      <c r="M107" s="184">
        <f t="shared" si="1"/>
        <v>92.55</v>
      </c>
      <c r="N107" s="184">
        <f t="shared" si="1"/>
        <v>804.6</v>
      </c>
      <c r="O107" s="184">
        <f t="shared" si="1"/>
        <v>0</v>
      </c>
      <c r="P107" s="184">
        <f t="shared" si="1"/>
        <v>1.03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13.944375000000006</v>
      </c>
      <c r="C108" s="183">
        <f t="shared" ref="C108:Q108" si="2">AVERAGE(C9:C104)</f>
        <v>29.043229166666681</v>
      </c>
      <c r="D108" s="183">
        <f t="shared" si="2"/>
        <v>27.708437500000006</v>
      </c>
      <c r="E108" s="183">
        <f t="shared" si="2"/>
        <v>8.770624999999999</v>
      </c>
      <c r="F108" s="183">
        <f t="shared" si="2"/>
        <v>5.2744791666666666</v>
      </c>
      <c r="G108" s="183">
        <f t="shared" si="2"/>
        <v>77.876145833333325</v>
      </c>
      <c r="H108" s="183">
        <f t="shared" si="2"/>
        <v>26.014583333333338</v>
      </c>
      <c r="I108" s="183">
        <f t="shared" si="2"/>
        <v>6.255416666666668</v>
      </c>
      <c r="J108" s="183">
        <f t="shared" si="2"/>
        <v>0.22312500000000005</v>
      </c>
      <c r="K108" s="183">
        <f t="shared" si="2"/>
        <v>161.97885416666671</v>
      </c>
      <c r="L108" s="183">
        <f t="shared" si="2"/>
        <v>27.296875000000011</v>
      </c>
      <c r="M108" s="183">
        <f t="shared" si="2"/>
        <v>67.19083333333333</v>
      </c>
      <c r="N108" s="183">
        <f t="shared" si="2"/>
        <v>181.984375</v>
      </c>
      <c r="O108" s="183">
        <f t="shared" si="2"/>
        <v>0</v>
      </c>
      <c r="P108" s="183">
        <f t="shared" si="2"/>
        <v>0.85479166666666684</v>
      </c>
      <c r="Q108" s="183">
        <f t="shared" si="2"/>
        <v>4.0671875000000002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6.5049122834815547</v>
      </c>
      <c r="C109" s="183">
        <f t="shared" ref="C109:Q109" si="3">STDEV(C9:C104)</f>
        <v>2.8550935074708961</v>
      </c>
      <c r="D109" s="183">
        <f t="shared" si="3"/>
        <v>5.5927532675634373</v>
      </c>
      <c r="E109" s="183">
        <f t="shared" si="3"/>
        <v>2.4192721012734468</v>
      </c>
      <c r="F109" s="183">
        <f t="shared" si="3"/>
        <v>4.378328657277839</v>
      </c>
      <c r="G109" s="183">
        <f t="shared" si="3"/>
        <v>19.35024696536486</v>
      </c>
      <c r="H109" s="183">
        <f t="shared" si="3"/>
        <v>7.3662782028242297</v>
      </c>
      <c r="I109" s="183">
        <f t="shared" si="3"/>
        <v>0.7638915831956683</v>
      </c>
      <c r="J109" s="183">
        <f t="shared" si="3"/>
        <v>0.15064292042337787</v>
      </c>
      <c r="K109" s="183">
        <f t="shared" si="3"/>
        <v>100.05145700161957</v>
      </c>
      <c r="L109" s="183">
        <f t="shared" si="3"/>
        <v>3.9561390834205752</v>
      </c>
      <c r="M109" s="183">
        <f t="shared" si="3"/>
        <v>20.06332174138284</v>
      </c>
      <c r="N109" s="183">
        <f t="shared" si="3"/>
        <v>283.41583521043123</v>
      </c>
      <c r="O109" s="183">
        <f t="shared" si="3"/>
        <v>0</v>
      </c>
      <c r="P109" s="183">
        <f t="shared" si="3"/>
        <v>9.5850532400209437E-2</v>
      </c>
      <c r="Q109" s="183">
        <f t="shared" si="3"/>
        <v>0.35230579756794778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08/10/2023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911</v>
      </c>
      <c r="B9" s="133">
        <v>11.3</v>
      </c>
      <c r="C9" s="133">
        <v>26.2</v>
      </c>
      <c r="D9" s="133">
        <v>24.1</v>
      </c>
      <c r="E9" s="133">
        <v>8.01</v>
      </c>
      <c r="F9" s="133">
        <v>3.18</v>
      </c>
      <c r="G9" s="133">
        <v>64.13</v>
      </c>
      <c r="H9" s="133">
        <v>19.71</v>
      </c>
      <c r="I9" s="133">
        <v>6.88</v>
      </c>
      <c r="J9" s="133">
        <v>0.12</v>
      </c>
      <c r="K9" s="133">
        <v>198.92</v>
      </c>
      <c r="L9" s="133">
        <v>24.1</v>
      </c>
      <c r="M9" s="133">
        <v>86.39</v>
      </c>
      <c r="N9" s="133">
        <v>0</v>
      </c>
      <c r="O9" s="133">
        <v>0</v>
      </c>
      <c r="P9" s="133">
        <v>0.89</v>
      </c>
      <c r="Q9" s="133">
        <v>3.89</v>
      </c>
    </row>
    <row r="10" spans="1:21" customFormat="1">
      <c r="A10" s="111" t="s">
        <v>912</v>
      </c>
      <c r="B10" s="133">
        <v>11.55</v>
      </c>
      <c r="C10" s="133">
        <v>24.67</v>
      </c>
      <c r="D10" s="133">
        <v>23.5</v>
      </c>
      <c r="E10" s="133">
        <v>7.43</v>
      </c>
      <c r="F10" s="133">
        <v>3.28</v>
      </c>
      <c r="G10" s="133">
        <v>64.13</v>
      </c>
      <c r="H10" s="133">
        <v>19.71</v>
      </c>
      <c r="I10" s="133">
        <v>6.83</v>
      </c>
      <c r="J10" s="133">
        <v>0.12</v>
      </c>
      <c r="K10" s="133">
        <v>224.22</v>
      </c>
      <c r="L10" s="133">
        <v>24.07</v>
      </c>
      <c r="M10" s="133">
        <v>86.53</v>
      </c>
      <c r="N10" s="133">
        <v>0</v>
      </c>
      <c r="O10" s="133">
        <v>0</v>
      </c>
      <c r="P10" s="133">
        <v>0.86</v>
      </c>
      <c r="Q10" s="133">
        <v>3.87</v>
      </c>
    </row>
    <row r="11" spans="1:21" customFormat="1">
      <c r="A11" s="111" t="s">
        <v>913</v>
      </c>
      <c r="B11" s="133">
        <v>11.58</v>
      </c>
      <c r="C11" s="133">
        <v>23.79</v>
      </c>
      <c r="D11" s="133">
        <v>23.07</v>
      </c>
      <c r="E11" s="133">
        <v>7.22</v>
      </c>
      <c r="F11" s="133">
        <v>3.27</v>
      </c>
      <c r="G11" s="133">
        <v>64.13</v>
      </c>
      <c r="H11" s="133">
        <v>19.71</v>
      </c>
      <c r="I11" s="133">
        <v>6.78</v>
      </c>
      <c r="J11" s="133">
        <v>0.08</v>
      </c>
      <c r="K11" s="133">
        <v>244.21</v>
      </c>
      <c r="L11" s="133">
        <v>24.07</v>
      </c>
      <c r="M11" s="133">
        <v>86.28</v>
      </c>
      <c r="N11" s="133">
        <v>0</v>
      </c>
      <c r="O11" s="133">
        <v>0</v>
      </c>
      <c r="P11" s="133">
        <v>0.84</v>
      </c>
      <c r="Q11" s="133">
        <v>3.84</v>
      </c>
    </row>
    <row r="12" spans="1:21" customFormat="1">
      <c r="A12" s="111" t="s">
        <v>914</v>
      </c>
      <c r="B12" s="133">
        <v>11.69</v>
      </c>
      <c r="C12" s="133">
        <v>25.11</v>
      </c>
      <c r="D12" s="133">
        <v>23.85</v>
      </c>
      <c r="E12" s="133">
        <v>7.69</v>
      </c>
      <c r="F12" s="133">
        <v>2.74</v>
      </c>
      <c r="G12" s="133">
        <v>62.97</v>
      </c>
      <c r="H12" s="133">
        <v>19.75</v>
      </c>
      <c r="I12" s="133">
        <v>6.75</v>
      </c>
      <c r="J12" s="133">
        <v>7.0000000000000007E-2</v>
      </c>
      <c r="K12" s="133">
        <v>190.59</v>
      </c>
      <c r="L12" s="133">
        <v>23.93</v>
      </c>
      <c r="M12" s="133">
        <v>88.18</v>
      </c>
      <c r="N12" s="133">
        <v>0</v>
      </c>
      <c r="O12" s="133">
        <v>0</v>
      </c>
      <c r="P12" s="133">
        <v>0.86</v>
      </c>
      <c r="Q12" s="133">
        <v>3.79</v>
      </c>
    </row>
    <row r="13" spans="1:21" customFormat="1">
      <c r="A13" s="111" t="s">
        <v>915</v>
      </c>
      <c r="B13" s="133">
        <v>12.11</v>
      </c>
      <c r="C13" s="133">
        <v>25.45</v>
      </c>
      <c r="D13" s="133">
        <v>24.36</v>
      </c>
      <c r="E13" s="133">
        <v>7.55</v>
      </c>
      <c r="F13" s="133">
        <v>2.61</v>
      </c>
      <c r="G13" s="133">
        <v>53.76</v>
      </c>
      <c r="H13" s="133">
        <v>19.96</v>
      </c>
      <c r="I13" s="133">
        <v>6.7</v>
      </c>
      <c r="J13" s="133">
        <v>7.0000000000000007E-2</v>
      </c>
      <c r="K13" s="133">
        <v>219.89</v>
      </c>
      <c r="L13" s="133">
        <v>23.73</v>
      </c>
      <c r="M13" s="133">
        <v>92.27</v>
      </c>
      <c r="N13" s="133">
        <v>0</v>
      </c>
      <c r="O13" s="133">
        <v>0</v>
      </c>
      <c r="P13" s="133">
        <v>0.86</v>
      </c>
      <c r="Q13" s="133">
        <v>3.82</v>
      </c>
    </row>
    <row r="14" spans="1:21" customFormat="1">
      <c r="A14" s="111" t="s">
        <v>916</v>
      </c>
      <c r="B14" s="133">
        <v>12.46</v>
      </c>
      <c r="C14" s="133">
        <v>23.91</v>
      </c>
      <c r="D14" s="133">
        <v>23.84</v>
      </c>
      <c r="E14" s="133">
        <v>7.68</v>
      </c>
      <c r="F14" s="133">
        <v>3.03</v>
      </c>
      <c r="G14" s="133">
        <v>53.76</v>
      </c>
      <c r="H14" s="133">
        <v>19.96</v>
      </c>
      <c r="I14" s="133">
        <v>6.74</v>
      </c>
      <c r="J14" s="133">
        <v>0.13</v>
      </c>
      <c r="K14" s="133">
        <v>235.49</v>
      </c>
      <c r="L14" s="133">
        <v>23.55</v>
      </c>
      <c r="M14" s="133">
        <v>94.01</v>
      </c>
      <c r="N14" s="133">
        <v>0</v>
      </c>
      <c r="O14" s="133">
        <v>0</v>
      </c>
      <c r="P14" s="133">
        <v>0.84</v>
      </c>
      <c r="Q14" s="133">
        <v>3.84</v>
      </c>
    </row>
    <row r="15" spans="1:21" customFormat="1">
      <c r="A15" s="111" t="s">
        <v>917</v>
      </c>
      <c r="B15" s="133">
        <v>12.58</v>
      </c>
      <c r="C15" s="133">
        <v>24.65</v>
      </c>
      <c r="D15" s="133">
        <v>24.32</v>
      </c>
      <c r="E15" s="133">
        <v>7.61</v>
      </c>
      <c r="F15" s="133">
        <v>2.76</v>
      </c>
      <c r="G15" s="133">
        <v>53.76</v>
      </c>
      <c r="H15" s="133">
        <v>19.96</v>
      </c>
      <c r="I15" s="133">
        <v>6.72</v>
      </c>
      <c r="J15" s="133">
        <v>0.09</v>
      </c>
      <c r="K15" s="133">
        <v>217.3</v>
      </c>
      <c r="L15" s="133">
        <v>23.38</v>
      </c>
      <c r="M15" s="133">
        <v>94.02</v>
      </c>
      <c r="N15" s="133">
        <v>0</v>
      </c>
      <c r="O15" s="133">
        <v>0</v>
      </c>
      <c r="P15" s="133">
        <v>0.85</v>
      </c>
      <c r="Q15" s="133">
        <v>3.83</v>
      </c>
    </row>
    <row r="16" spans="1:21" customFormat="1">
      <c r="A16" s="111" t="s">
        <v>918</v>
      </c>
      <c r="B16" s="133">
        <v>12.96</v>
      </c>
      <c r="C16" s="133">
        <v>24.84</v>
      </c>
      <c r="D16" s="133">
        <v>24.72</v>
      </c>
      <c r="E16" s="133">
        <v>7.64</v>
      </c>
      <c r="F16" s="133">
        <v>2.78</v>
      </c>
      <c r="G16" s="133">
        <v>53.32</v>
      </c>
      <c r="H16" s="133">
        <v>19.5</v>
      </c>
      <c r="I16" s="133">
        <v>6.62</v>
      </c>
      <c r="J16" s="133">
        <v>0.18</v>
      </c>
      <c r="K16" s="133">
        <v>204.03</v>
      </c>
      <c r="L16" s="133">
        <v>23.24</v>
      </c>
      <c r="M16" s="133">
        <v>94.62</v>
      </c>
      <c r="N16" s="133">
        <v>0</v>
      </c>
      <c r="O16" s="133">
        <v>0</v>
      </c>
      <c r="P16" s="133">
        <v>0.85</v>
      </c>
      <c r="Q16" s="133">
        <v>3.85</v>
      </c>
    </row>
    <row r="17" spans="1:17" customFormat="1">
      <c r="A17" s="111" t="s">
        <v>919</v>
      </c>
      <c r="B17" s="133">
        <v>13.29</v>
      </c>
      <c r="C17" s="133">
        <v>23.31</v>
      </c>
      <c r="D17" s="133">
        <v>24.19</v>
      </c>
      <c r="E17" s="133">
        <v>5.66</v>
      </c>
      <c r="F17" s="133">
        <v>3.02</v>
      </c>
      <c r="G17" s="133">
        <v>49.79</v>
      </c>
      <c r="H17" s="133">
        <v>16.559999999999999</v>
      </c>
      <c r="I17" s="133">
        <v>6.67</v>
      </c>
      <c r="J17" s="133">
        <v>0.09</v>
      </c>
      <c r="K17" s="133">
        <v>207.61</v>
      </c>
      <c r="L17" s="133">
        <v>23.06</v>
      </c>
      <c r="M17" s="133">
        <v>95.76</v>
      </c>
      <c r="N17" s="133">
        <v>0</v>
      </c>
      <c r="O17" s="133">
        <v>0</v>
      </c>
      <c r="P17" s="133">
        <v>0.81</v>
      </c>
      <c r="Q17" s="133">
        <v>3.88</v>
      </c>
    </row>
    <row r="18" spans="1:17" customFormat="1">
      <c r="A18" s="111" t="s">
        <v>920</v>
      </c>
      <c r="B18" s="133">
        <v>13.37</v>
      </c>
      <c r="C18" s="133">
        <v>24.69</v>
      </c>
      <c r="D18" s="133">
        <v>24.98</v>
      </c>
      <c r="E18" s="133">
        <v>6.29</v>
      </c>
      <c r="F18" s="133">
        <v>2.64</v>
      </c>
      <c r="G18" s="133">
        <v>49.79</v>
      </c>
      <c r="H18" s="133">
        <v>16.559999999999999</v>
      </c>
      <c r="I18" s="133">
        <v>6.58</v>
      </c>
      <c r="J18" s="133">
        <v>0.1</v>
      </c>
      <c r="K18" s="133">
        <v>181.5</v>
      </c>
      <c r="L18" s="133">
        <v>22.94</v>
      </c>
      <c r="M18" s="133">
        <v>95.51</v>
      </c>
      <c r="N18" s="133">
        <v>0</v>
      </c>
      <c r="O18" s="133">
        <v>0</v>
      </c>
      <c r="P18" s="133">
        <v>0.82</v>
      </c>
      <c r="Q18" s="133">
        <v>3.86</v>
      </c>
    </row>
    <row r="19" spans="1:17" customFormat="1">
      <c r="A19" s="111" t="s">
        <v>921</v>
      </c>
      <c r="B19" s="133">
        <v>13.7</v>
      </c>
      <c r="C19" s="133">
        <v>24.78</v>
      </c>
      <c r="D19" s="133">
        <v>25.28</v>
      </c>
      <c r="E19" s="133">
        <v>6.82</v>
      </c>
      <c r="F19" s="133">
        <v>2.56</v>
      </c>
      <c r="G19" s="133">
        <v>49.79</v>
      </c>
      <c r="H19" s="133">
        <v>16.559999999999999</v>
      </c>
      <c r="I19" s="133">
        <v>6.52</v>
      </c>
      <c r="J19" s="133">
        <v>0.12</v>
      </c>
      <c r="K19" s="133">
        <v>224.8</v>
      </c>
      <c r="L19" s="133">
        <v>22.85</v>
      </c>
      <c r="M19" s="133">
        <v>95.12</v>
      </c>
      <c r="N19" s="133">
        <v>0</v>
      </c>
      <c r="O19" s="133">
        <v>0</v>
      </c>
      <c r="P19" s="133">
        <v>0.82</v>
      </c>
      <c r="Q19" s="133">
        <v>3.91</v>
      </c>
    </row>
    <row r="20" spans="1:17" customFormat="1">
      <c r="A20" s="111" t="s">
        <v>922</v>
      </c>
      <c r="B20" s="133">
        <v>13.87</v>
      </c>
      <c r="C20" s="133">
        <v>23.52</v>
      </c>
      <c r="D20" s="133">
        <v>24.76</v>
      </c>
      <c r="E20" s="133">
        <v>6.25</v>
      </c>
      <c r="F20" s="133">
        <v>2.95</v>
      </c>
      <c r="G20" s="133">
        <v>49.31</v>
      </c>
      <c r="H20" s="133">
        <v>16.52</v>
      </c>
      <c r="I20" s="133">
        <v>6.55</v>
      </c>
      <c r="J20" s="133">
        <v>0.13</v>
      </c>
      <c r="K20" s="133">
        <v>238.23</v>
      </c>
      <c r="L20" s="133">
        <v>22.83</v>
      </c>
      <c r="M20" s="133">
        <v>92.16</v>
      </c>
      <c r="N20" s="133">
        <v>0</v>
      </c>
      <c r="O20" s="133">
        <v>0</v>
      </c>
      <c r="P20" s="133">
        <v>0.8</v>
      </c>
      <c r="Q20" s="133">
        <v>3.91</v>
      </c>
    </row>
    <row r="21" spans="1:17" customFormat="1">
      <c r="A21" s="111" t="s">
        <v>923</v>
      </c>
      <c r="B21" s="133">
        <v>14.08</v>
      </c>
      <c r="C21" s="133">
        <v>24.77</v>
      </c>
      <c r="D21" s="133">
        <v>25.59</v>
      </c>
      <c r="E21" s="133">
        <v>6.75</v>
      </c>
      <c r="F21" s="133">
        <v>2.57</v>
      </c>
      <c r="G21" s="133">
        <v>45.46</v>
      </c>
      <c r="H21" s="133">
        <v>16.260000000000002</v>
      </c>
      <c r="I21" s="133">
        <v>6.46</v>
      </c>
      <c r="J21" s="133">
        <v>0.11</v>
      </c>
      <c r="K21" s="133">
        <v>250.65</v>
      </c>
      <c r="L21" s="133">
        <v>22.71</v>
      </c>
      <c r="M21" s="133">
        <v>93.52</v>
      </c>
      <c r="N21" s="133">
        <v>0</v>
      </c>
      <c r="O21" s="133">
        <v>0</v>
      </c>
      <c r="P21" s="133">
        <v>0.81</v>
      </c>
      <c r="Q21" s="133">
        <v>3.89</v>
      </c>
    </row>
    <row r="22" spans="1:17" customFormat="1">
      <c r="A22" s="111" t="s">
        <v>924</v>
      </c>
      <c r="B22" s="133">
        <v>14.33</v>
      </c>
      <c r="C22" s="133">
        <v>25</v>
      </c>
      <c r="D22" s="133">
        <v>25.91</v>
      </c>
      <c r="E22" s="133">
        <v>6.93</v>
      </c>
      <c r="F22" s="133">
        <v>2.64</v>
      </c>
      <c r="G22" s="133">
        <v>45.46</v>
      </c>
      <c r="H22" s="133">
        <v>16.260000000000002</v>
      </c>
      <c r="I22" s="133">
        <v>6.38</v>
      </c>
      <c r="J22" s="133">
        <v>0.19</v>
      </c>
      <c r="K22" s="133">
        <v>236.24</v>
      </c>
      <c r="L22" s="133">
        <v>22.8</v>
      </c>
      <c r="M22" s="133">
        <v>92.59</v>
      </c>
      <c r="N22" s="133">
        <v>0</v>
      </c>
      <c r="O22" s="133">
        <v>0</v>
      </c>
      <c r="P22" s="133">
        <v>0.81</v>
      </c>
      <c r="Q22" s="133">
        <v>3.94</v>
      </c>
    </row>
    <row r="23" spans="1:17" customFormat="1">
      <c r="A23" s="111" t="s">
        <v>925</v>
      </c>
      <c r="B23" s="133">
        <v>14.63</v>
      </c>
      <c r="C23" s="133">
        <v>23.49</v>
      </c>
      <c r="D23" s="133">
        <v>25.36</v>
      </c>
      <c r="E23" s="133">
        <v>6.92</v>
      </c>
      <c r="F23" s="133">
        <v>2.92</v>
      </c>
      <c r="G23" s="133">
        <v>45.46</v>
      </c>
      <c r="H23" s="133">
        <v>16.260000000000002</v>
      </c>
      <c r="I23" s="133">
        <v>6.44</v>
      </c>
      <c r="J23" s="133">
        <v>0.11</v>
      </c>
      <c r="K23" s="133">
        <v>210.5</v>
      </c>
      <c r="L23" s="133">
        <v>22.76</v>
      </c>
      <c r="M23" s="133">
        <v>91.59</v>
      </c>
      <c r="N23" s="133">
        <v>0</v>
      </c>
      <c r="O23" s="133">
        <v>0</v>
      </c>
      <c r="P23" s="133">
        <v>0.79</v>
      </c>
      <c r="Q23" s="133">
        <v>3.95</v>
      </c>
    </row>
    <row r="24" spans="1:17" customFormat="1">
      <c r="A24" s="111" t="s">
        <v>926</v>
      </c>
      <c r="B24" s="133">
        <v>14.77</v>
      </c>
      <c r="C24" s="133">
        <v>24.57</v>
      </c>
      <c r="D24" s="133">
        <v>26.03</v>
      </c>
      <c r="E24" s="133">
        <v>6.64</v>
      </c>
      <c r="F24" s="133">
        <v>2.4700000000000002</v>
      </c>
      <c r="G24" s="133">
        <v>45.4</v>
      </c>
      <c r="H24" s="133">
        <v>16.29</v>
      </c>
      <c r="I24" s="133">
        <v>6.35</v>
      </c>
      <c r="J24" s="133">
        <v>0.16</v>
      </c>
      <c r="K24" s="133">
        <v>184.16</v>
      </c>
      <c r="L24" s="133">
        <v>22.72</v>
      </c>
      <c r="M24" s="133">
        <v>91.88</v>
      </c>
      <c r="N24" s="133">
        <v>0</v>
      </c>
      <c r="O24" s="133">
        <v>0</v>
      </c>
      <c r="P24" s="133">
        <v>0.79</v>
      </c>
      <c r="Q24" s="133">
        <v>3.94</v>
      </c>
    </row>
    <row r="25" spans="1:17" customFormat="1">
      <c r="A25" s="111" t="s">
        <v>927</v>
      </c>
      <c r="B25" s="133">
        <v>15.02</v>
      </c>
      <c r="C25" s="133">
        <v>25.08</v>
      </c>
      <c r="D25" s="133">
        <v>26.5</v>
      </c>
      <c r="E25" s="133">
        <v>7.35</v>
      </c>
      <c r="F25" s="133">
        <v>2.59</v>
      </c>
      <c r="G25" s="133">
        <v>44.91</v>
      </c>
      <c r="H25" s="133">
        <v>16.47</v>
      </c>
      <c r="I25" s="133">
        <v>6.25</v>
      </c>
      <c r="J25" s="133">
        <v>0.08</v>
      </c>
      <c r="K25" s="133">
        <v>0.26</v>
      </c>
      <c r="L25" s="133">
        <v>22.86</v>
      </c>
      <c r="M25" s="133">
        <v>90.75</v>
      </c>
      <c r="N25" s="133">
        <v>0</v>
      </c>
      <c r="O25" s="133">
        <v>0</v>
      </c>
      <c r="P25" s="133">
        <v>0.79</v>
      </c>
      <c r="Q25" s="133">
        <v>3.98</v>
      </c>
    </row>
    <row r="26" spans="1:17" customFormat="1">
      <c r="A26" s="111" t="s">
        <v>928</v>
      </c>
      <c r="B26" s="133">
        <v>15.48</v>
      </c>
      <c r="C26" s="133">
        <v>24.13</v>
      </c>
      <c r="D26" s="133">
        <v>26.38</v>
      </c>
      <c r="E26" s="133">
        <v>6.89</v>
      </c>
      <c r="F26" s="133">
        <v>2.85</v>
      </c>
      <c r="G26" s="133">
        <v>44.91</v>
      </c>
      <c r="H26" s="133">
        <v>16.47</v>
      </c>
      <c r="I26" s="133">
        <v>6.32</v>
      </c>
      <c r="J26" s="133">
        <v>7.0000000000000007E-2</v>
      </c>
      <c r="K26" s="133">
        <v>245.38</v>
      </c>
      <c r="L26" s="133">
        <v>23.08</v>
      </c>
      <c r="M26" s="133">
        <v>89.06</v>
      </c>
      <c r="N26" s="133">
        <v>0</v>
      </c>
      <c r="O26" s="133">
        <v>0</v>
      </c>
      <c r="P26" s="133">
        <v>0.77</v>
      </c>
      <c r="Q26" s="133">
        <v>3.99</v>
      </c>
    </row>
    <row r="27" spans="1:17" customFormat="1">
      <c r="A27" s="111" t="s">
        <v>929</v>
      </c>
      <c r="B27" s="133">
        <v>15.68</v>
      </c>
      <c r="C27" s="133">
        <v>24.92</v>
      </c>
      <c r="D27" s="133">
        <v>26.95</v>
      </c>
      <c r="E27" s="133">
        <v>7.01</v>
      </c>
      <c r="F27" s="133">
        <v>2.71</v>
      </c>
      <c r="G27" s="133">
        <v>44.91</v>
      </c>
      <c r="H27" s="133">
        <v>16.47</v>
      </c>
      <c r="I27" s="133">
        <v>6.25</v>
      </c>
      <c r="J27" s="133">
        <v>0.1</v>
      </c>
      <c r="K27" s="133">
        <v>188.35</v>
      </c>
      <c r="L27" s="133">
        <v>23.46</v>
      </c>
      <c r="M27" s="133">
        <v>87.55</v>
      </c>
      <c r="N27" s="133">
        <v>0</v>
      </c>
      <c r="O27" s="133">
        <v>0</v>
      </c>
      <c r="P27" s="133">
        <v>0.78</v>
      </c>
      <c r="Q27" s="133">
        <v>3.97</v>
      </c>
    </row>
    <row r="28" spans="1:17" customFormat="1">
      <c r="A28" s="111" t="s">
        <v>930</v>
      </c>
      <c r="B28" s="133">
        <v>16.22</v>
      </c>
      <c r="C28" s="133">
        <v>26.02</v>
      </c>
      <c r="D28" s="133">
        <v>27.95</v>
      </c>
      <c r="E28" s="133">
        <v>6.93</v>
      </c>
      <c r="F28" s="133">
        <v>2.65</v>
      </c>
      <c r="G28" s="133">
        <v>45.33</v>
      </c>
      <c r="H28" s="133">
        <v>16.37</v>
      </c>
      <c r="I28" s="133">
        <v>6.21</v>
      </c>
      <c r="J28" s="133">
        <v>0.14000000000000001</v>
      </c>
      <c r="K28" s="133">
        <v>177.52</v>
      </c>
      <c r="L28" s="133">
        <v>23.25</v>
      </c>
      <c r="M28" s="133">
        <v>89.71</v>
      </c>
      <c r="N28" s="133">
        <v>0</v>
      </c>
      <c r="O28" s="133">
        <v>0</v>
      </c>
      <c r="P28" s="133">
        <v>0.79</v>
      </c>
      <c r="Q28" s="133">
        <v>4.01</v>
      </c>
    </row>
    <row r="29" spans="1:17" customFormat="1">
      <c r="A29" s="111" t="s">
        <v>931</v>
      </c>
      <c r="B29" s="133">
        <v>16.690000000000001</v>
      </c>
      <c r="C29" s="133">
        <v>26.95</v>
      </c>
      <c r="D29" s="133">
        <v>28.82</v>
      </c>
      <c r="E29" s="133">
        <v>6.57</v>
      </c>
      <c r="F29" s="133">
        <v>2.48</v>
      </c>
      <c r="G29" s="133">
        <v>48.7</v>
      </c>
      <c r="H29" s="133">
        <v>15.74</v>
      </c>
      <c r="I29" s="133">
        <v>6.26</v>
      </c>
      <c r="J29" s="133">
        <v>0.13</v>
      </c>
      <c r="K29" s="133">
        <v>187.72</v>
      </c>
      <c r="L29" s="133">
        <v>22.9</v>
      </c>
      <c r="M29" s="133">
        <v>94.18</v>
      </c>
      <c r="N29" s="133">
        <v>0</v>
      </c>
      <c r="O29" s="133">
        <v>0</v>
      </c>
      <c r="P29" s="133">
        <v>0.79</v>
      </c>
      <c r="Q29" s="133">
        <v>4.05</v>
      </c>
    </row>
    <row r="30" spans="1:17" customFormat="1">
      <c r="A30" s="111" t="s">
        <v>932</v>
      </c>
      <c r="B30" s="133">
        <v>16.66</v>
      </c>
      <c r="C30" s="133">
        <v>27.58</v>
      </c>
      <c r="D30" s="133">
        <v>29.13</v>
      </c>
      <c r="E30" s="133">
        <v>6.77</v>
      </c>
      <c r="F30" s="133">
        <v>2.5299999999999998</v>
      </c>
      <c r="G30" s="133">
        <v>48.7</v>
      </c>
      <c r="H30" s="133">
        <v>15.74</v>
      </c>
      <c r="I30" s="133">
        <v>6.29</v>
      </c>
      <c r="J30" s="133">
        <v>0.19</v>
      </c>
      <c r="K30" s="133">
        <v>230.02</v>
      </c>
      <c r="L30" s="133">
        <v>22.56</v>
      </c>
      <c r="M30" s="133">
        <v>96.6</v>
      </c>
      <c r="N30" s="133">
        <v>0</v>
      </c>
      <c r="O30" s="133">
        <v>0</v>
      </c>
      <c r="P30" s="133">
        <v>0.79</v>
      </c>
      <c r="Q30" s="133">
        <v>4.07</v>
      </c>
    </row>
    <row r="31" spans="1:17" customFormat="1">
      <c r="A31" s="111" t="s">
        <v>933</v>
      </c>
      <c r="B31" s="133">
        <v>16.57</v>
      </c>
      <c r="C31" s="133">
        <v>27.68</v>
      </c>
      <c r="D31" s="133">
        <v>29.1</v>
      </c>
      <c r="E31" s="133">
        <v>6.34</v>
      </c>
      <c r="F31" s="133">
        <v>2.68</v>
      </c>
      <c r="G31" s="133">
        <v>48.7</v>
      </c>
      <c r="H31" s="133">
        <v>15.74</v>
      </c>
      <c r="I31" s="133">
        <v>6.35</v>
      </c>
      <c r="J31" s="133">
        <v>0.22</v>
      </c>
      <c r="K31" s="133">
        <v>195.27</v>
      </c>
      <c r="L31" s="133">
        <v>22.36</v>
      </c>
      <c r="M31" s="133">
        <v>95.23</v>
      </c>
      <c r="N31" s="133">
        <v>0</v>
      </c>
      <c r="O31" s="133">
        <v>0</v>
      </c>
      <c r="P31" s="133">
        <v>0.78</v>
      </c>
      <c r="Q31" s="133">
        <v>4.07</v>
      </c>
    </row>
    <row r="32" spans="1:17" customFormat="1">
      <c r="A32" s="111" t="s">
        <v>934</v>
      </c>
      <c r="B32" s="133">
        <v>16.18</v>
      </c>
      <c r="C32" s="133">
        <v>27.65</v>
      </c>
      <c r="D32" s="133">
        <v>28.77</v>
      </c>
      <c r="E32" s="133">
        <v>6.85</v>
      </c>
      <c r="F32" s="133">
        <v>2.62</v>
      </c>
      <c r="G32" s="133">
        <v>49.16</v>
      </c>
      <c r="H32" s="133">
        <v>16.27</v>
      </c>
      <c r="I32" s="133">
        <v>6.3</v>
      </c>
      <c r="J32" s="133">
        <v>0.11</v>
      </c>
      <c r="K32" s="133">
        <v>201.25</v>
      </c>
      <c r="L32" s="133">
        <v>22.27</v>
      </c>
      <c r="M32" s="133">
        <v>96.65</v>
      </c>
      <c r="N32" s="133">
        <v>0</v>
      </c>
      <c r="O32" s="133">
        <v>0</v>
      </c>
      <c r="P32" s="133">
        <v>0.78</v>
      </c>
      <c r="Q32" s="133">
        <v>4.05</v>
      </c>
    </row>
    <row r="33" spans="1:17" customFormat="1">
      <c r="A33" s="111" t="s">
        <v>935</v>
      </c>
      <c r="B33" s="133">
        <v>16.04</v>
      </c>
      <c r="C33" s="133">
        <v>27.91</v>
      </c>
      <c r="D33" s="133">
        <v>28.8</v>
      </c>
      <c r="E33" s="133">
        <v>6.71</v>
      </c>
      <c r="F33" s="133">
        <v>2.4700000000000002</v>
      </c>
      <c r="G33" s="133">
        <v>52.81</v>
      </c>
      <c r="H33" s="133">
        <v>19.57</v>
      </c>
      <c r="I33" s="133">
        <v>6.28</v>
      </c>
      <c r="J33" s="133">
        <v>0.12</v>
      </c>
      <c r="K33" s="133">
        <v>175.52</v>
      </c>
      <c r="L33" s="133">
        <v>22.3</v>
      </c>
      <c r="M33" s="133">
        <v>96.85</v>
      </c>
      <c r="N33" s="133">
        <v>5.2</v>
      </c>
      <c r="O33" s="133">
        <v>0</v>
      </c>
      <c r="P33" s="133">
        <v>0.77</v>
      </c>
      <c r="Q33" s="133">
        <v>4.05</v>
      </c>
    </row>
    <row r="34" spans="1:17" customFormat="1">
      <c r="A34" s="111" t="s">
        <v>936</v>
      </c>
      <c r="B34" s="133">
        <v>15.92</v>
      </c>
      <c r="C34" s="133">
        <v>27.76</v>
      </c>
      <c r="D34" s="133">
        <v>28.62</v>
      </c>
      <c r="E34" s="133">
        <v>6.48</v>
      </c>
      <c r="F34" s="133">
        <v>2.44</v>
      </c>
      <c r="G34" s="133">
        <v>52.81</v>
      </c>
      <c r="H34" s="133">
        <v>19.57</v>
      </c>
      <c r="I34" s="133">
        <v>6.23</v>
      </c>
      <c r="J34" s="133">
        <v>0.1</v>
      </c>
      <c r="K34" s="133">
        <v>146.94</v>
      </c>
      <c r="L34" s="133">
        <v>22.52</v>
      </c>
      <c r="M34" s="133">
        <v>96.22</v>
      </c>
      <c r="N34" s="133">
        <v>19.899999999999999</v>
      </c>
      <c r="O34" s="133">
        <v>0</v>
      </c>
      <c r="P34" s="133">
        <v>0.76</v>
      </c>
      <c r="Q34" s="133">
        <v>4.05</v>
      </c>
    </row>
    <row r="35" spans="1:17" customFormat="1">
      <c r="A35" s="111" t="s">
        <v>937</v>
      </c>
      <c r="B35" s="133">
        <v>15.67</v>
      </c>
      <c r="C35" s="133">
        <v>27.7</v>
      </c>
      <c r="D35" s="133">
        <v>28.39</v>
      </c>
      <c r="E35" s="133">
        <v>6.83</v>
      </c>
      <c r="F35" s="133">
        <v>2.5299999999999998</v>
      </c>
      <c r="G35" s="133">
        <v>52.81</v>
      </c>
      <c r="H35" s="133">
        <v>19.57</v>
      </c>
      <c r="I35" s="133">
        <v>6.19</v>
      </c>
      <c r="J35" s="133">
        <v>0.24</v>
      </c>
      <c r="K35" s="133">
        <v>143.76</v>
      </c>
      <c r="L35" s="133">
        <v>23.12</v>
      </c>
      <c r="M35" s="133">
        <v>93.31</v>
      </c>
      <c r="N35" s="133">
        <v>34.299999999999997</v>
      </c>
      <c r="O35" s="133">
        <v>0</v>
      </c>
      <c r="P35" s="133">
        <v>0.75</v>
      </c>
      <c r="Q35" s="133">
        <v>4.05</v>
      </c>
    </row>
    <row r="36" spans="1:17" customFormat="1">
      <c r="A36" s="111" t="s">
        <v>938</v>
      </c>
      <c r="B36" s="133">
        <v>15.41</v>
      </c>
      <c r="C36" s="133">
        <v>27.91</v>
      </c>
      <c r="D36" s="133">
        <v>28.29</v>
      </c>
      <c r="E36" s="133">
        <v>7</v>
      </c>
      <c r="F36" s="133">
        <v>2.4900000000000002</v>
      </c>
      <c r="G36" s="133">
        <v>52.64</v>
      </c>
      <c r="H36" s="133">
        <v>19.53</v>
      </c>
      <c r="I36" s="133">
        <v>6.15</v>
      </c>
      <c r="J36" s="133">
        <v>0.17</v>
      </c>
      <c r="K36" s="133">
        <v>139.88</v>
      </c>
      <c r="L36" s="133">
        <v>23.65</v>
      </c>
      <c r="M36" s="133">
        <v>90.53</v>
      </c>
      <c r="N36" s="133">
        <v>49.6</v>
      </c>
      <c r="O36" s="133">
        <v>0</v>
      </c>
      <c r="P36" s="133">
        <v>0.74</v>
      </c>
      <c r="Q36" s="133">
        <v>4.04</v>
      </c>
    </row>
    <row r="37" spans="1:17" customFormat="1">
      <c r="A37" s="111" t="s">
        <v>939</v>
      </c>
      <c r="B37" s="133">
        <v>15.31</v>
      </c>
      <c r="C37" s="133">
        <v>28.23</v>
      </c>
      <c r="D37" s="133">
        <v>28.38</v>
      </c>
      <c r="E37" s="133">
        <v>6.97</v>
      </c>
      <c r="F37" s="133">
        <v>2.39</v>
      </c>
      <c r="G37" s="133">
        <v>51.32</v>
      </c>
      <c r="H37" s="133">
        <v>19.25</v>
      </c>
      <c r="I37" s="133">
        <v>6.12</v>
      </c>
      <c r="J37" s="133">
        <v>0.16</v>
      </c>
      <c r="K37" s="133">
        <v>160.97</v>
      </c>
      <c r="L37" s="133">
        <v>24.36</v>
      </c>
      <c r="M37" s="133">
        <v>88.97</v>
      </c>
      <c r="N37" s="133">
        <v>85.9</v>
      </c>
      <c r="O37" s="133">
        <v>0</v>
      </c>
      <c r="P37" s="133">
        <v>0.75</v>
      </c>
      <c r="Q37" s="133">
        <v>4.03</v>
      </c>
    </row>
    <row r="38" spans="1:17" customFormat="1">
      <c r="A38" s="111" t="s">
        <v>940</v>
      </c>
      <c r="B38" s="133">
        <v>15.1</v>
      </c>
      <c r="C38" s="133">
        <v>28.07</v>
      </c>
      <c r="D38" s="133">
        <v>28.13</v>
      </c>
      <c r="E38" s="133">
        <v>6.74</v>
      </c>
      <c r="F38" s="133">
        <v>2.48</v>
      </c>
      <c r="G38" s="133">
        <v>51.32</v>
      </c>
      <c r="H38" s="133">
        <v>19.25</v>
      </c>
      <c r="I38" s="133">
        <v>6.13</v>
      </c>
      <c r="J38" s="133">
        <v>0.4</v>
      </c>
      <c r="K38" s="133">
        <v>146.25</v>
      </c>
      <c r="L38" s="133">
        <v>25.21</v>
      </c>
      <c r="M38" s="133">
        <v>84.88</v>
      </c>
      <c r="N38" s="133">
        <v>116.7</v>
      </c>
      <c r="O38" s="133">
        <v>0</v>
      </c>
      <c r="P38" s="133">
        <v>0.75</v>
      </c>
      <c r="Q38" s="133">
        <v>3.99</v>
      </c>
    </row>
    <row r="39" spans="1:17" customFormat="1">
      <c r="A39" s="111" t="s">
        <v>941</v>
      </c>
      <c r="B39" s="133">
        <v>14.74</v>
      </c>
      <c r="C39" s="133">
        <v>28.42</v>
      </c>
      <c r="D39" s="133">
        <v>28.02</v>
      </c>
      <c r="E39" s="133">
        <v>7.29</v>
      </c>
      <c r="F39" s="133">
        <v>2.5</v>
      </c>
      <c r="G39" s="133">
        <v>51.32</v>
      </c>
      <c r="H39" s="133">
        <v>19.25</v>
      </c>
      <c r="I39" s="133">
        <v>6.17</v>
      </c>
      <c r="J39" s="133">
        <v>0.16</v>
      </c>
      <c r="K39" s="133">
        <v>151.49</v>
      </c>
      <c r="L39" s="133">
        <v>25.9</v>
      </c>
      <c r="M39" s="133">
        <v>81.849999999999994</v>
      </c>
      <c r="N39" s="133">
        <v>118.1</v>
      </c>
      <c r="O39" s="133">
        <v>0</v>
      </c>
      <c r="P39" s="133">
        <v>0.75</v>
      </c>
      <c r="Q39" s="133">
        <v>4.01</v>
      </c>
    </row>
    <row r="40" spans="1:17" customFormat="1">
      <c r="A40" s="111" t="s">
        <v>942</v>
      </c>
      <c r="B40" s="133">
        <v>14.36</v>
      </c>
      <c r="C40" s="133">
        <v>28.39</v>
      </c>
      <c r="D40" s="133">
        <v>27.7</v>
      </c>
      <c r="E40" s="133">
        <v>7.08</v>
      </c>
      <c r="F40" s="133">
        <v>2.62</v>
      </c>
      <c r="G40" s="133">
        <v>51.14</v>
      </c>
      <c r="H40" s="133">
        <v>19.3</v>
      </c>
      <c r="I40" s="133">
        <v>6.22</v>
      </c>
      <c r="J40" s="133">
        <v>0.14000000000000001</v>
      </c>
      <c r="K40" s="133">
        <v>149.38999999999999</v>
      </c>
      <c r="L40" s="133">
        <v>26.78</v>
      </c>
      <c r="M40" s="133">
        <v>77.849999999999994</v>
      </c>
      <c r="N40" s="133">
        <v>240.2</v>
      </c>
      <c r="O40" s="133">
        <v>0</v>
      </c>
      <c r="P40" s="133">
        <v>0.74</v>
      </c>
      <c r="Q40" s="133">
        <v>4.0199999999999996</v>
      </c>
    </row>
    <row r="41" spans="1:17" customFormat="1">
      <c r="A41" s="111" t="s">
        <v>943</v>
      </c>
      <c r="B41" s="133">
        <v>13.95</v>
      </c>
      <c r="C41" s="133">
        <v>28.76</v>
      </c>
      <c r="D41" s="133">
        <v>27.56</v>
      </c>
      <c r="E41" s="133">
        <v>7.38</v>
      </c>
      <c r="F41" s="133">
        <v>2.7</v>
      </c>
      <c r="G41" s="133">
        <v>49.46</v>
      </c>
      <c r="H41" s="133">
        <v>19.64</v>
      </c>
      <c r="I41" s="133">
        <v>6.27</v>
      </c>
      <c r="J41" s="133">
        <v>0.13</v>
      </c>
      <c r="K41" s="133">
        <v>171.83</v>
      </c>
      <c r="L41" s="133">
        <v>27.54</v>
      </c>
      <c r="M41" s="133">
        <v>75.319999999999993</v>
      </c>
      <c r="N41" s="133">
        <v>312.89999999999998</v>
      </c>
      <c r="O41" s="133">
        <v>0</v>
      </c>
      <c r="P41" s="133">
        <v>0.75</v>
      </c>
      <c r="Q41" s="133">
        <v>4.01</v>
      </c>
    </row>
    <row r="42" spans="1:17" customFormat="1">
      <c r="A42" s="111" t="s">
        <v>944</v>
      </c>
      <c r="B42" s="133">
        <v>13.47</v>
      </c>
      <c r="C42" s="133">
        <v>28.95</v>
      </c>
      <c r="D42" s="133">
        <v>27.28</v>
      </c>
      <c r="E42" s="133">
        <v>7.39</v>
      </c>
      <c r="F42" s="133">
        <v>2.56</v>
      </c>
      <c r="G42" s="133">
        <v>49.46</v>
      </c>
      <c r="H42" s="133">
        <v>19.64</v>
      </c>
      <c r="I42" s="133">
        <v>6.3</v>
      </c>
      <c r="J42" s="133">
        <v>0.2</v>
      </c>
      <c r="K42" s="133">
        <v>188.67</v>
      </c>
      <c r="L42" s="133">
        <v>28.13</v>
      </c>
      <c r="M42" s="133">
        <v>73.569999999999993</v>
      </c>
      <c r="N42" s="133">
        <v>365.1</v>
      </c>
      <c r="O42" s="133">
        <v>0</v>
      </c>
      <c r="P42" s="133">
        <v>0.75</v>
      </c>
      <c r="Q42" s="133">
        <v>4.01</v>
      </c>
    </row>
    <row r="43" spans="1:17" customFormat="1">
      <c r="A43" s="111" t="s">
        <v>945</v>
      </c>
      <c r="B43" s="133">
        <v>12.88</v>
      </c>
      <c r="C43" s="133">
        <v>29.1</v>
      </c>
      <c r="D43" s="133">
        <v>26.88</v>
      </c>
      <c r="E43" s="133">
        <v>7.55</v>
      </c>
      <c r="F43" s="133">
        <v>2.69</v>
      </c>
      <c r="G43" s="133">
        <v>49.46</v>
      </c>
      <c r="H43" s="133">
        <v>19.64</v>
      </c>
      <c r="I43" s="133">
        <v>6.37</v>
      </c>
      <c r="J43" s="133">
        <v>0.06</v>
      </c>
      <c r="K43" s="133">
        <v>167.5</v>
      </c>
      <c r="L43" s="133">
        <v>28.93</v>
      </c>
      <c r="M43" s="133">
        <v>70.150000000000006</v>
      </c>
      <c r="N43" s="133">
        <v>408.4</v>
      </c>
      <c r="O43" s="133">
        <v>0</v>
      </c>
      <c r="P43" s="133">
        <v>0.76</v>
      </c>
      <c r="Q43" s="133">
        <v>3.95</v>
      </c>
    </row>
    <row r="44" spans="1:17" customFormat="1">
      <c r="A44" s="111" t="s">
        <v>946</v>
      </c>
      <c r="B44" s="133">
        <v>12.12</v>
      </c>
      <c r="C44" s="133">
        <v>29.7</v>
      </c>
      <c r="D44" s="133">
        <v>26.59</v>
      </c>
      <c r="E44" s="133">
        <v>7.58</v>
      </c>
      <c r="F44" s="133">
        <v>2.78</v>
      </c>
      <c r="G44" s="133">
        <v>51.18</v>
      </c>
      <c r="H44" s="133">
        <v>20.18</v>
      </c>
      <c r="I44" s="133">
        <v>6.44</v>
      </c>
      <c r="J44" s="133">
        <v>0.06</v>
      </c>
      <c r="K44" s="133">
        <v>248.98</v>
      </c>
      <c r="L44" s="133">
        <v>29.42</v>
      </c>
      <c r="M44" s="133">
        <v>70.2</v>
      </c>
      <c r="N44" s="133">
        <v>448.5</v>
      </c>
      <c r="O44" s="133">
        <v>0</v>
      </c>
      <c r="P44" s="133">
        <v>0.76</v>
      </c>
      <c r="Q44" s="133">
        <v>3.9</v>
      </c>
    </row>
    <row r="45" spans="1:17" customFormat="1">
      <c r="A45" s="111" t="s">
        <v>947</v>
      </c>
      <c r="B45" s="133">
        <v>11.52</v>
      </c>
      <c r="C45" s="133">
        <v>30.16</v>
      </c>
      <c r="D45" s="133">
        <v>26.34</v>
      </c>
      <c r="E45" s="133">
        <v>7.43</v>
      </c>
      <c r="F45" s="133">
        <v>2.92</v>
      </c>
      <c r="G45" s="133">
        <v>64.87</v>
      </c>
      <c r="H45" s="133">
        <v>23.62</v>
      </c>
      <c r="I45" s="133">
        <v>6.54</v>
      </c>
      <c r="J45" s="133">
        <v>0.25</v>
      </c>
      <c r="K45" s="133">
        <v>0.77</v>
      </c>
      <c r="L45" s="133">
        <v>30.04</v>
      </c>
      <c r="M45" s="133">
        <v>66.34</v>
      </c>
      <c r="N45" s="133">
        <v>485.1</v>
      </c>
      <c r="O45" s="133">
        <v>0</v>
      </c>
      <c r="P45" s="133">
        <v>0.78</v>
      </c>
      <c r="Q45" s="133">
        <v>3.87</v>
      </c>
    </row>
    <row r="46" spans="1:17" customFormat="1">
      <c r="A46" s="111" t="s">
        <v>948</v>
      </c>
      <c r="B46" s="133">
        <v>10.85</v>
      </c>
      <c r="C46" s="133">
        <v>30.9</v>
      </c>
      <c r="D46" s="133">
        <v>26.19</v>
      </c>
      <c r="E46" s="133">
        <v>7.64</v>
      </c>
      <c r="F46" s="133">
        <v>3.23</v>
      </c>
      <c r="G46" s="133">
        <v>64.87</v>
      </c>
      <c r="H46" s="133">
        <v>23.62</v>
      </c>
      <c r="I46" s="133">
        <v>6.62</v>
      </c>
      <c r="J46" s="133">
        <v>0.12</v>
      </c>
      <c r="K46" s="133">
        <v>300.42</v>
      </c>
      <c r="L46" s="133">
        <v>30.68</v>
      </c>
      <c r="M46" s="133">
        <v>60.56</v>
      </c>
      <c r="N46" s="133">
        <v>421.8</v>
      </c>
      <c r="O46" s="133">
        <v>0</v>
      </c>
      <c r="P46" s="133">
        <v>0.8</v>
      </c>
      <c r="Q46" s="133">
        <v>3.85</v>
      </c>
    </row>
    <row r="47" spans="1:17" customFormat="1">
      <c r="A47" s="111" t="s">
        <v>949</v>
      </c>
      <c r="B47" s="133">
        <v>10.37</v>
      </c>
      <c r="C47" s="133">
        <v>30.73</v>
      </c>
      <c r="D47" s="133">
        <v>25.72</v>
      </c>
      <c r="E47" s="133">
        <v>8.57</v>
      </c>
      <c r="F47" s="133">
        <v>3.58</v>
      </c>
      <c r="G47" s="133">
        <v>64.87</v>
      </c>
      <c r="H47" s="133">
        <v>23.62</v>
      </c>
      <c r="I47" s="133">
        <v>6.78</v>
      </c>
      <c r="J47" s="133">
        <v>0.42</v>
      </c>
      <c r="K47" s="133">
        <v>21.95</v>
      </c>
      <c r="L47" s="133">
        <v>30.98</v>
      </c>
      <c r="M47" s="133">
        <v>58.11</v>
      </c>
      <c r="N47" s="133">
        <v>426.4</v>
      </c>
      <c r="O47" s="133">
        <v>0</v>
      </c>
      <c r="P47" s="133">
        <v>0.81</v>
      </c>
      <c r="Q47" s="133">
        <v>3.83</v>
      </c>
    </row>
    <row r="48" spans="1:17" customFormat="1">
      <c r="A48" s="111" t="s">
        <v>950</v>
      </c>
      <c r="B48" s="133">
        <v>10.3</v>
      </c>
      <c r="C48" s="133">
        <v>30.51</v>
      </c>
      <c r="D48" s="133">
        <v>25.55</v>
      </c>
      <c r="E48" s="133">
        <v>8.34</v>
      </c>
      <c r="F48" s="133">
        <v>4.28</v>
      </c>
      <c r="G48" s="133">
        <v>68.45</v>
      </c>
      <c r="H48" s="133">
        <v>25.01</v>
      </c>
      <c r="I48" s="133">
        <v>6.93</v>
      </c>
      <c r="J48" s="133">
        <v>0.28000000000000003</v>
      </c>
      <c r="K48" s="133">
        <v>314.74</v>
      </c>
      <c r="L48" s="133">
        <v>31.58</v>
      </c>
      <c r="M48" s="133">
        <v>55.68</v>
      </c>
      <c r="N48" s="133">
        <v>478.5</v>
      </c>
      <c r="O48" s="133">
        <v>0</v>
      </c>
      <c r="P48" s="133">
        <v>0.84</v>
      </c>
      <c r="Q48" s="133">
        <v>3.77</v>
      </c>
    </row>
    <row r="49" spans="1:17" customFormat="1">
      <c r="A49" s="111" t="s">
        <v>951</v>
      </c>
      <c r="B49" s="133">
        <v>10.01</v>
      </c>
      <c r="C49" s="133">
        <v>30.34</v>
      </c>
      <c r="D49" s="133">
        <v>25.23</v>
      </c>
      <c r="E49" s="133">
        <v>8.4499999999999993</v>
      </c>
      <c r="F49" s="133">
        <v>4.3099999999999996</v>
      </c>
      <c r="G49" s="133">
        <v>97.08</v>
      </c>
      <c r="H49" s="133">
        <v>33.86</v>
      </c>
      <c r="I49" s="133">
        <v>7.05</v>
      </c>
      <c r="J49" s="133">
        <v>0.31</v>
      </c>
      <c r="K49" s="133">
        <v>26.56</v>
      </c>
      <c r="L49" s="133">
        <v>32.01</v>
      </c>
      <c r="M49" s="133">
        <v>52.7</v>
      </c>
      <c r="N49" s="133">
        <v>615.79999999999995</v>
      </c>
      <c r="O49" s="133">
        <v>0</v>
      </c>
      <c r="P49" s="133">
        <v>0.84</v>
      </c>
      <c r="Q49" s="133">
        <v>3.72</v>
      </c>
    </row>
    <row r="50" spans="1:17" customFormat="1">
      <c r="A50" s="111" t="s">
        <v>952</v>
      </c>
      <c r="B50" s="133">
        <v>9.74</v>
      </c>
      <c r="C50" s="133">
        <v>29.42</v>
      </c>
      <c r="D50" s="133">
        <v>24.53</v>
      </c>
      <c r="E50" s="133">
        <v>11.48</v>
      </c>
      <c r="F50" s="133">
        <v>6.62</v>
      </c>
      <c r="G50" s="133">
        <v>97.08</v>
      </c>
      <c r="H50" s="133">
        <v>33.86</v>
      </c>
      <c r="I50" s="133">
        <v>7.17</v>
      </c>
      <c r="J50" s="133">
        <v>0.35</v>
      </c>
      <c r="K50" s="133">
        <v>11.08</v>
      </c>
      <c r="L50" s="133">
        <v>32.24</v>
      </c>
      <c r="M50" s="133">
        <v>51.22</v>
      </c>
      <c r="N50" s="133">
        <v>658.7</v>
      </c>
      <c r="O50" s="133">
        <v>0</v>
      </c>
      <c r="P50" s="133">
        <v>0.84</v>
      </c>
      <c r="Q50" s="133">
        <v>3.71</v>
      </c>
    </row>
    <row r="51" spans="1:17" customFormat="1">
      <c r="A51" s="111" t="s">
        <v>953</v>
      </c>
      <c r="B51" s="133">
        <v>9.51</v>
      </c>
      <c r="C51" s="133">
        <v>28.89</v>
      </c>
      <c r="D51" s="133">
        <v>24.08</v>
      </c>
      <c r="E51" s="133">
        <v>9.35</v>
      </c>
      <c r="F51" s="133">
        <v>5.31</v>
      </c>
      <c r="G51" s="133">
        <v>97.08</v>
      </c>
      <c r="H51" s="133">
        <v>33.86</v>
      </c>
      <c r="I51" s="133">
        <v>7.2</v>
      </c>
      <c r="J51" s="133">
        <v>0.11</v>
      </c>
      <c r="K51" s="133">
        <v>311.42</v>
      </c>
      <c r="L51" s="133">
        <v>32.74</v>
      </c>
      <c r="M51" s="133">
        <v>49.81</v>
      </c>
      <c r="N51" s="133">
        <v>673.9</v>
      </c>
      <c r="O51" s="133">
        <v>0</v>
      </c>
      <c r="P51" s="133">
        <v>0.84</v>
      </c>
      <c r="Q51" s="133">
        <v>3.68</v>
      </c>
    </row>
    <row r="52" spans="1:17" customFormat="1">
      <c r="A52" s="111" t="s">
        <v>954</v>
      </c>
      <c r="B52" s="133">
        <v>9.07</v>
      </c>
      <c r="C52" s="133">
        <v>28.09</v>
      </c>
      <c r="D52" s="133">
        <v>23.3</v>
      </c>
      <c r="E52" s="133">
        <v>10.02</v>
      </c>
      <c r="F52" s="133">
        <v>6.23</v>
      </c>
      <c r="G52" s="133">
        <v>97.26</v>
      </c>
      <c r="H52" s="133">
        <v>34.11</v>
      </c>
      <c r="I52" s="133">
        <v>7.14</v>
      </c>
      <c r="J52" s="133">
        <v>0.14000000000000001</v>
      </c>
      <c r="K52" s="133">
        <v>304.58999999999997</v>
      </c>
      <c r="L52" s="133">
        <v>32.950000000000003</v>
      </c>
      <c r="M52" s="133">
        <v>48.76</v>
      </c>
      <c r="N52" s="133">
        <v>628.6</v>
      </c>
      <c r="O52" s="133">
        <v>0</v>
      </c>
      <c r="P52" s="133">
        <v>0.83</v>
      </c>
      <c r="Q52" s="133">
        <v>3.64</v>
      </c>
    </row>
    <row r="53" spans="1:17" customFormat="1">
      <c r="A53" s="111" t="s">
        <v>955</v>
      </c>
      <c r="B53" s="133">
        <v>8.65</v>
      </c>
      <c r="C53" s="133">
        <v>27.54</v>
      </c>
      <c r="D53" s="133">
        <v>22.67</v>
      </c>
      <c r="E53" s="133">
        <v>10.79</v>
      </c>
      <c r="F53" s="133">
        <v>7.66</v>
      </c>
      <c r="G53" s="133">
        <v>98.72</v>
      </c>
      <c r="H53" s="133">
        <v>35.69</v>
      </c>
      <c r="I53" s="133">
        <v>7.16</v>
      </c>
      <c r="J53" s="133">
        <v>0.25</v>
      </c>
      <c r="K53" s="133">
        <v>11.56</v>
      </c>
      <c r="L53" s="133">
        <v>33.21</v>
      </c>
      <c r="M53" s="133">
        <v>47.02</v>
      </c>
      <c r="N53" s="133">
        <v>686</v>
      </c>
      <c r="O53" s="133">
        <v>0</v>
      </c>
      <c r="P53" s="133">
        <v>0.82</v>
      </c>
      <c r="Q53" s="133">
        <v>3.6</v>
      </c>
    </row>
    <row r="54" spans="1:17" customFormat="1">
      <c r="A54" s="111" t="s">
        <v>956</v>
      </c>
      <c r="B54" s="133">
        <v>8.17</v>
      </c>
      <c r="C54" s="133">
        <v>27.19</v>
      </c>
      <c r="D54" s="133">
        <v>22.11</v>
      </c>
      <c r="E54" s="133">
        <v>10.57</v>
      </c>
      <c r="F54" s="133">
        <v>6.83</v>
      </c>
      <c r="G54" s="133">
        <v>98.72</v>
      </c>
      <c r="H54" s="133">
        <v>35.69</v>
      </c>
      <c r="I54" s="133">
        <v>7.05</v>
      </c>
      <c r="J54" s="133">
        <v>0.27</v>
      </c>
      <c r="K54" s="133">
        <v>289.73</v>
      </c>
      <c r="L54" s="133">
        <v>33.340000000000003</v>
      </c>
      <c r="M54" s="133">
        <v>44.18</v>
      </c>
      <c r="N54" s="133">
        <v>700.5</v>
      </c>
      <c r="O54" s="133">
        <v>0</v>
      </c>
      <c r="P54" s="133">
        <v>0.81</v>
      </c>
      <c r="Q54" s="133">
        <v>3.56</v>
      </c>
    </row>
    <row r="55" spans="1:17" customFormat="1">
      <c r="A55" s="111" t="s">
        <v>957</v>
      </c>
      <c r="B55" s="133">
        <v>7.77</v>
      </c>
      <c r="C55" s="133">
        <v>27.03</v>
      </c>
      <c r="D55" s="133">
        <v>21.7</v>
      </c>
      <c r="E55" s="133">
        <v>8.91</v>
      </c>
      <c r="F55" s="133">
        <v>5.94</v>
      </c>
      <c r="G55" s="133">
        <v>98.72</v>
      </c>
      <c r="H55" s="133">
        <v>35.69</v>
      </c>
      <c r="I55" s="133">
        <v>6.99</v>
      </c>
      <c r="J55" s="133">
        <v>0.26</v>
      </c>
      <c r="K55" s="133">
        <v>304.39999999999998</v>
      </c>
      <c r="L55" s="133">
        <v>33.44</v>
      </c>
      <c r="M55" s="133">
        <v>43.67</v>
      </c>
      <c r="N55" s="133">
        <v>726.9</v>
      </c>
      <c r="O55" s="133">
        <v>0</v>
      </c>
      <c r="P55" s="133">
        <v>0.81</v>
      </c>
      <c r="Q55" s="133">
        <v>3.54</v>
      </c>
    </row>
    <row r="56" spans="1:17" customFormat="1">
      <c r="A56" s="111" t="s">
        <v>958</v>
      </c>
      <c r="B56" s="133">
        <v>7.3</v>
      </c>
      <c r="C56" s="133">
        <v>26.45</v>
      </c>
      <c r="D56" s="133">
        <v>21.02</v>
      </c>
      <c r="E56" s="133">
        <v>9.7899999999999991</v>
      </c>
      <c r="F56" s="133">
        <v>8.5399999999999991</v>
      </c>
      <c r="G56" s="133">
        <v>97.78</v>
      </c>
      <c r="H56" s="133">
        <v>35.409999999999997</v>
      </c>
      <c r="I56" s="133">
        <v>7</v>
      </c>
      <c r="J56" s="133">
        <v>0.24</v>
      </c>
      <c r="K56" s="133">
        <v>358.74</v>
      </c>
      <c r="L56" s="133">
        <v>33.81</v>
      </c>
      <c r="M56" s="133">
        <v>43.65</v>
      </c>
      <c r="N56" s="133">
        <v>760</v>
      </c>
      <c r="O56" s="133">
        <v>0</v>
      </c>
      <c r="P56" s="133">
        <v>0.79</v>
      </c>
      <c r="Q56" s="133">
        <v>3.5</v>
      </c>
    </row>
    <row r="57" spans="1:17" customFormat="1">
      <c r="A57" s="111" t="s">
        <v>959</v>
      </c>
      <c r="B57" s="133">
        <v>7.02</v>
      </c>
      <c r="C57" s="133">
        <v>25.99</v>
      </c>
      <c r="D57" s="133">
        <v>20.55</v>
      </c>
      <c r="E57" s="133">
        <v>9.69</v>
      </c>
      <c r="F57" s="133">
        <v>9.23</v>
      </c>
      <c r="G57" s="133">
        <v>90.23</v>
      </c>
      <c r="H57" s="133">
        <v>33.82</v>
      </c>
      <c r="I57" s="133">
        <v>6.92</v>
      </c>
      <c r="J57" s="133">
        <v>0.49</v>
      </c>
      <c r="K57" s="133">
        <v>342.96</v>
      </c>
      <c r="L57" s="133">
        <v>33.86</v>
      </c>
      <c r="M57" s="133">
        <v>42.3</v>
      </c>
      <c r="N57" s="133">
        <v>757.9</v>
      </c>
      <c r="O57" s="133">
        <v>0</v>
      </c>
      <c r="P57" s="133">
        <v>0.79</v>
      </c>
      <c r="Q57" s="133">
        <v>3.5</v>
      </c>
    </row>
    <row r="58" spans="1:17" customFormat="1">
      <c r="A58" s="111" t="s">
        <v>960</v>
      </c>
      <c r="B58" s="133">
        <v>6.89</v>
      </c>
      <c r="C58" s="133">
        <v>26.15</v>
      </c>
      <c r="D58" s="133">
        <v>20.54</v>
      </c>
      <c r="E58" s="133">
        <v>10.79</v>
      </c>
      <c r="F58" s="133">
        <v>9.4499999999999993</v>
      </c>
      <c r="G58" s="133">
        <v>90.23</v>
      </c>
      <c r="H58" s="133">
        <v>33.82</v>
      </c>
      <c r="I58" s="133">
        <v>6.64</v>
      </c>
      <c r="J58" s="133">
        <v>0.34</v>
      </c>
      <c r="K58" s="133">
        <v>359.65</v>
      </c>
      <c r="L58" s="133">
        <v>33.83</v>
      </c>
      <c r="M58" s="133">
        <v>41.8</v>
      </c>
      <c r="N58" s="133">
        <v>758.5</v>
      </c>
      <c r="O58" s="133">
        <v>0</v>
      </c>
      <c r="P58" s="133">
        <v>0.78</v>
      </c>
      <c r="Q58" s="133">
        <v>3.45</v>
      </c>
    </row>
    <row r="59" spans="1:17" customFormat="1">
      <c r="A59" s="111" t="s">
        <v>961</v>
      </c>
      <c r="B59" s="133">
        <v>6.64</v>
      </c>
      <c r="C59" s="133">
        <v>26.37</v>
      </c>
      <c r="D59" s="133">
        <v>20.45</v>
      </c>
      <c r="E59" s="133">
        <v>9.4499999999999993</v>
      </c>
      <c r="F59" s="133">
        <v>7.51</v>
      </c>
      <c r="G59" s="133">
        <v>90.23</v>
      </c>
      <c r="H59" s="133">
        <v>33.82</v>
      </c>
      <c r="I59" s="133">
        <v>6.63</v>
      </c>
      <c r="J59" s="133">
        <v>0.34</v>
      </c>
      <c r="K59" s="133">
        <v>28.01</v>
      </c>
      <c r="L59" s="133">
        <v>34.159999999999997</v>
      </c>
      <c r="M59" s="133">
        <v>39.81</v>
      </c>
      <c r="N59" s="133">
        <v>765.5</v>
      </c>
      <c r="O59" s="133">
        <v>0</v>
      </c>
      <c r="P59" s="133">
        <v>0.78</v>
      </c>
      <c r="Q59" s="133">
        <v>3.43</v>
      </c>
    </row>
    <row r="60" spans="1:17" customFormat="1">
      <c r="A60" s="111" t="s">
        <v>962</v>
      </c>
      <c r="B60" s="133">
        <v>6.41</v>
      </c>
      <c r="C60" s="133">
        <v>26.1</v>
      </c>
      <c r="D60" s="133">
        <v>20.13</v>
      </c>
      <c r="E60" s="133">
        <v>10.01</v>
      </c>
      <c r="F60" s="133">
        <v>8.48</v>
      </c>
      <c r="G60" s="133">
        <v>89.17</v>
      </c>
      <c r="H60" s="133">
        <v>32.44</v>
      </c>
      <c r="I60" s="133">
        <v>6.57</v>
      </c>
      <c r="J60" s="133">
        <v>0.36</v>
      </c>
      <c r="K60" s="133">
        <v>357.1</v>
      </c>
      <c r="L60" s="133">
        <v>34.159999999999997</v>
      </c>
      <c r="M60" s="133">
        <v>39.880000000000003</v>
      </c>
      <c r="N60" s="133">
        <v>740.2</v>
      </c>
      <c r="O60" s="133">
        <v>0</v>
      </c>
      <c r="P60" s="133">
        <v>0.76</v>
      </c>
      <c r="Q60" s="133">
        <v>3.43</v>
      </c>
    </row>
    <row r="61" spans="1:17" customFormat="1">
      <c r="A61" s="111" t="s">
        <v>963</v>
      </c>
      <c r="B61" s="133">
        <v>6.37</v>
      </c>
      <c r="C61" s="133">
        <v>25.98</v>
      </c>
      <c r="D61" s="133">
        <v>20.04</v>
      </c>
      <c r="E61" s="133">
        <v>8.8699999999999992</v>
      </c>
      <c r="F61" s="133">
        <v>6.83</v>
      </c>
      <c r="G61" s="133">
        <v>80.650000000000006</v>
      </c>
      <c r="H61" s="133">
        <v>23.74</v>
      </c>
      <c r="I61" s="133">
        <v>6.56</v>
      </c>
      <c r="J61" s="133">
        <v>0.2</v>
      </c>
      <c r="K61" s="133">
        <v>95.21</v>
      </c>
      <c r="L61" s="133">
        <v>34.29</v>
      </c>
      <c r="M61" s="133">
        <v>40.39</v>
      </c>
      <c r="N61" s="133">
        <v>690.5</v>
      </c>
      <c r="O61" s="133">
        <v>0</v>
      </c>
      <c r="P61" s="133">
        <v>0.76</v>
      </c>
      <c r="Q61" s="133">
        <v>3.39</v>
      </c>
    </row>
    <row r="62" spans="1:17" customFormat="1">
      <c r="A62" s="111" t="s">
        <v>964</v>
      </c>
      <c r="B62" s="133">
        <v>6.46</v>
      </c>
      <c r="C62" s="133">
        <v>25.72</v>
      </c>
      <c r="D62" s="133">
        <v>19.97</v>
      </c>
      <c r="E62" s="133">
        <v>9.84</v>
      </c>
      <c r="F62" s="133">
        <v>7.54</v>
      </c>
      <c r="G62" s="133">
        <v>80.650000000000006</v>
      </c>
      <c r="H62" s="133">
        <v>23.74</v>
      </c>
      <c r="I62" s="133">
        <v>6.39</v>
      </c>
      <c r="J62" s="133">
        <v>0.38</v>
      </c>
      <c r="K62" s="133">
        <v>28.82</v>
      </c>
      <c r="L62" s="133">
        <v>34.31</v>
      </c>
      <c r="M62" s="133">
        <v>38.770000000000003</v>
      </c>
      <c r="N62" s="133">
        <v>708.3</v>
      </c>
      <c r="O62" s="133">
        <v>0</v>
      </c>
      <c r="P62" s="133">
        <v>0.75</v>
      </c>
      <c r="Q62" s="133">
        <v>3.38</v>
      </c>
    </row>
    <row r="63" spans="1:17" customFormat="1">
      <c r="A63" s="111" t="s">
        <v>965</v>
      </c>
      <c r="B63" s="133">
        <v>6.37</v>
      </c>
      <c r="C63" s="133">
        <v>25.53</v>
      </c>
      <c r="D63" s="133">
        <v>19.8</v>
      </c>
      <c r="E63" s="133">
        <v>7.92</v>
      </c>
      <c r="F63" s="133">
        <v>6.23</v>
      </c>
      <c r="G63" s="133">
        <v>80.650000000000006</v>
      </c>
      <c r="H63" s="133">
        <v>23.74</v>
      </c>
      <c r="I63" s="133">
        <v>6.45</v>
      </c>
      <c r="J63" s="133">
        <v>0.1</v>
      </c>
      <c r="K63" s="133">
        <v>340.91</v>
      </c>
      <c r="L63" s="133">
        <v>34.549999999999997</v>
      </c>
      <c r="M63" s="133">
        <v>37.729999999999997</v>
      </c>
      <c r="N63" s="133">
        <v>688</v>
      </c>
      <c r="O63" s="133">
        <v>0</v>
      </c>
      <c r="P63" s="133">
        <v>0.75</v>
      </c>
      <c r="Q63" s="133">
        <v>3.39</v>
      </c>
    </row>
    <row r="64" spans="1:17" customFormat="1">
      <c r="A64" s="111" t="s">
        <v>966</v>
      </c>
      <c r="B64" s="133">
        <v>6.16</v>
      </c>
      <c r="C64" s="133">
        <v>25</v>
      </c>
      <c r="D64" s="133">
        <v>19.350000000000001</v>
      </c>
      <c r="E64" s="133">
        <v>8.9</v>
      </c>
      <c r="F64" s="133">
        <v>7.19</v>
      </c>
      <c r="G64" s="133">
        <v>79.78</v>
      </c>
      <c r="H64" s="133">
        <v>23.81</v>
      </c>
      <c r="I64" s="133">
        <v>6.24</v>
      </c>
      <c r="J64" s="133">
        <v>0.48</v>
      </c>
      <c r="K64" s="133">
        <v>43.02</v>
      </c>
      <c r="L64" s="133">
        <v>34.35</v>
      </c>
      <c r="M64" s="133">
        <v>38.409999999999997</v>
      </c>
      <c r="N64" s="133">
        <v>613.1</v>
      </c>
      <c r="O64" s="133">
        <v>0</v>
      </c>
      <c r="P64" s="133">
        <v>0.74</v>
      </c>
      <c r="Q64" s="133">
        <v>3.41</v>
      </c>
    </row>
    <row r="65" spans="1:17" customFormat="1">
      <c r="A65" s="111" t="s">
        <v>967</v>
      </c>
      <c r="B65" s="133">
        <v>6.07</v>
      </c>
      <c r="C65" s="133">
        <v>24.74</v>
      </c>
      <c r="D65" s="133">
        <v>19.14</v>
      </c>
      <c r="E65" s="133">
        <v>9.67</v>
      </c>
      <c r="F65" s="133">
        <v>8.43</v>
      </c>
      <c r="G65" s="133">
        <v>72.86</v>
      </c>
      <c r="H65" s="133">
        <v>24.28</v>
      </c>
      <c r="I65" s="133">
        <v>6.3</v>
      </c>
      <c r="J65" s="133">
        <v>0.51</v>
      </c>
      <c r="K65" s="133">
        <v>28.72</v>
      </c>
      <c r="L65" s="133">
        <v>34.22</v>
      </c>
      <c r="M65" s="133">
        <v>35.61</v>
      </c>
      <c r="N65" s="133">
        <v>610.6</v>
      </c>
      <c r="O65" s="133">
        <v>0</v>
      </c>
      <c r="P65" s="133">
        <v>0.6</v>
      </c>
      <c r="Q65" s="133">
        <v>3.4</v>
      </c>
    </row>
    <row r="66" spans="1:17" customFormat="1">
      <c r="A66" s="111" t="s">
        <v>968</v>
      </c>
      <c r="B66" s="133">
        <v>5.86</v>
      </c>
      <c r="C66" s="133">
        <v>25.3</v>
      </c>
      <c r="D66" s="133">
        <v>19.27</v>
      </c>
      <c r="E66" s="133">
        <v>7.45</v>
      </c>
      <c r="F66" s="133">
        <v>5.84</v>
      </c>
      <c r="G66" s="133">
        <v>72.86</v>
      </c>
      <c r="H66" s="133">
        <v>24.28</v>
      </c>
      <c r="I66" s="133">
        <v>6.08</v>
      </c>
      <c r="J66" s="133">
        <v>0.26</v>
      </c>
      <c r="K66" s="133">
        <v>63.04</v>
      </c>
      <c r="L66" s="133">
        <v>34.61</v>
      </c>
      <c r="M66" s="133">
        <v>35.33</v>
      </c>
      <c r="N66" s="133">
        <v>435</v>
      </c>
      <c r="O66" s="133">
        <v>0</v>
      </c>
      <c r="P66" s="133">
        <v>0.63</v>
      </c>
      <c r="Q66" s="133">
        <v>3.42</v>
      </c>
    </row>
    <row r="67" spans="1:17" customFormat="1">
      <c r="A67" s="111" t="s">
        <v>969</v>
      </c>
      <c r="B67" s="133">
        <v>5.47</v>
      </c>
      <c r="C67" s="133">
        <v>25.45</v>
      </c>
      <c r="D67" s="133">
        <v>19.04</v>
      </c>
      <c r="E67" s="133">
        <v>8.59</v>
      </c>
      <c r="F67" s="133">
        <v>6.82</v>
      </c>
      <c r="G67" s="133">
        <v>72.86</v>
      </c>
      <c r="H67" s="133">
        <v>24.28</v>
      </c>
      <c r="I67" s="133">
        <v>6.01</v>
      </c>
      <c r="J67" s="133">
        <v>0.47</v>
      </c>
      <c r="K67" s="133">
        <v>31.47</v>
      </c>
      <c r="L67" s="133">
        <v>33.68</v>
      </c>
      <c r="M67" s="133">
        <v>39.020000000000003</v>
      </c>
      <c r="N67" s="133">
        <v>109.8</v>
      </c>
      <c r="O67" s="133">
        <v>0</v>
      </c>
      <c r="P67" s="133">
        <v>0.59</v>
      </c>
      <c r="Q67" s="133">
        <v>3.38</v>
      </c>
    </row>
    <row r="68" spans="1:17" customFormat="1">
      <c r="A68" s="111" t="s">
        <v>970</v>
      </c>
      <c r="B68" s="133">
        <v>5.18</v>
      </c>
      <c r="C68" s="133">
        <v>25.41</v>
      </c>
      <c r="D68" s="133">
        <v>18.79</v>
      </c>
      <c r="E68" s="133">
        <v>10.01</v>
      </c>
      <c r="F68" s="133">
        <v>11.8</v>
      </c>
      <c r="G68" s="133">
        <v>71.959999999999994</v>
      </c>
      <c r="H68" s="133">
        <v>23.89</v>
      </c>
      <c r="I68" s="133">
        <v>6.03</v>
      </c>
      <c r="J68" s="133">
        <v>0.69</v>
      </c>
      <c r="K68" s="133">
        <v>27.5</v>
      </c>
      <c r="L68" s="133">
        <v>33.01</v>
      </c>
      <c r="M68" s="133">
        <v>39.08</v>
      </c>
      <c r="N68" s="133">
        <v>92.1</v>
      </c>
      <c r="O68" s="133">
        <v>0</v>
      </c>
      <c r="P68" s="133">
        <v>0.56999999999999995</v>
      </c>
      <c r="Q68" s="133">
        <v>3.4</v>
      </c>
    </row>
    <row r="69" spans="1:17" customFormat="1">
      <c r="A69" s="111" t="s">
        <v>971</v>
      </c>
      <c r="B69" s="133">
        <v>4.87</v>
      </c>
      <c r="C69" s="133">
        <v>25.4</v>
      </c>
      <c r="D69" s="133">
        <v>18.53</v>
      </c>
      <c r="E69" s="133">
        <v>9.02</v>
      </c>
      <c r="F69" s="133">
        <v>8.39</v>
      </c>
      <c r="G69" s="133">
        <v>64.73</v>
      </c>
      <c r="H69" s="133">
        <v>21.43</v>
      </c>
      <c r="I69" s="133">
        <v>5.8</v>
      </c>
      <c r="J69" s="133">
        <v>0.19</v>
      </c>
      <c r="K69" s="133">
        <v>158.78</v>
      </c>
      <c r="L69" s="133">
        <v>32.92</v>
      </c>
      <c r="M69" s="133">
        <v>39.78</v>
      </c>
      <c r="N69" s="133">
        <v>84.8</v>
      </c>
      <c r="O69" s="133">
        <v>0</v>
      </c>
      <c r="P69" s="133">
        <v>0.56000000000000005</v>
      </c>
      <c r="Q69" s="133">
        <v>3.39</v>
      </c>
    </row>
    <row r="70" spans="1:17" customFormat="1">
      <c r="A70" s="111" t="s">
        <v>972</v>
      </c>
      <c r="B70" s="133">
        <v>4.6500000000000004</v>
      </c>
      <c r="C70" s="133">
        <v>25.16</v>
      </c>
      <c r="D70" s="133">
        <v>18.22</v>
      </c>
      <c r="E70" s="133">
        <v>9.17</v>
      </c>
      <c r="F70" s="133">
        <v>8.6</v>
      </c>
      <c r="G70" s="133">
        <v>64.73</v>
      </c>
      <c r="H70" s="133">
        <v>21.43</v>
      </c>
      <c r="I70" s="133">
        <v>5.54</v>
      </c>
      <c r="J70" s="133">
        <v>0.41</v>
      </c>
      <c r="K70" s="133">
        <v>60.52</v>
      </c>
      <c r="L70" s="133">
        <v>32.78</v>
      </c>
      <c r="M70" s="133">
        <v>40.15</v>
      </c>
      <c r="N70" s="133">
        <v>226.1</v>
      </c>
      <c r="O70" s="133">
        <v>0</v>
      </c>
      <c r="P70" s="133">
        <v>0.56000000000000005</v>
      </c>
      <c r="Q70" s="133">
        <v>3.36</v>
      </c>
    </row>
    <row r="71" spans="1:17" customFormat="1">
      <c r="A71" s="111" t="s">
        <v>973</v>
      </c>
      <c r="B71" s="133">
        <v>4.7</v>
      </c>
      <c r="C71" s="133">
        <v>25.13</v>
      </c>
      <c r="D71" s="133">
        <v>18.25</v>
      </c>
      <c r="E71" s="133">
        <v>10.6</v>
      </c>
      <c r="F71" s="133">
        <v>11.39</v>
      </c>
      <c r="G71" s="133">
        <v>64.73</v>
      </c>
      <c r="H71" s="133">
        <v>21.43</v>
      </c>
      <c r="I71" s="133">
        <v>5.48</v>
      </c>
      <c r="J71" s="133">
        <v>0.31</v>
      </c>
      <c r="K71" s="133">
        <v>56.35</v>
      </c>
      <c r="L71" s="133">
        <v>32.72</v>
      </c>
      <c r="M71" s="133">
        <v>42.58</v>
      </c>
      <c r="N71" s="133">
        <v>76.099999999999994</v>
      </c>
      <c r="O71" s="133">
        <v>0</v>
      </c>
      <c r="P71" s="133">
        <v>0.55000000000000004</v>
      </c>
      <c r="Q71" s="133">
        <v>3.37</v>
      </c>
    </row>
    <row r="72" spans="1:17" customFormat="1">
      <c r="A72" s="111" t="s">
        <v>974</v>
      </c>
      <c r="B72" s="133">
        <v>4.83</v>
      </c>
      <c r="C72" s="133">
        <v>24.87</v>
      </c>
      <c r="D72" s="133">
        <v>18.22</v>
      </c>
      <c r="E72" s="133">
        <v>11.25</v>
      </c>
      <c r="F72" s="133">
        <v>15.2</v>
      </c>
      <c r="G72" s="133">
        <v>64.44</v>
      </c>
      <c r="H72" s="133">
        <v>21.05</v>
      </c>
      <c r="I72" s="133">
        <v>5.32</v>
      </c>
      <c r="J72" s="133">
        <v>0.4</v>
      </c>
      <c r="K72" s="133">
        <v>50.8</v>
      </c>
      <c r="L72" s="133">
        <v>32.380000000000003</v>
      </c>
      <c r="M72" s="133">
        <v>44.33</v>
      </c>
      <c r="N72" s="133">
        <v>49.7</v>
      </c>
      <c r="O72" s="133">
        <v>0</v>
      </c>
      <c r="P72" s="133">
        <v>0.54</v>
      </c>
      <c r="Q72" s="133">
        <v>3.36</v>
      </c>
    </row>
    <row r="73" spans="1:17" customFormat="1">
      <c r="A73" s="111" t="s">
        <v>975</v>
      </c>
      <c r="B73" s="133">
        <v>5.0199999999999996</v>
      </c>
      <c r="C73" s="133">
        <v>25.67</v>
      </c>
      <c r="D73" s="133">
        <v>18.79</v>
      </c>
      <c r="E73" s="133">
        <v>11.86</v>
      </c>
      <c r="F73" s="133">
        <v>12.48</v>
      </c>
      <c r="G73" s="133">
        <v>62.14</v>
      </c>
      <c r="H73" s="133">
        <v>18.88</v>
      </c>
      <c r="I73" s="133">
        <v>5.0599999999999996</v>
      </c>
      <c r="J73" s="133">
        <v>0.19</v>
      </c>
      <c r="K73" s="133">
        <v>66.5</v>
      </c>
      <c r="L73" s="133">
        <v>32.18</v>
      </c>
      <c r="M73" s="133">
        <v>46.15</v>
      </c>
      <c r="N73" s="133">
        <v>39.299999999999997</v>
      </c>
      <c r="O73" s="133">
        <v>0</v>
      </c>
      <c r="P73" s="133">
        <v>0.54</v>
      </c>
      <c r="Q73" s="133">
        <v>3.38</v>
      </c>
    </row>
    <row r="74" spans="1:17" customFormat="1">
      <c r="A74" s="111" t="s">
        <v>976</v>
      </c>
      <c r="B74" s="133">
        <v>5.01</v>
      </c>
      <c r="C74" s="133">
        <v>25.11</v>
      </c>
      <c r="D74" s="133">
        <v>18.489999999999998</v>
      </c>
      <c r="E74" s="133">
        <v>10.67</v>
      </c>
      <c r="F74" s="133">
        <v>11.44</v>
      </c>
      <c r="G74" s="133">
        <v>62.14</v>
      </c>
      <c r="H74" s="133">
        <v>18.88</v>
      </c>
      <c r="I74" s="133">
        <v>4.84</v>
      </c>
      <c r="J74" s="133">
        <v>0.28999999999999998</v>
      </c>
      <c r="K74" s="133">
        <v>86.58</v>
      </c>
      <c r="L74" s="133">
        <v>32.020000000000003</v>
      </c>
      <c r="M74" s="133">
        <v>45.65</v>
      </c>
      <c r="N74" s="133">
        <v>33.799999999999997</v>
      </c>
      <c r="O74" s="133">
        <v>0</v>
      </c>
      <c r="P74" s="133">
        <v>0.53</v>
      </c>
      <c r="Q74" s="133">
        <v>3.41</v>
      </c>
    </row>
    <row r="75" spans="1:17" customFormat="1">
      <c r="A75" s="111" t="s">
        <v>977</v>
      </c>
      <c r="B75" s="133">
        <v>5.15</v>
      </c>
      <c r="C75" s="133">
        <v>25.22</v>
      </c>
      <c r="D75" s="133">
        <v>18.66</v>
      </c>
      <c r="E75" s="133">
        <v>10.79</v>
      </c>
      <c r="F75" s="133">
        <v>11.45</v>
      </c>
      <c r="G75" s="133">
        <v>62.14</v>
      </c>
      <c r="H75" s="133">
        <v>18.88</v>
      </c>
      <c r="I75" s="133">
        <v>4.82</v>
      </c>
      <c r="J75" s="133">
        <v>0.24</v>
      </c>
      <c r="K75" s="133">
        <v>95.88</v>
      </c>
      <c r="L75" s="133">
        <v>31.84</v>
      </c>
      <c r="M75" s="133">
        <v>47.59</v>
      </c>
      <c r="N75" s="133">
        <v>23.9</v>
      </c>
      <c r="O75" s="133">
        <v>0</v>
      </c>
      <c r="P75" s="133">
        <v>0.53</v>
      </c>
      <c r="Q75" s="133">
        <v>3.44</v>
      </c>
    </row>
    <row r="76" spans="1:17" customFormat="1">
      <c r="A76" s="111" t="s">
        <v>978</v>
      </c>
      <c r="B76" s="133">
        <v>5.09</v>
      </c>
      <c r="C76" s="133">
        <v>25.53</v>
      </c>
      <c r="D76" s="133">
        <v>18.77</v>
      </c>
      <c r="E76" s="133">
        <v>9.9700000000000006</v>
      </c>
      <c r="F76" s="133">
        <v>8.32</v>
      </c>
      <c r="G76" s="133">
        <v>61.51</v>
      </c>
      <c r="H76" s="133">
        <v>19.12</v>
      </c>
      <c r="I76" s="133">
        <v>4.74</v>
      </c>
      <c r="J76" s="133">
        <v>0.3</v>
      </c>
      <c r="K76" s="133">
        <v>170.83</v>
      </c>
      <c r="L76" s="133">
        <v>31</v>
      </c>
      <c r="M76" s="133">
        <v>54.63</v>
      </c>
      <c r="N76" s="133">
        <v>16.100000000000001</v>
      </c>
      <c r="O76" s="133">
        <v>0</v>
      </c>
      <c r="P76" s="133">
        <v>0.53</v>
      </c>
      <c r="Q76" s="133">
        <v>3.44</v>
      </c>
    </row>
    <row r="77" spans="1:17" customFormat="1">
      <c r="A77" s="111" t="s">
        <v>979</v>
      </c>
      <c r="B77" s="133">
        <v>5.19</v>
      </c>
      <c r="C77" s="133">
        <v>25.55</v>
      </c>
      <c r="D77" s="133">
        <v>18.86</v>
      </c>
      <c r="E77" s="133">
        <v>9.75</v>
      </c>
      <c r="F77" s="133">
        <v>8.48</v>
      </c>
      <c r="G77" s="133">
        <v>56.46</v>
      </c>
      <c r="H77" s="133">
        <v>20.67</v>
      </c>
      <c r="I77" s="133">
        <v>4.6500000000000004</v>
      </c>
      <c r="J77" s="133">
        <v>0.32</v>
      </c>
      <c r="K77" s="133">
        <v>162.76</v>
      </c>
      <c r="L77" s="133">
        <v>30.07</v>
      </c>
      <c r="M77" s="133">
        <v>60.38</v>
      </c>
      <c r="N77" s="133">
        <v>7.1</v>
      </c>
      <c r="O77" s="133">
        <v>0</v>
      </c>
      <c r="P77" s="133">
        <v>0.52</v>
      </c>
      <c r="Q77" s="133">
        <v>3.46</v>
      </c>
    </row>
    <row r="78" spans="1:17" customFormat="1">
      <c r="A78" s="111" t="s">
        <v>980</v>
      </c>
      <c r="B78" s="133">
        <v>5.29</v>
      </c>
      <c r="C78" s="133">
        <v>25.11</v>
      </c>
      <c r="D78" s="133">
        <v>18.71</v>
      </c>
      <c r="E78" s="133">
        <v>8.9700000000000006</v>
      </c>
      <c r="F78" s="133">
        <v>7.06</v>
      </c>
      <c r="G78" s="133">
        <v>56.46</v>
      </c>
      <c r="H78" s="133">
        <v>20.67</v>
      </c>
      <c r="I78" s="133">
        <v>4.68</v>
      </c>
      <c r="J78" s="133">
        <v>0.26</v>
      </c>
      <c r="K78" s="133">
        <v>162.34</v>
      </c>
      <c r="L78" s="133">
        <v>29.43</v>
      </c>
      <c r="M78" s="133">
        <v>64.34</v>
      </c>
      <c r="N78" s="133">
        <v>0.5</v>
      </c>
      <c r="O78" s="133">
        <v>0</v>
      </c>
      <c r="P78" s="133">
        <v>0.53</v>
      </c>
      <c r="Q78" s="133">
        <v>3.47</v>
      </c>
    </row>
    <row r="79" spans="1:17" customFormat="1">
      <c r="A79" s="111" t="s">
        <v>981</v>
      </c>
      <c r="B79" s="133">
        <v>5.41</v>
      </c>
      <c r="C79" s="133">
        <v>25.22</v>
      </c>
      <c r="D79" s="133">
        <v>18.87</v>
      </c>
      <c r="E79" s="133">
        <v>8.42</v>
      </c>
      <c r="F79" s="133">
        <v>6.34</v>
      </c>
      <c r="G79" s="133">
        <v>56.46</v>
      </c>
      <c r="H79" s="133">
        <v>20.67</v>
      </c>
      <c r="I79" s="133">
        <v>4.76</v>
      </c>
      <c r="J79" s="133">
        <v>0.21</v>
      </c>
      <c r="K79" s="133">
        <v>175</v>
      </c>
      <c r="L79" s="133">
        <v>28.85</v>
      </c>
      <c r="M79" s="133">
        <v>71.61</v>
      </c>
      <c r="N79" s="133">
        <v>0</v>
      </c>
      <c r="O79" s="133">
        <v>0</v>
      </c>
      <c r="P79" s="133">
        <v>0.53</v>
      </c>
      <c r="Q79" s="133">
        <v>3.47</v>
      </c>
    </row>
    <row r="80" spans="1:17" customFormat="1">
      <c r="A80" s="111" t="s">
        <v>982</v>
      </c>
      <c r="B80" s="133">
        <v>5.59</v>
      </c>
      <c r="C80" s="133">
        <v>25.42</v>
      </c>
      <c r="D80" s="133">
        <v>19.12</v>
      </c>
      <c r="E80" s="133">
        <v>8.76</v>
      </c>
      <c r="F80" s="133">
        <v>5.52</v>
      </c>
      <c r="G80" s="133">
        <v>57.05</v>
      </c>
      <c r="H80" s="133">
        <v>20.92</v>
      </c>
      <c r="I80" s="133">
        <v>4.95</v>
      </c>
      <c r="J80" s="133">
        <v>0.16</v>
      </c>
      <c r="K80" s="133">
        <v>178.3</v>
      </c>
      <c r="L80" s="133">
        <v>28.17</v>
      </c>
      <c r="M80" s="133">
        <v>75.14</v>
      </c>
      <c r="N80" s="133">
        <v>0</v>
      </c>
      <c r="O80" s="133">
        <v>0</v>
      </c>
      <c r="P80" s="133">
        <v>0.54</v>
      </c>
      <c r="Q80" s="133">
        <v>3.49</v>
      </c>
    </row>
    <row r="81" spans="1:17" customFormat="1">
      <c r="A81" s="111" t="s">
        <v>983</v>
      </c>
      <c r="B81" s="133">
        <v>5.8</v>
      </c>
      <c r="C81" s="133">
        <v>25.14</v>
      </c>
      <c r="D81" s="133">
        <v>19.14</v>
      </c>
      <c r="E81" s="133">
        <v>5.59</v>
      </c>
      <c r="F81" s="133">
        <v>6.18</v>
      </c>
      <c r="G81" s="133">
        <v>61.79</v>
      </c>
      <c r="H81" s="133">
        <v>22.33</v>
      </c>
      <c r="I81" s="133">
        <v>5.45</v>
      </c>
      <c r="J81" s="133">
        <v>0.19</v>
      </c>
      <c r="K81" s="133">
        <v>170.68</v>
      </c>
      <c r="L81" s="133">
        <v>27.81</v>
      </c>
      <c r="M81" s="133">
        <v>72.13</v>
      </c>
      <c r="N81" s="133">
        <v>0</v>
      </c>
      <c r="O81" s="133">
        <v>0</v>
      </c>
      <c r="P81" s="133">
        <v>0.55000000000000004</v>
      </c>
      <c r="Q81" s="133">
        <v>3.55</v>
      </c>
    </row>
    <row r="82" spans="1:17" customFormat="1">
      <c r="A82" s="111" t="s">
        <v>984</v>
      </c>
      <c r="B82" s="133">
        <v>6.13</v>
      </c>
      <c r="C82" s="133">
        <v>25.2</v>
      </c>
      <c r="D82" s="133">
        <v>19.43</v>
      </c>
      <c r="E82" s="133">
        <v>6.36</v>
      </c>
      <c r="F82" s="133">
        <v>4.43</v>
      </c>
      <c r="G82" s="133">
        <v>61.79</v>
      </c>
      <c r="H82" s="133">
        <v>22.33</v>
      </c>
      <c r="I82" s="133">
        <v>5.39</v>
      </c>
      <c r="J82" s="133">
        <v>0.12</v>
      </c>
      <c r="K82" s="133">
        <v>205.37</v>
      </c>
      <c r="L82" s="133">
        <v>27.62</v>
      </c>
      <c r="M82" s="133">
        <v>70.84</v>
      </c>
      <c r="N82" s="133">
        <v>0</v>
      </c>
      <c r="O82" s="133">
        <v>0</v>
      </c>
      <c r="P82" s="133">
        <v>0.54</v>
      </c>
      <c r="Q82" s="133">
        <v>3.59</v>
      </c>
    </row>
    <row r="83" spans="1:17" customFormat="1">
      <c r="A83" s="111" t="s">
        <v>985</v>
      </c>
      <c r="B83" s="133">
        <v>6.27</v>
      </c>
      <c r="C83" s="133">
        <v>25.42</v>
      </c>
      <c r="D83" s="133">
        <v>19.66</v>
      </c>
      <c r="E83" s="133">
        <v>6.27</v>
      </c>
      <c r="F83" s="133">
        <v>3.66</v>
      </c>
      <c r="G83" s="133">
        <v>61.79</v>
      </c>
      <c r="H83" s="133">
        <v>22.33</v>
      </c>
      <c r="I83" s="133">
        <v>5.33</v>
      </c>
      <c r="J83" s="133">
        <v>0.13</v>
      </c>
      <c r="K83" s="133">
        <v>208.44</v>
      </c>
      <c r="L83" s="133">
        <v>27.38</v>
      </c>
      <c r="M83" s="133">
        <v>72.06</v>
      </c>
      <c r="N83" s="133">
        <v>0</v>
      </c>
      <c r="O83" s="133">
        <v>0</v>
      </c>
      <c r="P83" s="133">
        <v>0.54</v>
      </c>
      <c r="Q83" s="133">
        <v>3.6</v>
      </c>
    </row>
    <row r="84" spans="1:17" customFormat="1">
      <c r="A84" s="111" t="s">
        <v>986</v>
      </c>
      <c r="B84" s="133">
        <v>6.41</v>
      </c>
      <c r="C84" s="133">
        <v>25.49</v>
      </c>
      <c r="D84" s="133">
        <v>19.809999999999999</v>
      </c>
      <c r="E84" s="133">
        <v>6.25</v>
      </c>
      <c r="F84" s="133">
        <v>4.0599999999999996</v>
      </c>
      <c r="G84" s="133">
        <v>61.11</v>
      </c>
      <c r="H84" s="133">
        <v>21.61</v>
      </c>
      <c r="I84" s="133">
        <v>5.34</v>
      </c>
      <c r="J84" s="133">
        <v>0.11</v>
      </c>
      <c r="K84" s="133">
        <v>195.04</v>
      </c>
      <c r="L84" s="133">
        <v>27.15</v>
      </c>
      <c r="M84" s="133">
        <v>74.38</v>
      </c>
      <c r="N84" s="133">
        <v>0</v>
      </c>
      <c r="O84" s="133">
        <v>0</v>
      </c>
      <c r="P84" s="133">
        <v>0.56000000000000005</v>
      </c>
      <c r="Q84" s="133">
        <v>3.59</v>
      </c>
    </row>
    <row r="85" spans="1:17" customFormat="1">
      <c r="A85" s="111" t="s">
        <v>987</v>
      </c>
      <c r="B85" s="133">
        <v>6.64</v>
      </c>
      <c r="C85" s="133">
        <v>25.63</v>
      </c>
      <c r="D85" s="133">
        <v>20.07</v>
      </c>
      <c r="E85" s="133">
        <v>6.21</v>
      </c>
      <c r="F85" s="133">
        <v>3.3</v>
      </c>
      <c r="G85" s="133">
        <v>55.71</v>
      </c>
      <c r="H85" s="133">
        <v>17.47</v>
      </c>
      <c r="I85" s="133">
        <v>5.35</v>
      </c>
      <c r="J85" s="133">
        <v>0.11</v>
      </c>
      <c r="K85" s="133">
        <v>170.23</v>
      </c>
      <c r="L85" s="133">
        <v>27.01</v>
      </c>
      <c r="M85" s="133">
        <v>81.34</v>
      </c>
      <c r="N85" s="133">
        <v>0</v>
      </c>
      <c r="O85" s="133">
        <v>0</v>
      </c>
      <c r="P85" s="133">
        <v>0.56000000000000005</v>
      </c>
      <c r="Q85" s="133">
        <v>3.6</v>
      </c>
    </row>
    <row r="86" spans="1:17" customFormat="1">
      <c r="A86" s="111" t="s">
        <v>988</v>
      </c>
      <c r="B86" s="133">
        <v>6.85</v>
      </c>
      <c r="C86" s="133">
        <v>25.27</v>
      </c>
      <c r="D86" s="133">
        <v>20.04</v>
      </c>
      <c r="E86" s="133">
        <v>5.95</v>
      </c>
      <c r="F86" s="133">
        <v>2.9</v>
      </c>
      <c r="G86" s="133">
        <v>55.71</v>
      </c>
      <c r="H86" s="133">
        <v>17.47</v>
      </c>
      <c r="I86" s="133">
        <v>5.34</v>
      </c>
      <c r="J86" s="133">
        <v>0.13</v>
      </c>
      <c r="K86" s="133">
        <v>169.85</v>
      </c>
      <c r="L86" s="133">
        <v>26.84</v>
      </c>
      <c r="M86" s="133">
        <v>83.29</v>
      </c>
      <c r="N86" s="133">
        <v>0</v>
      </c>
      <c r="O86" s="133">
        <v>0</v>
      </c>
      <c r="P86" s="133">
        <v>0.56999999999999995</v>
      </c>
      <c r="Q86" s="133">
        <v>3.61</v>
      </c>
    </row>
    <row r="87" spans="1:17" customFormat="1">
      <c r="A87" s="111" t="s">
        <v>989</v>
      </c>
      <c r="B87" s="133">
        <v>7.03</v>
      </c>
      <c r="C87" s="133">
        <v>24.34</v>
      </c>
      <c r="D87" s="133">
        <v>19.7</v>
      </c>
      <c r="E87" s="133">
        <v>5.91</v>
      </c>
      <c r="F87" s="133">
        <v>3.52</v>
      </c>
      <c r="G87" s="133">
        <v>55.71</v>
      </c>
      <c r="H87" s="133">
        <v>17.47</v>
      </c>
      <c r="I87" s="133">
        <v>5.4</v>
      </c>
      <c r="J87" s="133">
        <v>0.08</v>
      </c>
      <c r="K87" s="133">
        <v>175.71</v>
      </c>
      <c r="L87" s="133">
        <v>26.7</v>
      </c>
      <c r="M87" s="133">
        <v>85.87</v>
      </c>
      <c r="N87" s="133">
        <v>0</v>
      </c>
      <c r="O87" s="133">
        <v>0</v>
      </c>
      <c r="P87" s="133">
        <v>0.57999999999999996</v>
      </c>
      <c r="Q87" s="133">
        <v>3.62</v>
      </c>
    </row>
    <row r="88" spans="1:17" customFormat="1">
      <c r="A88" s="111" t="s">
        <v>990</v>
      </c>
      <c r="B88" s="133">
        <v>7.4</v>
      </c>
      <c r="C88" s="133">
        <v>22.41</v>
      </c>
      <c r="D88" s="133">
        <v>19</v>
      </c>
      <c r="E88" s="133">
        <v>6.08</v>
      </c>
      <c r="F88" s="133">
        <v>4.5599999999999996</v>
      </c>
      <c r="G88" s="133">
        <v>56.03</v>
      </c>
      <c r="H88" s="133">
        <v>17.399999999999999</v>
      </c>
      <c r="I88" s="133">
        <v>5.45</v>
      </c>
      <c r="J88" s="133">
        <v>0.1</v>
      </c>
      <c r="K88" s="133">
        <v>219.64</v>
      </c>
      <c r="L88" s="133">
        <v>26.52</v>
      </c>
      <c r="M88" s="133">
        <v>85.24</v>
      </c>
      <c r="N88" s="133">
        <v>0</v>
      </c>
      <c r="O88" s="133">
        <v>0</v>
      </c>
      <c r="P88" s="133">
        <v>0.57999999999999996</v>
      </c>
      <c r="Q88" s="133">
        <v>3.58</v>
      </c>
    </row>
    <row r="89" spans="1:17" customFormat="1">
      <c r="A89" s="111" t="s">
        <v>991</v>
      </c>
      <c r="B89" s="133">
        <v>7.57</v>
      </c>
      <c r="C89" s="133">
        <v>21.09</v>
      </c>
      <c r="D89" s="133">
        <v>18.440000000000001</v>
      </c>
      <c r="E89" s="133">
        <v>5.63</v>
      </c>
      <c r="F89" s="133">
        <v>5.41</v>
      </c>
      <c r="G89" s="133">
        <v>58.6</v>
      </c>
      <c r="H89" s="133">
        <v>16.98</v>
      </c>
      <c r="I89" s="133">
        <v>5.54</v>
      </c>
      <c r="J89" s="133">
        <v>0.08</v>
      </c>
      <c r="K89" s="133">
        <v>218.85</v>
      </c>
      <c r="L89" s="133">
        <v>26.44</v>
      </c>
      <c r="M89" s="133">
        <v>86.12</v>
      </c>
      <c r="N89" s="133">
        <v>0</v>
      </c>
      <c r="O89" s="133">
        <v>0</v>
      </c>
      <c r="P89" s="133">
        <v>0.57999999999999996</v>
      </c>
      <c r="Q89" s="133">
        <v>3.57</v>
      </c>
    </row>
    <row r="90" spans="1:17" customFormat="1">
      <c r="A90" s="111" t="s">
        <v>992</v>
      </c>
      <c r="B90" s="133">
        <v>7.84</v>
      </c>
      <c r="C90" s="133">
        <v>20.350000000000001</v>
      </c>
      <c r="D90" s="133">
        <v>18.27</v>
      </c>
      <c r="E90" s="133">
        <v>5.68</v>
      </c>
      <c r="F90" s="133">
        <v>4.99</v>
      </c>
      <c r="G90" s="133">
        <v>58.6</v>
      </c>
      <c r="H90" s="133">
        <v>16.98</v>
      </c>
      <c r="I90" s="133">
        <v>5.58</v>
      </c>
      <c r="J90" s="133">
        <v>0.09</v>
      </c>
      <c r="K90" s="133">
        <v>226.9</v>
      </c>
      <c r="L90" s="133">
        <v>26.33</v>
      </c>
      <c r="M90" s="133">
        <v>88.23</v>
      </c>
      <c r="N90" s="133">
        <v>0</v>
      </c>
      <c r="O90" s="133">
        <v>0</v>
      </c>
      <c r="P90" s="133">
        <v>0.57999999999999996</v>
      </c>
      <c r="Q90" s="133">
        <v>3.57</v>
      </c>
    </row>
    <row r="91" spans="1:17" customFormat="1">
      <c r="A91" s="111" t="s">
        <v>993</v>
      </c>
      <c r="B91" s="133">
        <v>7.8</v>
      </c>
      <c r="C91" s="133">
        <v>19.649999999999999</v>
      </c>
      <c r="D91" s="133">
        <v>17.87</v>
      </c>
      <c r="E91" s="133">
        <v>5.8</v>
      </c>
      <c r="F91" s="133">
        <v>5.57</v>
      </c>
      <c r="G91" s="133">
        <v>58.6</v>
      </c>
      <c r="H91" s="133">
        <v>16.98</v>
      </c>
      <c r="I91" s="133">
        <v>5.67</v>
      </c>
      <c r="J91" s="133">
        <v>0.09</v>
      </c>
      <c r="K91" s="133">
        <v>180.06</v>
      </c>
      <c r="L91" s="133">
        <v>26.27</v>
      </c>
      <c r="M91" s="133">
        <v>90.27</v>
      </c>
      <c r="N91" s="133">
        <v>0</v>
      </c>
      <c r="O91" s="133">
        <v>0</v>
      </c>
      <c r="P91" s="133">
        <v>0.57999999999999996</v>
      </c>
      <c r="Q91" s="133">
        <v>3.57</v>
      </c>
    </row>
    <row r="92" spans="1:17" customFormat="1">
      <c r="A92" s="111" t="s">
        <v>994</v>
      </c>
      <c r="B92" s="133">
        <v>7.98</v>
      </c>
      <c r="C92" s="133">
        <v>19.11</v>
      </c>
      <c r="D92" s="133">
        <v>17.739999999999998</v>
      </c>
      <c r="E92" s="133">
        <v>5.83</v>
      </c>
      <c r="F92" s="133">
        <v>7.78</v>
      </c>
      <c r="G92" s="133">
        <v>58.3</v>
      </c>
      <c r="H92" s="133">
        <v>17.16</v>
      </c>
      <c r="I92" s="133">
        <v>5.67</v>
      </c>
      <c r="J92" s="133">
        <v>7.0000000000000007E-2</v>
      </c>
      <c r="K92" s="133">
        <v>195.9</v>
      </c>
      <c r="L92" s="133">
        <v>26.14</v>
      </c>
      <c r="M92" s="133">
        <v>89.86</v>
      </c>
      <c r="N92" s="133">
        <v>0</v>
      </c>
      <c r="O92" s="133">
        <v>0</v>
      </c>
      <c r="P92" s="133">
        <v>0.57999999999999996</v>
      </c>
      <c r="Q92" s="133">
        <v>3.6</v>
      </c>
    </row>
    <row r="93" spans="1:17" customFormat="1">
      <c r="A93" s="111" t="s">
        <v>995</v>
      </c>
      <c r="B93" s="133">
        <v>7.89</v>
      </c>
      <c r="C93" s="133">
        <v>18.25</v>
      </c>
      <c r="D93" s="133">
        <v>17.22</v>
      </c>
      <c r="E93" s="133">
        <v>5.38</v>
      </c>
      <c r="F93" s="133">
        <v>8.8000000000000007</v>
      </c>
      <c r="G93" s="133">
        <v>55.89</v>
      </c>
      <c r="H93" s="133">
        <v>18.21</v>
      </c>
      <c r="I93" s="133">
        <v>5.71</v>
      </c>
      <c r="J93" s="133">
        <v>0.09</v>
      </c>
      <c r="K93" s="133">
        <v>192.27</v>
      </c>
      <c r="L93" s="133">
        <v>26.1</v>
      </c>
      <c r="M93" s="133">
        <v>87.5</v>
      </c>
      <c r="N93" s="133">
        <v>0</v>
      </c>
      <c r="O93" s="133">
        <v>0</v>
      </c>
      <c r="P93" s="133">
        <v>0.56999999999999995</v>
      </c>
      <c r="Q93" s="133">
        <v>3.58</v>
      </c>
    </row>
    <row r="94" spans="1:17" customFormat="1">
      <c r="A94" s="111" t="s">
        <v>996</v>
      </c>
      <c r="B94" s="133">
        <v>8.16</v>
      </c>
      <c r="C94" s="133">
        <v>18.600000000000001</v>
      </c>
      <c r="D94" s="133">
        <v>17.62</v>
      </c>
      <c r="E94" s="133">
        <v>5.74</v>
      </c>
      <c r="F94" s="133">
        <v>7.58</v>
      </c>
      <c r="G94" s="133">
        <v>55.89</v>
      </c>
      <c r="H94" s="133">
        <v>18.21</v>
      </c>
      <c r="I94" s="133">
        <v>5.69</v>
      </c>
      <c r="J94" s="133">
        <v>0.1</v>
      </c>
      <c r="K94" s="133">
        <v>206.97</v>
      </c>
      <c r="L94" s="133">
        <v>25.98</v>
      </c>
      <c r="M94" s="133">
        <v>88.99</v>
      </c>
      <c r="N94" s="133">
        <v>0</v>
      </c>
      <c r="O94" s="133">
        <v>0</v>
      </c>
      <c r="P94" s="133">
        <v>0.56000000000000005</v>
      </c>
      <c r="Q94" s="133">
        <v>3.57</v>
      </c>
    </row>
    <row r="95" spans="1:17" customFormat="1">
      <c r="A95" s="111" t="s">
        <v>997</v>
      </c>
      <c r="B95" s="133">
        <v>8.9700000000000006</v>
      </c>
      <c r="C95" s="133">
        <v>21.71</v>
      </c>
      <c r="D95" s="133">
        <v>19.89</v>
      </c>
      <c r="E95" s="133">
        <v>6.01</v>
      </c>
      <c r="F95" s="133">
        <v>4.1399999999999997</v>
      </c>
      <c r="G95" s="133">
        <v>55.89</v>
      </c>
      <c r="H95" s="133">
        <v>18.21</v>
      </c>
      <c r="I95" s="133">
        <v>5.69</v>
      </c>
      <c r="J95" s="133">
        <v>0.06</v>
      </c>
      <c r="K95" s="133">
        <v>185.85</v>
      </c>
      <c r="L95" s="133">
        <v>25.96</v>
      </c>
      <c r="M95" s="133">
        <v>88.95</v>
      </c>
      <c r="N95" s="133">
        <v>0</v>
      </c>
      <c r="O95" s="133">
        <v>0</v>
      </c>
      <c r="P95" s="133">
        <v>0.59</v>
      </c>
      <c r="Q95" s="133">
        <v>3.57</v>
      </c>
    </row>
    <row r="96" spans="1:17" customFormat="1">
      <c r="A96" s="111" t="s">
        <v>998</v>
      </c>
      <c r="B96" s="133">
        <v>9.23</v>
      </c>
      <c r="C96" s="133">
        <v>21.86</v>
      </c>
      <c r="D96" s="133">
        <v>20.170000000000002</v>
      </c>
      <c r="E96" s="133">
        <v>5.85</v>
      </c>
      <c r="F96" s="133">
        <v>5.0199999999999996</v>
      </c>
      <c r="G96" s="133">
        <v>55.68</v>
      </c>
      <c r="H96" s="133">
        <v>18.39</v>
      </c>
      <c r="I96" s="133">
        <v>5.73</v>
      </c>
      <c r="J96" s="133">
        <v>0.06</v>
      </c>
      <c r="K96" s="133">
        <v>203.99</v>
      </c>
      <c r="L96" s="133">
        <v>25.9</v>
      </c>
      <c r="M96" s="133">
        <v>87.54</v>
      </c>
      <c r="N96" s="133">
        <v>0</v>
      </c>
      <c r="O96" s="133">
        <v>0</v>
      </c>
      <c r="P96" s="133">
        <v>0.6</v>
      </c>
      <c r="Q96" s="133">
        <v>3.64</v>
      </c>
    </row>
    <row r="97" spans="1:22" customFormat="1">
      <c r="A97" s="111" t="s">
        <v>999</v>
      </c>
      <c r="B97" s="133">
        <v>9.11</v>
      </c>
      <c r="C97" s="133">
        <v>20.190000000000001</v>
      </c>
      <c r="D97" s="133">
        <v>19.2</v>
      </c>
      <c r="E97" s="133">
        <v>6.2</v>
      </c>
      <c r="F97" s="133">
        <v>6.59</v>
      </c>
      <c r="G97" s="133">
        <v>54.06</v>
      </c>
      <c r="H97" s="133">
        <v>19.39</v>
      </c>
      <c r="I97" s="133">
        <v>5.85</v>
      </c>
      <c r="J97" s="133">
        <v>0.1</v>
      </c>
      <c r="K97" s="133">
        <v>230.08</v>
      </c>
      <c r="L97" s="133">
        <v>25.89</v>
      </c>
      <c r="M97" s="133">
        <v>86.74</v>
      </c>
      <c r="N97" s="133">
        <v>0</v>
      </c>
      <c r="O97" s="133">
        <v>0</v>
      </c>
      <c r="P97" s="133">
        <v>0.59</v>
      </c>
      <c r="Q97" s="133">
        <v>3.68</v>
      </c>
    </row>
    <row r="98" spans="1:22" customFormat="1">
      <c r="A98" s="111" t="s">
        <v>1000</v>
      </c>
      <c r="B98" s="133">
        <v>9.23</v>
      </c>
      <c r="C98" s="133">
        <v>19.09</v>
      </c>
      <c r="D98" s="133">
        <v>18.72</v>
      </c>
      <c r="E98" s="133">
        <v>5.79</v>
      </c>
      <c r="F98" s="133">
        <v>6.6</v>
      </c>
      <c r="G98" s="133">
        <v>54.06</v>
      </c>
      <c r="H98" s="133">
        <v>19.39</v>
      </c>
      <c r="I98" s="133">
        <v>5.74</v>
      </c>
      <c r="J98" s="133">
        <v>0.13</v>
      </c>
      <c r="K98" s="133">
        <v>178.51</v>
      </c>
      <c r="L98" s="133">
        <v>25.97</v>
      </c>
      <c r="M98" s="133">
        <v>86.76</v>
      </c>
      <c r="N98" s="133">
        <v>0</v>
      </c>
      <c r="O98" s="133">
        <v>0</v>
      </c>
      <c r="P98" s="133">
        <v>0.56999999999999995</v>
      </c>
      <c r="Q98" s="133">
        <v>3.66</v>
      </c>
    </row>
    <row r="99" spans="1:22" customFormat="1">
      <c r="A99" s="111" t="s">
        <v>1001</v>
      </c>
      <c r="B99" s="133">
        <v>9.15</v>
      </c>
      <c r="C99" s="133">
        <v>18.850000000000001</v>
      </c>
      <c r="D99" s="133">
        <v>18.53</v>
      </c>
      <c r="E99" s="133">
        <v>5.95</v>
      </c>
      <c r="F99" s="133">
        <v>6.36</v>
      </c>
      <c r="G99" s="133">
        <v>54.06</v>
      </c>
      <c r="H99" s="133">
        <v>19.39</v>
      </c>
      <c r="I99" s="133">
        <v>5.67</v>
      </c>
      <c r="J99" s="133">
        <v>0.11</v>
      </c>
      <c r="K99" s="133">
        <v>228.05</v>
      </c>
      <c r="L99" s="133">
        <v>25.82</v>
      </c>
      <c r="M99" s="133">
        <v>87.32</v>
      </c>
      <c r="N99" s="133">
        <v>0</v>
      </c>
      <c r="O99" s="133">
        <v>0</v>
      </c>
      <c r="P99" s="133">
        <v>0.56999999999999995</v>
      </c>
      <c r="Q99" s="133">
        <v>3.65</v>
      </c>
    </row>
    <row r="100" spans="1:22" customFormat="1">
      <c r="A100" s="111" t="s">
        <v>1002</v>
      </c>
      <c r="B100" s="133">
        <v>9.7799999999999994</v>
      </c>
      <c r="C100" s="133">
        <v>21.34</v>
      </c>
      <c r="D100" s="133">
        <v>20.34</v>
      </c>
      <c r="E100" s="133">
        <v>6.18</v>
      </c>
      <c r="F100" s="133">
        <v>4.22</v>
      </c>
      <c r="G100" s="133">
        <v>53.76</v>
      </c>
      <c r="H100" s="133">
        <v>19.47</v>
      </c>
      <c r="I100" s="133">
        <v>5.73</v>
      </c>
      <c r="J100" s="133">
        <v>0.1</v>
      </c>
      <c r="K100" s="133">
        <v>211.17</v>
      </c>
      <c r="L100" s="133">
        <v>25.76</v>
      </c>
      <c r="M100" s="133">
        <v>86.47</v>
      </c>
      <c r="N100" s="133">
        <v>0</v>
      </c>
      <c r="O100" s="133">
        <v>0</v>
      </c>
      <c r="P100" s="133">
        <v>0.6</v>
      </c>
      <c r="Q100" s="133">
        <v>3.63</v>
      </c>
    </row>
    <row r="101" spans="1:22" customFormat="1">
      <c r="A101" s="111" t="s">
        <v>1003</v>
      </c>
      <c r="B101" s="133">
        <v>10.210000000000001</v>
      </c>
      <c r="C101" s="133">
        <v>22.19</v>
      </c>
      <c r="D101" s="133">
        <v>21.14</v>
      </c>
      <c r="E101" s="133">
        <v>6.45</v>
      </c>
      <c r="F101" s="133">
        <v>4.04</v>
      </c>
      <c r="G101" s="133">
        <v>51.36</v>
      </c>
      <c r="H101" s="133">
        <v>19.91</v>
      </c>
      <c r="I101" s="133">
        <v>5.68</v>
      </c>
      <c r="J101" s="133">
        <v>0.12</v>
      </c>
      <c r="K101" s="133">
        <v>185.54</v>
      </c>
      <c r="L101" s="133">
        <v>25.59</v>
      </c>
      <c r="M101" s="133">
        <v>89.77</v>
      </c>
      <c r="N101" s="133">
        <v>0</v>
      </c>
      <c r="O101" s="133">
        <v>0</v>
      </c>
      <c r="P101" s="133">
        <v>0.6</v>
      </c>
      <c r="Q101" s="133">
        <v>3.68</v>
      </c>
    </row>
    <row r="102" spans="1:22" customFormat="1">
      <c r="A102" s="111" t="s">
        <v>1004</v>
      </c>
      <c r="B102" s="133">
        <v>10.53</v>
      </c>
      <c r="C102" s="133">
        <v>21.07</v>
      </c>
      <c r="D102" s="133">
        <v>20.8</v>
      </c>
      <c r="E102" s="133">
        <v>6.18</v>
      </c>
      <c r="F102" s="133">
        <v>3.97</v>
      </c>
      <c r="G102" s="133">
        <v>51.36</v>
      </c>
      <c r="H102" s="133">
        <v>19.91</v>
      </c>
      <c r="I102" s="133">
        <v>5.82</v>
      </c>
      <c r="J102" s="133">
        <v>0.09</v>
      </c>
      <c r="K102" s="133">
        <v>222.64</v>
      </c>
      <c r="L102" s="133">
        <v>25.38</v>
      </c>
      <c r="M102" s="133">
        <v>91.11</v>
      </c>
      <c r="N102" s="133">
        <v>0</v>
      </c>
      <c r="O102" s="133">
        <v>0</v>
      </c>
      <c r="P102" s="133">
        <v>0.59</v>
      </c>
      <c r="Q102" s="133">
        <v>3.71</v>
      </c>
    </row>
    <row r="103" spans="1:22" customFormat="1">
      <c r="A103" s="111" t="s">
        <v>1005</v>
      </c>
      <c r="B103" s="133">
        <v>10.59</v>
      </c>
      <c r="C103" s="133">
        <v>19.77</v>
      </c>
      <c r="D103" s="133">
        <v>20.170000000000002</v>
      </c>
      <c r="E103" s="133">
        <v>6.19</v>
      </c>
      <c r="F103" s="133">
        <v>4.18</v>
      </c>
      <c r="G103" s="133">
        <v>51.36</v>
      </c>
      <c r="H103" s="133">
        <v>19.91</v>
      </c>
      <c r="I103" s="133">
        <v>5.85</v>
      </c>
      <c r="J103" s="133">
        <v>0.1</v>
      </c>
      <c r="K103" s="133">
        <v>157.84</v>
      </c>
      <c r="L103" s="133">
        <v>25.22</v>
      </c>
      <c r="M103" s="133">
        <v>92.56</v>
      </c>
      <c r="N103" s="133">
        <v>0</v>
      </c>
      <c r="O103" s="133">
        <v>0</v>
      </c>
      <c r="P103" s="133">
        <v>0.57999999999999996</v>
      </c>
      <c r="Q103" s="133">
        <v>3.74</v>
      </c>
    </row>
    <row r="104" spans="1:22" customFormat="1">
      <c r="A104" s="111" t="s">
        <v>1006</v>
      </c>
      <c r="B104" s="133">
        <v>10.6</v>
      </c>
      <c r="C104" s="133">
        <v>19.350000000000001</v>
      </c>
      <c r="D104" s="133">
        <v>19.96</v>
      </c>
      <c r="E104" s="133">
        <v>5.78</v>
      </c>
      <c r="F104" s="133">
        <v>4.22</v>
      </c>
      <c r="G104" s="133">
        <v>51.03</v>
      </c>
      <c r="H104" s="133">
        <v>19.57</v>
      </c>
      <c r="I104" s="133">
        <v>5.77</v>
      </c>
      <c r="J104" s="133">
        <v>0.11</v>
      </c>
      <c r="K104" s="133">
        <v>206.23</v>
      </c>
      <c r="L104" s="133">
        <v>25.07</v>
      </c>
      <c r="M104" s="133">
        <v>92.42</v>
      </c>
      <c r="N104" s="133">
        <v>0</v>
      </c>
      <c r="O104" s="133">
        <v>0</v>
      </c>
      <c r="P104" s="133">
        <v>0.56999999999999995</v>
      </c>
      <c r="Q104" s="133">
        <v>3.72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4.6500000000000004</v>
      </c>
      <c r="C106" s="183">
        <f>MIN(C9:C104)</f>
        <v>18.25</v>
      </c>
      <c r="D106" s="183">
        <f t="shared" ref="D106:Q106" si="0">MIN(D9:D104)</f>
        <v>17.22</v>
      </c>
      <c r="E106" s="183">
        <f t="shared" si="0"/>
        <v>5.38</v>
      </c>
      <c r="F106" s="183">
        <f t="shared" si="0"/>
        <v>2.39</v>
      </c>
      <c r="G106" s="183">
        <f t="shared" si="0"/>
        <v>44.91</v>
      </c>
      <c r="H106" s="183">
        <f t="shared" si="0"/>
        <v>15.74</v>
      </c>
      <c r="I106" s="183">
        <f t="shared" si="0"/>
        <v>4.6500000000000004</v>
      </c>
      <c r="J106" s="183">
        <f t="shared" si="0"/>
        <v>0.06</v>
      </c>
      <c r="K106" s="183">
        <f t="shared" si="0"/>
        <v>0.26</v>
      </c>
      <c r="L106" s="183">
        <f t="shared" si="0"/>
        <v>22.27</v>
      </c>
      <c r="M106" s="183">
        <f t="shared" si="0"/>
        <v>35.33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3.36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16.690000000000001</v>
      </c>
      <c r="C107" s="184">
        <f t="shared" ref="C107:Q107" si="1">MAX(C9:C104)</f>
        <v>30.9</v>
      </c>
      <c r="D107" s="184">
        <f t="shared" si="1"/>
        <v>29.13</v>
      </c>
      <c r="E107" s="184">
        <f t="shared" si="1"/>
        <v>11.86</v>
      </c>
      <c r="F107" s="184">
        <f t="shared" si="1"/>
        <v>15.2</v>
      </c>
      <c r="G107" s="184">
        <f t="shared" si="1"/>
        <v>98.72</v>
      </c>
      <c r="H107" s="184">
        <f t="shared" si="1"/>
        <v>35.69</v>
      </c>
      <c r="I107" s="184">
        <f t="shared" si="1"/>
        <v>7.2</v>
      </c>
      <c r="J107" s="184">
        <f t="shared" si="1"/>
        <v>0.69</v>
      </c>
      <c r="K107" s="184">
        <f t="shared" si="1"/>
        <v>359.65</v>
      </c>
      <c r="L107" s="184">
        <f t="shared" si="1"/>
        <v>34.61</v>
      </c>
      <c r="M107" s="184">
        <f t="shared" si="1"/>
        <v>96.85</v>
      </c>
      <c r="N107" s="184">
        <f t="shared" si="1"/>
        <v>765.5</v>
      </c>
      <c r="O107" s="184">
        <f t="shared" si="1"/>
        <v>0</v>
      </c>
      <c r="P107" s="184">
        <f t="shared" si="1"/>
        <v>0.89</v>
      </c>
      <c r="Q107" s="184">
        <f t="shared" si="1"/>
        <v>4.07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9.9778125000000006</v>
      </c>
      <c r="C108" s="183">
        <f t="shared" ref="C108:Q108" si="2">AVERAGE(C9:C104)</f>
        <v>25.243854166666679</v>
      </c>
      <c r="D108" s="183">
        <f t="shared" si="2"/>
        <v>22.541979166666668</v>
      </c>
      <c r="E108" s="183">
        <f t="shared" si="2"/>
        <v>7.6856250000000008</v>
      </c>
      <c r="F108" s="183">
        <f t="shared" si="2"/>
        <v>5.1534374999999999</v>
      </c>
      <c r="G108" s="183">
        <f t="shared" si="2"/>
        <v>61.877395833333374</v>
      </c>
      <c r="H108" s="183">
        <f t="shared" si="2"/>
        <v>21.389479166666685</v>
      </c>
      <c r="I108" s="183">
        <f t="shared" si="2"/>
        <v>6.1104166666666666</v>
      </c>
      <c r="J108" s="183">
        <f t="shared" si="2"/>
        <v>0.18979166666666661</v>
      </c>
      <c r="K108" s="183">
        <f t="shared" si="2"/>
        <v>177.68864583333331</v>
      </c>
      <c r="L108" s="183">
        <f t="shared" si="2"/>
        <v>27.756249999999998</v>
      </c>
      <c r="M108" s="183">
        <f t="shared" si="2"/>
        <v>72.685208333333321</v>
      </c>
      <c r="N108" s="183">
        <f t="shared" si="2"/>
        <v>177.01979166666661</v>
      </c>
      <c r="O108" s="183">
        <f t="shared" si="2"/>
        <v>0</v>
      </c>
      <c r="P108" s="183">
        <f t="shared" si="2"/>
        <v>0.69958333333333345</v>
      </c>
      <c r="Q108" s="183">
        <f t="shared" si="2"/>
        <v>3.7029166666666669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3.7659659285500644</v>
      </c>
      <c r="C109" s="183">
        <f t="shared" ref="C109:Q109" si="3">STDEV(C9:C104)</f>
        <v>2.9164619408098611</v>
      </c>
      <c r="D109" s="183">
        <f t="shared" si="3"/>
        <v>3.6960051320856424</v>
      </c>
      <c r="E109" s="183">
        <f t="shared" si="3"/>
        <v>1.6518282136373668</v>
      </c>
      <c r="F109" s="183">
        <f t="shared" si="3"/>
        <v>2.8203328762567614</v>
      </c>
      <c r="G109" s="183">
        <f t="shared" si="3"/>
        <v>15.121378400326856</v>
      </c>
      <c r="H109" s="183">
        <f t="shared" si="3"/>
        <v>5.4473550066047283</v>
      </c>
      <c r="I109" s="183">
        <f t="shared" si="3"/>
        <v>0.63550214984383457</v>
      </c>
      <c r="J109" s="183">
        <f t="shared" si="3"/>
        <v>0.12447768065985218</v>
      </c>
      <c r="K109" s="183">
        <f t="shared" si="3"/>
        <v>86.235110038835785</v>
      </c>
      <c r="L109" s="183">
        <f t="shared" si="3"/>
        <v>4.1260977486699453</v>
      </c>
      <c r="M109" s="183">
        <f t="shared" si="3"/>
        <v>21.122711696887428</v>
      </c>
      <c r="N109" s="183">
        <f t="shared" si="3"/>
        <v>271.5517888455521</v>
      </c>
      <c r="O109" s="183">
        <f t="shared" si="3"/>
        <v>0</v>
      </c>
      <c r="P109" s="183">
        <f t="shared" si="3"/>
        <v>0.11820514430578272</v>
      </c>
      <c r="Q109" s="183">
        <f t="shared" si="3"/>
        <v>0.22690093672727171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09/10/2023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1007</v>
      </c>
      <c r="B9" s="133">
        <v>11.87</v>
      </c>
      <c r="C9" s="133">
        <v>23.18</v>
      </c>
      <c r="D9" s="133">
        <v>22.98</v>
      </c>
      <c r="E9" s="133">
        <v>6.43</v>
      </c>
      <c r="F9" s="133">
        <v>2.86</v>
      </c>
      <c r="G9" s="133">
        <v>48.34</v>
      </c>
      <c r="H9" s="133">
        <v>17.61</v>
      </c>
      <c r="I9" s="133">
        <v>5.74</v>
      </c>
      <c r="J9" s="133">
        <v>0.13</v>
      </c>
      <c r="K9" s="133">
        <v>209.88</v>
      </c>
      <c r="L9" s="133">
        <v>24.89</v>
      </c>
      <c r="M9" s="133">
        <v>92.4</v>
      </c>
      <c r="N9" s="133">
        <v>0</v>
      </c>
      <c r="O9" s="133">
        <v>0</v>
      </c>
      <c r="P9" s="133">
        <v>0.6</v>
      </c>
      <c r="Q9" s="133">
        <v>3.71</v>
      </c>
    </row>
    <row r="10" spans="1:21" customFormat="1">
      <c r="A10" s="111" t="s">
        <v>1008</v>
      </c>
      <c r="B10" s="133">
        <v>11.62</v>
      </c>
      <c r="C10" s="133">
        <v>23.53</v>
      </c>
      <c r="D10" s="133">
        <v>22.96</v>
      </c>
      <c r="E10" s="133">
        <v>6.21</v>
      </c>
      <c r="F10" s="133">
        <v>3.26</v>
      </c>
      <c r="G10" s="133">
        <v>48.34</v>
      </c>
      <c r="H10" s="133">
        <v>17.61</v>
      </c>
      <c r="I10" s="133">
        <v>5.7</v>
      </c>
      <c r="J10" s="133">
        <v>0.17</v>
      </c>
      <c r="K10" s="133">
        <v>170.34</v>
      </c>
      <c r="L10" s="133">
        <v>24.93</v>
      </c>
      <c r="M10" s="133">
        <v>90.4</v>
      </c>
      <c r="N10" s="133">
        <v>0</v>
      </c>
      <c r="O10" s="133">
        <v>0</v>
      </c>
      <c r="P10" s="133">
        <v>0.61</v>
      </c>
      <c r="Q10" s="133">
        <v>3.76</v>
      </c>
    </row>
    <row r="11" spans="1:21" customFormat="1">
      <c r="A11" s="111" t="s">
        <v>1009</v>
      </c>
      <c r="B11" s="133">
        <v>11.43</v>
      </c>
      <c r="C11" s="133">
        <v>23.92</v>
      </c>
      <c r="D11" s="133">
        <v>23.02</v>
      </c>
      <c r="E11" s="133">
        <v>6.51</v>
      </c>
      <c r="F11" s="133">
        <v>3.12</v>
      </c>
      <c r="G11" s="133">
        <v>48.34</v>
      </c>
      <c r="H11" s="133">
        <v>17.61</v>
      </c>
      <c r="I11" s="133">
        <v>5.82</v>
      </c>
      <c r="J11" s="133">
        <v>0.13</v>
      </c>
      <c r="K11" s="133">
        <v>182.73</v>
      </c>
      <c r="L11" s="133">
        <v>24.92</v>
      </c>
      <c r="M11" s="133">
        <v>89.99</v>
      </c>
      <c r="N11" s="133">
        <v>0</v>
      </c>
      <c r="O11" s="133">
        <v>0</v>
      </c>
      <c r="P11" s="133">
        <v>0.62</v>
      </c>
      <c r="Q11" s="133">
        <v>3.76</v>
      </c>
    </row>
    <row r="12" spans="1:21" customFormat="1">
      <c r="A12" s="111" t="s">
        <v>1010</v>
      </c>
      <c r="B12" s="133">
        <v>11.33</v>
      </c>
      <c r="C12" s="133">
        <v>24.06</v>
      </c>
      <c r="D12" s="133">
        <v>23.01</v>
      </c>
      <c r="E12" s="133">
        <v>5.97</v>
      </c>
      <c r="F12" s="133">
        <v>2.99</v>
      </c>
      <c r="G12" s="133">
        <v>47.86</v>
      </c>
      <c r="H12" s="133">
        <v>17.59</v>
      </c>
      <c r="I12" s="133">
        <v>5.76</v>
      </c>
      <c r="J12" s="133">
        <v>0.14000000000000001</v>
      </c>
      <c r="K12" s="133">
        <v>166.01</v>
      </c>
      <c r="L12" s="133">
        <v>24.87</v>
      </c>
      <c r="M12" s="133">
        <v>90.59</v>
      </c>
      <c r="N12" s="133">
        <v>0</v>
      </c>
      <c r="O12" s="133">
        <v>0</v>
      </c>
      <c r="P12" s="133">
        <v>0.61</v>
      </c>
      <c r="Q12" s="133">
        <v>3.79</v>
      </c>
    </row>
    <row r="13" spans="1:21" customFormat="1">
      <c r="A13" s="111" t="s">
        <v>1011</v>
      </c>
      <c r="B13" s="133">
        <v>11.22</v>
      </c>
      <c r="C13" s="133">
        <v>24.39</v>
      </c>
      <c r="D13" s="133">
        <v>23.09</v>
      </c>
      <c r="E13" s="133">
        <v>6.36</v>
      </c>
      <c r="F13" s="133">
        <v>2.99</v>
      </c>
      <c r="G13" s="133">
        <v>44.06</v>
      </c>
      <c r="H13" s="133">
        <v>17.45</v>
      </c>
      <c r="I13" s="133">
        <v>5.71</v>
      </c>
      <c r="J13" s="133">
        <v>0.16</v>
      </c>
      <c r="K13" s="133">
        <v>165.38</v>
      </c>
      <c r="L13" s="133">
        <v>24.89</v>
      </c>
      <c r="M13" s="133">
        <v>90.47</v>
      </c>
      <c r="N13" s="133">
        <v>0</v>
      </c>
      <c r="O13" s="133">
        <v>0</v>
      </c>
      <c r="P13" s="133">
        <v>0.61</v>
      </c>
      <c r="Q13" s="133">
        <v>3.8</v>
      </c>
    </row>
    <row r="14" spans="1:21" customFormat="1">
      <c r="A14" s="111" t="s">
        <v>1012</v>
      </c>
      <c r="B14" s="133">
        <v>11.19</v>
      </c>
      <c r="C14" s="133">
        <v>24.63</v>
      </c>
      <c r="D14" s="133">
        <v>23.19</v>
      </c>
      <c r="E14" s="133">
        <v>6.47</v>
      </c>
      <c r="F14" s="133">
        <v>2.78</v>
      </c>
      <c r="G14" s="133">
        <v>44.06</v>
      </c>
      <c r="H14" s="133">
        <v>17.45</v>
      </c>
      <c r="I14" s="133">
        <v>5.62</v>
      </c>
      <c r="J14" s="133">
        <v>0.12</v>
      </c>
      <c r="K14" s="133">
        <v>166.82</v>
      </c>
      <c r="L14" s="133">
        <v>24.8</v>
      </c>
      <c r="M14" s="133">
        <v>89.87</v>
      </c>
      <c r="N14" s="133">
        <v>0</v>
      </c>
      <c r="O14" s="133">
        <v>0</v>
      </c>
      <c r="P14" s="133">
        <v>0.6</v>
      </c>
      <c r="Q14" s="133">
        <v>3.81</v>
      </c>
    </row>
    <row r="15" spans="1:21" customFormat="1">
      <c r="A15" s="111" t="s">
        <v>1013</v>
      </c>
      <c r="B15" s="133">
        <v>11.01</v>
      </c>
      <c r="C15" s="133">
        <v>24.95</v>
      </c>
      <c r="D15" s="133">
        <v>23.22</v>
      </c>
      <c r="E15" s="133">
        <v>6.53</v>
      </c>
      <c r="F15" s="133">
        <v>2.76</v>
      </c>
      <c r="G15" s="133">
        <v>44.06</v>
      </c>
      <c r="H15" s="133">
        <v>17.45</v>
      </c>
      <c r="I15" s="133">
        <v>5.59</v>
      </c>
      <c r="J15" s="133">
        <v>0.11</v>
      </c>
      <c r="K15" s="133">
        <v>167.1</v>
      </c>
      <c r="L15" s="133">
        <v>24.62</v>
      </c>
      <c r="M15" s="133">
        <v>89.24</v>
      </c>
      <c r="N15" s="133">
        <v>0</v>
      </c>
      <c r="O15" s="133">
        <v>0</v>
      </c>
      <c r="P15" s="133">
        <v>0.6</v>
      </c>
      <c r="Q15" s="133">
        <v>3.81</v>
      </c>
    </row>
    <row r="16" spans="1:21" customFormat="1">
      <c r="A16" s="111" t="s">
        <v>1014</v>
      </c>
      <c r="B16" s="133">
        <v>10.77</v>
      </c>
      <c r="C16" s="133">
        <v>25.34</v>
      </c>
      <c r="D16" s="133">
        <v>23.23</v>
      </c>
      <c r="E16" s="133">
        <v>6.59</v>
      </c>
      <c r="F16" s="133">
        <v>2.8</v>
      </c>
      <c r="G16" s="133">
        <v>43.96</v>
      </c>
      <c r="H16" s="133">
        <v>17.260000000000002</v>
      </c>
      <c r="I16" s="133">
        <v>5.49</v>
      </c>
      <c r="J16" s="133">
        <v>0.14000000000000001</v>
      </c>
      <c r="K16" s="133">
        <v>168.73</v>
      </c>
      <c r="L16" s="133">
        <v>24.68</v>
      </c>
      <c r="M16" s="133">
        <v>88.46</v>
      </c>
      <c r="N16" s="133">
        <v>0</v>
      </c>
      <c r="O16" s="133">
        <v>0</v>
      </c>
      <c r="P16" s="133">
        <v>0.59</v>
      </c>
      <c r="Q16" s="133">
        <v>3.82</v>
      </c>
    </row>
    <row r="17" spans="1:17" customFormat="1">
      <c r="A17" s="111" t="s">
        <v>1015</v>
      </c>
      <c r="B17" s="133">
        <v>10.77</v>
      </c>
      <c r="C17" s="133">
        <v>25.33</v>
      </c>
      <c r="D17" s="133">
        <v>23.22</v>
      </c>
      <c r="E17" s="133">
        <v>7.39</v>
      </c>
      <c r="F17" s="133">
        <v>2.8</v>
      </c>
      <c r="G17" s="133">
        <v>43.15</v>
      </c>
      <c r="H17" s="133">
        <v>16.059999999999999</v>
      </c>
      <c r="I17" s="133">
        <v>5.44</v>
      </c>
      <c r="J17" s="133">
        <v>0.14000000000000001</v>
      </c>
      <c r="K17" s="133">
        <v>168.64</v>
      </c>
      <c r="L17" s="133">
        <v>24.67</v>
      </c>
      <c r="M17" s="133">
        <v>89.12</v>
      </c>
      <c r="N17" s="133">
        <v>0</v>
      </c>
      <c r="O17" s="133">
        <v>0</v>
      </c>
      <c r="P17" s="133">
        <v>0.59</v>
      </c>
      <c r="Q17" s="133">
        <v>3.81</v>
      </c>
    </row>
    <row r="18" spans="1:17" customFormat="1">
      <c r="A18" s="111" t="s">
        <v>1016</v>
      </c>
      <c r="B18" s="133">
        <v>10.69</v>
      </c>
      <c r="C18" s="133">
        <v>25.39</v>
      </c>
      <c r="D18" s="133">
        <v>23.19</v>
      </c>
      <c r="E18" s="133">
        <v>7.55</v>
      </c>
      <c r="F18" s="133">
        <v>2.71</v>
      </c>
      <c r="G18" s="133">
        <v>43.15</v>
      </c>
      <c r="H18" s="133">
        <v>16.059999999999999</v>
      </c>
      <c r="I18" s="133">
        <v>5.35</v>
      </c>
      <c r="J18" s="133">
        <v>0.11</v>
      </c>
      <c r="K18" s="133">
        <v>168.78</v>
      </c>
      <c r="L18" s="133">
        <v>24.51</v>
      </c>
      <c r="M18" s="133">
        <v>90.02</v>
      </c>
      <c r="N18" s="133">
        <v>0</v>
      </c>
      <c r="O18" s="133">
        <v>0</v>
      </c>
      <c r="P18" s="133">
        <v>0.57999999999999996</v>
      </c>
      <c r="Q18" s="133">
        <v>3.8</v>
      </c>
    </row>
    <row r="19" spans="1:17" customFormat="1">
      <c r="A19" s="111" t="s">
        <v>1017</v>
      </c>
      <c r="B19" s="133">
        <v>10.53</v>
      </c>
      <c r="C19" s="133">
        <v>25.62</v>
      </c>
      <c r="D19" s="133">
        <v>23.18</v>
      </c>
      <c r="E19" s="133">
        <v>8.19</v>
      </c>
      <c r="F19" s="133">
        <v>2.59</v>
      </c>
      <c r="G19" s="133">
        <v>43.15</v>
      </c>
      <c r="H19" s="133">
        <v>16.059999999999999</v>
      </c>
      <c r="I19" s="133">
        <v>5.35</v>
      </c>
      <c r="J19" s="133">
        <v>0.16</v>
      </c>
      <c r="K19" s="133">
        <v>168.83</v>
      </c>
      <c r="L19" s="133">
        <v>24.5</v>
      </c>
      <c r="M19" s="133">
        <v>90.32</v>
      </c>
      <c r="N19" s="133">
        <v>0</v>
      </c>
      <c r="O19" s="133">
        <v>0</v>
      </c>
      <c r="P19" s="133">
        <v>0.56999999999999995</v>
      </c>
      <c r="Q19" s="133">
        <v>3.8</v>
      </c>
    </row>
    <row r="20" spans="1:17" customFormat="1">
      <c r="A20" s="111" t="s">
        <v>1018</v>
      </c>
      <c r="B20" s="133">
        <v>10.44</v>
      </c>
      <c r="C20" s="133">
        <v>25.88</v>
      </c>
      <c r="D20" s="133">
        <v>23.24</v>
      </c>
      <c r="E20" s="133">
        <v>8.2100000000000009</v>
      </c>
      <c r="F20" s="133">
        <v>2.56</v>
      </c>
      <c r="G20" s="133">
        <v>43.16</v>
      </c>
      <c r="H20" s="133">
        <v>15.95</v>
      </c>
      <c r="I20" s="133">
        <v>5.32</v>
      </c>
      <c r="J20" s="133">
        <v>0.12</v>
      </c>
      <c r="K20" s="133">
        <v>153.02000000000001</v>
      </c>
      <c r="L20" s="133">
        <v>24.34</v>
      </c>
      <c r="M20" s="133">
        <v>91.89</v>
      </c>
      <c r="N20" s="133">
        <v>0</v>
      </c>
      <c r="O20" s="133">
        <v>0</v>
      </c>
      <c r="P20" s="133">
        <v>0.56999999999999995</v>
      </c>
      <c r="Q20" s="133">
        <v>3.8</v>
      </c>
    </row>
    <row r="21" spans="1:17" customFormat="1">
      <c r="A21" s="111" t="s">
        <v>1019</v>
      </c>
      <c r="B21" s="133">
        <v>10.42</v>
      </c>
      <c r="C21" s="133">
        <v>25.95</v>
      </c>
      <c r="D21" s="133">
        <v>23.26</v>
      </c>
      <c r="E21" s="133">
        <v>8.1300000000000008</v>
      </c>
      <c r="F21" s="133">
        <v>2.58</v>
      </c>
      <c r="G21" s="133">
        <v>43.19</v>
      </c>
      <c r="H21" s="133">
        <v>15.25</v>
      </c>
      <c r="I21" s="133">
        <v>5.28</v>
      </c>
      <c r="J21" s="133">
        <v>0.12</v>
      </c>
      <c r="K21" s="133">
        <v>163.12</v>
      </c>
      <c r="L21" s="133">
        <v>24.32</v>
      </c>
      <c r="M21" s="133">
        <v>93.05</v>
      </c>
      <c r="N21" s="133">
        <v>0</v>
      </c>
      <c r="O21" s="133">
        <v>0</v>
      </c>
      <c r="P21" s="133">
        <v>0.56000000000000005</v>
      </c>
      <c r="Q21" s="133">
        <v>3.82</v>
      </c>
    </row>
    <row r="22" spans="1:17" customFormat="1">
      <c r="A22" s="111" t="s">
        <v>1020</v>
      </c>
      <c r="B22" s="133">
        <v>10.45</v>
      </c>
      <c r="C22" s="133">
        <v>25.74</v>
      </c>
      <c r="D22" s="133">
        <v>23.18</v>
      </c>
      <c r="E22" s="133">
        <v>7.86</v>
      </c>
      <c r="F22" s="133">
        <v>2.64</v>
      </c>
      <c r="G22" s="133">
        <v>43.19</v>
      </c>
      <c r="H22" s="133">
        <v>15.25</v>
      </c>
      <c r="I22" s="133">
        <v>5.22</v>
      </c>
      <c r="J22" s="133">
        <v>0.13</v>
      </c>
      <c r="K22" s="133">
        <v>154.12</v>
      </c>
      <c r="L22" s="133">
        <v>24.18</v>
      </c>
      <c r="M22" s="133">
        <v>93.4</v>
      </c>
      <c r="N22" s="133">
        <v>0</v>
      </c>
      <c r="O22" s="133">
        <v>0</v>
      </c>
      <c r="P22" s="133">
        <v>0.55000000000000004</v>
      </c>
      <c r="Q22" s="133">
        <v>3.79</v>
      </c>
    </row>
    <row r="23" spans="1:17" customFormat="1">
      <c r="A23" s="111" t="s">
        <v>1021</v>
      </c>
      <c r="B23" s="133">
        <v>10.43</v>
      </c>
      <c r="C23" s="133">
        <v>25.95</v>
      </c>
      <c r="D23" s="133">
        <v>23.27</v>
      </c>
      <c r="E23" s="133">
        <v>8.14</v>
      </c>
      <c r="F23" s="133">
        <v>2.64</v>
      </c>
      <c r="G23" s="133">
        <v>43.19</v>
      </c>
      <c r="H23" s="133">
        <v>15.25</v>
      </c>
      <c r="I23" s="133">
        <v>5.21</v>
      </c>
      <c r="J23" s="133">
        <v>0.12</v>
      </c>
      <c r="K23" s="133">
        <v>173.11</v>
      </c>
      <c r="L23" s="133">
        <v>24.04</v>
      </c>
      <c r="M23" s="133">
        <v>93.82</v>
      </c>
      <c r="N23" s="133">
        <v>0</v>
      </c>
      <c r="O23" s="133">
        <v>0</v>
      </c>
      <c r="P23" s="133">
        <v>0.55000000000000004</v>
      </c>
      <c r="Q23" s="133">
        <v>3.8</v>
      </c>
    </row>
    <row r="24" spans="1:17" customFormat="1">
      <c r="A24" s="111" t="s">
        <v>1022</v>
      </c>
      <c r="B24" s="133">
        <v>10.42</v>
      </c>
      <c r="C24" s="133">
        <v>26.12</v>
      </c>
      <c r="D24" s="133">
        <v>23.35</v>
      </c>
      <c r="E24" s="133">
        <v>8.44</v>
      </c>
      <c r="F24" s="133">
        <v>2.5299999999999998</v>
      </c>
      <c r="G24" s="133">
        <v>43</v>
      </c>
      <c r="H24" s="133">
        <v>15.17</v>
      </c>
      <c r="I24" s="133">
        <v>5.19</v>
      </c>
      <c r="J24" s="133">
        <v>0.12</v>
      </c>
      <c r="K24" s="133">
        <v>159.01</v>
      </c>
      <c r="L24" s="133">
        <v>23.99</v>
      </c>
      <c r="M24" s="133">
        <v>94.14</v>
      </c>
      <c r="N24" s="133">
        <v>0</v>
      </c>
      <c r="O24" s="133">
        <v>0</v>
      </c>
      <c r="P24" s="133">
        <v>0.55000000000000004</v>
      </c>
      <c r="Q24" s="133">
        <v>3.83</v>
      </c>
    </row>
    <row r="25" spans="1:17" customFormat="1">
      <c r="A25" s="111" t="s">
        <v>1023</v>
      </c>
      <c r="B25" s="133">
        <v>10.49</v>
      </c>
      <c r="C25" s="133">
        <v>26.29</v>
      </c>
      <c r="D25" s="133">
        <v>23.5</v>
      </c>
      <c r="E25" s="133">
        <v>8.52</v>
      </c>
      <c r="F25" s="133">
        <v>2.5499999999999998</v>
      </c>
      <c r="G25" s="133">
        <v>41.5</v>
      </c>
      <c r="H25" s="133">
        <v>14.72</v>
      </c>
      <c r="I25" s="133">
        <v>5.2</v>
      </c>
      <c r="J25" s="133">
        <v>0.08</v>
      </c>
      <c r="K25" s="133">
        <v>198.88</v>
      </c>
      <c r="L25" s="133">
        <v>23.89</v>
      </c>
      <c r="M25" s="133">
        <v>94.13</v>
      </c>
      <c r="N25" s="133">
        <v>0</v>
      </c>
      <c r="O25" s="133">
        <v>0</v>
      </c>
      <c r="P25" s="133">
        <v>0.55000000000000004</v>
      </c>
      <c r="Q25" s="133">
        <v>3.81</v>
      </c>
    </row>
    <row r="26" spans="1:17" customFormat="1">
      <c r="A26" s="111" t="s">
        <v>1024</v>
      </c>
      <c r="B26" s="133">
        <v>10.55</v>
      </c>
      <c r="C26" s="133">
        <v>26.35</v>
      </c>
      <c r="D26" s="133">
        <v>23.58</v>
      </c>
      <c r="E26" s="133">
        <v>8.67</v>
      </c>
      <c r="F26" s="133">
        <v>2.44</v>
      </c>
      <c r="G26" s="133">
        <v>41.5</v>
      </c>
      <c r="H26" s="133">
        <v>14.72</v>
      </c>
      <c r="I26" s="133">
        <v>5.17</v>
      </c>
      <c r="J26" s="133">
        <v>0.12</v>
      </c>
      <c r="K26" s="133">
        <v>182.86</v>
      </c>
      <c r="L26" s="133">
        <v>23.77</v>
      </c>
      <c r="M26" s="133">
        <v>92.22</v>
      </c>
      <c r="N26" s="133">
        <v>0</v>
      </c>
      <c r="O26" s="133">
        <v>0</v>
      </c>
      <c r="P26" s="133">
        <v>0.55000000000000004</v>
      </c>
      <c r="Q26" s="133">
        <v>3.81</v>
      </c>
    </row>
    <row r="27" spans="1:17" customFormat="1">
      <c r="A27" s="111" t="s">
        <v>1025</v>
      </c>
      <c r="B27" s="133">
        <v>10.71</v>
      </c>
      <c r="C27" s="133">
        <v>26.25</v>
      </c>
      <c r="D27" s="133">
        <v>23.65</v>
      </c>
      <c r="E27" s="133">
        <v>8.76</v>
      </c>
      <c r="F27" s="133">
        <v>2.48</v>
      </c>
      <c r="G27" s="133">
        <v>41.5</v>
      </c>
      <c r="H27" s="133">
        <v>14.72</v>
      </c>
      <c r="I27" s="133">
        <v>5.14</v>
      </c>
      <c r="J27" s="133">
        <v>0.18</v>
      </c>
      <c r="K27" s="133">
        <v>163.52000000000001</v>
      </c>
      <c r="L27" s="133">
        <v>23.87</v>
      </c>
      <c r="M27" s="133">
        <v>92.33</v>
      </c>
      <c r="N27" s="133">
        <v>0</v>
      </c>
      <c r="O27" s="133">
        <v>0</v>
      </c>
      <c r="P27" s="133">
        <v>0.54</v>
      </c>
      <c r="Q27" s="133">
        <v>3.8</v>
      </c>
    </row>
    <row r="28" spans="1:17" customFormat="1">
      <c r="A28" s="111" t="s">
        <v>1026</v>
      </c>
      <c r="B28" s="133">
        <v>10.87</v>
      </c>
      <c r="C28" s="133">
        <v>25.86</v>
      </c>
      <c r="D28" s="133">
        <v>23.58</v>
      </c>
      <c r="E28" s="133">
        <v>8.61</v>
      </c>
      <c r="F28" s="133">
        <v>2.4900000000000002</v>
      </c>
      <c r="G28" s="133">
        <v>41.2</v>
      </c>
      <c r="H28" s="133">
        <v>15.27</v>
      </c>
      <c r="I28" s="133">
        <v>5.15</v>
      </c>
      <c r="J28" s="133">
        <v>0.15</v>
      </c>
      <c r="K28" s="133">
        <v>173.38</v>
      </c>
      <c r="L28" s="133">
        <v>23.86</v>
      </c>
      <c r="M28" s="133">
        <v>93.14</v>
      </c>
      <c r="N28" s="133">
        <v>0</v>
      </c>
      <c r="O28" s="133">
        <v>0</v>
      </c>
      <c r="P28" s="133">
        <v>0.53</v>
      </c>
      <c r="Q28" s="133">
        <v>3.81</v>
      </c>
    </row>
    <row r="29" spans="1:17" customFormat="1">
      <c r="A29" s="111" t="s">
        <v>1027</v>
      </c>
      <c r="B29" s="133">
        <v>10.84</v>
      </c>
      <c r="C29" s="133">
        <v>26.41</v>
      </c>
      <c r="D29" s="133">
        <v>23.85</v>
      </c>
      <c r="E29" s="133">
        <v>8.17</v>
      </c>
      <c r="F29" s="133">
        <v>2.41</v>
      </c>
      <c r="G29" s="133">
        <v>38.82</v>
      </c>
      <c r="H29" s="133">
        <v>18.739999999999998</v>
      </c>
      <c r="I29" s="133">
        <v>5.09</v>
      </c>
      <c r="J29" s="133">
        <v>0.14000000000000001</v>
      </c>
      <c r="K29" s="133">
        <v>166.73</v>
      </c>
      <c r="L29" s="133">
        <v>23.74</v>
      </c>
      <c r="M29" s="133">
        <v>93.16</v>
      </c>
      <c r="N29" s="133">
        <v>0</v>
      </c>
      <c r="O29" s="133">
        <v>0</v>
      </c>
      <c r="P29" s="133">
        <v>0.53</v>
      </c>
      <c r="Q29" s="133">
        <v>3.84</v>
      </c>
    </row>
    <row r="30" spans="1:17" customFormat="1">
      <c r="A30" s="111" t="s">
        <v>1028</v>
      </c>
      <c r="B30" s="133">
        <v>11.16</v>
      </c>
      <c r="C30" s="133">
        <v>25.5</v>
      </c>
      <c r="D30" s="133">
        <v>23.62</v>
      </c>
      <c r="E30" s="133">
        <v>8.93</v>
      </c>
      <c r="F30" s="133">
        <v>2.71</v>
      </c>
      <c r="G30" s="133">
        <v>38.82</v>
      </c>
      <c r="H30" s="133">
        <v>18.739999999999998</v>
      </c>
      <c r="I30" s="133">
        <v>5.07</v>
      </c>
      <c r="J30" s="133">
        <v>0.13</v>
      </c>
      <c r="K30" s="133">
        <v>162.78</v>
      </c>
      <c r="L30" s="133">
        <v>23.52</v>
      </c>
      <c r="M30" s="133">
        <v>94.68</v>
      </c>
      <c r="N30" s="133">
        <v>0</v>
      </c>
      <c r="O30" s="133">
        <v>0</v>
      </c>
      <c r="P30" s="133">
        <v>0.51</v>
      </c>
      <c r="Q30" s="133">
        <v>3.83</v>
      </c>
    </row>
    <row r="31" spans="1:17" customFormat="1">
      <c r="A31" s="111" t="s">
        <v>1029</v>
      </c>
      <c r="B31" s="133">
        <v>11.7</v>
      </c>
      <c r="C31" s="133">
        <v>23.59</v>
      </c>
      <c r="D31" s="133">
        <v>23.06</v>
      </c>
      <c r="E31" s="133">
        <v>8.1300000000000008</v>
      </c>
      <c r="F31" s="133">
        <v>3.15</v>
      </c>
      <c r="G31" s="133">
        <v>38.82</v>
      </c>
      <c r="H31" s="133">
        <v>18.739999999999998</v>
      </c>
      <c r="I31" s="133">
        <v>5.08</v>
      </c>
      <c r="J31" s="133">
        <v>0.05</v>
      </c>
      <c r="K31" s="133">
        <v>181.63</v>
      </c>
      <c r="L31" s="133">
        <v>23.38</v>
      </c>
      <c r="M31" s="133">
        <v>95.72</v>
      </c>
      <c r="N31" s="133">
        <v>0</v>
      </c>
      <c r="O31" s="133">
        <v>0</v>
      </c>
      <c r="P31" s="133">
        <v>0.51</v>
      </c>
      <c r="Q31" s="133">
        <v>3.81</v>
      </c>
    </row>
    <row r="32" spans="1:17" customFormat="1">
      <c r="A32" s="111" t="s">
        <v>1030</v>
      </c>
      <c r="B32" s="133">
        <v>12.17</v>
      </c>
      <c r="C32" s="133">
        <v>22.19</v>
      </c>
      <c r="D32" s="133">
        <v>22.71</v>
      </c>
      <c r="E32" s="133">
        <v>7.86</v>
      </c>
      <c r="F32" s="133">
        <v>3.06</v>
      </c>
      <c r="G32" s="133">
        <v>38.520000000000003</v>
      </c>
      <c r="H32" s="133">
        <v>18.11</v>
      </c>
      <c r="I32" s="133">
        <v>5.09</v>
      </c>
      <c r="J32" s="133">
        <v>0.1</v>
      </c>
      <c r="K32" s="133">
        <v>181.95</v>
      </c>
      <c r="L32" s="133">
        <v>23.36</v>
      </c>
      <c r="M32" s="133">
        <v>96.1</v>
      </c>
      <c r="N32" s="133">
        <v>0.1</v>
      </c>
      <c r="O32" s="133">
        <v>0</v>
      </c>
      <c r="P32" s="133">
        <v>0.5</v>
      </c>
      <c r="Q32" s="133">
        <v>3.81</v>
      </c>
    </row>
    <row r="33" spans="1:17" customFormat="1">
      <c r="A33" s="111" t="s">
        <v>1031</v>
      </c>
      <c r="B33" s="133">
        <v>12.48</v>
      </c>
      <c r="C33" s="133">
        <v>21.54</v>
      </c>
      <c r="D33" s="133">
        <v>22.61</v>
      </c>
      <c r="E33" s="133">
        <v>7.44</v>
      </c>
      <c r="F33" s="133">
        <v>2.97</v>
      </c>
      <c r="G33" s="133">
        <v>36.130000000000003</v>
      </c>
      <c r="H33" s="133">
        <v>14.14</v>
      </c>
      <c r="I33" s="133">
        <v>5.09</v>
      </c>
      <c r="J33" s="133">
        <v>0.1</v>
      </c>
      <c r="K33" s="133">
        <v>153.80000000000001</v>
      </c>
      <c r="L33" s="133">
        <v>23.41</v>
      </c>
      <c r="M33" s="133">
        <v>96.58</v>
      </c>
      <c r="N33" s="133">
        <v>6.5</v>
      </c>
      <c r="O33" s="133">
        <v>0</v>
      </c>
      <c r="P33" s="133">
        <v>0.47</v>
      </c>
      <c r="Q33" s="133">
        <v>3.8</v>
      </c>
    </row>
    <row r="34" spans="1:17" customFormat="1">
      <c r="A34" s="111" t="s">
        <v>1032</v>
      </c>
      <c r="B34" s="133">
        <v>12.7</v>
      </c>
      <c r="C34" s="133">
        <v>23.15</v>
      </c>
      <c r="D34" s="133">
        <v>23.63</v>
      </c>
      <c r="E34" s="133">
        <v>7.87</v>
      </c>
      <c r="F34" s="133">
        <v>2.64</v>
      </c>
      <c r="G34" s="133">
        <v>36.130000000000003</v>
      </c>
      <c r="H34" s="133">
        <v>14.14</v>
      </c>
      <c r="I34" s="133">
        <v>5.07</v>
      </c>
      <c r="J34" s="133">
        <v>0.15</v>
      </c>
      <c r="K34" s="133">
        <v>147.36000000000001</v>
      </c>
      <c r="L34" s="133">
        <v>23.61</v>
      </c>
      <c r="M34" s="133">
        <v>95.49</v>
      </c>
      <c r="N34" s="133">
        <v>16.600000000000001</v>
      </c>
      <c r="O34" s="133">
        <v>0</v>
      </c>
      <c r="P34" s="133">
        <v>0.48</v>
      </c>
      <c r="Q34" s="133">
        <v>3.78</v>
      </c>
    </row>
    <row r="35" spans="1:17" customFormat="1">
      <c r="A35" s="111" t="s">
        <v>1033</v>
      </c>
      <c r="B35" s="133">
        <v>13.06</v>
      </c>
      <c r="C35" s="133">
        <v>24.23</v>
      </c>
      <c r="D35" s="133">
        <v>24.49</v>
      </c>
      <c r="E35" s="133">
        <v>8.1</v>
      </c>
      <c r="F35" s="133">
        <v>2.61</v>
      </c>
      <c r="G35" s="133">
        <v>36.130000000000003</v>
      </c>
      <c r="H35" s="133">
        <v>14.14</v>
      </c>
      <c r="I35" s="133">
        <v>5.09</v>
      </c>
      <c r="J35" s="133">
        <v>0.13</v>
      </c>
      <c r="K35" s="133">
        <v>147.32</v>
      </c>
      <c r="L35" s="133">
        <v>23.95</v>
      </c>
      <c r="M35" s="133">
        <v>93.7</v>
      </c>
      <c r="N35" s="133">
        <v>25.7</v>
      </c>
      <c r="O35" s="133">
        <v>0</v>
      </c>
      <c r="P35" s="133">
        <v>0.5</v>
      </c>
      <c r="Q35" s="133">
        <v>3.82</v>
      </c>
    </row>
    <row r="36" spans="1:17" customFormat="1">
      <c r="A36" s="111" t="s">
        <v>1034</v>
      </c>
      <c r="B36" s="133">
        <v>13.49</v>
      </c>
      <c r="C36" s="133">
        <v>22.85</v>
      </c>
      <c r="D36" s="133">
        <v>24.11</v>
      </c>
      <c r="E36" s="133">
        <v>7.52</v>
      </c>
      <c r="F36" s="133">
        <v>3.07</v>
      </c>
      <c r="G36" s="133">
        <v>36.19</v>
      </c>
      <c r="H36" s="133">
        <v>14</v>
      </c>
      <c r="I36" s="133">
        <v>5.18</v>
      </c>
      <c r="J36" s="133">
        <v>0.13</v>
      </c>
      <c r="K36" s="133">
        <v>141.59</v>
      </c>
      <c r="L36" s="133">
        <v>24.4</v>
      </c>
      <c r="M36" s="133">
        <v>91.49</v>
      </c>
      <c r="N36" s="133">
        <v>35.5</v>
      </c>
      <c r="O36" s="133">
        <v>0</v>
      </c>
      <c r="P36" s="133">
        <v>0.49</v>
      </c>
      <c r="Q36" s="133">
        <v>3.88</v>
      </c>
    </row>
    <row r="37" spans="1:17" customFormat="1">
      <c r="A37" s="111" t="s">
        <v>1035</v>
      </c>
      <c r="B37" s="133">
        <v>13.72</v>
      </c>
      <c r="C37" s="133">
        <v>21.71</v>
      </c>
      <c r="D37" s="133">
        <v>23.7</v>
      </c>
      <c r="E37" s="133">
        <v>7.54</v>
      </c>
      <c r="F37" s="133">
        <v>3.21</v>
      </c>
      <c r="G37" s="133">
        <v>36.68</v>
      </c>
      <c r="H37" s="133">
        <v>13.16</v>
      </c>
      <c r="I37" s="133">
        <v>5.25</v>
      </c>
      <c r="J37" s="133">
        <v>0.16</v>
      </c>
      <c r="K37" s="133">
        <v>141.79</v>
      </c>
      <c r="L37" s="133">
        <v>24.9</v>
      </c>
      <c r="M37" s="133">
        <v>89.71</v>
      </c>
      <c r="N37" s="133">
        <v>59.4</v>
      </c>
      <c r="O37" s="133">
        <v>0</v>
      </c>
      <c r="P37" s="133">
        <v>0.48</v>
      </c>
      <c r="Q37" s="133">
        <v>3.86</v>
      </c>
    </row>
    <row r="38" spans="1:17" customFormat="1">
      <c r="A38" s="111" t="s">
        <v>1036</v>
      </c>
      <c r="B38" s="133">
        <v>13.9</v>
      </c>
      <c r="C38" s="133">
        <v>21.22</v>
      </c>
      <c r="D38" s="133">
        <v>23.59</v>
      </c>
      <c r="E38" s="133">
        <v>7.03</v>
      </c>
      <c r="F38" s="133">
        <v>2.96</v>
      </c>
      <c r="G38" s="133">
        <v>36.68</v>
      </c>
      <c r="H38" s="133">
        <v>13.16</v>
      </c>
      <c r="I38" s="133">
        <v>5.26</v>
      </c>
      <c r="J38" s="133">
        <v>0.22</v>
      </c>
      <c r="K38" s="133">
        <v>159.72</v>
      </c>
      <c r="L38" s="133">
        <v>25.48</v>
      </c>
      <c r="M38" s="133">
        <v>87.41</v>
      </c>
      <c r="N38" s="133">
        <v>99.4</v>
      </c>
      <c r="O38" s="133">
        <v>0</v>
      </c>
      <c r="P38" s="133">
        <v>0.46</v>
      </c>
      <c r="Q38" s="133">
        <v>3.88</v>
      </c>
    </row>
    <row r="39" spans="1:17" customFormat="1">
      <c r="A39" s="111" t="s">
        <v>1037</v>
      </c>
      <c r="B39" s="133">
        <v>13.91</v>
      </c>
      <c r="C39" s="133">
        <v>22.48</v>
      </c>
      <c r="D39" s="133">
        <v>24.25</v>
      </c>
      <c r="E39" s="133">
        <v>7.14</v>
      </c>
      <c r="F39" s="133">
        <v>2.6</v>
      </c>
      <c r="G39" s="133">
        <v>36.68</v>
      </c>
      <c r="H39" s="133">
        <v>13.16</v>
      </c>
      <c r="I39" s="133">
        <v>5.28</v>
      </c>
      <c r="J39" s="133">
        <v>0.18</v>
      </c>
      <c r="K39" s="133">
        <v>165.59</v>
      </c>
      <c r="L39" s="133">
        <v>26.53</v>
      </c>
      <c r="M39" s="133">
        <v>82.7</v>
      </c>
      <c r="N39" s="133">
        <v>118.8</v>
      </c>
      <c r="O39" s="133">
        <v>0</v>
      </c>
      <c r="P39" s="133">
        <v>0.49</v>
      </c>
      <c r="Q39" s="133">
        <v>3.84</v>
      </c>
    </row>
    <row r="40" spans="1:17" customFormat="1">
      <c r="A40" s="111" t="s">
        <v>1038</v>
      </c>
      <c r="B40" s="133">
        <v>14.03</v>
      </c>
      <c r="C40" s="133">
        <v>24.23</v>
      </c>
      <c r="D40" s="133">
        <v>25.26</v>
      </c>
      <c r="E40" s="133">
        <v>7.8</v>
      </c>
      <c r="F40" s="133">
        <v>2.37</v>
      </c>
      <c r="G40" s="133">
        <v>37.61</v>
      </c>
      <c r="H40" s="133">
        <v>13.37</v>
      </c>
      <c r="I40" s="133">
        <v>5.33</v>
      </c>
      <c r="J40" s="133">
        <v>0.18</v>
      </c>
      <c r="K40" s="133">
        <v>190.02</v>
      </c>
      <c r="L40" s="133">
        <v>27.49</v>
      </c>
      <c r="M40" s="133">
        <v>78.55</v>
      </c>
      <c r="N40" s="133">
        <v>245.7</v>
      </c>
      <c r="O40" s="133">
        <v>0</v>
      </c>
      <c r="P40" s="133">
        <v>0.53</v>
      </c>
      <c r="Q40" s="133">
        <v>3.87</v>
      </c>
    </row>
    <row r="41" spans="1:17" customFormat="1">
      <c r="A41" s="111" t="s">
        <v>1039</v>
      </c>
      <c r="B41" s="133">
        <v>14.17</v>
      </c>
      <c r="C41" s="133">
        <v>23.3</v>
      </c>
      <c r="D41" s="133">
        <v>24.89</v>
      </c>
      <c r="E41" s="133">
        <v>7.91</v>
      </c>
      <c r="F41" s="133">
        <v>2.92</v>
      </c>
      <c r="G41" s="133">
        <v>45.04</v>
      </c>
      <c r="H41" s="133">
        <v>14.69</v>
      </c>
      <c r="I41" s="133">
        <v>5.4</v>
      </c>
      <c r="J41" s="133">
        <v>0.15</v>
      </c>
      <c r="K41" s="133">
        <v>228.04</v>
      </c>
      <c r="L41" s="133">
        <v>28.35</v>
      </c>
      <c r="M41" s="133">
        <v>73.98</v>
      </c>
      <c r="N41" s="133">
        <v>307.89999999999998</v>
      </c>
      <c r="O41" s="133">
        <v>0</v>
      </c>
      <c r="P41" s="133">
        <v>0.52</v>
      </c>
      <c r="Q41" s="133">
        <v>3.9</v>
      </c>
    </row>
    <row r="42" spans="1:17" customFormat="1">
      <c r="A42" s="111" t="s">
        <v>1040</v>
      </c>
      <c r="B42" s="133">
        <v>14.11</v>
      </c>
      <c r="C42" s="133">
        <v>22.52</v>
      </c>
      <c r="D42" s="133">
        <v>24.43</v>
      </c>
      <c r="E42" s="133">
        <v>8.11</v>
      </c>
      <c r="F42" s="133">
        <v>3.17</v>
      </c>
      <c r="G42" s="133">
        <v>45.04</v>
      </c>
      <c r="H42" s="133">
        <v>14.69</v>
      </c>
      <c r="I42" s="133">
        <v>5.48</v>
      </c>
      <c r="J42" s="133">
        <v>0.15</v>
      </c>
      <c r="K42" s="133">
        <v>162.80000000000001</v>
      </c>
      <c r="L42" s="133">
        <v>29.47</v>
      </c>
      <c r="M42" s="133">
        <v>70.56</v>
      </c>
      <c r="N42" s="133">
        <v>350.5</v>
      </c>
      <c r="O42" s="133">
        <v>0</v>
      </c>
      <c r="P42" s="133">
        <v>0.52</v>
      </c>
      <c r="Q42" s="133">
        <v>3.89</v>
      </c>
    </row>
    <row r="43" spans="1:17" customFormat="1">
      <c r="A43" s="111" t="s">
        <v>1041</v>
      </c>
      <c r="B43" s="133">
        <v>13.75</v>
      </c>
      <c r="C43" s="133">
        <v>22.65</v>
      </c>
      <c r="D43" s="133">
        <v>24.22</v>
      </c>
      <c r="E43" s="133">
        <v>8.2899999999999991</v>
      </c>
      <c r="F43" s="133">
        <v>3.17</v>
      </c>
      <c r="G43" s="133">
        <v>45.04</v>
      </c>
      <c r="H43" s="133">
        <v>14.69</v>
      </c>
      <c r="I43" s="133">
        <v>5.54</v>
      </c>
      <c r="J43" s="133">
        <v>0.09</v>
      </c>
      <c r="K43" s="133">
        <v>40.020000000000003</v>
      </c>
      <c r="L43" s="133">
        <v>30.22</v>
      </c>
      <c r="M43" s="133">
        <v>68.209999999999994</v>
      </c>
      <c r="N43" s="133">
        <v>399.8</v>
      </c>
      <c r="O43" s="133">
        <v>0</v>
      </c>
      <c r="P43" s="133">
        <v>0.52</v>
      </c>
      <c r="Q43" s="133">
        <v>3.85</v>
      </c>
    </row>
    <row r="44" spans="1:17" customFormat="1">
      <c r="A44" s="111" t="s">
        <v>1042</v>
      </c>
      <c r="B44" s="133">
        <v>13.5</v>
      </c>
      <c r="C44" s="133">
        <v>22.96</v>
      </c>
      <c r="D44" s="133">
        <v>24.17</v>
      </c>
      <c r="E44" s="133">
        <v>7.81</v>
      </c>
      <c r="F44" s="133">
        <v>4.1399999999999997</v>
      </c>
      <c r="G44" s="133">
        <v>45.29</v>
      </c>
      <c r="H44" s="133">
        <v>14.95</v>
      </c>
      <c r="I44" s="133">
        <v>5.54</v>
      </c>
      <c r="J44" s="133">
        <v>0.15</v>
      </c>
      <c r="K44" s="133">
        <v>352.75</v>
      </c>
      <c r="L44" s="133">
        <v>30.86</v>
      </c>
      <c r="M44" s="133">
        <v>61.66</v>
      </c>
      <c r="N44" s="133">
        <v>453.5</v>
      </c>
      <c r="O44" s="133">
        <v>0</v>
      </c>
      <c r="P44" s="133">
        <v>0.54</v>
      </c>
      <c r="Q44" s="133">
        <v>3.84</v>
      </c>
    </row>
    <row r="45" spans="1:17" customFormat="1">
      <c r="A45" s="111" t="s">
        <v>1043</v>
      </c>
      <c r="B45" s="133">
        <v>13.12</v>
      </c>
      <c r="C45" s="133">
        <v>23.04</v>
      </c>
      <c r="D45" s="133">
        <v>23.92</v>
      </c>
      <c r="E45" s="133">
        <v>8.01</v>
      </c>
      <c r="F45" s="133">
        <v>4.75</v>
      </c>
      <c r="G45" s="133">
        <v>47.28</v>
      </c>
      <c r="H45" s="133">
        <v>16.63</v>
      </c>
      <c r="I45" s="133">
        <v>5.66</v>
      </c>
      <c r="J45" s="133">
        <v>0.38</v>
      </c>
      <c r="K45" s="133">
        <v>288.3</v>
      </c>
      <c r="L45" s="133">
        <v>31.02</v>
      </c>
      <c r="M45" s="133">
        <v>57.8</v>
      </c>
      <c r="N45" s="133">
        <v>495.6</v>
      </c>
      <c r="O45" s="133">
        <v>0</v>
      </c>
      <c r="P45" s="133">
        <v>0.55000000000000004</v>
      </c>
      <c r="Q45" s="133">
        <v>3.8</v>
      </c>
    </row>
    <row r="46" spans="1:17" customFormat="1">
      <c r="A46" s="111" t="s">
        <v>1044</v>
      </c>
      <c r="B46" s="133">
        <v>12.65</v>
      </c>
      <c r="C46" s="133">
        <v>23.64</v>
      </c>
      <c r="D46" s="133">
        <v>23.84</v>
      </c>
      <c r="E46" s="133">
        <v>8.8800000000000008</v>
      </c>
      <c r="F46" s="133">
        <v>4.76</v>
      </c>
      <c r="G46" s="133">
        <v>47.28</v>
      </c>
      <c r="H46" s="133">
        <v>16.63</v>
      </c>
      <c r="I46" s="133">
        <v>5.7</v>
      </c>
      <c r="J46" s="133">
        <v>0.25</v>
      </c>
      <c r="K46" s="133">
        <v>351.24</v>
      </c>
      <c r="L46" s="133">
        <v>31.56</v>
      </c>
      <c r="M46" s="133">
        <v>56.92</v>
      </c>
      <c r="N46" s="133">
        <v>418.4</v>
      </c>
      <c r="O46" s="133">
        <v>0</v>
      </c>
      <c r="P46" s="133">
        <v>0.56000000000000005</v>
      </c>
      <c r="Q46" s="133">
        <v>3.78</v>
      </c>
    </row>
    <row r="47" spans="1:17" customFormat="1">
      <c r="A47" s="111" t="s">
        <v>1045</v>
      </c>
      <c r="B47" s="133">
        <v>12.31</v>
      </c>
      <c r="C47" s="133">
        <v>24.18</v>
      </c>
      <c r="D47" s="133">
        <v>23.85</v>
      </c>
      <c r="E47" s="133">
        <v>9.15</v>
      </c>
      <c r="F47" s="133">
        <v>4.47</v>
      </c>
      <c r="G47" s="133">
        <v>47.28</v>
      </c>
      <c r="H47" s="133">
        <v>16.63</v>
      </c>
      <c r="I47" s="133">
        <v>5.72</v>
      </c>
      <c r="J47" s="133">
        <v>0.24</v>
      </c>
      <c r="K47" s="133">
        <v>316.91000000000003</v>
      </c>
      <c r="L47" s="133">
        <v>31.87</v>
      </c>
      <c r="M47" s="133">
        <v>55.88</v>
      </c>
      <c r="N47" s="133">
        <v>412.9</v>
      </c>
      <c r="O47" s="133">
        <v>0</v>
      </c>
      <c r="P47" s="133">
        <v>0.56999999999999995</v>
      </c>
      <c r="Q47" s="133">
        <v>3.77</v>
      </c>
    </row>
    <row r="48" spans="1:17" customFormat="1">
      <c r="A48" s="111" t="s">
        <v>1046</v>
      </c>
      <c r="B48" s="133">
        <v>11.98</v>
      </c>
      <c r="C48" s="133">
        <v>24.99</v>
      </c>
      <c r="D48" s="133">
        <v>24.01</v>
      </c>
      <c r="E48" s="133">
        <v>11.07</v>
      </c>
      <c r="F48" s="133">
        <v>5.55</v>
      </c>
      <c r="G48" s="133">
        <v>48.85</v>
      </c>
      <c r="H48" s="133">
        <v>17.739999999999998</v>
      </c>
      <c r="I48" s="133">
        <v>5.73</v>
      </c>
      <c r="J48" s="133">
        <v>0.23</v>
      </c>
      <c r="K48" s="133">
        <v>333.63</v>
      </c>
      <c r="L48" s="133">
        <v>32.19</v>
      </c>
      <c r="M48" s="133">
        <v>55.8</v>
      </c>
      <c r="N48" s="133">
        <v>461.8</v>
      </c>
      <c r="O48" s="133">
        <v>0</v>
      </c>
      <c r="P48" s="133">
        <v>0.6</v>
      </c>
      <c r="Q48" s="133">
        <v>3.78</v>
      </c>
    </row>
    <row r="49" spans="1:17" customFormat="1">
      <c r="A49" s="111" t="s">
        <v>1047</v>
      </c>
      <c r="B49" s="133">
        <v>11.7</v>
      </c>
      <c r="C49" s="133">
        <v>26.11</v>
      </c>
      <c r="D49" s="133">
        <v>24.37</v>
      </c>
      <c r="E49" s="133">
        <v>9.66</v>
      </c>
      <c r="F49" s="133">
        <v>5.14</v>
      </c>
      <c r="G49" s="133">
        <v>61.46</v>
      </c>
      <c r="H49" s="133">
        <v>24.78</v>
      </c>
      <c r="I49" s="133">
        <v>5.81</v>
      </c>
      <c r="J49" s="133">
        <v>0.28999999999999998</v>
      </c>
      <c r="K49" s="133">
        <v>342.31</v>
      </c>
      <c r="L49" s="133">
        <v>32.369999999999997</v>
      </c>
      <c r="M49" s="133">
        <v>55.83</v>
      </c>
      <c r="N49" s="133">
        <v>564.79999999999995</v>
      </c>
      <c r="O49" s="133">
        <v>0</v>
      </c>
      <c r="P49" s="133">
        <v>0.61</v>
      </c>
      <c r="Q49" s="133">
        <v>3.76</v>
      </c>
    </row>
    <row r="50" spans="1:17" customFormat="1">
      <c r="A50" s="111" t="s">
        <v>1048</v>
      </c>
      <c r="B50" s="133">
        <v>11.05</v>
      </c>
      <c r="C50" s="133">
        <v>27.23</v>
      </c>
      <c r="D50" s="133">
        <v>24.44</v>
      </c>
      <c r="E50" s="133">
        <v>10.58</v>
      </c>
      <c r="F50" s="133">
        <v>6.96</v>
      </c>
      <c r="G50" s="133">
        <v>61.46</v>
      </c>
      <c r="H50" s="133">
        <v>24.78</v>
      </c>
      <c r="I50" s="133">
        <v>5.85</v>
      </c>
      <c r="J50" s="133">
        <v>0.42</v>
      </c>
      <c r="K50" s="133">
        <v>16.89</v>
      </c>
      <c r="L50" s="133">
        <v>32.32</v>
      </c>
      <c r="M50" s="133">
        <v>54.38</v>
      </c>
      <c r="N50" s="133">
        <v>629.9</v>
      </c>
      <c r="O50" s="133">
        <v>0</v>
      </c>
      <c r="P50" s="133">
        <v>0.62</v>
      </c>
      <c r="Q50" s="133">
        <v>3.73</v>
      </c>
    </row>
    <row r="51" spans="1:17" customFormat="1">
      <c r="A51" s="111" t="s">
        <v>1049</v>
      </c>
      <c r="B51" s="133">
        <v>10.23</v>
      </c>
      <c r="C51" s="133">
        <v>27.66</v>
      </c>
      <c r="D51" s="133">
        <v>24.01</v>
      </c>
      <c r="E51" s="133">
        <v>9.8000000000000007</v>
      </c>
      <c r="F51" s="133">
        <v>7.6</v>
      </c>
      <c r="G51" s="133">
        <v>61.46</v>
      </c>
      <c r="H51" s="133">
        <v>24.78</v>
      </c>
      <c r="I51" s="133">
        <v>5.92</v>
      </c>
      <c r="J51" s="133">
        <v>0.35</v>
      </c>
      <c r="K51" s="133">
        <v>341.19</v>
      </c>
      <c r="L51" s="133">
        <v>32.53</v>
      </c>
      <c r="M51" s="133">
        <v>51.3</v>
      </c>
      <c r="N51" s="133">
        <v>686</v>
      </c>
      <c r="O51" s="133">
        <v>0</v>
      </c>
      <c r="P51" s="133">
        <v>0.62</v>
      </c>
      <c r="Q51" s="133">
        <v>3.72</v>
      </c>
    </row>
    <row r="52" spans="1:17" customFormat="1">
      <c r="A52" s="111" t="s">
        <v>1050</v>
      </c>
      <c r="B52" s="133">
        <v>9.15</v>
      </c>
      <c r="C52" s="133">
        <v>28.32</v>
      </c>
      <c r="D52" s="133">
        <v>23.49</v>
      </c>
      <c r="E52" s="133">
        <v>9.66</v>
      </c>
      <c r="F52" s="133">
        <v>7.74</v>
      </c>
      <c r="G52" s="133">
        <v>63.03</v>
      </c>
      <c r="H52" s="133">
        <v>24.97</v>
      </c>
      <c r="I52" s="133">
        <v>5.85</v>
      </c>
      <c r="J52" s="133">
        <v>0.4</v>
      </c>
      <c r="K52" s="133">
        <v>347.18</v>
      </c>
      <c r="L52" s="133">
        <v>33</v>
      </c>
      <c r="M52" s="133">
        <v>49.51</v>
      </c>
      <c r="N52" s="133">
        <v>660.4</v>
      </c>
      <c r="O52" s="133">
        <v>0</v>
      </c>
      <c r="P52" s="133">
        <v>0.61</v>
      </c>
      <c r="Q52" s="133">
        <v>3.68</v>
      </c>
    </row>
    <row r="53" spans="1:17" customFormat="1">
      <c r="A53" s="111" t="s">
        <v>1051</v>
      </c>
      <c r="B53" s="133">
        <v>8.36</v>
      </c>
      <c r="C53" s="133">
        <v>28.47</v>
      </c>
      <c r="D53" s="133">
        <v>22.93</v>
      </c>
      <c r="E53" s="133">
        <v>9.93</v>
      </c>
      <c r="F53" s="133">
        <v>8.84</v>
      </c>
      <c r="G53" s="133">
        <v>75.59</v>
      </c>
      <c r="H53" s="133">
        <v>26.22</v>
      </c>
      <c r="I53" s="133">
        <v>5.82</v>
      </c>
      <c r="J53" s="133">
        <v>0.35</v>
      </c>
      <c r="K53" s="133">
        <v>316.56</v>
      </c>
      <c r="L53" s="133">
        <v>33.31</v>
      </c>
      <c r="M53" s="133">
        <v>48.22</v>
      </c>
      <c r="N53" s="133">
        <v>719.1</v>
      </c>
      <c r="O53" s="133">
        <v>0</v>
      </c>
      <c r="P53" s="133">
        <v>0.62</v>
      </c>
      <c r="Q53" s="133">
        <v>3.64</v>
      </c>
    </row>
    <row r="54" spans="1:17" customFormat="1">
      <c r="A54" s="111" t="s">
        <v>1052</v>
      </c>
      <c r="B54" s="133">
        <v>7.71</v>
      </c>
      <c r="C54" s="133">
        <v>28.57</v>
      </c>
      <c r="D54" s="133">
        <v>22.46</v>
      </c>
      <c r="E54" s="133">
        <v>9.51</v>
      </c>
      <c r="F54" s="133">
        <v>6.73</v>
      </c>
      <c r="G54" s="133">
        <v>75.59</v>
      </c>
      <c r="H54" s="133">
        <v>26.22</v>
      </c>
      <c r="I54" s="133">
        <v>5.69</v>
      </c>
      <c r="J54" s="133">
        <v>0.43</v>
      </c>
      <c r="K54" s="133">
        <v>316.45</v>
      </c>
      <c r="L54" s="133">
        <v>33.479999999999997</v>
      </c>
      <c r="M54" s="133">
        <v>47.3</v>
      </c>
      <c r="N54" s="133">
        <v>725.2</v>
      </c>
      <c r="O54" s="133">
        <v>0</v>
      </c>
      <c r="P54" s="133">
        <v>0.6</v>
      </c>
      <c r="Q54" s="133">
        <v>3.6</v>
      </c>
    </row>
    <row r="55" spans="1:17" customFormat="1">
      <c r="A55" s="111" t="s">
        <v>1053</v>
      </c>
      <c r="B55" s="133">
        <v>7.22</v>
      </c>
      <c r="C55" s="133">
        <v>28.28</v>
      </c>
      <c r="D55" s="133">
        <v>21.92</v>
      </c>
      <c r="E55" s="133">
        <v>9.84</v>
      </c>
      <c r="F55" s="133">
        <v>9.15</v>
      </c>
      <c r="G55" s="133">
        <v>75.59</v>
      </c>
      <c r="H55" s="133">
        <v>26.22</v>
      </c>
      <c r="I55" s="133">
        <v>5.65</v>
      </c>
      <c r="J55" s="133">
        <v>0.44</v>
      </c>
      <c r="K55" s="133">
        <v>3.97</v>
      </c>
      <c r="L55" s="133">
        <v>33.6</v>
      </c>
      <c r="M55" s="133">
        <v>48.4</v>
      </c>
      <c r="N55" s="133">
        <v>737.6</v>
      </c>
      <c r="O55" s="133">
        <v>0</v>
      </c>
      <c r="P55" s="133">
        <v>0.6</v>
      </c>
      <c r="Q55" s="133">
        <v>3.57</v>
      </c>
    </row>
    <row r="56" spans="1:17" customFormat="1">
      <c r="A56" s="111" t="s">
        <v>1054</v>
      </c>
      <c r="B56" s="133">
        <v>6.64</v>
      </c>
      <c r="C56" s="133">
        <v>27.77</v>
      </c>
      <c r="D56" s="133">
        <v>21.19</v>
      </c>
      <c r="E56" s="133">
        <v>9.5</v>
      </c>
      <c r="F56" s="133">
        <v>10.220000000000001</v>
      </c>
      <c r="G56" s="133">
        <v>75.28</v>
      </c>
      <c r="H56" s="133">
        <v>26.01</v>
      </c>
      <c r="I56" s="133">
        <v>5.59</v>
      </c>
      <c r="J56" s="133">
        <v>0.32</v>
      </c>
      <c r="K56" s="133">
        <v>317.36</v>
      </c>
      <c r="L56" s="133">
        <v>33.729999999999997</v>
      </c>
      <c r="M56" s="133">
        <v>45.82</v>
      </c>
      <c r="N56" s="133">
        <v>737.8</v>
      </c>
      <c r="O56" s="133">
        <v>0</v>
      </c>
      <c r="P56" s="133">
        <v>0.59</v>
      </c>
      <c r="Q56" s="133">
        <v>3.55</v>
      </c>
    </row>
    <row r="57" spans="1:17" customFormat="1">
      <c r="A57" s="111" t="s">
        <v>1055</v>
      </c>
      <c r="B57" s="133">
        <v>6.32</v>
      </c>
      <c r="C57" s="133">
        <v>27.86</v>
      </c>
      <c r="D57" s="133">
        <v>20.98</v>
      </c>
      <c r="E57" s="133">
        <v>10.46</v>
      </c>
      <c r="F57" s="133">
        <v>10.57</v>
      </c>
      <c r="G57" s="133">
        <v>72.819999999999993</v>
      </c>
      <c r="H57" s="133">
        <v>24.7</v>
      </c>
      <c r="I57" s="133">
        <v>5.44</v>
      </c>
      <c r="J57" s="133">
        <v>0.4</v>
      </c>
      <c r="K57" s="133">
        <v>358.62</v>
      </c>
      <c r="L57" s="133">
        <v>33.79</v>
      </c>
      <c r="M57" s="133">
        <v>46.03</v>
      </c>
      <c r="N57" s="133">
        <v>721.3</v>
      </c>
      <c r="O57" s="133">
        <v>0</v>
      </c>
      <c r="P57" s="133">
        <v>0.59</v>
      </c>
      <c r="Q57" s="133">
        <v>3.53</v>
      </c>
    </row>
    <row r="58" spans="1:17" customFormat="1">
      <c r="A58" s="111" t="s">
        <v>1056</v>
      </c>
      <c r="B58" s="133">
        <v>6.12</v>
      </c>
      <c r="C58" s="133">
        <v>27.41</v>
      </c>
      <c r="D58" s="133">
        <v>20.58</v>
      </c>
      <c r="E58" s="133">
        <v>9.74</v>
      </c>
      <c r="F58" s="133">
        <v>7.96</v>
      </c>
      <c r="G58" s="133">
        <v>72.819999999999993</v>
      </c>
      <c r="H58" s="133">
        <v>24.7</v>
      </c>
      <c r="I58" s="133">
        <v>5.35</v>
      </c>
      <c r="J58" s="133">
        <v>0.37</v>
      </c>
      <c r="K58" s="133">
        <v>10.83</v>
      </c>
      <c r="L58" s="133">
        <v>33.909999999999997</v>
      </c>
      <c r="M58" s="133">
        <v>47.47</v>
      </c>
      <c r="N58" s="133">
        <v>718.7</v>
      </c>
      <c r="O58" s="133">
        <v>0</v>
      </c>
      <c r="P58" s="133">
        <v>0.57999999999999996</v>
      </c>
      <c r="Q58" s="133">
        <v>3.52</v>
      </c>
    </row>
    <row r="59" spans="1:17" customFormat="1">
      <c r="A59" s="111" t="s">
        <v>1057</v>
      </c>
      <c r="B59" s="133">
        <v>6.07</v>
      </c>
      <c r="C59" s="133">
        <v>27.33</v>
      </c>
      <c r="D59" s="133">
        <v>20.5</v>
      </c>
      <c r="E59" s="133">
        <v>9.02</v>
      </c>
      <c r="F59" s="133">
        <v>8.43</v>
      </c>
      <c r="G59" s="133">
        <v>72.819999999999993</v>
      </c>
      <c r="H59" s="133">
        <v>24.7</v>
      </c>
      <c r="I59" s="133">
        <v>5.25</v>
      </c>
      <c r="J59" s="133">
        <v>0.84</v>
      </c>
      <c r="K59" s="133">
        <v>30.95</v>
      </c>
      <c r="L59" s="133">
        <v>33.54</v>
      </c>
      <c r="M59" s="133">
        <v>47.33</v>
      </c>
      <c r="N59" s="133">
        <v>717.1</v>
      </c>
      <c r="O59" s="133">
        <v>0</v>
      </c>
      <c r="P59" s="133">
        <v>0.56999999999999995</v>
      </c>
      <c r="Q59" s="133">
        <v>3.48</v>
      </c>
    </row>
    <row r="60" spans="1:17" customFormat="1">
      <c r="A60" s="111" t="s">
        <v>1058</v>
      </c>
      <c r="B60" s="133">
        <v>6.13</v>
      </c>
      <c r="C60" s="133">
        <v>26.81</v>
      </c>
      <c r="D60" s="133">
        <v>20.27</v>
      </c>
      <c r="E60" s="133">
        <v>9.31</v>
      </c>
      <c r="F60" s="133">
        <v>9.07</v>
      </c>
      <c r="G60" s="133">
        <v>72.64</v>
      </c>
      <c r="H60" s="133">
        <v>24.2</v>
      </c>
      <c r="I60" s="133">
        <v>5.25</v>
      </c>
      <c r="J60" s="133">
        <v>0.73</v>
      </c>
      <c r="K60" s="133">
        <v>34.72</v>
      </c>
      <c r="L60" s="133">
        <v>33.700000000000003</v>
      </c>
      <c r="M60" s="133">
        <v>46.36</v>
      </c>
      <c r="N60" s="133">
        <v>690</v>
      </c>
      <c r="O60" s="133">
        <v>0</v>
      </c>
      <c r="P60" s="133">
        <v>0.56000000000000005</v>
      </c>
      <c r="Q60" s="133">
        <v>3.51</v>
      </c>
    </row>
    <row r="61" spans="1:17" customFormat="1">
      <c r="A61" s="111" t="s">
        <v>1059</v>
      </c>
      <c r="B61" s="133">
        <v>6.16</v>
      </c>
      <c r="C61" s="133">
        <v>27.27</v>
      </c>
      <c r="D61" s="133">
        <v>20.54</v>
      </c>
      <c r="E61" s="133">
        <v>8.7200000000000006</v>
      </c>
      <c r="F61" s="133">
        <v>7.25</v>
      </c>
      <c r="G61" s="133">
        <v>71.209999999999994</v>
      </c>
      <c r="H61" s="133">
        <v>20.98</v>
      </c>
      <c r="I61" s="133">
        <v>5.15</v>
      </c>
      <c r="J61" s="133">
        <v>0.5</v>
      </c>
      <c r="K61" s="133">
        <v>349.66</v>
      </c>
      <c r="L61" s="133">
        <v>33.950000000000003</v>
      </c>
      <c r="M61" s="133">
        <v>44.06</v>
      </c>
      <c r="N61" s="133">
        <v>655.6</v>
      </c>
      <c r="O61" s="133">
        <v>0</v>
      </c>
      <c r="P61" s="133">
        <v>0.56999999999999995</v>
      </c>
      <c r="Q61" s="133">
        <v>3.47</v>
      </c>
    </row>
    <row r="62" spans="1:17" customFormat="1">
      <c r="A62" s="111" t="s">
        <v>1060</v>
      </c>
      <c r="B62" s="133">
        <v>6.09</v>
      </c>
      <c r="C62" s="133">
        <v>26.62</v>
      </c>
      <c r="D62" s="133">
        <v>20.14</v>
      </c>
      <c r="E62" s="133">
        <v>8.7100000000000009</v>
      </c>
      <c r="F62" s="133">
        <v>9.3800000000000008</v>
      </c>
      <c r="G62" s="133">
        <v>71.209999999999994</v>
      </c>
      <c r="H62" s="133">
        <v>20.98</v>
      </c>
      <c r="I62" s="133">
        <v>4.99</v>
      </c>
      <c r="J62" s="133">
        <v>0.7</v>
      </c>
      <c r="K62" s="133">
        <v>21.06</v>
      </c>
      <c r="L62" s="133">
        <v>34.01</v>
      </c>
      <c r="M62" s="133">
        <v>40.619999999999997</v>
      </c>
      <c r="N62" s="133">
        <v>656.1</v>
      </c>
      <c r="O62" s="133">
        <v>0</v>
      </c>
      <c r="P62" s="133">
        <v>0.55000000000000004</v>
      </c>
      <c r="Q62" s="133">
        <v>3.51</v>
      </c>
    </row>
    <row r="63" spans="1:17" customFormat="1">
      <c r="A63" s="111" t="s">
        <v>1061</v>
      </c>
      <c r="B63" s="133">
        <v>6.1</v>
      </c>
      <c r="C63" s="133">
        <v>25.84</v>
      </c>
      <c r="D63" s="133">
        <v>19.75</v>
      </c>
      <c r="E63" s="133">
        <v>8.57</v>
      </c>
      <c r="F63" s="133">
        <v>9.26</v>
      </c>
      <c r="G63" s="133">
        <v>71.209999999999994</v>
      </c>
      <c r="H63" s="133">
        <v>20.98</v>
      </c>
      <c r="I63" s="133">
        <v>4.9800000000000004</v>
      </c>
      <c r="J63" s="133">
        <v>0.73</v>
      </c>
      <c r="K63" s="133">
        <v>28.15</v>
      </c>
      <c r="L63" s="133">
        <v>33.89</v>
      </c>
      <c r="M63" s="133">
        <v>44.49</v>
      </c>
      <c r="N63" s="133">
        <v>645.20000000000005</v>
      </c>
      <c r="O63" s="133">
        <v>0</v>
      </c>
      <c r="P63" s="133">
        <v>0.54</v>
      </c>
      <c r="Q63" s="133">
        <v>3.49</v>
      </c>
    </row>
    <row r="64" spans="1:17" customFormat="1">
      <c r="A64" s="111" t="s">
        <v>1062</v>
      </c>
      <c r="B64" s="133">
        <v>6.39</v>
      </c>
      <c r="C64" s="133">
        <v>26.67</v>
      </c>
      <c r="D64" s="133">
        <v>20.41</v>
      </c>
      <c r="E64" s="133">
        <v>9.17</v>
      </c>
      <c r="F64" s="133">
        <v>10.050000000000001</v>
      </c>
      <c r="G64" s="133">
        <v>71.14</v>
      </c>
      <c r="H64" s="133">
        <v>20.65</v>
      </c>
      <c r="I64" s="133">
        <v>4.82</v>
      </c>
      <c r="J64" s="133">
        <v>0.81</v>
      </c>
      <c r="K64" s="133">
        <v>25.06</v>
      </c>
      <c r="L64" s="133">
        <v>33.74</v>
      </c>
      <c r="M64" s="133">
        <v>45.01</v>
      </c>
      <c r="N64" s="133">
        <v>605.9</v>
      </c>
      <c r="O64" s="133">
        <v>0</v>
      </c>
      <c r="P64" s="133">
        <v>0.55000000000000004</v>
      </c>
      <c r="Q64" s="133">
        <v>3.47</v>
      </c>
    </row>
    <row r="65" spans="1:17" customFormat="1">
      <c r="A65" s="111" t="s">
        <v>1063</v>
      </c>
      <c r="B65" s="133">
        <v>6.39</v>
      </c>
      <c r="C65" s="133">
        <v>25.14</v>
      </c>
      <c r="D65" s="133">
        <v>19.61</v>
      </c>
      <c r="E65" s="133">
        <v>9.42</v>
      </c>
      <c r="F65" s="133">
        <v>9.8000000000000007</v>
      </c>
      <c r="G65" s="133">
        <v>70.59</v>
      </c>
      <c r="H65" s="133">
        <v>18.510000000000002</v>
      </c>
      <c r="I65" s="133">
        <v>4.75</v>
      </c>
      <c r="J65" s="133">
        <v>0.64</v>
      </c>
      <c r="K65" s="133">
        <v>27.01</v>
      </c>
      <c r="L65" s="133">
        <v>33.94</v>
      </c>
      <c r="M65" s="133">
        <v>44.22</v>
      </c>
      <c r="N65" s="133">
        <v>530.79999999999995</v>
      </c>
      <c r="O65" s="133">
        <v>0</v>
      </c>
      <c r="P65" s="133">
        <v>0.59</v>
      </c>
      <c r="Q65" s="133">
        <v>3.49</v>
      </c>
    </row>
    <row r="66" spans="1:17" customFormat="1">
      <c r="A66" s="111" t="s">
        <v>1064</v>
      </c>
      <c r="B66" s="133">
        <v>6.39</v>
      </c>
      <c r="C66" s="133">
        <v>26.86</v>
      </c>
      <c r="D66" s="133">
        <v>20.5</v>
      </c>
      <c r="E66" s="133">
        <v>8.85</v>
      </c>
      <c r="F66" s="133">
        <v>7.33</v>
      </c>
      <c r="G66" s="133">
        <v>70.59</v>
      </c>
      <c r="H66" s="133">
        <v>18.510000000000002</v>
      </c>
      <c r="I66" s="133">
        <v>4.67</v>
      </c>
      <c r="J66" s="133">
        <v>0.63</v>
      </c>
      <c r="K66" s="133">
        <v>29.7</v>
      </c>
      <c r="L66" s="133">
        <v>33.700000000000003</v>
      </c>
      <c r="M66" s="133">
        <v>44.19</v>
      </c>
      <c r="N66" s="133">
        <v>271.39999999999998</v>
      </c>
      <c r="O66" s="133">
        <v>0</v>
      </c>
      <c r="P66" s="133">
        <v>0.63</v>
      </c>
      <c r="Q66" s="133">
        <v>3.5</v>
      </c>
    </row>
    <row r="67" spans="1:17" customFormat="1">
      <c r="A67" s="111" t="s">
        <v>1065</v>
      </c>
      <c r="B67" s="133">
        <v>6.6</v>
      </c>
      <c r="C67" s="133">
        <v>26.76</v>
      </c>
      <c r="D67" s="133">
        <v>20.63</v>
      </c>
      <c r="E67" s="133">
        <v>8.93</v>
      </c>
      <c r="F67" s="133">
        <v>8.48</v>
      </c>
      <c r="G67" s="133">
        <v>70.59</v>
      </c>
      <c r="H67" s="133">
        <v>18.510000000000002</v>
      </c>
      <c r="I67" s="133">
        <v>4.6100000000000003</v>
      </c>
      <c r="J67" s="133">
        <v>0.67</v>
      </c>
      <c r="K67" s="133">
        <v>35.159999999999997</v>
      </c>
      <c r="L67" s="133">
        <v>33.25</v>
      </c>
      <c r="M67" s="133">
        <v>45.57</v>
      </c>
      <c r="N67" s="133">
        <v>128.30000000000001</v>
      </c>
      <c r="O67" s="133">
        <v>0</v>
      </c>
      <c r="P67" s="133">
        <v>0.62</v>
      </c>
      <c r="Q67" s="133">
        <v>3.53</v>
      </c>
    </row>
    <row r="68" spans="1:17" customFormat="1">
      <c r="A68" s="111" t="s">
        <v>1066</v>
      </c>
      <c r="B68" s="133">
        <v>6.69</v>
      </c>
      <c r="C68" s="133">
        <v>26.89</v>
      </c>
      <c r="D68" s="133">
        <v>20.76</v>
      </c>
      <c r="E68" s="133">
        <v>8.89</v>
      </c>
      <c r="F68" s="133">
        <v>9.08</v>
      </c>
      <c r="G68" s="133">
        <v>70.400000000000006</v>
      </c>
      <c r="H68" s="133">
        <v>18.52</v>
      </c>
      <c r="I68" s="133">
        <v>4.6399999999999997</v>
      </c>
      <c r="J68" s="133">
        <v>0.51</v>
      </c>
      <c r="K68" s="133">
        <v>16.82</v>
      </c>
      <c r="L68" s="133">
        <v>32.99</v>
      </c>
      <c r="M68" s="133">
        <v>47</v>
      </c>
      <c r="N68" s="133">
        <v>110.7</v>
      </c>
      <c r="O68" s="133">
        <v>0</v>
      </c>
      <c r="P68" s="133">
        <v>0.62</v>
      </c>
      <c r="Q68" s="133">
        <v>3.52</v>
      </c>
    </row>
    <row r="69" spans="1:17" customFormat="1">
      <c r="A69" s="111" t="s">
        <v>1067</v>
      </c>
      <c r="B69" s="133">
        <v>6.79</v>
      </c>
      <c r="C69" s="133">
        <v>28.38</v>
      </c>
      <c r="D69" s="133">
        <v>21.63</v>
      </c>
      <c r="E69" s="133">
        <v>9.2100000000000009</v>
      </c>
      <c r="F69" s="133">
        <v>9.74</v>
      </c>
      <c r="G69" s="133">
        <v>68.92</v>
      </c>
      <c r="H69" s="133">
        <v>18.59</v>
      </c>
      <c r="I69" s="133">
        <v>4.5999999999999996</v>
      </c>
      <c r="J69" s="133">
        <v>0.52</v>
      </c>
      <c r="K69" s="133">
        <v>32.44</v>
      </c>
      <c r="L69" s="133">
        <v>32.549999999999997</v>
      </c>
      <c r="M69" s="133">
        <v>48.08</v>
      </c>
      <c r="N69" s="133">
        <v>91.4</v>
      </c>
      <c r="O69" s="133">
        <v>0</v>
      </c>
      <c r="P69" s="133">
        <v>0.62</v>
      </c>
      <c r="Q69" s="133">
        <v>3.53</v>
      </c>
    </row>
    <row r="70" spans="1:17" customFormat="1">
      <c r="A70" s="111" t="s">
        <v>1068</v>
      </c>
      <c r="B70" s="133">
        <v>7.07</v>
      </c>
      <c r="C70" s="133">
        <v>26.66</v>
      </c>
      <c r="D70" s="133">
        <v>20.95</v>
      </c>
      <c r="E70" s="133">
        <v>9.48</v>
      </c>
      <c r="F70" s="133">
        <v>10.08</v>
      </c>
      <c r="G70" s="133">
        <v>68.92</v>
      </c>
      <c r="H70" s="133">
        <v>18.59</v>
      </c>
      <c r="I70" s="133">
        <v>4.53</v>
      </c>
      <c r="J70" s="133">
        <v>0.44</v>
      </c>
      <c r="K70" s="133">
        <v>32.909999999999997</v>
      </c>
      <c r="L70" s="133">
        <v>32.340000000000003</v>
      </c>
      <c r="M70" s="133">
        <v>50.63</v>
      </c>
      <c r="N70" s="133">
        <v>186.9</v>
      </c>
      <c r="O70" s="133">
        <v>0</v>
      </c>
      <c r="P70" s="133">
        <v>0.62</v>
      </c>
      <c r="Q70" s="133">
        <v>3.51</v>
      </c>
    </row>
    <row r="71" spans="1:17" customFormat="1">
      <c r="A71" s="111" t="s">
        <v>1069</v>
      </c>
      <c r="B71" s="133">
        <v>7.24</v>
      </c>
      <c r="C71" s="133">
        <v>25.26</v>
      </c>
      <c r="D71" s="133">
        <v>20.350000000000001</v>
      </c>
      <c r="E71" s="133">
        <v>10.09</v>
      </c>
      <c r="F71" s="133">
        <v>15.07</v>
      </c>
      <c r="G71" s="133">
        <v>68.92</v>
      </c>
      <c r="H71" s="133">
        <v>18.59</v>
      </c>
      <c r="I71" s="133">
        <v>4.4400000000000004</v>
      </c>
      <c r="J71" s="133">
        <v>0.27</v>
      </c>
      <c r="K71" s="133">
        <v>11.49</v>
      </c>
      <c r="L71" s="133">
        <v>32.47</v>
      </c>
      <c r="M71" s="133">
        <v>48.75</v>
      </c>
      <c r="N71" s="133">
        <v>79.599999999999994</v>
      </c>
      <c r="O71" s="133">
        <v>0</v>
      </c>
      <c r="P71" s="133">
        <v>0.62</v>
      </c>
      <c r="Q71" s="133">
        <v>3.51</v>
      </c>
    </row>
    <row r="72" spans="1:17" customFormat="1">
      <c r="A72" s="111" t="s">
        <v>1070</v>
      </c>
      <c r="B72" s="133">
        <v>7.73</v>
      </c>
      <c r="C72" s="133">
        <v>24.44</v>
      </c>
      <c r="D72" s="133">
        <v>20.32</v>
      </c>
      <c r="E72" s="133">
        <v>10.7</v>
      </c>
      <c r="F72" s="133">
        <v>20.97</v>
      </c>
      <c r="G72" s="133">
        <v>68.81</v>
      </c>
      <c r="H72" s="133">
        <v>18.809999999999999</v>
      </c>
      <c r="I72" s="133">
        <v>4.41</v>
      </c>
      <c r="J72" s="133">
        <v>0.28999999999999998</v>
      </c>
      <c r="K72" s="133">
        <v>24.02</v>
      </c>
      <c r="L72" s="133">
        <v>32.380000000000003</v>
      </c>
      <c r="M72" s="133">
        <v>50.37</v>
      </c>
      <c r="N72" s="133">
        <v>58.1</v>
      </c>
      <c r="O72" s="133">
        <v>0</v>
      </c>
      <c r="P72" s="133">
        <v>0.6</v>
      </c>
      <c r="Q72" s="133">
        <v>3.49</v>
      </c>
    </row>
    <row r="73" spans="1:17" customFormat="1">
      <c r="A73" s="111" t="s">
        <v>1071</v>
      </c>
      <c r="B73" s="133">
        <v>8.0399999999999991</v>
      </c>
      <c r="C73" s="133">
        <v>24.79</v>
      </c>
      <c r="D73" s="133">
        <v>20.75</v>
      </c>
      <c r="E73" s="133">
        <v>10.72</v>
      </c>
      <c r="F73" s="133">
        <v>19.07</v>
      </c>
      <c r="G73" s="133">
        <v>67.930000000000007</v>
      </c>
      <c r="H73" s="133">
        <v>20.170000000000002</v>
      </c>
      <c r="I73" s="133">
        <v>4.2</v>
      </c>
      <c r="J73" s="133">
        <v>0.13</v>
      </c>
      <c r="K73" s="133">
        <v>357.99</v>
      </c>
      <c r="L73" s="133">
        <v>32.380000000000003</v>
      </c>
      <c r="M73" s="133">
        <v>48.72</v>
      </c>
      <c r="N73" s="133">
        <v>47.4</v>
      </c>
      <c r="O73" s="133">
        <v>0</v>
      </c>
      <c r="P73" s="133">
        <v>0.61</v>
      </c>
      <c r="Q73" s="133">
        <v>3.49</v>
      </c>
    </row>
    <row r="74" spans="1:17" customFormat="1">
      <c r="A74" s="111" t="s">
        <v>1072</v>
      </c>
      <c r="B74" s="133">
        <v>8.02</v>
      </c>
      <c r="C74" s="133">
        <v>23.9</v>
      </c>
      <c r="D74" s="133">
        <v>20.27</v>
      </c>
      <c r="E74" s="133">
        <v>10.33</v>
      </c>
      <c r="F74" s="133">
        <v>19.45</v>
      </c>
      <c r="G74" s="133">
        <v>67.930000000000007</v>
      </c>
      <c r="H74" s="133">
        <v>20.170000000000002</v>
      </c>
      <c r="I74" s="133">
        <v>3.92</v>
      </c>
      <c r="J74" s="133">
        <v>0.32</v>
      </c>
      <c r="K74" s="133">
        <v>52.56</v>
      </c>
      <c r="L74" s="133">
        <v>32.15</v>
      </c>
      <c r="M74" s="133">
        <v>51.07</v>
      </c>
      <c r="N74" s="133">
        <v>46.3</v>
      </c>
      <c r="O74" s="133">
        <v>0</v>
      </c>
      <c r="P74" s="133">
        <v>0.63</v>
      </c>
      <c r="Q74" s="133">
        <v>3.48</v>
      </c>
    </row>
    <row r="75" spans="1:17" customFormat="1">
      <c r="A75" s="111" t="s">
        <v>1073</v>
      </c>
      <c r="B75" s="133">
        <v>8.56</v>
      </c>
      <c r="C75" s="133">
        <v>25.43</v>
      </c>
      <c r="D75" s="133">
        <v>21.5</v>
      </c>
      <c r="E75" s="133">
        <v>9.94</v>
      </c>
      <c r="F75" s="133">
        <v>15.98</v>
      </c>
      <c r="G75" s="133">
        <v>67.930000000000007</v>
      </c>
      <c r="H75" s="133">
        <v>20.170000000000002</v>
      </c>
      <c r="I75" s="133">
        <v>3.98</v>
      </c>
      <c r="J75" s="133">
        <v>0.19</v>
      </c>
      <c r="K75" s="133">
        <v>45.07</v>
      </c>
      <c r="L75" s="133">
        <v>31.91</v>
      </c>
      <c r="M75" s="133">
        <v>55.13</v>
      </c>
      <c r="N75" s="133">
        <v>29.3</v>
      </c>
      <c r="O75" s="133">
        <v>0</v>
      </c>
      <c r="P75" s="133">
        <v>0.64</v>
      </c>
      <c r="Q75" s="133">
        <v>3.47</v>
      </c>
    </row>
    <row r="76" spans="1:17" customFormat="1">
      <c r="A76" s="111" t="s">
        <v>1074</v>
      </c>
      <c r="B76" s="133">
        <v>7.96</v>
      </c>
      <c r="C76" s="133">
        <v>24.01</v>
      </c>
      <c r="D76" s="133">
        <v>20.28</v>
      </c>
      <c r="E76" s="133">
        <v>9.44</v>
      </c>
      <c r="F76" s="133">
        <v>18.25</v>
      </c>
      <c r="G76" s="133">
        <v>68.45</v>
      </c>
      <c r="H76" s="133">
        <v>19.89</v>
      </c>
      <c r="I76" s="133">
        <v>4.04</v>
      </c>
      <c r="J76" s="133">
        <v>0.15</v>
      </c>
      <c r="K76" s="133">
        <v>135.22999999999999</v>
      </c>
      <c r="L76" s="133">
        <v>31.35</v>
      </c>
      <c r="M76" s="133">
        <v>61.17</v>
      </c>
      <c r="N76" s="133">
        <v>19.600000000000001</v>
      </c>
      <c r="O76" s="133">
        <v>0</v>
      </c>
      <c r="P76" s="133">
        <v>0.61</v>
      </c>
      <c r="Q76" s="133">
        <v>3.47</v>
      </c>
    </row>
    <row r="77" spans="1:17" customFormat="1">
      <c r="A77" s="111" t="s">
        <v>1075</v>
      </c>
      <c r="B77" s="133">
        <v>7.24</v>
      </c>
      <c r="C77" s="133">
        <v>22.08</v>
      </c>
      <c r="D77" s="133">
        <v>18.690000000000001</v>
      </c>
      <c r="E77" s="133">
        <v>9.58</v>
      </c>
      <c r="F77" s="133">
        <v>17.420000000000002</v>
      </c>
      <c r="G77" s="133">
        <v>72.569999999999993</v>
      </c>
      <c r="H77" s="133">
        <v>18.09</v>
      </c>
      <c r="I77" s="133">
        <v>4.0199999999999996</v>
      </c>
      <c r="J77" s="133">
        <v>0.2</v>
      </c>
      <c r="K77" s="133">
        <v>162.66</v>
      </c>
      <c r="L77" s="133">
        <v>30.34</v>
      </c>
      <c r="M77" s="133">
        <v>66.349999999999994</v>
      </c>
      <c r="N77" s="133">
        <v>9.5</v>
      </c>
      <c r="O77" s="133">
        <v>0</v>
      </c>
      <c r="P77" s="133">
        <v>0.61</v>
      </c>
      <c r="Q77" s="133">
        <v>3.48</v>
      </c>
    </row>
    <row r="78" spans="1:17" customFormat="1">
      <c r="A78" s="111" t="s">
        <v>1076</v>
      </c>
      <c r="B78" s="133">
        <v>7.07</v>
      </c>
      <c r="C78" s="133">
        <v>19.989999999999998</v>
      </c>
      <c r="D78" s="133">
        <v>17.46</v>
      </c>
      <c r="E78" s="133">
        <v>9.2200000000000006</v>
      </c>
      <c r="F78" s="133">
        <v>18.829999999999998</v>
      </c>
      <c r="G78" s="133">
        <v>72.569999999999993</v>
      </c>
      <c r="H78" s="133">
        <v>18.09</v>
      </c>
      <c r="I78" s="133">
        <v>3.9</v>
      </c>
      <c r="J78" s="133">
        <v>0.16</v>
      </c>
      <c r="K78" s="133">
        <v>169.77</v>
      </c>
      <c r="L78" s="133">
        <v>29.74</v>
      </c>
      <c r="M78" s="133">
        <v>71.72</v>
      </c>
      <c r="N78" s="133">
        <v>0.9</v>
      </c>
      <c r="O78" s="133">
        <v>0</v>
      </c>
      <c r="P78" s="133">
        <v>0.57999999999999996</v>
      </c>
      <c r="Q78" s="133">
        <v>3.47</v>
      </c>
    </row>
    <row r="79" spans="1:17" customFormat="1">
      <c r="A79" s="111" t="s">
        <v>1077</v>
      </c>
      <c r="B79" s="133">
        <v>6.75</v>
      </c>
      <c r="C79" s="133">
        <v>17.71</v>
      </c>
      <c r="D79" s="133">
        <v>16.010000000000002</v>
      </c>
      <c r="E79" s="133">
        <v>9.33</v>
      </c>
      <c r="F79" s="133">
        <v>22.29</v>
      </c>
      <c r="G79" s="133">
        <v>72.569999999999993</v>
      </c>
      <c r="H79" s="133">
        <v>18.09</v>
      </c>
      <c r="I79" s="133">
        <v>3.98</v>
      </c>
      <c r="J79" s="133">
        <v>0.18</v>
      </c>
      <c r="K79" s="133">
        <v>164.02</v>
      </c>
      <c r="L79" s="133">
        <v>29.56</v>
      </c>
      <c r="M79" s="133">
        <v>68.8</v>
      </c>
      <c r="N79" s="133">
        <v>0</v>
      </c>
      <c r="O79" s="133">
        <v>0</v>
      </c>
      <c r="P79" s="133">
        <v>0.6</v>
      </c>
      <c r="Q79" s="133">
        <v>3.48</v>
      </c>
    </row>
    <row r="80" spans="1:17" customFormat="1">
      <c r="A80" s="111" t="s">
        <v>1078</v>
      </c>
      <c r="B80" s="133">
        <v>8.09</v>
      </c>
      <c r="C80" s="133">
        <v>19.93</v>
      </c>
      <c r="D80" s="133">
        <v>18.25</v>
      </c>
      <c r="E80" s="133">
        <v>9.61</v>
      </c>
      <c r="F80" s="133">
        <v>19.48</v>
      </c>
      <c r="G80" s="133">
        <v>71.900000000000006</v>
      </c>
      <c r="H80" s="133">
        <v>18.079999999999998</v>
      </c>
      <c r="I80" s="133">
        <v>3.92</v>
      </c>
      <c r="J80" s="133">
        <v>0.18</v>
      </c>
      <c r="K80" s="133">
        <v>182.71</v>
      </c>
      <c r="L80" s="133">
        <v>29.16</v>
      </c>
      <c r="M80" s="133">
        <v>68.77</v>
      </c>
      <c r="N80" s="133">
        <v>0</v>
      </c>
      <c r="O80" s="133">
        <v>0</v>
      </c>
      <c r="P80" s="133">
        <v>0.66</v>
      </c>
      <c r="Q80" s="133">
        <v>3.49</v>
      </c>
    </row>
    <row r="81" spans="1:17" customFormat="1">
      <c r="A81" s="111" t="s">
        <v>1079</v>
      </c>
      <c r="B81" s="133">
        <v>8.5299999999999994</v>
      </c>
      <c r="C81" s="133">
        <v>23.48</v>
      </c>
      <c r="D81" s="133">
        <v>20.46</v>
      </c>
      <c r="E81" s="133">
        <v>6.2</v>
      </c>
      <c r="F81" s="133">
        <v>11.79</v>
      </c>
      <c r="G81" s="133">
        <v>66.55</v>
      </c>
      <c r="H81" s="133">
        <v>18.03</v>
      </c>
      <c r="I81" s="133">
        <v>4.1399999999999997</v>
      </c>
      <c r="J81" s="133">
        <v>0.2</v>
      </c>
      <c r="K81" s="133">
        <v>192.37</v>
      </c>
      <c r="L81" s="133">
        <v>28.63</v>
      </c>
      <c r="M81" s="133">
        <v>77.459999999999994</v>
      </c>
      <c r="N81" s="133">
        <v>0</v>
      </c>
      <c r="O81" s="133">
        <v>0</v>
      </c>
      <c r="P81" s="133">
        <v>0.67</v>
      </c>
      <c r="Q81" s="133">
        <v>3.49</v>
      </c>
    </row>
    <row r="82" spans="1:17" customFormat="1">
      <c r="A82" s="111" t="s">
        <v>1080</v>
      </c>
      <c r="B82" s="133">
        <v>7.32</v>
      </c>
      <c r="C82" s="133">
        <v>19.55</v>
      </c>
      <c r="D82" s="133">
        <v>17.43</v>
      </c>
      <c r="E82" s="133">
        <v>6.39</v>
      </c>
      <c r="F82" s="133">
        <v>12.57</v>
      </c>
      <c r="G82" s="133">
        <v>66.55</v>
      </c>
      <c r="H82" s="133">
        <v>18.03</v>
      </c>
      <c r="I82" s="133">
        <v>4.3600000000000003</v>
      </c>
      <c r="J82" s="133">
        <v>0.16</v>
      </c>
      <c r="K82" s="133">
        <v>190.01</v>
      </c>
      <c r="L82" s="133">
        <v>27.99</v>
      </c>
      <c r="M82" s="133">
        <v>82.27</v>
      </c>
      <c r="N82" s="133">
        <v>0</v>
      </c>
      <c r="O82" s="133">
        <v>0</v>
      </c>
      <c r="P82" s="133">
        <v>0.64</v>
      </c>
      <c r="Q82" s="133">
        <v>3.51</v>
      </c>
    </row>
    <row r="83" spans="1:17" customFormat="1">
      <c r="A83" s="111" t="s">
        <v>1081</v>
      </c>
      <c r="B83" s="133">
        <v>7.09</v>
      </c>
      <c r="C83" s="133">
        <v>18.11</v>
      </c>
      <c r="D83" s="133">
        <v>16.5</v>
      </c>
      <c r="E83" s="133">
        <v>6.47</v>
      </c>
      <c r="F83" s="133">
        <v>13.71</v>
      </c>
      <c r="G83" s="133">
        <v>66.55</v>
      </c>
      <c r="H83" s="133">
        <v>18.03</v>
      </c>
      <c r="I83" s="133">
        <v>4.57</v>
      </c>
      <c r="J83" s="133">
        <v>0.11</v>
      </c>
      <c r="K83" s="133">
        <v>197.24</v>
      </c>
      <c r="L83" s="133">
        <v>27.69</v>
      </c>
      <c r="M83" s="133">
        <v>79.760000000000005</v>
      </c>
      <c r="N83" s="133">
        <v>0</v>
      </c>
      <c r="O83" s="133">
        <v>0</v>
      </c>
      <c r="P83" s="133">
        <v>0.64</v>
      </c>
      <c r="Q83" s="133">
        <v>3.52</v>
      </c>
    </row>
    <row r="84" spans="1:17" customFormat="1">
      <c r="A84" s="111" t="s">
        <v>1082</v>
      </c>
      <c r="B84" s="133">
        <v>7.01</v>
      </c>
      <c r="C84" s="133">
        <v>18.22</v>
      </c>
      <c r="D84" s="133">
        <v>16.489999999999998</v>
      </c>
      <c r="E84" s="133">
        <v>6.55</v>
      </c>
      <c r="F84" s="133">
        <v>12.9</v>
      </c>
      <c r="G84" s="133">
        <v>65.83</v>
      </c>
      <c r="H84" s="133">
        <v>18.13</v>
      </c>
      <c r="I84" s="133">
        <v>4.59</v>
      </c>
      <c r="J84" s="133">
        <v>0.12</v>
      </c>
      <c r="K84" s="133">
        <v>162.66</v>
      </c>
      <c r="L84" s="133">
        <v>27.74</v>
      </c>
      <c r="M84" s="133">
        <v>78.09</v>
      </c>
      <c r="N84" s="133">
        <v>0</v>
      </c>
      <c r="O84" s="133">
        <v>0</v>
      </c>
      <c r="P84" s="133">
        <v>0.63</v>
      </c>
      <c r="Q84" s="133">
        <v>3.53</v>
      </c>
    </row>
    <row r="85" spans="1:17" customFormat="1">
      <c r="A85" s="111" t="s">
        <v>1083</v>
      </c>
      <c r="B85" s="133">
        <v>7.81</v>
      </c>
      <c r="C85" s="133">
        <v>20.89</v>
      </c>
      <c r="D85" s="133">
        <v>18.52</v>
      </c>
      <c r="E85" s="133">
        <v>6.83</v>
      </c>
      <c r="F85" s="133">
        <v>8.6300000000000008</v>
      </c>
      <c r="G85" s="133">
        <v>60.05</v>
      </c>
      <c r="H85" s="133">
        <v>18.8</v>
      </c>
      <c r="I85" s="133">
        <v>4.53</v>
      </c>
      <c r="J85" s="133">
        <v>0.22</v>
      </c>
      <c r="K85" s="133">
        <v>171.04</v>
      </c>
      <c r="L85" s="133">
        <v>27.68</v>
      </c>
      <c r="M85" s="133">
        <v>79.42</v>
      </c>
      <c r="N85" s="133">
        <v>0</v>
      </c>
      <c r="O85" s="133">
        <v>0</v>
      </c>
      <c r="P85" s="133">
        <v>0.66</v>
      </c>
      <c r="Q85" s="133">
        <v>3.53</v>
      </c>
    </row>
    <row r="86" spans="1:17" customFormat="1">
      <c r="A86" s="111" t="s">
        <v>1084</v>
      </c>
      <c r="B86" s="133">
        <v>8.11</v>
      </c>
      <c r="C86" s="133">
        <v>20.8</v>
      </c>
      <c r="D86" s="133">
        <v>18.72</v>
      </c>
      <c r="E86" s="133">
        <v>6.9</v>
      </c>
      <c r="F86" s="133">
        <v>9.2100000000000009</v>
      </c>
      <c r="G86" s="133">
        <v>60.05</v>
      </c>
      <c r="H86" s="133">
        <v>18.8</v>
      </c>
      <c r="I86" s="133">
        <v>4.6399999999999997</v>
      </c>
      <c r="J86" s="133">
        <v>0.13</v>
      </c>
      <c r="K86" s="133">
        <v>183.41</v>
      </c>
      <c r="L86" s="133">
        <v>27.55</v>
      </c>
      <c r="M86" s="133">
        <v>77.56</v>
      </c>
      <c r="N86" s="133">
        <v>0</v>
      </c>
      <c r="O86" s="133">
        <v>0</v>
      </c>
      <c r="P86" s="133">
        <v>0.67</v>
      </c>
      <c r="Q86" s="133">
        <v>3.59</v>
      </c>
    </row>
    <row r="87" spans="1:17" customFormat="1">
      <c r="A87" s="111" t="s">
        <v>1085</v>
      </c>
      <c r="B87" s="133">
        <v>8.11</v>
      </c>
      <c r="C87" s="133">
        <v>20.079999999999998</v>
      </c>
      <c r="D87" s="133">
        <v>18.350000000000001</v>
      </c>
      <c r="E87" s="133">
        <v>6.38</v>
      </c>
      <c r="F87" s="133">
        <v>8.84</v>
      </c>
      <c r="G87" s="133">
        <v>60.05</v>
      </c>
      <c r="H87" s="133">
        <v>18.8</v>
      </c>
      <c r="I87" s="133">
        <v>4.8600000000000003</v>
      </c>
      <c r="J87" s="133">
        <v>0.16</v>
      </c>
      <c r="K87" s="133">
        <v>176.31</v>
      </c>
      <c r="L87" s="133">
        <v>27.36</v>
      </c>
      <c r="M87" s="133">
        <v>80.38</v>
      </c>
      <c r="N87" s="133">
        <v>0</v>
      </c>
      <c r="O87" s="133">
        <v>0</v>
      </c>
      <c r="P87" s="133">
        <v>0.67</v>
      </c>
      <c r="Q87" s="133">
        <v>3.58</v>
      </c>
    </row>
    <row r="88" spans="1:17" customFormat="1">
      <c r="A88" s="111" t="s">
        <v>1086</v>
      </c>
      <c r="B88" s="133">
        <v>8.57</v>
      </c>
      <c r="C88" s="133">
        <v>20.29</v>
      </c>
      <c r="D88" s="133">
        <v>18.82</v>
      </c>
      <c r="E88" s="133">
        <v>6.3</v>
      </c>
      <c r="F88" s="133">
        <v>6.13</v>
      </c>
      <c r="G88" s="133">
        <v>60.34</v>
      </c>
      <c r="H88" s="133">
        <v>18.86</v>
      </c>
      <c r="I88" s="133">
        <v>4.92</v>
      </c>
      <c r="J88" s="133">
        <v>0.12</v>
      </c>
      <c r="K88" s="133">
        <v>210</v>
      </c>
      <c r="L88" s="133">
        <v>26.93</v>
      </c>
      <c r="M88" s="133">
        <v>83.47</v>
      </c>
      <c r="N88" s="133">
        <v>0</v>
      </c>
      <c r="O88" s="133">
        <v>0</v>
      </c>
      <c r="P88" s="133">
        <v>0.67</v>
      </c>
      <c r="Q88" s="133">
        <v>3.6</v>
      </c>
    </row>
    <row r="89" spans="1:17" customFormat="1">
      <c r="A89" s="111" t="s">
        <v>1087</v>
      </c>
      <c r="B89" s="133">
        <v>8.75</v>
      </c>
      <c r="C89" s="133">
        <v>21.31</v>
      </c>
      <c r="D89" s="133">
        <v>19.5</v>
      </c>
      <c r="E89" s="133">
        <v>6.32</v>
      </c>
      <c r="F89" s="133">
        <v>5.73</v>
      </c>
      <c r="G89" s="133">
        <v>62.66</v>
      </c>
      <c r="H89" s="133">
        <v>19.23</v>
      </c>
      <c r="I89" s="133">
        <v>5.01</v>
      </c>
      <c r="J89" s="133">
        <v>0.14000000000000001</v>
      </c>
      <c r="K89" s="133">
        <v>186.2</v>
      </c>
      <c r="L89" s="133">
        <v>26.75</v>
      </c>
      <c r="M89" s="133">
        <v>85.36</v>
      </c>
      <c r="N89" s="133">
        <v>0</v>
      </c>
      <c r="O89" s="133">
        <v>0</v>
      </c>
      <c r="P89" s="133">
        <v>0.69</v>
      </c>
      <c r="Q89" s="133">
        <v>3.59</v>
      </c>
    </row>
    <row r="90" spans="1:17" customFormat="1">
      <c r="A90" s="111" t="s">
        <v>1088</v>
      </c>
      <c r="B90" s="133">
        <v>8.9700000000000006</v>
      </c>
      <c r="C90" s="133">
        <v>21.83</v>
      </c>
      <c r="D90" s="133">
        <v>19.95</v>
      </c>
      <c r="E90" s="133">
        <v>6.26</v>
      </c>
      <c r="F90" s="133">
        <v>4.92</v>
      </c>
      <c r="G90" s="133">
        <v>62.66</v>
      </c>
      <c r="H90" s="133">
        <v>19.23</v>
      </c>
      <c r="I90" s="133">
        <v>5</v>
      </c>
      <c r="J90" s="133">
        <v>0.09</v>
      </c>
      <c r="K90" s="133">
        <v>198.63</v>
      </c>
      <c r="L90" s="133">
        <v>26.54</v>
      </c>
      <c r="M90" s="133">
        <v>84.19</v>
      </c>
      <c r="N90" s="133">
        <v>0</v>
      </c>
      <c r="O90" s="133">
        <v>0</v>
      </c>
      <c r="P90" s="133">
        <v>0.7</v>
      </c>
      <c r="Q90" s="133">
        <v>3.62</v>
      </c>
    </row>
    <row r="91" spans="1:17" customFormat="1">
      <c r="A91" s="111" t="s">
        <v>1089</v>
      </c>
      <c r="B91" s="133">
        <v>9.18</v>
      </c>
      <c r="C91" s="133">
        <v>22.4</v>
      </c>
      <c r="D91" s="133">
        <v>20.41</v>
      </c>
      <c r="E91" s="133">
        <v>5.82</v>
      </c>
      <c r="F91" s="133">
        <v>4.42</v>
      </c>
      <c r="G91" s="133">
        <v>62.66</v>
      </c>
      <c r="H91" s="133">
        <v>19.23</v>
      </c>
      <c r="I91" s="133">
        <v>5.0999999999999996</v>
      </c>
      <c r="J91" s="133">
        <v>0.08</v>
      </c>
      <c r="K91" s="133">
        <v>212.69</v>
      </c>
      <c r="L91" s="133">
        <v>26.61</v>
      </c>
      <c r="M91" s="133">
        <v>83.4</v>
      </c>
      <c r="N91" s="133">
        <v>0</v>
      </c>
      <c r="O91" s="133">
        <v>0</v>
      </c>
      <c r="P91" s="133">
        <v>0.71</v>
      </c>
      <c r="Q91" s="133">
        <v>3.66</v>
      </c>
    </row>
    <row r="92" spans="1:17" customFormat="1">
      <c r="A92" s="111" t="s">
        <v>1090</v>
      </c>
      <c r="B92" s="133">
        <v>9.18</v>
      </c>
      <c r="C92" s="133">
        <v>22.7</v>
      </c>
      <c r="D92" s="133">
        <v>20.57</v>
      </c>
      <c r="E92" s="133">
        <v>6.49</v>
      </c>
      <c r="F92" s="133">
        <v>5.0199999999999996</v>
      </c>
      <c r="G92" s="133">
        <v>62.44</v>
      </c>
      <c r="H92" s="133">
        <v>18.940000000000001</v>
      </c>
      <c r="I92" s="133">
        <v>5.18</v>
      </c>
      <c r="J92" s="133">
        <v>0.09</v>
      </c>
      <c r="K92" s="133">
        <v>185.16</v>
      </c>
      <c r="L92" s="133">
        <v>26.4</v>
      </c>
      <c r="M92" s="133">
        <v>84.46</v>
      </c>
      <c r="N92" s="133">
        <v>0</v>
      </c>
      <c r="O92" s="133">
        <v>0</v>
      </c>
      <c r="P92" s="133">
        <v>0.72</v>
      </c>
      <c r="Q92" s="133">
        <v>3.7</v>
      </c>
    </row>
    <row r="93" spans="1:17" customFormat="1">
      <c r="A93" s="111" t="s">
        <v>1091</v>
      </c>
      <c r="B93" s="133">
        <v>9.2100000000000009</v>
      </c>
      <c r="C93" s="133">
        <v>23.37</v>
      </c>
      <c r="D93" s="133">
        <v>20.95</v>
      </c>
      <c r="E93" s="133">
        <v>6.61</v>
      </c>
      <c r="F93" s="133">
        <v>4.2699999999999996</v>
      </c>
      <c r="G93" s="133">
        <v>60.63</v>
      </c>
      <c r="H93" s="133">
        <v>17.100000000000001</v>
      </c>
      <c r="I93" s="133">
        <v>5.25</v>
      </c>
      <c r="J93" s="133">
        <v>0.11</v>
      </c>
      <c r="K93" s="133">
        <v>180.61</v>
      </c>
      <c r="L93" s="133">
        <v>26.42</v>
      </c>
      <c r="M93" s="133">
        <v>85.35</v>
      </c>
      <c r="N93" s="133">
        <v>0</v>
      </c>
      <c r="O93" s="133">
        <v>0</v>
      </c>
      <c r="P93" s="133">
        <v>0.73</v>
      </c>
      <c r="Q93" s="133">
        <v>3.72</v>
      </c>
    </row>
    <row r="94" spans="1:17" customFormat="1">
      <c r="A94" s="111" t="s">
        <v>1092</v>
      </c>
      <c r="B94" s="133">
        <v>9.35</v>
      </c>
      <c r="C94" s="133">
        <v>23.92</v>
      </c>
      <c r="D94" s="133">
        <v>21.35</v>
      </c>
      <c r="E94" s="133">
        <v>6.01</v>
      </c>
      <c r="F94" s="133">
        <v>3.48</v>
      </c>
      <c r="G94" s="133">
        <v>60.63</v>
      </c>
      <c r="H94" s="133">
        <v>17.100000000000001</v>
      </c>
      <c r="I94" s="133">
        <v>5.37</v>
      </c>
      <c r="J94" s="133">
        <v>0.11</v>
      </c>
      <c r="K94" s="133">
        <v>165.31</v>
      </c>
      <c r="L94" s="133">
        <v>26.37</v>
      </c>
      <c r="M94" s="133">
        <v>88</v>
      </c>
      <c r="N94" s="133">
        <v>0</v>
      </c>
      <c r="O94" s="133">
        <v>0</v>
      </c>
      <c r="P94" s="133">
        <v>0.73</v>
      </c>
      <c r="Q94" s="133">
        <v>3.73</v>
      </c>
    </row>
    <row r="95" spans="1:17" customFormat="1">
      <c r="A95" s="111" t="s">
        <v>1093</v>
      </c>
      <c r="B95" s="133">
        <v>9.3800000000000008</v>
      </c>
      <c r="C95" s="133">
        <v>24.03</v>
      </c>
      <c r="D95" s="133">
        <v>21.43</v>
      </c>
      <c r="E95" s="133">
        <v>6.84</v>
      </c>
      <c r="F95" s="133">
        <v>3.35</v>
      </c>
      <c r="G95" s="133">
        <v>60.63</v>
      </c>
      <c r="H95" s="133">
        <v>17.100000000000001</v>
      </c>
      <c r="I95" s="133">
        <v>5.44</v>
      </c>
      <c r="J95" s="133">
        <v>0.09</v>
      </c>
      <c r="K95" s="133">
        <v>201.45</v>
      </c>
      <c r="L95" s="133">
        <v>26.26</v>
      </c>
      <c r="M95" s="133">
        <v>86.91</v>
      </c>
      <c r="N95" s="133">
        <v>0</v>
      </c>
      <c r="O95" s="133">
        <v>0</v>
      </c>
      <c r="P95" s="133">
        <v>0.73</v>
      </c>
      <c r="Q95" s="133">
        <v>3.77</v>
      </c>
    </row>
    <row r="96" spans="1:17" customFormat="1">
      <c r="A96" s="111" t="s">
        <v>1094</v>
      </c>
      <c r="B96" s="133">
        <v>9.51</v>
      </c>
      <c r="C96" s="133">
        <v>24.04</v>
      </c>
      <c r="D96" s="133">
        <v>21.54</v>
      </c>
      <c r="E96" s="133">
        <v>6.65</v>
      </c>
      <c r="F96" s="133">
        <v>3.3</v>
      </c>
      <c r="G96" s="133">
        <v>60.46</v>
      </c>
      <c r="H96" s="133">
        <v>17.41</v>
      </c>
      <c r="I96" s="133">
        <v>5.47</v>
      </c>
      <c r="J96" s="133">
        <v>0.14000000000000001</v>
      </c>
      <c r="K96" s="133">
        <v>192.92</v>
      </c>
      <c r="L96" s="133">
        <v>26.18</v>
      </c>
      <c r="M96" s="133">
        <v>86.97</v>
      </c>
      <c r="N96" s="133">
        <v>0</v>
      </c>
      <c r="O96" s="133">
        <v>0</v>
      </c>
      <c r="P96" s="133">
        <v>0.74</v>
      </c>
      <c r="Q96" s="133">
        <v>3.81</v>
      </c>
    </row>
    <row r="97" spans="1:22" customFormat="1">
      <c r="A97" s="111" t="s">
        <v>1095</v>
      </c>
      <c r="B97" s="133">
        <v>9.52</v>
      </c>
      <c r="C97" s="133">
        <v>24.54</v>
      </c>
      <c r="D97" s="133">
        <v>21.8</v>
      </c>
      <c r="E97" s="133">
        <v>6.44</v>
      </c>
      <c r="F97" s="133">
        <v>3.3</v>
      </c>
      <c r="G97" s="133">
        <v>59.06</v>
      </c>
      <c r="H97" s="133">
        <v>19.34</v>
      </c>
      <c r="I97" s="133">
        <v>5.48</v>
      </c>
      <c r="J97" s="133">
        <v>0.17</v>
      </c>
      <c r="K97" s="133">
        <v>181.96</v>
      </c>
      <c r="L97" s="133">
        <v>26.1</v>
      </c>
      <c r="M97" s="133">
        <v>87.77</v>
      </c>
      <c r="N97" s="133">
        <v>0</v>
      </c>
      <c r="O97" s="133">
        <v>0</v>
      </c>
      <c r="P97" s="133">
        <v>0.74</v>
      </c>
      <c r="Q97" s="133">
        <v>3.81</v>
      </c>
    </row>
    <row r="98" spans="1:22" customFormat="1">
      <c r="A98" s="111" t="s">
        <v>1096</v>
      </c>
      <c r="B98" s="133">
        <v>9.4600000000000009</v>
      </c>
      <c r="C98" s="133">
        <v>24.83</v>
      </c>
      <c r="D98" s="133">
        <v>21.9</v>
      </c>
      <c r="E98" s="133">
        <v>6.72</v>
      </c>
      <c r="F98" s="133">
        <v>3.13</v>
      </c>
      <c r="G98" s="133">
        <v>59.06</v>
      </c>
      <c r="H98" s="133">
        <v>19.34</v>
      </c>
      <c r="I98" s="133">
        <v>5.48</v>
      </c>
      <c r="J98" s="133">
        <v>0.21</v>
      </c>
      <c r="K98" s="133">
        <v>167.08</v>
      </c>
      <c r="L98" s="133">
        <v>26.13</v>
      </c>
      <c r="M98" s="133">
        <v>87.5</v>
      </c>
      <c r="N98" s="133">
        <v>0</v>
      </c>
      <c r="O98" s="133">
        <v>0</v>
      </c>
      <c r="P98" s="133">
        <v>0.72</v>
      </c>
      <c r="Q98" s="133">
        <v>3.84</v>
      </c>
    </row>
    <row r="99" spans="1:22" customFormat="1">
      <c r="A99" s="111" t="s">
        <v>1097</v>
      </c>
      <c r="B99" s="133">
        <v>9.3699999999999992</v>
      </c>
      <c r="C99" s="133">
        <v>24.92</v>
      </c>
      <c r="D99" s="133">
        <v>21.89</v>
      </c>
      <c r="E99" s="133">
        <v>6.84</v>
      </c>
      <c r="F99" s="133">
        <v>3.04</v>
      </c>
      <c r="G99" s="133">
        <v>59.06</v>
      </c>
      <c r="H99" s="133">
        <v>19.34</v>
      </c>
      <c r="I99" s="133">
        <v>5.47</v>
      </c>
      <c r="J99" s="133">
        <v>0.11</v>
      </c>
      <c r="K99" s="133">
        <v>206.07</v>
      </c>
      <c r="L99" s="133">
        <v>25.88</v>
      </c>
      <c r="M99" s="133">
        <v>87.2</v>
      </c>
      <c r="N99" s="133">
        <v>0</v>
      </c>
      <c r="O99" s="133">
        <v>0</v>
      </c>
      <c r="P99" s="133">
        <v>0.73</v>
      </c>
      <c r="Q99" s="133">
        <v>3.86</v>
      </c>
    </row>
    <row r="100" spans="1:22" customFormat="1">
      <c r="A100" s="111" t="s">
        <v>1098</v>
      </c>
      <c r="B100" s="133">
        <v>9.42</v>
      </c>
      <c r="C100" s="133">
        <v>24.9</v>
      </c>
      <c r="D100" s="133">
        <v>21.91</v>
      </c>
      <c r="E100" s="133">
        <v>6.66</v>
      </c>
      <c r="F100" s="133">
        <v>2.93</v>
      </c>
      <c r="G100" s="133">
        <v>58.36</v>
      </c>
      <c r="H100" s="133">
        <v>19.43</v>
      </c>
      <c r="I100" s="133">
        <v>5.51</v>
      </c>
      <c r="J100" s="133">
        <v>0.11</v>
      </c>
      <c r="K100" s="133">
        <v>193.59</v>
      </c>
      <c r="L100" s="133">
        <v>25.83</v>
      </c>
      <c r="M100" s="133">
        <v>87.35</v>
      </c>
      <c r="N100" s="133">
        <v>0</v>
      </c>
      <c r="O100" s="133">
        <v>0</v>
      </c>
      <c r="P100" s="133">
        <v>0.73</v>
      </c>
      <c r="Q100" s="133">
        <v>3.87</v>
      </c>
    </row>
    <row r="101" spans="1:22" customFormat="1">
      <c r="A101" s="111" t="s">
        <v>1099</v>
      </c>
      <c r="B101" s="133">
        <v>9.3800000000000008</v>
      </c>
      <c r="C101" s="133">
        <v>25.4</v>
      </c>
      <c r="D101" s="133">
        <v>22.15</v>
      </c>
      <c r="E101" s="133">
        <v>6.69</v>
      </c>
      <c r="F101" s="133">
        <v>2.85</v>
      </c>
      <c r="G101" s="133">
        <v>52.76</v>
      </c>
      <c r="H101" s="133">
        <v>20.05</v>
      </c>
      <c r="I101" s="133">
        <v>5.51</v>
      </c>
      <c r="J101" s="133">
        <v>0.1</v>
      </c>
      <c r="K101" s="133">
        <v>199.57</v>
      </c>
      <c r="L101" s="133">
        <v>25.71</v>
      </c>
      <c r="M101" s="133">
        <v>88.23</v>
      </c>
      <c r="N101" s="133">
        <v>0</v>
      </c>
      <c r="O101" s="133">
        <v>0</v>
      </c>
      <c r="P101" s="133">
        <v>0.73</v>
      </c>
      <c r="Q101" s="133">
        <v>3.88</v>
      </c>
    </row>
    <row r="102" spans="1:22" customFormat="1">
      <c r="A102" s="111" t="s">
        <v>1100</v>
      </c>
      <c r="B102" s="133">
        <v>9.35</v>
      </c>
      <c r="C102" s="133">
        <v>25.33</v>
      </c>
      <c r="D102" s="133">
        <v>22.08</v>
      </c>
      <c r="E102" s="133">
        <v>7.27</v>
      </c>
      <c r="F102" s="133">
        <v>2.73</v>
      </c>
      <c r="G102" s="133">
        <v>52.76</v>
      </c>
      <c r="H102" s="133">
        <v>20.05</v>
      </c>
      <c r="I102" s="133">
        <v>5.49</v>
      </c>
      <c r="J102" s="133">
        <v>0.09</v>
      </c>
      <c r="K102" s="133">
        <v>188.02</v>
      </c>
      <c r="L102" s="133">
        <v>25.73</v>
      </c>
      <c r="M102" s="133">
        <v>87.98</v>
      </c>
      <c r="N102" s="133">
        <v>0</v>
      </c>
      <c r="O102" s="133">
        <v>0</v>
      </c>
      <c r="P102" s="133">
        <v>0.72</v>
      </c>
      <c r="Q102" s="133">
        <v>3.88</v>
      </c>
    </row>
    <row r="103" spans="1:22" customFormat="1">
      <c r="A103" s="111" t="s">
        <v>1101</v>
      </c>
      <c r="B103" s="133">
        <v>9.3800000000000008</v>
      </c>
      <c r="C103" s="133">
        <v>25.35</v>
      </c>
      <c r="D103" s="133">
        <v>22.12</v>
      </c>
      <c r="E103" s="133">
        <v>6.81</v>
      </c>
      <c r="F103" s="133">
        <v>2.78</v>
      </c>
      <c r="G103" s="133">
        <v>52.76</v>
      </c>
      <c r="H103" s="133">
        <v>20.05</v>
      </c>
      <c r="I103" s="133">
        <v>5.45</v>
      </c>
      <c r="J103" s="133">
        <v>0.1</v>
      </c>
      <c r="K103" s="133">
        <v>199.13</v>
      </c>
      <c r="L103" s="133">
        <v>25.52</v>
      </c>
      <c r="M103" s="133">
        <v>88.66</v>
      </c>
      <c r="N103" s="133">
        <v>0</v>
      </c>
      <c r="O103" s="133">
        <v>0</v>
      </c>
      <c r="P103" s="133">
        <v>0.72</v>
      </c>
      <c r="Q103" s="133">
        <v>3.85</v>
      </c>
    </row>
    <row r="104" spans="1:22" customFormat="1">
      <c r="A104" s="111" t="s">
        <v>1102</v>
      </c>
      <c r="B104" s="133">
        <v>9.41</v>
      </c>
      <c r="C104" s="133">
        <v>25.23</v>
      </c>
      <c r="D104" s="133">
        <v>22.08</v>
      </c>
      <c r="E104" s="133">
        <v>7.07</v>
      </c>
      <c r="F104" s="133">
        <v>3.39</v>
      </c>
      <c r="G104" s="133">
        <v>52.79</v>
      </c>
      <c r="H104" s="133">
        <v>19.850000000000001</v>
      </c>
      <c r="I104" s="133">
        <v>5.43</v>
      </c>
      <c r="J104" s="133">
        <v>0.09</v>
      </c>
      <c r="K104" s="133">
        <v>197.95</v>
      </c>
      <c r="L104" s="133">
        <v>25.45</v>
      </c>
      <c r="M104" s="133">
        <v>89.61</v>
      </c>
      <c r="N104" s="133">
        <v>0</v>
      </c>
      <c r="O104" s="133">
        <v>0</v>
      </c>
      <c r="P104" s="133">
        <v>0.72</v>
      </c>
      <c r="Q104" s="133">
        <v>3.83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6.07</v>
      </c>
      <c r="C106" s="183">
        <f>MIN(C9:C104)</f>
        <v>17.71</v>
      </c>
      <c r="D106" s="183">
        <f t="shared" ref="D106:Q106" si="0">MIN(D9:D104)</f>
        <v>16.010000000000002</v>
      </c>
      <c r="E106" s="183">
        <f t="shared" si="0"/>
        <v>5.82</v>
      </c>
      <c r="F106" s="183">
        <f t="shared" si="0"/>
        <v>2.37</v>
      </c>
      <c r="G106" s="183">
        <f t="shared" si="0"/>
        <v>36.130000000000003</v>
      </c>
      <c r="H106" s="183">
        <f t="shared" si="0"/>
        <v>13.16</v>
      </c>
      <c r="I106" s="183">
        <f t="shared" si="0"/>
        <v>3.9</v>
      </c>
      <c r="J106" s="183">
        <f t="shared" si="0"/>
        <v>0.05</v>
      </c>
      <c r="K106" s="183">
        <f t="shared" si="0"/>
        <v>3.97</v>
      </c>
      <c r="L106" s="183">
        <f t="shared" si="0"/>
        <v>23.36</v>
      </c>
      <c r="M106" s="183">
        <f t="shared" si="0"/>
        <v>40.619999999999997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3.47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14.17</v>
      </c>
      <c r="C107" s="184">
        <f t="shared" ref="C107:Q107" si="1">MAX(C9:C104)</f>
        <v>28.57</v>
      </c>
      <c r="D107" s="184">
        <f t="shared" si="1"/>
        <v>25.26</v>
      </c>
      <c r="E107" s="184">
        <f t="shared" si="1"/>
        <v>11.07</v>
      </c>
      <c r="F107" s="184">
        <f t="shared" si="1"/>
        <v>22.29</v>
      </c>
      <c r="G107" s="184">
        <f t="shared" si="1"/>
        <v>75.59</v>
      </c>
      <c r="H107" s="184">
        <f t="shared" si="1"/>
        <v>26.22</v>
      </c>
      <c r="I107" s="184">
        <f t="shared" si="1"/>
        <v>5.92</v>
      </c>
      <c r="J107" s="184">
        <f t="shared" si="1"/>
        <v>0.84</v>
      </c>
      <c r="K107" s="184">
        <f t="shared" si="1"/>
        <v>358.62</v>
      </c>
      <c r="L107" s="184">
        <f t="shared" si="1"/>
        <v>34.01</v>
      </c>
      <c r="M107" s="184">
        <f t="shared" si="1"/>
        <v>96.58</v>
      </c>
      <c r="N107" s="184">
        <f t="shared" si="1"/>
        <v>737.8</v>
      </c>
      <c r="O107" s="184">
        <f t="shared" si="1"/>
        <v>0</v>
      </c>
      <c r="P107" s="184">
        <f t="shared" si="1"/>
        <v>0.74</v>
      </c>
      <c r="Q107" s="184">
        <f t="shared" si="1"/>
        <v>3.9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9.6395833333333361</v>
      </c>
      <c r="C108" s="183">
        <f t="shared" ref="C108:Q108" si="2">AVERAGE(C9:C104)</f>
        <v>24.407083333333336</v>
      </c>
      <c r="D108" s="183">
        <f t="shared" si="2"/>
        <v>21.833020833333336</v>
      </c>
      <c r="E108" s="183">
        <f t="shared" si="2"/>
        <v>8.0806250000000066</v>
      </c>
      <c r="F108" s="183">
        <f t="shared" si="2"/>
        <v>6.6598958333333327</v>
      </c>
      <c r="G108" s="183">
        <f t="shared" si="2"/>
        <v>56.130000000000045</v>
      </c>
      <c r="H108" s="183">
        <f t="shared" si="2"/>
        <v>18.461249999999996</v>
      </c>
      <c r="I108" s="183">
        <f t="shared" si="2"/>
        <v>5.1392708333333337</v>
      </c>
      <c r="J108" s="183">
        <f t="shared" si="2"/>
        <v>0.23510416666666667</v>
      </c>
      <c r="K108" s="183">
        <f t="shared" si="2"/>
        <v>169.98052083333334</v>
      </c>
      <c r="L108" s="183">
        <f t="shared" si="2"/>
        <v>28.25395833333333</v>
      </c>
      <c r="M108" s="183">
        <f t="shared" si="2"/>
        <v>73.803333333333356</v>
      </c>
      <c r="N108" s="183">
        <f t="shared" si="2"/>
        <v>170.71875</v>
      </c>
      <c r="O108" s="183">
        <f t="shared" si="2"/>
        <v>0</v>
      </c>
      <c r="P108" s="183">
        <f t="shared" si="2"/>
        <v>0.60322916666666648</v>
      </c>
      <c r="Q108" s="183">
        <f t="shared" si="2"/>
        <v>3.692499999999999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2.3412160208191488</v>
      </c>
      <c r="C109" s="183">
        <f t="shared" ref="C109:Q109" si="3">STDEV(C9:C104)</f>
        <v>2.437989213164975</v>
      </c>
      <c r="D109" s="183">
        <f t="shared" si="3"/>
        <v>2.0668889002259494</v>
      </c>
      <c r="E109" s="183">
        <f t="shared" si="3"/>
        <v>1.3711630195989339</v>
      </c>
      <c r="F109" s="183">
        <f t="shared" si="3"/>
        <v>5.1046963917742474</v>
      </c>
      <c r="G109" s="183">
        <f t="shared" si="3"/>
        <v>12.846324971101861</v>
      </c>
      <c r="H109" s="183">
        <f t="shared" si="3"/>
        <v>3.2191150304000571</v>
      </c>
      <c r="I109" s="183">
        <f t="shared" si="3"/>
        <v>0.51788079260663589</v>
      </c>
      <c r="J109" s="183">
        <f t="shared" si="3"/>
        <v>0.18303864873251396</v>
      </c>
      <c r="K109" s="183">
        <f t="shared" si="3"/>
        <v>91.863945580519172</v>
      </c>
      <c r="L109" s="183">
        <f t="shared" si="3"/>
        <v>3.7039519376120538</v>
      </c>
      <c r="M109" s="183">
        <f t="shared" si="3"/>
        <v>18.735769430166183</v>
      </c>
      <c r="N109" s="183">
        <f t="shared" si="3"/>
        <v>262.52565761825031</v>
      </c>
      <c r="O109" s="183">
        <f t="shared" si="3"/>
        <v>0</v>
      </c>
      <c r="P109" s="183">
        <f t="shared" si="3"/>
        <v>7.1222332270399202E-2</v>
      </c>
      <c r="Q109" s="183">
        <f t="shared" si="3"/>
        <v>0.14801137936342279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3" activePane="bottomRight" state="frozen"/>
      <selection pane="topRight"/>
      <selection pane="bottomLeft"/>
      <selection pane="bottomRight" activeCell="P111" sqref="P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10/10/2023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1103</v>
      </c>
      <c r="B9" s="133">
        <v>8.67</v>
      </c>
      <c r="C9" s="133">
        <v>25.73</v>
      </c>
      <c r="D9" s="133">
        <v>21.74</v>
      </c>
      <c r="E9" s="133">
        <v>7.37</v>
      </c>
      <c r="F9" s="133">
        <v>3.43</v>
      </c>
      <c r="G9" s="133">
        <v>53.05</v>
      </c>
      <c r="H9" s="133">
        <v>18.59</v>
      </c>
      <c r="I9" s="133">
        <v>5.4</v>
      </c>
      <c r="J9" s="133">
        <v>0.09</v>
      </c>
      <c r="K9" s="133">
        <v>188.94</v>
      </c>
      <c r="L9" s="133">
        <v>25.34</v>
      </c>
      <c r="M9" s="133">
        <v>89.8</v>
      </c>
      <c r="N9" s="133">
        <v>0</v>
      </c>
      <c r="O9" s="133">
        <v>0</v>
      </c>
      <c r="P9" s="133">
        <v>0.71</v>
      </c>
      <c r="Q9" s="133">
        <v>3.83</v>
      </c>
    </row>
    <row r="10" spans="1:21" customFormat="1">
      <c r="A10" s="111" t="s">
        <v>1104</v>
      </c>
      <c r="B10" s="133">
        <v>8.67</v>
      </c>
      <c r="C10" s="133">
        <v>25.57</v>
      </c>
      <c r="D10" s="133">
        <v>21.66</v>
      </c>
      <c r="E10" s="133">
        <v>6.96</v>
      </c>
      <c r="F10" s="133">
        <v>2.9</v>
      </c>
      <c r="G10" s="133">
        <v>53.05</v>
      </c>
      <c r="H10" s="133">
        <v>18.59</v>
      </c>
      <c r="I10" s="133">
        <v>5.33</v>
      </c>
      <c r="J10" s="133">
        <v>0.09</v>
      </c>
      <c r="K10" s="133">
        <v>197.41</v>
      </c>
      <c r="L10" s="133">
        <v>25.29</v>
      </c>
      <c r="M10" s="133">
        <v>90.35</v>
      </c>
      <c r="N10" s="133">
        <v>0</v>
      </c>
      <c r="O10" s="133">
        <v>0</v>
      </c>
      <c r="P10" s="133">
        <v>0.7</v>
      </c>
      <c r="Q10" s="133">
        <v>3.85</v>
      </c>
    </row>
    <row r="11" spans="1:21" customFormat="1">
      <c r="A11" s="111" t="s">
        <v>1105</v>
      </c>
      <c r="B11" s="133">
        <v>8.7200000000000006</v>
      </c>
      <c r="C11" s="133">
        <v>25.54</v>
      </c>
      <c r="D11" s="133">
        <v>21.69</v>
      </c>
      <c r="E11" s="133">
        <v>7.44</v>
      </c>
      <c r="F11" s="133">
        <v>2.69</v>
      </c>
      <c r="G11" s="133">
        <v>53.05</v>
      </c>
      <c r="H11" s="133">
        <v>18.59</v>
      </c>
      <c r="I11" s="133">
        <v>5.38</v>
      </c>
      <c r="J11" s="133">
        <v>0.12</v>
      </c>
      <c r="K11" s="133">
        <v>161.54</v>
      </c>
      <c r="L11" s="133">
        <v>25.24</v>
      </c>
      <c r="M11" s="133">
        <v>90.72</v>
      </c>
      <c r="N11" s="133">
        <v>0</v>
      </c>
      <c r="O11" s="133">
        <v>0</v>
      </c>
      <c r="P11" s="133">
        <v>0.7</v>
      </c>
      <c r="Q11" s="133">
        <v>3.81</v>
      </c>
    </row>
    <row r="12" spans="1:21" customFormat="1">
      <c r="A12" s="111" t="s">
        <v>1106</v>
      </c>
      <c r="B12" s="133">
        <v>8.65</v>
      </c>
      <c r="C12" s="133">
        <v>25.65</v>
      </c>
      <c r="D12" s="133">
        <v>21.69</v>
      </c>
      <c r="E12" s="133">
        <v>7.39</v>
      </c>
      <c r="F12" s="133">
        <v>2.65</v>
      </c>
      <c r="G12" s="133">
        <v>52.77</v>
      </c>
      <c r="H12" s="133">
        <v>18.59</v>
      </c>
      <c r="I12" s="133">
        <v>5.33</v>
      </c>
      <c r="J12" s="133">
        <v>0.1</v>
      </c>
      <c r="K12" s="133">
        <v>169.72</v>
      </c>
      <c r="L12" s="133">
        <v>25.19</v>
      </c>
      <c r="M12" s="133">
        <v>90.41</v>
      </c>
      <c r="N12" s="133">
        <v>0</v>
      </c>
      <c r="O12" s="133">
        <v>0</v>
      </c>
      <c r="P12" s="133">
        <v>0.7</v>
      </c>
      <c r="Q12" s="133">
        <v>3.8</v>
      </c>
    </row>
    <row r="13" spans="1:21" customFormat="1">
      <c r="A13" s="111" t="s">
        <v>1107</v>
      </c>
      <c r="B13" s="133">
        <v>8.82</v>
      </c>
      <c r="C13" s="133">
        <v>25.58</v>
      </c>
      <c r="D13" s="133">
        <v>21.79</v>
      </c>
      <c r="E13" s="133">
        <v>7.33</v>
      </c>
      <c r="F13" s="133">
        <v>2.78</v>
      </c>
      <c r="G13" s="133">
        <v>50.55</v>
      </c>
      <c r="H13" s="133">
        <v>18.600000000000001</v>
      </c>
      <c r="I13" s="133">
        <v>5.3</v>
      </c>
      <c r="J13" s="133">
        <v>7.0000000000000007E-2</v>
      </c>
      <c r="K13" s="133">
        <v>230.94</v>
      </c>
      <c r="L13" s="133">
        <v>25.09</v>
      </c>
      <c r="M13" s="133">
        <v>90.15</v>
      </c>
      <c r="N13" s="133">
        <v>0</v>
      </c>
      <c r="O13" s="133">
        <v>0</v>
      </c>
      <c r="P13" s="133">
        <v>0.68</v>
      </c>
      <c r="Q13" s="133">
        <v>3.8</v>
      </c>
    </row>
    <row r="14" spans="1:21" customFormat="1">
      <c r="A14" s="111" t="s">
        <v>1108</v>
      </c>
      <c r="B14" s="133">
        <v>9.2799999999999994</v>
      </c>
      <c r="C14" s="133">
        <v>23.9</v>
      </c>
      <c r="D14" s="133">
        <v>21.28</v>
      </c>
      <c r="E14" s="133">
        <v>6.76</v>
      </c>
      <c r="F14" s="133">
        <v>3.21</v>
      </c>
      <c r="G14" s="133">
        <v>50.55</v>
      </c>
      <c r="H14" s="133">
        <v>18.600000000000001</v>
      </c>
      <c r="I14" s="133">
        <v>5.22</v>
      </c>
      <c r="J14" s="133">
        <v>0.16</v>
      </c>
      <c r="K14" s="133">
        <v>161.4</v>
      </c>
      <c r="L14" s="133">
        <v>25.02</v>
      </c>
      <c r="M14" s="133">
        <v>90.51</v>
      </c>
      <c r="N14" s="133">
        <v>0</v>
      </c>
      <c r="O14" s="133">
        <v>0</v>
      </c>
      <c r="P14" s="133">
        <v>0.67</v>
      </c>
      <c r="Q14" s="133">
        <v>3.8</v>
      </c>
    </row>
    <row r="15" spans="1:21" customFormat="1">
      <c r="A15" s="111" t="s">
        <v>1109</v>
      </c>
      <c r="B15" s="133">
        <v>9.4499999999999993</v>
      </c>
      <c r="C15" s="133">
        <v>22.7</v>
      </c>
      <c r="D15" s="133">
        <v>20.79</v>
      </c>
      <c r="E15" s="133">
        <v>6.74</v>
      </c>
      <c r="F15" s="133">
        <v>3.37</v>
      </c>
      <c r="G15" s="133">
        <v>50.55</v>
      </c>
      <c r="H15" s="133">
        <v>18.600000000000001</v>
      </c>
      <c r="I15" s="133">
        <v>5.24</v>
      </c>
      <c r="J15" s="133">
        <v>0.11</v>
      </c>
      <c r="K15" s="133">
        <v>155.91</v>
      </c>
      <c r="L15" s="133">
        <v>24.97</v>
      </c>
      <c r="M15" s="133">
        <v>90.74</v>
      </c>
      <c r="N15" s="133">
        <v>0</v>
      </c>
      <c r="O15" s="133">
        <v>0</v>
      </c>
      <c r="P15" s="133">
        <v>0.66</v>
      </c>
      <c r="Q15" s="133">
        <v>3.77</v>
      </c>
    </row>
    <row r="16" spans="1:21" customFormat="1">
      <c r="A16" s="111" t="s">
        <v>1110</v>
      </c>
      <c r="B16" s="133">
        <v>9.67</v>
      </c>
      <c r="C16" s="133">
        <v>21.81</v>
      </c>
      <c r="D16" s="133">
        <v>20.51</v>
      </c>
      <c r="E16" s="133">
        <v>6.72</v>
      </c>
      <c r="F16" s="133">
        <v>3.53</v>
      </c>
      <c r="G16" s="133">
        <v>50.18</v>
      </c>
      <c r="H16" s="133">
        <v>18.239999999999998</v>
      </c>
      <c r="I16" s="133">
        <v>5.23</v>
      </c>
      <c r="J16" s="133">
        <v>0.12</v>
      </c>
      <c r="K16" s="133">
        <v>161.44</v>
      </c>
      <c r="L16" s="133">
        <v>24.92</v>
      </c>
      <c r="M16" s="133">
        <v>90.25</v>
      </c>
      <c r="N16" s="133">
        <v>0</v>
      </c>
      <c r="O16" s="133">
        <v>0</v>
      </c>
      <c r="P16" s="133">
        <v>0.64</v>
      </c>
      <c r="Q16" s="133">
        <v>3.73</v>
      </c>
    </row>
    <row r="17" spans="1:17" customFormat="1">
      <c r="A17" s="111" t="s">
        <v>1111</v>
      </c>
      <c r="B17" s="133">
        <v>9.77</v>
      </c>
      <c r="C17" s="133">
        <v>20.88</v>
      </c>
      <c r="D17" s="133">
        <v>20.100000000000001</v>
      </c>
      <c r="E17" s="133">
        <v>6.42</v>
      </c>
      <c r="F17" s="133">
        <v>3.86</v>
      </c>
      <c r="G17" s="133">
        <v>47.24</v>
      </c>
      <c r="H17" s="133">
        <v>16</v>
      </c>
      <c r="I17" s="133">
        <v>5.21</v>
      </c>
      <c r="J17" s="133">
        <v>0.16</v>
      </c>
      <c r="K17" s="133">
        <v>176.14</v>
      </c>
      <c r="L17" s="133">
        <v>24.86</v>
      </c>
      <c r="M17" s="133">
        <v>90.71</v>
      </c>
      <c r="N17" s="133">
        <v>0</v>
      </c>
      <c r="O17" s="133">
        <v>0</v>
      </c>
      <c r="P17" s="133">
        <v>0.62</v>
      </c>
      <c r="Q17" s="133">
        <v>3.69</v>
      </c>
    </row>
    <row r="18" spans="1:17" customFormat="1">
      <c r="A18" s="111" t="s">
        <v>1112</v>
      </c>
      <c r="B18" s="133">
        <v>9.93</v>
      </c>
      <c r="C18" s="133">
        <v>20.62</v>
      </c>
      <c r="D18" s="133">
        <v>20.09</v>
      </c>
      <c r="E18" s="133">
        <v>6.27</v>
      </c>
      <c r="F18" s="133">
        <v>3.65</v>
      </c>
      <c r="G18" s="133">
        <v>47.24</v>
      </c>
      <c r="H18" s="133">
        <v>16</v>
      </c>
      <c r="I18" s="133">
        <v>5.18</v>
      </c>
      <c r="J18" s="133">
        <v>0.13</v>
      </c>
      <c r="K18" s="133">
        <v>174.98</v>
      </c>
      <c r="L18" s="133">
        <v>24.8</v>
      </c>
      <c r="M18" s="133">
        <v>91.89</v>
      </c>
      <c r="N18" s="133">
        <v>0</v>
      </c>
      <c r="O18" s="133">
        <v>0</v>
      </c>
      <c r="P18" s="133">
        <v>0.61</v>
      </c>
      <c r="Q18" s="133">
        <v>3.69</v>
      </c>
    </row>
    <row r="19" spans="1:17" customFormat="1">
      <c r="A19" s="111" t="s">
        <v>1113</v>
      </c>
      <c r="B19" s="133">
        <v>9.94</v>
      </c>
      <c r="C19" s="133">
        <v>20.71</v>
      </c>
      <c r="D19" s="133">
        <v>20.149999999999999</v>
      </c>
      <c r="E19" s="133">
        <v>6.4</v>
      </c>
      <c r="F19" s="133">
        <v>3.61</v>
      </c>
      <c r="G19" s="133">
        <v>47.24</v>
      </c>
      <c r="H19" s="133">
        <v>16</v>
      </c>
      <c r="I19" s="133">
        <v>5.18</v>
      </c>
      <c r="J19" s="133">
        <v>0.17</v>
      </c>
      <c r="K19" s="133">
        <v>184.41</v>
      </c>
      <c r="L19" s="133">
        <v>24.64</v>
      </c>
      <c r="M19" s="133">
        <v>93.08</v>
      </c>
      <c r="N19" s="133">
        <v>0</v>
      </c>
      <c r="O19" s="133">
        <v>0</v>
      </c>
      <c r="P19" s="133">
        <v>0.62</v>
      </c>
      <c r="Q19" s="133">
        <v>3.65</v>
      </c>
    </row>
    <row r="20" spans="1:17" customFormat="1">
      <c r="A20" s="111" t="s">
        <v>1114</v>
      </c>
      <c r="B20" s="133">
        <v>10.29</v>
      </c>
      <c r="C20" s="133">
        <v>23.13</v>
      </c>
      <c r="D20" s="133">
        <v>21.68</v>
      </c>
      <c r="E20" s="133">
        <v>6.56</v>
      </c>
      <c r="F20" s="133">
        <v>2.5</v>
      </c>
      <c r="G20" s="133">
        <v>46.77</v>
      </c>
      <c r="H20" s="133">
        <v>16.440000000000001</v>
      </c>
      <c r="I20" s="133">
        <v>5.2</v>
      </c>
      <c r="J20" s="133">
        <v>0.18</v>
      </c>
      <c r="K20" s="133">
        <v>180.5</v>
      </c>
      <c r="L20" s="133">
        <v>24.54</v>
      </c>
      <c r="M20" s="133">
        <v>93.23</v>
      </c>
      <c r="N20" s="133">
        <v>0</v>
      </c>
      <c r="O20" s="133">
        <v>0</v>
      </c>
      <c r="P20" s="133">
        <v>0.65</v>
      </c>
      <c r="Q20" s="133">
        <v>3.66</v>
      </c>
    </row>
    <row r="21" spans="1:17" customFormat="1">
      <c r="A21" s="111" t="s">
        <v>1115</v>
      </c>
      <c r="B21" s="133">
        <v>10.76</v>
      </c>
      <c r="C21" s="133">
        <v>22.38</v>
      </c>
      <c r="D21" s="133">
        <v>21.67</v>
      </c>
      <c r="E21" s="133">
        <v>7.28</v>
      </c>
      <c r="F21" s="133">
        <v>2.86</v>
      </c>
      <c r="G21" s="133">
        <v>42.96</v>
      </c>
      <c r="H21" s="133">
        <v>19.23</v>
      </c>
      <c r="I21" s="133">
        <v>5.21</v>
      </c>
      <c r="J21" s="133">
        <v>0.18</v>
      </c>
      <c r="K21" s="133">
        <v>173.63</v>
      </c>
      <c r="L21" s="133">
        <v>24.52</v>
      </c>
      <c r="M21" s="133">
        <v>93.3</v>
      </c>
      <c r="N21" s="133">
        <v>0</v>
      </c>
      <c r="O21" s="133">
        <v>0</v>
      </c>
      <c r="P21" s="133">
        <v>0.64</v>
      </c>
      <c r="Q21" s="133">
        <v>3.72</v>
      </c>
    </row>
    <row r="22" spans="1:17" customFormat="1">
      <c r="A22" s="111" t="s">
        <v>1116</v>
      </c>
      <c r="B22" s="133">
        <v>10.99</v>
      </c>
      <c r="C22" s="133">
        <v>21.01</v>
      </c>
      <c r="D22" s="133">
        <v>21.15</v>
      </c>
      <c r="E22" s="133">
        <v>6.64</v>
      </c>
      <c r="F22" s="133">
        <v>3.34</v>
      </c>
      <c r="G22" s="133">
        <v>42.96</v>
      </c>
      <c r="H22" s="133">
        <v>19.23</v>
      </c>
      <c r="I22" s="133">
        <v>5.31</v>
      </c>
      <c r="J22" s="133">
        <v>0.12</v>
      </c>
      <c r="K22" s="133">
        <v>198.79</v>
      </c>
      <c r="L22" s="133">
        <v>24.36</v>
      </c>
      <c r="M22" s="133">
        <v>94.01</v>
      </c>
      <c r="N22" s="133">
        <v>0</v>
      </c>
      <c r="O22" s="133">
        <v>0</v>
      </c>
      <c r="P22" s="133">
        <v>0.62</v>
      </c>
      <c r="Q22" s="133">
        <v>3.76</v>
      </c>
    </row>
    <row r="23" spans="1:17" customFormat="1">
      <c r="A23" s="111" t="s">
        <v>1117</v>
      </c>
      <c r="B23" s="133">
        <v>11.06</v>
      </c>
      <c r="C23" s="133">
        <v>20.62</v>
      </c>
      <c r="D23" s="133">
        <v>20.99</v>
      </c>
      <c r="E23" s="133">
        <v>6.1</v>
      </c>
      <c r="F23" s="133">
        <v>3.29</v>
      </c>
      <c r="G23" s="133">
        <v>42.96</v>
      </c>
      <c r="H23" s="133">
        <v>19.23</v>
      </c>
      <c r="I23" s="133">
        <v>5.3</v>
      </c>
      <c r="J23" s="133">
        <v>0.11</v>
      </c>
      <c r="K23" s="133">
        <v>159.91999999999999</v>
      </c>
      <c r="L23" s="133">
        <v>24.28</v>
      </c>
      <c r="M23" s="133">
        <v>95.05</v>
      </c>
      <c r="N23" s="133">
        <v>0</v>
      </c>
      <c r="O23" s="133">
        <v>0</v>
      </c>
      <c r="P23" s="133">
        <v>0.62</v>
      </c>
      <c r="Q23" s="133">
        <v>3.76</v>
      </c>
    </row>
    <row r="24" spans="1:17" customFormat="1">
      <c r="A24" s="111" t="s">
        <v>1118</v>
      </c>
      <c r="B24" s="133">
        <v>11.25</v>
      </c>
      <c r="C24" s="133">
        <v>22.95</v>
      </c>
      <c r="D24" s="133">
        <v>22.36</v>
      </c>
      <c r="E24" s="133">
        <v>6.91</v>
      </c>
      <c r="F24" s="133">
        <v>2.59</v>
      </c>
      <c r="G24" s="133">
        <v>43.07</v>
      </c>
      <c r="H24" s="133">
        <v>19.059999999999999</v>
      </c>
      <c r="I24" s="133">
        <v>5.28</v>
      </c>
      <c r="J24" s="133">
        <v>0.1</v>
      </c>
      <c r="K24" s="133">
        <v>169.05</v>
      </c>
      <c r="L24" s="133">
        <v>24.19</v>
      </c>
      <c r="M24" s="133">
        <v>95.89</v>
      </c>
      <c r="N24" s="133">
        <v>0</v>
      </c>
      <c r="O24" s="133">
        <v>0</v>
      </c>
      <c r="P24" s="133">
        <v>0.65</v>
      </c>
      <c r="Q24" s="133">
        <v>3.75</v>
      </c>
    </row>
    <row r="25" spans="1:17" customFormat="1">
      <c r="A25" s="111" t="s">
        <v>1119</v>
      </c>
      <c r="B25" s="133">
        <v>11.75</v>
      </c>
      <c r="C25" s="133">
        <v>22.83</v>
      </c>
      <c r="D25" s="133">
        <v>22.7</v>
      </c>
      <c r="E25" s="133">
        <v>6.37</v>
      </c>
      <c r="F25" s="133">
        <v>2.64</v>
      </c>
      <c r="G25" s="133">
        <v>43.88</v>
      </c>
      <c r="H25" s="133">
        <v>17.97</v>
      </c>
      <c r="I25" s="133">
        <v>5.29</v>
      </c>
      <c r="J25" s="133">
        <v>0.08</v>
      </c>
      <c r="K25" s="133">
        <v>174.49</v>
      </c>
      <c r="L25" s="133">
        <v>24.12</v>
      </c>
      <c r="M25" s="133">
        <v>95.82</v>
      </c>
      <c r="N25" s="133">
        <v>0</v>
      </c>
      <c r="O25" s="133">
        <v>0</v>
      </c>
      <c r="P25" s="133">
        <v>0.64</v>
      </c>
      <c r="Q25" s="133">
        <v>3.8</v>
      </c>
    </row>
    <row r="26" spans="1:17" customFormat="1">
      <c r="A26" s="111" t="s">
        <v>1120</v>
      </c>
      <c r="B26" s="133">
        <v>12.01</v>
      </c>
      <c r="C26" s="133">
        <v>21.4</v>
      </c>
      <c r="D26" s="133">
        <v>22.16</v>
      </c>
      <c r="E26" s="133">
        <v>6.71</v>
      </c>
      <c r="F26" s="133">
        <v>2.98</v>
      </c>
      <c r="G26" s="133">
        <v>43.88</v>
      </c>
      <c r="H26" s="133">
        <v>17.97</v>
      </c>
      <c r="I26" s="133">
        <v>5.33</v>
      </c>
      <c r="J26" s="133">
        <v>0.19</v>
      </c>
      <c r="K26" s="133">
        <v>157.41</v>
      </c>
      <c r="L26" s="133">
        <v>24.15</v>
      </c>
      <c r="M26" s="133">
        <v>94.54</v>
      </c>
      <c r="N26" s="133">
        <v>0</v>
      </c>
      <c r="O26" s="133">
        <v>0</v>
      </c>
      <c r="P26" s="133">
        <v>0.62</v>
      </c>
      <c r="Q26" s="133">
        <v>3.83</v>
      </c>
    </row>
    <row r="27" spans="1:17" customFormat="1">
      <c r="A27" s="111" t="s">
        <v>1121</v>
      </c>
      <c r="B27" s="133">
        <v>12.14</v>
      </c>
      <c r="C27" s="133">
        <v>20.55</v>
      </c>
      <c r="D27" s="133">
        <v>21.82</v>
      </c>
      <c r="E27" s="133">
        <v>6.49</v>
      </c>
      <c r="F27" s="133">
        <v>2.91</v>
      </c>
      <c r="G27" s="133">
        <v>43.88</v>
      </c>
      <c r="H27" s="133">
        <v>17.97</v>
      </c>
      <c r="I27" s="133">
        <v>5.3</v>
      </c>
      <c r="J27" s="133">
        <v>0.12</v>
      </c>
      <c r="K27" s="133">
        <v>180.15</v>
      </c>
      <c r="L27" s="133">
        <v>24.1</v>
      </c>
      <c r="M27" s="133">
        <v>93.33</v>
      </c>
      <c r="N27" s="133">
        <v>0</v>
      </c>
      <c r="O27" s="133">
        <v>0</v>
      </c>
      <c r="P27" s="133">
        <v>0.61</v>
      </c>
      <c r="Q27" s="133">
        <v>3.81</v>
      </c>
    </row>
    <row r="28" spans="1:17" customFormat="1">
      <c r="A28" s="111" t="s">
        <v>1122</v>
      </c>
      <c r="B28" s="133">
        <v>12.21</v>
      </c>
      <c r="C28" s="133">
        <v>22.84</v>
      </c>
      <c r="D28" s="133">
        <v>23.07</v>
      </c>
      <c r="E28" s="133">
        <v>6.75</v>
      </c>
      <c r="F28" s="133">
        <v>2.2799999999999998</v>
      </c>
      <c r="G28" s="133">
        <v>43.53</v>
      </c>
      <c r="H28" s="133">
        <v>17.690000000000001</v>
      </c>
      <c r="I28" s="133">
        <v>5.27</v>
      </c>
      <c r="J28" s="133">
        <v>0.14000000000000001</v>
      </c>
      <c r="K28" s="133">
        <v>172.89</v>
      </c>
      <c r="L28" s="133">
        <v>24.01</v>
      </c>
      <c r="M28" s="133">
        <v>94.15</v>
      </c>
      <c r="N28" s="133">
        <v>0</v>
      </c>
      <c r="O28" s="133">
        <v>0</v>
      </c>
      <c r="P28" s="133">
        <v>0.64</v>
      </c>
      <c r="Q28" s="133">
        <v>3.79</v>
      </c>
    </row>
    <row r="29" spans="1:17" customFormat="1">
      <c r="A29" s="111" t="s">
        <v>1123</v>
      </c>
      <c r="B29" s="133">
        <v>12.74</v>
      </c>
      <c r="C29" s="133">
        <v>22.38</v>
      </c>
      <c r="D29" s="133">
        <v>23.26</v>
      </c>
      <c r="E29" s="133">
        <v>7.18</v>
      </c>
      <c r="F29" s="133">
        <v>2.7</v>
      </c>
      <c r="G29" s="133">
        <v>40.74</v>
      </c>
      <c r="H29" s="133">
        <v>15.92</v>
      </c>
      <c r="I29" s="133">
        <v>5.26</v>
      </c>
      <c r="J29" s="133">
        <v>0.1</v>
      </c>
      <c r="K29" s="133">
        <v>200.01</v>
      </c>
      <c r="L29" s="133">
        <v>23.85</v>
      </c>
      <c r="M29" s="133">
        <v>94.57</v>
      </c>
      <c r="N29" s="133">
        <v>0</v>
      </c>
      <c r="O29" s="133">
        <v>0</v>
      </c>
      <c r="P29" s="133">
        <v>0.64</v>
      </c>
      <c r="Q29" s="133">
        <v>3.86</v>
      </c>
    </row>
    <row r="30" spans="1:17" customFormat="1">
      <c r="A30" s="111" t="s">
        <v>1124</v>
      </c>
      <c r="B30" s="133">
        <v>12.95</v>
      </c>
      <c r="C30" s="133">
        <v>21.37</v>
      </c>
      <c r="D30" s="133">
        <v>22.9</v>
      </c>
      <c r="E30" s="133">
        <v>6.71</v>
      </c>
      <c r="F30" s="133">
        <v>3.1</v>
      </c>
      <c r="G30" s="133">
        <v>40.74</v>
      </c>
      <c r="H30" s="133">
        <v>15.92</v>
      </c>
      <c r="I30" s="133">
        <v>5.31</v>
      </c>
      <c r="J30" s="133">
        <v>0.15</v>
      </c>
      <c r="K30" s="133">
        <v>186.91</v>
      </c>
      <c r="L30" s="133">
        <v>23.87</v>
      </c>
      <c r="M30" s="133">
        <v>95.34</v>
      </c>
      <c r="N30" s="133">
        <v>0</v>
      </c>
      <c r="O30" s="133">
        <v>0</v>
      </c>
      <c r="P30" s="133">
        <v>0.62</v>
      </c>
      <c r="Q30" s="133">
        <v>3.88</v>
      </c>
    </row>
    <row r="31" spans="1:17" customFormat="1">
      <c r="A31" s="111" t="s">
        <v>1125</v>
      </c>
      <c r="B31" s="133">
        <v>13.05</v>
      </c>
      <c r="C31" s="133">
        <v>23.1</v>
      </c>
      <c r="D31" s="133">
        <v>23.88</v>
      </c>
      <c r="E31" s="133">
        <v>6.83</v>
      </c>
      <c r="F31" s="133">
        <v>2.36</v>
      </c>
      <c r="G31" s="133">
        <v>40.74</v>
      </c>
      <c r="H31" s="133">
        <v>15.92</v>
      </c>
      <c r="I31" s="133">
        <v>5.3</v>
      </c>
      <c r="J31" s="133">
        <v>0.08</v>
      </c>
      <c r="K31" s="133">
        <v>201.67</v>
      </c>
      <c r="L31" s="133">
        <v>23.67</v>
      </c>
      <c r="M31" s="133">
        <v>95.7</v>
      </c>
      <c r="N31" s="133">
        <v>0</v>
      </c>
      <c r="O31" s="133">
        <v>0</v>
      </c>
      <c r="P31" s="133">
        <v>0.64</v>
      </c>
      <c r="Q31" s="133">
        <v>3.87</v>
      </c>
    </row>
    <row r="32" spans="1:17" customFormat="1">
      <c r="A32" s="111" t="s">
        <v>1126</v>
      </c>
      <c r="B32" s="133">
        <v>13.21</v>
      </c>
      <c r="C32" s="133">
        <v>23.74</v>
      </c>
      <c r="D32" s="133">
        <v>24.35</v>
      </c>
      <c r="E32" s="133">
        <v>6.83</v>
      </c>
      <c r="F32" s="133">
        <v>2.4700000000000002</v>
      </c>
      <c r="G32" s="133">
        <v>40.39</v>
      </c>
      <c r="H32" s="133">
        <v>16.07</v>
      </c>
      <c r="I32" s="133">
        <v>5.27</v>
      </c>
      <c r="J32" s="133">
        <v>0.13</v>
      </c>
      <c r="K32" s="133">
        <v>182.14</v>
      </c>
      <c r="L32" s="133">
        <v>23.67</v>
      </c>
      <c r="M32" s="133">
        <v>95.7</v>
      </c>
      <c r="N32" s="133">
        <v>0</v>
      </c>
      <c r="O32" s="133">
        <v>0</v>
      </c>
      <c r="P32" s="133">
        <v>0.64</v>
      </c>
      <c r="Q32" s="133">
        <v>3.89</v>
      </c>
    </row>
    <row r="33" spans="1:17" customFormat="1">
      <c r="A33" s="111" t="s">
        <v>1127</v>
      </c>
      <c r="B33" s="133">
        <v>13.13</v>
      </c>
      <c r="C33" s="133">
        <v>23.97</v>
      </c>
      <c r="D33" s="133">
        <v>24.4</v>
      </c>
      <c r="E33" s="133">
        <v>6.78</v>
      </c>
      <c r="F33" s="133">
        <v>2.69</v>
      </c>
      <c r="G33" s="133">
        <v>37.590000000000003</v>
      </c>
      <c r="H33" s="133">
        <v>17.059999999999999</v>
      </c>
      <c r="I33" s="133">
        <v>5.33</v>
      </c>
      <c r="J33" s="133">
        <v>0.16</v>
      </c>
      <c r="K33" s="133">
        <v>183.18</v>
      </c>
      <c r="L33" s="133">
        <v>23.81</v>
      </c>
      <c r="M33" s="133">
        <v>95.5</v>
      </c>
      <c r="N33" s="133">
        <v>4.5</v>
      </c>
      <c r="O33" s="133">
        <v>0</v>
      </c>
      <c r="P33" s="133">
        <v>0.65</v>
      </c>
      <c r="Q33" s="133">
        <v>3.9</v>
      </c>
    </row>
    <row r="34" spans="1:17" customFormat="1">
      <c r="A34" s="111" t="s">
        <v>1128</v>
      </c>
      <c r="B34" s="133">
        <v>13.08</v>
      </c>
      <c r="C34" s="133">
        <v>24.12</v>
      </c>
      <c r="D34" s="133">
        <v>24.44</v>
      </c>
      <c r="E34" s="133">
        <v>7.05</v>
      </c>
      <c r="F34" s="133">
        <v>2.68</v>
      </c>
      <c r="G34" s="133">
        <v>37.590000000000003</v>
      </c>
      <c r="H34" s="133">
        <v>17.059999999999999</v>
      </c>
      <c r="I34" s="133">
        <v>5.28</v>
      </c>
      <c r="J34" s="133">
        <v>0.21</v>
      </c>
      <c r="K34" s="133">
        <v>167.67</v>
      </c>
      <c r="L34" s="133">
        <v>24.12</v>
      </c>
      <c r="M34" s="133">
        <v>94.17</v>
      </c>
      <c r="N34" s="133">
        <v>15.7</v>
      </c>
      <c r="O34" s="133">
        <v>0</v>
      </c>
      <c r="P34" s="133">
        <v>0.64</v>
      </c>
      <c r="Q34" s="133">
        <v>3.93</v>
      </c>
    </row>
    <row r="35" spans="1:17" customFormat="1">
      <c r="A35" s="111" t="s">
        <v>1129</v>
      </c>
      <c r="B35" s="133">
        <v>13.04</v>
      </c>
      <c r="C35" s="133">
        <v>24.36</v>
      </c>
      <c r="D35" s="133">
        <v>24.53</v>
      </c>
      <c r="E35" s="133">
        <v>6.94</v>
      </c>
      <c r="F35" s="133">
        <v>2.77</v>
      </c>
      <c r="G35" s="133">
        <v>37.590000000000003</v>
      </c>
      <c r="H35" s="133">
        <v>17.059999999999999</v>
      </c>
      <c r="I35" s="133">
        <v>5.29</v>
      </c>
      <c r="J35" s="133">
        <v>0.14000000000000001</v>
      </c>
      <c r="K35" s="133">
        <v>164.54</v>
      </c>
      <c r="L35" s="133">
        <v>24.53</v>
      </c>
      <c r="M35" s="133">
        <v>93.93</v>
      </c>
      <c r="N35" s="133">
        <v>27.8</v>
      </c>
      <c r="O35" s="133">
        <v>0</v>
      </c>
      <c r="P35" s="133">
        <v>0.65</v>
      </c>
      <c r="Q35" s="133">
        <v>3.94</v>
      </c>
    </row>
    <row r="36" spans="1:17" customFormat="1">
      <c r="A36" s="111" t="s">
        <v>1130</v>
      </c>
      <c r="B36" s="133">
        <v>12.87</v>
      </c>
      <c r="C36" s="133">
        <v>24.82</v>
      </c>
      <c r="D36" s="133">
        <v>24.63</v>
      </c>
      <c r="E36" s="133">
        <v>6.79</v>
      </c>
      <c r="F36" s="133">
        <v>2.59</v>
      </c>
      <c r="G36" s="133">
        <v>37.340000000000003</v>
      </c>
      <c r="H36" s="133">
        <v>16.34</v>
      </c>
      <c r="I36" s="133">
        <v>5.26</v>
      </c>
      <c r="J36" s="133">
        <v>0.08</v>
      </c>
      <c r="K36" s="133">
        <v>183.36</v>
      </c>
      <c r="L36" s="133">
        <v>24.85</v>
      </c>
      <c r="M36" s="133">
        <v>92.67</v>
      </c>
      <c r="N36" s="133">
        <v>41.2</v>
      </c>
      <c r="O36" s="133">
        <v>0</v>
      </c>
      <c r="P36" s="133">
        <v>0.66</v>
      </c>
      <c r="Q36" s="133">
        <v>3.95</v>
      </c>
    </row>
    <row r="37" spans="1:17" customFormat="1">
      <c r="A37" s="111" t="s">
        <v>1131</v>
      </c>
      <c r="B37" s="133">
        <v>12.87</v>
      </c>
      <c r="C37" s="133">
        <v>25.17</v>
      </c>
      <c r="D37" s="133">
        <v>24.82</v>
      </c>
      <c r="E37" s="133">
        <v>6.59</v>
      </c>
      <c r="F37" s="133">
        <v>2.52</v>
      </c>
      <c r="G37" s="133">
        <v>35.33</v>
      </c>
      <c r="H37" s="133">
        <v>12.27</v>
      </c>
      <c r="I37" s="133">
        <v>5.29</v>
      </c>
      <c r="J37" s="133">
        <v>0.11</v>
      </c>
      <c r="K37" s="133">
        <v>158.94</v>
      </c>
      <c r="L37" s="133">
        <v>25.4</v>
      </c>
      <c r="M37" s="133">
        <v>90.31</v>
      </c>
      <c r="N37" s="133">
        <v>64.099999999999994</v>
      </c>
      <c r="O37" s="133">
        <v>0</v>
      </c>
      <c r="P37" s="133">
        <v>0.66</v>
      </c>
      <c r="Q37" s="133">
        <v>3.94</v>
      </c>
    </row>
    <row r="38" spans="1:17" customFormat="1">
      <c r="A38" s="111" t="s">
        <v>1132</v>
      </c>
      <c r="B38" s="133">
        <v>12.78</v>
      </c>
      <c r="C38" s="133">
        <v>25.2</v>
      </c>
      <c r="D38" s="133">
        <v>24.76</v>
      </c>
      <c r="E38" s="133">
        <v>6.91</v>
      </c>
      <c r="F38" s="133">
        <v>2.4900000000000002</v>
      </c>
      <c r="G38" s="133">
        <v>35.33</v>
      </c>
      <c r="H38" s="133">
        <v>12.27</v>
      </c>
      <c r="I38" s="133">
        <v>5.36</v>
      </c>
      <c r="J38" s="133">
        <v>0.19</v>
      </c>
      <c r="K38" s="133">
        <v>158.87</v>
      </c>
      <c r="L38" s="133">
        <v>26.05</v>
      </c>
      <c r="M38" s="133">
        <v>87.32</v>
      </c>
      <c r="N38" s="133">
        <v>94.2</v>
      </c>
      <c r="O38" s="133">
        <v>0</v>
      </c>
      <c r="P38" s="133">
        <v>0.66</v>
      </c>
      <c r="Q38" s="133">
        <v>3.97</v>
      </c>
    </row>
    <row r="39" spans="1:17" customFormat="1">
      <c r="A39" s="111" t="s">
        <v>1133</v>
      </c>
      <c r="B39" s="133">
        <v>12.54</v>
      </c>
      <c r="C39" s="133">
        <v>25.6</v>
      </c>
      <c r="D39" s="133">
        <v>24.78</v>
      </c>
      <c r="E39" s="133">
        <v>6.66</v>
      </c>
      <c r="F39" s="133">
        <v>2.4900000000000002</v>
      </c>
      <c r="G39" s="133">
        <v>35.33</v>
      </c>
      <c r="H39" s="133">
        <v>12.27</v>
      </c>
      <c r="I39" s="133">
        <v>5.43</v>
      </c>
      <c r="J39" s="133">
        <v>0.18</v>
      </c>
      <c r="K39" s="133">
        <v>180.14</v>
      </c>
      <c r="L39" s="133">
        <v>26.89</v>
      </c>
      <c r="M39" s="133">
        <v>83.46</v>
      </c>
      <c r="N39" s="133">
        <v>124.6</v>
      </c>
      <c r="O39" s="133">
        <v>0</v>
      </c>
      <c r="P39" s="133">
        <v>0.67</v>
      </c>
      <c r="Q39" s="133">
        <v>3.96</v>
      </c>
    </row>
    <row r="40" spans="1:17" customFormat="1">
      <c r="A40" s="111" t="s">
        <v>1134</v>
      </c>
      <c r="B40" s="133">
        <v>12.2</v>
      </c>
      <c r="C40" s="133">
        <v>25.94</v>
      </c>
      <c r="D40" s="133">
        <v>24.69</v>
      </c>
      <c r="E40" s="133">
        <v>7.07</v>
      </c>
      <c r="F40" s="133">
        <v>2.5</v>
      </c>
      <c r="G40" s="133">
        <v>36.28</v>
      </c>
      <c r="H40" s="133">
        <v>12.83</v>
      </c>
      <c r="I40" s="133">
        <v>5.5</v>
      </c>
      <c r="J40" s="133">
        <v>0.22</v>
      </c>
      <c r="K40" s="133">
        <v>226.94</v>
      </c>
      <c r="L40" s="133">
        <v>27.56</v>
      </c>
      <c r="M40" s="133">
        <v>81.209999999999994</v>
      </c>
      <c r="N40" s="133">
        <v>235.3</v>
      </c>
      <c r="O40" s="133">
        <v>0</v>
      </c>
      <c r="P40" s="133">
        <v>0.67</v>
      </c>
      <c r="Q40" s="133">
        <v>3.97</v>
      </c>
    </row>
    <row r="41" spans="1:17" customFormat="1">
      <c r="A41" s="111" t="s">
        <v>1135</v>
      </c>
      <c r="B41" s="133">
        <v>11.8</v>
      </c>
      <c r="C41" s="133">
        <v>26.32</v>
      </c>
      <c r="D41" s="133">
        <v>24.57</v>
      </c>
      <c r="E41" s="133">
        <v>7.14</v>
      </c>
      <c r="F41" s="133">
        <v>2.6</v>
      </c>
      <c r="G41" s="133">
        <v>43.9</v>
      </c>
      <c r="H41" s="133">
        <v>16.43</v>
      </c>
      <c r="I41" s="133">
        <v>5.58</v>
      </c>
      <c r="J41" s="133">
        <v>0.18</v>
      </c>
      <c r="K41" s="133">
        <v>187.1</v>
      </c>
      <c r="L41" s="133">
        <v>28.41</v>
      </c>
      <c r="M41" s="133">
        <v>78.22</v>
      </c>
      <c r="N41" s="133">
        <v>291.7</v>
      </c>
      <c r="O41" s="133">
        <v>0</v>
      </c>
      <c r="P41" s="133">
        <v>0.67</v>
      </c>
      <c r="Q41" s="133">
        <v>3.94</v>
      </c>
    </row>
    <row r="42" spans="1:17" customFormat="1">
      <c r="A42" s="111" t="s">
        <v>1136</v>
      </c>
      <c r="B42" s="133">
        <v>11.42</v>
      </c>
      <c r="C42" s="133">
        <v>26.52</v>
      </c>
      <c r="D42" s="133">
        <v>24.37</v>
      </c>
      <c r="E42" s="133">
        <v>7.15</v>
      </c>
      <c r="F42" s="133">
        <v>2.6</v>
      </c>
      <c r="G42" s="133">
        <v>43.9</v>
      </c>
      <c r="H42" s="133">
        <v>16.43</v>
      </c>
      <c r="I42" s="133">
        <v>5.61</v>
      </c>
      <c r="J42" s="133">
        <v>0.28000000000000003</v>
      </c>
      <c r="K42" s="133">
        <v>172.2</v>
      </c>
      <c r="L42" s="133">
        <v>29.54</v>
      </c>
      <c r="M42" s="133">
        <v>73.23</v>
      </c>
      <c r="N42" s="133">
        <v>335.6</v>
      </c>
      <c r="O42" s="133">
        <v>0</v>
      </c>
      <c r="P42" s="133">
        <v>0.68</v>
      </c>
      <c r="Q42" s="133">
        <v>3.93</v>
      </c>
    </row>
    <row r="43" spans="1:17" customFormat="1">
      <c r="A43" s="111" t="s">
        <v>1137</v>
      </c>
      <c r="B43" s="133">
        <v>10.89</v>
      </c>
      <c r="C43" s="133">
        <v>26.4</v>
      </c>
      <c r="D43" s="133">
        <v>23.87</v>
      </c>
      <c r="E43" s="133">
        <v>7.04</v>
      </c>
      <c r="F43" s="133">
        <v>2.9</v>
      </c>
      <c r="G43" s="133">
        <v>43.9</v>
      </c>
      <c r="H43" s="133">
        <v>16.43</v>
      </c>
      <c r="I43" s="133">
        <v>5.69</v>
      </c>
      <c r="J43" s="133">
        <v>0.06</v>
      </c>
      <c r="K43" s="133">
        <v>156.38999999999999</v>
      </c>
      <c r="L43" s="133">
        <v>30.28</v>
      </c>
      <c r="M43" s="133">
        <v>68.77</v>
      </c>
      <c r="N43" s="133">
        <v>384.5</v>
      </c>
      <c r="O43" s="133">
        <v>0</v>
      </c>
      <c r="P43" s="133">
        <v>0.69</v>
      </c>
      <c r="Q43" s="133">
        <v>3.91</v>
      </c>
    </row>
    <row r="44" spans="1:17" customFormat="1">
      <c r="A44" s="111" t="s">
        <v>1138</v>
      </c>
      <c r="B44" s="133">
        <v>10.16</v>
      </c>
      <c r="C44" s="133">
        <v>26.77</v>
      </c>
      <c r="D44" s="133">
        <v>23.49</v>
      </c>
      <c r="E44" s="133">
        <v>7.18</v>
      </c>
      <c r="F44" s="133">
        <v>3.14</v>
      </c>
      <c r="G44" s="133">
        <v>44.65</v>
      </c>
      <c r="H44" s="133">
        <v>16.52</v>
      </c>
      <c r="I44" s="133">
        <v>5.75</v>
      </c>
      <c r="J44" s="133">
        <v>7.0000000000000007E-2</v>
      </c>
      <c r="K44" s="133">
        <v>294.95</v>
      </c>
      <c r="L44" s="133">
        <v>30.68</v>
      </c>
      <c r="M44" s="133">
        <v>63.49</v>
      </c>
      <c r="N44" s="133">
        <v>431.4</v>
      </c>
      <c r="O44" s="133">
        <v>0</v>
      </c>
      <c r="P44" s="133">
        <v>0.7</v>
      </c>
      <c r="Q44" s="133">
        <v>3.85</v>
      </c>
    </row>
    <row r="45" spans="1:17" customFormat="1">
      <c r="A45" s="111" t="s">
        <v>1139</v>
      </c>
      <c r="B45" s="133">
        <v>9.3800000000000008</v>
      </c>
      <c r="C45" s="133">
        <v>27.51</v>
      </c>
      <c r="D45" s="133">
        <v>23.25</v>
      </c>
      <c r="E45" s="133">
        <v>7.51</v>
      </c>
      <c r="F45" s="133">
        <v>3.49</v>
      </c>
      <c r="G45" s="133">
        <v>50.63</v>
      </c>
      <c r="H45" s="133">
        <v>17.07</v>
      </c>
      <c r="I45" s="133">
        <v>5.83</v>
      </c>
      <c r="J45" s="133">
        <v>0.22</v>
      </c>
      <c r="K45" s="133">
        <v>4.5599999999999996</v>
      </c>
      <c r="L45" s="133">
        <v>30.9</v>
      </c>
      <c r="M45" s="133">
        <v>59.49</v>
      </c>
      <c r="N45" s="133">
        <v>476.8</v>
      </c>
      <c r="O45" s="133">
        <v>0</v>
      </c>
      <c r="P45" s="133">
        <v>0.71</v>
      </c>
      <c r="Q45" s="133">
        <v>3.82</v>
      </c>
    </row>
    <row r="46" spans="1:17" customFormat="1">
      <c r="A46" s="111" t="s">
        <v>1140</v>
      </c>
      <c r="B46" s="133">
        <v>8.66</v>
      </c>
      <c r="C46" s="133">
        <v>28.11</v>
      </c>
      <c r="D46" s="133">
        <v>22.99</v>
      </c>
      <c r="E46" s="133">
        <v>7.16</v>
      </c>
      <c r="F46" s="133">
        <v>3.88</v>
      </c>
      <c r="G46" s="133">
        <v>50.63</v>
      </c>
      <c r="H46" s="133">
        <v>17.07</v>
      </c>
      <c r="I46" s="133">
        <v>5.9</v>
      </c>
      <c r="J46" s="133">
        <v>0.21</v>
      </c>
      <c r="K46" s="133">
        <v>6.76</v>
      </c>
      <c r="L46" s="133">
        <v>31.69</v>
      </c>
      <c r="M46" s="133">
        <v>58.39</v>
      </c>
      <c r="N46" s="133">
        <v>404.6</v>
      </c>
      <c r="O46" s="133">
        <v>0</v>
      </c>
      <c r="P46" s="133">
        <v>0.72</v>
      </c>
      <c r="Q46" s="133">
        <v>3.78</v>
      </c>
    </row>
    <row r="47" spans="1:17" customFormat="1">
      <c r="A47" s="111" t="s">
        <v>1141</v>
      </c>
      <c r="B47" s="133">
        <v>8.14</v>
      </c>
      <c r="C47" s="133">
        <v>28.38</v>
      </c>
      <c r="D47" s="133">
        <v>22.71</v>
      </c>
      <c r="E47" s="133">
        <v>7.38</v>
      </c>
      <c r="F47" s="133">
        <v>4.21</v>
      </c>
      <c r="G47" s="133">
        <v>50.63</v>
      </c>
      <c r="H47" s="133">
        <v>17.07</v>
      </c>
      <c r="I47" s="133">
        <v>5.95</v>
      </c>
      <c r="J47" s="133">
        <v>0.45</v>
      </c>
      <c r="K47" s="133">
        <v>14.07</v>
      </c>
      <c r="L47" s="133">
        <v>32.020000000000003</v>
      </c>
      <c r="M47" s="133">
        <v>56.79</v>
      </c>
      <c r="N47" s="133">
        <v>413.5</v>
      </c>
      <c r="O47" s="133">
        <v>0</v>
      </c>
      <c r="P47" s="133">
        <v>0.73</v>
      </c>
      <c r="Q47" s="133">
        <v>3.75</v>
      </c>
    </row>
    <row r="48" spans="1:17" customFormat="1">
      <c r="A48" s="111" t="s">
        <v>1142</v>
      </c>
      <c r="B48" s="133">
        <v>7.81</v>
      </c>
      <c r="C48" s="133">
        <v>29.76</v>
      </c>
      <c r="D48" s="133">
        <v>23.17</v>
      </c>
      <c r="E48" s="133">
        <v>8.01</v>
      </c>
      <c r="F48" s="133">
        <v>4.2</v>
      </c>
      <c r="G48" s="133">
        <v>52.04</v>
      </c>
      <c r="H48" s="133">
        <v>18.07</v>
      </c>
      <c r="I48" s="133">
        <v>6.01</v>
      </c>
      <c r="J48" s="133">
        <v>0.36</v>
      </c>
      <c r="K48" s="133">
        <v>284.45</v>
      </c>
      <c r="L48" s="133">
        <v>32.270000000000003</v>
      </c>
      <c r="M48" s="133">
        <v>56.27</v>
      </c>
      <c r="N48" s="133">
        <v>465.1</v>
      </c>
      <c r="O48" s="133">
        <v>0</v>
      </c>
      <c r="P48" s="133">
        <v>0.76</v>
      </c>
      <c r="Q48" s="133">
        <v>3.74</v>
      </c>
    </row>
    <row r="49" spans="1:17" customFormat="1">
      <c r="A49" s="111" t="s">
        <v>1143</v>
      </c>
      <c r="B49" s="133">
        <v>7.59</v>
      </c>
      <c r="C49" s="133">
        <v>29.86</v>
      </c>
      <c r="D49" s="133">
        <v>23.04</v>
      </c>
      <c r="E49" s="133">
        <v>7.36</v>
      </c>
      <c r="F49" s="133">
        <v>4.1100000000000003</v>
      </c>
      <c r="G49" s="133">
        <v>63.31</v>
      </c>
      <c r="H49" s="133">
        <v>23.78</v>
      </c>
      <c r="I49" s="133">
        <v>6.05</v>
      </c>
      <c r="J49" s="133">
        <v>0.25</v>
      </c>
      <c r="K49" s="133">
        <v>4.43</v>
      </c>
      <c r="L49" s="133">
        <v>32.46</v>
      </c>
      <c r="M49" s="133">
        <v>56.28</v>
      </c>
      <c r="N49" s="133">
        <v>552.29999999999995</v>
      </c>
      <c r="O49" s="133">
        <v>0</v>
      </c>
      <c r="P49" s="133">
        <v>0.78</v>
      </c>
      <c r="Q49" s="133">
        <v>3.72</v>
      </c>
    </row>
    <row r="50" spans="1:17" customFormat="1">
      <c r="A50" s="111" t="s">
        <v>1144</v>
      </c>
      <c r="B50" s="133">
        <v>7.57</v>
      </c>
      <c r="C50" s="133">
        <v>30.93</v>
      </c>
      <c r="D50" s="133">
        <v>23.58</v>
      </c>
      <c r="E50" s="133">
        <v>10.29</v>
      </c>
      <c r="F50" s="133">
        <v>5.62</v>
      </c>
      <c r="G50" s="133">
        <v>63.31</v>
      </c>
      <c r="H50" s="133">
        <v>23.78</v>
      </c>
      <c r="I50" s="133">
        <v>6.16</v>
      </c>
      <c r="J50" s="133">
        <v>0.53</v>
      </c>
      <c r="K50" s="133">
        <v>25.56</v>
      </c>
      <c r="L50" s="133">
        <v>32.869999999999997</v>
      </c>
      <c r="M50" s="133">
        <v>55.19</v>
      </c>
      <c r="N50" s="133">
        <v>581</v>
      </c>
      <c r="O50" s="133">
        <v>0</v>
      </c>
      <c r="P50" s="133">
        <v>0.79</v>
      </c>
      <c r="Q50" s="133">
        <v>3.72</v>
      </c>
    </row>
    <row r="51" spans="1:17" customFormat="1">
      <c r="A51" s="111" t="s">
        <v>1145</v>
      </c>
      <c r="B51" s="133">
        <v>7.29</v>
      </c>
      <c r="C51" s="133">
        <v>30.48</v>
      </c>
      <c r="D51" s="133">
        <v>23.12</v>
      </c>
      <c r="E51" s="133">
        <v>8.91</v>
      </c>
      <c r="F51" s="133">
        <v>6.06</v>
      </c>
      <c r="G51" s="133">
        <v>63.31</v>
      </c>
      <c r="H51" s="133">
        <v>23.78</v>
      </c>
      <c r="I51" s="133">
        <v>6.28</v>
      </c>
      <c r="J51" s="133">
        <v>0.71</v>
      </c>
      <c r="K51" s="133">
        <v>22.97</v>
      </c>
      <c r="L51" s="133">
        <v>32.9</v>
      </c>
      <c r="M51" s="133">
        <v>52.15</v>
      </c>
      <c r="N51" s="133">
        <v>644.4</v>
      </c>
      <c r="O51" s="133">
        <v>0</v>
      </c>
      <c r="P51" s="133">
        <v>0.79</v>
      </c>
      <c r="Q51" s="133">
        <v>3.7</v>
      </c>
    </row>
    <row r="52" spans="1:17" customFormat="1">
      <c r="A52" s="111" t="s">
        <v>1146</v>
      </c>
      <c r="B52" s="133">
        <v>6.91</v>
      </c>
      <c r="C52" s="133">
        <v>30.5</v>
      </c>
      <c r="D52" s="133">
        <v>22.83</v>
      </c>
      <c r="E52" s="133">
        <v>8.86</v>
      </c>
      <c r="F52" s="133">
        <v>8.82</v>
      </c>
      <c r="G52" s="133">
        <v>65.489999999999995</v>
      </c>
      <c r="H52" s="133">
        <v>23.86</v>
      </c>
      <c r="I52" s="133">
        <v>6.39</v>
      </c>
      <c r="J52" s="133">
        <v>0.48</v>
      </c>
      <c r="K52" s="133">
        <v>20.52</v>
      </c>
      <c r="L52" s="133">
        <v>33.11</v>
      </c>
      <c r="M52" s="133">
        <v>49.82</v>
      </c>
      <c r="N52" s="133">
        <v>632</v>
      </c>
      <c r="O52" s="133">
        <v>0</v>
      </c>
      <c r="P52" s="133">
        <v>0.78</v>
      </c>
      <c r="Q52" s="133">
        <v>3.68</v>
      </c>
    </row>
    <row r="53" spans="1:17" customFormat="1">
      <c r="A53" s="111" t="s">
        <v>1147</v>
      </c>
      <c r="B53" s="133">
        <v>6.93</v>
      </c>
      <c r="C53" s="133">
        <v>28.47</v>
      </c>
      <c r="D53" s="133">
        <v>21.79</v>
      </c>
      <c r="E53" s="133">
        <v>8.73</v>
      </c>
      <c r="F53" s="133">
        <v>10.01</v>
      </c>
      <c r="G53" s="133">
        <v>82.92</v>
      </c>
      <c r="H53" s="133">
        <v>24.37</v>
      </c>
      <c r="I53" s="133">
        <v>6.32</v>
      </c>
      <c r="J53" s="133">
        <v>0.68</v>
      </c>
      <c r="K53" s="133">
        <v>28.04</v>
      </c>
      <c r="L53" s="133">
        <v>33.26</v>
      </c>
      <c r="M53" s="133">
        <v>48.88</v>
      </c>
      <c r="N53" s="133">
        <v>711.8</v>
      </c>
      <c r="O53" s="133">
        <v>0</v>
      </c>
      <c r="P53" s="133">
        <v>0.77</v>
      </c>
      <c r="Q53" s="133">
        <v>3.65</v>
      </c>
    </row>
    <row r="54" spans="1:17" customFormat="1">
      <c r="A54" s="111" t="s">
        <v>1148</v>
      </c>
      <c r="B54" s="133">
        <v>7.08</v>
      </c>
      <c r="C54" s="133">
        <v>27.03</v>
      </c>
      <c r="D54" s="133">
        <v>21.15</v>
      </c>
      <c r="E54" s="133">
        <v>8.9499999999999993</v>
      </c>
      <c r="F54" s="133">
        <v>8.82</v>
      </c>
      <c r="G54" s="133">
        <v>82.92</v>
      </c>
      <c r="H54" s="133">
        <v>24.37</v>
      </c>
      <c r="I54" s="133">
        <v>6.01</v>
      </c>
      <c r="J54" s="133">
        <v>0.64</v>
      </c>
      <c r="K54" s="133">
        <v>31.21</v>
      </c>
      <c r="L54" s="133">
        <v>33.51</v>
      </c>
      <c r="M54" s="133">
        <v>48.31</v>
      </c>
      <c r="N54" s="133">
        <v>720.1</v>
      </c>
      <c r="O54" s="133">
        <v>0</v>
      </c>
      <c r="P54" s="133">
        <v>0.76</v>
      </c>
      <c r="Q54" s="133">
        <v>3.61</v>
      </c>
    </row>
    <row r="55" spans="1:17" customFormat="1">
      <c r="A55" s="111" t="s">
        <v>1149</v>
      </c>
      <c r="B55" s="133">
        <v>7.08</v>
      </c>
      <c r="C55" s="133">
        <v>26.45</v>
      </c>
      <c r="D55" s="133">
        <v>20.85</v>
      </c>
      <c r="E55" s="133">
        <v>9.5</v>
      </c>
      <c r="F55" s="133">
        <v>9.92</v>
      </c>
      <c r="G55" s="133">
        <v>82.92</v>
      </c>
      <c r="H55" s="133">
        <v>24.37</v>
      </c>
      <c r="I55" s="133">
        <v>5.9</v>
      </c>
      <c r="J55" s="133">
        <v>0.51</v>
      </c>
      <c r="K55" s="133">
        <v>18.7</v>
      </c>
      <c r="L55" s="133">
        <v>33.75</v>
      </c>
      <c r="M55" s="133">
        <v>46.44</v>
      </c>
      <c r="N55" s="133">
        <v>740.7</v>
      </c>
      <c r="O55" s="133">
        <v>0</v>
      </c>
      <c r="P55" s="133">
        <v>0.76</v>
      </c>
      <c r="Q55" s="133">
        <v>3.56</v>
      </c>
    </row>
    <row r="56" spans="1:17" customFormat="1">
      <c r="A56" s="111" t="s">
        <v>1150</v>
      </c>
      <c r="B56" s="133">
        <v>6.94</v>
      </c>
      <c r="C56" s="133">
        <v>25.7</v>
      </c>
      <c r="D56" s="133">
        <v>20.350000000000001</v>
      </c>
      <c r="E56" s="133">
        <v>9.67</v>
      </c>
      <c r="F56" s="133">
        <v>8.82</v>
      </c>
      <c r="G56" s="133">
        <v>82.48</v>
      </c>
      <c r="H56" s="133">
        <v>24.38</v>
      </c>
      <c r="I56" s="133">
        <v>5.91</v>
      </c>
      <c r="J56" s="133">
        <v>0.33</v>
      </c>
      <c r="K56" s="133">
        <v>357.36</v>
      </c>
      <c r="L56" s="133">
        <v>34.130000000000003</v>
      </c>
      <c r="M56" s="133">
        <v>48.73</v>
      </c>
      <c r="N56" s="133">
        <v>704.4</v>
      </c>
      <c r="O56" s="133">
        <v>0</v>
      </c>
      <c r="P56" s="133">
        <v>0.76</v>
      </c>
      <c r="Q56" s="133">
        <v>3.53</v>
      </c>
    </row>
    <row r="57" spans="1:17" customFormat="1">
      <c r="A57" s="111" t="s">
        <v>1151</v>
      </c>
      <c r="B57" s="133">
        <v>6.85</v>
      </c>
      <c r="C57" s="133">
        <v>25.79</v>
      </c>
      <c r="D57" s="133">
        <v>20.32</v>
      </c>
      <c r="E57" s="133">
        <v>13.72</v>
      </c>
      <c r="F57" s="133">
        <v>10.61</v>
      </c>
      <c r="G57" s="133">
        <v>79</v>
      </c>
      <c r="H57" s="133">
        <v>24.49</v>
      </c>
      <c r="I57" s="133">
        <v>5.84</v>
      </c>
      <c r="J57" s="133">
        <v>0.39</v>
      </c>
      <c r="K57" s="133">
        <v>351.92</v>
      </c>
      <c r="L57" s="133">
        <v>33.950000000000003</v>
      </c>
      <c r="M57" s="133">
        <v>50.76</v>
      </c>
      <c r="N57" s="133">
        <v>686</v>
      </c>
      <c r="O57" s="133">
        <v>0</v>
      </c>
      <c r="P57" s="133">
        <v>0.75</v>
      </c>
      <c r="Q57" s="133">
        <v>3.53</v>
      </c>
    </row>
    <row r="58" spans="1:17" customFormat="1">
      <c r="A58" s="111" t="s">
        <v>1152</v>
      </c>
      <c r="B58" s="133">
        <v>6.67</v>
      </c>
      <c r="C58" s="133">
        <v>26.03</v>
      </c>
      <c r="D58" s="133">
        <v>20.3</v>
      </c>
      <c r="E58" s="133">
        <v>10.1</v>
      </c>
      <c r="F58" s="133">
        <v>8.4600000000000009</v>
      </c>
      <c r="G58" s="133">
        <v>79</v>
      </c>
      <c r="H58" s="133">
        <v>24.49</v>
      </c>
      <c r="I58" s="133">
        <v>5.77</v>
      </c>
      <c r="J58" s="133">
        <v>0.32</v>
      </c>
      <c r="K58" s="133">
        <v>352.9</v>
      </c>
      <c r="L58" s="133">
        <v>33.71</v>
      </c>
      <c r="M58" s="133">
        <v>53.55</v>
      </c>
      <c r="N58" s="133">
        <v>439.8</v>
      </c>
      <c r="O58" s="133">
        <v>0</v>
      </c>
      <c r="P58" s="133">
        <v>0.76</v>
      </c>
      <c r="Q58" s="133">
        <v>3.49</v>
      </c>
    </row>
    <row r="59" spans="1:17" customFormat="1">
      <c r="A59" s="111" t="s">
        <v>1153</v>
      </c>
      <c r="B59" s="133">
        <v>6.2</v>
      </c>
      <c r="C59" s="133">
        <v>24.94</v>
      </c>
      <c r="D59" s="133">
        <v>19.350000000000001</v>
      </c>
      <c r="E59" s="133">
        <v>14.43</v>
      </c>
      <c r="F59" s="133">
        <v>15.88</v>
      </c>
      <c r="G59" s="133">
        <v>79</v>
      </c>
      <c r="H59" s="133">
        <v>24.49</v>
      </c>
      <c r="I59" s="133">
        <v>5.78</v>
      </c>
      <c r="J59" s="133">
        <v>0.42</v>
      </c>
      <c r="K59" s="133">
        <v>18.760000000000002</v>
      </c>
      <c r="L59" s="133">
        <v>33.65</v>
      </c>
      <c r="M59" s="133">
        <v>54.06</v>
      </c>
      <c r="N59" s="133">
        <v>509.5</v>
      </c>
      <c r="O59" s="133">
        <v>0</v>
      </c>
      <c r="P59" s="133">
        <v>0.75</v>
      </c>
      <c r="Q59" s="133">
        <v>3.46</v>
      </c>
    </row>
    <row r="60" spans="1:17" customFormat="1">
      <c r="A60" s="111" t="s">
        <v>1154</v>
      </c>
      <c r="B60" s="133">
        <v>4.63</v>
      </c>
      <c r="C60" s="133">
        <v>24.5</v>
      </c>
      <c r="D60" s="133">
        <v>17.86</v>
      </c>
      <c r="E60" s="133">
        <v>18.77</v>
      </c>
      <c r="F60" s="133">
        <v>22.17</v>
      </c>
      <c r="G60" s="133">
        <v>79.19</v>
      </c>
      <c r="H60" s="133">
        <v>24.43</v>
      </c>
      <c r="I60" s="133">
        <v>5.79</v>
      </c>
      <c r="J60" s="133">
        <v>0.67</v>
      </c>
      <c r="K60" s="133">
        <v>23.06</v>
      </c>
      <c r="L60" s="133">
        <v>33.56</v>
      </c>
      <c r="M60" s="133">
        <v>52.51</v>
      </c>
      <c r="N60" s="133">
        <v>599.9</v>
      </c>
      <c r="O60" s="133">
        <v>0</v>
      </c>
      <c r="P60" s="133">
        <v>0.73</v>
      </c>
      <c r="Q60" s="133">
        <v>3.42</v>
      </c>
    </row>
    <row r="61" spans="1:17" customFormat="1">
      <c r="A61" s="111" t="s">
        <v>1155</v>
      </c>
      <c r="B61" s="133">
        <v>2.95</v>
      </c>
      <c r="C61" s="133">
        <v>24.52</v>
      </c>
      <c r="D61" s="133">
        <v>16.53</v>
      </c>
      <c r="E61" s="133">
        <v>17.27</v>
      </c>
      <c r="F61" s="133">
        <v>19.21</v>
      </c>
      <c r="G61" s="133">
        <v>80.67</v>
      </c>
      <c r="H61" s="133">
        <v>24.02</v>
      </c>
      <c r="I61" s="133">
        <v>5.44</v>
      </c>
      <c r="J61" s="133">
        <v>0.73</v>
      </c>
      <c r="K61" s="133">
        <v>39.340000000000003</v>
      </c>
      <c r="L61" s="133">
        <v>33.72</v>
      </c>
      <c r="M61" s="133">
        <v>51.2</v>
      </c>
      <c r="N61" s="133">
        <v>631.4</v>
      </c>
      <c r="O61" s="133">
        <v>0</v>
      </c>
      <c r="P61" s="133">
        <v>0.72</v>
      </c>
      <c r="Q61" s="133">
        <v>3.35</v>
      </c>
    </row>
    <row r="62" spans="1:17" customFormat="1">
      <c r="A62" s="111" t="s">
        <v>1156</v>
      </c>
      <c r="B62" s="133">
        <v>2.66</v>
      </c>
      <c r="C62" s="133">
        <v>23.62</v>
      </c>
      <c r="D62" s="133">
        <v>15.82</v>
      </c>
      <c r="E62" s="133">
        <v>15.59</v>
      </c>
      <c r="F62" s="133">
        <v>22.35</v>
      </c>
      <c r="G62" s="133">
        <v>80.67</v>
      </c>
      <c r="H62" s="133">
        <v>24.02</v>
      </c>
      <c r="I62" s="133">
        <v>4.8099999999999996</v>
      </c>
      <c r="J62" s="133">
        <v>0.72</v>
      </c>
      <c r="K62" s="133">
        <v>16.13</v>
      </c>
      <c r="L62" s="133">
        <v>33.99</v>
      </c>
      <c r="M62" s="133">
        <v>51</v>
      </c>
      <c r="N62" s="133">
        <v>627.29999999999995</v>
      </c>
      <c r="O62" s="133">
        <v>0</v>
      </c>
      <c r="P62" s="133">
        <v>0.7</v>
      </c>
      <c r="Q62" s="133">
        <v>3.32</v>
      </c>
    </row>
    <row r="63" spans="1:17" customFormat="1">
      <c r="A63" s="111" t="s">
        <v>1157</v>
      </c>
      <c r="B63" s="133">
        <v>2.9</v>
      </c>
      <c r="C63" s="133">
        <v>23.81</v>
      </c>
      <c r="D63" s="133">
        <v>16.12</v>
      </c>
      <c r="E63" s="133">
        <v>12.81</v>
      </c>
      <c r="F63" s="133">
        <v>17.64</v>
      </c>
      <c r="G63" s="133">
        <v>80.67</v>
      </c>
      <c r="H63" s="133">
        <v>24.02</v>
      </c>
      <c r="I63" s="133">
        <v>4.6399999999999997</v>
      </c>
      <c r="J63" s="133">
        <v>0.77</v>
      </c>
      <c r="K63" s="133">
        <v>28.84</v>
      </c>
      <c r="L63" s="133">
        <v>33.909999999999997</v>
      </c>
      <c r="M63" s="133">
        <v>49.97</v>
      </c>
      <c r="N63" s="133">
        <v>621</v>
      </c>
      <c r="O63" s="133">
        <v>0</v>
      </c>
      <c r="P63" s="133">
        <v>0.69</v>
      </c>
      <c r="Q63" s="133">
        <v>3.33</v>
      </c>
    </row>
    <row r="64" spans="1:17" customFormat="1">
      <c r="A64" s="111" t="s">
        <v>1158</v>
      </c>
      <c r="B64" s="150" t="s">
        <v>12</v>
      </c>
      <c r="C64" s="150" t="s">
        <v>12</v>
      </c>
      <c r="D64" s="150" t="s">
        <v>12</v>
      </c>
      <c r="E64" s="133">
        <v>12.52</v>
      </c>
      <c r="F64" s="133">
        <v>17.72</v>
      </c>
      <c r="G64" s="133">
        <v>80.42</v>
      </c>
      <c r="H64" s="133">
        <v>23.88</v>
      </c>
      <c r="I64" s="133">
        <v>4.33</v>
      </c>
      <c r="J64" s="133">
        <v>0.75</v>
      </c>
      <c r="K64" s="133">
        <v>22.8</v>
      </c>
      <c r="L64" s="133">
        <v>33.72</v>
      </c>
      <c r="M64" s="133">
        <v>49.7</v>
      </c>
      <c r="N64" s="133">
        <v>570.79999999999995</v>
      </c>
      <c r="O64" s="133">
        <v>0</v>
      </c>
      <c r="P64" s="150" t="s">
        <v>12</v>
      </c>
      <c r="Q64" s="133">
        <v>3.32</v>
      </c>
    </row>
    <row r="65" spans="1:17" customFormat="1">
      <c r="A65" s="111" t="s">
        <v>1159</v>
      </c>
      <c r="B65" s="150" t="s">
        <v>12</v>
      </c>
      <c r="C65" s="150" t="s">
        <v>12</v>
      </c>
      <c r="D65" s="150" t="s">
        <v>12</v>
      </c>
      <c r="E65" s="133">
        <v>13</v>
      </c>
      <c r="F65" s="133">
        <v>19.760000000000002</v>
      </c>
      <c r="G65" s="133">
        <v>78.45</v>
      </c>
      <c r="H65" s="133">
        <v>22.97</v>
      </c>
      <c r="I65" s="133">
        <v>4.29</v>
      </c>
      <c r="J65" s="133">
        <v>0.43</v>
      </c>
      <c r="K65" s="133">
        <v>32.270000000000003</v>
      </c>
      <c r="L65" s="133">
        <v>34.03</v>
      </c>
      <c r="M65" s="133">
        <v>47.84</v>
      </c>
      <c r="N65" s="133">
        <v>546.20000000000005</v>
      </c>
      <c r="O65" s="133">
        <v>0</v>
      </c>
      <c r="P65" s="150" t="s">
        <v>12</v>
      </c>
      <c r="Q65" s="133">
        <v>3.3</v>
      </c>
    </row>
    <row r="66" spans="1:17" customFormat="1">
      <c r="A66" s="111" t="s">
        <v>1160</v>
      </c>
      <c r="B66" s="133">
        <v>2.82</v>
      </c>
      <c r="C66" s="133">
        <v>20.67</v>
      </c>
      <c r="D66" s="133">
        <v>13.98</v>
      </c>
      <c r="E66" s="133">
        <v>11.14</v>
      </c>
      <c r="F66" s="133">
        <v>16.57</v>
      </c>
      <c r="G66" s="133">
        <v>78.45</v>
      </c>
      <c r="H66" s="133">
        <v>22.97</v>
      </c>
      <c r="I66" s="133">
        <v>8.31</v>
      </c>
      <c r="J66" s="133">
        <v>0.52</v>
      </c>
      <c r="K66" s="133">
        <v>41.86</v>
      </c>
      <c r="L66" s="133">
        <v>33.82</v>
      </c>
      <c r="M66" s="133">
        <v>47.44</v>
      </c>
      <c r="N66" s="133">
        <v>367.2</v>
      </c>
      <c r="O66" s="133">
        <v>0</v>
      </c>
      <c r="P66" s="133">
        <v>0.54</v>
      </c>
      <c r="Q66" s="133">
        <v>3.28</v>
      </c>
    </row>
    <row r="67" spans="1:17" customFormat="1">
      <c r="A67" s="111" t="s">
        <v>1161</v>
      </c>
      <c r="B67" s="133">
        <v>2.97</v>
      </c>
      <c r="C67" s="133">
        <v>24.5</v>
      </c>
      <c r="D67" s="133">
        <v>15.86</v>
      </c>
      <c r="E67" s="133">
        <v>8.86</v>
      </c>
      <c r="F67" s="133">
        <v>12.63</v>
      </c>
      <c r="G67" s="133">
        <v>78.45</v>
      </c>
      <c r="H67" s="133">
        <v>22.97</v>
      </c>
      <c r="I67" s="133">
        <v>104.99</v>
      </c>
      <c r="J67" s="133">
        <v>0.53</v>
      </c>
      <c r="K67" s="133">
        <v>32</v>
      </c>
      <c r="L67" s="133">
        <v>33.479999999999997</v>
      </c>
      <c r="M67" s="133">
        <v>47.88</v>
      </c>
      <c r="N67" s="133">
        <v>129.1</v>
      </c>
      <c r="O67" s="133">
        <v>0</v>
      </c>
      <c r="P67" s="133">
        <v>0.56999999999999995</v>
      </c>
      <c r="Q67" s="133">
        <v>3.28</v>
      </c>
    </row>
    <row r="68" spans="1:17" customFormat="1">
      <c r="A68" s="111" t="s">
        <v>1162</v>
      </c>
      <c r="B68" s="133">
        <v>3.09</v>
      </c>
      <c r="C68" s="133">
        <v>24.84</v>
      </c>
      <c r="D68" s="133">
        <v>16.13</v>
      </c>
      <c r="E68" s="133">
        <v>7.43</v>
      </c>
      <c r="F68" s="133">
        <v>10.23</v>
      </c>
      <c r="G68" s="133">
        <v>77.680000000000007</v>
      </c>
      <c r="H68" s="133">
        <v>22.86</v>
      </c>
      <c r="I68" s="133">
        <v>142.38999999999999</v>
      </c>
      <c r="J68" s="133">
        <v>0.59</v>
      </c>
      <c r="K68" s="133">
        <v>26.86</v>
      </c>
      <c r="L68" s="133">
        <v>32.94</v>
      </c>
      <c r="M68" s="133">
        <v>49.34</v>
      </c>
      <c r="N68" s="133">
        <v>110.2</v>
      </c>
      <c r="O68" s="133">
        <v>0</v>
      </c>
      <c r="P68" s="133">
        <v>0.56000000000000005</v>
      </c>
      <c r="Q68" s="133">
        <v>3.26</v>
      </c>
    </row>
    <row r="69" spans="1:17" customFormat="1">
      <c r="A69" s="111" t="s">
        <v>1163</v>
      </c>
      <c r="B69" s="133">
        <v>3.55</v>
      </c>
      <c r="C69" s="133">
        <v>24.44</v>
      </c>
      <c r="D69" s="133">
        <v>16.29</v>
      </c>
      <c r="E69" s="133">
        <v>6.36</v>
      </c>
      <c r="F69" s="133">
        <v>7.76</v>
      </c>
      <c r="G69" s="133">
        <v>71.52</v>
      </c>
      <c r="H69" s="133">
        <v>22.16</v>
      </c>
      <c r="I69" s="133">
        <v>131.28</v>
      </c>
      <c r="J69" s="133">
        <v>0.49</v>
      </c>
      <c r="K69" s="133">
        <v>46.9</v>
      </c>
      <c r="L69" s="133">
        <v>32.67</v>
      </c>
      <c r="M69" s="133">
        <v>47.85</v>
      </c>
      <c r="N69" s="133">
        <v>98.5</v>
      </c>
      <c r="O69" s="133">
        <v>0</v>
      </c>
      <c r="P69" s="133">
        <v>0.54</v>
      </c>
      <c r="Q69" s="133">
        <v>3.26</v>
      </c>
    </row>
    <row r="70" spans="1:17" customFormat="1">
      <c r="A70" s="111" t="s">
        <v>1164</v>
      </c>
      <c r="B70" s="133">
        <v>4.07</v>
      </c>
      <c r="C70" s="133">
        <v>24.07</v>
      </c>
      <c r="D70" s="133">
        <v>16.510000000000002</v>
      </c>
      <c r="E70" s="133">
        <v>5.71</v>
      </c>
      <c r="F70" s="133">
        <v>8.58</v>
      </c>
      <c r="G70" s="133">
        <v>71.52</v>
      </c>
      <c r="H70" s="133">
        <v>22.16</v>
      </c>
      <c r="I70" s="133">
        <v>123.8</v>
      </c>
      <c r="J70" s="133">
        <v>0.52</v>
      </c>
      <c r="K70" s="133">
        <v>35.340000000000003</v>
      </c>
      <c r="L70" s="133">
        <v>32.520000000000003</v>
      </c>
      <c r="M70" s="133">
        <v>48.77</v>
      </c>
      <c r="N70" s="133">
        <v>186.1</v>
      </c>
      <c r="O70" s="133">
        <v>0</v>
      </c>
      <c r="P70" s="133">
        <v>0.53</v>
      </c>
      <c r="Q70" s="133">
        <v>3.3</v>
      </c>
    </row>
    <row r="71" spans="1:17" customFormat="1">
      <c r="A71" s="111" t="s">
        <v>1165</v>
      </c>
      <c r="B71" s="133">
        <v>4.5599999999999996</v>
      </c>
      <c r="C71" s="133">
        <v>24.05</v>
      </c>
      <c r="D71" s="133">
        <v>16.899999999999999</v>
      </c>
      <c r="E71" s="133">
        <v>6.09</v>
      </c>
      <c r="F71" s="133">
        <v>8.59</v>
      </c>
      <c r="G71" s="133">
        <v>71.52</v>
      </c>
      <c r="H71" s="133">
        <v>22.16</v>
      </c>
      <c r="I71" s="133">
        <v>121.19</v>
      </c>
      <c r="J71" s="133">
        <v>0.55000000000000004</v>
      </c>
      <c r="K71" s="133">
        <v>30.55</v>
      </c>
      <c r="L71" s="133">
        <v>32.549999999999997</v>
      </c>
      <c r="M71" s="133">
        <v>44.04</v>
      </c>
      <c r="N71" s="133">
        <v>73</v>
      </c>
      <c r="O71" s="133">
        <v>0</v>
      </c>
      <c r="P71" s="133">
        <v>0.53</v>
      </c>
      <c r="Q71" s="133">
        <v>3.29</v>
      </c>
    </row>
    <row r="72" spans="1:17" customFormat="1">
      <c r="A72" s="111" t="s">
        <v>1166</v>
      </c>
      <c r="B72" s="133">
        <v>4.5599999999999996</v>
      </c>
      <c r="C72" s="133">
        <v>24.78</v>
      </c>
      <c r="D72" s="133">
        <v>17.28</v>
      </c>
      <c r="E72" s="133">
        <v>6.1</v>
      </c>
      <c r="F72" s="133">
        <v>13.7</v>
      </c>
      <c r="G72" s="133">
        <v>70.53</v>
      </c>
      <c r="H72" s="133">
        <v>21.6</v>
      </c>
      <c r="I72" s="133">
        <v>112.19</v>
      </c>
      <c r="J72" s="133">
        <v>0.54</v>
      </c>
      <c r="K72" s="133">
        <v>36.22</v>
      </c>
      <c r="L72" s="133">
        <v>32.43</v>
      </c>
      <c r="M72" s="133">
        <v>46.18</v>
      </c>
      <c r="N72" s="133">
        <v>55.7</v>
      </c>
      <c r="O72" s="133">
        <v>0</v>
      </c>
      <c r="P72" s="133">
        <v>0.53</v>
      </c>
      <c r="Q72" s="133">
        <v>3.31</v>
      </c>
    </row>
    <row r="73" spans="1:17" customFormat="1">
      <c r="A73" s="111" t="s">
        <v>1167</v>
      </c>
      <c r="B73" s="133">
        <v>4.7699999999999996</v>
      </c>
      <c r="C73" s="133">
        <v>24.91</v>
      </c>
      <c r="D73" s="133">
        <v>17.52</v>
      </c>
      <c r="E73" s="133">
        <v>6.33</v>
      </c>
      <c r="F73" s="133">
        <v>12.71</v>
      </c>
      <c r="G73" s="133">
        <v>62.57</v>
      </c>
      <c r="H73" s="133">
        <v>18.36</v>
      </c>
      <c r="I73" s="133">
        <v>107.85</v>
      </c>
      <c r="J73" s="133">
        <v>0.54</v>
      </c>
      <c r="K73" s="133">
        <v>47.99</v>
      </c>
      <c r="L73" s="133">
        <v>32.15</v>
      </c>
      <c r="M73" s="133">
        <v>45.79</v>
      </c>
      <c r="N73" s="133">
        <v>46.3</v>
      </c>
      <c r="O73" s="133">
        <v>0</v>
      </c>
      <c r="P73" s="133">
        <v>0.51</v>
      </c>
      <c r="Q73" s="133">
        <v>3.34</v>
      </c>
    </row>
    <row r="74" spans="1:17" customFormat="1">
      <c r="A74" s="111" t="s">
        <v>1168</v>
      </c>
      <c r="B74" s="133">
        <v>5.37</v>
      </c>
      <c r="C74" s="133">
        <v>26.67</v>
      </c>
      <c r="D74" s="133">
        <v>18.920000000000002</v>
      </c>
      <c r="E74" s="133">
        <v>6.71</v>
      </c>
      <c r="F74" s="133">
        <v>12.41</v>
      </c>
      <c r="G74" s="133">
        <v>62.57</v>
      </c>
      <c r="H74" s="133">
        <v>18.36</v>
      </c>
      <c r="I74" s="133">
        <v>94.56</v>
      </c>
      <c r="J74" s="133">
        <v>0.33</v>
      </c>
      <c r="K74" s="133">
        <v>52.15</v>
      </c>
      <c r="L74" s="133">
        <v>31.99</v>
      </c>
      <c r="M74" s="133">
        <v>48.95</v>
      </c>
      <c r="N74" s="133">
        <v>47.2</v>
      </c>
      <c r="O74" s="133">
        <v>0</v>
      </c>
      <c r="P74" s="133">
        <v>0.54</v>
      </c>
      <c r="Q74" s="133">
        <v>3.35</v>
      </c>
    </row>
    <row r="75" spans="1:17" customFormat="1">
      <c r="A75" s="111" t="s">
        <v>1169</v>
      </c>
      <c r="B75" s="133">
        <v>5.56</v>
      </c>
      <c r="C75" s="133">
        <v>27.03</v>
      </c>
      <c r="D75" s="133">
        <v>19.25</v>
      </c>
      <c r="E75" s="133">
        <v>6.87</v>
      </c>
      <c r="F75" s="133">
        <v>12.11</v>
      </c>
      <c r="G75" s="133">
        <v>62.57</v>
      </c>
      <c r="H75" s="133">
        <v>18.36</v>
      </c>
      <c r="I75" s="133">
        <v>91.83</v>
      </c>
      <c r="J75" s="133">
        <v>0.24</v>
      </c>
      <c r="K75" s="133">
        <v>69.3</v>
      </c>
      <c r="L75" s="133">
        <v>31.85</v>
      </c>
      <c r="M75" s="133">
        <v>52.57</v>
      </c>
      <c r="N75" s="133">
        <v>27.6</v>
      </c>
      <c r="O75" s="133">
        <v>0</v>
      </c>
      <c r="P75" s="133">
        <v>0.55000000000000004</v>
      </c>
      <c r="Q75" s="133">
        <v>3.38</v>
      </c>
    </row>
    <row r="76" spans="1:17" customFormat="1">
      <c r="A76" s="111" t="s">
        <v>1170</v>
      </c>
      <c r="B76" s="133">
        <v>6.32</v>
      </c>
      <c r="C76" s="133">
        <v>28.73</v>
      </c>
      <c r="D76" s="133">
        <v>20.75</v>
      </c>
      <c r="E76" s="133">
        <v>6.94</v>
      </c>
      <c r="F76" s="133">
        <v>11.73</v>
      </c>
      <c r="G76" s="133">
        <v>63.72</v>
      </c>
      <c r="H76" s="133">
        <v>18.559999999999999</v>
      </c>
      <c r="I76" s="133">
        <v>84.57</v>
      </c>
      <c r="J76" s="133">
        <v>0.16</v>
      </c>
      <c r="K76" s="133">
        <v>48.28</v>
      </c>
      <c r="L76" s="133">
        <v>31.46</v>
      </c>
      <c r="M76" s="133">
        <v>55.22</v>
      </c>
      <c r="N76" s="133">
        <v>17.2</v>
      </c>
      <c r="O76" s="133">
        <v>0</v>
      </c>
      <c r="P76" s="133">
        <v>0.57999999999999996</v>
      </c>
      <c r="Q76" s="133">
        <v>3.37</v>
      </c>
    </row>
    <row r="77" spans="1:17" customFormat="1">
      <c r="A77" s="111" t="s">
        <v>1171</v>
      </c>
      <c r="B77" s="133">
        <v>6.57</v>
      </c>
      <c r="C77" s="133">
        <v>29.6</v>
      </c>
      <c r="D77" s="133">
        <v>21.41</v>
      </c>
      <c r="E77" s="133">
        <v>7.3</v>
      </c>
      <c r="F77" s="133">
        <v>7.78</v>
      </c>
      <c r="G77" s="133">
        <v>72.930000000000007</v>
      </c>
      <c r="H77" s="133">
        <v>19.850000000000001</v>
      </c>
      <c r="I77" s="133">
        <v>80.84</v>
      </c>
      <c r="J77" s="133">
        <v>0.04</v>
      </c>
      <c r="K77" s="133">
        <v>179.38</v>
      </c>
      <c r="L77" s="133">
        <v>30.93</v>
      </c>
      <c r="M77" s="133">
        <v>59.67</v>
      </c>
      <c r="N77" s="133">
        <v>7.1</v>
      </c>
      <c r="O77" s="133">
        <v>0</v>
      </c>
      <c r="P77" s="133">
        <v>0.59</v>
      </c>
      <c r="Q77" s="133">
        <v>3.41</v>
      </c>
    </row>
    <row r="78" spans="1:17" customFormat="1">
      <c r="A78" s="111" t="s">
        <v>1172</v>
      </c>
      <c r="B78" s="133">
        <v>6.39</v>
      </c>
      <c r="C78" s="133">
        <v>28.39</v>
      </c>
      <c r="D78" s="133">
        <v>20.63</v>
      </c>
      <c r="E78" s="133">
        <v>6.76</v>
      </c>
      <c r="F78" s="133">
        <v>8.26</v>
      </c>
      <c r="G78" s="133">
        <v>72.930000000000007</v>
      </c>
      <c r="H78" s="133">
        <v>19.850000000000001</v>
      </c>
      <c r="I78" s="133">
        <v>74.819999999999993</v>
      </c>
      <c r="J78" s="133">
        <v>0.26</v>
      </c>
      <c r="K78" s="133">
        <v>164.75</v>
      </c>
      <c r="L78" s="133">
        <v>30.28</v>
      </c>
      <c r="M78" s="133">
        <v>63.9</v>
      </c>
      <c r="N78" s="133">
        <v>0.3</v>
      </c>
      <c r="O78" s="133">
        <v>0</v>
      </c>
      <c r="P78" s="133">
        <v>0.57999999999999996</v>
      </c>
      <c r="Q78" s="133">
        <v>3.44</v>
      </c>
    </row>
    <row r="79" spans="1:17" customFormat="1">
      <c r="A79" s="111" t="s">
        <v>1173</v>
      </c>
      <c r="B79" s="133">
        <v>6.36</v>
      </c>
      <c r="C79" s="133">
        <v>27.93</v>
      </c>
      <c r="D79" s="133">
        <v>20.37</v>
      </c>
      <c r="E79" s="133">
        <v>6.69</v>
      </c>
      <c r="F79" s="133">
        <v>7.41</v>
      </c>
      <c r="G79" s="133">
        <v>72.930000000000007</v>
      </c>
      <c r="H79" s="133">
        <v>19.850000000000001</v>
      </c>
      <c r="I79" s="133">
        <v>75.02</v>
      </c>
      <c r="J79" s="133">
        <v>0.32</v>
      </c>
      <c r="K79" s="133">
        <v>163.72</v>
      </c>
      <c r="L79" s="133">
        <v>29.68</v>
      </c>
      <c r="M79" s="133">
        <v>68.63</v>
      </c>
      <c r="N79" s="133">
        <v>0</v>
      </c>
      <c r="O79" s="133">
        <v>0</v>
      </c>
      <c r="P79" s="133">
        <v>0.59</v>
      </c>
      <c r="Q79" s="133">
        <v>3.46</v>
      </c>
    </row>
    <row r="80" spans="1:17" customFormat="1">
      <c r="A80" s="111" t="s">
        <v>1174</v>
      </c>
      <c r="B80" s="133">
        <v>7.32</v>
      </c>
      <c r="C80" s="133">
        <v>29.86</v>
      </c>
      <c r="D80" s="133">
        <v>22.15</v>
      </c>
      <c r="E80" s="133">
        <v>7.09</v>
      </c>
      <c r="F80" s="133">
        <v>4.97</v>
      </c>
      <c r="G80" s="133">
        <v>74.28</v>
      </c>
      <c r="H80" s="133">
        <v>19.77</v>
      </c>
      <c r="I80" s="133">
        <v>73.2</v>
      </c>
      <c r="J80" s="133">
        <v>0.21</v>
      </c>
      <c r="K80" s="133">
        <v>166.47</v>
      </c>
      <c r="L80" s="133">
        <v>29.22</v>
      </c>
      <c r="M80" s="133">
        <v>67.72</v>
      </c>
      <c r="N80" s="133">
        <v>0</v>
      </c>
      <c r="O80" s="133">
        <v>0</v>
      </c>
      <c r="P80" s="133">
        <v>0.63</v>
      </c>
      <c r="Q80" s="133">
        <v>3.5</v>
      </c>
    </row>
    <row r="81" spans="1:17" customFormat="1">
      <c r="A81" s="111" t="s">
        <v>1175</v>
      </c>
      <c r="B81" s="133">
        <v>7.94</v>
      </c>
      <c r="C81" s="133">
        <v>31.27</v>
      </c>
      <c r="D81" s="133">
        <v>23.38</v>
      </c>
      <c r="E81" s="133">
        <v>5.95</v>
      </c>
      <c r="F81" s="133">
        <v>3.29</v>
      </c>
      <c r="G81" s="133">
        <v>85.06</v>
      </c>
      <c r="H81" s="133">
        <v>19.21</v>
      </c>
      <c r="I81" s="133">
        <v>70.540000000000006</v>
      </c>
      <c r="J81" s="133">
        <v>0.17</v>
      </c>
      <c r="K81" s="133">
        <v>188.47</v>
      </c>
      <c r="L81" s="133">
        <v>28.6</v>
      </c>
      <c r="M81" s="133">
        <v>72.42</v>
      </c>
      <c r="N81" s="133">
        <v>0</v>
      </c>
      <c r="O81" s="133">
        <v>0</v>
      </c>
      <c r="P81" s="133">
        <v>0.67</v>
      </c>
      <c r="Q81" s="133">
        <v>3.54</v>
      </c>
    </row>
    <row r="82" spans="1:17" customFormat="1">
      <c r="A82" s="111" t="s">
        <v>1176</v>
      </c>
      <c r="B82" s="133">
        <v>8.18</v>
      </c>
      <c r="C82" s="133">
        <v>29.56</v>
      </c>
      <c r="D82" s="133">
        <v>22.68</v>
      </c>
      <c r="E82" s="133">
        <v>6.21</v>
      </c>
      <c r="F82" s="133">
        <v>3.16</v>
      </c>
      <c r="G82" s="133">
        <v>85.06</v>
      </c>
      <c r="H82" s="133">
        <v>19.21</v>
      </c>
      <c r="I82" s="133">
        <v>66.23</v>
      </c>
      <c r="J82" s="133">
        <v>0.16</v>
      </c>
      <c r="K82" s="133">
        <v>169.19</v>
      </c>
      <c r="L82" s="133">
        <v>28.05</v>
      </c>
      <c r="M82" s="133">
        <v>78.680000000000007</v>
      </c>
      <c r="N82" s="133">
        <v>0</v>
      </c>
      <c r="O82" s="133">
        <v>0</v>
      </c>
      <c r="P82" s="133">
        <v>0.65</v>
      </c>
      <c r="Q82" s="133">
        <v>3.6</v>
      </c>
    </row>
    <row r="83" spans="1:17" customFormat="1">
      <c r="A83" s="111" t="s">
        <v>1177</v>
      </c>
      <c r="B83" s="133">
        <v>8.5299999999999994</v>
      </c>
      <c r="C83" s="133">
        <v>28.86</v>
      </c>
      <c r="D83" s="133">
        <v>22.59</v>
      </c>
      <c r="E83" s="133">
        <v>6.23</v>
      </c>
      <c r="F83" s="133">
        <v>3.59</v>
      </c>
      <c r="G83" s="133">
        <v>85.06</v>
      </c>
      <c r="H83" s="133">
        <v>19.21</v>
      </c>
      <c r="I83" s="133">
        <v>64.290000000000006</v>
      </c>
      <c r="J83" s="133">
        <v>0.15</v>
      </c>
      <c r="K83" s="133">
        <v>196.3</v>
      </c>
      <c r="L83" s="133">
        <v>27.61</v>
      </c>
      <c r="M83" s="133">
        <v>81.3</v>
      </c>
      <c r="N83" s="133">
        <v>0</v>
      </c>
      <c r="O83" s="133">
        <v>0</v>
      </c>
      <c r="P83" s="133">
        <v>0.67</v>
      </c>
      <c r="Q83" s="133">
        <v>3.63</v>
      </c>
    </row>
    <row r="84" spans="1:17" customFormat="1">
      <c r="A84" s="111" t="s">
        <v>1178</v>
      </c>
      <c r="B84" s="133">
        <v>8.82</v>
      </c>
      <c r="C84" s="133">
        <v>28.33</v>
      </c>
      <c r="D84" s="133">
        <v>22.55</v>
      </c>
      <c r="E84" s="133">
        <v>6.13</v>
      </c>
      <c r="F84" s="133">
        <v>3.46</v>
      </c>
      <c r="G84" s="133">
        <v>84.89</v>
      </c>
      <c r="H84" s="133">
        <v>19.21</v>
      </c>
      <c r="I84" s="133">
        <v>64.569999999999993</v>
      </c>
      <c r="J84" s="133">
        <v>0.14000000000000001</v>
      </c>
      <c r="K84" s="133">
        <v>207.68</v>
      </c>
      <c r="L84" s="133">
        <v>27.37</v>
      </c>
      <c r="M84" s="133">
        <v>80.650000000000006</v>
      </c>
      <c r="N84" s="133">
        <v>0</v>
      </c>
      <c r="O84" s="133">
        <v>0</v>
      </c>
      <c r="P84" s="133">
        <v>0.67</v>
      </c>
      <c r="Q84" s="133">
        <v>3.65</v>
      </c>
    </row>
    <row r="85" spans="1:17" customFormat="1">
      <c r="A85" s="111" t="s">
        <v>1179</v>
      </c>
      <c r="B85" s="133">
        <v>9.07</v>
      </c>
      <c r="C85" s="133">
        <v>28.27</v>
      </c>
      <c r="D85" s="133">
        <v>22.72</v>
      </c>
      <c r="E85" s="133">
        <v>6.34</v>
      </c>
      <c r="F85" s="133">
        <v>3.17</v>
      </c>
      <c r="G85" s="133">
        <v>83.56</v>
      </c>
      <c r="H85" s="133">
        <v>19.25</v>
      </c>
      <c r="I85" s="133">
        <v>61.83</v>
      </c>
      <c r="J85" s="133">
        <v>0.11</v>
      </c>
      <c r="K85" s="133">
        <v>216.01</v>
      </c>
      <c r="L85" s="133">
        <v>27.14</v>
      </c>
      <c r="M85" s="133">
        <v>81.39</v>
      </c>
      <c r="N85" s="133">
        <v>0</v>
      </c>
      <c r="O85" s="133">
        <v>0</v>
      </c>
      <c r="P85" s="133">
        <v>0.68</v>
      </c>
      <c r="Q85" s="133">
        <v>3.66</v>
      </c>
    </row>
    <row r="86" spans="1:17" customFormat="1">
      <c r="A86" s="111" t="s">
        <v>1180</v>
      </c>
      <c r="B86" s="133">
        <v>9.23</v>
      </c>
      <c r="C86" s="133">
        <v>28.17</v>
      </c>
      <c r="D86" s="133">
        <v>22.8</v>
      </c>
      <c r="E86" s="133">
        <v>6.33</v>
      </c>
      <c r="F86" s="133">
        <v>2.96</v>
      </c>
      <c r="G86" s="133">
        <v>83.56</v>
      </c>
      <c r="H86" s="133">
        <v>19.25</v>
      </c>
      <c r="I86" s="133">
        <v>59.66</v>
      </c>
      <c r="J86" s="133">
        <v>0.13</v>
      </c>
      <c r="K86" s="133">
        <v>185.35</v>
      </c>
      <c r="L86" s="133">
        <v>27.14</v>
      </c>
      <c r="M86" s="133">
        <v>83.06</v>
      </c>
      <c r="N86" s="133">
        <v>0</v>
      </c>
      <c r="O86" s="133">
        <v>0</v>
      </c>
      <c r="P86" s="133">
        <v>0.69</v>
      </c>
      <c r="Q86" s="133">
        <v>3.67</v>
      </c>
    </row>
    <row r="87" spans="1:17" customFormat="1">
      <c r="A87" s="111" t="s">
        <v>1181</v>
      </c>
      <c r="B87" s="133">
        <v>9.4499999999999993</v>
      </c>
      <c r="C87" s="133">
        <v>27.59</v>
      </c>
      <c r="D87" s="133">
        <v>22.67</v>
      </c>
      <c r="E87" s="133">
        <v>6.39</v>
      </c>
      <c r="F87" s="133">
        <v>2.82</v>
      </c>
      <c r="G87" s="133">
        <v>83.56</v>
      </c>
      <c r="H87" s="133">
        <v>19.25</v>
      </c>
      <c r="I87" s="133">
        <v>57.36</v>
      </c>
      <c r="J87" s="133">
        <v>0.16</v>
      </c>
      <c r="K87" s="133">
        <v>161.85</v>
      </c>
      <c r="L87" s="133">
        <v>26.85</v>
      </c>
      <c r="M87" s="133">
        <v>84.72</v>
      </c>
      <c r="N87" s="133">
        <v>0</v>
      </c>
      <c r="O87" s="133">
        <v>0</v>
      </c>
      <c r="P87" s="133">
        <v>0.7</v>
      </c>
      <c r="Q87" s="133">
        <v>3.71</v>
      </c>
    </row>
    <row r="88" spans="1:17" customFormat="1">
      <c r="A88" s="111" t="s">
        <v>1182</v>
      </c>
      <c r="B88" s="133">
        <v>9.6999999999999993</v>
      </c>
      <c r="C88" s="133">
        <v>27.6</v>
      </c>
      <c r="D88" s="133">
        <v>22.87</v>
      </c>
      <c r="E88" s="133">
        <v>6.28</v>
      </c>
      <c r="F88" s="133">
        <v>2.86</v>
      </c>
      <c r="G88" s="133">
        <v>81.849999999999994</v>
      </c>
      <c r="H88" s="133">
        <v>19.190000000000001</v>
      </c>
      <c r="I88" s="133">
        <v>54.71</v>
      </c>
      <c r="J88" s="133">
        <v>0.14000000000000001</v>
      </c>
      <c r="K88" s="133">
        <v>151</v>
      </c>
      <c r="L88" s="133">
        <v>26.84</v>
      </c>
      <c r="M88" s="133">
        <v>81.98</v>
      </c>
      <c r="N88" s="133">
        <v>0</v>
      </c>
      <c r="O88" s="133">
        <v>0</v>
      </c>
      <c r="P88" s="133">
        <v>0.71</v>
      </c>
      <c r="Q88" s="133">
        <v>3.75</v>
      </c>
    </row>
    <row r="89" spans="1:17" customFormat="1">
      <c r="A89" s="111" t="s">
        <v>1183</v>
      </c>
      <c r="B89" s="133">
        <v>9.82</v>
      </c>
      <c r="C89" s="133">
        <v>27.94</v>
      </c>
      <c r="D89" s="133">
        <v>23.15</v>
      </c>
      <c r="E89" s="133">
        <v>6.99</v>
      </c>
      <c r="F89" s="133">
        <v>2.74</v>
      </c>
      <c r="G89" s="133">
        <v>68.17</v>
      </c>
      <c r="H89" s="133">
        <v>18.829999999999998</v>
      </c>
      <c r="I89" s="133">
        <v>52.93</v>
      </c>
      <c r="J89" s="133">
        <v>0.1</v>
      </c>
      <c r="K89" s="133">
        <v>167.4</v>
      </c>
      <c r="L89" s="133">
        <v>26.56</v>
      </c>
      <c r="M89" s="133">
        <v>85.21</v>
      </c>
      <c r="N89" s="133">
        <v>0</v>
      </c>
      <c r="O89" s="133">
        <v>0</v>
      </c>
      <c r="P89" s="133">
        <v>0.72</v>
      </c>
      <c r="Q89" s="133">
        <v>3.73</v>
      </c>
    </row>
    <row r="90" spans="1:17" customFormat="1">
      <c r="A90" s="111" t="s">
        <v>1184</v>
      </c>
      <c r="B90" s="133">
        <v>10.18</v>
      </c>
      <c r="C90" s="133">
        <v>27.37</v>
      </c>
      <c r="D90" s="133">
        <v>23.14</v>
      </c>
      <c r="E90" s="133">
        <v>6.95</v>
      </c>
      <c r="F90" s="133">
        <v>2.77</v>
      </c>
      <c r="G90" s="133">
        <v>68.17</v>
      </c>
      <c r="H90" s="133">
        <v>18.829999999999998</v>
      </c>
      <c r="I90" s="133">
        <v>50.89</v>
      </c>
      <c r="J90" s="133">
        <v>0.12</v>
      </c>
      <c r="K90" s="133">
        <v>198.76</v>
      </c>
      <c r="L90" s="133">
        <v>26.46</v>
      </c>
      <c r="M90" s="133">
        <v>84.99</v>
      </c>
      <c r="N90" s="133">
        <v>0</v>
      </c>
      <c r="O90" s="133">
        <v>0</v>
      </c>
      <c r="P90" s="133">
        <v>0.73</v>
      </c>
      <c r="Q90" s="133">
        <v>3.75</v>
      </c>
    </row>
    <row r="91" spans="1:17" customFormat="1">
      <c r="A91" s="111" t="s">
        <v>1185</v>
      </c>
      <c r="B91" s="133">
        <v>10.48</v>
      </c>
      <c r="C91" s="133">
        <v>26.9</v>
      </c>
      <c r="D91" s="133">
        <v>23.13</v>
      </c>
      <c r="E91" s="133">
        <v>6.98</v>
      </c>
      <c r="F91" s="133">
        <v>2.74</v>
      </c>
      <c r="G91" s="133">
        <v>68.17</v>
      </c>
      <c r="H91" s="133">
        <v>18.829999999999998</v>
      </c>
      <c r="I91" s="133">
        <v>48.97</v>
      </c>
      <c r="J91" s="133">
        <v>0.14000000000000001</v>
      </c>
      <c r="K91" s="133">
        <v>230.96</v>
      </c>
      <c r="L91" s="133">
        <v>26.19</v>
      </c>
      <c r="M91" s="133">
        <v>85.29</v>
      </c>
      <c r="N91" s="133">
        <v>0</v>
      </c>
      <c r="O91" s="133">
        <v>0</v>
      </c>
      <c r="P91" s="133">
        <v>0.74</v>
      </c>
      <c r="Q91" s="133">
        <v>3.77</v>
      </c>
    </row>
    <row r="92" spans="1:17" customFormat="1">
      <c r="A92" s="111" t="s">
        <v>1186</v>
      </c>
      <c r="B92" s="133">
        <v>10.66</v>
      </c>
      <c r="C92" s="133">
        <v>27.31</v>
      </c>
      <c r="D92" s="133">
        <v>23.5</v>
      </c>
      <c r="E92" s="133">
        <v>7.08</v>
      </c>
      <c r="F92" s="133">
        <v>2.58</v>
      </c>
      <c r="G92" s="133">
        <v>68.16</v>
      </c>
      <c r="H92" s="133">
        <v>18.82</v>
      </c>
      <c r="I92" s="133">
        <v>47.07</v>
      </c>
      <c r="J92" s="133">
        <v>0.11</v>
      </c>
      <c r="K92" s="133">
        <v>217.71</v>
      </c>
      <c r="L92" s="133">
        <v>26.15</v>
      </c>
      <c r="M92" s="133">
        <v>84.56</v>
      </c>
      <c r="N92" s="133">
        <v>0</v>
      </c>
      <c r="O92" s="133">
        <v>0</v>
      </c>
      <c r="P92" s="133">
        <v>0.74</v>
      </c>
      <c r="Q92" s="133">
        <v>3.74</v>
      </c>
    </row>
    <row r="93" spans="1:17" customFormat="1">
      <c r="A93" s="111" t="s">
        <v>1187</v>
      </c>
      <c r="B93" s="133">
        <v>11.22</v>
      </c>
      <c r="C93" s="133">
        <v>25.36</v>
      </c>
      <c r="D93" s="133">
        <v>22.92</v>
      </c>
      <c r="E93" s="133">
        <v>6.98</v>
      </c>
      <c r="F93" s="133">
        <v>3.19</v>
      </c>
      <c r="G93" s="133">
        <v>68.040000000000006</v>
      </c>
      <c r="H93" s="133">
        <v>18.809999999999999</v>
      </c>
      <c r="I93" s="133">
        <v>45.34</v>
      </c>
      <c r="J93" s="133">
        <v>0.11</v>
      </c>
      <c r="K93" s="133">
        <v>170.45</v>
      </c>
      <c r="L93" s="133">
        <v>26.16</v>
      </c>
      <c r="M93" s="133">
        <v>85.95</v>
      </c>
      <c r="N93" s="133">
        <v>0</v>
      </c>
      <c r="O93" s="133">
        <v>0</v>
      </c>
      <c r="P93" s="133">
        <v>0.73</v>
      </c>
      <c r="Q93" s="133">
        <v>3.78</v>
      </c>
    </row>
    <row r="94" spans="1:17" customFormat="1">
      <c r="A94" s="111" t="s">
        <v>1188</v>
      </c>
      <c r="B94" s="133">
        <v>11.57</v>
      </c>
      <c r="C94" s="133">
        <v>23.3</v>
      </c>
      <c r="D94" s="133">
        <v>22.13</v>
      </c>
      <c r="E94" s="133">
        <v>6.28</v>
      </c>
      <c r="F94" s="133">
        <v>3.56</v>
      </c>
      <c r="G94" s="133">
        <v>68.040000000000006</v>
      </c>
      <c r="H94" s="133">
        <v>18.809999999999999</v>
      </c>
      <c r="I94" s="133">
        <v>44.06</v>
      </c>
      <c r="J94" s="133">
        <v>0.08</v>
      </c>
      <c r="K94" s="133">
        <v>204.89</v>
      </c>
      <c r="L94" s="133">
        <v>25.97</v>
      </c>
      <c r="M94" s="133">
        <v>89.36</v>
      </c>
      <c r="N94" s="133">
        <v>0</v>
      </c>
      <c r="O94" s="133">
        <v>0</v>
      </c>
      <c r="P94" s="133">
        <v>0.73</v>
      </c>
      <c r="Q94" s="133">
        <v>3.77</v>
      </c>
    </row>
    <row r="95" spans="1:17" customFormat="1">
      <c r="A95" s="111" t="s">
        <v>1189</v>
      </c>
      <c r="B95" s="133">
        <v>11.91</v>
      </c>
      <c r="C95" s="133">
        <v>22.32</v>
      </c>
      <c r="D95" s="133">
        <v>21.89</v>
      </c>
      <c r="E95" s="133">
        <v>6.26</v>
      </c>
      <c r="F95" s="133">
        <v>3.51</v>
      </c>
      <c r="G95" s="133">
        <v>68.040000000000006</v>
      </c>
      <c r="H95" s="133">
        <v>18.809999999999999</v>
      </c>
      <c r="I95" s="133">
        <v>43.7</v>
      </c>
      <c r="J95" s="133">
        <v>0.1</v>
      </c>
      <c r="K95" s="133">
        <v>188.32</v>
      </c>
      <c r="L95" s="133">
        <v>25.84</v>
      </c>
      <c r="M95" s="133">
        <v>85.78</v>
      </c>
      <c r="N95" s="133">
        <v>0</v>
      </c>
      <c r="O95" s="133">
        <v>0</v>
      </c>
      <c r="P95" s="133">
        <v>0.72</v>
      </c>
      <c r="Q95" s="133">
        <v>3.73</v>
      </c>
    </row>
    <row r="96" spans="1:17" customFormat="1">
      <c r="A96" s="111" t="s">
        <v>1190</v>
      </c>
      <c r="B96" s="133">
        <v>11.95</v>
      </c>
      <c r="C96" s="133">
        <v>20.94</v>
      </c>
      <c r="D96" s="133">
        <v>21.2</v>
      </c>
      <c r="E96" s="133">
        <v>6.06</v>
      </c>
      <c r="F96" s="133">
        <v>4.03</v>
      </c>
      <c r="G96" s="133">
        <v>67.19</v>
      </c>
      <c r="H96" s="133">
        <v>18.850000000000001</v>
      </c>
      <c r="I96" s="133">
        <v>42.21</v>
      </c>
      <c r="J96" s="133">
        <v>0.11</v>
      </c>
      <c r="K96" s="133">
        <v>229.56</v>
      </c>
      <c r="L96" s="133">
        <v>25.67</v>
      </c>
      <c r="M96" s="133">
        <v>87.81</v>
      </c>
      <c r="N96" s="133">
        <v>0</v>
      </c>
      <c r="O96" s="133">
        <v>0</v>
      </c>
      <c r="P96" s="133">
        <v>0.71</v>
      </c>
      <c r="Q96" s="133">
        <v>3.72</v>
      </c>
    </row>
    <row r="97" spans="1:22" customFormat="1">
      <c r="A97" s="111" t="s">
        <v>1191</v>
      </c>
      <c r="B97" s="133">
        <v>11.99</v>
      </c>
      <c r="C97" s="133">
        <v>20.2</v>
      </c>
      <c r="D97" s="133">
        <v>20.84</v>
      </c>
      <c r="E97" s="133">
        <v>6.51</v>
      </c>
      <c r="F97" s="133">
        <v>4.42</v>
      </c>
      <c r="G97" s="133">
        <v>60.38</v>
      </c>
      <c r="H97" s="133">
        <v>19.059999999999999</v>
      </c>
      <c r="I97" s="133">
        <v>41.79</v>
      </c>
      <c r="J97" s="133">
        <v>0.12</v>
      </c>
      <c r="K97" s="133">
        <v>234.76</v>
      </c>
      <c r="L97" s="133">
        <v>25.61</v>
      </c>
      <c r="M97" s="133">
        <v>85.34</v>
      </c>
      <c r="N97" s="133">
        <v>0</v>
      </c>
      <c r="O97" s="133">
        <v>0</v>
      </c>
      <c r="P97" s="133">
        <v>0.7</v>
      </c>
      <c r="Q97" s="133">
        <v>3.7</v>
      </c>
    </row>
    <row r="98" spans="1:22" customFormat="1">
      <c r="A98" s="111" t="s">
        <v>1192</v>
      </c>
      <c r="B98" s="133">
        <v>11.81</v>
      </c>
      <c r="C98" s="133">
        <v>19.600000000000001</v>
      </c>
      <c r="D98" s="133">
        <v>20.38</v>
      </c>
      <c r="E98" s="133">
        <v>6.22</v>
      </c>
      <c r="F98" s="133">
        <v>4.9800000000000004</v>
      </c>
      <c r="G98" s="133">
        <v>60.38</v>
      </c>
      <c r="H98" s="133">
        <v>19.059999999999999</v>
      </c>
      <c r="I98" s="133">
        <v>39.1</v>
      </c>
      <c r="J98" s="133">
        <v>0.1</v>
      </c>
      <c r="K98" s="133">
        <v>205.13</v>
      </c>
      <c r="L98" s="133">
        <v>25.6</v>
      </c>
      <c r="M98" s="133">
        <v>85.08</v>
      </c>
      <c r="N98" s="133">
        <v>0</v>
      </c>
      <c r="O98" s="133">
        <v>0</v>
      </c>
      <c r="P98" s="133">
        <v>0.69</v>
      </c>
      <c r="Q98" s="133">
        <v>3.73</v>
      </c>
    </row>
    <row r="99" spans="1:22" customFormat="1">
      <c r="A99" s="111" t="s">
        <v>1193</v>
      </c>
      <c r="B99" s="133">
        <v>11.65</v>
      </c>
      <c r="C99" s="133">
        <v>19.010000000000002</v>
      </c>
      <c r="D99" s="133">
        <v>19.95</v>
      </c>
      <c r="E99" s="133">
        <v>6.38</v>
      </c>
      <c r="F99" s="133">
        <v>5.52</v>
      </c>
      <c r="G99" s="133">
        <v>60.38</v>
      </c>
      <c r="H99" s="133">
        <v>19.059999999999999</v>
      </c>
      <c r="I99" s="133">
        <v>37.24</v>
      </c>
      <c r="J99" s="133">
        <v>0.09</v>
      </c>
      <c r="K99" s="133">
        <v>235.22</v>
      </c>
      <c r="L99" s="133">
        <v>25.65</v>
      </c>
      <c r="M99" s="133">
        <v>85.13</v>
      </c>
      <c r="N99" s="133">
        <v>0</v>
      </c>
      <c r="O99" s="133">
        <v>0</v>
      </c>
      <c r="P99" s="133">
        <v>0.68</v>
      </c>
      <c r="Q99" s="133">
        <v>3.71</v>
      </c>
    </row>
    <row r="100" spans="1:22" customFormat="1">
      <c r="A100" s="111" t="s">
        <v>1194</v>
      </c>
      <c r="B100" s="133">
        <v>12.02</v>
      </c>
      <c r="C100" s="133">
        <v>21.16</v>
      </c>
      <c r="D100" s="133">
        <v>21.37</v>
      </c>
      <c r="E100" s="133">
        <v>5.76</v>
      </c>
      <c r="F100" s="133">
        <v>3.83</v>
      </c>
      <c r="G100" s="133">
        <v>60.51</v>
      </c>
      <c r="H100" s="133">
        <v>19.54</v>
      </c>
      <c r="I100" s="133">
        <v>35.49</v>
      </c>
      <c r="J100" s="133">
        <v>0.11</v>
      </c>
      <c r="K100" s="133">
        <v>183.4</v>
      </c>
      <c r="L100" s="133">
        <v>25.71</v>
      </c>
      <c r="M100" s="133">
        <v>85.93</v>
      </c>
      <c r="N100" s="133">
        <v>0</v>
      </c>
      <c r="O100" s="133">
        <v>0</v>
      </c>
      <c r="P100" s="133">
        <v>0.71</v>
      </c>
      <c r="Q100" s="133">
        <v>3.67</v>
      </c>
    </row>
    <row r="101" spans="1:22" customFormat="1">
      <c r="A101" s="111" t="s">
        <v>1195</v>
      </c>
      <c r="B101" s="133">
        <v>12.62</v>
      </c>
      <c r="C101" s="133">
        <v>22.84</v>
      </c>
      <c r="D101" s="133">
        <v>22.73</v>
      </c>
      <c r="E101" s="133">
        <v>6.56</v>
      </c>
      <c r="F101" s="133">
        <v>3.01</v>
      </c>
      <c r="G101" s="133">
        <v>61.61</v>
      </c>
      <c r="H101" s="133">
        <v>22.27</v>
      </c>
      <c r="I101" s="133">
        <v>33.770000000000003</v>
      </c>
      <c r="J101" s="133">
        <v>0.18</v>
      </c>
      <c r="K101" s="133">
        <v>244.84</v>
      </c>
      <c r="L101" s="133">
        <v>25.62</v>
      </c>
      <c r="M101" s="133">
        <v>86.97</v>
      </c>
      <c r="N101" s="133">
        <v>0</v>
      </c>
      <c r="O101" s="133">
        <v>0</v>
      </c>
      <c r="P101" s="133">
        <v>0.73</v>
      </c>
      <c r="Q101" s="133">
        <v>3.71</v>
      </c>
    </row>
    <row r="102" spans="1:22" customFormat="1">
      <c r="A102" s="111" t="s">
        <v>1196</v>
      </c>
      <c r="B102" s="133">
        <v>12.99</v>
      </c>
      <c r="C102" s="133">
        <v>21.64</v>
      </c>
      <c r="D102" s="133">
        <v>22.4</v>
      </c>
      <c r="E102" s="133">
        <v>6.3</v>
      </c>
      <c r="F102" s="133">
        <v>3.25</v>
      </c>
      <c r="G102" s="133">
        <v>61.61</v>
      </c>
      <c r="H102" s="133">
        <v>22.27</v>
      </c>
      <c r="I102" s="133">
        <v>35.5</v>
      </c>
      <c r="J102" s="133">
        <v>0.13</v>
      </c>
      <c r="K102" s="133">
        <v>185.88</v>
      </c>
      <c r="L102" s="133">
        <v>25.58</v>
      </c>
      <c r="M102" s="133">
        <v>88.29</v>
      </c>
      <c r="N102" s="133">
        <v>0</v>
      </c>
      <c r="O102" s="133">
        <v>0</v>
      </c>
      <c r="P102" s="133">
        <v>0.72</v>
      </c>
      <c r="Q102" s="133">
        <v>3.79</v>
      </c>
    </row>
    <row r="103" spans="1:22" customFormat="1">
      <c r="A103" s="111" t="s">
        <v>1197</v>
      </c>
      <c r="B103" s="133">
        <v>12.95</v>
      </c>
      <c r="C103" s="133">
        <v>20.13</v>
      </c>
      <c r="D103" s="133">
        <v>21.58</v>
      </c>
      <c r="E103" s="133">
        <v>6.26</v>
      </c>
      <c r="F103" s="133">
        <v>3.87</v>
      </c>
      <c r="G103" s="133">
        <v>61.61</v>
      </c>
      <c r="H103" s="133">
        <v>22.27</v>
      </c>
      <c r="I103" s="133">
        <v>34.89</v>
      </c>
      <c r="J103" s="133">
        <v>0.09</v>
      </c>
      <c r="K103" s="133">
        <v>199.34</v>
      </c>
      <c r="L103" s="133">
        <v>25.37</v>
      </c>
      <c r="M103" s="133">
        <v>89.63</v>
      </c>
      <c r="N103" s="133">
        <v>0</v>
      </c>
      <c r="O103" s="133">
        <v>0</v>
      </c>
      <c r="P103" s="133">
        <v>0.71</v>
      </c>
      <c r="Q103" s="133">
        <v>3.79</v>
      </c>
    </row>
    <row r="104" spans="1:22" customFormat="1">
      <c r="A104" s="111" t="s">
        <v>1198</v>
      </c>
      <c r="B104" s="133">
        <v>13.07</v>
      </c>
      <c r="C104" s="133">
        <v>19.5</v>
      </c>
      <c r="D104" s="133">
        <v>21.34</v>
      </c>
      <c r="E104" s="133">
        <v>5.55</v>
      </c>
      <c r="F104" s="133">
        <v>3.93</v>
      </c>
      <c r="G104" s="133">
        <v>61.4</v>
      </c>
      <c r="H104" s="133">
        <v>22.13</v>
      </c>
      <c r="I104" s="133">
        <v>34.130000000000003</v>
      </c>
      <c r="J104" s="133">
        <v>0.16</v>
      </c>
      <c r="K104" s="133">
        <v>196.22</v>
      </c>
      <c r="L104" s="133">
        <v>25.32</v>
      </c>
      <c r="M104" s="133">
        <v>91.85</v>
      </c>
      <c r="N104" s="133">
        <v>0</v>
      </c>
      <c r="O104" s="133">
        <v>0</v>
      </c>
      <c r="P104" s="133">
        <v>0.69</v>
      </c>
      <c r="Q104" s="133">
        <v>3.79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2.66</v>
      </c>
      <c r="C106" s="183">
        <f>MIN(C9:C104)</f>
        <v>19.010000000000002</v>
      </c>
      <c r="D106" s="183">
        <f t="shared" ref="D106:Q106" si="0">MIN(D9:D104)</f>
        <v>13.98</v>
      </c>
      <c r="E106" s="183">
        <f t="shared" si="0"/>
        <v>5.55</v>
      </c>
      <c r="F106" s="183">
        <f t="shared" si="0"/>
        <v>2.2799999999999998</v>
      </c>
      <c r="G106" s="183">
        <f t="shared" si="0"/>
        <v>35.33</v>
      </c>
      <c r="H106" s="183">
        <f t="shared" si="0"/>
        <v>12.27</v>
      </c>
      <c r="I106" s="183">
        <f t="shared" si="0"/>
        <v>4.29</v>
      </c>
      <c r="J106" s="183">
        <f t="shared" si="0"/>
        <v>0.04</v>
      </c>
      <c r="K106" s="183">
        <f t="shared" si="0"/>
        <v>4.43</v>
      </c>
      <c r="L106" s="183">
        <f t="shared" si="0"/>
        <v>23.67</v>
      </c>
      <c r="M106" s="183">
        <f t="shared" si="0"/>
        <v>44.04</v>
      </c>
      <c r="N106" s="183">
        <f t="shared" si="0"/>
        <v>0</v>
      </c>
      <c r="O106" s="183">
        <f t="shared" si="0"/>
        <v>0</v>
      </c>
      <c r="P106" s="183">
        <f t="shared" si="0"/>
        <v>0.51</v>
      </c>
      <c r="Q106" s="183">
        <f t="shared" si="0"/>
        <v>3.26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13.21</v>
      </c>
      <c r="C107" s="184">
        <f t="shared" ref="C107:Q107" si="1">MAX(C9:C104)</f>
        <v>31.27</v>
      </c>
      <c r="D107" s="184">
        <f t="shared" si="1"/>
        <v>24.82</v>
      </c>
      <c r="E107" s="184">
        <f t="shared" si="1"/>
        <v>18.77</v>
      </c>
      <c r="F107" s="184">
        <f t="shared" si="1"/>
        <v>22.35</v>
      </c>
      <c r="G107" s="184">
        <f t="shared" si="1"/>
        <v>85.06</v>
      </c>
      <c r="H107" s="184">
        <f t="shared" si="1"/>
        <v>24.49</v>
      </c>
      <c r="I107" s="184">
        <f t="shared" si="1"/>
        <v>142.38999999999999</v>
      </c>
      <c r="J107" s="184">
        <f t="shared" si="1"/>
        <v>0.77</v>
      </c>
      <c r="K107" s="184">
        <f t="shared" si="1"/>
        <v>357.36</v>
      </c>
      <c r="L107" s="184">
        <f t="shared" si="1"/>
        <v>34.130000000000003</v>
      </c>
      <c r="M107" s="184">
        <f t="shared" si="1"/>
        <v>95.89</v>
      </c>
      <c r="N107" s="184">
        <f t="shared" si="1"/>
        <v>740.7</v>
      </c>
      <c r="O107" s="184">
        <f t="shared" si="1"/>
        <v>0</v>
      </c>
      <c r="P107" s="184">
        <f t="shared" si="1"/>
        <v>0.79</v>
      </c>
      <c r="Q107" s="184">
        <f t="shared" si="1"/>
        <v>3.97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9.1392553191489405</v>
      </c>
      <c r="C108" s="183">
        <f t="shared" ref="C108:Q108" si="2">AVERAGE(C9:C104)</f>
        <v>25.044787234042552</v>
      </c>
      <c r="D108" s="183">
        <f t="shared" si="2"/>
        <v>21.48744680851064</v>
      </c>
      <c r="E108" s="183">
        <f t="shared" si="2"/>
        <v>7.6704166666666707</v>
      </c>
      <c r="F108" s="183">
        <f t="shared" si="2"/>
        <v>5.9803124999999975</v>
      </c>
      <c r="G108" s="183">
        <f t="shared" si="2"/>
        <v>61.010312500000019</v>
      </c>
      <c r="H108" s="183">
        <f t="shared" si="2"/>
        <v>19.444166666666657</v>
      </c>
      <c r="I108" s="183">
        <f t="shared" si="2"/>
        <v>30.255312499999985</v>
      </c>
      <c r="J108" s="183">
        <f t="shared" si="2"/>
        <v>0.25312499999999999</v>
      </c>
      <c r="K108" s="183">
        <f t="shared" si="2"/>
        <v>147.39354166666661</v>
      </c>
      <c r="L108" s="183">
        <f t="shared" si="2"/>
        <v>28.322395833333331</v>
      </c>
      <c r="M108" s="183">
        <f t="shared" si="2"/>
        <v>74.522604166666696</v>
      </c>
      <c r="N108" s="183">
        <f t="shared" si="2"/>
        <v>161.40312500000002</v>
      </c>
      <c r="O108" s="183">
        <f t="shared" si="2"/>
        <v>0</v>
      </c>
      <c r="P108" s="183">
        <f t="shared" si="2"/>
        <v>0.67031914893617028</v>
      </c>
      <c r="Q108" s="183">
        <f t="shared" si="2"/>
        <v>3.6676041666666674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3.0137995307469372</v>
      </c>
      <c r="C109" s="183">
        <f t="shared" ref="C109:Q109" si="3">STDEV(C9:C104)</f>
        <v>3.0158854434489912</v>
      </c>
      <c r="D109" s="183">
        <f t="shared" si="3"/>
        <v>2.411152821213935</v>
      </c>
      <c r="E109" s="183">
        <f t="shared" si="3"/>
        <v>2.4439889381551012</v>
      </c>
      <c r="F109" s="183">
        <f t="shared" si="3"/>
        <v>4.9266761407720558</v>
      </c>
      <c r="G109" s="183">
        <f t="shared" si="3"/>
        <v>15.770328131494345</v>
      </c>
      <c r="H109" s="183">
        <f t="shared" si="3"/>
        <v>3.0115894270622814</v>
      </c>
      <c r="I109" s="183">
        <f t="shared" si="3"/>
        <v>36.13446682231379</v>
      </c>
      <c r="J109" s="183">
        <f t="shared" si="3"/>
        <v>0.19759241675199699</v>
      </c>
      <c r="K109" s="183">
        <f t="shared" si="3"/>
        <v>85.13234203878568</v>
      </c>
      <c r="L109" s="183">
        <f t="shared" si="3"/>
        <v>3.6708598576216684</v>
      </c>
      <c r="M109" s="183">
        <f t="shared" si="3"/>
        <v>18.320105564209126</v>
      </c>
      <c r="N109" s="183">
        <f t="shared" si="3"/>
        <v>245.60030621150332</v>
      </c>
      <c r="O109" s="183">
        <f t="shared" si="3"/>
        <v>0</v>
      </c>
      <c r="P109" s="183">
        <f t="shared" si="3"/>
        <v>6.6598655539718471E-2</v>
      </c>
      <c r="Q109" s="183">
        <f t="shared" si="3"/>
        <v>0.20168628474971234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f t="shared" ref="E110:Q110" si="4">COUNT(E9:E104)</f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3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11/10/2023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1199</v>
      </c>
      <c r="B9" s="133">
        <v>13.15</v>
      </c>
      <c r="C9" s="133">
        <v>20.95</v>
      </c>
      <c r="D9" s="133">
        <v>22.17</v>
      </c>
      <c r="E9" s="133">
        <v>6.07</v>
      </c>
      <c r="F9" s="133">
        <v>3.97</v>
      </c>
      <c r="G9" s="133">
        <v>59.72</v>
      </c>
      <c r="H9" s="133">
        <v>21.32</v>
      </c>
      <c r="I9" s="133">
        <v>32.49</v>
      </c>
      <c r="J9" s="133">
        <v>0.08</v>
      </c>
      <c r="K9" s="133">
        <v>194.87</v>
      </c>
      <c r="L9" s="133">
        <v>25.15</v>
      </c>
      <c r="M9" s="133">
        <v>92.74</v>
      </c>
      <c r="N9" s="133">
        <v>0</v>
      </c>
      <c r="O9" s="133">
        <v>0</v>
      </c>
      <c r="P9" s="133">
        <v>0.7</v>
      </c>
      <c r="Q9" s="133">
        <v>3.77</v>
      </c>
    </row>
    <row r="10" spans="1:21" customFormat="1">
      <c r="A10" s="111" t="s">
        <v>1200</v>
      </c>
      <c r="B10" s="133">
        <v>13.53</v>
      </c>
      <c r="C10" s="133">
        <v>22.77</v>
      </c>
      <c r="D10" s="133">
        <v>23.42</v>
      </c>
      <c r="E10" s="133">
        <v>5.75</v>
      </c>
      <c r="F10" s="133">
        <v>2.6</v>
      </c>
      <c r="G10" s="133">
        <v>59.72</v>
      </c>
      <c r="H10" s="133">
        <v>21.32</v>
      </c>
      <c r="I10" s="133">
        <v>31.45</v>
      </c>
      <c r="J10" s="133">
        <v>0.17</v>
      </c>
      <c r="K10" s="133">
        <v>198.91</v>
      </c>
      <c r="L10" s="133">
        <v>25.05</v>
      </c>
      <c r="M10" s="133">
        <v>92.65</v>
      </c>
      <c r="N10" s="133">
        <v>0</v>
      </c>
      <c r="O10" s="133">
        <v>0</v>
      </c>
      <c r="P10" s="133">
        <v>0.73</v>
      </c>
      <c r="Q10" s="133">
        <v>3.81</v>
      </c>
    </row>
    <row r="11" spans="1:21" customFormat="1">
      <c r="A11" s="111" t="s">
        <v>1201</v>
      </c>
      <c r="B11" s="133">
        <v>13.82</v>
      </c>
      <c r="C11" s="133">
        <v>21.79</v>
      </c>
      <c r="D11" s="133">
        <v>23.14</v>
      </c>
      <c r="E11" s="133">
        <v>6.3</v>
      </c>
      <c r="F11" s="133">
        <v>2.87</v>
      </c>
      <c r="G11" s="133">
        <v>59.72</v>
      </c>
      <c r="H11" s="133">
        <v>21.32</v>
      </c>
      <c r="I11" s="133">
        <v>32.19</v>
      </c>
      <c r="J11" s="133">
        <v>0.14000000000000001</v>
      </c>
      <c r="K11" s="133">
        <v>190.68</v>
      </c>
      <c r="L11" s="133">
        <v>25</v>
      </c>
      <c r="M11" s="133">
        <v>93.7</v>
      </c>
      <c r="N11" s="133">
        <v>0</v>
      </c>
      <c r="O11" s="133">
        <v>0</v>
      </c>
      <c r="P11" s="133">
        <v>0.73</v>
      </c>
      <c r="Q11" s="133">
        <v>3.87</v>
      </c>
    </row>
    <row r="12" spans="1:21" customFormat="1">
      <c r="A12" s="111" t="s">
        <v>1202</v>
      </c>
      <c r="B12" s="133">
        <v>13.71</v>
      </c>
      <c r="C12" s="133">
        <v>19.8</v>
      </c>
      <c r="D12" s="133">
        <v>22.02</v>
      </c>
      <c r="E12" s="133">
        <v>6.01</v>
      </c>
      <c r="F12" s="133">
        <v>3.88</v>
      </c>
      <c r="G12" s="133">
        <v>59.1</v>
      </c>
      <c r="H12" s="133">
        <v>20.92</v>
      </c>
      <c r="I12" s="133">
        <v>31.75</v>
      </c>
      <c r="J12" s="133">
        <v>0.1</v>
      </c>
      <c r="K12" s="133">
        <v>208.63</v>
      </c>
      <c r="L12" s="133">
        <v>24.91</v>
      </c>
      <c r="M12" s="133">
        <v>94.84</v>
      </c>
      <c r="N12" s="133">
        <v>0</v>
      </c>
      <c r="O12" s="133">
        <v>0</v>
      </c>
      <c r="P12" s="133">
        <v>0.7</v>
      </c>
      <c r="Q12" s="133">
        <v>3.86</v>
      </c>
    </row>
    <row r="13" spans="1:21" customFormat="1">
      <c r="A13" s="111" t="s">
        <v>1203</v>
      </c>
      <c r="B13" s="133">
        <v>13.58</v>
      </c>
      <c r="C13" s="133">
        <v>18.8</v>
      </c>
      <c r="D13" s="133">
        <v>21.39</v>
      </c>
      <c r="E13" s="133">
        <v>6.02</v>
      </c>
      <c r="F13" s="133">
        <v>4.22</v>
      </c>
      <c r="G13" s="133">
        <v>54.13</v>
      </c>
      <c r="H13" s="133">
        <v>18.64</v>
      </c>
      <c r="I13" s="133">
        <v>31.13</v>
      </c>
      <c r="J13" s="133">
        <v>0.12</v>
      </c>
      <c r="K13" s="133">
        <v>179.62</v>
      </c>
      <c r="L13" s="133">
        <v>24.93</v>
      </c>
      <c r="M13" s="133">
        <v>93.26</v>
      </c>
      <c r="N13" s="133">
        <v>0</v>
      </c>
      <c r="O13" s="133">
        <v>0</v>
      </c>
      <c r="P13" s="133">
        <v>0.68</v>
      </c>
      <c r="Q13" s="133">
        <v>3.85</v>
      </c>
    </row>
    <row r="14" spans="1:21" customFormat="1">
      <c r="A14" s="111" t="s">
        <v>1204</v>
      </c>
      <c r="B14" s="133">
        <v>14.06</v>
      </c>
      <c r="C14" s="133">
        <v>20.97</v>
      </c>
      <c r="D14" s="133">
        <v>22.91</v>
      </c>
      <c r="E14" s="133">
        <v>6.18</v>
      </c>
      <c r="F14" s="133">
        <v>2.91</v>
      </c>
      <c r="G14" s="133">
        <v>54.13</v>
      </c>
      <c r="H14" s="133">
        <v>18.64</v>
      </c>
      <c r="I14" s="133">
        <v>28.84</v>
      </c>
      <c r="J14" s="133">
        <v>0.11</v>
      </c>
      <c r="K14" s="133">
        <v>226.18</v>
      </c>
      <c r="L14" s="133">
        <v>24.84</v>
      </c>
      <c r="M14" s="133">
        <v>92.96</v>
      </c>
      <c r="N14" s="133">
        <v>0</v>
      </c>
      <c r="O14" s="133">
        <v>0</v>
      </c>
      <c r="P14" s="133">
        <v>0.71</v>
      </c>
      <c r="Q14" s="133">
        <v>3.82</v>
      </c>
    </row>
    <row r="15" spans="1:21" customFormat="1">
      <c r="A15" s="111" t="s">
        <v>1205</v>
      </c>
      <c r="B15" s="133">
        <v>14.13</v>
      </c>
      <c r="C15" s="133">
        <v>23.19</v>
      </c>
      <c r="D15" s="133">
        <v>24.12</v>
      </c>
      <c r="E15" s="133">
        <v>6.28</v>
      </c>
      <c r="F15" s="133">
        <v>2.4500000000000002</v>
      </c>
      <c r="G15" s="133">
        <v>54.13</v>
      </c>
      <c r="H15" s="133">
        <v>18.64</v>
      </c>
      <c r="I15" s="133">
        <v>29.42</v>
      </c>
      <c r="J15" s="133">
        <v>0.12</v>
      </c>
      <c r="K15" s="133">
        <v>231.05</v>
      </c>
      <c r="L15" s="133">
        <v>24.74</v>
      </c>
      <c r="M15" s="133">
        <v>92.86</v>
      </c>
      <c r="N15" s="133">
        <v>0</v>
      </c>
      <c r="O15" s="133">
        <v>0</v>
      </c>
      <c r="P15" s="133">
        <v>0.73</v>
      </c>
      <c r="Q15" s="133">
        <v>3.85</v>
      </c>
    </row>
    <row r="16" spans="1:21" customFormat="1">
      <c r="A16" s="111" t="s">
        <v>1206</v>
      </c>
      <c r="B16" s="133">
        <v>14.03</v>
      </c>
      <c r="C16" s="133">
        <v>23.46</v>
      </c>
      <c r="D16" s="133">
        <v>24.18</v>
      </c>
      <c r="E16" s="133">
        <v>6.38</v>
      </c>
      <c r="F16" s="133">
        <v>2.7</v>
      </c>
      <c r="G16" s="133">
        <v>53.39</v>
      </c>
      <c r="H16" s="133">
        <v>18.53</v>
      </c>
      <c r="I16" s="133">
        <v>29.26</v>
      </c>
      <c r="J16" s="133">
        <v>0.09</v>
      </c>
      <c r="K16" s="133">
        <v>163.54</v>
      </c>
      <c r="L16" s="133">
        <v>24.69</v>
      </c>
      <c r="M16" s="133">
        <v>94.34</v>
      </c>
      <c r="N16" s="133">
        <v>0</v>
      </c>
      <c r="O16" s="133">
        <v>0</v>
      </c>
      <c r="P16" s="133">
        <v>0.73</v>
      </c>
      <c r="Q16" s="133">
        <v>3.87</v>
      </c>
    </row>
    <row r="17" spans="1:17" customFormat="1">
      <c r="A17" s="111" t="s">
        <v>1207</v>
      </c>
      <c r="B17" s="133">
        <v>13.78</v>
      </c>
      <c r="C17" s="133">
        <v>23.9</v>
      </c>
      <c r="D17" s="133">
        <v>24.21</v>
      </c>
      <c r="E17" s="133">
        <v>6.27</v>
      </c>
      <c r="F17" s="133">
        <v>2.86</v>
      </c>
      <c r="G17" s="133">
        <v>47.45</v>
      </c>
      <c r="H17" s="133">
        <v>17.829999999999998</v>
      </c>
      <c r="I17" s="133">
        <v>28.11</v>
      </c>
      <c r="J17" s="133">
        <v>7.0000000000000007E-2</v>
      </c>
      <c r="K17" s="133">
        <v>189.96</v>
      </c>
      <c r="L17" s="133">
        <v>24.66</v>
      </c>
      <c r="M17" s="133">
        <v>94.35</v>
      </c>
      <c r="N17" s="133">
        <v>0</v>
      </c>
      <c r="O17" s="133">
        <v>0</v>
      </c>
      <c r="P17" s="133">
        <v>0.72</v>
      </c>
      <c r="Q17" s="133">
        <v>3.89</v>
      </c>
    </row>
    <row r="18" spans="1:17" customFormat="1">
      <c r="A18" s="111" t="s">
        <v>1208</v>
      </c>
      <c r="B18" s="133">
        <v>13.7</v>
      </c>
      <c r="C18" s="133">
        <v>23.91</v>
      </c>
      <c r="D18" s="133">
        <v>24.16</v>
      </c>
      <c r="E18" s="133">
        <v>6.78</v>
      </c>
      <c r="F18" s="133">
        <v>2.67</v>
      </c>
      <c r="G18" s="133">
        <v>47.45</v>
      </c>
      <c r="H18" s="133">
        <v>17.829999999999998</v>
      </c>
      <c r="I18" s="133">
        <v>28.38</v>
      </c>
      <c r="J18" s="133">
        <v>0.16</v>
      </c>
      <c r="K18" s="133">
        <v>165.79</v>
      </c>
      <c r="L18" s="133">
        <v>24.73</v>
      </c>
      <c r="M18" s="133">
        <v>93.98</v>
      </c>
      <c r="N18" s="133">
        <v>0</v>
      </c>
      <c r="O18" s="133">
        <v>0</v>
      </c>
      <c r="P18" s="133">
        <v>0.73</v>
      </c>
      <c r="Q18" s="133">
        <v>3.9</v>
      </c>
    </row>
    <row r="19" spans="1:17" customFormat="1">
      <c r="A19" s="111" t="s">
        <v>1209</v>
      </c>
      <c r="B19" s="133">
        <v>13.53</v>
      </c>
      <c r="C19" s="133">
        <v>24.08</v>
      </c>
      <c r="D19" s="133">
        <v>24.1</v>
      </c>
      <c r="E19" s="133">
        <v>7.4</v>
      </c>
      <c r="F19" s="133">
        <v>2.67</v>
      </c>
      <c r="G19" s="133">
        <v>47.45</v>
      </c>
      <c r="H19" s="133">
        <v>17.829999999999998</v>
      </c>
      <c r="I19" s="133">
        <v>26.11</v>
      </c>
      <c r="J19" s="133">
        <v>0.14000000000000001</v>
      </c>
      <c r="K19" s="133">
        <v>167.25</v>
      </c>
      <c r="L19" s="133">
        <v>24.74</v>
      </c>
      <c r="M19" s="133">
        <v>93.44</v>
      </c>
      <c r="N19" s="133">
        <v>0</v>
      </c>
      <c r="O19" s="133">
        <v>0</v>
      </c>
      <c r="P19" s="133">
        <v>0.71</v>
      </c>
      <c r="Q19" s="133">
        <v>3.9</v>
      </c>
    </row>
    <row r="20" spans="1:17" customFormat="1">
      <c r="A20" s="111" t="s">
        <v>1210</v>
      </c>
      <c r="B20" s="133">
        <v>13.3</v>
      </c>
      <c r="C20" s="133">
        <v>24.26</v>
      </c>
      <c r="D20" s="133">
        <v>24.01</v>
      </c>
      <c r="E20" s="133">
        <v>6.96</v>
      </c>
      <c r="F20" s="133">
        <v>2.75</v>
      </c>
      <c r="G20" s="133">
        <v>47.53</v>
      </c>
      <c r="H20" s="133">
        <v>18.03</v>
      </c>
      <c r="I20" s="133">
        <v>26.41</v>
      </c>
      <c r="J20" s="133">
        <v>0.14000000000000001</v>
      </c>
      <c r="K20" s="133">
        <v>160.96</v>
      </c>
      <c r="L20" s="133">
        <v>24.67</v>
      </c>
      <c r="M20" s="133">
        <v>93.97</v>
      </c>
      <c r="N20" s="133">
        <v>0</v>
      </c>
      <c r="O20" s="133">
        <v>0</v>
      </c>
      <c r="P20" s="133">
        <v>0.71</v>
      </c>
      <c r="Q20" s="133">
        <v>3.91</v>
      </c>
    </row>
    <row r="21" spans="1:17" customFormat="1">
      <c r="A21" s="111" t="s">
        <v>1211</v>
      </c>
      <c r="B21" s="133">
        <v>13.19</v>
      </c>
      <c r="C21" s="133">
        <v>24.71</v>
      </c>
      <c r="D21" s="133">
        <v>24.17</v>
      </c>
      <c r="E21" s="133">
        <v>6.89</v>
      </c>
      <c r="F21" s="133">
        <v>2.5299999999999998</v>
      </c>
      <c r="G21" s="133">
        <v>48.16</v>
      </c>
      <c r="H21" s="133">
        <v>19.34</v>
      </c>
      <c r="I21" s="133">
        <v>25.55</v>
      </c>
      <c r="J21" s="133">
        <v>0.11</v>
      </c>
      <c r="K21" s="133">
        <v>195.88</v>
      </c>
      <c r="L21" s="133">
        <v>24.56</v>
      </c>
      <c r="M21" s="133">
        <v>94.11</v>
      </c>
      <c r="N21" s="133">
        <v>0</v>
      </c>
      <c r="O21" s="133">
        <v>0</v>
      </c>
      <c r="P21" s="133">
        <v>0.71</v>
      </c>
      <c r="Q21" s="133">
        <v>3.91</v>
      </c>
    </row>
    <row r="22" spans="1:17" customFormat="1">
      <c r="A22" s="111" t="s">
        <v>1212</v>
      </c>
      <c r="B22" s="133">
        <v>13.1</v>
      </c>
      <c r="C22" s="133">
        <v>24.66</v>
      </c>
      <c r="D22" s="133">
        <v>24.07</v>
      </c>
      <c r="E22" s="133">
        <v>7.43</v>
      </c>
      <c r="F22" s="133">
        <v>2.35</v>
      </c>
      <c r="G22" s="133">
        <v>48.16</v>
      </c>
      <c r="H22" s="133">
        <v>19.34</v>
      </c>
      <c r="I22" s="133">
        <v>24.64</v>
      </c>
      <c r="J22" s="133">
        <v>0.08</v>
      </c>
      <c r="K22" s="133">
        <v>225.84</v>
      </c>
      <c r="L22" s="133">
        <v>24.43</v>
      </c>
      <c r="M22" s="133">
        <v>94.73</v>
      </c>
      <c r="N22" s="133">
        <v>0</v>
      </c>
      <c r="O22" s="133">
        <v>0</v>
      </c>
      <c r="P22" s="133">
        <v>0.7</v>
      </c>
      <c r="Q22" s="133">
        <v>3.93</v>
      </c>
    </row>
    <row r="23" spans="1:17" customFormat="1">
      <c r="A23" s="111" t="s">
        <v>1213</v>
      </c>
      <c r="B23" s="133">
        <v>13</v>
      </c>
      <c r="C23" s="133">
        <v>24.7</v>
      </c>
      <c r="D23" s="133">
        <v>24</v>
      </c>
      <c r="E23" s="133">
        <v>6.97</v>
      </c>
      <c r="F23" s="133">
        <v>2.4700000000000002</v>
      </c>
      <c r="G23" s="133">
        <v>48.16</v>
      </c>
      <c r="H23" s="133">
        <v>19.34</v>
      </c>
      <c r="I23" s="133">
        <v>23.82</v>
      </c>
      <c r="J23" s="133">
        <v>0.17</v>
      </c>
      <c r="K23" s="133">
        <v>175.56</v>
      </c>
      <c r="L23" s="133">
        <v>24.45</v>
      </c>
      <c r="M23" s="133">
        <v>95.34</v>
      </c>
      <c r="N23" s="133">
        <v>0</v>
      </c>
      <c r="O23" s="133">
        <v>0</v>
      </c>
      <c r="P23" s="133">
        <v>0.7</v>
      </c>
      <c r="Q23" s="133">
        <v>3.92</v>
      </c>
    </row>
    <row r="24" spans="1:17" customFormat="1">
      <c r="A24" s="111" t="s">
        <v>1214</v>
      </c>
      <c r="B24" s="133">
        <v>12.95</v>
      </c>
      <c r="C24" s="133">
        <v>24.75</v>
      </c>
      <c r="D24" s="133">
        <v>23.99</v>
      </c>
      <c r="E24" s="133">
        <v>7.27</v>
      </c>
      <c r="F24" s="133">
        <v>2.52</v>
      </c>
      <c r="G24" s="133">
        <v>47.93</v>
      </c>
      <c r="H24" s="133">
        <v>19.36</v>
      </c>
      <c r="I24" s="133">
        <v>23.06</v>
      </c>
      <c r="J24" s="133">
        <v>0.08</v>
      </c>
      <c r="K24" s="133">
        <v>197.75</v>
      </c>
      <c r="L24" s="133">
        <v>24.35</v>
      </c>
      <c r="M24" s="133">
        <v>95.17</v>
      </c>
      <c r="N24" s="133">
        <v>0</v>
      </c>
      <c r="O24" s="133">
        <v>0</v>
      </c>
      <c r="P24" s="133">
        <v>0.71</v>
      </c>
      <c r="Q24" s="133">
        <v>3.94</v>
      </c>
    </row>
    <row r="25" spans="1:17" customFormat="1">
      <c r="A25" s="111" t="s">
        <v>1215</v>
      </c>
      <c r="B25" s="133">
        <v>13.05</v>
      </c>
      <c r="C25" s="133">
        <v>25.15</v>
      </c>
      <c r="D25" s="133">
        <v>24.28</v>
      </c>
      <c r="E25" s="133">
        <v>7.23</v>
      </c>
      <c r="F25" s="133">
        <v>2.35</v>
      </c>
      <c r="G25" s="133">
        <v>46.11</v>
      </c>
      <c r="H25" s="133">
        <v>19.46</v>
      </c>
      <c r="I25" s="133">
        <v>22.32</v>
      </c>
      <c r="J25" s="133">
        <v>0.1</v>
      </c>
      <c r="K25" s="133">
        <v>215.67</v>
      </c>
      <c r="L25" s="133">
        <v>24.14</v>
      </c>
      <c r="M25" s="133">
        <v>96.62</v>
      </c>
      <c r="N25" s="133">
        <v>0</v>
      </c>
      <c r="O25" s="133">
        <v>0</v>
      </c>
      <c r="P25" s="133">
        <v>0.7</v>
      </c>
      <c r="Q25" s="133">
        <v>3.94</v>
      </c>
    </row>
    <row r="26" spans="1:17" customFormat="1">
      <c r="A26" s="111" t="s">
        <v>1216</v>
      </c>
      <c r="B26" s="133">
        <v>13.08</v>
      </c>
      <c r="C26" s="133">
        <v>25.24</v>
      </c>
      <c r="D26" s="133">
        <v>24.35</v>
      </c>
      <c r="E26" s="133">
        <v>7.01</v>
      </c>
      <c r="F26" s="133">
        <v>2.4</v>
      </c>
      <c r="G26" s="133">
        <v>46.11</v>
      </c>
      <c r="H26" s="133">
        <v>19.46</v>
      </c>
      <c r="I26" s="133">
        <v>21.66</v>
      </c>
      <c r="J26" s="133">
        <v>0.09</v>
      </c>
      <c r="K26" s="133">
        <v>180.02</v>
      </c>
      <c r="L26" s="133">
        <v>24.11</v>
      </c>
      <c r="M26" s="133">
        <v>97.03</v>
      </c>
      <c r="N26" s="133">
        <v>0</v>
      </c>
      <c r="O26" s="133">
        <v>0</v>
      </c>
      <c r="P26" s="133">
        <v>0.7</v>
      </c>
      <c r="Q26" s="133">
        <v>3.93</v>
      </c>
    </row>
    <row r="27" spans="1:17" customFormat="1">
      <c r="A27" s="111" t="s">
        <v>1217</v>
      </c>
      <c r="B27" s="133">
        <v>13.02</v>
      </c>
      <c r="C27" s="133">
        <v>25.17</v>
      </c>
      <c r="D27" s="133">
        <v>24.27</v>
      </c>
      <c r="E27" s="133">
        <v>7.35</v>
      </c>
      <c r="F27" s="133">
        <v>2.58</v>
      </c>
      <c r="G27" s="133">
        <v>46.11</v>
      </c>
      <c r="H27" s="133">
        <v>19.46</v>
      </c>
      <c r="I27" s="133">
        <v>21.12</v>
      </c>
      <c r="J27" s="133">
        <v>0.14000000000000001</v>
      </c>
      <c r="K27" s="133">
        <v>154.71</v>
      </c>
      <c r="L27" s="133">
        <v>24.18</v>
      </c>
      <c r="M27" s="133">
        <v>97.24</v>
      </c>
      <c r="N27" s="133">
        <v>0</v>
      </c>
      <c r="O27" s="133">
        <v>0</v>
      </c>
      <c r="P27" s="133">
        <v>0.7</v>
      </c>
      <c r="Q27" s="133">
        <v>3.92</v>
      </c>
    </row>
    <row r="28" spans="1:17" customFormat="1">
      <c r="A28" s="111" t="s">
        <v>1218</v>
      </c>
      <c r="B28" s="133">
        <v>12.95</v>
      </c>
      <c r="C28" s="133">
        <v>25.11</v>
      </c>
      <c r="D28" s="133">
        <v>24.18</v>
      </c>
      <c r="E28" s="133">
        <v>7.44</v>
      </c>
      <c r="F28" s="133">
        <v>2.5499999999999998</v>
      </c>
      <c r="G28" s="133">
        <v>46.18</v>
      </c>
      <c r="H28" s="133">
        <v>18.829999999999998</v>
      </c>
      <c r="I28" s="133">
        <v>20.5</v>
      </c>
      <c r="J28" s="133">
        <v>0.09</v>
      </c>
      <c r="K28" s="133">
        <v>188.89</v>
      </c>
      <c r="L28" s="133">
        <v>24.17</v>
      </c>
      <c r="M28" s="133">
        <v>96.2</v>
      </c>
      <c r="N28" s="133">
        <v>0</v>
      </c>
      <c r="O28" s="133">
        <v>0</v>
      </c>
      <c r="P28" s="133">
        <v>0.7</v>
      </c>
      <c r="Q28" s="133">
        <v>3.93</v>
      </c>
    </row>
    <row r="29" spans="1:17" customFormat="1">
      <c r="A29" s="111" t="s">
        <v>1219</v>
      </c>
      <c r="B29" s="133">
        <v>12.97</v>
      </c>
      <c r="C29" s="133">
        <v>25.47</v>
      </c>
      <c r="D29" s="133">
        <v>24.38</v>
      </c>
      <c r="E29" s="133">
        <v>7.4</v>
      </c>
      <c r="F29" s="133">
        <v>2.2400000000000002</v>
      </c>
      <c r="G29" s="133">
        <v>46.77</v>
      </c>
      <c r="H29" s="133">
        <v>14.87</v>
      </c>
      <c r="I29" s="133">
        <v>19.86</v>
      </c>
      <c r="J29" s="133">
        <v>0.23</v>
      </c>
      <c r="K29" s="133">
        <v>164.97</v>
      </c>
      <c r="L29" s="133">
        <v>24.06</v>
      </c>
      <c r="M29" s="133">
        <v>97.27</v>
      </c>
      <c r="N29" s="133">
        <v>0</v>
      </c>
      <c r="O29" s="133">
        <v>0</v>
      </c>
      <c r="P29" s="133">
        <v>0.71</v>
      </c>
      <c r="Q29" s="133">
        <v>3.94</v>
      </c>
    </row>
    <row r="30" spans="1:17" customFormat="1">
      <c r="A30" s="111" t="s">
        <v>1220</v>
      </c>
      <c r="B30" s="133">
        <v>13.05</v>
      </c>
      <c r="C30" s="133">
        <v>25.37</v>
      </c>
      <c r="D30" s="133">
        <v>24.4</v>
      </c>
      <c r="E30" s="133">
        <v>7.33</v>
      </c>
      <c r="F30" s="133">
        <v>2.36</v>
      </c>
      <c r="G30" s="133">
        <v>46.77</v>
      </c>
      <c r="H30" s="133">
        <v>14.87</v>
      </c>
      <c r="I30" s="133">
        <v>19.22</v>
      </c>
      <c r="J30" s="133">
        <v>0.12</v>
      </c>
      <c r="K30" s="133">
        <v>167.89</v>
      </c>
      <c r="L30" s="133">
        <v>23.97</v>
      </c>
      <c r="M30" s="133">
        <v>97.1</v>
      </c>
      <c r="N30" s="133">
        <v>0</v>
      </c>
      <c r="O30" s="133">
        <v>0</v>
      </c>
      <c r="P30" s="133">
        <v>0.7</v>
      </c>
      <c r="Q30" s="133">
        <v>3.95</v>
      </c>
    </row>
    <row r="31" spans="1:17" customFormat="1">
      <c r="A31" s="111" t="s">
        <v>1221</v>
      </c>
      <c r="B31" s="133">
        <v>13.15</v>
      </c>
      <c r="C31" s="133">
        <v>25.2</v>
      </c>
      <c r="D31" s="133">
        <v>24.39</v>
      </c>
      <c r="E31" s="133">
        <v>8.02</v>
      </c>
      <c r="F31" s="133">
        <v>2.5099999999999998</v>
      </c>
      <c r="G31" s="133">
        <v>46.77</v>
      </c>
      <c r="H31" s="133">
        <v>14.87</v>
      </c>
      <c r="I31" s="133">
        <v>18.77</v>
      </c>
      <c r="J31" s="133">
        <v>0.14000000000000001</v>
      </c>
      <c r="K31" s="133">
        <v>169.61</v>
      </c>
      <c r="L31" s="133">
        <v>23.82</v>
      </c>
      <c r="M31" s="133">
        <v>98.01</v>
      </c>
      <c r="N31" s="133">
        <v>0</v>
      </c>
      <c r="O31" s="133">
        <v>0</v>
      </c>
      <c r="P31" s="133">
        <v>0.69</v>
      </c>
      <c r="Q31" s="133">
        <v>3.94</v>
      </c>
    </row>
    <row r="32" spans="1:17" customFormat="1">
      <c r="A32" s="111" t="s">
        <v>1222</v>
      </c>
      <c r="B32" s="133">
        <v>13.2</v>
      </c>
      <c r="C32" s="133">
        <v>25.2</v>
      </c>
      <c r="D32" s="133">
        <v>24.42</v>
      </c>
      <c r="E32" s="133">
        <v>7.55</v>
      </c>
      <c r="F32" s="133">
        <v>2.4900000000000002</v>
      </c>
      <c r="G32" s="133">
        <v>46.15</v>
      </c>
      <c r="H32" s="133">
        <v>15.29</v>
      </c>
      <c r="I32" s="133">
        <v>18.2</v>
      </c>
      <c r="J32" s="133">
        <v>0.13</v>
      </c>
      <c r="K32" s="133">
        <v>153.63999999999999</v>
      </c>
      <c r="L32" s="133">
        <v>23.81</v>
      </c>
      <c r="M32" s="133">
        <v>98.8</v>
      </c>
      <c r="N32" s="133">
        <v>0</v>
      </c>
      <c r="O32" s="133">
        <v>0</v>
      </c>
      <c r="P32" s="133">
        <v>0.68</v>
      </c>
      <c r="Q32" s="133">
        <v>3.93</v>
      </c>
    </row>
    <row r="33" spans="1:17" customFormat="1">
      <c r="A33" s="111" t="s">
        <v>1223</v>
      </c>
      <c r="B33" s="133">
        <v>13.28</v>
      </c>
      <c r="C33" s="133">
        <v>25.61</v>
      </c>
      <c r="D33" s="133">
        <v>24.71</v>
      </c>
      <c r="E33" s="133">
        <v>7.53</v>
      </c>
      <c r="F33" s="133">
        <v>2.37</v>
      </c>
      <c r="G33" s="133">
        <v>41.17</v>
      </c>
      <c r="H33" s="133">
        <v>17.940000000000001</v>
      </c>
      <c r="I33" s="133">
        <v>17.63</v>
      </c>
      <c r="J33" s="133">
        <v>0.22</v>
      </c>
      <c r="K33" s="133">
        <v>152.41999999999999</v>
      </c>
      <c r="L33" s="133">
        <v>23.86</v>
      </c>
      <c r="M33" s="133">
        <v>99.02</v>
      </c>
      <c r="N33" s="133">
        <v>4.0999999999999996</v>
      </c>
      <c r="O33" s="133">
        <v>0</v>
      </c>
      <c r="P33" s="133">
        <v>0.68</v>
      </c>
      <c r="Q33" s="133">
        <v>3.95</v>
      </c>
    </row>
    <row r="34" spans="1:17" customFormat="1">
      <c r="A34" s="111" t="s">
        <v>1224</v>
      </c>
      <c r="B34" s="133">
        <v>13.39</v>
      </c>
      <c r="C34" s="133">
        <v>25.57</v>
      </c>
      <c r="D34" s="133">
        <v>24.77</v>
      </c>
      <c r="E34" s="133">
        <v>7.98</v>
      </c>
      <c r="F34" s="133">
        <v>2.4900000000000002</v>
      </c>
      <c r="G34" s="133">
        <v>41.17</v>
      </c>
      <c r="H34" s="133">
        <v>17.940000000000001</v>
      </c>
      <c r="I34" s="133">
        <v>17.079999999999998</v>
      </c>
      <c r="J34" s="133">
        <v>0.17</v>
      </c>
      <c r="K34" s="133">
        <v>170.67</v>
      </c>
      <c r="L34" s="133">
        <v>24.08</v>
      </c>
      <c r="M34" s="133">
        <v>98.31</v>
      </c>
      <c r="N34" s="133">
        <v>15.1</v>
      </c>
      <c r="O34" s="133">
        <v>0</v>
      </c>
      <c r="P34" s="133">
        <v>0.67</v>
      </c>
      <c r="Q34" s="133">
        <v>3.97</v>
      </c>
    </row>
    <row r="35" spans="1:17" customFormat="1">
      <c r="A35" s="111" t="s">
        <v>1225</v>
      </c>
      <c r="B35" s="133">
        <v>13.58</v>
      </c>
      <c r="C35" s="133">
        <v>24.72</v>
      </c>
      <c r="D35" s="133">
        <v>24.48</v>
      </c>
      <c r="E35" s="133">
        <v>8.23</v>
      </c>
      <c r="F35" s="133">
        <v>2.5099999999999998</v>
      </c>
      <c r="G35" s="133">
        <v>41.17</v>
      </c>
      <c r="H35" s="133">
        <v>17.940000000000001</v>
      </c>
      <c r="I35" s="133">
        <v>16.670000000000002</v>
      </c>
      <c r="J35" s="133">
        <v>0.15</v>
      </c>
      <c r="K35" s="133">
        <v>229.33</v>
      </c>
      <c r="L35" s="133">
        <v>24.24</v>
      </c>
      <c r="M35" s="133">
        <v>98.07</v>
      </c>
      <c r="N35" s="133">
        <v>27.6</v>
      </c>
      <c r="O35" s="133">
        <v>0</v>
      </c>
      <c r="P35" s="133">
        <v>0.66</v>
      </c>
      <c r="Q35" s="133">
        <v>3.96</v>
      </c>
    </row>
    <row r="36" spans="1:17" customFormat="1">
      <c r="A36" s="111" t="s">
        <v>1226</v>
      </c>
      <c r="B36" s="133">
        <v>14.03</v>
      </c>
      <c r="C36" s="133">
        <v>23.1</v>
      </c>
      <c r="D36" s="133">
        <v>23.99</v>
      </c>
      <c r="E36" s="133">
        <v>7.4</v>
      </c>
      <c r="F36" s="133">
        <v>2.9</v>
      </c>
      <c r="G36" s="133">
        <v>40.729999999999997</v>
      </c>
      <c r="H36" s="133">
        <v>17.7</v>
      </c>
      <c r="I36" s="133">
        <v>16.170000000000002</v>
      </c>
      <c r="J36" s="133">
        <v>0.1</v>
      </c>
      <c r="K36" s="133">
        <v>214.38</v>
      </c>
      <c r="L36" s="133">
        <v>24.65</v>
      </c>
      <c r="M36" s="133">
        <v>97.26</v>
      </c>
      <c r="N36" s="133">
        <v>40.200000000000003</v>
      </c>
      <c r="O36" s="133">
        <v>0</v>
      </c>
      <c r="P36" s="133">
        <v>0.64</v>
      </c>
      <c r="Q36" s="133">
        <v>3.97</v>
      </c>
    </row>
    <row r="37" spans="1:17" customFormat="1">
      <c r="A37" s="111" t="s">
        <v>1227</v>
      </c>
      <c r="B37" s="133">
        <v>14.63</v>
      </c>
      <c r="C37" s="133">
        <v>21.51</v>
      </c>
      <c r="D37" s="133">
        <v>23.65</v>
      </c>
      <c r="E37" s="133">
        <v>7.36</v>
      </c>
      <c r="F37" s="133">
        <v>3.26</v>
      </c>
      <c r="G37" s="133">
        <v>37.17</v>
      </c>
      <c r="H37" s="133">
        <v>16.22</v>
      </c>
      <c r="I37" s="133">
        <v>15.85</v>
      </c>
      <c r="J37" s="133">
        <v>0.14000000000000001</v>
      </c>
      <c r="K37" s="133">
        <v>236.45</v>
      </c>
      <c r="L37" s="133">
        <v>25.1</v>
      </c>
      <c r="M37" s="133">
        <v>95.05</v>
      </c>
      <c r="N37" s="133">
        <v>57</v>
      </c>
      <c r="O37" s="133">
        <v>0</v>
      </c>
      <c r="P37" s="133">
        <v>0.64</v>
      </c>
      <c r="Q37" s="133">
        <v>3.96</v>
      </c>
    </row>
    <row r="38" spans="1:17" customFormat="1">
      <c r="A38" s="111" t="s">
        <v>1228</v>
      </c>
      <c r="B38" s="133">
        <v>15.07</v>
      </c>
      <c r="C38" s="133">
        <v>20.440000000000001</v>
      </c>
      <c r="D38" s="133">
        <v>23.44</v>
      </c>
      <c r="E38" s="133">
        <v>6.97</v>
      </c>
      <c r="F38" s="133">
        <v>3.21</v>
      </c>
      <c r="G38" s="133">
        <v>37.17</v>
      </c>
      <c r="H38" s="133">
        <v>16.22</v>
      </c>
      <c r="I38" s="133">
        <v>15.69</v>
      </c>
      <c r="J38" s="133">
        <v>0.21</v>
      </c>
      <c r="K38" s="133">
        <v>248.13</v>
      </c>
      <c r="L38" s="133">
        <v>25.66</v>
      </c>
      <c r="M38" s="133">
        <v>91.46</v>
      </c>
      <c r="N38" s="133">
        <v>88.8</v>
      </c>
      <c r="O38" s="133">
        <v>0</v>
      </c>
      <c r="P38" s="133">
        <v>0.62</v>
      </c>
      <c r="Q38" s="133">
        <v>3.95</v>
      </c>
    </row>
    <row r="39" spans="1:17" customFormat="1">
      <c r="A39" s="111" t="s">
        <v>1229</v>
      </c>
      <c r="B39" s="133">
        <v>15.17</v>
      </c>
      <c r="C39" s="133">
        <v>20.07</v>
      </c>
      <c r="D39" s="133">
        <v>23.32</v>
      </c>
      <c r="E39" s="133">
        <v>6.91</v>
      </c>
      <c r="F39" s="133">
        <v>3.03</v>
      </c>
      <c r="G39" s="133">
        <v>37.17</v>
      </c>
      <c r="H39" s="133">
        <v>16.22</v>
      </c>
      <c r="I39" s="133">
        <v>15.52</v>
      </c>
      <c r="J39" s="133">
        <v>0.14000000000000001</v>
      </c>
      <c r="K39" s="133">
        <v>219.54</v>
      </c>
      <c r="L39" s="133">
        <v>26.34</v>
      </c>
      <c r="M39" s="133">
        <v>87.88</v>
      </c>
      <c r="N39" s="133">
        <v>132.19999999999999</v>
      </c>
      <c r="O39" s="133">
        <v>0</v>
      </c>
      <c r="P39" s="133">
        <v>0.61</v>
      </c>
      <c r="Q39" s="133">
        <v>3.91</v>
      </c>
    </row>
    <row r="40" spans="1:17" customFormat="1">
      <c r="A40" s="111" t="s">
        <v>1230</v>
      </c>
      <c r="B40" s="133">
        <v>15.17</v>
      </c>
      <c r="C40" s="133">
        <v>19.739999999999998</v>
      </c>
      <c r="D40" s="133">
        <v>23.16</v>
      </c>
      <c r="E40" s="133">
        <v>7.02</v>
      </c>
      <c r="F40" s="133">
        <v>3.22</v>
      </c>
      <c r="G40" s="133">
        <v>37.630000000000003</v>
      </c>
      <c r="H40" s="133">
        <v>16.34</v>
      </c>
      <c r="I40" s="133">
        <v>15.35</v>
      </c>
      <c r="J40" s="133">
        <v>0.17</v>
      </c>
      <c r="K40" s="133">
        <v>265.20999999999998</v>
      </c>
      <c r="L40" s="133">
        <v>27.11</v>
      </c>
      <c r="M40" s="133">
        <v>84.22</v>
      </c>
      <c r="N40" s="133">
        <v>248.2</v>
      </c>
      <c r="O40" s="133">
        <v>0</v>
      </c>
      <c r="P40" s="133">
        <v>0.61</v>
      </c>
      <c r="Q40" s="133">
        <v>3.88</v>
      </c>
    </row>
    <row r="41" spans="1:17" customFormat="1">
      <c r="A41" s="111" t="s">
        <v>1231</v>
      </c>
      <c r="B41" s="133">
        <v>14.95</v>
      </c>
      <c r="C41" s="133">
        <v>19.649999999999999</v>
      </c>
      <c r="D41" s="133">
        <v>22.93</v>
      </c>
      <c r="E41" s="133">
        <v>6.68</v>
      </c>
      <c r="F41" s="133">
        <v>3.36</v>
      </c>
      <c r="G41" s="133">
        <v>41.26</v>
      </c>
      <c r="H41" s="133">
        <v>17.149999999999999</v>
      </c>
      <c r="I41" s="133">
        <v>15.13</v>
      </c>
      <c r="J41" s="133">
        <v>0.17</v>
      </c>
      <c r="K41" s="133">
        <v>228.25</v>
      </c>
      <c r="L41" s="133">
        <v>27.91</v>
      </c>
      <c r="M41" s="133">
        <v>79.5</v>
      </c>
      <c r="N41" s="133">
        <v>304.5</v>
      </c>
      <c r="O41" s="133">
        <v>0</v>
      </c>
      <c r="P41" s="133">
        <v>0.6</v>
      </c>
      <c r="Q41" s="133">
        <v>3.87</v>
      </c>
    </row>
    <row r="42" spans="1:17" customFormat="1">
      <c r="A42" s="111" t="s">
        <v>1232</v>
      </c>
      <c r="B42" s="133">
        <v>14.7</v>
      </c>
      <c r="C42" s="133">
        <v>20.010000000000002</v>
      </c>
      <c r="D42" s="133">
        <v>22.91</v>
      </c>
      <c r="E42" s="133">
        <v>6.43</v>
      </c>
      <c r="F42" s="133">
        <v>3.31</v>
      </c>
      <c r="G42" s="133">
        <v>41.26</v>
      </c>
      <c r="H42" s="133">
        <v>17.149999999999999</v>
      </c>
      <c r="I42" s="133">
        <v>14.84</v>
      </c>
      <c r="J42" s="133">
        <v>0.17</v>
      </c>
      <c r="K42" s="133">
        <v>227.7</v>
      </c>
      <c r="L42" s="133">
        <v>28.63</v>
      </c>
      <c r="M42" s="133">
        <v>77.010000000000005</v>
      </c>
      <c r="N42" s="133">
        <v>352.8</v>
      </c>
      <c r="O42" s="133">
        <v>0</v>
      </c>
      <c r="P42" s="133">
        <v>0.61</v>
      </c>
      <c r="Q42" s="133">
        <v>3.84</v>
      </c>
    </row>
    <row r="43" spans="1:17" customFormat="1">
      <c r="A43" s="111" t="s">
        <v>1233</v>
      </c>
      <c r="B43" s="133">
        <v>14.37</v>
      </c>
      <c r="C43" s="133">
        <v>21.83</v>
      </c>
      <c r="D43" s="133">
        <v>23.61</v>
      </c>
      <c r="E43" s="133">
        <v>6.79</v>
      </c>
      <c r="F43" s="133">
        <v>2.99</v>
      </c>
      <c r="G43" s="133">
        <v>41.26</v>
      </c>
      <c r="H43" s="133">
        <v>17.149999999999999</v>
      </c>
      <c r="I43" s="133">
        <v>14.74</v>
      </c>
      <c r="J43" s="133">
        <v>0.14000000000000001</v>
      </c>
      <c r="K43" s="133">
        <v>284.97000000000003</v>
      </c>
      <c r="L43" s="133">
        <v>29.49</v>
      </c>
      <c r="M43" s="133">
        <v>71.39</v>
      </c>
      <c r="N43" s="133">
        <v>399.4</v>
      </c>
      <c r="O43" s="133">
        <v>0</v>
      </c>
      <c r="P43" s="133">
        <v>0.64</v>
      </c>
      <c r="Q43" s="133">
        <v>3.84</v>
      </c>
    </row>
    <row r="44" spans="1:17" customFormat="1">
      <c r="A44" s="111" t="s">
        <v>1234</v>
      </c>
      <c r="B44" s="133">
        <v>14.14</v>
      </c>
      <c r="C44" s="133">
        <v>21.85</v>
      </c>
      <c r="D44" s="133">
        <v>23.43</v>
      </c>
      <c r="E44" s="133">
        <v>6.94</v>
      </c>
      <c r="F44" s="133">
        <v>3.46</v>
      </c>
      <c r="G44" s="133">
        <v>41.75</v>
      </c>
      <c r="H44" s="133">
        <v>17.350000000000001</v>
      </c>
      <c r="I44" s="133">
        <v>14.57</v>
      </c>
      <c r="J44" s="133">
        <v>7.0000000000000007E-2</v>
      </c>
      <c r="K44" s="133">
        <v>313.24</v>
      </c>
      <c r="L44" s="133">
        <v>30.09</v>
      </c>
      <c r="M44" s="133">
        <v>67.41</v>
      </c>
      <c r="N44" s="133">
        <v>450.6</v>
      </c>
      <c r="O44" s="133">
        <v>0</v>
      </c>
      <c r="P44" s="133">
        <v>0.65</v>
      </c>
      <c r="Q44" s="133">
        <v>3.83</v>
      </c>
    </row>
    <row r="45" spans="1:17" customFormat="1">
      <c r="A45" s="111" t="s">
        <v>1235</v>
      </c>
      <c r="B45" s="133">
        <v>13.78</v>
      </c>
      <c r="C45" s="133">
        <v>21.91</v>
      </c>
      <c r="D45" s="133">
        <v>23.17</v>
      </c>
      <c r="E45" s="133">
        <v>6.4</v>
      </c>
      <c r="F45" s="133">
        <v>4</v>
      </c>
      <c r="G45" s="133">
        <v>45.72</v>
      </c>
      <c r="H45" s="133">
        <v>18.63</v>
      </c>
      <c r="I45" s="133">
        <v>14.42</v>
      </c>
      <c r="J45" s="133">
        <v>0.2</v>
      </c>
      <c r="K45" s="133">
        <v>266.70999999999998</v>
      </c>
      <c r="L45" s="133">
        <v>30.69</v>
      </c>
      <c r="M45" s="133">
        <v>65.510000000000005</v>
      </c>
      <c r="N45" s="133">
        <v>492.3</v>
      </c>
      <c r="O45" s="133">
        <v>0</v>
      </c>
      <c r="P45" s="133">
        <v>0.66</v>
      </c>
      <c r="Q45" s="133">
        <v>3.83</v>
      </c>
    </row>
    <row r="46" spans="1:17" customFormat="1">
      <c r="A46" s="111" t="s">
        <v>1236</v>
      </c>
      <c r="B46" s="133">
        <v>13.14</v>
      </c>
      <c r="C46" s="133">
        <v>22.33</v>
      </c>
      <c r="D46" s="133">
        <v>22.88</v>
      </c>
      <c r="E46" s="133">
        <v>6.53</v>
      </c>
      <c r="F46" s="133">
        <v>3.75</v>
      </c>
      <c r="G46" s="133">
        <v>45.72</v>
      </c>
      <c r="H46" s="133">
        <v>18.63</v>
      </c>
      <c r="I46" s="133">
        <v>14.23</v>
      </c>
      <c r="J46" s="133">
        <v>0.31</v>
      </c>
      <c r="K46" s="133">
        <v>343.45</v>
      </c>
      <c r="L46" s="133">
        <v>31.07</v>
      </c>
      <c r="M46" s="133">
        <v>61.26</v>
      </c>
      <c r="N46" s="133">
        <v>403.2</v>
      </c>
      <c r="O46" s="133">
        <v>0</v>
      </c>
      <c r="P46" s="133">
        <v>0.66</v>
      </c>
      <c r="Q46" s="133">
        <v>3.77</v>
      </c>
    </row>
    <row r="47" spans="1:17" customFormat="1">
      <c r="A47" s="111" t="s">
        <v>1237</v>
      </c>
      <c r="B47" s="133">
        <v>12.23</v>
      </c>
      <c r="C47" s="133">
        <v>22.6</v>
      </c>
      <c r="D47" s="133">
        <v>22.29</v>
      </c>
      <c r="E47" s="133">
        <v>6.54</v>
      </c>
      <c r="F47" s="133">
        <v>6.21</v>
      </c>
      <c r="G47" s="133">
        <v>45.72</v>
      </c>
      <c r="H47" s="133">
        <v>18.63</v>
      </c>
      <c r="I47" s="133">
        <v>14.07</v>
      </c>
      <c r="J47" s="133">
        <v>0.33</v>
      </c>
      <c r="K47" s="133">
        <v>7.82</v>
      </c>
      <c r="L47" s="133">
        <v>31.45</v>
      </c>
      <c r="M47" s="133">
        <v>58.06</v>
      </c>
      <c r="N47" s="133">
        <v>416.7</v>
      </c>
      <c r="O47" s="133">
        <v>0</v>
      </c>
      <c r="P47" s="133">
        <v>0.67</v>
      </c>
      <c r="Q47" s="133">
        <v>3.74</v>
      </c>
    </row>
    <row r="48" spans="1:17" customFormat="1">
      <c r="A48" s="111" t="s">
        <v>1238</v>
      </c>
      <c r="B48" s="133">
        <v>11.7</v>
      </c>
      <c r="C48" s="133">
        <v>22.96</v>
      </c>
      <c r="D48" s="133">
        <v>22.05</v>
      </c>
      <c r="E48" s="133">
        <v>6.64</v>
      </c>
      <c r="F48" s="133">
        <v>5.87</v>
      </c>
      <c r="G48" s="133">
        <v>46.34</v>
      </c>
      <c r="H48" s="133">
        <v>18.79</v>
      </c>
      <c r="I48" s="133">
        <v>13.8</v>
      </c>
      <c r="J48" s="133">
        <v>0.2</v>
      </c>
      <c r="K48" s="133">
        <v>301.45</v>
      </c>
      <c r="L48" s="133">
        <v>31.89</v>
      </c>
      <c r="M48" s="133">
        <v>56.65</v>
      </c>
      <c r="N48" s="133">
        <v>522.4</v>
      </c>
      <c r="O48" s="133">
        <v>0</v>
      </c>
      <c r="P48" s="133">
        <v>0.68</v>
      </c>
      <c r="Q48" s="133">
        <v>3.7</v>
      </c>
    </row>
    <row r="49" spans="1:17" customFormat="1">
      <c r="A49" s="111" t="s">
        <v>1239</v>
      </c>
      <c r="B49" s="133">
        <v>11.02</v>
      </c>
      <c r="C49" s="133">
        <v>22.98</v>
      </c>
      <c r="D49" s="133">
        <v>21.51</v>
      </c>
      <c r="E49" s="133">
        <v>7.18</v>
      </c>
      <c r="F49" s="133">
        <v>6.68</v>
      </c>
      <c r="G49" s="133">
        <v>51.34</v>
      </c>
      <c r="H49" s="133">
        <v>19.8</v>
      </c>
      <c r="I49" s="133">
        <v>13.45</v>
      </c>
      <c r="J49" s="133">
        <v>0.35</v>
      </c>
      <c r="K49" s="133">
        <v>12.79</v>
      </c>
      <c r="L49" s="133">
        <v>32.4</v>
      </c>
      <c r="M49" s="133">
        <v>53.72</v>
      </c>
      <c r="N49" s="133">
        <v>628.70000000000005</v>
      </c>
      <c r="O49" s="133">
        <v>0</v>
      </c>
      <c r="P49" s="133">
        <v>0.68</v>
      </c>
      <c r="Q49" s="133">
        <v>3.66</v>
      </c>
    </row>
    <row r="50" spans="1:17" customFormat="1">
      <c r="A50" s="111" t="s">
        <v>1240</v>
      </c>
      <c r="B50" s="133">
        <v>10.58</v>
      </c>
      <c r="C50" s="133">
        <v>23.68</v>
      </c>
      <c r="D50" s="133">
        <v>21.53</v>
      </c>
      <c r="E50" s="133">
        <v>10.6</v>
      </c>
      <c r="F50" s="133">
        <v>6.73</v>
      </c>
      <c r="G50" s="133">
        <v>51.34</v>
      </c>
      <c r="H50" s="133">
        <v>19.8</v>
      </c>
      <c r="I50" s="133">
        <v>13.2</v>
      </c>
      <c r="J50" s="133">
        <v>0.37</v>
      </c>
      <c r="K50" s="133">
        <v>15.88</v>
      </c>
      <c r="L50" s="133">
        <v>32.97</v>
      </c>
      <c r="M50" s="133">
        <v>51.82</v>
      </c>
      <c r="N50" s="133">
        <v>655.29999999999995</v>
      </c>
      <c r="O50" s="133">
        <v>0</v>
      </c>
      <c r="P50" s="133">
        <v>0.69</v>
      </c>
      <c r="Q50" s="133">
        <v>3.62</v>
      </c>
    </row>
    <row r="51" spans="1:17" customFormat="1">
      <c r="A51" s="111" t="s">
        <v>1241</v>
      </c>
      <c r="B51" s="133">
        <v>10.15</v>
      </c>
      <c r="C51" s="133">
        <v>23.97</v>
      </c>
      <c r="D51" s="133">
        <v>21.33</v>
      </c>
      <c r="E51" s="133">
        <v>11.24</v>
      </c>
      <c r="F51" s="133">
        <v>6.91</v>
      </c>
      <c r="G51" s="133">
        <v>51.34</v>
      </c>
      <c r="H51" s="133">
        <v>19.8</v>
      </c>
      <c r="I51" s="133">
        <v>13.09</v>
      </c>
      <c r="J51" s="133">
        <v>0.3</v>
      </c>
      <c r="K51" s="133">
        <v>334.68</v>
      </c>
      <c r="L51" s="133">
        <v>32.97</v>
      </c>
      <c r="M51" s="133">
        <v>53.12</v>
      </c>
      <c r="N51" s="133">
        <v>606.6</v>
      </c>
      <c r="O51" s="133">
        <v>0</v>
      </c>
      <c r="P51" s="133">
        <v>0.69</v>
      </c>
      <c r="Q51" s="133">
        <v>3.62</v>
      </c>
    </row>
    <row r="52" spans="1:17" customFormat="1">
      <c r="A52" s="111" t="s">
        <v>1242</v>
      </c>
      <c r="B52" s="133">
        <v>9.81</v>
      </c>
      <c r="C52" s="133">
        <v>24.1</v>
      </c>
      <c r="D52" s="133">
        <v>21.13</v>
      </c>
      <c r="E52" s="133">
        <v>12.41</v>
      </c>
      <c r="F52" s="133">
        <v>10.6</v>
      </c>
      <c r="G52" s="133">
        <v>53.73</v>
      </c>
      <c r="H52" s="133">
        <v>20.81</v>
      </c>
      <c r="I52" s="133">
        <v>12.98</v>
      </c>
      <c r="J52" s="133">
        <v>0.73</v>
      </c>
      <c r="K52" s="133">
        <v>30.17</v>
      </c>
      <c r="L52" s="133">
        <v>32.79</v>
      </c>
      <c r="M52" s="133">
        <v>53.41</v>
      </c>
      <c r="N52" s="133">
        <v>611.79999999999995</v>
      </c>
      <c r="O52" s="133">
        <v>0</v>
      </c>
      <c r="P52" s="133">
        <v>0.7</v>
      </c>
      <c r="Q52" s="133">
        <v>3.58</v>
      </c>
    </row>
    <row r="53" spans="1:17" customFormat="1">
      <c r="A53" s="111" t="s">
        <v>1243</v>
      </c>
      <c r="B53" s="133">
        <v>9.51</v>
      </c>
      <c r="C53" s="133">
        <v>23.49</v>
      </c>
      <c r="D53" s="133">
        <v>20.57</v>
      </c>
      <c r="E53" s="133">
        <v>9.94</v>
      </c>
      <c r="F53" s="133">
        <v>9.23</v>
      </c>
      <c r="G53" s="133">
        <v>72.86</v>
      </c>
      <c r="H53" s="133">
        <v>27.26</v>
      </c>
      <c r="I53" s="133">
        <v>12.94</v>
      </c>
      <c r="J53" s="133">
        <v>0.45</v>
      </c>
      <c r="K53" s="133">
        <v>5.05</v>
      </c>
      <c r="L53" s="133">
        <v>33.049999999999997</v>
      </c>
      <c r="M53" s="133">
        <v>51.25</v>
      </c>
      <c r="N53" s="133">
        <v>727.7</v>
      </c>
      <c r="O53" s="133">
        <v>0</v>
      </c>
      <c r="P53" s="133">
        <v>0.69</v>
      </c>
      <c r="Q53" s="133">
        <v>3.54</v>
      </c>
    </row>
    <row r="54" spans="1:17" customFormat="1">
      <c r="A54" s="111" t="s">
        <v>1244</v>
      </c>
      <c r="B54" s="133">
        <v>9.11</v>
      </c>
      <c r="C54" s="133">
        <v>24</v>
      </c>
      <c r="D54" s="133">
        <v>20.52</v>
      </c>
      <c r="E54" s="133">
        <v>9.5399999999999991</v>
      </c>
      <c r="F54" s="133">
        <v>8.51</v>
      </c>
      <c r="G54" s="133">
        <v>72.86</v>
      </c>
      <c r="H54" s="133">
        <v>27.26</v>
      </c>
      <c r="I54" s="133">
        <v>12.33</v>
      </c>
      <c r="J54" s="133">
        <v>0.5</v>
      </c>
      <c r="K54" s="133">
        <v>13.56</v>
      </c>
      <c r="L54" s="133">
        <v>33.47</v>
      </c>
      <c r="M54" s="133">
        <v>47.75</v>
      </c>
      <c r="N54" s="133">
        <v>747.8</v>
      </c>
      <c r="O54" s="133">
        <v>0</v>
      </c>
      <c r="P54" s="133">
        <v>0.68</v>
      </c>
      <c r="Q54" s="133">
        <v>3.5</v>
      </c>
    </row>
    <row r="55" spans="1:17" customFormat="1">
      <c r="A55" s="111" t="s">
        <v>1245</v>
      </c>
      <c r="B55" s="133">
        <v>8.59</v>
      </c>
      <c r="C55" s="133">
        <v>24.74</v>
      </c>
      <c r="D55" s="133">
        <v>20.49</v>
      </c>
      <c r="E55" s="133">
        <v>11.81</v>
      </c>
      <c r="F55" s="133">
        <v>8.0399999999999991</v>
      </c>
      <c r="G55" s="133">
        <v>72.86</v>
      </c>
      <c r="H55" s="133">
        <v>27.26</v>
      </c>
      <c r="I55" s="133">
        <v>12.29</v>
      </c>
      <c r="J55" s="133">
        <v>0.64</v>
      </c>
      <c r="K55" s="133">
        <v>23.84</v>
      </c>
      <c r="L55" s="133">
        <v>33.590000000000003</v>
      </c>
      <c r="M55" s="133">
        <v>44.41</v>
      </c>
      <c r="N55" s="133">
        <v>745.4</v>
      </c>
      <c r="O55" s="133">
        <v>0</v>
      </c>
      <c r="P55" s="133">
        <v>0.69</v>
      </c>
      <c r="Q55" s="133">
        <v>3.5</v>
      </c>
    </row>
    <row r="56" spans="1:17" customFormat="1">
      <c r="A56" s="111" t="s">
        <v>1246</v>
      </c>
      <c r="B56" s="133">
        <v>8.01</v>
      </c>
      <c r="C56" s="133">
        <v>24.87</v>
      </c>
      <c r="D56" s="133">
        <v>20.09</v>
      </c>
      <c r="E56" s="133">
        <v>11.3</v>
      </c>
      <c r="F56" s="133">
        <v>10.07</v>
      </c>
      <c r="G56" s="133">
        <v>73.02</v>
      </c>
      <c r="H56" s="133">
        <v>26.6</v>
      </c>
      <c r="I56" s="133">
        <v>12.01</v>
      </c>
      <c r="J56" s="133">
        <v>0.45</v>
      </c>
      <c r="K56" s="133">
        <v>3.94</v>
      </c>
      <c r="L56" s="133">
        <v>33.71</v>
      </c>
      <c r="M56" s="133">
        <v>42.16</v>
      </c>
      <c r="N56" s="133">
        <v>772.3</v>
      </c>
      <c r="O56" s="133">
        <v>0</v>
      </c>
      <c r="P56" s="133">
        <v>0.66</v>
      </c>
      <c r="Q56" s="133">
        <v>3.52</v>
      </c>
    </row>
    <row r="57" spans="1:17" customFormat="1">
      <c r="A57" s="111" t="s">
        <v>1247</v>
      </c>
      <c r="B57" s="133">
        <v>7.23</v>
      </c>
      <c r="C57" s="133">
        <v>24.9</v>
      </c>
      <c r="D57" s="133">
        <v>19.489999999999998</v>
      </c>
      <c r="E57" s="133">
        <v>10.49</v>
      </c>
      <c r="F57" s="133">
        <v>10.07</v>
      </c>
      <c r="G57" s="133">
        <v>74.290000000000006</v>
      </c>
      <c r="H57" s="133">
        <v>22.41</v>
      </c>
      <c r="I57" s="133">
        <v>11.55</v>
      </c>
      <c r="J57" s="133">
        <v>0.41</v>
      </c>
      <c r="K57" s="133">
        <v>5.94</v>
      </c>
      <c r="L57" s="133">
        <v>34</v>
      </c>
      <c r="M57" s="133">
        <v>43.62</v>
      </c>
      <c r="N57" s="133">
        <v>749.8</v>
      </c>
      <c r="O57" s="133">
        <v>0</v>
      </c>
      <c r="P57" s="133">
        <v>0.65</v>
      </c>
      <c r="Q57" s="133">
        <v>3.52</v>
      </c>
    </row>
    <row r="58" spans="1:17" customFormat="1">
      <c r="A58" s="111" t="s">
        <v>1248</v>
      </c>
      <c r="B58" s="133">
        <v>6.89</v>
      </c>
      <c r="C58" s="133">
        <v>25.19</v>
      </c>
      <c r="D58" s="133">
        <v>19.37</v>
      </c>
      <c r="E58" s="133">
        <v>10.39</v>
      </c>
      <c r="F58" s="133">
        <v>7.58</v>
      </c>
      <c r="G58" s="133">
        <v>74.290000000000006</v>
      </c>
      <c r="H58" s="133">
        <v>22.41</v>
      </c>
      <c r="I58" s="133">
        <v>10.85</v>
      </c>
      <c r="J58" s="133">
        <v>0.46</v>
      </c>
      <c r="K58" s="133">
        <v>297.16000000000003</v>
      </c>
      <c r="L58" s="133">
        <v>34.18</v>
      </c>
      <c r="M58" s="133">
        <v>43.07</v>
      </c>
      <c r="N58" s="133">
        <v>702.3</v>
      </c>
      <c r="O58" s="133">
        <v>0</v>
      </c>
      <c r="P58" s="133">
        <v>0.66</v>
      </c>
      <c r="Q58" s="133">
        <v>3.48</v>
      </c>
    </row>
    <row r="59" spans="1:17" customFormat="1">
      <c r="A59" s="111" t="s">
        <v>1249</v>
      </c>
      <c r="B59" s="133">
        <v>6.45</v>
      </c>
      <c r="C59" s="133">
        <v>25.56</v>
      </c>
      <c r="D59" s="133">
        <v>19.2</v>
      </c>
      <c r="E59" s="133">
        <v>10.08</v>
      </c>
      <c r="F59" s="133">
        <v>7.52</v>
      </c>
      <c r="G59" s="133">
        <v>74.290000000000006</v>
      </c>
      <c r="H59" s="133">
        <v>22.41</v>
      </c>
      <c r="I59" s="133">
        <v>10.68</v>
      </c>
      <c r="J59" s="133">
        <v>0.27</v>
      </c>
      <c r="K59" s="133">
        <v>326.29000000000002</v>
      </c>
      <c r="L59" s="133">
        <v>34.450000000000003</v>
      </c>
      <c r="M59" s="133">
        <v>43.57</v>
      </c>
      <c r="N59" s="133">
        <v>694.4</v>
      </c>
      <c r="O59" s="133">
        <v>0</v>
      </c>
      <c r="P59" s="133">
        <v>0.64</v>
      </c>
      <c r="Q59" s="133">
        <v>3.49</v>
      </c>
    </row>
    <row r="60" spans="1:17" customFormat="1">
      <c r="A60" s="111" t="s">
        <v>1250</v>
      </c>
      <c r="B60" s="133">
        <v>6.37</v>
      </c>
      <c r="C60" s="133">
        <v>25.15</v>
      </c>
      <c r="D60" s="133">
        <v>18.93</v>
      </c>
      <c r="E60" s="133">
        <v>11.84</v>
      </c>
      <c r="F60" s="133">
        <v>9.9499999999999993</v>
      </c>
      <c r="G60" s="133">
        <v>74.180000000000007</v>
      </c>
      <c r="H60" s="133">
        <v>22.41</v>
      </c>
      <c r="I60" s="133">
        <v>10.63</v>
      </c>
      <c r="J60" s="133">
        <v>0.63</v>
      </c>
      <c r="K60" s="133">
        <v>26.99</v>
      </c>
      <c r="L60" s="133">
        <v>34.229999999999997</v>
      </c>
      <c r="M60" s="133">
        <v>46.65</v>
      </c>
      <c r="N60" s="133">
        <v>652</v>
      </c>
      <c r="O60" s="133">
        <v>0</v>
      </c>
      <c r="P60" s="133">
        <v>0.65</v>
      </c>
      <c r="Q60" s="133">
        <v>3.44</v>
      </c>
    </row>
    <row r="61" spans="1:17" customFormat="1">
      <c r="A61" s="111" t="s">
        <v>1251</v>
      </c>
      <c r="B61" s="133">
        <v>6.28</v>
      </c>
      <c r="C61" s="133">
        <v>24.85</v>
      </c>
      <c r="D61" s="133">
        <v>18.7</v>
      </c>
      <c r="E61" s="133">
        <v>11.72</v>
      </c>
      <c r="F61" s="133">
        <v>10.1</v>
      </c>
      <c r="G61" s="133">
        <v>73.319999999999993</v>
      </c>
      <c r="H61" s="133">
        <v>22.39</v>
      </c>
      <c r="I61" s="133">
        <v>10.17</v>
      </c>
      <c r="J61" s="133">
        <v>0.61</v>
      </c>
      <c r="K61" s="133">
        <v>31.35</v>
      </c>
      <c r="L61" s="133">
        <v>34.01</v>
      </c>
      <c r="M61" s="133">
        <v>46.92</v>
      </c>
      <c r="N61" s="133">
        <v>633.70000000000005</v>
      </c>
      <c r="O61" s="133">
        <v>0</v>
      </c>
      <c r="P61" s="133">
        <v>0.64</v>
      </c>
      <c r="Q61" s="133">
        <v>3.42</v>
      </c>
    </row>
    <row r="62" spans="1:17" customFormat="1">
      <c r="A62" s="111" t="s">
        <v>1252</v>
      </c>
      <c r="B62" s="133">
        <v>6.21</v>
      </c>
      <c r="C62" s="133">
        <v>24.24</v>
      </c>
      <c r="D62" s="133">
        <v>18.32</v>
      </c>
      <c r="E62" s="133">
        <v>12.36</v>
      </c>
      <c r="F62" s="133">
        <v>10.07</v>
      </c>
      <c r="G62" s="133">
        <v>73.319999999999993</v>
      </c>
      <c r="H62" s="133">
        <v>22.39</v>
      </c>
      <c r="I62" s="133">
        <v>9.68</v>
      </c>
      <c r="J62" s="133">
        <v>0.68</v>
      </c>
      <c r="K62" s="133">
        <v>24.45</v>
      </c>
      <c r="L62" s="133">
        <v>33.94</v>
      </c>
      <c r="M62" s="133">
        <v>44.9</v>
      </c>
      <c r="N62" s="133">
        <v>623.6</v>
      </c>
      <c r="O62" s="133">
        <v>0</v>
      </c>
      <c r="P62" s="133">
        <v>0.64</v>
      </c>
      <c r="Q62" s="133">
        <v>3.43</v>
      </c>
    </row>
    <row r="63" spans="1:17" customFormat="1">
      <c r="A63" s="111" t="s">
        <v>1253</v>
      </c>
      <c r="B63" s="133">
        <v>6.35</v>
      </c>
      <c r="C63" s="133">
        <v>24.14</v>
      </c>
      <c r="D63" s="133">
        <v>18.38</v>
      </c>
      <c r="E63" s="133">
        <v>11.39</v>
      </c>
      <c r="F63" s="133">
        <v>10.9</v>
      </c>
      <c r="G63" s="133">
        <v>73.319999999999993</v>
      </c>
      <c r="H63" s="133">
        <v>22.39</v>
      </c>
      <c r="I63" s="133">
        <v>9.3800000000000008</v>
      </c>
      <c r="J63" s="133">
        <v>0.65</v>
      </c>
      <c r="K63" s="133">
        <v>27.2</v>
      </c>
      <c r="L63" s="133">
        <v>34</v>
      </c>
      <c r="M63" s="133">
        <v>44.92</v>
      </c>
      <c r="N63" s="133">
        <v>595.20000000000005</v>
      </c>
      <c r="O63" s="133">
        <v>0</v>
      </c>
      <c r="P63" s="133">
        <v>0.63</v>
      </c>
      <c r="Q63" s="133">
        <v>3.44</v>
      </c>
    </row>
    <row r="64" spans="1:17" customFormat="1">
      <c r="A64" s="111" t="s">
        <v>1254</v>
      </c>
      <c r="B64" s="133">
        <v>6.37</v>
      </c>
      <c r="C64" s="133">
        <v>25.1</v>
      </c>
      <c r="D64" s="133">
        <v>18.899999999999999</v>
      </c>
      <c r="E64" s="133">
        <v>11.02</v>
      </c>
      <c r="F64" s="133">
        <v>8.81</v>
      </c>
      <c r="G64" s="133">
        <v>73.58</v>
      </c>
      <c r="H64" s="133">
        <v>22.46</v>
      </c>
      <c r="I64" s="133">
        <v>9.1</v>
      </c>
      <c r="J64" s="133">
        <v>0.55000000000000004</v>
      </c>
      <c r="K64" s="133">
        <v>33.89</v>
      </c>
      <c r="L64" s="133">
        <v>34.29</v>
      </c>
      <c r="M64" s="133">
        <v>43.44</v>
      </c>
      <c r="N64" s="133">
        <v>568.29999999999995</v>
      </c>
      <c r="O64" s="133">
        <v>0</v>
      </c>
      <c r="P64" s="133">
        <v>0.63</v>
      </c>
      <c r="Q64" s="133">
        <v>3.46</v>
      </c>
    </row>
    <row r="65" spans="1:17" customFormat="1">
      <c r="A65" s="111" t="s">
        <v>1255</v>
      </c>
      <c r="B65" s="133">
        <v>6.49</v>
      </c>
      <c r="C65" s="133">
        <v>25.34</v>
      </c>
      <c r="D65" s="133">
        <v>19.12</v>
      </c>
      <c r="E65" s="133">
        <v>10.98</v>
      </c>
      <c r="F65" s="133">
        <v>8.1199999999999992</v>
      </c>
      <c r="G65" s="133">
        <v>75.69</v>
      </c>
      <c r="H65" s="133">
        <v>22.87</v>
      </c>
      <c r="I65" s="133">
        <v>8.83</v>
      </c>
      <c r="J65" s="133">
        <v>0.47</v>
      </c>
      <c r="K65" s="133">
        <v>33.15</v>
      </c>
      <c r="L65" s="133">
        <v>34.21</v>
      </c>
      <c r="M65" s="133">
        <v>42.4</v>
      </c>
      <c r="N65" s="133">
        <v>526.4</v>
      </c>
      <c r="O65" s="133">
        <v>0</v>
      </c>
      <c r="P65" s="133">
        <v>0.61</v>
      </c>
      <c r="Q65" s="133">
        <v>3.5</v>
      </c>
    </row>
    <row r="66" spans="1:17" customFormat="1">
      <c r="A66" s="111" t="s">
        <v>1256</v>
      </c>
      <c r="B66" s="133">
        <v>6.61</v>
      </c>
      <c r="C66" s="133">
        <v>25.29</v>
      </c>
      <c r="D66" s="133">
        <v>19.190000000000001</v>
      </c>
      <c r="E66" s="133">
        <v>10.64</v>
      </c>
      <c r="F66" s="133">
        <v>8.2200000000000006</v>
      </c>
      <c r="G66" s="133">
        <v>75.69</v>
      </c>
      <c r="H66" s="133">
        <v>22.87</v>
      </c>
      <c r="I66" s="133">
        <v>8.65</v>
      </c>
      <c r="J66" s="133">
        <v>0.57999999999999996</v>
      </c>
      <c r="K66" s="133">
        <v>32.99</v>
      </c>
      <c r="L66" s="133">
        <v>34.049999999999997</v>
      </c>
      <c r="M66" s="133">
        <v>43.57</v>
      </c>
      <c r="N66" s="133">
        <v>389.4</v>
      </c>
      <c r="O66" s="133">
        <v>0</v>
      </c>
      <c r="P66" s="133">
        <v>0.62</v>
      </c>
      <c r="Q66" s="133">
        <v>3.47</v>
      </c>
    </row>
    <row r="67" spans="1:17" customFormat="1">
      <c r="A67" s="111" t="s">
        <v>1257</v>
      </c>
      <c r="B67" s="133">
        <v>6.67</v>
      </c>
      <c r="C67" s="133">
        <v>25.2</v>
      </c>
      <c r="D67" s="133">
        <v>19.2</v>
      </c>
      <c r="E67" s="133">
        <v>11.02</v>
      </c>
      <c r="F67" s="133">
        <v>10.26</v>
      </c>
      <c r="G67" s="133">
        <v>75.69</v>
      </c>
      <c r="H67" s="133">
        <v>22.87</v>
      </c>
      <c r="I67" s="133">
        <v>8.5399999999999991</v>
      </c>
      <c r="J67" s="133">
        <v>0.35</v>
      </c>
      <c r="K67" s="133">
        <v>31.88</v>
      </c>
      <c r="L67" s="133">
        <v>33.659999999999997</v>
      </c>
      <c r="M67" s="133">
        <v>43.41</v>
      </c>
      <c r="N67" s="133">
        <v>116.7</v>
      </c>
      <c r="O67" s="133">
        <v>0</v>
      </c>
      <c r="P67" s="133">
        <v>0.61</v>
      </c>
      <c r="Q67" s="133">
        <v>3.45</v>
      </c>
    </row>
    <row r="68" spans="1:17" customFormat="1">
      <c r="A68" s="111" t="s">
        <v>1258</v>
      </c>
      <c r="B68" s="133">
        <v>6.49</v>
      </c>
      <c r="C68" s="133">
        <v>25.66</v>
      </c>
      <c r="D68" s="133">
        <v>19.29</v>
      </c>
      <c r="E68" s="133">
        <v>10.4</v>
      </c>
      <c r="F68" s="133">
        <v>6.68</v>
      </c>
      <c r="G68" s="133">
        <v>75.72</v>
      </c>
      <c r="H68" s="133">
        <v>22.39</v>
      </c>
      <c r="I68" s="133">
        <v>8.31</v>
      </c>
      <c r="J68" s="133">
        <v>0.47</v>
      </c>
      <c r="K68" s="133">
        <v>46.83</v>
      </c>
      <c r="L68" s="133">
        <v>33.07</v>
      </c>
      <c r="M68" s="133">
        <v>44.72</v>
      </c>
      <c r="N68" s="133">
        <v>101.2</v>
      </c>
      <c r="O68" s="133">
        <v>0</v>
      </c>
      <c r="P68" s="133">
        <v>0.62</v>
      </c>
      <c r="Q68" s="133">
        <v>3.46</v>
      </c>
    </row>
    <row r="69" spans="1:17" customFormat="1">
      <c r="A69" s="111" t="s">
        <v>1259</v>
      </c>
      <c r="B69" s="133">
        <v>6.34</v>
      </c>
      <c r="C69" s="133">
        <v>25.88</v>
      </c>
      <c r="D69" s="133">
        <v>19.28</v>
      </c>
      <c r="E69" s="133">
        <v>11.21</v>
      </c>
      <c r="F69" s="133">
        <v>9.8699999999999992</v>
      </c>
      <c r="G69" s="133">
        <v>75.95</v>
      </c>
      <c r="H69" s="133">
        <v>19.399999999999999</v>
      </c>
      <c r="I69" s="133">
        <v>7.99</v>
      </c>
      <c r="J69" s="133">
        <v>0.35</v>
      </c>
      <c r="K69" s="133">
        <v>52.91</v>
      </c>
      <c r="L69" s="133">
        <v>32.86</v>
      </c>
      <c r="M69" s="133">
        <v>44.64</v>
      </c>
      <c r="N69" s="133">
        <v>91.5</v>
      </c>
      <c r="O69" s="133">
        <v>0</v>
      </c>
      <c r="P69" s="133">
        <v>0.61</v>
      </c>
      <c r="Q69" s="133">
        <v>3.46</v>
      </c>
    </row>
    <row r="70" spans="1:17" customFormat="1">
      <c r="A70" s="111" t="s">
        <v>1260</v>
      </c>
      <c r="B70" s="133">
        <v>6.41</v>
      </c>
      <c r="C70" s="133">
        <v>25.34</v>
      </c>
      <c r="D70" s="133">
        <v>19.05</v>
      </c>
      <c r="E70" s="133">
        <v>11.26</v>
      </c>
      <c r="F70" s="133">
        <v>11.32</v>
      </c>
      <c r="G70" s="133">
        <v>75.95</v>
      </c>
      <c r="H70" s="133">
        <v>19.399999999999999</v>
      </c>
      <c r="I70" s="133">
        <v>8.02</v>
      </c>
      <c r="J70" s="133">
        <v>0.48</v>
      </c>
      <c r="K70" s="133">
        <v>43.3</v>
      </c>
      <c r="L70" s="133">
        <v>32.65</v>
      </c>
      <c r="M70" s="133">
        <v>46.11</v>
      </c>
      <c r="N70" s="133">
        <v>144.80000000000001</v>
      </c>
      <c r="O70" s="133">
        <v>0</v>
      </c>
      <c r="P70" s="133">
        <v>0.61</v>
      </c>
      <c r="Q70" s="133">
        <v>3.47</v>
      </c>
    </row>
    <row r="71" spans="1:17" customFormat="1">
      <c r="A71" s="111" t="s">
        <v>1261</v>
      </c>
      <c r="B71" s="133">
        <v>6.45</v>
      </c>
      <c r="C71" s="133">
        <v>25.86</v>
      </c>
      <c r="D71" s="133">
        <v>19.350000000000001</v>
      </c>
      <c r="E71" s="133">
        <v>11.86</v>
      </c>
      <c r="F71" s="133">
        <v>10.54</v>
      </c>
      <c r="G71" s="133">
        <v>75.95</v>
      </c>
      <c r="H71" s="133">
        <v>19.399999999999999</v>
      </c>
      <c r="I71" s="133">
        <v>7.63</v>
      </c>
      <c r="J71" s="133">
        <v>0.35</v>
      </c>
      <c r="K71" s="133">
        <v>51.16</v>
      </c>
      <c r="L71" s="133">
        <v>32.520000000000003</v>
      </c>
      <c r="M71" s="133">
        <v>44.95</v>
      </c>
      <c r="N71" s="133">
        <v>70.099999999999994</v>
      </c>
      <c r="O71" s="133">
        <v>0</v>
      </c>
      <c r="P71" s="133">
        <v>0.6</v>
      </c>
      <c r="Q71" s="133">
        <v>3.47</v>
      </c>
    </row>
    <row r="72" spans="1:17" customFormat="1">
      <c r="A72" s="111" t="s">
        <v>1262</v>
      </c>
      <c r="B72" s="133">
        <v>6.5</v>
      </c>
      <c r="C72" s="133">
        <v>25.82</v>
      </c>
      <c r="D72" s="133">
        <v>19.38</v>
      </c>
      <c r="E72" s="133">
        <v>11.7</v>
      </c>
      <c r="F72" s="133">
        <v>11.68</v>
      </c>
      <c r="G72" s="133">
        <v>75.06</v>
      </c>
      <c r="H72" s="133">
        <v>19.52</v>
      </c>
      <c r="I72" s="133">
        <v>7.39</v>
      </c>
      <c r="J72" s="133">
        <v>0.28999999999999998</v>
      </c>
      <c r="K72" s="133">
        <v>70.28</v>
      </c>
      <c r="L72" s="133">
        <v>32.42</v>
      </c>
      <c r="M72" s="133">
        <v>45.03</v>
      </c>
      <c r="N72" s="133">
        <v>53.2</v>
      </c>
      <c r="O72" s="133">
        <v>0</v>
      </c>
      <c r="P72" s="133">
        <v>0.6</v>
      </c>
      <c r="Q72" s="133">
        <v>3.5</v>
      </c>
    </row>
    <row r="73" spans="1:17" customFormat="1">
      <c r="A73" s="111" t="s">
        <v>1263</v>
      </c>
      <c r="B73" s="133">
        <v>6.67</v>
      </c>
      <c r="C73" s="133">
        <v>26.12</v>
      </c>
      <c r="D73" s="133">
        <v>19.68</v>
      </c>
      <c r="E73" s="133">
        <v>11.72</v>
      </c>
      <c r="F73" s="133">
        <v>9.81</v>
      </c>
      <c r="G73" s="133">
        <v>67.91</v>
      </c>
      <c r="H73" s="133">
        <v>20.23</v>
      </c>
      <c r="I73" s="133">
        <v>7.25</v>
      </c>
      <c r="J73" s="133">
        <v>0.27</v>
      </c>
      <c r="K73" s="133">
        <v>68</v>
      </c>
      <c r="L73" s="133">
        <v>32.31</v>
      </c>
      <c r="M73" s="133">
        <v>45</v>
      </c>
      <c r="N73" s="133">
        <v>42.3</v>
      </c>
      <c r="O73" s="133">
        <v>0</v>
      </c>
      <c r="P73" s="133">
        <v>0.6</v>
      </c>
      <c r="Q73" s="133">
        <v>3.49</v>
      </c>
    </row>
    <row r="74" spans="1:17" customFormat="1">
      <c r="A74" s="111" t="s">
        <v>1264</v>
      </c>
      <c r="B74" s="133">
        <v>6.56</v>
      </c>
      <c r="C74" s="133">
        <v>25.78</v>
      </c>
      <c r="D74" s="133">
        <v>19.41</v>
      </c>
      <c r="E74" s="133">
        <v>11.91</v>
      </c>
      <c r="F74" s="133">
        <v>11.84</v>
      </c>
      <c r="G74" s="133">
        <v>67.91</v>
      </c>
      <c r="H74" s="133">
        <v>20.23</v>
      </c>
      <c r="I74" s="133">
        <v>6.95</v>
      </c>
      <c r="J74" s="133">
        <v>0.27</v>
      </c>
      <c r="K74" s="133">
        <v>90.86</v>
      </c>
      <c r="L74" s="133">
        <v>32.17</v>
      </c>
      <c r="M74" s="133">
        <v>44.49</v>
      </c>
      <c r="N74" s="133">
        <v>37.700000000000003</v>
      </c>
      <c r="O74" s="133">
        <v>0</v>
      </c>
      <c r="P74" s="133">
        <v>0.6</v>
      </c>
      <c r="Q74" s="133">
        <v>3.5</v>
      </c>
    </row>
    <row r="75" spans="1:17" customFormat="1">
      <c r="A75" s="111" t="s">
        <v>1265</v>
      </c>
      <c r="B75" s="133">
        <v>6.69</v>
      </c>
      <c r="C75" s="133">
        <v>25.59</v>
      </c>
      <c r="D75" s="133">
        <v>19.41</v>
      </c>
      <c r="E75" s="133">
        <v>10.99</v>
      </c>
      <c r="F75" s="133">
        <v>11.11</v>
      </c>
      <c r="G75" s="133">
        <v>67.91</v>
      </c>
      <c r="H75" s="133">
        <v>20.23</v>
      </c>
      <c r="I75" s="133">
        <v>7</v>
      </c>
      <c r="J75" s="133">
        <v>0.18</v>
      </c>
      <c r="K75" s="133">
        <v>137.53</v>
      </c>
      <c r="L75" s="133">
        <v>31.51</v>
      </c>
      <c r="M75" s="133">
        <v>50.46</v>
      </c>
      <c r="N75" s="133">
        <v>24.5</v>
      </c>
      <c r="O75" s="133">
        <v>0</v>
      </c>
      <c r="P75" s="133">
        <v>0.59</v>
      </c>
      <c r="Q75" s="133">
        <v>3.5</v>
      </c>
    </row>
    <row r="76" spans="1:17" customFormat="1">
      <c r="A76" s="111" t="s">
        <v>1266</v>
      </c>
      <c r="B76" s="133">
        <v>6.79</v>
      </c>
      <c r="C76" s="133">
        <v>24.36</v>
      </c>
      <c r="D76" s="133">
        <v>18.850000000000001</v>
      </c>
      <c r="E76" s="133">
        <v>10.36</v>
      </c>
      <c r="F76" s="133">
        <v>11.25</v>
      </c>
      <c r="G76" s="133">
        <v>67.92</v>
      </c>
      <c r="H76" s="133">
        <v>20.14</v>
      </c>
      <c r="I76" s="133">
        <v>6.67</v>
      </c>
      <c r="J76" s="133">
        <v>0.22</v>
      </c>
      <c r="K76" s="133">
        <v>149.97999999999999</v>
      </c>
      <c r="L76" s="133">
        <v>30.62</v>
      </c>
      <c r="M76" s="133">
        <v>54.64</v>
      </c>
      <c r="N76" s="133">
        <v>15.5</v>
      </c>
      <c r="O76" s="133">
        <v>0</v>
      </c>
      <c r="P76" s="133">
        <v>0.57999999999999996</v>
      </c>
      <c r="Q76" s="133">
        <v>3.5</v>
      </c>
    </row>
    <row r="77" spans="1:17" customFormat="1">
      <c r="A77" s="111" t="s">
        <v>1267</v>
      </c>
      <c r="B77" s="133">
        <v>6.93</v>
      </c>
      <c r="C77" s="133">
        <v>23.38</v>
      </c>
      <c r="D77" s="133">
        <v>18.440000000000001</v>
      </c>
      <c r="E77" s="133">
        <v>10.130000000000001</v>
      </c>
      <c r="F77" s="133">
        <v>11.07</v>
      </c>
      <c r="G77" s="133">
        <v>67.98</v>
      </c>
      <c r="H77" s="133">
        <v>19.64</v>
      </c>
      <c r="I77" s="133">
        <v>6.48</v>
      </c>
      <c r="J77" s="133">
        <v>0.21</v>
      </c>
      <c r="K77" s="133">
        <v>152.68</v>
      </c>
      <c r="L77" s="133">
        <v>30.13</v>
      </c>
      <c r="M77" s="133">
        <v>58.3</v>
      </c>
      <c r="N77" s="133">
        <v>6.1</v>
      </c>
      <c r="O77" s="133">
        <v>0</v>
      </c>
      <c r="P77" s="133">
        <v>0.59</v>
      </c>
      <c r="Q77" s="133">
        <v>3.5</v>
      </c>
    </row>
    <row r="78" spans="1:17" customFormat="1">
      <c r="A78" s="111" t="s">
        <v>1268</v>
      </c>
      <c r="B78" s="133">
        <v>7.14</v>
      </c>
      <c r="C78" s="133">
        <v>23.9</v>
      </c>
      <c r="D78" s="133">
        <v>18.89</v>
      </c>
      <c r="E78" s="133">
        <v>9.4</v>
      </c>
      <c r="F78" s="133">
        <v>9.5299999999999994</v>
      </c>
      <c r="G78" s="133">
        <v>67.98</v>
      </c>
      <c r="H78" s="133">
        <v>19.64</v>
      </c>
      <c r="I78" s="133">
        <v>6.41</v>
      </c>
      <c r="J78" s="133">
        <v>0.17</v>
      </c>
      <c r="K78" s="133">
        <v>150.72</v>
      </c>
      <c r="L78" s="133">
        <v>29.8</v>
      </c>
      <c r="M78" s="133">
        <v>60.66</v>
      </c>
      <c r="N78" s="133">
        <v>0.1</v>
      </c>
      <c r="O78" s="133">
        <v>0</v>
      </c>
      <c r="P78" s="133">
        <v>0.62</v>
      </c>
      <c r="Q78" s="133">
        <v>3.47</v>
      </c>
    </row>
    <row r="79" spans="1:17" customFormat="1">
      <c r="A79" s="111" t="s">
        <v>1269</v>
      </c>
      <c r="B79" s="133">
        <v>7.52</v>
      </c>
      <c r="C79" s="133">
        <v>24.43</v>
      </c>
      <c r="D79" s="133">
        <v>19.47</v>
      </c>
      <c r="E79" s="133">
        <v>9.1999999999999993</v>
      </c>
      <c r="F79" s="133">
        <v>8.1</v>
      </c>
      <c r="G79" s="133">
        <v>67.98</v>
      </c>
      <c r="H79" s="133">
        <v>19.64</v>
      </c>
      <c r="I79" s="133">
        <v>6.48</v>
      </c>
      <c r="J79" s="133">
        <v>0.26</v>
      </c>
      <c r="K79" s="133">
        <v>172.04</v>
      </c>
      <c r="L79" s="133">
        <v>29.25</v>
      </c>
      <c r="M79" s="133">
        <v>62.46</v>
      </c>
      <c r="N79" s="133">
        <v>0</v>
      </c>
      <c r="O79" s="133">
        <v>0</v>
      </c>
      <c r="P79" s="133">
        <v>0.64</v>
      </c>
      <c r="Q79" s="133">
        <v>3.44</v>
      </c>
    </row>
    <row r="80" spans="1:17" customFormat="1">
      <c r="A80" s="111" t="s">
        <v>1270</v>
      </c>
      <c r="B80" s="133">
        <v>7.86</v>
      </c>
      <c r="C80" s="133">
        <v>23.39</v>
      </c>
      <c r="D80" s="133">
        <v>19.190000000000001</v>
      </c>
      <c r="E80" s="133">
        <v>8.58</v>
      </c>
      <c r="F80" s="133">
        <v>6.82</v>
      </c>
      <c r="G80" s="133">
        <v>69.5</v>
      </c>
      <c r="H80" s="133">
        <v>19.899999999999999</v>
      </c>
      <c r="I80" s="133">
        <v>6.44</v>
      </c>
      <c r="J80" s="133">
        <v>0.33</v>
      </c>
      <c r="K80" s="133">
        <v>174.82</v>
      </c>
      <c r="L80" s="133">
        <v>28.57</v>
      </c>
      <c r="M80" s="133">
        <v>70.739999999999995</v>
      </c>
      <c r="N80" s="133">
        <v>0</v>
      </c>
      <c r="O80" s="133">
        <v>0</v>
      </c>
      <c r="P80" s="133">
        <v>0.62</v>
      </c>
      <c r="Q80" s="133">
        <v>3.48</v>
      </c>
    </row>
    <row r="81" spans="1:17" customFormat="1">
      <c r="A81" s="111" t="s">
        <v>1271</v>
      </c>
      <c r="B81" s="133">
        <v>7.73</v>
      </c>
      <c r="C81" s="133">
        <v>20.46</v>
      </c>
      <c r="D81" s="133">
        <v>17.559999999999999</v>
      </c>
      <c r="E81" s="133">
        <v>7.13</v>
      </c>
      <c r="F81" s="133">
        <v>10.89</v>
      </c>
      <c r="G81" s="133">
        <v>81.650000000000006</v>
      </c>
      <c r="H81" s="133">
        <v>21.4</v>
      </c>
      <c r="I81" s="133">
        <v>6.73</v>
      </c>
      <c r="J81" s="133">
        <v>0.15</v>
      </c>
      <c r="K81" s="133">
        <v>211.9</v>
      </c>
      <c r="L81" s="133">
        <v>27.84</v>
      </c>
      <c r="M81" s="133">
        <v>72.489999999999995</v>
      </c>
      <c r="N81" s="133">
        <v>0</v>
      </c>
      <c r="O81" s="133">
        <v>0</v>
      </c>
      <c r="P81" s="133">
        <v>0.59</v>
      </c>
      <c r="Q81" s="133">
        <v>3.46</v>
      </c>
    </row>
    <row r="82" spans="1:17" customFormat="1">
      <c r="A82" s="111" t="s">
        <v>1272</v>
      </c>
      <c r="B82" s="133">
        <v>8</v>
      </c>
      <c r="C82" s="133">
        <v>19.18</v>
      </c>
      <c r="D82" s="133">
        <v>17.11</v>
      </c>
      <c r="E82" s="133">
        <v>8.25</v>
      </c>
      <c r="F82" s="133">
        <v>10.59</v>
      </c>
      <c r="G82" s="133">
        <v>81.650000000000006</v>
      </c>
      <c r="H82" s="133">
        <v>21.4</v>
      </c>
      <c r="I82" s="133">
        <v>6.83</v>
      </c>
      <c r="J82" s="133">
        <v>0.13</v>
      </c>
      <c r="K82" s="133">
        <v>182.59</v>
      </c>
      <c r="L82" s="133">
        <v>27.72</v>
      </c>
      <c r="M82" s="133">
        <v>71.31</v>
      </c>
      <c r="N82" s="133">
        <v>0</v>
      </c>
      <c r="O82" s="133">
        <v>0</v>
      </c>
      <c r="P82" s="133">
        <v>0.57999999999999996</v>
      </c>
      <c r="Q82" s="133">
        <v>3.47</v>
      </c>
    </row>
    <row r="83" spans="1:17" customFormat="1">
      <c r="A83" s="111" t="s">
        <v>1273</v>
      </c>
      <c r="B83" s="133">
        <v>8.1199999999999992</v>
      </c>
      <c r="C83" s="133">
        <v>18.940000000000001</v>
      </c>
      <c r="D83" s="133">
        <v>17.079999999999998</v>
      </c>
      <c r="E83" s="133">
        <v>8.3699999999999992</v>
      </c>
      <c r="F83" s="133">
        <v>9.8800000000000008</v>
      </c>
      <c r="G83" s="133">
        <v>81.650000000000006</v>
      </c>
      <c r="H83" s="133">
        <v>21.4</v>
      </c>
      <c r="I83" s="133">
        <v>6.4</v>
      </c>
      <c r="J83" s="133">
        <v>0.14000000000000001</v>
      </c>
      <c r="K83" s="133">
        <v>219.97</v>
      </c>
      <c r="L83" s="133">
        <v>27.29</v>
      </c>
      <c r="M83" s="133">
        <v>74.69</v>
      </c>
      <c r="N83" s="133">
        <v>0</v>
      </c>
      <c r="O83" s="133">
        <v>0</v>
      </c>
      <c r="P83" s="133">
        <v>0.6</v>
      </c>
      <c r="Q83" s="133">
        <v>3.47</v>
      </c>
    </row>
    <row r="84" spans="1:17" customFormat="1">
      <c r="A84" s="111" t="s">
        <v>1274</v>
      </c>
      <c r="B84" s="133">
        <v>8.2799999999999994</v>
      </c>
      <c r="C84" s="133">
        <v>18.55</v>
      </c>
      <c r="D84" s="133">
        <v>17.010000000000002</v>
      </c>
      <c r="E84" s="133">
        <v>8.7100000000000009</v>
      </c>
      <c r="F84" s="133">
        <v>8.98</v>
      </c>
      <c r="G84" s="133">
        <v>80.86</v>
      </c>
      <c r="H84" s="133">
        <v>21.14</v>
      </c>
      <c r="I84" s="133">
        <v>6.52</v>
      </c>
      <c r="J84" s="133">
        <v>0.18</v>
      </c>
      <c r="K84" s="133">
        <v>158.49</v>
      </c>
      <c r="L84" s="133">
        <v>27.21</v>
      </c>
      <c r="M84" s="133">
        <v>77.64</v>
      </c>
      <c r="N84" s="133">
        <v>0</v>
      </c>
      <c r="O84" s="133">
        <v>0</v>
      </c>
      <c r="P84" s="133">
        <v>0.59</v>
      </c>
      <c r="Q84" s="133">
        <v>3.49</v>
      </c>
    </row>
    <row r="85" spans="1:17" customFormat="1">
      <c r="A85" s="111" t="s">
        <v>1275</v>
      </c>
      <c r="B85" s="133">
        <v>8.24</v>
      </c>
      <c r="C85" s="133">
        <v>17.940000000000001</v>
      </c>
      <c r="D85" s="133">
        <v>16.66</v>
      </c>
      <c r="E85" s="133">
        <v>8.1199999999999992</v>
      </c>
      <c r="F85" s="133">
        <v>8.31</v>
      </c>
      <c r="G85" s="133">
        <v>74.56</v>
      </c>
      <c r="H85" s="133">
        <v>19.62</v>
      </c>
      <c r="I85" s="133">
        <v>6.65</v>
      </c>
      <c r="J85" s="133">
        <v>0.11</v>
      </c>
      <c r="K85" s="133">
        <v>175.88</v>
      </c>
      <c r="L85" s="133">
        <v>26.92</v>
      </c>
      <c r="M85" s="133">
        <v>83.61</v>
      </c>
      <c r="N85" s="133">
        <v>0</v>
      </c>
      <c r="O85" s="133">
        <v>0</v>
      </c>
      <c r="P85" s="133">
        <v>0.6</v>
      </c>
      <c r="Q85" s="133">
        <v>3.49</v>
      </c>
    </row>
    <row r="86" spans="1:17" customFormat="1">
      <c r="A86" s="111" t="s">
        <v>1276</v>
      </c>
      <c r="B86" s="133">
        <v>8.4499999999999993</v>
      </c>
      <c r="C86" s="133">
        <v>18.29</v>
      </c>
      <c r="D86" s="133">
        <v>17</v>
      </c>
      <c r="E86" s="133">
        <v>8.44</v>
      </c>
      <c r="F86" s="133">
        <v>6.83</v>
      </c>
      <c r="G86" s="133">
        <v>74.56</v>
      </c>
      <c r="H86" s="133">
        <v>19.62</v>
      </c>
      <c r="I86" s="133">
        <v>6.65</v>
      </c>
      <c r="J86" s="133">
        <v>0.06</v>
      </c>
      <c r="K86" s="133">
        <v>204.33</v>
      </c>
      <c r="L86" s="133">
        <v>26.75</v>
      </c>
      <c r="M86" s="133">
        <v>80.56</v>
      </c>
      <c r="N86" s="133">
        <v>0</v>
      </c>
      <c r="O86" s="133">
        <v>0</v>
      </c>
      <c r="P86" s="133">
        <v>0.6</v>
      </c>
      <c r="Q86" s="133">
        <v>3.51</v>
      </c>
    </row>
    <row r="87" spans="1:17" customFormat="1">
      <c r="A87" s="111" t="s">
        <v>1277</v>
      </c>
      <c r="B87" s="133">
        <v>8.31</v>
      </c>
      <c r="C87" s="133">
        <v>18.12</v>
      </c>
      <c r="D87" s="133">
        <v>16.809999999999999</v>
      </c>
      <c r="E87" s="133">
        <v>9.15</v>
      </c>
      <c r="F87" s="133">
        <v>10.9</v>
      </c>
      <c r="G87" s="133">
        <v>74.56</v>
      </c>
      <c r="H87" s="133">
        <v>19.62</v>
      </c>
      <c r="I87" s="133">
        <v>6.8</v>
      </c>
      <c r="J87" s="133">
        <v>0.11</v>
      </c>
      <c r="K87" s="133">
        <v>165.09</v>
      </c>
      <c r="L87" s="133">
        <v>26.83</v>
      </c>
      <c r="M87" s="133">
        <v>74.650000000000006</v>
      </c>
      <c r="N87" s="133">
        <v>0</v>
      </c>
      <c r="O87" s="133">
        <v>0</v>
      </c>
      <c r="P87" s="133">
        <v>0.57999999999999996</v>
      </c>
      <c r="Q87" s="133">
        <v>3.5</v>
      </c>
    </row>
    <row r="88" spans="1:17" customFormat="1">
      <c r="A88" s="111" t="s">
        <v>1278</v>
      </c>
      <c r="B88" s="133">
        <v>8.1999999999999993</v>
      </c>
      <c r="C88" s="133">
        <v>17.97</v>
      </c>
      <c r="D88" s="133">
        <v>16.64</v>
      </c>
      <c r="E88" s="133">
        <v>9.4</v>
      </c>
      <c r="F88" s="133">
        <v>11.37</v>
      </c>
      <c r="G88" s="133">
        <v>73.650000000000006</v>
      </c>
      <c r="H88" s="133">
        <v>19.63</v>
      </c>
      <c r="I88" s="133">
        <v>6.89</v>
      </c>
      <c r="J88" s="133">
        <v>0.11</v>
      </c>
      <c r="K88" s="133">
        <v>209.82</v>
      </c>
      <c r="L88" s="133">
        <v>26.86</v>
      </c>
      <c r="M88" s="133">
        <v>76.58</v>
      </c>
      <c r="N88" s="133">
        <v>0</v>
      </c>
      <c r="O88" s="133">
        <v>0</v>
      </c>
      <c r="P88" s="133">
        <v>0.56999999999999995</v>
      </c>
      <c r="Q88" s="133">
        <v>3.53</v>
      </c>
    </row>
    <row r="89" spans="1:17" customFormat="1">
      <c r="A89" s="111" t="s">
        <v>1279</v>
      </c>
      <c r="B89" s="133">
        <v>8.8800000000000008</v>
      </c>
      <c r="C89" s="133">
        <v>19.579999999999998</v>
      </c>
      <c r="D89" s="133">
        <v>18.02</v>
      </c>
      <c r="E89" s="133">
        <v>8.44</v>
      </c>
      <c r="F89" s="133">
        <v>4.51</v>
      </c>
      <c r="G89" s="133">
        <v>66.39</v>
      </c>
      <c r="H89" s="133">
        <v>19.690000000000001</v>
      </c>
      <c r="I89" s="133">
        <v>6.73</v>
      </c>
      <c r="J89" s="133">
        <v>0.08</v>
      </c>
      <c r="K89" s="133">
        <v>171.13</v>
      </c>
      <c r="L89" s="133">
        <v>26.49</v>
      </c>
      <c r="M89" s="133">
        <v>81.36</v>
      </c>
      <c r="N89" s="133">
        <v>0</v>
      </c>
      <c r="O89" s="133">
        <v>0</v>
      </c>
      <c r="P89" s="133">
        <v>0.6</v>
      </c>
      <c r="Q89" s="133">
        <v>3.52</v>
      </c>
    </row>
    <row r="90" spans="1:17" customFormat="1">
      <c r="A90" s="111" t="s">
        <v>1280</v>
      </c>
      <c r="B90" s="133">
        <v>9.5299999999999994</v>
      </c>
      <c r="C90" s="133">
        <v>21.12</v>
      </c>
      <c r="D90" s="133">
        <v>19.36</v>
      </c>
      <c r="E90" s="133">
        <v>8.81</v>
      </c>
      <c r="F90" s="133">
        <v>3.87</v>
      </c>
      <c r="G90" s="133">
        <v>66.39</v>
      </c>
      <c r="H90" s="133">
        <v>19.690000000000001</v>
      </c>
      <c r="I90" s="133">
        <v>6.61</v>
      </c>
      <c r="J90" s="133">
        <v>0.1</v>
      </c>
      <c r="K90" s="133">
        <v>158.86000000000001</v>
      </c>
      <c r="L90" s="133">
        <v>26.51</v>
      </c>
      <c r="M90" s="133">
        <v>81.41</v>
      </c>
      <c r="N90" s="133">
        <v>0</v>
      </c>
      <c r="O90" s="133">
        <v>0</v>
      </c>
      <c r="P90" s="133">
        <v>0.64</v>
      </c>
      <c r="Q90" s="133">
        <v>3.58</v>
      </c>
    </row>
    <row r="91" spans="1:17" customFormat="1">
      <c r="A91" s="111" t="s">
        <v>1281</v>
      </c>
      <c r="B91" s="133">
        <v>9.58</v>
      </c>
      <c r="C91" s="133">
        <v>20.190000000000001</v>
      </c>
      <c r="D91" s="133">
        <v>18.899999999999999</v>
      </c>
      <c r="E91" s="133">
        <v>8.56</v>
      </c>
      <c r="F91" s="133">
        <v>4.76</v>
      </c>
      <c r="G91" s="133">
        <v>66.39</v>
      </c>
      <c r="H91" s="133">
        <v>19.690000000000001</v>
      </c>
      <c r="I91" s="133">
        <v>7.09</v>
      </c>
      <c r="J91" s="133">
        <v>0.12</v>
      </c>
      <c r="K91" s="133">
        <v>161.36000000000001</v>
      </c>
      <c r="L91" s="133">
        <v>26.69</v>
      </c>
      <c r="M91" s="133">
        <v>80.34</v>
      </c>
      <c r="N91" s="133">
        <v>0</v>
      </c>
      <c r="O91" s="133">
        <v>0</v>
      </c>
      <c r="P91" s="133">
        <v>0.65</v>
      </c>
      <c r="Q91" s="133">
        <v>3.62</v>
      </c>
    </row>
    <row r="92" spans="1:17" customFormat="1">
      <c r="A92" s="111" t="s">
        <v>1282</v>
      </c>
      <c r="B92" s="133">
        <v>9.52</v>
      </c>
      <c r="C92" s="133">
        <v>19.21</v>
      </c>
      <c r="D92" s="133">
        <v>18.350000000000001</v>
      </c>
      <c r="E92" s="133">
        <v>8.17</v>
      </c>
      <c r="F92" s="133">
        <v>7.16</v>
      </c>
      <c r="G92" s="133">
        <v>66.2</v>
      </c>
      <c r="H92" s="133">
        <v>20.27</v>
      </c>
      <c r="I92" s="133">
        <v>7.15</v>
      </c>
      <c r="J92" s="133">
        <v>0.11</v>
      </c>
      <c r="K92" s="133">
        <v>221.39</v>
      </c>
      <c r="L92" s="133">
        <v>26.44</v>
      </c>
      <c r="M92" s="133">
        <v>79.739999999999995</v>
      </c>
      <c r="N92" s="133">
        <v>0</v>
      </c>
      <c r="O92" s="133">
        <v>0</v>
      </c>
      <c r="P92" s="133">
        <v>0.65</v>
      </c>
      <c r="Q92" s="133">
        <v>3.63</v>
      </c>
    </row>
    <row r="93" spans="1:17" customFormat="1">
      <c r="A93" s="111" t="s">
        <v>1283</v>
      </c>
      <c r="B93" s="133">
        <v>9.6300000000000008</v>
      </c>
      <c r="C93" s="133">
        <v>18.59</v>
      </c>
      <c r="D93" s="133">
        <v>18.11</v>
      </c>
      <c r="E93" s="133">
        <v>8.7200000000000006</v>
      </c>
      <c r="F93" s="133">
        <v>8.08</v>
      </c>
      <c r="G93" s="133">
        <v>64.680000000000007</v>
      </c>
      <c r="H93" s="133">
        <v>23.6</v>
      </c>
      <c r="I93" s="133">
        <v>7.23</v>
      </c>
      <c r="J93" s="133">
        <v>0.17</v>
      </c>
      <c r="K93" s="133">
        <v>169.19</v>
      </c>
      <c r="L93" s="133">
        <v>26.53</v>
      </c>
      <c r="M93" s="133">
        <v>80.12</v>
      </c>
      <c r="N93" s="133">
        <v>0</v>
      </c>
      <c r="O93" s="133">
        <v>0</v>
      </c>
      <c r="P93" s="133">
        <v>0.64</v>
      </c>
      <c r="Q93" s="133">
        <v>3.65</v>
      </c>
    </row>
    <row r="94" spans="1:17" customFormat="1">
      <c r="A94" s="111" t="s">
        <v>1284</v>
      </c>
      <c r="B94" s="133">
        <v>10.130000000000001</v>
      </c>
      <c r="C94" s="133">
        <v>19.38</v>
      </c>
      <c r="D94" s="133">
        <v>18.920000000000002</v>
      </c>
      <c r="E94" s="133">
        <v>8.69</v>
      </c>
      <c r="F94" s="133">
        <v>4.88</v>
      </c>
      <c r="G94" s="133">
        <v>64.680000000000007</v>
      </c>
      <c r="H94" s="133">
        <v>23.6</v>
      </c>
      <c r="I94" s="133">
        <v>7.16</v>
      </c>
      <c r="J94" s="133">
        <v>0.14000000000000001</v>
      </c>
      <c r="K94" s="133">
        <v>219.59</v>
      </c>
      <c r="L94" s="133">
        <v>26.29</v>
      </c>
      <c r="M94" s="133">
        <v>82.66</v>
      </c>
      <c r="N94" s="133">
        <v>0</v>
      </c>
      <c r="O94" s="133">
        <v>0</v>
      </c>
      <c r="P94" s="133">
        <v>0.64</v>
      </c>
      <c r="Q94" s="133">
        <v>3.62</v>
      </c>
    </row>
    <row r="95" spans="1:17" customFormat="1">
      <c r="A95" s="111" t="s">
        <v>1285</v>
      </c>
      <c r="B95" s="133">
        <v>10.19</v>
      </c>
      <c r="C95" s="133">
        <v>20.09</v>
      </c>
      <c r="D95" s="133">
        <v>19.34</v>
      </c>
      <c r="E95" s="133">
        <v>8.25</v>
      </c>
      <c r="F95" s="133">
        <v>4.42</v>
      </c>
      <c r="G95" s="133">
        <v>64.680000000000007</v>
      </c>
      <c r="H95" s="133">
        <v>23.6</v>
      </c>
      <c r="I95" s="133">
        <v>7.21</v>
      </c>
      <c r="J95" s="133">
        <v>0.11</v>
      </c>
      <c r="K95" s="133">
        <v>182.49</v>
      </c>
      <c r="L95" s="133">
        <v>25.97</v>
      </c>
      <c r="M95" s="133">
        <v>85.52</v>
      </c>
      <c r="N95" s="133">
        <v>0</v>
      </c>
      <c r="O95" s="133">
        <v>0</v>
      </c>
      <c r="P95" s="133">
        <v>0.67</v>
      </c>
      <c r="Q95" s="133">
        <v>3.61</v>
      </c>
    </row>
    <row r="96" spans="1:17" customFormat="1">
      <c r="A96" s="111" t="s">
        <v>1286</v>
      </c>
      <c r="B96" s="133">
        <v>10.24</v>
      </c>
      <c r="C96" s="133">
        <v>20.83</v>
      </c>
      <c r="D96" s="133">
        <v>19.77</v>
      </c>
      <c r="E96" s="133">
        <v>8.6</v>
      </c>
      <c r="F96" s="133">
        <v>3.89</v>
      </c>
      <c r="G96" s="133">
        <v>64.510000000000005</v>
      </c>
      <c r="H96" s="133">
        <v>23.41</v>
      </c>
      <c r="I96" s="133">
        <v>7.32</v>
      </c>
      <c r="J96" s="133">
        <v>0.16</v>
      </c>
      <c r="K96" s="133">
        <v>238.99</v>
      </c>
      <c r="L96" s="133">
        <v>25.8</v>
      </c>
      <c r="M96" s="133">
        <v>86.87</v>
      </c>
      <c r="N96" s="133">
        <v>0</v>
      </c>
      <c r="O96" s="133">
        <v>0</v>
      </c>
      <c r="P96" s="133">
        <v>0.68</v>
      </c>
      <c r="Q96" s="133">
        <v>3.62</v>
      </c>
    </row>
    <row r="97" spans="1:22" customFormat="1">
      <c r="A97" s="111" t="s">
        <v>1287</v>
      </c>
      <c r="B97" s="133">
        <v>10.28</v>
      </c>
      <c r="C97" s="133">
        <v>21.45</v>
      </c>
      <c r="D97" s="133">
        <v>20.12</v>
      </c>
      <c r="E97" s="133">
        <v>8.06</v>
      </c>
      <c r="F97" s="133">
        <v>3.5</v>
      </c>
      <c r="G97" s="133">
        <v>63.1</v>
      </c>
      <c r="H97" s="133">
        <v>22.3</v>
      </c>
      <c r="I97" s="133">
        <v>7.36</v>
      </c>
      <c r="J97" s="133">
        <v>0.1</v>
      </c>
      <c r="K97" s="133">
        <v>164.3</v>
      </c>
      <c r="L97" s="133">
        <v>25.79</v>
      </c>
      <c r="M97" s="133">
        <v>85.74</v>
      </c>
      <c r="N97" s="133">
        <v>0</v>
      </c>
      <c r="O97" s="133">
        <v>0</v>
      </c>
      <c r="P97" s="133">
        <v>0.69</v>
      </c>
      <c r="Q97" s="133">
        <v>3.65</v>
      </c>
    </row>
    <row r="98" spans="1:22" customFormat="1">
      <c r="A98" s="111" t="s">
        <v>1288</v>
      </c>
      <c r="B98" s="133">
        <v>10.27</v>
      </c>
      <c r="C98" s="133">
        <v>22.12</v>
      </c>
      <c r="D98" s="133">
        <v>20.47</v>
      </c>
      <c r="E98" s="133">
        <v>8.09</v>
      </c>
      <c r="F98" s="133">
        <v>3.39</v>
      </c>
      <c r="G98" s="133">
        <v>63.1</v>
      </c>
      <c r="H98" s="133">
        <v>22.3</v>
      </c>
      <c r="I98" s="133">
        <v>7.35</v>
      </c>
      <c r="J98" s="133">
        <v>0.15</v>
      </c>
      <c r="K98" s="133">
        <v>196.26</v>
      </c>
      <c r="L98" s="133">
        <v>25.97</v>
      </c>
      <c r="M98" s="133">
        <v>82.41</v>
      </c>
      <c r="N98" s="133">
        <v>0</v>
      </c>
      <c r="O98" s="133">
        <v>0</v>
      </c>
      <c r="P98" s="133">
        <v>0.71</v>
      </c>
      <c r="Q98" s="133">
        <v>3.67</v>
      </c>
    </row>
    <row r="99" spans="1:22" customFormat="1">
      <c r="A99" s="111" t="s">
        <v>1289</v>
      </c>
      <c r="B99" s="133">
        <v>10.33</v>
      </c>
      <c r="C99" s="133">
        <v>22.52</v>
      </c>
      <c r="D99" s="133">
        <v>20.72</v>
      </c>
      <c r="E99" s="133">
        <v>8.1300000000000008</v>
      </c>
      <c r="F99" s="133">
        <v>3.27</v>
      </c>
      <c r="G99" s="133">
        <v>63.1</v>
      </c>
      <c r="H99" s="133">
        <v>22.3</v>
      </c>
      <c r="I99" s="133">
        <v>7.38</v>
      </c>
      <c r="J99" s="133">
        <v>0.12</v>
      </c>
      <c r="K99" s="133">
        <v>226.99</v>
      </c>
      <c r="L99" s="133">
        <v>25.88</v>
      </c>
      <c r="M99" s="133">
        <v>83.56</v>
      </c>
      <c r="N99" s="133">
        <v>0</v>
      </c>
      <c r="O99" s="133">
        <v>0</v>
      </c>
      <c r="P99" s="133">
        <v>0.72</v>
      </c>
      <c r="Q99" s="133">
        <v>3.7</v>
      </c>
    </row>
    <row r="100" spans="1:22" customFormat="1">
      <c r="A100" s="111" t="s">
        <v>1290</v>
      </c>
      <c r="B100" s="133">
        <v>10.3</v>
      </c>
      <c r="C100" s="133">
        <v>23.09</v>
      </c>
      <c r="D100" s="133">
        <v>21</v>
      </c>
      <c r="E100" s="133">
        <v>8.68</v>
      </c>
      <c r="F100" s="133">
        <v>3.11</v>
      </c>
      <c r="G100" s="133">
        <v>63</v>
      </c>
      <c r="H100" s="133">
        <v>22.21</v>
      </c>
      <c r="I100" s="133">
        <v>7.43</v>
      </c>
      <c r="J100" s="133">
        <v>0.12</v>
      </c>
      <c r="K100" s="133">
        <v>235.34</v>
      </c>
      <c r="L100" s="133">
        <v>25.9</v>
      </c>
      <c r="M100" s="133">
        <v>82.11</v>
      </c>
      <c r="N100" s="133">
        <v>0</v>
      </c>
      <c r="O100" s="133">
        <v>0</v>
      </c>
      <c r="P100" s="133">
        <v>0.73</v>
      </c>
      <c r="Q100" s="133">
        <v>3.72</v>
      </c>
    </row>
    <row r="101" spans="1:22" customFormat="1">
      <c r="A101" s="111" t="s">
        <v>1291</v>
      </c>
      <c r="B101" s="133">
        <v>10.34</v>
      </c>
      <c r="C101" s="133">
        <v>23.49</v>
      </c>
      <c r="D101" s="133">
        <v>21.24</v>
      </c>
      <c r="E101" s="133">
        <v>7.95</v>
      </c>
      <c r="F101" s="133">
        <v>3.06</v>
      </c>
      <c r="G101" s="133">
        <v>62.2</v>
      </c>
      <c r="H101" s="133">
        <v>21.71</v>
      </c>
      <c r="I101" s="133">
        <v>7.46</v>
      </c>
      <c r="J101" s="133">
        <v>0.12</v>
      </c>
      <c r="K101" s="133">
        <v>191.36</v>
      </c>
      <c r="L101" s="133">
        <v>25.9</v>
      </c>
      <c r="M101" s="133">
        <v>80.790000000000006</v>
      </c>
      <c r="N101" s="133">
        <v>0</v>
      </c>
      <c r="O101" s="133">
        <v>0</v>
      </c>
      <c r="P101" s="133">
        <v>0.74</v>
      </c>
      <c r="Q101" s="133">
        <v>3.72</v>
      </c>
    </row>
    <row r="102" spans="1:22" customFormat="1">
      <c r="A102" s="111" t="s">
        <v>1292</v>
      </c>
      <c r="B102" s="133">
        <v>10.26</v>
      </c>
      <c r="C102" s="133">
        <v>24.07</v>
      </c>
      <c r="D102" s="133">
        <v>21.48</v>
      </c>
      <c r="E102" s="133">
        <v>8.14</v>
      </c>
      <c r="F102" s="133">
        <v>2.99</v>
      </c>
      <c r="G102" s="133">
        <v>62.2</v>
      </c>
      <c r="H102" s="133">
        <v>21.71</v>
      </c>
      <c r="I102" s="133">
        <v>7.45</v>
      </c>
      <c r="J102" s="133">
        <v>0.12</v>
      </c>
      <c r="K102" s="133">
        <v>209.89</v>
      </c>
      <c r="L102" s="133">
        <v>25.69</v>
      </c>
      <c r="M102" s="133">
        <v>84.12</v>
      </c>
      <c r="N102" s="133">
        <v>0</v>
      </c>
      <c r="O102" s="133">
        <v>0</v>
      </c>
      <c r="P102" s="133">
        <v>0.74</v>
      </c>
      <c r="Q102" s="133">
        <v>3.76</v>
      </c>
    </row>
    <row r="103" spans="1:22" customFormat="1">
      <c r="A103" s="111" t="s">
        <v>1293</v>
      </c>
      <c r="B103" s="133">
        <v>10.31</v>
      </c>
      <c r="C103" s="133">
        <v>24.23</v>
      </c>
      <c r="D103" s="133">
        <v>21.6</v>
      </c>
      <c r="E103" s="133">
        <v>8.36</v>
      </c>
      <c r="F103" s="133">
        <v>2.93</v>
      </c>
      <c r="G103" s="133">
        <v>62.2</v>
      </c>
      <c r="H103" s="133">
        <v>21.71</v>
      </c>
      <c r="I103" s="133">
        <v>7.47</v>
      </c>
      <c r="J103" s="133">
        <v>7.0000000000000007E-2</v>
      </c>
      <c r="K103" s="133">
        <v>230.94</v>
      </c>
      <c r="L103" s="133">
        <v>25.52</v>
      </c>
      <c r="M103" s="133">
        <v>84.3</v>
      </c>
      <c r="N103" s="133">
        <v>0</v>
      </c>
      <c r="O103" s="133">
        <v>0</v>
      </c>
      <c r="P103" s="133">
        <v>0.75</v>
      </c>
      <c r="Q103" s="133">
        <v>3.79</v>
      </c>
    </row>
    <row r="104" spans="1:22" customFormat="1">
      <c r="A104" s="111" t="s">
        <v>1294</v>
      </c>
      <c r="B104" s="133">
        <v>10.34</v>
      </c>
      <c r="C104" s="133">
        <v>24.61</v>
      </c>
      <c r="D104" s="133">
        <v>21.82</v>
      </c>
      <c r="E104" s="133">
        <v>8.35</v>
      </c>
      <c r="F104" s="133">
        <v>2.94</v>
      </c>
      <c r="G104" s="133">
        <v>62.46</v>
      </c>
      <c r="H104" s="133">
        <v>21.82</v>
      </c>
      <c r="I104" s="133">
        <v>7.44</v>
      </c>
      <c r="J104" s="133">
        <v>0.1</v>
      </c>
      <c r="K104" s="133">
        <v>172.47</v>
      </c>
      <c r="L104" s="133">
        <v>25.49</v>
      </c>
      <c r="M104" s="133">
        <v>85.94</v>
      </c>
      <c r="N104" s="133">
        <v>0</v>
      </c>
      <c r="O104" s="133">
        <v>0</v>
      </c>
      <c r="P104" s="133">
        <v>0.75</v>
      </c>
      <c r="Q104" s="133">
        <v>3.79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6.21</v>
      </c>
      <c r="C106" s="183">
        <f>MIN(C9:C104)</f>
        <v>17.940000000000001</v>
      </c>
      <c r="D106" s="183">
        <f t="shared" ref="D106:Q106" si="0">MIN(D9:D104)</f>
        <v>16.64</v>
      </c>
      <c r="E106" s="183">
        <f t="shared" si="0"/>
        <v>5.75</v>
      </c>
      <c r="F106" s="183">
        <f t="shared" si="0"/>
        <v>2.2400000000000002</v>
      </c>
      <c r="G106" s="183">
        <f t="shared" si="0"/>
        <v>37.17</v>
      </c>
      <c r="H106" s="183">
        <f t="shared" si="0"/>
        <v>14.87</v>
      </c>
      <c r="I106" s="183">
        <f t="shared" si="0"/>
        <v>6.4</v>
      </c>
      <c r="J106" s="183">
        <f t="shared" si="0"/>
        <v>0.06</v>
      </c>
      <c r="K106" s="183">
        <f t="shared" si="0"/>
        <v>3.94</v>
      </c>
      <c r="L106" s="183">
        <f t="shared" si="0"/>
        <v>23.81</v>
      </c>
      <c r="M106" s="183">
        <f t="shared" si="0"/>
        <v>42.16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3.42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15.17</v>
      </c>
      <c r="C107" s="184">
        <f t="shared" ref="C107:Q107" si="1">MAX(C9:C104)</f>
        <v>26.12</v>
      </c>
      <c r="D107" s="184">
        <f t="shared" si="1"/>
        <v>24.77</v>
      </c>
      <c r="E107" s="184">
        <f t="shared" si="1"/>
        <v>12.41</v>
      </c>
      <c r="F107" s="184">
        <f t="shared" si="1"/>
        <v>11.84</v>
      </c>
      <c r="G107" s="184">
        <f t="shared" si="1"/>
        <v>81.650000000000006</v>
      </c>
      <c r="H107" s="184">
        <f t="shared" si="1"/>
        <v>27.26</v>
      </c>
      <c r="I107" s="184">
        <f t="shared" si="1"/>
        <v>32.49</v>
      </c>
      <c r="J107" s="184">
        <f t="shared" si="1"/>
        <v>0.73</v>
      </c>
      <c r="K107" s="184">
        <f t="shared" si="1"/>
        <v>343.45</v>
      </c>
      <c r="L107" s="184">
        <f t="shared" si="1"/>
        <v>34.450000000000003</v>
      </c>
      <c r="M107" s="184">
        <f t="shared" si="1"/>
        <v>99.02</v>
      </c>
      <c r="N107" s="184">
        <f t="shared" si="1"/>
        <v>772.3</v>
      </c>
      <c r="O107" s="184">
        <f t="shared" si="1"/>
        <v>0</v>
      </c>
      <c r="P107" s="184">
        <f t="shared" si="1"/>
        <v>0.75</v>
      </c>
      <c r="Q107" s="184">
        <f t="shared" si="1"/>
        <v>3.97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10.488229166666667</v>
      </c>
      <c r="C108" s="183">
        <f t="shared" ref="C108:Q108" si="2">AVERAGE(C9:C104)</f>
        <v>23.008645833333336</v>
      </c>
      <c r="D108" s="183">
        <f t="shared" si="2"/>
        <v>21.106979166666665</v>
      </c>
      <c r="E108" s="183">
        <f t="shared" si="2"/>
        <v>8.571666666666669</v>
      </c>
      <c r="F108" s="183">
        <f t="shared" si="2"/>
        <v>5.8785416666666643</v>
      </c>
      <c r="G108" s="183">
        <f t="shared" si="2"/>
        <v>59.988125000000018</v>
      </c>
      <c r="H108" s="183">
        <f t="shared" si="2"/>
        <v>20.15635416666667</v>
      </c>
      <c r="I108" s="183">
        <f t="shared" si="2"/>
        <v>13.88229166666668</v>
      </c>
      <c r="J108" s="183">
        <f t="shared" si="2"/>
        <v>0.22906250000000006</v>
      </c>
      <c r="K108" s="183">
        <f t="shared" si="2"/>
        <v>161.75541666666663</v>
      </c>
      <c r="L108" s="183">
        <f t="shared" si="2"/>
        <v>28.255729166666679</v>
      </c>
      <c r="M108" s="183">
        <f t="shared" si="2"/>
        <v>73.579166666666637</v>
      </c>
      <c r="N108" s="183">
        <f t="shared" si="2"/>
        <v>169.68229166666669</v>
      </c>
      <c r="O108" s="183">
        <f t="shared" si="2"/>
        <v>0</v>
      </c>
      <c r="P108" s="183">
        <f t="shared" si="2"/>
        <v>0.65968750000000009</v>
      </c>
      <c r="Q108" s="183">
        <f t="shared" si="2"/>
        <v>3.6864583333333347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2.9525200635858933</v>
      </c>
      <c r="C109" s="183">
        <f t="shared" ref="C109:Q109" si="3">STDEV(C9:C104)</f>
        <v>2.3662244498207787</v>
      </c>
      <c r="D109" s="183">
        <f t="shared" si="3"/>
        <v>2.4439834265058487</v>
      </c>
      <c r="E109" s="183">
        <f t="shared" si="3"/>
        <v>1.8441244772843461</v>
      </c>
      <c r="F109" s="183">
        <f t="shared" si="3"/>
        <v>3.2843837775518314</v>
      </c>
      <c r="G109" s="183">
        <f t="shared" si="3"/>
        <v>13.158873836992754</v>
      </c>
      <c r="H109" s="183">
        <f t="shared" si="3"/>
        <v>2.5545678879798608</v>
      </c>
      <c r="I109" s="183">
        <f t="shared" si="3"/>
        <v>7.7923782572144455</v>
      </c>
      <c r="J109" s="183">
        <f t="shared" si="3"/>
        <v>0.16533269887045773</v>
      </c>
      <c r="K109" s="183">
        <f t="shared" si="3"/>
        <v>85.985894741878468</v>
      </c>
      <c r="L109" s="183">
        <f t="shared" si="3"/>
        <v>3.6723005108059827</v>
      </c>
      <c r="M109" s="183">
        <f t="shared" si="3"/>
        <v>20.125604831273197</v>
      </c>
      <c r="N109" s="183">
        <f t="shared" si="3"/>
        <v>261.41204337206062</v>
      </c>
      <c r="O109" s="183">
        <f t="shared" si="3"/>
        <v>0</v>
      </c>
      <c r="P109" s="183">
        <f t="shared" si="3"/>
        <v>4.7979230703994735E-2</v>
      </c>
      <c r="Q109" s="183">
        <f t="shared" si="3"/>
        <v>0.18990290686315711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0" activePane="bottomRight" state="frozen"/>
      <selection pane="topRight"/>
      <selection pane="bottomLeft"/>
      <selection pane="bottomRight" activeCell="B110" sqref="B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>
        <f>$A$9</f>
        <v>45211.010416666664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91">
        <v>45211.010416666664</v>
      </c>
      <c r="B9" s="133">
        <v>8.14</v>
      </c>
      <c r="C9" s="133">
        <v>25.04</v>
      </c>
      <c r="D9" s="133">
        <v>20.28</v>
      </c>
      <c r="E9" s="133">
        <v>8.61</v>
      </c>
      <c r="F9" s="133">
        <v>3.24</v>
      </c>
      <c r="G9" s="133">
        <v>64.510000000000005</v>
      </c>
      <c r="H9" s="133">
        <v>22.42</v>
      </c>
      <c r="I9" s="133">
        <v>7.46</v>
      </c>
      <c r="J9" s="133">
        <v>0.12</v>
      </c>
      <c r="K9" s="133">
        <v>177.03</v>
      </c>
      <c r="L9" s="133">
        <v>25.26</v>
      </c>
      <c r="M9" s="133">
        <v>87.76</v>
      </c>
      <c r="N9" s="133">
        <v>0</v>
      </c>
      <c r="O9" s="133">
        <v>0</v>
      </c>
      <c r="P9" s="133">
        <v>0.75</v>
      </c>
      <c r="Q9" s="133">
        <v>3.83</v>
      </c>
    </row>
    <row r="10" spans="1:21" customFormat="1">
      <c r="A10" s="111" t="s">
        <v>1295</v>
      </c>
      <c r="B10" s="133">
        <v>8.32</v>
      </c>
      <c r="C10" s="133">
        <v>24.94</v>
      </c>
      <c r="D10" s="133">
        <v>20.38</v>
      </c>
      <c r="E10" s="133">
        <v>8.7100000000000009</v>
      </c>
      <c r="F10" s="133">
        <v>2.74</v>
      </c>
      <c r="G10" s="133">
        <v>64.510000000000005</v>
      </c>
      <c r="H10" s="133">
        <v>22.42</v>
      </c>
      <c r="I10" s="133">
        <v>7.4</v>
      </c>
      <c r="J10" s="133">
        <v>7.0000000000000007E-2</v>
      </c>
      <c r="K10" s="133">
        <v>141.54</v>
      </c>
      <c r="L10" s="133">
        <v>25.24</v>
      </c>
      <c r="M10" s="133">
        <v>86.87</v>
      </c>
      <c r="N10" s="133">
        <v>0</v>
      </c>
      <c r="O10" s="133">
        <v>0</v>
      </c>
      <c r="P10" s="133">
        <v>0.75</v>
      </c>
      <c r="Q10" s="133">
        <v>3.85</v>
      </c>
    </row>
    <row r="11" spans="1:21" customFormat="1">
      <c r="A11" s="111" t="s">
        <v>1296</v>
      </c>
      <c r="B11" s="133">
        <v>8.2799999999999994</v>
      </c>
      <c r="C11" s="133">
        <v>25.09</v>
      </c>
      <c r="D11" s="133">
        <v>20.420000000000002</v>
      </c>
      <c r="E11" s="133">
        <v>9.08</v>
      </c>
      <c r="F11" s="133">
        <v>2.73</v>
      </c>
      <c r="G11" s="133">
        <v>64.510000000000005</v>
      </c>
      <c r="H11" s="133">
        <v>22.42</v>
      </c>
      <c r="I11" s="133">
        <v>7.34</v>
      </c>
      <c r="J11" s="133">
        <v>0.12</v>
      </c>
      <c r="K11" s="133">
        <v>215.79</v>
      </c>
      <c r="L11" s="133">
        <v>24.93</v>
      </c>
      <c r="M11" s="133">
        <v>87.56</v>
      </c>
      <c r="N11" s="133">
        <v>0</v>
      </c>
      <c r="O11" s="133">
        <v>0</v>
      </c>
      <c r="P11" s="133">
        <v>0.74</v>
      </c>
      <c r="Q11" s="133">
        <v>3.86</v>
      </c>
    </row>
    <row r="12" spans="1:21" customFormat="1">
      <c r="A12" s="111" t="s">
        <v>1297</v>
      </c>
      <c r="B12" s="133">
        <v>8.23</v>
      </c>
      <c r="C12" s="133">
        <v>25.11</v>
      </c>
      <c r="D12" s="133">
        <v>20.399999999999999</v>
      </c>
      <c r="E12" s="133">
        <v>8.83</v>
      </c>
      <c r="F12" s="133">
        <v>2.62</v>
      </c>
      <c r="G12" s="133">
        <v>63.97</v>
      </c>
      <c r="H12" s="133">
        <v>22.13</v>
      </c>
      <c r="I12" s="133">
        <v>7.29</v>
      </c>
      <c r="J12" s="133">
        <v>0.09</v>
      </c>
      <c r="K12" s="133">
        <v>251.13</v>
      </c>
      <c r="L12" s="133">
        <v>24.8</v>
      </c>
      <c r="M12" s="133">
        <v>87.5</v>
      </c>
      <c r="N12" s="133">
        <v>0</v>
      </c>
      <c r="O12" s="133">
        <v>0</v>
      </c>
      <c r="P12" s="133">
        <v>0.73</v>
      </c>
      <c r="Q12" s="133">
        <v>3.88</v>
      </c>
    </row>
    <row r="13" spans="1:21" customFormat="1">
      <c r="A13" s="111" t="s">
        <v>1298</v>
      </c>
      <c r="B13" s="133">
        <v>8.2899999999999991</v>
      </c>
      <c r="C13" s="133">
        <v>25.01</v>
      </c>
      <c r="D13" s="133">
        <v>20.39</v>
      </c>
      <c r="E13" s="133">
        <v>8.73</v>
      </c>
      <c r="F13" s="133">
        <v>2.59</v>
      </c>
      <c r="G13" s="133">
        <v>59.65</v>
      </c>
      <c r="H13" s="133">
        <v>20.49</v>
      </c>
      <c r="I13" s="133">
        <v>7.25</v>
      </c>
      <c r="J13" s="133">
        <v>0.15</v>
      </c>
      <c r="K13" s="133">
        <v>246.1</v>
      </c>
      <c r="L13" s="133">
        <v>24.86</v>
      </c>
      <c r="M13" s="133">
        <v>88.06</v>
      </c>
      <c r="N13" s="133">
        <v>0</v>
      </c>
      <c r="O13" s="133">
        <v>0</v>
      </c>
      <c r="P13" s="133">
        <v>0.74</v>
      </c>
      <c r="Q13" s="133">
        <v>3.86</v>
      </c>
    </row>
    <row r="14" spans="1:21" customFormat="1">
      <c r="A14" s="111" t="s">
        <v>1299</v>
      </c>
      <c r="B14" s="133">
        <v>8.14</v>
      </c>
      <c r="C14" s="133">
        <v>25.05</v>
      </c>
      <c r="D14" s="133">
        <v>20.3</v>
      </c>
      <c r="E14" s="133">
        <v>8.84</v>
      </c>
      <c r="F14" s="133">
        <v>2.68</v>
      </c>
      <c r="G14" s="133">
        <v>59.65</v>
      </c>
      <c r="H14" s="133">
        <v>20.49</v>
      </c>
      <c r="I14" s="133">
        <v>7.14</v>
      </c>
      <c r="J14" s="133">
        <v>0.15</v>
      </c>
      <c r="K14" s="133">
        <v>242.8</v>
      </c>
      <c r="L14" s="133">
        <v>24.99</v>
      </c>
      <c r="M14" s="133">
        <v>87.1</v>
      </c>
      <c r="N14" s="133">
        <v>0</v>
      </c>
      <c r="O14" s="133">
        <v>0</v>
      </c>
      <c r="P14" s="133">
        <v>0.72</v>
      </c>
      <c r="Q14" s="133">
        <v>3.89</v>
      </c>
    </row>
    <row r="15" spans="1:21" customFormat="1">
      <c r="A15" s="111" t="s">
        <v>1300</v>
      </c>
      <c r="B15" s="133">
        <v>7.85</v>
      </c>
      <c r="C15" s="133">
        <v>25.2</v>
      </c>
      <c r="D15" s="133">
        <v>20.14</v>
      </c>
      <c r="E15" s="133">
        <v>8.6</v>
      </c>
      <c r="F15" s="133">
        <v>2.65</v>
      </c>
      <c r="G15" s="133">
        <v>59.65</v>
      </c>
      <c r="H15" s="133">
        <v>20.49</v>
      </c>
      <c r="I15" s="133">
        <v>7.1</v>
      </c>
      <c r="J15" s="133">
        <v>0.12</v>
      </c>
      <c r="K15" s="133">
        <v>170.21</v>
      </c>
      <c r="L15" s="133">
        <v>25.02</v>
      </c>
      <c r="M15" s="133">
        <v>86.59</v>
      </c>
      <c r="N15" s="133">
        <v>0</v>
      </c>
      <c r="O15" s="133">
        <v>0</v>
      </c>
      <c r="P15" s="133">
        <v>0.73</v>
      </c>
      <c r="Q15" s="133">
        <v>3.85</v>
      </c>
    </row>
    <row r="16" spans="1:21" customFormat="1">
      <c r="A16" s="111" t="s">
        <v>1301</v>
      </c>
      <c r="B16" s="133">
        <v>7.75</v>
      </c>
      <c r="C16" s="133">
        <v>25.41</v>
      </c>
      <c r="D16" s="133">
        <v>20.170000000000002</v>
      </c>
      <c r="E16" s="133">
        <v>8.9</v>
      </c>
      <c r="F16" s="133">
        <v>2.83</v>
      </c>
      <c r="G16" s="133">
        <v>58.99</v>
      </c>
      <c r="H16" s="133">
        <v>20.32</v>
      </c>
      <c r="I16" s="133">
        <v>7</v>
      </c>
      <c r="J16" s="133">
        <v>0.14000000000000001</v>
      </c>
      <c r="K16" s="133">
        <v>164.59</v>
      </c>
      <c r="L16" s="133">
        <v>24.98</v>
      </c>
      <c r="M16" s="133">
        <v>87.14</v>
      </c>
      <c r="N16" s="133">
        <v>0</v>
      </c>
      <c r="O16" s="133">
        <v>0</v>
      </c>
      <c r="P16" s="133">
        <v>0.71</v>
      </c>
      <c r="Q16" s="133">
        <v>3.85</v>
      </c>
    </row>
    <row r="17" spans="1:17" customFormat="1">
      <c r="A17" s="111" t="s">
        <v>1302</v>
      </c>
      <c r="B17" s="133">
        <v>7.86</v>
      </c>
      <c r="C17" s="133">
        <v>25.43</v>
      </c>
      <c r="D17" s="133">
        <v>20.27</v>
      </c>
      <c r="E17" s="133">
        <v>5.57</v>
      </c>
      <c r="F17" s="133">
        <v>2.67</v>
      </c>
      <c r="G17" s="133">
        <v>53.67</v>
      </c>
      <c r="H17" s="133">
        <v>19.239999999999998</v>
      </c>
      <c r="I17" s="133">
        <v>7</v>
      </c>
      <c r="J17" s="133">
        <v>0.14000000000000001</v>
      </c>
      <c r="K17" s="133">
        <v>180.08</v>
      </c>
      <c r="L17" s="133">
        <v>24.95</v>
      </c>
      <c r="M17" s="133">
        <v>89.1</v>
      </c>
      <c r="N17" s="133">
        <v>0</v>
      </c>
      <c r="O17" s="133">
        <v>0</v>
      </c>
      <c r="P17" s="133">
        <v>0.71</v>
      </c>
      <c r="Q17" s="133">
        <v>3.82</v>
      </c>
    </row>
    <row r="18" spans="1:17" customFormat="1">
      <c r="A18" s="111" t="s">
        <v>1303</v>
      </c>
      <c r="B18" s="133">
        <v>8.0399999999999991</v>
      </c>
      <c r="C18" s="133">
        <v>25.19</v>
      </c>
      <c r="D18" s="133">
        <v>20.28</v>
      </c>
      <c r="E18" s="133">
        <v>6.42</v>
      </c>
      <c r="F18" s="133">
        <v>2.74</v>
      </c>
      <c r="G18" s="133">
        <v>53.67</v>
      </c>
      <c r="H18" s="133">
        <v>19.239999999999998</v>
      </c>
      <c r="I18" s="133">
        <v>6.98</v>
      </c>
      <c r="J18" s="133">
        <v>0.11</v>
      </c>
      <c r="K18" s="133">
        <v>181.86</v>
      </c>
      <c r="L18" s="133">
        <v>24.71</v>
      </c>
      <c r="M18" s="133">
        <v>89.27</v>
      </c>
      <c r="N18" s="133">
        <v>0</v>
      </c>
      <c r="O18" s="133">
        <v>0</v>
      </c>
      <c r="P18" s="133">
        <v>0.7</v>
      </c>
      <c r="Q18" s="133">
        <v>3.82</v>
      </c>
    </row>
    <row r="19" spans="1:17" customFormat="1">
      <c r="A19" s="111" t="s">
        <v>1304</v>
      </c>
      <c r="B19" s="133">
        <v>7.99</v>
      </c>
      <c r="C19" s="133">
        <v>24.39</v>
      </c>
      <c r="D19" s="133">
        <v>19.82</v>
      </c>
      <c r="E19" s="133">
        <v>5.58</v>
      </c>
      <c r="F19" s="133">
        <v>2.89</v>
      </c>
      <c r="G19" s="133">
        <v>53.67</v>
      </c>
      <c r="H19" s="133">
        <v>19.239999999999998</v>
      </c>
      <c r="I19" s="133">
        <v>6.99</v>
      </c>
      <c r="J19" s="133">
        <v>0.11</v>
      </c>
      <c r="K19" s="133">
        <v>143.1</v>
      </c>
      <c r="L19" s="133">
        <v>24.76</v>
      </c>
      <c r="M19" s="133">
        <v>89.14</v>
      </c>
      <c r="N19" s="133">
        <v>0</v>
      </c>
      <c r="O19" s="133">
        <v>0</v>
      </c>
      <c r="P19" s="133">
        <v>0.71</v>
      </c>
      <c r="Q19" s="133">
        <v>3.81</v>
      </c>
    </row>
    <row r="20" spans="1:17" customFormat="1">
      <c r="A20" s="111" t="s">
        <v>1305</v>
      </c>
      <c r="B20" s="133">
        <v>8.1</v>
      </c>
      <c r="C20" s="133">
        <v>22.74</v>
      </c>
      <c r="D20" s="133">
        <v>19.05</v>
      </c>
      <c r="E20" s="133">
        <v>5.56</v>
      </c>
      <c r="F20" s="133">
        <v>3.22</v>
      </c>
      <c r="G20" s="133">
        <v>53.37</v>
      </c>
      <c r="H20" s="133">
        <v>19.45</v>
      </c>
      <c r="I20" s="133">
        <v>6.96</v>
      </c>
      <c r="J20" s="133">
        <v>0.14000000000000001</v>
      </c>
      <c r="K20" s="133">
        <v>164.05</v>
      </c>
      <c r="L20" s="133">
        <v>24.69</v>
      </c>
      <c r="M20" s="133">
        <v>91.23</v>
      </c>
      <c r="N20" s="133">
        <v>0</v>
      </c>
      <c r="O20" s="133">
        <v>0</v>
      </c>
      <c r="P20" s="133">
        <v>0.69</v>
      </c>
      <c r="Q20" s="133">
        <v>3.79</v>
      </c>
    </row>
    <row r="21" spans="1:17" customFormat="1">
      <c r="A21" s="111" t="s">
        <v>1306</v>
      </c>
      <c r="B21" s="133">
        <v>8.44</v>
      </c>
      <c r="C21" s="133">
        <v>21.31</v>
      </c>
      <c r="D21" s="133">
        <v>18.579999999999998</v>
      </c>
      <c r="E21" s="133">
        <v>5.04</v>
      </c>
      <c r="F21" s="133">
        <v>3.26</v>
      </c>
      <c r="G21" s="133">
        <v>50.97</v>
      </c>
      <c r="H21" s="133">
        <v>20.76</v>
      </c>
      <c r="I21" s="133">
        <v>6.99</v>
      </c>
      <c r="J21" s="133">
        <v>0.08</v>
      </c>
      <c r="K21" s="133">
        <v>156.11000000000001</v>
      </c>
      <c r="L21" s="133">
        <v>24.43</v>
      </c>
      <c r="M21" s="133">
        <v>93.64</v>
      </c>
      <c r="N21" s="133">
        <v>0</v>
      </c>
      <c r="O21" s="133">
        <v>0</v>
      </c>
      <c r="P21" s="133">
        <v>0.67</v>
      </c>
      <c r="Q21" s="133">
        <v>3.74</v>
      </c>
    </row>
    <row r="22" spans="1:17" customFormat="1">
      <c r="A22" s="111" t="s">
        <v>1307</v>
      </c>
      <c r="B22" s="133">
        <v>8.67</v>
      </c>
      <c r="C22" s="133">
        <v>20.49</v>
      </c>
      <c r="D22" s="133">
        <v>18.34</v>
      </c>
      <c r="E22" s="133">
        <v>5.12</v>
      </c>
      <c r="F22" s="133">
        <v>3.19</v>
      </c>
      <c r="G22" s="133">
        <v>50.97</v>
      </c>
      <c r="H22" s="133">
        <v>20.76</v>
      </c>
      <c r="I22" s="133">
        <v>7</v>
      </c>
      <c r="J22" s="133">
        <v>0.12</v>
      </c>
      <c r="K22" s="133">
        <v>163.69</v>
      </c>
      <c r="L22" s="133">
        <v>24.39</v>
      </c>
      <c r="M22" s="133">
        <v>93.45</v>
      </c>
      <c r="N22" s="133">
        <v>0</v>
      </c>
      <c r="O22" s="133">
        <v>0</v>
      </c>
      <c r="P22" s="133">
        <v>0.65</v>
      </c>
      <c r="Q22" s="133">
        <v>3.7</v>
      </c>
    </row>
    <row r="23" spans="1:17" customFormat="1">
      <c r="A23" s="111" t="s">
        <v>1308</v>
      </c>
      <c r="B23" s="133">
        <v>8.74</v>
      </c>
      <c r="C23" s="133">
        <v>20.05</v>
      </c>
      <c r="D23" s="133">
        <v>18.16</v>
      </c>
      <c r="E23" s="133">
        <v>5.12</v>
      </c>
      <c r="F23" s="133">
        <v>3.19</v>
      </c>
      <c r="G23" s="133">
        <v>50.97</v>
      </c>
      <c r="H23" s="133">
        <v>20.76</v>
      </c>
      <c r="I23" s="133">
        <v>6.98</v>
      </c>
      <c r="J23" s="133">
        <v>0.15</v>
      </c>
      <c r="K23" s="133">
        <v>136.08000000000001</v>
      </c>
      <c r="L23" s="133">
        <v>24.41</v>
      </c>
      <c r="M23" s="133">
        <v>92.73</v>
      </c>
      <c r="N23" s="133">
        <v>0</v>
      </c>
      <c r="O23" s="133">
        <v>0</v>
      </c>
      <c r="P23" s="133">
        <v>0.64</v>
      </c>
      <c r="Q23" s="133">
        <v>3.67</v>
      </c>
    </row>
    <row r="24" spans="1:17" customFormat="1">
      <c r="A24" s="111" t="s">
        <v>1309</v>
      </c>
      <c r="B24" s="133">
        <v>8.76</v>
      </c>
      <c r="C24" s="133">
        <v>19.91</v>
      </c>
      <c r="D24" s="133">
        <v>18.100000000000001</v>
      </c>
      <c r="E24" s="133">
        <v>4.9000000000000004</v>
      </c>
      <c r="F24" s="133">
        <v>3.09</v>
      </c>
      <c r="G24" s="133">
        <v>50.59</v>
      </c>
      <c r="H24" s="133">
        <v>20.7</v>
      </c>
      <c r="I24" s="133">
        <v>6.99</v>
      </c>
      <c r="J24" s="133">
        <v>0.23</v>
      </c>
      <c r="K24" s="133">
        <v>187.79</v>
      </c>
      <c r="L24" s="133">
        <v>24.4</v>
      </c>
      <c r="M24" s="133">
        <v>92.06</v>
      </c>
      <c r="N24" s="133">
        <v>0</v>
      </c>
      <c r="O24" s="133">
        <v>0</v>
      </c>
      <c r="P24" s="133">
        <v>0.64</v>
      </c>
      <c r="Q24" s="133">
        <v>3.67</v>
      </c>
    </row>
    <row r="25" spans="1:17" customFormat="1">
      <c r="A25" s="111" t="s">
        <v>1310</v>
      </c>
      <c r="B25" s="133">
        <v>8.9600000000000009</v>
      </c>
      <c r="C25" s="133">
        <v>22.11</v>
      </c>
      <c r="D25" s="133">
        <v>19.41</v>
      </c>
      <c r="E25" s="133">
        <v>4.91</v>
      </c>
      <c r="F25" s="133">
        <v>2.35</v>
      </c>
      <c r="G25" s="133">
        <v>47.61</v>
      </c>
      <c r="H25" s="133">
        <v>20.309999999999999</v>
      </c>
      <c r="I25" s="133">
        <v>7.01</v>
      </c>
      <c r="J25" s="133">
        <v>0.22</v>
      </c>
      <c r="K25" s="133">
        <v>187.02</v>
      </c>
      <c r="L25" s="133">
        <v>24.4</v>
      </c>
      <c r="M25" s="133">
        <v>93.37</v>
      </c>
      <c r="N25" s="133">
        <v>0</v>
      </c>
      <c r="O25" s="133">
        <v>0</v>
      </c>
      <c r="P25" s="133">
        <v>0.67</v>
      </c>
      <c r="Q25" s="133">
        <v>3.65</v>
      </c>
    </row>
    <row r="26" spans="1:17" customFormat="1">
      <c r="A26" s="111" t="s">
        <v>1311</v>
      </c>
      <c r="B26" s="133">
        <v>9.33</v>
      </c>
      <c r="C26" s="133">
        <v>22.09</v>
      </c>
      <c r="D26" s="133">
        <v>19.7</v>
      </c>
      <c r="E26" s="133">
        <v>5.42</v>
      </c>
      <c r="F26" s="133">
        <v>2.67</v>
      </c>
      <c r="G26" s="133">
        <v>47.61</v>
      </c>
      <c r="H26" s="133">
        <v>20.309999999999999</v>
      </c>
      <c r="I26" s="133">
        <v>7.02</v>
      </c>
      <c r="J26" s="133">
        <v>0.19</v>
      </c>
      <c r="K26" s="133">
        <v>187.17</v>
      </c>
      <c r="L26" s="133">
        <v>24.21</v>
      </c>
      <c r="M26" s="133">
        <v>94.35</v>
      </c>
      <c r="N26" s="133">
        <v>0</v>
      </c>
      <c r="O26" s="133">
        <v>0</v>
      </c>
      <c r="P26" s="133">
        <v>0.68</v>
      </c>
      <c r="Q26" s="133">
        <v>3.71</v>
      </c>
    </row>
    <row r="27" spans="1:17" customFormat="1">
      <c r="A27" s="111" t="s">
        <v>1312</v>
      </c>
      <c r="B27" s="133">
        <v>9.65</v>
      </c>
      <c r="C27" s="133">
        <v>20.62</v>
      </c>
      <c r="D27" s="133">
        <v>19.190000000000001</v>
      </c>
      <c r="E27" s="133">
        <v>5.29</v>
      </c>
      <c r="F27" s="133">
        <v>3.01</v>
      </c>
      <c r="G27" s="133">
        <v>47.61</v>
      </c>
      <c r="H27" s="133">
        <v>20.309999999999999</v>
      </c>
      <c r="I27" s="133">
        <v>7.08</v>
      </c>
      <c r="J27" s="133">
        <v>0.1</v>
      </c>
      <c r="K27" s="133">
        <v>164.72</v>
      </c>
      <c r="L27" s="133">
        <v>24.22</v>
      </c>
      <c r="M27" s="133">
        <v>92.98</v>
      </c>
      <c r="N27" s="133">
        <v>0</v>
      </c>
      <c r="O27" s="133">
        <v>0</v>
      </c>
      <c r="P27" s="133">
        <v>0.66</v>
      </c>
      <c r="Q27" s="133">
        <v>3.75</v>
      </c>
    </row>
    <row r="28" spans="1:17" customFormat="1">
      <c r="A28" s="111" t="s">
        <v>1313</v>
      </c>
      <c r="B28" s="133">
        <v>9.85</v>
      </c>
      <c r="C28" s="133">
        <v>19.39</v>
      </c>
      <c r="D28" s="133">
        <v>18.7</v>
      </c>
      <c r="E28" s="133">
        <v>4.7699999999999996</v>
      </c>
      <c r="F28" s="133">
        <v>3.12</v>
      </c>
      <c r="G28" s="133">
        <v>47.48</v>
      </c>
      <c r="H28" s="133">
        <v>19.68</v>
      </c>
      <c r="I28" s="133">
        <v>7.1</v>
      </c>
      <c r="J28" s="133">
        <v>0.06</v>
      </c>
      <c r="K28" s="133">
        <v>245.27</v>
      </c>
      <c r="L28" s="133">
        <v>23.98</v>
      </c>
      <c r="M28" s="133">
        <v>94.83</v>
      </c>
      <c r="N28" s="133">
        <v>0</v>
      </c>
      <c r="O28" s="133">
        <v>0</v>
      </c>
      <c r="P28" s="133">
        <v>0.64</v>
      </c>
      <c r="Q28" s="133">
        <v>3.76</v>
      </c>
    </row>
    <row r="29" spans="1:17" customFormat="1">
      <c r="A29" s="111" t="s">
        <v>1314</v>
      </c>
      <c r="B29" s="133">
        <v>9.8699999999999992</v>
      </c>
      <c r="C29" s="133">
        <v>20.72</v>
      </c>
      <c r="D29" s="133">
        <v>19.420000000000002</v>
      </c>
      <c r="E29" s="133">
        <v>4.72</v>
      </c>
      <c r="F29" s="133">
        <v>2.56</v>
      </c>
      <c r="G29" s="133">
        <v>46.42</v>
      </c>
      <c r="H29" s="133">
        <v>15.7</v>
      </c>
      <c r="I29" s="133">
        <v>7.05</v>
      </c>
      <c r="J29" s="133">
        <v>0.1</v>
      </c>
      <c r="K29" s="133">
        <v>177</v>
      </c>
      <c r="L29" s="133">
        <v>23.86</v>
      </c>
      <c r="M29" s="133">
        <v>95.68</v>
      </c>
      <c r="N29" s="133">
        <v>0</v>
      </c>
      <c r="O29" s="133">
        <v>0</v>
      </c>
      <c r="P29" s="133">
        <v>0.66</v>
      </c>
      <c r="Q29" s="133">
        <v>3.71</v>
      </c>
    </row>
    <row r="30" spans="1:17" customFormat="1">
      <c r="A30" s="111" t="s">
        <v>1315</v>
      </c>
      <c r="B30" s="133">
        <v>10.36</v>
      </c>
      <c r="C30" s="133">
        <v>22.13</v>
      </c>
      <c r="D30" s="133">
        <v>20.55</v>
      </c>
      <c r="E30" s="133">
        <v>5.96</v>
      </c>
      <c r="F30" s="133">
        <v>2.25</v>
      </c>
      <c r="G30" s="133">
        <v>46.42</v>
      </c>
      <c r="H30" s="133">
        <v>15.7</v>
      </c>
      <c r="I30" s="133">
        <v>6.98</v>
      </c>
      <c r="J30" s="133">
        <v>0.13</v>
      </c>
      <c r="K30" s="133">
        <v>188.98</v>
      </c>
      <c r="L30" s="133">
        <v>23.79</v>
      </c>
      <c r="M30" s="133">
        <v>96.23</v>
      </c>
      <c r="N30" s="133">
        <v>0</v>
      </c>
      <c r="O30" s="133">
        <v>0</v>
      </c>
      <c r="P30" s="133">
        <v>0.68</v>
      </c>
      <c r="Q30" s="133">
        <v>3.74</v>
      </c>
    </row>
    <row r="31" spans="1:17" customFormat="1">
      <c r="A31" s="111" t="s">
        <v>1316</v>
      </c>
      <c r="B31" s="133">
        <v>10.78</v>
      </c>
      <c r="C31" s="133">
        <v>20.83</v>
      </c>
      <c r="D31" s="133">
        <v>20.2</v>
      </c>
      <c r="E31" s="133">
        <v>5.39</v>
      </c>
      <c r="F31" s="133">
        <v>2.84</v>
      </c>
      <c r="G31" s="133">
        <v>46.42</v>
      </c>
      <c r="H31" s="133">
        <v>15.7</v>
      </c>
      <c r="I31" s="133">
        <v>7.04</v>
      </c>
      <c r="J31" s="133">
        <v>0.08</v>
      </c>
      <c r="K31" s="133">
        <v>191.4</v>
      </c>
      <c r="L31" s="133">
        <v>23.93</v>
      </c>
      <c r="M31" s="133">
        <v>95.86</v>
      </c>
      <c r="N31" s="133">
        <v>0</v>
      </c>
      <c r="O31" s="133">
        <v>0</v>
      </c>
      <c r="P31" s="133">
        <v>0.66</v>
      </c>
      <c r="Q31" s="133">
        <v>3.8</v>
      </c>
    </row>
    <row r="32" spans="1:17" customFormat="1">
      <c r="A32" s="111" t="s">
        <v>1317</v>
      </c>
      <c r="B32" s="133">
        <v>10.96</v>
      </c>
      <c r="C32" s="133">
        <v>19.5</v>
      </c>
      <c r="D32" s="133">
        <v>19.66</v>
      </c>
      <c r="E32" s="133">
        <v>4.88</v>
      </c>
      <c r="F32" s="133">
        <v>3.11</v>
      </c>
      <c r="G32" s="133">
        <v>46.24</v>
      </c>
      <c r="H32" s="133">
        <v>16.329999999999998</v>
      </c>
      <c r="I32" s="133">
        <v>7.01</v>
      </c>
      <c r="J32" s="133">
        <v>0.08</v>
      </c>
      <c r="K32" s="133">
        <v>190.63</v>
      </c>
      <c r="L32" s="133">
        <v>23.92</v>
      </c>
      <c r="M32" s="133">
        <v>95.99</v>
      </c>
      <c r="N32" s="133">
        <v>0</v>
      </c>
      <c r="O32" s="133">
        <v>0</v>
      </c>
      <c r="P32" s="133">
        <v>0.64</v>
      </c>
      <c r="Q32" s="133">
        <v>3.81</v>
      </c>
    </row>
    <row r="33" spans="1:17" customFormat="1">
      <c r="A33" s="111" t="s">
        <v>1318</v>
      </c>
      <c r="B33" s="133">
        <v>11.1</v>
      </c>
      <c r="C33" s="133">
        <v>20.18</v>
      </c>
      <c r="D33" s="133">
        <v>20.11</v>
      </c>
      <c r="E33" s="133">
        <v>5.53</v>
      </c>
      <c r="F33" s="133">
        <v>2.68</v>
      </c>
      <c r="G33" s="133">
        <v>44.85</v>
      </c>
      <c r="H33" s="133">
        <v>20.34</v>
      </c>
      <c r="I33" s="133">
        <v>6.98</v>
      </c>
      <c r="J33" s="133">
        <v>0.08</v>
      </c>
      <c r="K33" s="133">
        <v>228.78</v>
      </c>
      <c r="L33" s="133">
        <v>24.02</v>
      </c>
      <c r="M33" s="133">
        <v>95.52</v>
      </c>
      <c r="N33" s="133">
        <v>2.6</v>
      </c>
      <c r="O33" s="133">
        <v>0</v>
      </c>
      <c r="P33" s="133">
        <v>0.64</v>
      </c>
      <c r="Q33" s="133">
        <v>3.79</v>
      </c>
    </row>
    <row r="34" spans="1:17" customFormat="1">
      <c r="A34" s="111" t="s">
        <v>1319</v>
      </c>
      <c r="B34" s="133">
        <v>11.43</v>
      </c>
      <c r="C34" s="133">
        <v>22.19</v>
      </c>
      <c r="D34" s="133">
        <v>21.44</v>
      </c>
      <c r="E34" s="133">
        <v>5.79</v>
      </c>
      <c r="F34" s="133">
        <v>2.2000000000000002</v>
      </c>
      <c r="G34" s="133">
        <v>44.85</v>
      </c>
      <c r="H34" s="133">
        <v>20.34</v>
      </c>
      <c r="I34" s="133">
        <v>6.9</v>
      </c>
      <c r="J34" s="133">
        <v>0.04</v>
      </c>
      <c r="K34" s="133">
        <v>143.53</v>
      </c>
      <c r="L34" s="133">
        <v>24.22</v>
      </c>
      <c r="M34" s="133">
        <v>95.15</v>
      </c>
      <c r="N34" s="133">
        <v>11.9</v>
      </c>
      <c r="O34" s="133">
        <v>0</v>
      </c>
      <c r="P34" s="133">
        <v>0.66</v>
      </c>
      <c r="Q34" s="133">
        <v>3.79</v>
      </c>
    </row>
    <row r="35" spans="1:17" customFormat="1">
      <c r="A35" s="111" t="s">
        <v>1320</v>
      </c>
      <c r="B35" s="133">
        <v>11.88</v>
      </c>
      <c r="C35" s="133">
        <v>20.93</v>
      </c>
      <c r="D35" s="133">
        <v>21.13</v>
      </c>
      <c r="E35" s="133">
        <v>5.45</v>
      </c>
      <c r="F35" s="133">
        <v>2.85</v>
      </c>
      <c r="G35" s="133">
        <v>44.85</v>
      </c>
      <c r="H35" s="133">
        <v>20.34</v>
      </c>
      <c r="I35" s="133">
        <v>6.99</v>
      </c>
      <c r="J35" s="133">
        <v>0.1</v>
      </c>
      <c r="K35" s="133">
        <v>170.18</v>
      </c>
      <c r="L35" s="133">
        <v>24.5</v>
      </c>
      <c r="M35" s="133">
        <v>93.9</v>
      </c>
      <c r="N35" s="133">
        <v>24</v>
      </c>
      <c r="O35" s="133">
        <v>0</v>
      </c>
      <c r="P35" s="133">
        <v>0.65</v>
      </c>
      <c r="Q35" s="133">
        <v>3.84</v>
      </c>
    </row>
    <row r="36" spans="1:17" customFormat="1">
      <c r="A36" s="111" t="s">
        <v>1321</v>
      </c>
      <c r="B36" s="133">
        <v>12.08</v>
      </c>
      <c r="C36" s="133">
        <v>19.75</v>
      </c>
      <c r="D36" s="133">
        <v>20.68</v>
      </c>
      <c r="E36" s="133">
        <v>5.44</v>
      </c>
      <c r="F36" s="133">
        <v>3.21</v>
      </c>
      <c r="G36" s="133">
        <v>43.94</v>
      </c>
      <c r="H36" s="133">
        <v>20.149999999999999</v>
      </c>
      <c r="I36" s="133">
        <v>7.01</v>
      </c>
      <c r="J36" s="133">
        <v>0.09</v>
      </c>
      <c r="K36" s="133">
        <v>279.25</v>
      </c>
      <c r="L36" s="133">
        <v>24.91</v>
      </c>
      <c r="M36" s="133">
        <v>92.06</v>
      </c>
      <c r="N36" s="133">
        <v>39.5</v>
      </c>
      <c r="O36" s="133">
        <v>0</v>
      </c>
      <c r="P36" s="133">
        <v>0.64</v>
      </c>
      <c r="Q36" s="133">
        <v>3.85</v>
      </c>
    </row>
    <row r="37" spans="1:17" customFormat="1">
      <c r="A37" s="111" t="s">
        <v>1322</v>
      </c>
      <c r="B37" s="133">
        <v>12.11</v>
      </c>
      <c r="C37" s="133">
        <v>21.24</v>
      </c>
      <c r="D37" s="133">
        <v>21.49</v>
      </c>
      <c r="E37" s="133">
        <v>5.42</v>
      </c>
      <c r="F37" s="133">
        <v>2.65</v>
      </c>
      <c r="G37" s="133">
        <v>36.659999999999997</v>
      </c>
      <c r="H37" s="133">
        <v>18.96</v>
      </c>
      <c r="I37" s="133">
        <v>6.99</v>
      </c>
      <c r="J37" s="133">
        <v>0.24</v>
      </c>
      <c r="K37" s="133">
        <v>269.89999999999998</v>
      </c>
      <c r="L37" s="133">
        <v>25.23</v>
      </c>
      <c r="M37" s="133">
        <v>90.59</v>
      </c>
      <c r="N37" s="133">
        <v>62.8</v>
      </c>
      <c r="O37" s="133">
        <v>0</v>
      </c>
      <c r="P37" s="133">
        <v>0.65</v>
      </c>
      <c r="Q37" s="133">
        <v>3.83</v>
      </c>
    </row>
    <row r="38" spans="1:17" customFormat="1">
      <c r="A38" s="111" t="s">
        <v>1323</v>
      </c>
      <c r="B38" s="133">
        <v>11.99</v>
      </c>
      <c r="C38" s="133">
        <v>22.53</v>
      </c>
      <c r="D38" s="133">
        <v>22.06</v>
      </c>
      <c r="E38" s="133">
        <v>5.76</v>
      </c>
      <c r="F38" s="133">
        <v>2.37</v>
      </c>
      <c r="G38" s="133">
        <v>36.659999999999997</v>
      </c>
      <c r="H38" s="133">
        <v>18.96</v>
      </c>
      <c r="I38" s="133">
        <v>6.93</v>
      </c>
      <c r="J38" s="133">
        <v>0.12</v>
      </c>
      <c r="K38" s="133">
        <v>269.89999999999998</v>
      </c>
      <c r="L38" s="133">
        <v>25.81</v>
      </c>
      <c r="M38" s="133">
        <v>87.85</v>
      </c>
      <c r="N38" s="133">
        <v>84.8</v>
      </c>
      <c r="O38" s="133">
        <v>0</v>
      </c>
      <c r="P38" s="133">
        <v>0.68</v>
      </c>
      <c r="Q38" s="133">
        <v>3.86</v>
      </c>
    </row>
    <row r="39" spans="1:17" customFormat="1">
      <c r="A39" s="111" t="s">
        <v>1324</v>
      </c>
      <c r="B39" s="133">
        <v>11.81</v>
      </c>
      <c r="C39" s="133">
        <v>22.71</v>
      </c>
      <c r="D39" s="133">
        <v>22.02</v>
      </c>
      <c r="E39" s="133">
        <v>6.16</v>
      </c>
      <c r="F39" s="133">
        <v>2.6</v>
      </c>
      <c r="G39" s="133">
        <v>36.659999999999997</v>
      </c>
      <c r="H39" s="133">
        <v>18.96</v>
      </c>
      <c r="I39" s="133">
        <v>6.99</v>
      </c>
      <c r="J39" s="133">
        <v>0.12</v>
      </c>
      <c r="K39" s="133">
        <v>264.25</v>
      </c>
      <c r="L39" s="133">
        <v>26.57</v>
      </c>
      <c r="M39" s="133">
        <v>84.02</v>
      </c>
      <c r="N39" s="133">
        <v>136</v>
      </c>
      <c r="O39" s="133">
        <v>0</v>
      </c>
      <c r="P39" s="133">
        <v>0.69</v>
      </c>
      <c r="Q39" s="133">
        <v>3.87</v>
      </c>
    </row>
    <row r="40" spans="1:17" customFormat="1">
      <c r="A40" s="111" t="s">
        <v>1325</v>
      </c>
      <c r="B40" s="133">
        <v>11.5</v>
      </c>
      <c r="C40" s="133">
        <v>22.95</v>
      </c>
      <c r="D40" s="133">
        <v>21.89</v>
      </c>
      <c r="E40" s="133">
        <v>5.72</v>
      </c>
      <c r="F40" s="133">
        <v>2.78</v>
      </c>
      <c r="G40" s="133">
        <v>36.92</v>
      </c>
      <c r="H40" s="133">
        <v>18.850000000000001</v>
      </c>
      <c r="I40" s="133">
        <v>6.95</v>
      </c>
      <c r="J40" s="133">
        <v>0.19</v>
      </c>
      <c r="K40" s="133">
        <v>214.21</v>
      </c>
      <c r="L40" s="133">
        <v>27.2</v>
      </c>
      <c r="M40" s="133">
        <v>80.94</v>
      </c>
      <c r="N40" s="133">
        <v>150.5</v>
      </c>
      <c r="O40" s="133">
        <v>0</v>
      </c>
      <c r="P40" s="133">
        <v>0.69</v>
      </c>
      <c r="Q40" s="133">
        <v>3.87</v>
      </c>
    </row>
    <row r="41" spans="1:17" customFormat="1">
      <c r="A41" s="111" t="s">
        <v>1326</v>
      </c>
      <c r="B41" s="133">
        <v>11.18</v>
      </c>
      <c r="C41" s="133">
        <v>23.4</v>
      </c>
      <c r="D41" s="133">
        <v>21.87</v>
      </c>
      <c r="E41" s="133">
        <v>5.68</v>
      </c>
      <c r="F41" s="133">
        <v>2.74</v>
      </c>
      <c r="G41" s="133">
        <v>39.049999999999997</v>
      </c>
      <c r="H41" s="133">
        <v>18.16</v>
      </c>
      <c r="I41" s="133">
        <v>6.96</v>
      </c>
      <c r="J41" s="133">
        <v>0.17</v>
      </c>
      <c r="K41" s="133">
        <v>237.79</v>
      </c>
      <c r="L41" s="133">
        <v>27.75</v>
      </c>
      <c r="M41" s="133">
        <v>78.44</v>
      </c>
      <c r="N41" s="133">
        <v>173.3</v>
      </c>
      <c r="O41" s="133">
        <v>0</v>
      </c>
      <c r="P41" s="133">
        <v>0.69</v>
      </c>
      <c r="Q41" s="133">
        <v>3.88</v>
      </c>
    </row>
    <row r="42" spans="1:17" customFormat="1">
      <c r="A42" s="111" t="s">
        <v>1327</v>
      </c>
      <c r="B42" s="133">
        <v>10.7</v>
      </c>
      <c r="C42" s="133">
        <v>23.71</v>
      </c>
      <c r="D42" s="133">
        <v>21.64</v>
      </c>
      <c r="E42" s="133">
        <v>5.36</v>
      </c>
      <c r="F42" s="133">
        <v>2.84</v>
      </c>
      <c r="G42" s="133">
        <v>39.049999999999997</v>
      </c>
      <c r="H42" s="133">
        <v>18.16</v>
      </c>
      <c r="I42" s="133">
        <v>6.93</v>
      </c>
      <c r="J42" s="133">
        <v>0.27</v>
      </c>
      <c r="K42" s="133">
        <v>236.15</v>
      </c>
      <c r="L42" s="133">
        <v>28.2</v>
      </c>
      <c r="M42" s="133">
        <v>75.52</v>
      </c>
      <c r="N42" s="133">
        <v>275.89999999999998</v>
      </c>
      <c r="O42" s="133">
        <v>0</v>
      </c>
      <c r="P42" s="133">
        <v>0.68</v>
      </c>
      <c r="Q42" s="133">
        <v>3.87</v>
      </c>
    </row>
    <row r="43" spans="1:17" customFormat="1">
      <c r="A43" s="111" t="s">
        <v>1328</v>
      </c>
      <c r="B43" s="133">
        <v>10.1</v>
      </c>
      <c r="C43" s="133">
        <v>23.93</v>
      </c>
      <c r="D43" s="133">
        <v>21.28</v>
      </c>
      <c r="E43" s="133">
        <v>5.82</v>
      </c>
      <c r="F43" s="133">
        <v>3.04</v>
      </c>
      <c r="G43" s="133">
        <v>39.049999999999997</v>
      </c>
      <c r="H43" s="133">
        <v>18.16</v>
      </c>
      <c r="I43" s="133">
        <v>6.92</v>
      </c>
      <c r="J43" s="133">
        <v>0.15</v>
      </c>
      <c r="K43" s="133">
        <v>241.4</v>
      </c>
      <c r="L43" s="133">
        <v>29.2</v>
      </c>
      <c r="M43" s="133">
        <v>71.14</v>
      </c>
      <c r="N43" s="133">
        <v>386.3</v>
      </c>
      <c r="O43" s="133">
        <v>0</v>
      </c>
      <c r="P43" s="133">
        <v>0.67</v>
      </c>
      <c r="Q43" s="133">
        <v>3.86</v>
      </c>
    </row>
    <row r="44" spans="1:17" customFormat="1">
      <c r="A44" s="111" t="s">
        <v>1329</v>
      </c>
      <c r="B44" s="133">
        <v>9.5399999999999991</v>
      </c>
      <c r="C44" s="133">
        <v>23.98</v>
      </c>
      <c r="D44" s="133">
        <v>20.85</v>
      </c>
      <c r="E44" s="133">
        <v>5.71</v>
      </c>
      <c r="F44" s="133">
        <v>3.28</v>
      </c>
      <c r="G44" s="133">
        <v>39.74</v>
      </c>
      <c r="H44" s="133">
        <v>18.260000000000002</v>
      </c>
      <c r="I44" s="133">
        <v>6.87</v>
      </c>
      <c r="J44" s="133">
        <v>0.3</v>
      </c>
      <c r="K44" s="133">
        <v>260.32</v>
      </c>
      <c r="L44" s="133">
        <v>30</v>
      </c>
      <c r="M44" s="133">
        <v>68.31</v>
      </c>
      <c r="N44" s="133">
        <v>435.2</v>
      </c>
      <c r="O44" s="133">
        <v>0</v>
      </c>
      <c r="P44" s="133">
        <v>0.68</v>
      </c>
      <c r="Q44" s="133">
        <v>3.85</v>
      </c>
    </row>
    <row r="45" spans="1:17" customFormat="1">
      <c r="A45" s="111" t="s">
        <v>1330</v>
      </c>
      <c r="B45" s="133">
        <v>8.8699999999999992</v>
      </c>
      <c r="C45" s="133">
        <v>24.15</v>
      </c>
      <c r="D45" s="133">
        <v>20.41</v>
      </c>
      <c r="E45" s="133">
        <v>5.95</v>
      </c>
      <c r="F45" s="133">
        <v>3.62</v>
      </c>
      <c r="G45" s="133">
        <v>45.22</v>
      </c>
      <c r="H45" s="133">
        <v>18.899999999999999</v>
      </c>
      <c r="I45" s="133">
        <v>6.83</v>
      </c>
      <c r="J45" s="133">
        <v>0.18</v>
      </c>
      <c r="K45" s="133">
        <v>215.99</v>
      </c>
      <c r="L45" s="133">
        <v>30.46</v>
      </c>
      <c r="M45" s="133">
        <v>67.08</v>
      </c>
      <c r="N45" s="133">
        <v>442.9</v>
      </c>
      <c r="O45" s="133">
        <v>0</v>
      </c>
      <c r="P45" s="133">
        <v>0.67</v>
      </c>
      <c r="Q45" s="133">
        <v>3.8</v>
      </c>
    </row>
    <row r="46" spans="1:17" customFormat="1">
      <c r="A46" s="111" t="s">
        <v>1331</v>
      </c>
      <c r="B46" s="133">
        <v>8.17</v>
      </c>
      <c r="C46" s="133">
        <v>24.47</v>
      </c>
      <c r="D46" s="133">
        <v>20.010000000000002</v>
      </c>
      <c r="E46" s="133">
        <v>5.96</v>
      </c>
      <c r="F46" s="133">
        <v>3.17</v>
      </c>
      <c r="G46" s="133">
        <v>45.22</v>
      </c>
      <c r="H46" s="133">
        <v>18.899999999999999</v>
      </c>
      <c r="I46" s="133">
        <v>6.79</v>
      </c>
      <c r="J46" s="133">
        <v>0.35</v>
      </c>
      <c r="K46" s="133">
        <v>262.83</v>
      </c>
      <c r="L46" s="133">
        <v>31.17</v>
      </c>
      <c r="M46" s="133">
        <v>62.68</v>
      </c>
      <c r="N46" s="133">
        <v>408.1</v>
      </c>
      <c r="O46" s="133">
        <v>0</v>
      </c>
      <c r="P46" s="133">
        <v>0.66</v>
      </c>
      <c r="Q46" s="133">
        <v>3.78</v>
      </c>
    </row>
    <row r="47" spans="1:17" customFormat="1">
      <c r="A47" s="111" t="s">
        <v>1332</v>
      </c>
      <c r="B47" s="133">
        <v>7.56</v>
      </c>
      <c r="C47" s="133">
        <v>24.85</v>
      </c>
      <c r="D47" s="133">
        <v>19.72</v>
      </c>
      <c r="E47" s="133">
        <v>6.08</v>
      </c>
      <c r="F47" s="133">
        <v>3.12</v>
      </c>
      <c r="G47" s="133">
        <v>45.22</v>
      </c>
      <c r="H47" s="133">
        <v>18.899999999999999</v>
      </c>
      <c r="I47" s="133">
        <v>6.83</v>
      </c>
      <c r="J47" s="133">
        <v>0.14000000000000001</v>
      </c>
      <c r="K47" s="133">
        <v>255.05</v>
      </c>
      <c r="L47" s="133">
        <v>31.83</v>
      </c>
      <c r="M47" s="133">
        <v>59.46</v>
      </c>
      <c r="N47" s="133">
        <v>400.5</v>
      </c>
      <c r="O47" s="133">
        <v>0</v>
      </c>
      <c r="P47" s="133">
        <v>0.66</v>
      </c>
      <c r="Q47" s="133">
        <v>3.74</v>
      </c>
    </row>
    <row r="48" spans="1:17" customFormat="1">
      <c r="A48" s="111" t="s">
        <v>1333</v>
      </c>
      <c r="B48" s="133">
        <v>7.19</v>
      </c>
      <c r="C48" s="133">
        <v>25.21</v>
      </c>
      <c r="D48" s="133">
        <v>19.62</v>
      </c>
      <c r="E48" s="133">
        <v>6.07</v>
      </c>
      <c r="F48" s="133">
        <v>3.33</v>
      </c>
      <c r="G48" s="133">
        <v>45.65</v>
      </c>
      <c r="H48" s="133">
        <v>18.87</v>
      </c>
      <c r="I48" s="133">
        <v>6.78</v>
      </c>
      <c r="J48" s="133">
        <v>0.16</v>
      </c>
      <c r="K48" s="133">
        <v>266.20999999999998</v>
      </c>
      <c r="L48" s="133">
        <v>32.409999999999997</v>
      </c>
      <c r="M48" s="133">
        <v>56.36</v>
      </c>
      <c r="N48" s="133">
        <v>524</v>
      </c>
      <c r="O48" s="133">
        <v>0</v>
      </c>
      <c r="P48" s="133">
        <v>0.66</v>
      </c>
      <c r="Q48" s="133">
        <v>3.71</v>
      </c>
    </row>
    <row r="49" spans="1:17" customFormat="1">
      <c r="A49" s="111" t="s">
        <v>1334</v>
      </c>
      <c r="B49" s="133">
        <v>6.81</v>
      </c>
      <c r="C49" s="133">
        <v>25.28</v>
      </c>
      <c r="D49" s="133">
        <v>19.34</v>
      </c>
      <c r="E49" s="133">
        <v>7.92</v>
      </c>
      <c r="F49" s="133">
        <v>3.54</v>
      </c>
      <c r="G49" s="133">
        <v>49.09</v>
      </c>
      <c r="H49" s="133">
        <v>18.63</v>
      </c>
      <c r="I49" s="133">
        <v>6.8</v>
      </c>
      <c r="J49" s="133">
        <v>0.14000000000000001</v>
      </c>
      <c r="K49" s="133">
        <v>234.39</v>
      </c>
      <c r="L49" s="133">
        <v>32.729999999999997</v>
      </c>
      <c r="M49" s="133">
        <v>54.08</v>
      </c>
      <c r="N49" s="133">
        <v>548</v>
      </c>
      <c r="O49" s="133">
        <v>0</v>
      </c>
      <c r="P49" s="133">
        <v>0.67</v>
      </c>
      <c r="Q49" s="133">
        <v>3.68</v>
      </c>
    </row>
    <row r="50" spans="1:17" customFormat="1">
      <c r="A50" s="111" t="s">
        <v>1335</v>
      </c>
      <c r="B50" s="133">
        <v>6.34</v>
      </c>
      <c r="C50" s="133">
        <v>25.21</v>
      </c>
      <c r="D50" s="133">
        <v>18.93</v>
      </c>
      <c r="E50" s="133">
        <v>8.81</v>
      </c>
      <c r="F50" s="133">
        <v>3.55</v>
      </c>
      <c r="G50" s="133">
        <v>49.09</v>
      </c>
      <c r="H50" s="133">
        <v>18.63</v>
      </c>
      <c r="I50" s="133">
        <v>7.02</v>
      </c>
      <c r="J50" s="133">
        <v>0.27</v>
      </c>
      <c r="K50" s="133">
        <v>238.55</v>
      </c>
      <c r="L50" s="133">
        <v>32.840000000000003</v>
      </c>
      <c r="M50" s="133">
        <v>53.19</v>
      </c>
      <c r="N50" s="133">
        <v>604.20000000000005</v>
      </c>
      <c r="O50" s="133">
        <v>0</v>
      </c>
      <c r="P50" s="133">
        <v>0.67</v>
      </c>
      <c r="Q50" s="133">
        <v>3.67</v>
      </c>
    </row>
    <row r="51" spans="1:17" customFormat="1">
      <c r="A51" s="111" t="s">
        <v>1336</v>
      </c>
      <c r="B51" s="133">
        <v>5.86</v>
      </c>
      <c r="C51" s="133">
        <v>25.64</v>
      </c>
      <c r="D51" s="133">
        <v>18.77</v>
      </c>
      <c r="E51" s="133">
        <v>9.31</v>
      </c>
      <c r="F51" s="133">
        <v>3.71</v>
      </c>
      <c r="G51" s="133">
        <v>49.09</v>
      </c>
      <c r="H51" s="133">
        <v>18.63</v>
      </c>
      <c r="I51" s="133">
        <v>7.19</v>
      </c>
      <c r="J51" s="133">
        <v>0.17</v>
      </c>
      <c r="K51" s="133">
        <v>236.22</v>
      </c>
      <c r="L51" s="133">
        <v>33.19</v>
      </c>
      <c r="M51" s="133">
        <v>52.83</v>
      </c>
      <c r="N51" s="133">
        <v>630.79999999999995</v>
      </c>
      <c r="O51" s="133">
        <v>0</v>
      </c>
      <c r="P51" s="133">
        <v>0.68</v>
      </c>
      <c r="Q51" s="133">
        <v>3.63</v>
      </c>
    </row>
    <row r="52" spans="1:17" customFormat="1">
      <c r="A52" s="111" t="s">
        <v>1337</v>
      </c>
      <c r="B52" s="133">
        <v>5.26</v>
      </c>
      <c r="C52" s="133">
        <v>24.49</v>
      </c>
      <c r="D52" s="133">
        <v>17.690000000000001</v>
      </c>
      <c r="E52" s="133">
        <v>9.17</v>
      </c>
      <c r="F52" s="133">
        <v>4.28</v>
      </c>
      <c r="G52" s="133">
        <v>49.52</v>
      </c>
      <c r="H52" s="133">
        <v>18.8</v>
      </c>
      <c r="I52" s="133">
        <v>7.28</v>
      </c>
      <c r="J52" s="133">
        <v>0.25</v>
      </c>
      <c r="K52" s="133">
        <v>260.54000000000002</v>
      </c>
      <c r="L52" s="133">
        <v>33.4</v>
      </c>
      <c r="M52" s="133">
        <v>51.43</v>
      </c>
      <c r="N52" s="133">
        <v>606.70000000000005</v>
      </c>
      <c r="O52" s="133">
        <v>0</v>
      </c>
      <c r="P52" s="133">
        <v>0.68</v>
      </c>
      <c r="Q52" s="133">
        <v>3.6</v>
      </c>
    </row>
    <row r="53" spans="1:17" customFormat="1">
      <c r="A53" s="111" t="s">
        <v>1338</v>
      </c>
      <c r="B53" s="133">
        <v>4.84</v>
      </c>
      <c r="C53" s="133">
        <v>25.75</v>
      </c>
      <c r="D53" s="133">
        <v>18.010000000000002</v>
      </c>
      <c r="E53" s="133">
        <v>9.61</v>
      </c>
      <c r="F53" s="133">
        <v>4.1399999999999997</v>
      </c>
      <c r="G53" s="133">
        <v>52.94</v>
      </c>
      <c r="H53" s="133">
        <v>19.88</v>
      </c>
      <c r="I53" s="133">
        <v>7.45</v>
      </c>
      <c r="J53" s="133">
        <v>0.27</v>
      </c>
      <c r="K53" s="133">
        <v>265.37</v>
      </c>
      <c r="L53" s="133">
        <v>33.81</v>
      </c>
      <c r="M53" s="133">
        <v>49.98</v>
      </c>
      <c r="N53" s="133">
        <v>672.1</v>
      </c>
      <c r="O53" s="133">
        <v>0</v>
      </c>
      <c r="P53" s="133">
        <v>0.71</v>
      </c>
      <c r="Q53" s="133">
        <v>3.58</v>
      </c>
    </row>
    <row r="54" spans="1:17" customFormat="1">
      <c r="A54" s="111" t="s">
        <v>1339</v>
      </c>
      <c r="B54" s="133">
        <v>4.3600000000000003</v>
      </c>
      <c r="C54" s="133">
        <v>23.94</v>
      </c>
      <c r="D54" s="133">
        <v>16.68</v>
      </c>
      <c r="E54" s="133">
        <v>9.1300000000000008</v>
      </c>
      <c r="F54" s="133">
        <v>5.0599999999999996</v>
      </c>
      <c r="G54" s="133">
        <v>52.94</v>
      </c>
      <c r="H54" s="133">
        <v>19.88</v>
      </c>
      <c r="I54" s="133">
        <v>7.63</v>
      </c>
      <c r="J54" s="133">
        <v>0.09</v>
      </c>
      <c r="K54" s="133">
        <v>331.37</v>
      </c>
      <c r="L54" s="133">
        <v>33.86</v>
      </c>
      <c r="M54" s="133">
        <v>48.33</v>
      </c>
      <c r="N54" s="133">
        <v>680.4</v>
      </c>
      <c r="O54" s="133">
        <v>0</v>
      </c>
      <c r="P54" s="133">
        <v>0.69</v>
      </c>
      <c r="Q54" s="133">
        <v>3.54</v>
      </c>
    </row>
    <row r="55" spans="1:17" customFormat="1">
      <c r="A55" s="111" t="s">
        <v>1340</v>
      </c>
      <c r="B55" s="133">
        <v>3.69</v>
      </c>
      <c r="C55" s="133">
        <v>24.18</v>
      </c>
      <c r="D55" s="133">
        <v>16.27</v>
      </c>
      <c r="E55" s="133">
        <v>10.46</v>
      </c>
      <c r="F55" s="133">
        <v>16.12</v>
      </c>
      <c r="G55" s="133">
        <v>52.94</v>
      </c>
      <c r="H55" s="133">
        <v>19.88</v>
      </c>
      <c r="I55" s="133">
        <v>7.87</v>
      </c>
      <c r="J55" s="133">
        <v>0.21</v>
      </c>
      <c r="K55" s="133">
        <v>254.7</v>
      </c>
      <c r="L55" s="133">
        <v>34.19</v>
      </c>
      <c r="M55" s="133">
        <v>48.19</v>
      </c>
      <c r="N55" s="133">
        <v>676.2</v>
      </c>
      <c r="O55" s="133">
        <v>0</v>
      </c>
      <c r="P55" s="133">
        <v>0.71</v>
      </c>
      <c r="Q55" s="133">
        <v>3.47</v>
      </c>
    </row>
    <row r="56" spans="1:17" customFormat="1">
      <c r="A56" s="111" t="s">
        <v>1341</v>
      </c>
      <c r="B56" s="133">
        <v>2.56</v>
      </c>
      <c r="C56" s="133">
        <v>19.510000000000002</v>
      </c>
      <c r="D56" s="133">
        <v>12.92</v>
      </c>
      <c r="E56" s="133">
        <v>12.92</v>
      </c>
      <c r="F56" s="133">
        <v>22.49</v>
      </c>
      <c r="G56" s="133">
        <v>53.3</v>
      </c>
      <c r="H56" s="133">
        <v>19.559999999999999</v>
      </c>
      <c r="I56" s="133">
        <v>7.98</v>
      </c>
      <c r="J56" s="133">
        <v>0.22</v>
      </c>
      <c r="K56" s="133">
        <v>206.71</v>
      </c>
      <c r="L56" s="133">
        <v>34.659999999999997</v>
      </c>
      <c r="M56" s="133">
        <v>47.67</v>
      </c>
      <c r="N56" s="133">
        <v>681.3</v>
      </c>
      <c r="O56" s="133">
        <v>0</v>
      </c>
      <c r="P56" s="133">
        <v>0.71</v>
      </c>
      <c r="Q56" s="133">
        <v>3.44</v>
      </c>
    </row>
    <row r="57" spans="1:17" customFormat="1">
      <c r="A57" s="111" t="s">
        <v>1342</v>
      </c>
      <c r="B57" s="150" t="s">
        <v>12</v>
      </c>
      <c r="C57" s="150" t="s">
        <v>12</v>
      </c>
      <c r="D57" s="150" t="s">
        <v>12</v>
      </c>
      <c r="E57" s="133">
        <v>10.34</v>
      </c>
      <c r="F57" s="133">
        <v>9.91</v>
      </c>
      <c r="G57" s="133">
        <v>56.22</v>
      </c>
      <c r="H57" s="133">
        <v>17.53</v>
      </c>
      <c r="I57" s="133">
        <v>8.0299999999999994</v>
      </c>
      <c r="J57" s="133">
        <v>0.19</v>
      </c>
      <c r="K57" s="133">
        <v>205.76</v>
      </c>
      <c r="L57" s="133">
        <v>34.76</v>
      </c>
      <c r="M57" s="133">
        <v>46.69</v>
      </c>
      <c r="N57" s="133">
        <v>683</v>
      </c>
      <c r="O57" s="133">
        <v>0</v>
      </c>
      <c r="P57" s="133">
        <v>0.7</v>
      </c>
      <c r="Q57" s="133">
        <v>3.39</v>
      </c>
    </row>
    <row r="58" spans="1:17" customFormat="1">
      <c r="A58" s="111" t="s">
        <v>1343</v>
      </c>
      <c r="B58" s="150" t="s">
        <v>12</v>
      </c>
      <c r="C58" s="150" t="s">
        <v>12</v>
      </c>
      <c r="D58" s="150" t="s">
        <v>12</v>
      </c>
      <c r="E58" s="133">
        <v>9.76</v>
      </c>
      <c r="F58" s="133">
        <v>6.97</v>
      </c>
      <c r="G58" s="150" t="s">
        <v>12</v>
      </c>
      <c r="H58" s="150" t="s">
        <v>12</v>
      </c>
      <c r="I58" s="133">
        <v>7.96</v>
      </c>
      <c r="J58" s="133">
        <v>0.24</v>
      </c>
      <c r="K58" s="133">
        <v>242.9</v>
      </c>
      <c r="L58" s="133">
        <v>34.6</v>
      </c>
      <c r="M58" s="133">
        <v>49.77</v>
      </c>
      <c r="N58" s="133">
        <v>663.3</v>
      </c>
      <c r="O58" s="133">
        <v>0</v>
      </c>
      <c r="P58" s="133">
        <v>0.71</v>
      </c>
      <c r="Q58" s="133">
        <v>3.33</v>
      </c>
    </row>
    <row r="59" spans="1:17" customFormat="1">
      <c r="A59" s="111" t="s">
        <v>1344</v>
      </c>
      <c r="B59" s="150" t="s">
        <v>12</v>
      </c>
      <c r="C59" s="150" t="s">
        <v>12</v>
      </c>
      <c r="D59" s="150" t="s">
        <v>12</v>
      </c>
      <c r="E59" s="150" t="s">
        <v>12</v>
      </c>
      <c r="F59" s="150" t="s">
        <v>12</v>
      </c>
      <c r="G59" s="150" t="s">
        <v>12</v>
      </c>
      <c r="H59" s="150" t="s">
        <v>12</v>
      </c>
      <c r="I59" s="133">
        <v>8.11</v>
      </c>
      <c r="J59" s="133">
        <v>0.19</v>
      </c>
      <c r="K59" s="133">
        <v>205.02</v>
      </c>
      <c r="L59" s="133">
        <v>34.46</v>
      </c>
      <c r="M59" s="133">
        <v>50.08</v>
      </c>
      <c r="N59" s="133">
        <v>635.79999999999995</v>
      </c>
      <c r="O59" s="133">
        <v>0</v>
      </c>
      <c r="P59" s="133">
        <v>0.71</v>
      </c>
      <c r="Q59" s="133">
        <v>3.33</v>
      </c>
    </row>
    <row r="60" spans="1:17" customFormat="1">
      <c r="A60" s="111" t="s">
        <v>1345</v>
      </c>
      <c r="B60" s="150" t="s">
        <v>12</v>
      </c>
      <c r="C60" s="150" t="s">
        <v>12</v>
      </c>
      <c r="D60" s="150" t="s">
        <v>12</v>
      </c>
      <c r="E60" s="150" t="s">
        <v>12</v>
      </c>
      <c r="F60" s="150" t="s">
        <v>12</v>
      </c>
      <c r="G60" s="150" t="s">
        <v>12</v>
      </c>
      <c r="H60" s="150" t="s">
        <v>12</v>
      </c>
      <c r="I60" s="133">
        <v>11.23</v>
      </c>
      <c r="J60" s="133">
        <v>0.19</v>
      </c>
      <c r="K60" s="133">
        <v>215.45</v>
      </c>
      <c r="L60" s="133">
        <v>34.57</v>
      </c>
      <c r="M60" s="133">
        <v>46.86</v>
      </c>
      <c r="N60" s="133">
        <v>520.20000000000005</v>
      </c>
      <c r="O60" s="133">
        <v>0</v>
      </c>
      <c r="P60" s="133">
        <v>0.71</v>
      </c>
      <c r="Q60" s="133">
        <v>3.33</v>
      </c>
    </row>
    <row r="61" spans="1:17" customFormat="1">
      <c r="A61" s="111" t="s">
        <v>1346</v>
      </c>
      <c r="B61" s="150" t="s">
        <v>12</v>
      </c>
      <c r="C61" s="150" t="s">
        <v>12</v>
      </c>
      <c r="D61" s="150" t="s">
        <v>12</v>
      </c>
      <c r="E61" s="150" t="s">
        <v>12</v>
      </c>
      <c r="F61" s="150" t="s">
        <v>12</v>
      </c>
      <c r="G61" s="150" t="s">
        <v>12</v>
      </c>
      <c r="H61" s="150" t="s">
        <v>12</v>
      </c>
      <c r="I61" s="133">
        <v>26.25</v>
      </c>
      <c r="J61" s="133">
        <v>0.19</v>
      </c>
      <c r="K61" s="133">
        <v>148.91999999999999</v>
      </c>
      <c r="L61" s="133">
        <v>33.86</v>
      </c>
      <c r="M61" s="133">
        <v>49.25</v>
      </c>
      <c r="N61" s="133">
        <v>304.7</v>
      </c>
      <c r="O61" s="133">
        <v>0</v>
      </c>
      <c r="P61" s="133">
        <v>0.7</v>
      </c>
      <c r="Q61" s="133">
        <v>3.29</v>
      </c>
    </row>
    <row r="62" spans="1:17" customFormat="1">
      <c r="A62" s="111" t="s">
        <v>1347</v>
      </c>
      <c r="B62" s="133">
        <v>5.1100000000000003</v>
      </c>
      <c r="C62" s="133">
        <v>18.510000000000002</v>
      </c>
      <c r="D62" s="133">
        <v>15.12</v>
      </c>
      <c r="E62" s="150" t="s">
        <v>12</v>
      </c>
      <c r="F62" s="133">
        <v>4.91</v>
      </c>
      <c r="G62" s="150" t="s">
        <v>12</v>
      </c>
      <c r="H62" s="150" t="s">
        <v>12</v>
      </c>
      <c r="I62" s="133">
        <v>39.32</v>
      </c>
      <c r="J62" s="133">
        <v>0.2</v>
      </c>
      <c r="K62" s="133">
        <v>169.14</v>
      </c>
      <c r="L62" s="133">
        <v>32.869999999999997</v>
      </c>
      <c r="M62" s="133">
        <v>53.65</v>
      </c>
      <c r="N62" s="133">
        <v>123.6</v>
      </c>
      <c r="O62" s="133">
        <v>0</v>
      </c>
      <c r="P62" s="133">
        <v>0.7</v>
      </c>
      <c r="Q62" s="133">
        <v>3.28</v>
      </c>
    </row>
    <row r="63" spans="1:17" customFormat="1">
      <c r="A63" s="111" t="s">
        <v>1348</v>
      </c>
      <c r="B63" s="133">
        <v>5.03</v>
      </c>
      <c r="C63" s="133">
        <v>16.73</v>
      </c>
      <c r="D63" s="133">
        <v>14.12</v>
      </c>
      <c r="E63" s="150" t="s">
        <v>12</v>
      </c>
      <c r="F63" s="133">
        <v>33.18</v>
      </c>
      <c r="G63" s="150" t="s">
        <v>12</v>
      </c>
      <c r="H63" s="150" t="s">
        <v>12</v>
      </c>
      <c r="I63" s="133">
        <v>54.41</v>
      </c>
      <c r="J63" s="133">
        <v>0.23</v>
      </c>
      <c r="K63" s="133">
        <v>168.39</v>
      </c>
      <c r="L63" s="133">
        <v>32.200000000000003</v>
      </c>
      <c r="M63" s="133">
        <v>57.8</v>
      </c>
      <c r="N63" s="133">
        <v>241.5</v>
      </c>
      <c r="O63" s="133">
        <v>0</v>
      </c>
      <c r="P63" s="133">
        <v>0.65</v>
      </c>
      <c r="Q63" s="133">
        <v>3.36</v>
      </c>
    </row>
    <row r="64" spans="1:17" customFormat="1">
      <c r="A64" s="111" t="s">
        <v>1349</v>
      </c>
      <c r="B64" s="133">
        <v>4.1900000000000004</v>
      </c>
      <c r="C64" s="133">
        <v>15.92</v>
      </c>
      <c r="D64" s="133">
        <v>13.03</v>
      </c>
      <c r="E64" s="150" t="s">
        <v>12</v>
      </c>
      <c r="F64" s="133">
        <v>24.43</v>
      </c>
      <c r="G64" s="150" t="s">
        <v>12</v>
      </c>
      <c r="H64" s="150" t="s">
        <v>12</v>
      </c>
      <c r="I64" s="133">
        <v>69.52</v>
      </c>
      <c r="J64" s="133">
        <v>0.09</v>
      </c>
      <c r="K64" s="133">
        <v>-0.28999999999999998</v>
      </c>
      <c r="L64" s="133">
        <v>33.229999999999997</v>
      </c>
      <c r="M64" s="133">
        <v>53.51</v>
      </c>
      <c r="N64" s="133">
        <v>365.7</v>
      </c>
      <c r="O64" s="133">
        <v>0</v>
      </c>
      <c r="P64" s="133">
        <v>0.64</v>
      </c>
      <c r="Q64" s="133">
        <v>4.9800000000000004</v>
      </c>
    </row>
    <row r="65" spans="1:17" customFormat="1">
      <c r="A65" s="111" t="s">
        <v>1350</v>
      </c>
      <c r="B65" s="133">
        <v>4.03</v>
      </c>
      <c r="C65" s="133">
        <v>15.93</v>
      </c>
      <c r="D65" s="133">
        <v>12.86</v>
      </c>
      <c r="E65" s="150" t="s">
        <v>12</v>
      </c>
      <c r="F65" s="133">
        <v>27.81</v>
      </c>
      <c r="G65" s="150" t="s">
        <v>12</v>
      </c>
      <c r="H65" s="150" t="s">
        <v>12</v>
      </c>
      <c r="I65" s="133">
        <v>55.95</v>
      </c>
      <c r="J65" s="133">
        <v>0.19</v>
      </c>
      <c r="K65" s="133">
        <v>202.41</v>
      </c>
      <c r="L65" s="133">
        <v>32.950000000000003</v>
      </c>
      <c r="M65" s="133">
        <v>51.27</v>
      </c>
      <c r="N65" s="133">
        <v>191</v>
      </c>
      <c r="O65" s="133">
        <v>0</v>
      </c>
      <c r="P65" s="133">
        <v>0.56999999999999995</v>
      </c>
      <c r="Q65" s="133">
        <v>4.91</v>
      </c>
    </row>
    <row r="66" spans="1:17" customFormat="1">
      <c r="A66" s="111" t="s">
        <v>1351</v>
      </c>
      <c r="B66" s="133">
        <v>3.81</v>
      </c>
      <c r="C66" s="133">
        <v>15.48</v>
      </c>
      <c r="D66" s="133">
        <v>12.5</v>
      </c>
      <c r="E66" s="133">
        <v>9.3800000000000008</v>
      </c>
      <c r="F66" s="133">
        <v>24.28</v>
      </c>
      <c r="G66" s="150" t="s">
        <v>12</v>
      </c>
      <c r="H66" s="150" t="s">
        <v>12</v>
      </c>
      <c r="I66" s="133">
        <v>73.55</v>
      </c>
      <c r="J66" s="133">
        <v>0.16</v>
      </c>
      <c r="K66" s="133">
        <v>171.19</v>
      </c>
      <c r="L66" s="133">
        <v>32.71</v>
      </c>
      <c r="M66" s="133">
        <v>55.42</v>
      </c>
      <c r="N66" s="133">
        <v>187.4</v>
      </c>
      <c r="O66" s="133">
        <v>0</v>
      </c>
      <c r="P66" s="133">
        <v>0.6</v>
      </c>
      <c r="Q66" s="133">
        <v>4.9400000000000004</v>
      </c>
    </row>
    <row r="67" spans="1:17" customFormat="1">
      <c r="A67" s="111" t="s">
        <v>1352</v>
      </c>
      <c r="B67" s="133">
        <v>3.88</v>
      </c>
      <c r="C67" s="133">
        <v>15.42</v>
      </c>
      <c r="D67" s="133">
        <v>12.52</v>
      </c>
      <c r="E67" s="133">
        <v>9.3800000000000008</v>
      </c>
      <c r="F67" s="133">
        <v>18.34</v>
      </c>
      <c r="G67" s="133">
        <v>11.45</v>
      </c>
      <c r="H67" s="133">
        <v>0</v>
      </c>
      <c r="I67" s="133">
        <v>78.099999999999994</v>
      </c>
      <c r="J67" s="133">
        <v>0.18</v>
      </c>
      <c r="K67" s="133">
        <v>165.53</v>
      </c>
      <c r="L67" s="133">
        <v>31.93</v>
      </c>
      <c r="M67" s="133">
        <v>59.49</v>
      </c>
      <c r="N67" s="133">
        <v>65.400000000000006</v>
      </c>
      <c r="O67" s="133">
        <v>0</v>
      </c>
      <c r="P67" s="133">
        <v>0.56999999999999995</v>
      </c>
      <c r="Q67" s="133">
        <v>4.9400000000000004</v>
      </c>
    </row>
    <row r="68" spans="1:17" customFormat="1">
      <c r="A68" s="111" t="s">
        <v>1353</v>
      </c>
      <c r="B68" s="133">
        <v>4</v>
      </c>
      <c r="C68" s="133">
        <v>16.13</v>
      </c>
      <c r="D68" s="133">
        <v>12.98</v>
      </c>
      <c r="E68" s="133">
        <v>8.4600000000000009</v>
      </c>
      <c r="F68" s="133">
        <v>12.92</v>
      </c>
      <c r="G68" s="133">
        <v>13.83</v>
      </c>
      <c r="H68" s="133">
        <v>0.85</v>
      </c>
      <c r="I68" s="133">
        <v>72.66</v>
      </c>
      <c r="J68" s="133">
        <v>0.24</v>
      </c>
      <c r="K68" s="133">
        <v>161.61000000000001</v>
      </c>
      <c r="L68" s="133">
        <v>31.1</v>
      </c>
      <c r="M68" s="133">
        <v>60.23</v>
      </c>
      <c r="N68" s="133">
        <v>45.7</v>
      </c>
      <c r="O68" s="133">
        <v>0</v>
      </c>
      <c r="P68" s="133">
        <v>0.56000000000000005</v>
      </c>
      <c r="Q68" s="133">
        <v>4.93</v>
      </c>
    </row>
    <row r="69" spans="1:17" customFormat="1">
      <c r="A69" s="111" t="s">
        <v>1354</v>
      </c>
      <c r="B69" s="133">
        <v>4.16</v>
      </c>
      <c r="C69" s="133">
        <v>15.72</v>
      </c>
      <c r="D69" s="133">
        <v>12.9</v>
      </c>
      <c r="E69" s="133">
        <v>8.69</v>
      </c>
      <c r="F69" s="133">
        <v>14.46</v>
      </c>
      <c r="G69" s="133">
        <v>26.75</v>
      </c>
      <c r="H69" s="133">
        <v>4.33</v>
      </c>
      <c r="I69" s="133">
        <v>64.78</v>
      </c>
      <c r="J69" s="133">
        <v>0.18</v>
      </c>
      <c r="K69" s="133">
        <v>170.21</v>
      </c>
      <c r="L69" s="133">
        <v>30.7</v>
      </c>
      <c r="M69" s="133">
        <v>64.8</v>
      </c>
      <c r="N69" s="133">
        <v>50.1</v>
      </c>
      <c r="O69" s="133">
        <v>0</v>
      </c>
      <c r="P69" s="133">
        <v>0.52</v>
      </c>
      <c r="Q69" s="133">
        <v>4.95</v>
      </c>
    </row>
    <row r="70" spans="1:17" customFormat="1">
      <c r="A70" s="111" t="s">
        <v>1355</v>
      </c>
      <c r="B70" s="133">
        <v>4.33</v>
      </c>
      <c r="C70" s="133">
        <v>15.06</v>
      </c>
      <c r="D70" s="133">
        <v>12.69</v>
      </c>
      <c r="E70" s="133">
        <v>8.93</v>
      </c>
      <c r="F70" s="133">
        <v>17.850000000000001</v>
      </c>
      <c r="G70" s="133">
        <v>26.75</v>
      </c>
      <c r="H70" s="133">
        <v>4.33</v>
      </c>
      <c r="I70" s="133">
        <v>61.97</v>
      </c>
      <c r="J70" s="133">
        <v>0.17</v>
      </c>
      <c r="K70" s="133">
        <v>166.98</v>
      </c>
      <c r="L70" s="133">
        <v>30.36</v>
      </c>
      <c r="M70" s="133">
        <v>69.069999999999993</v>
      </c>
      <c r="N70" s="133">
        <v>43.9</v>
      </c>
      <c r="O70" s="133">
        <v>0</v>
      </c>
      <c r="P70" s="133">
        <v>0.51</v>
      </c>
      <c r="Q70" s="133">
        <v>4.9400000000000004</v>
      </c>
    </row>
    <row r="71" spans="1:17" customFormat="1">
      <c r="A71" s="111" t="s">
        <v>1356</v>
      </c>
      <c r="B71" s="133">
        <v>4.4400000000000004</v>
      </c>
      <c r="C71" s="133">
        <v>14.45</v>
      </c>
      <c r="D71" s="133">
        <v>12.46</v>
      </c>
      <c r="E71" s="133">
        <v>9.18</v>
      </c>
      <c r="F71" s="133">
        <v>20.38</v>
      </c>
      <c r="G71" s="133">
        <v>26.75</v>
      </c>
      <c r="H71" s="133">
        <v>4.33</v>
      </c>
      <c r="I71" s="133">
        <v>57.51</v>
      </c>
      <c r="J71" s="133">
        <v>0.2</v>
      </c>
      <c r="K71" s="133">
        <v>156.30000000000001</v>
      </c>
      <c r="L71" s="133">
        <v>30.11</v>
      </c>
      <c r="M71" s="133">
        <v>72.19</v>
      </c>
      <c r="N71" s="133">
        <v>39.799999999999997</v>
      </c>
      <c r="O71" s="133">
        <v>0</v>
      </c>
      <c r="P71" s="133">
        <v>0.5</v>
      </c>
      <c r="Q71" s="133">
        <v>4.9400000000000004</v>
      </c>
    </row>
    <row r="72" spans="1:17" customFormat="1">
      <c r="A72" s="111" t="s">
        <v>1357</v>
      </c>
      <c r="B72" s="133">
        <v>4.62</v>
      </c>
      <c r="C72" s="133">
        <v>13.77</v>
      </c>
      <c r="D72" s="133">
        <v>12.25</v>
      </c>
      <c r="E72" s="133">
        <v>9.61</v>
      </c>
      <c r="F72" s="133">
        <v>23.35</v>
      </c>
      <c r="G72" s="133">
        <v>28.76</v>
      </c>
      <c r="H72" s="133">
        <v>5.77</v>
      </c>
      <c r="I72" s="133">
        <v>53.57</v>
      </c>
      <c r="J72" s="133">
        <v>0.14000000000000001</v>
      </c>
      <c r="K72" s="133">
        <v>162.41999999999999</v>
      </c>
      <c r="L72" s="133">
        <v>29.98</v>
      </c>
      <c r="M72" s="133">
        <v>71.37</v>
      </c>
      <c r="N72" s="133">
        <v>27.7</v>
      </c>
      <c r="O72" s="133">
        <v>0</v>
      </c>
      <c r="P72" s="133">
        <v>0.48</v>
      </c>
      <c r="Q72" s="133">
        <v>5.03</v>
      </c>
    </row>
    <row r="73" spans="1:17" customFormat="1">
      <c r="A73" s="111" t="s">
        <v>1358</v>
      </c>
      <c r="B73" s="133">
        <v>4.74</v>
      </c>
      <c r="C73" s="133">
        <v>13.05</v>
      </c>
      <c r="D73" s="133">
        <v>11.97</v>
      </c>
      <c r="E73" s="133">
        <v>10.33</v>
      </c>
      <c r="F73" s="133">
        <v>25.51</v>
      </c>
      <c r="G73" s="133">
        <v>39.700000000000003</v>
      </c>
      <c r="H73" s="133">
        <v>11.65</v>
      </c>
      <c r="I73" s="133">
        <v>48.65</v>
      </c>
      <c r="J73" s="133">
        <v>0.2</v>
      </c>
      <c r="K73" s="133">
        <v>157.28</v>
      </c>
      <c r="L73" s="133">
        <v>29.87</v>
      </c>
      <c r="M73" s="133">
        <v>70.7</v>
      </c>
      <c r="N73" s="133">
        <v>19.399999999999999</v>
      </c>
      <c r="O73" s="133">
        <v>0</v>
      </c>
      <c r="P73" s="133">
        <v>0.45</v>
      </c>
      <c r="Q73" s="133">
        <v>5.15</v>
      </c>
    </row>
    <row r="74" spans="1:17" customFormat="1">
      <c r="A74" s="111" t="s">
        <v>1359</v>
      </c>
      <c r="B74" s="133">
        <v>5.22</v>
      </c>
      <c r="C74" s="133">
        <v>14.13</v>
      </c>
      <c r="D74" s="133">
        <v>12.92</v>
      </c>
      <c r="E74" s="133">
        <v>9.15</v>
      </c>
      <c r="F74" s="133">
        <v>14.63</v>
      </c>
      <c r="G74" s="133">
        <v>39.700000000000003</v>
      </c>
      <c r="H74" s="133">
        <v>11.65</v>
      </c>
      <c r="I74" s="133">
        <v>43.85</v>
      </c>
      <c r="J74" s="133">
        <v>0.56999999999999995</v>
      </c>
      <c r="K74" s="133">
        <v>276.42</v>
      </c>
      <c r="L74" s="133">
        <v>29.53</v>
      </c>
      <c r="M74" s="133">
        <v>65.989999999999995</v>
      </c>
      <c r="N74" s="133">
        <v>8.1999999999999993</v>
      </c>
      <c r="O74" s="133">
        <v>0</v>
      </c>
      <c r="P74" s="133">
        <v>0.48</v>
      </c>
      <c r="Q74" s="133">
        <v>5.34</v>
      </c>
    </row>
    <row r="75" spans="1:17" customFormat="1">
      <c r="A75" s="111" t="s">
        <v>1360</v>
      </c>
      <c r="B75" s="133">
        <v>5.51</v>
      </c>
      <c r="C75" s="133">
        <v>16.7</v>
      </c>
      <c r="D75" s="133">
        <v>14.5</v>
      </c>
      <c r="E75" s="133">
        <v>8.9700000000000006</v>
      </c>
      <c r="F75" s="133">
        <v>10.92</v>
      </c>
      <c r="G75" s="133">
        <v>39.700000000000003</v>
      </c>
      <c r="H75" s="133">
        <v>11.65</v>
      </c>
      <c r="I75" s="133">
        <v>41.91</v>
      </c>
      <c r="J75" s="133">
        <v>0.48</v>
      </c>
      <c r="K75" s="133">
        <v>267.52999999999997</v>
      </c>
      <c r="L75" s="133">
        <v>29.09</v>
      </c>
      <c r="M75" s="133">
        <v>60.78</v>
      </c>
      <c r="N75" s="133">
        <v>8.6</v>
      </c>
      <c r="O75" s="133">
        <v>0</v>
      </c>
      <c r="P75" s="133">
        <v>0.47</v>
      </c>
      <c r="Q75" s="133">
        <v>5.7</v>
      </c>
    </row>
    <row r="76" spans="1:17" customFormat="1">
      <c r="A76" s="111" t="s">
        <v>1361</v>
      </c>
      <c r="B76" s="133">
        <v>5.59</v>
      </c>
      <c r="C76" s="133">
        <v>17.21</v>
      </c>
      <c r="D76" s="133">
        <v>14.82</v>
      </c>
      <c r="E76" s="133">
        <v>10.17</v>
      </c>
      <c r="F76" s="133">
        <v>14.8</v>
      </c>
      <c r="G76" s="133">
        <v>39.06</v>
      </c>
      <c r="H76" s="133">
        <v>11.62</v>
      </c>
      <c r="I76" s="133">
        <v>47.07</v>
      </c>
      <c r="J76" s="133">
        <v>0.24</v>
      </c>
      <c r="K76" s="133">
        <v>243.26</v>
      </c>
      <c r="L76" s="133">
        <v>29.09</v>
      </c>
      <c r="M76" s="133">
        <v>60.94</v>
      </c>
      <c r="N76" s="133">
        <v>5.5</v>
      </c>
      <c r="O76" s="133">
        <v>0</v>
      </c>
      <c r="P76" s="133">
        <v>0.48</v>
      </c>
      <c r="Q76" s="133">
        <v>6.1</v>
      </c>
    </row>
    <row r="77" spans="1:17" customFormat="1">
      <c r="A77" s="111" t="s">
        <v>1362</v>
      </c>
      <c r="B77" s="133">
        <v>6</v>
      </c>
      <c r="C77" s="133">
        <v>21.79</v>
      </c>
      <c r="D77" s="133">
        <v>17.55</v>
      </c>
      <c r="E77" s="133">
        <v>10</v>
      </c>
      <c r="F77" s="133">
        <v>7.04</v>
      </c>
      <c r="G77" s="133">
        <v>35.57</v>
      </c>
      <c r="H77" s="133">
        <v>11.49</v>
      </c>
      <c r="I77" s="133">
        <v>47.34</v>
      </c>
      <c r="J77" s="133">
        <v>0.25</v>
      </c>
      <c r="K77" s="133">
        <v>254.19</v>
      </c>
      <c r="L77" s="133">
        <v>28.98</v>
      </c>
      <c r="M77" s="133">
        <v>59.6</v>
      </c>
      <c r="N77" s="133">
        <v>0.4</v>
      </c>
      <c r="O77" s="133">
        <v>0</v>
      </c>
      <c r="P77" s="133">
        <v>0.52</v>
      </c>
      <c r="Q77" s="133">
        <v>6.38</v>
      </c>
    </row>
    <row r="78" spans="1:17" customFormat="1">
      <c r="A78" s="111" t="s">
        <v>1363</v>
      </c>
      <c r="B78" s="133">
        <v>6.33</v>
      </c>
      <c r="C78" s="133">
        <v>25.06</v>
      </c>
      <c r="D78" s="133">
        <v>19.52</v>
      </c>
      <c r="E78" s="133">
        <v>9.66</v>
      </c>
      <c r="F78" s="133">
        <v>7.34</v>
      </c>
      <c r="G78" s="133">
        <v>35.57</v>
      </c>
      <c r="H78" s="133">
        <v>11.49</v>
      </c>
      <c r="I78" s="133">
        <v>42</v>
      </c>
      <c r="J78" s="133">
        <v>0.18</v>
      </c>
      <c r="K78" s="133">
        <v>203.02</v>
      </c>
      <c r="L78" s="133">
        <v>29.13</v>
      </c>
      <c r="M78" s="133">
        <v>57.45</v>
      </c>
      <c r="N78" s="133">
        <v>0</v>
      </c>
      <c r="O78" s="133">
        <v>0</v>
      </c>
      <c r="P78" s="133">
        <v>0.55000000000000004</v>
      </c>
      <c r="Q78" s="133">
        <v>6.35</v>
      </c>
    </row>
    <row r="79" spans="1:17" customFormat="1">
      <c r="A79" s="111" t="s">
        <v>1364</v>
      </c>
      <c r="B79" s="133">
        <v>6.67</v>
      </c>
      <c r="C79" s="133">
        <v>25.41</v>
      </c>
      <c r="D79" s="133">
        <v>19.97</v>
      </c>
      <c r="E79" s="133">
        <v>9.33</v>
      </c>
      <c r="F79" s="133">
        <v>7.22</v>
      </c>
      <c r="G79" s="133">
        <v>35.57</v>
      </c>
      <c r="H79" s="133">
        <v>11.49</v>
      </c>
      <c r="I79" s="133">
        <v>45.88</v>
      </c>
      <c r="J79" s="133">
        <v>0.21</v>
      </c>
      <c r="K79" s="133">
        <v>166.12</v>
      </c>
      <c r="L79" s="133">
        <v>28.72</v>
      </c>
      <c r="M79" s="133">
        <v>61.06</v>
      </c>
      <c r="N79" s="133">
        <v>0</v>
      </c>
      <c r="O79" s="133">
        <v>0</v>
      </c>
      <c r="P79" s="133">
        <v>0.56999999999999995</v>
      </c>
      <c r="Q79" s="133">
        <v>6.13</v>
      </c>
    </row>
    <row r="80" spans="1:17" customFormat="1">
      <c r="A80" s="111" t="s">
        <v>1365</v>
      </c>
      <c r="B80" s="133">
        <v>6.84</v>
      </c>
      <c r="C80" s="133">
        <v>26.07</v>
      </c>
      <c r="D80" s="133">
        <v>20.46</v>
      </c>
      <c r="E80" s="133">
        <v>8.99</v>
      </c>
      <c r="F80" s="133">
        <v>5.61</v>
      </c>
      <c r="G80" s="133">
        <v>37.57</v>
      </c>
      <c r="H80" s="133">
        <v>11.65</v>
      </c>
      <c r="I80" s="133">
        <v>42.91</v>
      </c>
      <c r="J80" s="133">
        <v>0.23</v>
      </c>
      <c r="K80" s="133">
        <v>164.18</v>
      </c>
      <c r="L80" s="133">
        <v>28.33</v>
      </c>
      <c r="M80" s="133">
        <v>65.040000000000006</v>
      </c>
      <c r="N80" s="133">
        <v>0</v>
      </c>
      <c r="O80" s="133">
        <v>0</v>
      </c>
      <c r="P80" s="133">
        <v>0.57999999999999996</v>
      </c>
      <c r="Q80" s="133">
        <v>5.97</v>
      </c>
    </row>
    <row r="81" spans="1:17" customFormat="1">
      <c r="A81" s="111" t="s">
        <v>1366</v>
      </c>
      <c r="B81" s="133">
        <v>7.23</v>
      </c>
      <c r="C81" s="133">
        <v>26.81</v>
      </c>
      <c r="D81" s="133">
        <v>21.16</v>
      </c>
      <c r="E81" s="133">
        <v>6.41</v>
      </c>
      <c r="F81" s="133">
        <v>4.9400000000000004</v>
      </c>
      <c r="G81" s="133">
        <v>48.4</v>
      </c>
      <c r="H81" s="133">
        <v>12.28</v>
      </c>
      <c r="I81" s="133">
        <v>41.76</v>
      </c>
      <c r="J81" s="133">
        <v>0.19</v>
      </c>
      <c r="K81" s="133">
        <v>171.52</v>
      </c>
      <c r="L81" s="133">
        <v>27.84</v>
      </c>
      <c r="M81" s="133">
        <v>72.98</v>
      </c>
      <c r="N81" s="133">
        <v>0</v>
      </c>
      <c r="O81" s="133">
        <v>0</v>
      </c>
      <c r="P81" s="133">
        <v>0.59</v>
      </c>
      <c r="Q81" s="133">
        <v>5.83</v>
      </c>
    </row>
    <row r="82" spans="1:17" customFormat="1">
      <c r="A82" s="111" t="s">
        <v>1367</v>
      </c>
      <c r="B82" s="133">
        <v>7.62</v>
      </c>
      <c r="C82" s="133">
        <v>26.31</v>
      </c>
      <c r="D82" s="133">
        <v>21.21</v>
      </c>
      <c r="E82" s="133">
        <v>7.35</v>
      </c>
      <c r="F82" s="133">
        <v>5.1100000000000003</v>
      </c>
      <c r="G82" s="133">
        <v>48.4</v>
      </c>
      <c r="H82" s="133">
        <v>12.28</v>
      </c>
      <c r="I82" s="133">
        <v>39.78</v>
      </c>
      <c r="J82" s="133">
        <v>0.1</v>
      </c>
      <c r="K82" s="133">
        <v>187.48</v>
      </c>
      <c r="L82" s="133">
        <v>27.46</v>
      </c>
      <c r="M82" s="133">
        <v>70</v>
      </c>
      <c r="N82" s="133">
        <v>0</v>
      </c>
      <c r="O82" s="133">
        <v>0</v>
      </c>
      <c r="P82" s="133">
        <v>0.6</v>
      </c>
      <c r="Q82" s="133">
        <v>5.74</v>
      </c>
    </row>
    <row r="83" spans="1:17" customFormat="1">
      <c r="A83" s="111" t="s">
        <v>1368</v>
      </c>
      <c r="B83" s="133">
        <v>7.88</v>
      </c>
      <c r="C83" s="133">
        <v>26.43</v>
      </c>
      <c r="D83" s="133">
        <v>21.48</v>
      </c>
      <c r="E83" s="133">
        <v>6.76</v>
      </c>
      <c r="F83" s="133">
        <v>4.96</v>
      </c>
      <c r="G83" s="133">
        <v>48.4</v>
      </c>
      <c r="H83" s="133">
        <v>12.28</v>
      </c>
      <c r="I83" s="133">
        <v>38.909999999999997</v>
      </c>
      <c r="J83" s="133">
        <v>0.13</v>
      </c>
      <c r="K83" s="133">
        <v>177.47</v>
      </c>
      <c r="L83" s="133">
        <v>27.63</v>
      </c>
      <c r="M83" s="133">
        <v>69.33</v>
      </c>
      <c r="N83" s="133">
        <v>0</v>
      </c>
      <c r="O83" s="133">
        <v>0</v>
      </c>
      <c r="P83" s="133">
        <v>0.61</v>
      </c>
      <c r="Q83" s="133">
        <v>5.68</v>
      </c>
    </row>
    <row r="84" spans="1:17" customFormat="1">
      <c r="A84" s="111" t="s">
        <v>1369</v>
      </c>
      <c r="B84" s="133">
        <v>8.0299999999999994</v>
      </c>
      <c r="C84" s="133">
        <v>26.2</v>
      </c>
      <c r="D84" s="133">
        <v>21.48</v>
      </c>
      <c r="E84" s="133">
        <v>7.25</v>
      </c>
      <c r="F84" s="133">
        <v>7.4</v>
      </c>
      <c r="G84" s="133">
        <v>48.98</v>
      </c>
      <c r="H84" s="133">
        <v>12.8</v>
      </c>
      <c r="I84" s="133">
        <v>37.49</v>
      </c>
      <c r="J84" s="133">
        <v>0.15</v>
      </c>
      <c r="K84" s="133">
        <v>174.79</v>
      </c>
      <c r="L84" s="133">
        <v>27.51</v>
      </c>
      <c r="M84" s="133">
        <v>70.03</v>
      </c>
      <c r="N84" s="133">
        <v>0</v>
      </c>
      <c r="O84" s="133">
        <v>0</v>
      </c>
      <c r="P84" s="133">
        <v>0.63</v>
      </c>
      <c r="Q84" s="133">
        <v>5.62</v>
      </c>
    </row>
    <row r="85" spans="1:17" customFormat="1">
      <c r="A85" s="111" t="s">
        <v>1370</v>
      </c>
      <c r="B85" s="133">
        <v>8.3000000000000007</v>
      </c>
      <c r="C85" s="133">
        <v>26.55</v>
      </c>
      <c r="D85" s="133">
        <v>21.87</v>
      </c>
      <c r="E85" s="133">
        <v>7.04</v>
      </c>
      <c r="F85" s="133">
        <v>4.43</v>
      </c>
      <c r="G85" s="133">
        <v>52.12</v>
      </c>
      <c r="H85" s="133">
        <v>15.53</v>
      </c>
      <c r="I85" s="133">
        <v>35.78</v>
      </c>
      <c r="J85" s="133">
        <v>0.17</v>
      </c>
      <c r="K85" s="133">
        <v>172.93</v>
      </c>
      <c r="L85" s="133">
        <v>27.41</v>
      </c>
      <c r="M85" s="133">
        <v>71.08</v>
      </c>
      <c r="N85" s="133">
        <v>0</v>
      </c>
      <c r="O85" s="133">
        <v>0</v>
      </c>
      <c r="P85" s="133">
        <v>0.63</v>
      </c>
      <c r="Q85" s="133">
        <v>5.57</v>
      </c>
    </row>
    <row r="86" spans="1:17" customFormat="1">
      <c r="A86" s="111" t="s">
        <v>1371</v>
      </c>
      <c r="B86" s="133">
        <v>8.68</v>
      </c>
      <c r="C86" s="133">
        <v>26.5</v>
      </c>
      <c r="D86" s="133">
        <v>22.15</v>
      </c>
      <c r="E86" s="133">
        <v>7</v>
      </c>
      <c r="F86" s="133">
        <v>4.3499999999999996</v>
      </c>
      <c r="G86" s="133">
        <v>52.12</v>
      </c>
      <c r="H86" s="133">
        <v>15.53</v>
      </c>
      <c r="I86" s="133">
        <v>33.479999999999997</v>
      </c>
      <c r="J86" s="133">
        <v>0.15</v>
      </c>
      <c r="K86" s="133">
        <v>164.52</v>
      </c>
      <c r="L86" s="133">
        <v>26.98</v>
      </c>
      <c r="M86" s="133">
        <v>80.41</v>
      </c>
      <c r="N86" s="133">
        <v>0</v>
      </c>
      <c r="O86" s="133">
        <v>0</v>
      </c>
      <c r="P86" s="133">
        <v>0.65</v>
      </c>
      <c r="Q86" s="133">
        <v>5.53</v>
      </c>
    </row>
    <row r="87" spans="1:17" customFormat="1">
      <c r="A87" s="111" t="s">
        <v>1372</v>
      </c>
      <c r="B87" s="133">
        <v>8.99</v>
      </c>
      <c r="C87" s="133">
        <v>26.27</v>
      </c>
      <c r="D87" s="133">
        <v>22.28</v>
      </c>
      <c r="E87" s="133">
        <v>7</v>
      </c>
      <c r="F87" s="133">
        <v>4.01</v>
      </c>
      <c r="G87" s="133">
        <v>52.12</v>
      </c>
      <c r="H87" s="133">
        <v>15.53</v>
      </c>
      <c r="I87" s="133">
        <v>33.700000000000003</v>
      </c>
      <c r="J87" s="133">
        <v>0.21</v>
      </c>
      <c r="K87" s="133">
        <v>165.91</v>
      </c>
      <c r="L87" s="133">
        <v>26.86</v>
      </c>
      <c r="M87" s="133">
        <v>78.83</v>
      </c>
      <c r="N87" s="133">
        <v>0</v>
      </c>
      <c r="O87" s="133">
        <v>0</v>
      </c>
      <c r="P87" s="133">
        <v>0.66</v>
      </c>
      <c r="Q87" s="133">
        <v>5.51</v>
      </c>
    </row>
    <row r="88" spans="1:17" customFormat="1">
      <c r="A88" s="111" t="s">
        <v>1373</v>
      </c>
      <c r="B88" s="133">
        <v>9.08</v>
      </c>
      <c r="C88" s="133">
        <v>26.71</v>
      </c>
      <c r="D88" s="133">
        <v>22.59</v>
      </c>
      <c r="E88" s="133">
        <v>7.11</v>
      </c>
      <c r="F88" s="133">
        <v>4.1100000000000003</v>
      </c>
      <c r="G88" s="133">
        <v>52.44</v>
      </c>
      <c r="H88" s="133">
        <v>16.14</v>
      </c>
      <c r="I88" s="133">
        <v>32.26</v>
      </c>
      <c r="J88" s="133">
        <v>0.13</v>
      </c>
      <c r="K88" s="133">
        <v>176.53</v>
      </c>
      <c r="L88" s="133">
        <v>26.61</v>
      </c>
      <c r="M88" s="133">
        <v>78.209999999999994</v>
      </c>
      <c r="N88" s="133">
        <v>0</v>
      </c>
      <c r="O88" s="133">
        <v>0</v>
      </c>
      <c r="P88" s="133">
        <v>0.68</v>
      </c>
      <c r="Q88" s="133">
        <v>5.51</v>
      </c>
    </row>
    <row r="89" spans="1:17" customFormat="1">
      <c r="A89" s="111" t="s">
        <v>1374</v>
      </c>
      <c r="B89" s="133">
        <v>9.4600000000000009</v>
      </c>
      <c r="C89" s="133">
        <v>26.82</v>
      </c>
      <c r="D89" s="133">
        <v>22.95</v>
      </c>
      <c r="E89" s="133">
        <v>6.86</v>
      </c>
      <c r="F89" s="133">
        <v>3.35</v>
      </c>
      <c r="G89" s="133">
        <v>54.19</v>
      </c>
      <c r="H89" s="133">
        <v>18.62</v>
      </c>
      <c r="I89" s="133">
        <v>31.26</v>
      </c>
      <c r="J89" s="133">
        <v>0.18</v>
      </c>
      <c r="K89" s="133">
        <v>162.99</v>
      </c>
      <c r="L89" s="133">
        <v>26.36</v>
      </c>
      <c r="M89" s="133">
        <v>82.15</v>
      </c>
      <c r="N89" s="133">
        <v>0</v>
      </c>
      <c r="O89" s="133">
        <v>0</v>
      </c>
      <c r="P89" s="133">
        <v>0.7</v>
      </c>
      <c r="Q89" s="133">
        <v>5.5</v>
      </c>
    </row>
    <row r="90" spans="1:17" customFormat="1">
      <c r="A90" s="111" t="s">
        <v>1375</v>
      </c>
      <c r="B90" s="133">
        <v>9.66</v>
      </c>
      <c r="C90" s="133">
        <v>26.95</v>
      </c>
      <c r="D90" s="133">
        <v>23.18</v>
      </c>
      <c r="E90" s="133">
        <v>7.67</v>
      </c>
      <c r="F90" s="133">
        <v>3.11</v>
      </c>
      <c r="G90" s="133">
        <v>54.19</v>
      </c>
      <c r="H90" s="133">
        <v>18.62</v>
      </c>
      <c r="I90" s="133">
        <v>28.68</v>
      </c>
      <c r="J90" s="133">
        <v>0.11</v>
      </c>
      <c r="K90" s="133">
        <v>165.93</v>
      </c>
      <c r="L90" s="133">
        <v>26.22</v>
      </c>
      <c r="M90" s="133">
        <v>81.19</v>
      </c>
      <c r="N90" s="133">
        <v>0</v>
      </c>
      <c r="O90" s="133">
        <v>0</v>
      </c>
      <c r="P90" s="133">
        <v>0.7</v>
      </c>
      <c r="Q90" s="133">
        <v>5.5</v>
      </c>
    </row>
    <row r="91" spans="1:17" customFormat="1">
      <c r="A91" s="111" t="s">
        <v>1376</v>
      </c>
      <c r="B91" s="133">
        <v>9.92</v>
      </c>
      <c r="C91" s="133">
        <v>26.88</v>
      </c>
      <c r="D91" s="133">
        <v>23.35</v>
      </c>
      <c r="E91" s="133">
        <v>7.15</v>
      </c>
      <c r="F91" s="133">
        <v>2.95</v>
      </c>
      <c r="G91" s="133">
        <v>54.19</v>
      </c>
      <c r="H91" s="133">
        <v>18.62</v>
      </c>
      <c r="I91" s="133">
        <v>27.92</v>
      </c>
      <c r="J91" s="133">
        <v>0.12</v>
      </c>
      <c r="K91" s="133">
        <v>215.05</v>
      </c>
      <c r="L91" s="133">
        <v>26.02</v>
      </c>
      <c r="M91" s="133">
        <v>78.16</v>
      </c>
      <c r="N91" s="133">
        <v>0</v>
      </c>
      <c r="O91" s="133">
        <v>0</v>
      </c>
      <c r="P91" s="133">
        <v>0.71</v>
      </c>
      <c r="Q91" s="133">
        <v>5.48</v>
      </c>
    </row>
    <row r="92" spans="1:17" customFormat="1">
      <c r="A92" s="111" t="s">
        <v>1377</v>
      </c>
      <c r="B92" s="133">
        <v>10.08</v>
      </c>
      <c r="C92" s="133">
        <v>26.8</v>
      </c>
      <c r="D92" s="133">
        <v>23.44</v>
      </c>
      <c r="E92" s="133">
        <v>7.13</v>
      </c>
      <c r="F92" s="133">
        <v>2.93</v>
      </c>
      <c r="G92" s="133">
        <v>54.83</v>
      </c>
      <c r="H92" s="133">
        <v>18.18</v>
      </c>
      <c r="I92" s="133">
        <v>27.08</v>
      </c>
      <c r="J92" s="133">
        <v>0.12</v>
      </c>
      <c r="K92" s="133">
        <v>161.72</v>
      </c>
      <c r="L92" s="133">
        <v>25.83</v>
      </c>
      <c r="M92" s="133">
        <v>83.73</v>
      </c>
      <c r="N92" s="133">
        <v>0</v>
      </c>
      <c r="O92" s="133">
        <v>0</v>
      </c>
      <c r="P92" s="133">
        <v>0.71</v>
      </c>
      <c r="Q92" s="133">
        <v>5.45</v>
      </c>
    </row>
    <row r="93" spans="1:17" customFormat="1">
      <c r="A93" s="111" t="s">
        <v>1378</v>
      </c>
      <c r="B93" s="133">
        <v>10.44</v>
      </c>
      <c r="C93" s="133">
        <v>26.98</v>
      </c>
      <c r="D93" s="133">
        <v>23.82</v>
      </c>
      <c r="E93" s="133">
        <v>7.31</v>
      </c>
      <c r="F93" s="133">
        <v>2.8</v>
      </c>
      <c r="G93" s="133">
        <v>58.35</v>
      </c>
      <c r="H93" s="133">
        <v>16.41</v>
      </c>
      <c r="I93" s="133">
        <v>26.17</v>
      </c>
      <c r="J93" s="133">
        <v>0.16</v>
      </c>
      <c r="K93" s="133">
        <v>167.42</v>
      </c>
      <c r="L93" s="133">
        <v>25.78</v>
      </c>
      <c r="M93" s="133">
        <v>82</v>
      </c>
      <c r="N93" s="133">
        <v>0</v>
      </c>
      <c r="O93" s="133">
        <v>0</v>
      </c>
      <c r="P93" s="133">
        <v>0.73</v>
      </c>
      <c r="Q93" s="133">
        <v>5.45</v>
      </c>
    </row>
    <row r="94" spans="1:17" customFormat="1">
      <c r="A94" s="111" t="s">
        <v>1379</v>
      </c>
      <c r="B94" s="133">
        <v>10.95</v>
      </c>
      <c r="C94" s="133">
        <v>27.44</v>
      </c>
      <c r="D94" s="133">
        <v>24.47</v>
      </c>
      <c r="E94" s="133">
        <v>7.29</v>
      </c>
      <c r="F94" s="133">
        <v>2.58</v>
      </c>
      <c r="G94" s="133">
        <v>58.35</v>
      </c>
      <c r="H94" s="133">
        <v>16.41</v>
      </c>
      <c r="I94" s="133">
        <v>25.09</v>
      </c>
      <c r="J94" s="133">
        <v>0.16</v>
      </c>
      <c r="K94" s="133">
        <v>161.74</v>
      </c>
      <c r="L94" s="133">
        <v>25.73</v>
      </c>
      <c r="M94" s="133">
        <v>86.3</v>
      </c>
      <c r="N94" s="133">
        <v>0</v>
      </c>
      <c r="O94" s="133">
        <v>0</v>
      </c>
      <c r="P94" s="133">
        <v>0.74</v>
      </c>
      <c r="Q94" s="133">
        <v>5.46</v>
      </c>
    </row>
    <row r="95" spans="1:17" customFormat="1">
      <c r="A95" s="111" t="s">
        <v>1380</v>
      </c>
      <c r="B95" s="133">
        <v>11.31</v>
      </c>
      <c r="C95" s="133">
        <v>27.6</v>
      </c>
      <c r="D95" s="133">
        <v>24.84</v>
      </c>
      <c r="E95" s="133">
        <v>7.03</v>
      </c>
      <c r="F95" s="133">
        <v>2.65</v>
      </c>
      <c r="G95" s="133">
        <v>58.35</v>
      </c>
      <c r="H95" s="133">
        <v>16.41</v>
      </c>
      <c r="I95" s="133">
        <v>24.49</v>
      </c>
      <c r="J95" s="133">
        <v>0.19</v>
      </c>
      <c r="K95" s="133">
        <v>160.51</v>
      </c>
      <c r="L95" s="133">
        <v>25.61</v>
      </c>
      <c r="M95" s="133">
        <v>84.67</v>
      </c>
      <c r="N95" s="133">
        <v>0</v>
      </c>
      <c r="O95" s="133">
        <v>0</v>
      </c>
      <c r="P95" s="133">
        <v>0.75</v>
      </c>
      <c r="Q95" s="133">
        <v>5.44</v>
      </c>
    </row>
    <row r="96" spans="1:17" customFormat="1">
      <c r="A96" s="111" t="s">
        <v>1381</v>
      </c>
      <c r="B96" s="133">
        <v>11.51</v>
      </c>
      <c r="C96" s="133">
        <v>27.71</v>
      </c>
      <c r="D96" s="133">
        <v>25.06</v>
      </c>
      <c r="E96" s="133">
        <v>7.63</v>
      </c>
      <c r="F96" s="133">
        <v>2.61</v>
      </c>
      <c r="G96" s="133">
        <v>58.24</v>
      </c>
      <c r="H96" s="133">
        <v>17.12</v>
      </c>
      <c r="I96" s="133">
        <v>23.86</v>
      </c>
      <c r="J96" s="133">
        <v>0.14000000000000001</v>
      </c>
      <c r="K96" s="133">
        <v>214.82</v>
      </c>
      <c r="L96" s="133">
        <v>25.7</v>
      </c>
      <c r="M96" s="133">
        <v>82.68</v>
      </c>
      <c r="N96" s="133">
        <v>0</v>
      </c>
      <c r="O96" s="133">
        <v>0</v>
      </c>
      <c r="P96" s="133">
        <v>0.75</v>
      </c>
      <c r="Q96" s="133">
        <v>5.46</v>
      </c>
    </row>
    <row r="97" spans="1:22" customFormat="1">
      <c r="A97" s="111" t="s">
        <v>1382</v>
      </c>
      <c r="B97" s="133">
        <v>11.73</v>
      </c>
      <c r="C97" s="133">
        <v>27.35</v>
      </c>
      <c r="D97" s="133">
        <v>25.04</v>
      </c>
      <c r="E97" s="133">
        <v>7.82</v>
      </c>
      <c r="F97" s="133">
        <v>2.5299999999999998</v>
      </c>
      <c r="G97" s="133">
        <v>57.64</v>
      </c>
      <c r="H97" s="133">
        <v>20.02</v>
      </c>
      <c r="I97" s="133">
        <v>23.1</v>
      </c>
      <c r="J97" s="133">
        <v>0.21</v>
      </c>
      <c r="K97" s="133">
        <v>231.63</v>
      </c>
      <c r="L97" s="133">
        <v>25.3</v>
      </c>
      <c r="M97" s="133">
        <v>87.26</v>
      </c>
      <c r="N97" s="133">
        <v>0</v>
      </c>
      <c r="O97" s="133">
        <v>0</v>
      </c>
      <c r="P97" s="133">
        <v>0.75</v>
      </c>
      <c r="Q97" s="133">
        <v>5.47</v>
      </c>
    </row>
    <row r="98" spans="1:22" customFormat="1">
      <c r="A98" s="111" t="s">
        <v>1383</v>
      </c>
      <c r="B98" s="133">
        <v>12.16</v>
      </c>
      <c r="C98" s="133">
        <v>25.78</v>
      </c>
      <c r="D98" s="133">
        <v>24.57</v>
      </c>
      <c r="E98" s="133">
        <v>7.7</v>
      </c>
      <c r="F98" s="133">
        <v>2.81</v>
      </c>
      <c r="G98" s="133">
        <v>57.64</v>
      </c>
      <c r="H98" s="133">
        <v>20.02</v>
      </c>
      <c r="I98" s="133">
        <v>22.37</v>
      </c>
      <c r="J98" s="133">
        <v>0.27</v>
      </c>
      <c r="K98" s="133">
        <v>181.12</v>
      </c>
      <c r="L98" s="133">
        <v>25.16</v>
      </c>
      <c r="M98" s="133">
        <v>87.11</v>
      </c>
      <c r="N98" s="133">
        <v>0</v>
      </c>
      <c r="O98" s="133">
        <v>0</v>
      </c>
      <c r="P98" s="133">
        <v>0.75</v>
      </c>
      <c r="Q98" s="133">
        <v>5.44</v>
      </c>
    </row>
    <row r="99" spans="1:22" customFormat="1">
      <c r="A99" s="111" t="s">
        <v>1384</v>
      </c>
      <c r="B99" s="133">
        <v>12.69</v>
      </c>
      <c r="C99" s="133">
        <v>23.81</v>
      </c>
      <c r="D99" s="133">
        <v>23.96</v>
      </c>
      <c r="E99" s="133">
        <v>7.27</v>
      </c>
      <c r="F99" s="133">
        <v>3.14</v>
      </c>
      <c r="G99" s="133">
        <v>57.64</v>
      </c>
      <c r="H99" s="133">
        <v>20.02</v>
      </c>
      <c r="I99" s="133">
        <v>21.85</v>
      </c>
      <c r="J99" s="133">
        <v>0.13</v>
      </c>
      <c r="K99" s="133">
        <v>128.16999999999999</v>
      </c>
      <c r="L99" s="133">
        <v>25.09</v>
      </c>
      <c r="M99" s="133">
        <v>87.08</v>
      </c>
      <c r="N99" s="133">
        <v>0</v>
      </c>
      <c r="O99" s="133">
        <v>0</v>
      </c>
      <c r="P99" s="133">
        <v>0.74</v>
      </c>
      <c r="Q99" s="133">
        <v>5.43</v>
      </c>
    </row>
    <row r="100" spans="1:22" customFormat="1">
      <c r="A100" s="111" t="s">
        <v>1385</v>
      </c>
      <c r="B100" s="133">
        <v>13.87</v>
      </c>
      <c r="C100" s="133">
        <v>22.81</v>
      </c>
      <c r="D100" s="133">
        <v>24.39</v>
      </c>
      <c r="E100" s="133">
        <v>7.08</v>
      </c>
      <c r="F100" s="133">
        <v>3.15</v>
      </c>
      <c r="G100" s="133">
        <v>57.88</v>
      </c>
      <c r="H100" s="133">
        <v>20.65</v>
      </c>
      <c r="I100" s="133">
        <v>22.7</v>
      </c>
      <c r="J100" s="133">
        <v>0.19</v>
      </c>
      <c r="K100" s="133">
        <v>175.44</v>
      </c>
      <c r="L100" s="133">
        <v>25.21</v>
      </c>
      <c r="M100" s="133">
        <v>86.15</v>
      </c>
      <c r="N100" s="133">
        <v>0</v>
      </c>
      <c r="O100" s="133">
        <v>0</v>
      </c>
      <c r="P100" s="133">
        <v>0.75</v>
      </c>
      <c r="Q100" s="133">
        <v>5.44</v>
      </c>
    </row>
    <row r="101" spans="1:22" customFormat="1">
      <c r="A101" s="111" t="s">
        <v>1386</v>
      </c>
      <c r="B101" s="133">
        <v>14.9</v>
      </c>
      <c r="C101" s="133">
        <v>22.28</v>
      </c>
      <c r="D101" s="133">
        <v>24.94</v>
      </c>
      <c r="E101" s="133">
        <v>6.51</v>
      </c>
      <c r="F101" s="133">
        <v>3.24</v>
      </c>
      <c r="G101" s="133">
        <v>59.21</v>
      </c>
      <c r="H101" s="133">
        <v>23.22</v>
      </c>
      <c r="I101" s="133">
        <v>22.39</v>
      </c>
      <c r="J101" s="133">
        <v>0.17</v>
      </c>
      <c r="K101" s="133">
        <v>172.19</v>
      </c>
      <c r="L101" s="133">
        <v>24.88</v>
      </c>
      <c r="M101" s="133">
        <v>90.49</v>
      </c>
      <c r="N101" s="133">
        <v>0</v>
      </c>
      <c r="O101" s="133">
        <v>0</v>
      </c>
      <c r="P101" s="133">
        <v>0.74</v>
      </c>
      <c r="Q101" s="133">
        <v>5.48</v>
      </c>
    </row>
    <row r="102" spans="1:22" customFormat="1">
      <c r="A102" s="111" t="s">
        <v>1387</v>
      </c>
      <c r="B102" s="133">
        <v>15.09</v>
      </c>
      <c r="C102" s="133">
        <v>21.55</v>
      </c>
      <c r="D102" s="133">
        <v>24.71</v>
      </c>
      <c r="E102" s="133">
        <v>6.59</v>
      </c>
      <c r="F102" s="133">
        <v>3.17</v>
      </c>
      <c r="G102" s="133">
        <v>59.21</v>
      </c>
      <c r="H102" s="133">
        <v>23.22</v>
      </c>
      <c r="I102" s="133">
        <v>22</v>
      </c>
      <c r="J102" s="133">
        <v>0.19</v>
      </c>
      <c r="K102" s="133">
        <v>245.24</v>
      </c>
      <c r="L102" s="133">
        <v>24.7</v>
      </c>
      <c r="M102" s="133">
        <v>90.29</v>
      </c>
      <c r="N102" s="133">
        <v>0</v>
      </c>
      <c r="O102" s="133">
        <v>0</v>
      </c>
      <c r="P102" s="133">
        <v>0.74</v>
      </c>
      <c r="Q102" s="133">
        <v>5.48</v>
      </c>
    </row>
    <row r="103" spans="1:22" customFormat="1">
      <c r="A103" s="111" t="s">
        <v>1388</v>
      </c>
      <c r="B103" s="133">
        <v>15.29</v>
      </c>
      <c r="C103" s="133">
        <v>21.01</v>
      </c>
      <c r="D103" s="133">
        <v>24.59</v>
      </c>
      <c r="E103" s="133">
        <v>6.73</v>
      </c>
      <c r="F103" s="133">
        <v>3.12</v>
      </c>
      <c r="G103" s="133">
        <v>59.21</v>
      </c>
      <c r="H103" s="133">
        <v>23.22</v>
      </c>
      <c r="I103" s="133">
        <v>21.89</v>
      </c>
      <c r="J103" s="133">
        <v>0.18</v>
      </c>
      <c r="K103" s="133">
        <v>164.21</v>
      </c>
      <c r="L103" s="133">
        <v>24.85</v>
      </c>
      <c r="M103" s="133">
        <v>88.41</v>
      </c>
      <c r="N103" s="133">
        <v>0</v>
      </c>
      <c r="O103" s="133">
        <v>0</v>
      </c>
      <c r="P103" s="133">
        <v>0.74</v>
      </c>
      <c r="Q103" s="133">
        <v>5.47</v>
      </c>
    </row>
    <row r="104" spans="1:22" customFormat="1">
      <c r="A104" s="111" t="s">
        <v>1389</v>
      </c>
      <c r="B104" s="133">
        <v>15.57</v>
      </c>
      <c r="C104" s="133">
        <v>21.61</v>
      </c>
      <c r="D104" s="133">
        <v>25.12</v>
      </c>
      <c r="E104" s="133">
        <v>6.43</v>
      </c>
      <c r="F104" s="133">
        <v>2.77</v>
      </c>
      <c r="G104" s="133">
        <v>59.66</v>
      </c>
      <c r="H104" s="133">
        <v>23.05</v>
      </c>
      <c r="I104" s="133">
        <v>21.43</v>
      </c>
      <c r="J104" s="133">
        <v>0.24</v>
      </c>
      <c r="K104" s="133">
        <v>257.48</v>
      </c>
      <c r="L104" s="133">
        <v>24.67</v>
      </c>
      <c r="M104" s="133">
        <v>91.14</v>
      </c>
      <c r="N104" s="133">
        <v>0</v>
      </c>
      <c r="O104" s="133">
        <v>0</v>
      </c>
      <c r="P104" s="133">
        <v>0.76</v>
      </c>
      <c r="Q104" s="133">
        <v>5.44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2.56</v>
      </c>
      <c r="C106" s="183">
        <f>MIN(C9:C104)</f>
        <v>13.05</v>
      </c>
      <c r="D106" s="183">
        <f t="shared" ref="D106:Q106" si="0">MIN(D9:D104)</f>
        <v>11.97</v>
      </c>
      <c r="E106" s="183">
        <f t="shared" si="0"/>
        <v>4.72</v>
      </c>
      <c r="F106" s="183">
        <f t="shared" si="0"/>
        <v>2.2000000000000002</v>
      </c>
      <c r="G106" s="183">
        <f t="shared" si="0"/>
        <v>11.45</v>
      </c>
      <c r="H106" s="183">
        <f t="shared" si="0"/>
        <v>0</v>
      </c>
      <c r="I106" s="183">
        <f t="shared" si="0"/>
        <v>6.78</v>
      </c>
      <c r="J106" s="183">
        <f t="shared" si="0"/>
        <v>0.04</v>
      </c>
      <c r="K106" s="183">
        <f t="shared" si="0"/>
        <v>-0.28999999999999998</v>
      </c>
      <c r="L106" s="183">
        <f t="shared" si="0"/>
        <v>23.79</v>
      </c>
      <c r="M106" s="183">
        <f t="shared" si="0"/>
        <v>46.69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3.28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15.57</v>
      </c>
      <c r="C107" s="184">
        <f t="shared" ref="C107:Q107" si="1">MAX(C9:C104)</f>
        <v>27.71</v>
      </c>
      <c r="D107" s="184">
        <f t="shared" si="1"/>
        <v>25.12</v>
      </c>
      <c r="E107" s="184">
        <f t="shared" si="1"/>
        <v>12.92</v>
      </c>
      <c r="F107" s="184">
        <f t="shared" si="1"/>
        <v>33.18</v>
      </c>
      <c r="G107" s="184">
        <f t="shared" si="1"/>
        <v>64.510000000000005</v>
      </c>
      <c r="H107" s="184">
        <f t="shared" si="1"/>
        <v>23.22</v>
      </c>
      <c r="I107" s="184">
        <f t="shared" si="1"/>
        <v>78.099999999999994</v>
      </c>
      <c r="J107" s="184">
        <f t="shared" si="1"/>
        <v>0.56999999999999995</v>
      </c>
      <c r="K107" s="184">
        <f t="shared" si="1"/>
        <v>331.37</v>
      </c>
      <c r="L107" s="184">
        <f t="shared" si="1"/>
        <v>34.76</v>
      </c>
      <c r="M107" s="184">
        <f t="shared" si="1"/>
        <v>96.23</v>
      </c>
      <c r="N107" s="184">
        <f t="shared" si="1"/>
        <v>683</v>
      </c>
      <c r="O107" s="184">
        <f t="shared" si="1"/>
        <v>0</v>
      </c>
      <c r="P107" s="184">
        <f t="shared" si="1"/>
        <v>0.76</v>
      </c>
      <c r="Q107" s="184">
        <f t="shared" si="1"/>
        <v>6.38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8.4970329670329683</v>
      </c>
      <c r="C108" s="183">
        <f t="shared" ref="C108:Q108" si="2">AVERAGE(C9:C104)</f>
        <v>22.589340659340664</v>
      </c>
      <c r="D108" s="183">
        <f t="shared" si="2"/>
        <v>19.610219780219779</v>
      </c>
      <c r="E108" s="183">
        <f t="shared" si="2"/>
        <v>7.3553932584269646</v>
      </c>
      <c r="F108" s="183">
        <f t="shared" si="2"/>
        <v>6.4052688172043002</v>
      </c>
      <c r="G108" s="183">
        <f t="shared" si="2"/>
        <v>48.003908045977006</v>
      </c>
      <c r="H108" s="183">
        <f t="shared" si="2"/>
        <v>17.131954022988502</v>
      </c>
      <c r="I108" s="183">
        <f t="shared" si="2"/>
        <v>22.166666666666661</v>
      </c>
      <c r="J108" s="183">
        <f t="shared" si="2"/>
        <v>0.17343750000000002</v>
      </c>
      <c r="K108" s="183">
        <f t="shared" si="2"/>
        <v>198.94249999999997</v>
      </c>
      <c r="L108" s="183">
        <f t="shared" si="2"/>
        <v>27.914895833333336</v>
      </c>
      <c r="M108" s="183">
        <f t="shared" si="2"/>
        <v>75.26979166666662</v>
      </c>
      <c r="N108" s="183">
        <f t="shared" si="2"/>
        <v>134.25937500000001</v>
      </c>
      <c r="O108" s="183">
        <f t="shared" si="2"/>
        <v>0</v>
      </c>
      <c r="P108" s="183">
        <f t="shared" si="2"/>
        <v>0.6614583333333337</v>
      </c>
      <c r="Q108" s="183">
        <f t="shared" si="2"/>
        <v>4.4582291666666674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2.9460566844156224</v>
      </c>
      <c r="C109" s="183">
        <f t="shared" ref="C109:Q109" si="3">STDEV(C9:C104)</f>
        <v>3.8358675108036735</v>
      </c>
      <c r="D109" s="183">
        <f t="shared" si="3"/>
        <v>3.5961606001777979</v>
      </c>
      <c r="E109" s="183">
        <f t="shared" si="3"/>
        <v>1.7593871971511905</v>
      </c>
      <c r="F109" s="183">
        <f t="shared" si="3"/>
        <v>6.8653914026612091</v>
      </c>
      <c r="G109" s="183">
        <f t="shared" si="3"/>
        <v>10.495728184884614</v>
      </c>
      <c r="H109" s="183">
        <f t="shared" si="3"/>
        <v>4.9319178398729262</v>
      </c>
      <c r="I109" s="183">
        <f t="shared" si="3"/>
        <v>19.60269619837063</v>
      </c>
      <c r="J109" s="183">
        <f t="shared" si="3"/>
        <v>7.775573256917076E-2</v>
      </c>
      <c r="K109" s="183">
        <f t="shared" si="3"/>
        <v>47.143087141840574</v>
      </c>
      <c r="L109" s="183">
        <f t="shared" si="3"/>
        <v>3.4957956687220819</v>
      </c>
      <c r="M109" s="183">
        <f t="shared" si="3"/>
        <v>15.881948573221848</v>
      </c>
      <c r="N109" s="183">
        <f t="shared" si="3"/>
        <v>224.79913727972917</v>
      </c>
      <c r="O109" s="183">
        <f t="shared" si="3"/>
        <v>0</v>
      </c>
      <c r="P109" s="183">
        <f t="shared" si="3"/>
        <v>7.3427073261291262E-2</v>
      </c>
      <c r="Q109" s="183">
        <f t="shared" si="3"/>
        <v>0.91661275160424749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f t="shared" ref="I110:Q110" si="4">COUNT(I9:I104)</f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13/10/2023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1390</v>
      </c>
      <c r="B9" s="133">
        <v>13.63</v>
      </c>
      <c r="C9" s="133">
        <v>24.86</v>
      </c>
      <c r="D9" s="133">
        <v>25.27</v>
      </c>
      <c r="E9" s="133">
        <v>6.92</v>
      </c>
      <c r="F9" s="133">
        <v>2.16</v>
      </c>
      <c r="G9" s="133">
        <v>62.13</v>
      </c>
      <c r="H9" s="133">
        <v>22.35</v>
      </c>
      <c r="I9" s="133">
        <v>21.18</v>
      </c>
      <c r="J9" s="133">
        <v>0.13</v>
      </c>
      <c r="K9" s="133">
        <v>205.33</v>
      </c>
      <c r="L9" s="133">
        <v>24.71</v>
      </c>
      <c r="M9" s="133">
        <v>88.57</v>
      </c>
      <c r="N9" s="133">
        <v>0</v>
      </c>
      <c r="O9" s="133">
        <v>0</v>
      </c>
      <c r="P9" s="133">
        <v>0.78</v>
      </c>
      <c r="Q9" s="133">
        <v>5.48</v>
      </c>
    </row>
    <row r="10" spans="1:21" customFormat="1">
      <c r="A10" s="111" t="s">
        <v>1391</v>
      </c>
      <c r="B10" s="133">
        <v>13.96</v>
      </c>
      <c r="C10" s="133">
        <v>22.73</v>
      </c>
      <c r="D10" s="133">
        <v>24.43</v>
      </c>
      <c r="E10" s="133">
        <v>6.99</v>
      </c>
      <c r="F10" s="133">
        <v>2.65</v>
      </c>
      <c r="G10" s="133">
        <v>62.13</v>
      </c>
      <c r="H10" s="133">
        <v>22.35</v>
      </c>
      <c r="I10" s="133">
        <v>20.89</v>
      </c>
      <c r="J10" s="133">
        <v>0.13</v>
      </c>
      <c r="K10" s="133">
        <v>216.13</v>
      </c>
      <c r="L10" s="133">
        <v>24.51</v>
      </c>
      <c r="M10" s="133">
        <v>90.65</v>
      </c>
      <c r="N10" s="133">
        <v>0</v>
      </c>
      <c r="O10" s="133">
        <v>0</v>
      </c>
      <c r="P10" s="133">
        <v>0.78</v>
      </c>
      <c r="Q10" s="133">
        <v>5.54</v>
      </c>
    </row>
    <row r="11" spans="1:21" customFormat="1">
      <c r="A11" s="111" t="s">
        <v>1392</v>
      </c>
      <c r="B11" s="133">
        <v>14.13</v>
      </c>
      <c r="C11" s="133">
        <v>21.19</v>
      </c>
      <c r="D11" s="133">
        <v>23.75</v>
      </c>
      <c r="E11" s="133">
        <v>6.82</v>
      </c>
      <c r="F11" s="133">
        <v>3.1</v>
      </c>
      <c r="G11" s="133">
        <v>62.13</v>
      </c>
      <c r="H11" s="133">
        <v>22.35</v>
      </c>
      <c r="I11" s="133">
        <v>20.73</v>
      </c>
      <c r="J11" s="133">
        <v>0.16</v>
      </c>
      <c r="K11" s="133">
        <v>175.58</v>
      </c>
      <c r="L11" s="133">
        <v>24.42</v>
      </c>
      <c r="M11" s="133">
        <v>91.45</v>
      </c>
      <c r="N11" s="133">
        <v>0</v>
      </c>
      <c r="O11" s="133">
        <v>0</v>
      </c>
      <c r="P11" s="133">
        <v>0.76</v>
      </c>
      <c r="Q11" s="133">
        <v>5.56</v>
      </c>
    </row>
    <row r="12" spans="1:21" customFormat="1">
      <c r="A12" s="111" t="s">
        <v>1393</v>
      </c>
      <c r="B12" s="133">
        <v>14.27</v>
      </c>
      <c r="C12" s="133">
        <v>20.59</v>
      </c>
      <c r="D12" s="133">
        <v>23.56</v>
      </c>
      <c r="E12" s="133">
        <v>6.24</v>
      </c>
      <c r="F12" s="133">
        <v>3.08</v>
      </c>
      <c r="G12" s="133">
        <v>61.76</v>
      </c>
      <c r="H12" s="133">
        <v>22.08</v>
      </c>
      <c r="I12" s="133">
        <v>20.41</v>
      </c>
      <c r="J12" s="133">
        <v>7.0000000000000007E-2</v>
      </c>
      <c r="K12" s="133">
        <v>172.19</v>
      </c>
      <c r="L12" s="133">
        <v>24.36</v>
      </c>
      <c r="M12" s="133">
        <v>92.14</v>
      </c>
      <c r="N12" s="133">
        <v>0</v>
      </c>
      <c r="O12" s="133">
        <v>0</v>
      </c>
      <c r="P12" s="133">
        <v>0.75</v>
      </c>
      <c r="Q12" s="133">
        <v>5.54</v>
      </c>
    </row>
    <row r="13" spans="1:21" customFormat="1">
      <c r="A13" s="111" t="s">
        <v>1394</v>
      </c>
      <c r="B13" s="133">
        <v>14.42</v>
      </c>
      <c r="C13" s="133">
        <v>23.43</v>
      </c>
      <c r="D13" s="133">
        <v>25.16</v>
      </c>
      <c r="E13" s="133">
        <v>7.04</v>
      </c>
      <c r="F13" s="133">
        <v>2.14</v>
      </c>
      <c r="G13" s="133">
        <v>59.74</v>
      </c>
      <c r="H13" s="133">
        <v>20.68</v>
      </c>
      <c r="I13" s="133">
        <v>20.04</v>
      </c>
      <c r="J13" s="133">
        <v>0.1</v>
      </c>
      <c r="K13" s="133">
        <v>160.96</v>
      </c>
      <c r="L13" s="133">
        <v>24.24</v>
      </c>
      <c r="M13" s="133">
        <v>93.23</v>
      </c>
      <c r="N13" s="133">
        <v>0</v>
      </c>
      <c r="O13" s="133">
        <v>0</v>
      </c>
      <c r="P13" s="133">
        <v>0.79</v>
      </c>
      <c r="Q13" s="133">
        <v>5.54</v>
      </c>
    </row>
    <row r="14" spans="1:21" customFormat="1">
      <c r="A14" s="111" t="s">
        <v>1395</v>
      </c>
      <c r="B14" s="133">
        <v>14.83</v>
      </c>
      <c r="C14" s="133">
        <v>23.4</v>
      </c>
      <c r="D14" s="133">
        <v>25.47</v>
      </c>
      <c r="E14" s="133">
        <v>7.12</v>
      </c>
      <c r="F14" s="133">
        <v>2.4700000000000002</v>
      </c>
      <c r="G14" s="133">
        <v>59.74</v>
      </c>
      <c r="H14" s="133">
        <v>20.68</v>
      </c>
      <c r="I14" s="133">
        <v>19.809999999999999</v>
      </c>
      <c r="J14" s="133">
        <v>0.11</v>
      </c>
      <c r="K14" s="133">
        <v>233.27</v>
      </c>
      <c r="L14" s="133">
        <v>24.18</v>
      </c>
      <c r="M14" s="133">
        <v>94.47</v>
      </c>
      <c r="N14" s="133">
        <v>0</v>
      </c>
      <c r="O14" s="133">
        <v>0</v>
      </c>
      <c r="P14" s="133">
        <v>0.78</v>
      </c>
      <c r="Q14" s="133">
        <v>5.59</v>
      </c>
    </row>
    <row r="15" spans="1:21" customFormat="1">
      <c r="A15" s="111" t="s">
        <v>1396</v>
      </c>
      <c r="B15" s="133">
        <v>15.2</v>
      </c>
      <c r="C15" s="133">
        <v>21.42</v>
      </c>
      <c r="D15" s="133">
        <v>24.73</v>
      </c>
      <c r="E15" s="133">
        <v>6.57</v>
      </c>
      <c r="F15" s="133">
        <v>3.1</v>
      </c>
      <c r="G15" s="133">
        <v>59.74</v>
      </c>
      <c r="H15" s="133">
        <v>20.68</v>
      </c>
      <c r="I15" s="133">
        <v>19.649999999999999</v>
      </c>
      <c r="J15" s="133">
        <v>0.17</v>
      </c>
      <c r="K15" s="133">
        <v>193.3</v>
      </c>
      <c r="L15" s="133">
        <v>24.2</v>
      </c>
      <c r="M15" s="133">
        <v>93.06</v>
      </c>
      <c r="N15" s="133">
        <v>0</v>
      </c>
      <c r="O15" s="133">
        <v>0</v>
      </c>
      <c r="P15" s="133">
        <v>0.77</v>
      </c>
      <c r="Q15" s="133">
        <v>5.6</v>
      </c>
    </row>
    <row r="16" spans="1:21" customFormat="1">
      <c r="A16" s="111" t="s">
        <v>1397</v>
      </c>
      <c r="B16" s="133">
        <v>15.09</v>
      </c>
      <c r="C16" s="133">
        <v>20.25</v>
      </c>
      <c r="D16" s="133">
        <v>24.03</v>
      </c>
      <c r="E16" s="133">
        <v>6.36</v>
      </c>
      <c r="F16" s="133">
        <v>3.28</v>
      </c>
      <c r="G16" s="133">
        <v>58.41</v>
      </c>
      <c r="H16" s="133">
        <v>21.23</v>
      </c>
      <c r="I16" s="133">
        <v>19.32</v>
      </c>
      <c r="J16" s="133">
        <v>0.08</v>
      </c>
      <c r="K16" s="133">
        <v>155.72999999999999</v>
      </c>
      <c r="L16" s="133">
        <v>24.25</v>
      </c>
      <c r="M16" s="133">
        <v>91.53</v>
      </c>
      <c r="N16" s="133">
        <v>0</v>
      </c>
      <c r="O16" s="133">
        <v>0</v>
      </c>
      <c r="P16" s="133">
        <v>0.75</v>
      </c>
      <c r="Q16" s="133">
        <v>5.6</v>
      </c>
    </row>
    <row r="17" spans="1:17" customFormat="1">
      <c r="A17" s="111" t="s">
        <v>1398</v>
      </c>
      <c r="B17" s="133">
        <v>15.3</v>
      </c>
      <c r="C17" s="133">
        <v>21.74</v>
      </c>
      <c r="D17" s="133">
        <v>24.98</v>
      </c>
      <c r="E17" s="133">
        <v>6.51</v>
      </c>
      <c r="F17" s="133">
        <v>2.74</v>
      </c>
      <c r="G17" s="133">
        <v>51.21</v>
      </c>
      <c r="H17" s="133">
        <v>23.49</v>
      </c>
      <c r="I17" s="133">
        <v>18.98</v>
      </c>
      <c r="J17" s="133">
        <v>0.08</v>
      </c>
      <c r="K17" s="133">
        <v>124.29</v>
      </c>
      <c r="L17" s="133">
        <v>24.09</v>
      </c>
      <c r="M17" s="133">
        <v>92.57</v>
      </c>
      <c r="N17" s="133">
        <v>0</v>
      </c>
      <c r="O17" s="133">
        <v>0</v>
      </c>
      <c r="P17" s="133">
        <v>0.76</v>
      </c>
      <c r="Q17" s="133">
        <v>5.57</v>
      </c>
    </row>
    <row r="18" spans="1:17" customFormat="1">
      <c r="A18" s="111" t="s">
        <v>1399</v>
      </c>
      <c r="B18" s="133">
        <v>16.47</v>
      </c>
      <c r="C18" s="133">
        <v>23.31</v>
      </c>
      <c r="D18" s="133">
        <v>26.74</v>
      </c>
      <c r="E18" s="133">
        <v>8.42</v>
      </c>
      <c r="F18" s="133">
        <v>2.54</v>
      </c>
      <c r="G18" s="133">
        <v>51.21</v>
      </c>
      <c r="H18" s="133">
        <v>23.49</v>
      </c>
      <c r="I18" s="133">
        <v>18.47</v>
      </c>
      <c r="J18" s="133">
        <v>0.05</v>
      </c>
      <c r="K18" s="133">
        <v>171.77</v>
      </c>
      <c r="L18" s="133">
        <v>24.07</v>
      </c>
      <c r="M18" s="133">
        <v>92.86</v>
      </c>
      <c r="N18" s="133">
        <v>0</v>
      </c>
      <c r="O18" s="133">
        <v>0</v>
      </c>
      <c r="P18" s="133">
        <v>0.78</v>
      </c>
      <c r="Q18" s="133">
        <v>5.64</v>
      </c>
    </row>
    <row r="19" spans="1:17" customFormat="1">
      <c r="A19" s="111" t="s">
        <v>1400</v>
      </c>
      <c r="B19" s="133">
        <v>17.899999999999999</v>
      </c>
      <c r="C19" s="133">
        <v>22.21</v>
      </c>
      <c r="D19" s="133">
        <v>27.31</v>
      </c>
      <c r="E19" s="133">
        <v>7.69</v>
      </c>
      <c r="F19" s="133">
        <v>3.01</v>
      </c>
      <c r="G19" s="133">
        <v>51.21</v>
      </c>
      <c r="H19" s="133">
        <v>23.49</v>
      </c>
      <c r="I19" s="133">
        <v>18.52</v>
      </c>
      <c r="J19" s="133">
        <v>0.08</v>
      </c>
      <c r="K19" s="133">
        <v>205.88</v>
      </c>
      <c r="L19" s="133">
        <v>24.06</v>
      </c>
      <c r="M19" s="133">
        <v>93.7</v>
      </c>
      <c r="N19" s="133">
        <v>0</v>
      </c>
      <c r="O19" s="133">
        <v>0</v>
      </c>
      <c r="P19" s="133">
        <v>0.76</v>
      </c>
      <c r="Q19" s="133">
        <v>5.72</v>
      </c>
    </row>
    <row r="20" spans="1:17" customFormat="1">
      <c r="A20" s="111" t="s">
        <v>1401</v>
      </c>
      <c r="B20" s="133">
        <v>18.71</v>
      </c>
      <c r="C20" s="133">
        <v>21.37</v>
      </c>
      <c r="D20" s="133">
        <v>27.52</v>
      </c>
      <c r="E20" s="133">
        <v>7.66</v>
      </c>
      <c r="F20" s="133">
        <v>3.15</v>
      </c>
      <c r="G20" s="133">
        <v>51.64</v>
      </c>
      <c r="H20" s="133">
        <v>22.83</v>
      </c>
      <c r="I20" s="133">
        <v>18.260000000000002</v>
      </c>
      <c r="J20" s="133">
        <v>0.06</v>
      </c>
      <c r="K20" s="133">
        <v>169.67</v>
      </c>
      <c r="L20" s="133">
        <v>23.99</v>
      </c>
      <c r="M20" s="133">
        <v>93.87</v>
      </c>
      <c r="N20" s="133">
        <v>0</v>
      </c>
      <c r="O20" s="133">
        <v>0</v>
      </c>
      <c r="P20" s="133">
        <v>0.75</v>
      </c>
      <c r="Q20" s="133">
        <v>5.75</v>
      </c>
    </row>
    <row r="21" spans="1:17" customFormat="1">
      <c r="A21" s="111" t="s">
        <v>1402</v>
      </c>
      <c r="B21" s="133">
        <v>18.989999999999998</v>
      </c>
      <c r="C21" s="133">
        <v>21.77</v>
      </c>
      <c r="D21" s="133">
        <v>27.96</v>
      </c>
      <c r="E21" s="133">
        <v>7.15</v>
      </c>
      <c r="F21" s="133">
        <v>2.83</v>
      </c>
      <c r="G21" s="133">
        <v>53.95</v>
      </c>
      <c r="H21" s="133">
        <v>20.16</v>
      </c>
      <c r="I21" s="133">
        <v>18</v>
      </c>
      <c r="J21" s="133">
        <v>0.38</v>
      </c>
      <c r="K21" s="133">
        <v>173.03</v>
      </c>
      <c r="L21" s="133">
        <v>24.29</v>
      </c>
      <c r="M21" s="133">
        <v>92.75</v>
      </c>
      <c r="N21" s="133">
        <v>0</v>
      </c>
      <c r="O21" s="133">
        <v>0</v>
      </c>
      <c r="P21" s="133">
        <v>0.76</v>
      </c>
      <c r="Q21" s="133">
        <v>5.74</v>
      </c>
    </row>
    <row r="22" spans="1:17" customFormat="1">
      <c r="A22" s="111" t="s">
        <v>1403</v>
      </c>
      <c r="B22" s="133">
        <v>18.559999999999999</v>
      </c>
      <c r="C22" s="133">
        <v>22.5</v>
      </c>
      <c r="D22" s="133">
        <v>27.99</v>
      </c>
      <c r="E22" s="133">
        <v>7.35</v>
      </c>
      <c r="F22" s="133">
        <v>2.83</v>
      </c>
      <c r="G22" s="133">
        <v>53.95</v>
      </c>
      <c r="H22" s="133">
        <v>20.16</v>
      </c>
      <c r="I22" s="133">
        <v>17.68</v>
      </c>
      <c r="J22" s="133">
        <v>0.2</v>
      </c>
      <c r="K22" s="133">
        <v>172.27</v>
      </c>
      <c r="L22" s="133">
        <v>24.11</v>
      </c>
      <c r="M22" s="133">
        <v>92.46</v>
      </c>
      <c r="N22" s="133">
        <v>0</v>
      </c>
      <c r="O22" s="133">
        <v>0</v>
      </c>
      <c r="P22" s="133">
        <v>0.77</v>
      </c>
      <c r="Q22" s="133">
        <v>5.72</v>
      </c>
    </row>
    <row r="23" spans="1:17" customFormat="1">
      <c r="A23" s="111" t="s">
        <v>1404</v>
      </c>
      <c r="B23" s="133">
        <v>17.97</v>
      </c>
      <c r="C23" s="133">
        <v>23.07</v>
      </c>
      <c r="D23" s="133">
        <v>27.82</v>
      </c>
      <c r="E23" s="133">
        <v>7.13</v>
      </c>
      <c r="F23" s="133">
        <v>2.78</v>
      </c>
      <c r="G23" s="133">
        <v>53.95</v>
      </c>
      <c r="H23" s="133">
        <v>20.16</v>
      </c>
      <c r="I23" s="133">
        <v>17.22</v>
      </c>
      <c r="J23" s="133">
        <v>0.16</v>
      </c>
      <c r="K23" s="133">
        <v>199.69</v>
      </c>
      <c r="L23" s="133">
        <v>23.96</v>
      </c>
      <c r="M23" s="133">
        <v>93.25</v>
      </c>
      <c r="N23" s="133">
        <v>0</v>
      </c>
      <c r="O23" s="133">
        <v>0</v>
      </c>
      <c r="P23" s="133">
        <v>0.77</v>
      </c>
      <c r="Q23" s="133">
        <v>5.7</v>
      </c>
    </row>
    <row r="24" spans="1:17" customFormat="1">
      <c r="A24" s="111" t="s">
        <v>1405</v>
      </c>
      <c r="B24" s="133">
        <v>17.55</v>
      </c>
      <c r="C24" s="133">
        <v>23.44</v>
      </c>
      <c r="D24" s="133">
        <v>27.67</v>
      </c>
      <c r="E24" s="133">
        <v>7.13</v>
      </c>
      <c r="F24" s="133">
        <v>2.71</v>
      </c>
      <c r="G24" s="133">
        <v>53.51</v>
      </c>
      <c r="H24" s="133">
        <v>20.010000000000002</v>
      </c>
      <c r="I24" s="133">
        <v>16.66</v>
      </c>
      <c r="J24" s="133">
        <v>0.1</v>
      </c>
      <c r="K24" s="133">
        <v>180.73</v>
      </c>
      <c r="L24" s="133">
        <v>23.74</v>
      </c>
      <c r="M24" s="133">
        <v>94.1</v>
      </c>
      <c r="N24" s="133">
        <v>0</v>
      </c>
      <c r="O24" s="133">
        <v>0</v>
      </c>
      <c r="P24" s="133">
        <v>0.76</v>
      </c>
      <c r="Q24" s="133">
        <v>5.7</v>
      </c>
    </row>
    <row r="25" spans="1:17" customFormat="1">
      <c r="A25" s="111" t="s">
        <v>1406</v>
      </c>
      <c r="B25" s="133">
        <v>17.25</v>
      </c>
      <c r="C25" s="133">
        <v>23.77</v>
      </c>
      <c r="D25" s="133">
        <v>27.6</v>
      </c>
      <c r="E25" s="133">
        <v>7.82</v>
      </c>
      <c r="F25" s="133">
        <v>2.61</v>
      </c>
      <c r="G25" s="133">
        <v>51.12</v>
      </c>
      <c r="H25" s="133">
        <v>19.420000000000002</v>
      </c>
      <c r="I25" s="133">
        <v>16.09</v>
      </c>
      <c r="J25" s="133">
        <v>0.06</v>
      </c>
      <c r="K25" s="133">
        <v>170.35</v>
      </c>
      <c r="L25" s="133">
        <v>23.69</v>
      </c>
      <c r="M25" s="133">
        <v>95.3</v>
      </c>
      <c r="N25" s="133">
        <v>0</v>
      </c>
      <c r="O25" s="133">
        <v>0</v>
      </c>
      <c r="P25" s="133">
        <v>0.76</v>
      </c>
      <c r="Q25" s="133">
        <v>5.69</v>
      </c>
    </row>
    <row r="26" spans="1:17" customFormat="1">
      <c r="A26" s="111" t="s">
        <v>1407</v>
      </c>
      <c r="B26" s="133">
        <v>16.850000000000001</v>
      </c>
      <c r="C26" s="133">
        <v>23.98</v>
      </c>
      <c r="D26" s="133">
        <v>27.39</v>
      </c>
      <c r="E26" s="133">
        <v>7.44</v>
      </c>
      <c r="F26" s="133">
        <v>2.57</v>
      </c>
      <c r="G26" s="133">
        <v>51.12</v>
      </c>
      <c r="H26" s="133">
        <v>19.420000000000002</v>
      </c>
      <c r="I26" s="133">
        <v>15.6</v>
      </c>
      <c r="J26" s="133">
        <v>0.14000000000000001</v>
      </c>
      <c r="K26" s="133">
        <v>156.76</v>
      </c>
      <c r="L26" s="133">
        <v>23.97</v>
      </c>
      <c r="M26" s="133">
        <v>95.32</v>
      </c>
      <c r="N26" s="133">
        <v>0</v>
      </c>
      <c r="O26" s="133">
        <v>0</v>
      </c>
      <c r="P26" s="133">
        <v>0.75</v>
      </c>
      <c r="Q26" s="133">
        <v>5.69</v>
      </c>
    </row>
    <row r="27" spans="1:17" customFormat="1">
      <c r="A27" s="111" t="s">
        <v>1408</v>
      </c>
      <c r="B27" s="133">
        <v>16.63</v>
      </c>
      <c r="C27" s="133">
        <v>24</v>
      </c>
      <c r="D27" s="133">
        <v>27.22</v>
      </c>
      <c r="E27" s="133">
        <v>7.57</v>
      </c>
      <c r="F27" s="133">
        <v>2.6</v>
      </c>
      <c r="G27" s="133">
        <v>51.12</v>
      </c>
      <c r="H27" s="133">
        <v>19.420000000000002</v>
      </c>
      <c r="I27" s="133">
        <v>15.19</v>
      </c>
      <c r="J27" s="133">
        <v>0.1</v>
      </c>
      <c r="K27" s="133">
        <v>227.55</v>
      </c>
      <c r="L27" s="133">
        <v>24.13</v>
      </c>
      <c r="M27" s="133">
        <v>95.27</v>
      </c>
      <c r="N27" s="133">
        <v>0</v>
      </c>
      <c r="O27" s="133">
        <v>0</v>
      </c>
      <c r="P27" s="133">
        <v>0.73</v>
      </c>
      <c r="Q27" s="133">
        <v>5.67</v>
      </c>
    </row>
    <row r="28" spans="1:17" customFormat="1">
      <c r="A28" s="111" t="s">
        <v>1409</v>
      </c>
      <c r="B28" s="133">
        <v>16.329999999999998</v>
      </c>
      <c r="C28" s="133">
        <v>24.33</v>
      </c>
      <c r="D28" s="133">
        <v>27.16</v>
      </c>
      <c r="E28" s="133">
        <v>7.65</v>
      </c>
      <c r="F28" s="133">
        <v>2.67</v>
      </c>
      <c r="G28" s="133">
        <v>50.49</v>
      </c>
      <c r="H28" s="133">
        <v>19.25</v>
      </c>
      <c r="I28" s="133">
        <v>14.74</v>
      </c>
      <c r="J28" s="133">
        <v>0.14000000000000001</v>
      </c>
      <c r="K28" s="133">
        <v>172.63</v>
      </c>
      <c r="L28" s="133">
        <v>24.2</v>
      </c>
      <c r="M28" s="133">
        <v>94.95</v>
      </c>
      <c r="N28" s="133">
        <v>0</v>
      </c>
      <c r="O28" s="133">
        <v>0</v>
      </c>
      <c r="P28" s="133">
        <v>0.73</v>
      </c>
      <c r="Q28" s="133">
        <v>5.69</v>
      </c>
    </row>
    <row r="29" spans="1:17" customFormat="1">
      <c r="A29" s="111" t="s">
        <v>1410</v>
      </c>
      <c r="B29" s="133">
        <v>16.059999999999999</v>
      </c>
      <c r="C29" s="133">
        <v>24.97</v>
      </c>
      <c r="D29" s="133">
        <v>27.28</v>
      </c>
      <c r="E29" s="133">
        <v>7.34</v>
      </c>
      <c r="F29" s="133">
        <v>2.57</v>
      </c>
      <c r="G29" s="133">
        <v>47.07</v>
      </c>
      <c r="H29" s="133">
        <v>18.53</v>
      </c>
      <c r="I29" s="133">
        <v>14.32</v>
      </c>
      <c r="J29" s="133">
        <v>7.0000000000000007E-2</v>
      </c>
      <c r="K29" s="133">
        <v>197.07</v>
      </c>
      <c r="L29" s="133">
        <v>24.24</v>
      </c>
      <c r="M29" s="133">
        <v>94.98</v>
      </c>
      <c r="N29" s="133">
        <v>0</v>
      </c>
      <c r="O29" s="133">
        <v>0</v>
      </c>
      <c r="P29" s="133">
        <v>0.73</v>
      </c>
      <c r="Q29" s="133">
        <v>5.68</v>
      </c>
    </row>
    <row r="30" spans="1:17" customFormat="1">
      <c r="A30" s="111" t="s">
        <v>1411</v>
      </c>
      <c r="B30" s="133">
        <v>16</v>
      </c>
      <c r="C30" s="133">
        <v>24.89</v>
      </c>
      <c r="D30" s="133">
        <v>27.18</v>
      </c>
      <c r="E30" s="133">
        <v>7.77</v>
      </c>
      <c r="F30" s="133">
        <v>2.52</v>
      </c>
      <c r="G30" s="133">
        <v>47.07</v>
      </c>
      <c r="H30" s="133">
        <v>18.53</v>
      </c>
      <c r="I30" s="133">
        <v>13.82</v>
      </c>
      <c r="J30" s="133">
        <v>0.14000000000000001</v>
      </c>
      <c r="K30" s="133">
        <v>167.74</v>
      </c>
      <c r="L30" s="133">
        <v>24.16</v>
      </c>
      <c r="M30" s="133">
        <v>95.23</v>
      </c>
      <c r="N30" s="133">
        <v>0</v>
      </c>
      <c r="O30" s="133">
        <v>0</v>
      </c>
      <c r="P30" s="133">
        <v>0.72</v>
      </c>
      <c r="Q30" s="133">
        <v>5.67</v>
      </c>
    </row>
    <row r="31" spans="1:17" customFormat="1">
      <c r="A31" s="111" t="s">
        <v>1412</v>
      </c>
      <c r="B31" s="133">
        <v>15.8</v>
      </c>
      <c r="C31" s="133">
        <v>25.17</v>
      </c>
      <c r="D31" s="133">
        <v>27.17</v>
      </c>
      <c r="E31" s="133">
        <v>8.16</v>
      </c>
      <c r="F31" s="133">
        <v>2.54</v>
      </c>
      <c r="G31" s="133">
        <v>47.07</v>
      </c>
      <c r="H31" s="133">
        <v>18.53</v>
      </c>
      <c r="I31" s="133">
        <v>13.6</v>
      </c>
      <c r="J31" s="133">
        <v>7.0000000000000007E-2</v>
      </c>
      <c r="K31" s="133">
        <v>180.6</v>
      </c>
      <c r="L31" s="133">
        <v>24.12</v>
      </c>
      <c r="M31" s="133">
        <v>96.06</v>
      </c>
      <c r="N31" s="133">
        <v>0</v>
      </c>
      <c r="O31" s="133">
        <v>0</v>
      </c>
      <c r="P31" s="133">
        <v>0.72</v>
      </c>
      <c r="Q31" s="133">
        <v>5.68</v>
      </c>
    </row>
    <row r="32" spans="1:17" customFormat="1">
      <c r="A32" s="111" t="s">
        <v>1413</v>
      </c>
      <c r="B32" s="133">
        <v>15.57</v>
      </c>
      <c r="C32" s="133">
        <v>25.5</v>
      </c>
      <c r="D32" s="133">
        <v>27.16</v>
      </c>
      <c r="E32" s="133">
        <v>8.35</v>
      </c>
      <c r="F32" s="133">
        <v>2.5</v>
      </c>
      <c r="G32" s="133">
        <v>47.11</v>
      </c>
      <c r="H32" s="133">
        <v>18.43</v>
      </c>
      <c r="I32" s="133">
        <v>13.23</v>
      </c>
      <c r="J32" s="133">
        <v>0.08</v>
      </c>
      <c r="K32" s="133">
        <v>141.59</v>
      </c>
      <c r="L32" s="133">
        <v>24.17</v>
      </c>
      <c r="M32" s="133">
        <v>96.01</v>
      </c>
      <c r="N32" s="133">
        <v>0</v>
      </c>
      <c r="O32" s="133">
        <v>0</v>
      </c>
      <c r="P32" s="133">
        <v>0.7</v>
      </c>
      <c r="Q32" s="133">
        <v>5.69</v>
      </c>
    </row>
    <row r="33" spans="1:17" customFormat="1">
      <c r="A33" s="111" t="s">
        <v>1414</v>
      </c>
      <c r="B33" s="133">
        <v>15.54</v>
      </c>
      <c r="C33" s="133">
        <v>25.65</v>
      </c>
      <c r="D33" s="133">
        <v>27.21</v>
      </c>
      <c r="E33" s="133">
        <v>7.92</v>
      </c>
      <c r="F33" s="133">
        <v>2.5099999999999998</v>
      </c>
      <c r="G33" s="133">
        <v>47.35</v>
      </c>
      <c r="H33" s="133">
        <v>18</v>
      </c>
      <c r="I33" s="133">
        <v>12.87</v>
      </c>
      <c r="J33" s="133">
        <v>0.05</v>
      </c>
      <c r="K33" s="133">
        <v>155.22999999999999</v>
      </c>
      <c r="L33" s="133">
        <v>24.13</v>
      </c>
      <c r="M33" s="133">
        <v>95.91</v>
      </c>
      <c r="N33" s="133">
        <v>1.4</v>
      </c>
      <c r="O33" s="133">
        <v>0</v>
      </c>
      <c r="P33" s="133">
        <v>0.7</v>
      </c>
      <c r="Q33" s="133">
        <v>5.69</v>
      </c>
    </row>
    <row r="34" spans="1:17" customFormat="1">
      <c r="A34" s="111" t="s">
        <v>1415</v>
      </c>
      <c r="B34" s="133">
        <v>15.45</v>
      </c>
      <c r="C34" s="133">
        <v>25.87</v>
      </c>
      <c r="D34" s="133">
        <v>27.25</v>
      </c>
      <c r="E34" s="133">
        <v>8.2100000000000009</v>
      </c>
      <c r="F34" s="133">
        <v>2.4700000000000002</v>
      </c>
      <c r="G34" s="133">
        <v>47.35</v>
      </c>
      <c r="H34" s="133">
        <v>18</v>
      </c>
      <c r="I34" s="133">
        <v>12.48</v>
      </c>
      <c r="J34" s="133">
        <v>0.12</v>
      </c>
      <c r="K34" s="133">
        <v>163.56</v>
      </c>
      <c r="L34" s="133">
        <v>24.14</v>
      </c>
      <c r="M34" s="133">
        <v>96.75</v>
      </c>
      <c r="N34" s="133">
        <v>10.4</v>
      </c>
      <c r="O34" s="133">
        <v>0</v>
      </c>
      <c r="P34" s="133">
        <v>0.7</v>
      </c>
      <c r="Q34" s="133">
        <v>5.68</v>
      </c>
    </row>
    <row r="35" spans="1:17" customFormat="1">
      <c r="A35" s="111" t="s">
        <v>1416</v>
      </c>
      <c r="B35" s="133">
        <v>15.42</v>
      </c>
      <c r="C35" s="133">
        <v>25.67</v>
      </c>
      <c r="D35" s="133">
        <v>27.13</v>
      </c>
      <c r="E35" s="133">
        <v>8.3000000000000007</v>
      </c>
      <c r="F35" s="133">
        <v>2.37</v>
      </c>
      <c r="G35" s="133">
        <v>47.35</v>
      </c>
      <c r="H35" s="133">
        <v>18</v>
      </c>
      <c r="I35" s="133">
        <v>12.26</v>
      </c>
      <c r="J35" s="133">
        <v>0.13</v>
      </c>
      <c r="K35" s="133">
        <v>145.51</v>
      </c>
      <c r="L35" s="133">
        <v>24.41</v>
      </c>
      <c r="M35" s="133">
        <v>96.42</v>
      </c>
      <c r="N35" s="133">
        <v>24.4</v>
      </c>
      <c r="O35" s="133">
        <v>0</v>
      </c>
      <c r="P35" s="133">
        <v>0.69</v>
      </c>
      <c r="Q35" s="133">
        <v>5.71</v>
      </c>
    </row>
    <row r="36" spans="1:17" customFormat="1">
      <c r="A36" s="111" t="s">
        <v>1417</v>
      </c>
      <c r="B36" s="133">
        <v>15.38</v>
      </c>
      <c r="C36" s="133">
        <v>25.57</v>
      </c>
      <c r="D36" s="133">
        <v>27.05</v>
      </c>
      <c r="E36" s="133">
        <v>8.7799999999999994</v>
      </c>
      <c r="F36" s="133">
        <v>2.5299999999999998</v>
      </c>
      <c r="G36" s="133">
        <v>47.14</v>
      </c>
      <c r="H36" s="133">
        <v>18.440000000000001</v>
      </c>
      <c r="I36" s="133">
        <v>11.95</v>
      </c>
      <c r="J36" s="133">
        <v>0.2</v>
      </c>
      <c r="K36" s="133">
        <v>179.37</v>
      </c>
      <c r="L36" s="133">
        <v>24.89</v>
      </c>
      <c r="M36" s="133">
        <v>92.88</v>
      </c>
      <c r="N36" s="133">
        <v>32.9</v>
      </c>
      <c r="O36" s="133">
        <v>0</v>
      </c>
      <c r="P36" s="133">
        <v>0.69</v>
      </c>
      <c r="Q36" s="133">
        <v>5.68</v>
      </c>
    </row>
    <row r="37" spans="1:17" customFormat="1">
      <c r="A37" s="111" t="s">
        <v>1418</v>
      </c>
      <c r="B37" s="133">
        <v>15.34</v>
      </c>
      <c r="C37" s="133">
        <v>26.18</v>
      </c>
      <c r="D37" s="133">
        <v>27.33</v>
      </c>
      <c r="E37" s="133">
        <v>8.1999999999999993</v>
      </c>
      <c r="F37" s="133">
        <v>2.4700000000000002</v>
      </c>
      <c r="G37" s="133">
        <v>45.99</v>
      </c>
      <c r="H37" s="133">
        <v>20.8</v>
      </c>
      <c r="I37" s="133">
        <v>11.71</v>
      </c>
      <c r="J37" s="133">
        <v>0.09</v>
      </c>
      <c r="K37" s="133">
        <v>220.07</v>
      </c>
      <c r="L37" s="133">
        <v>25.03</v>
      </c>
      <c r="M37" s="133">
        <v>92.89</v>
      </c>
      <c r="N37" s="133">
        <v>41.9</v>
      </c>
      <c r="O37" s="133">
        <v>0</v>
      </c>
      <c r="P37" s="133">
        <v>0.69</v>
      </c>
      <c r="Q37" s="133">
        <v>5.69</v>
      </c>
    </row>
    <row r="38" spans="1:17" customFormat="1">
      <c r="A38" s="111" t="s">
        <v>1419</v>
      </c>
      <c r="B38" s="133">
        <v>15.33</v>
      </c>
      <c r="C38" s="133">
        <v>26.08</v>
      </c>
      <c r="D38" s="133">
        <v>27.27</v>
      </c>
      <c r="E38" s="133">
        <v>8.58</v>
      </c>
      <c r="F38" s="133">
        <v>2.35</v>
      </c>
      <c r="G38" s="133">
        <v>45.99</v>
      </c>
      <c r="H38" s="133">
        <v>20.8</v>
      </c>
      <c r="I38" s="133">
        <v>11.42</v>
      </c>
      <c r="J38" s="133">
        <v>0.1</v>
      </c>
      <c r="K38" s="133">
        <v>214.57</v>
      </c>
      <c r="L38" s="133">
        <v>25.51</v>
      </c>
      <c r="M38" s="133">
        <v>91.15</v>
      </c>
      <c r="N38" s="133">
        <v>78.3</v>
      </c>
      <c r="O38" s="133">
        <v>0</v>
      </c>
      <c r="P38" s="133">
        <v>0.69</v>
      </c>
      <c r="Q38" s="133">
        <v>5.69</v>
      </c>
    </row>
    <row r="39" spans="1:17" customFormat="1">
      <c r="A39" s="111" t="s">
        <v>1420</v>
      </c>
      <c r="B39" s="133">
        <v>15.3</v>
      </c>
      <c r="C39" s="133">
        <v>26.27</v>
      </c>
      <c r="D39" s="133">
        <v>27.34</v>
      </c>
      <c r="E39" s="133">
        <v>8.89</v>
      </c>
      <c r="F39" s="133">
        <v>2.33</v>
      </c>
      <c r="G39" s="133">
        <v>45.99</v>
      </c>
      <c r="H39" s="133">
        <v>20.8</v>
      </c>
      <c r="I39" s="133">
        <v>11.31</v>
      </c>
      <c r="J39" s="133">
        <v>0.14000000000000001</v>
      </c>
      <c r="K39" s="133">
        <v>240.36</v>
      </c>
      <c r="L39" s="133">
        <v>26.22</v>
      </c>
      <c r="M39" s="133">
        <v>87.36</v>
      </c>
      <c r="N39" s="133">
        <v>132.80000000000001</v>
      </c>
      <c r="O39" s="133">
        <v>0</v>
      </c>
      <c r="P39" s="133">
        <v>0.7</v>
      </c>
      <c r="Q39" s="133">
        <v>5.71</v>
      </c>
    </row>
    <row r="40" spans="1:17" customFormat="1">
      <c r="A40" s="111" t="s">
        <v>1421</v>
      </c>
      <c r="B40" s="133">
        <v>15.16</v>
      </c>
      <c r="C40" s="133">
        <v>26.3</v>
      </c>
      <c r="D40" s="133">
        <v>27.25</v>
      </c>
      <c r="E40" s="133">
        <v>8.67</v>
      </c>
      <c r="F40" s="133">
        <v>2.48</v>
      </c>
      <c r="G40" s="133">
        <v>46.67</v>
      </c>
      <c r="H40" s="133">
        <v>20.59</v>
      </c>
      <c r="I40" s="133">
        <v>11.12</v>
      </c>
      <c r="J40" s="133">
        <v>0.14000000000000001</v>
      </c>
      <c r="K40" s="133">
        <v>246.02</v>
      </c>
      <c r="L40" s="133">
        <v>26.76</v>
      </c>
      <c r="M40" s="133">
        <v>83.72</v>
      </c>
      <c r="N40" s="133">
        <v>206.9</v>
      </c>
      <c r="O40" s="133">
        <v>0</v>
      </c>
      <c r="P40" s="133">
        <v>0.7</v>
      </c>
      <c r="Q40" s="133">
        <v>5.7</v>
      </c>
    </row>
    <row r="41" spans="1:17" customFormat="1">
      <c r="A41" s="111" t="s">
        <v>1422</v>
      </c>
      <c r="B41" s="133">
        <v>15.03</v>
      </c>
      <c r="C41" s="133">
        <v>26.99</v>
      </c>
      <c r="D41" s="133">
        <v>27.51</v>
      </c>
      <c r="E41" s="133">
        <v>8.7799999999999994</v>
      </c>
      <c r="F41" s="133">
        <v>2.33</v>
      </c>
      <c r="G41" s="133">
        <v>50.32</v>
      </c>
      <c r="H41" s="133">
        <v>19.77</v>
      </c>
      <c r="I41" s="133">
        <v>10.98</v>
      </c>
      <c r="J41" s="133">
        <v>0.06</v>
      </c>
      <c r="K41" s="133">
        <v>243.13</v>
      </c>
      <c r="L41" s="133">
        <v>27.55</v>
      </c>
      <c r="M41" s="133">
        <v>80.64</v>
      </c>
      <c r="N41" s="133">
        <v>252.6</v>
      </c>
      <c r="O41" s="133">
        <v>0</v>
      </c>
      <c r="P41" s="133">
        <v>0.7</v>
      </c>
      <c r="Q41" s="133">
        <v>5.69</v>
      </c>
    </row>
    <row r="42" spans="1:17" customFormat="1">
      <c r="A42" s="111" t="s">
        <v>1423</v>
      </c>
      <c r="B42" s="133">
        <v>15.14</v>
      </c>
      <c r="C42" s="133">
        <v>25.57</v>
      </c>
      <c r="D42" s="133">
        <v>26.85</v>
      </c>
      <c r="E42" s="133">
        <v>9</v>
      </c>
      <c r="F42" s="133">
        <v>2.8</v>
      </c>
      <c r="G42" s="133">
        <v>50.32</v>
      </c>
      <c r="H42" s="133">
        <v>19.77</v>
      </c>
      <c r="I42" s="133">
        <v>10.87</v>
      </c>
      <c r="J42" s="133">
        <v>0.06</v>
      </c>
      <c r="K42" s="133">
        <v>134.21</v>
      </c>
      <c r="L42" s="133">
        <v>28.38</v>
      </c>
      <c r="M42" s="133">
        <v>77.89</v>
      </c>
      <c r="N42" s="133">
        <v>303.7</v>
      </c>
      <c r="O42" s="133">
        <v>0</v>
      </c>
      <c r="P42" s="133">
        <v>0.69</v>
      </c>
      <c r="Q42" s="133">
        <v>5.68</v>
      </c>
    </row>
    <row r="43" spans="1:17" customFormat="1">
      <c r="A43" s="111" t="s">
        <v>1424</v>
      </c>
      <c r="B43" s="133">
        <v>15.32</v>
      </c>
      <c r="C43" s="133">
        <v>23.92</v>
      </c>
      <c r="D43" s="133">
        <v>26.13</v>
      </c>
      <c r="E43" s="133">
        <v>8.09</v>
      </c>
      <c r="F43" s="133">
        <v>3.19</v>
      </c>
      <c r="G43" s="133">
        <v>50.32</v>
      </c>
      <c r="H43" s="133">
        <v>19.77</v>
      </c>
      <c r="I43" s="133">
        <v>10.78</v>
      </c>
      <c r="J43" s="133">
        <v>7.0000000000000007E-2</v>
      </c>
      <c r="K43" s="133">
        <v>233.08</v>
      </c>
      <c r="L43" s="133">
        <v>28.99</v>
      </c>
      <c r="M43" s="133">
        <v>74.099999999999994</v>
      </c>
      <c r="N43" s="133">
        <v>352.9</v>
      </c>
      <c r="O43" s="133">
        <v>0</v>
      </c>
      <c r="P43" s="133">
        <v>0.68</v>
      </c>
      <c r="Q43" s="133">
        <v>5.68</v>
      </c>
    </row>
    <row r="44" spans="1:17" customFormat="1">
      <c r="A44" s="111" t="s">
        <v>1425</v>
      </c>
      <c r="B44" s="133">
        <v>15.24</v>
      </c>
      <c r="C44" s="133">
        <v>23.14</v>
      </c>
      <c r="D44" s="133">
        <v>25.66</v>
      </c>
      <c r="E44" s="133">
        <v>8.69</v>
      </c>
      <c r="F44" s="133">
        <v>3.29</v>
      </c>
      <c r="G44" s="133">
        <v>50.26</v>
      </c>
      <c r="H44" s="133">
        <v>19.899999999999999</v>
      </c>
      <c r="I44" s="133">
        <v>10.76</v>
      </c>
      <c r="J44" s="133">
        <v>0.21</v>
      </c>
      <c r="K44" s="133">
        <v>169.28</v>
      </c>
      <c r="L44" s="133">
        <v>29.75</v>
      </c>
      <c r="M44" s="133">
        <v>66.790000000000006</v>
      </c>
      <c r="N44" s="133">
        <v>393.6</v>
      </c>
      <c r="O44" s="133">
        <v>0</v>
      </c>
      <c r="P44" s="133">
        <v>0.68</v>
      </c>
      <c r="Q44" s="133">
        <v>5.64</v>
      </c>
    </row>
    <row r="45" spans="1:17" customFormat="1">
      <c r="A45" s="111" t="s">
        <v>1426</v>
      </c>
      <c r="B45" s="133">
        <v>15.1</v>
      </c>
      <c r="C45" s="133">
        <v>22.79</v>
      </c>
      <c r="D45" s="133">
        <v>25.37</v>
      </c>
      <c r="E45" s="133">
        <v>8.34</v>
      </c>
      <c r="F45" s="133">
        <v>3.25</v>
      </c>
      <c r="G45" s="133">
        <v>49.9</v>
      </c>
      <c r="H45" s="133">
        <v>20.47</v>
      </c>
      <c r="I45" s="133">
        <v>10.68</v>
      </c>
      <c r="J45" s="133">
        <v>0.23</v>
      </c>
      <c r="K45" s="133">
        <v>235.55</v>
      </c>
      <c r="L45" s="133">
        <v>30.2</v>
      </c>
      <c r="M45" s="133">
        <v>60.73</v>
      </c>
      <c r="N45" s="133">
        <v>436.3</v>
      </c>
      <c r="O45" s="133">
        <v>0</v>
      </c>
      <c r="P45" s="133">
        <v>0.68</v>
      </c>
      <c r="Q45" s="133">
        <v>5.61</v>
      </c>
    </row>
    <row r="46" spans="1:17" customFormat="1">
      <c r="A46" s="111" t="s">
        <v>1427</v>
      </c>
      <c r="B46" s="133">
        <v>14.71</v>
      </c>
      <c r="C46" s="133">
        <v>23.01</v>
      </c>
      <c r="D46" s="133">
        <v>25.17</v>
      </c>
      <c r="E46" s="133">
        <v>8.42</v>
      </c>
      <c r="F46" s="133">
        <v>3.27</v>
      </c>
      <c r="G46" s="133">
        <v>49.9</v>
      </c>
      <c r="H46" s="133">
        <v>20.47</v>
      </c>
      <c r="I46" s="133">
        <v>10.58</v>
      </c>
      <c r="J46" s="133">
        <v>0.28000000000000003</v>
      </c>
      <c r="K46" s="133">
        <v>247.3</v>
      </c>
      <c r="L46" s="133">
        <v>30.57</v>
      </c>
      <c r="M46" s="133">
        <v>59.48</v>
      </c>
      <c r="N46" s="133">
        <v>368.6</v>
      </c>
      <c r="O46" s="133">
        <v>0</v>
      </c>
      <c r="P46" s="133">
        <v>0.67</v>
      </c>
      <c r="Q46" s="133">
        <v>5.58</v>
      </c>
    </row>
    <row r="47" spans="1:17" customFormat="1">
      <c r="A47" s="111" t="s">
        <v>1428</v>
      </c>
      <c r="B47" s="133">
        <v>14.24</v>
      </c>
      <c r="C47" s="133">
        <v>23.37</v>
      </c>
      <c r="D47" s="133">
        <v>24.98</v>
      </c>
      <c r="E47" s="133">
        <v>8.31</v>
      </c>
      <c r="F47" s="133">
        <v>3.29</v>
      </c>
      <c r="G47" s="133">
        <v>49.9</v>
      </c>
      <c r="H47" s="133">
        <v>20.47</v>
      </c>
      <c r="I47" s="133">
        <v>10.51</v>
      </c>
      <c r="J47" s="133">
        <v>0.21</v>
      </c>
      <c r="K47" s="133">
        <v>158.41999999999999</v>
      </c>
      <c r="L47" s="133">
        <v>31.17</v>
      </c>
      <c r="M47" s="133">
        <v>61.52</v>
      </c>
      <c r="N47" s="133">
        <v>349.1</v>
      </c>
      <c r="O47" s="133">
        <v>0</v>
      </c>
      <c r="P47" s="133">
        <v>0.67</v>
      </c>
      <c r="Q47" s="133">
        <v>5.54</v>
      </c>
    </row>
    <row r="48" spans="1:17" customFormat="1">
      <c r="A48" s="111" t="s">
        <v>1429</v>
      </c>
      <c r="B48" s="133">
        <v>13.78</v>
      </c>
      <c r="C48" s="133">
        <v>23.2</v>
      </c>
      <c r="D48" s="133">
        <v>24.52</v>
      </c>
      <c r="E48" s="133">
        <v>8.33</v>
      </c>
      <c r="F48" s="133">
        <v>3.62</v>
      </c>
      <c r="G48" s="133">
        <v>50.69</v>
      </c>
      <c r="H48" s="133">
        <v>21.28</v>
      </c>
      <c r="I48" s="133">
        <v>10.41</v>
      </c>
      <c r="J48" s="133">
        <v>0.14000000000000001</v>
      </c>
      <c r="K48" s="133">
        <v>172.06</v>
      </c>
      <c r="L48" s="133">
        <v>31.81</v>
      </c>
      <c r="M48" s="133">
        <v>59.96</v>
      </c>
      <c r="N48" s="133">
        <v>486.8</v>
      </c>
      <c r="O48" s="133">
        <v>0</v>
      </c>
      <c r="P48" s="133">
        <v>0.67</v>
      </c>
      <c r="Q48" s="133">
        <v>5.49</v>
      </c>
    </row>
    <row r="49" spans="1:17" customFormat="1">
      <c r="A49" s="111" t="s">
        <v>1430</v>
      </c>
      <c r="B49" s="133">
        <v>13.11</v>
      </c>
      <c r="C49" s="133">
        <v>22.04</v>
      </c>
      <c r="D49" s="133">
        <v>23.38</v>
      </c>
      <c r="E49" s="133">
        <v>7.27</v>
      </c>
      <c r="F49" s="133">
        <v>4.5599999999999996</v>
      </c>
      <c r="G49" s="133">
        <v>55.01</v>
      </c>
      <c r="H49" s="133">
        <v>24.61</v>
      </c>
      <c r="I49" s="133">
        <v>10.33</v>
      </c>
      <c r="J49" s="133">
        <v>0.25</v>
      </c>
      <c r="K49" s="133">
        <v>180.47</v>
      </c>
      <c r="L49" s="133">
        <v>32.049999999999997</v>
      </c>
      <c r="M49" s="133">
        <v>58.88</v>
      </c>
      <c r="N49" s="133">
        <v>584.9</v>
      </c>
      <c r="O49" s="133">
        <v>0</v>
      </c>
      <c r="P49" s="133">
        <v>0.67</v>
      </c>
      <c r="Q49" s="133">
        <v>5.46</v>
      </c>
    </row>
    <row r="50" spans="1:17" customFormat="1">
      <c r="A50" s="111" t="s">
        <v>1431</v>
      </c>
      <c r="B50" s="133">
        <v>12.37</v>
      </c>
      <c r="C50" s="133">
        <v>21.6</v>
      </c>
      <c r="D50" s="133">
        <v>22.56</v>
      </c>
      <c r="E50" s="133">
        <v>7.75</v>
      </c>
      <c r="F50" s="133">
        <v>5.0199999999999996</v>
      </c>
      <c r="G50" s="133">
        <v>55.01</v>
      </c>
      <c r="H50" s="133">
        <v>24.61</v>
      </c>
      <c r="I50" s="133">
        <v>10.23</v>
      </c>
      <c r="J50" s="133">
        <v>0.21</v>
      </c>
      <c r="K50" s="133">
        <v>199.91</v>
      </c>
      <c r="L50" s="133">
        <v>32.47</v>
      </c>
      <c r="M50" s="133">
        <v>58.61</v>
      </c>
      <c r="N50" s="133">
        <v>605.4</v>
      </c>
      <c r="O50" s="133">
        <v>0</v>
      </c>
      <c r="P50" s="133">
        <v>0.66</v>
      </c>
      <c r="Q50" s="133">
        <v>5.43</v>
      </c>
    </row>
    <row r="51" spans="1:17" customFormat="1">
      <c r="A51" s="111" t="s">
        <v>1432</v>
      </c>
      <c r="B51" s="133">
        <v>11.7</v>
      </c>
      <c r="C51" s="133">
        <v>21.32</v>
      </c>
      <c r="D51" s="133">
        <v>21.87</v>
      </c>
      <c r="E51" s="133">
        <v>7.59</v>
      </c>
      <c r="F51" s="133">
        <v>4.74</v>
      </c>
      <c r="G51" s="133">
        <v>55.01</v>
      </c>
      <c r="H51" s="133">
        <v>24.61</v>
      </c>
      <c r="I51" s="133">
        <v>10.15</v>
      </c>
      <c r="J51" s="133">
        <v>0.14000000000000001</v>
      </c>
      <c r="K51" s="133">
        <v>195.03</v>
      </c>
      <c r="L51" s="133">
        <v>32.9</v>
      </c>
      <c r="M51" s="133">
        <v>57.27</v>
      </c>
      <c r="N51" s="133">
        <v>630.6</v>
      </c>
      <c r="O51" s="133">
        <v>0</v>
      </c>
      <c r="P51" s="133">
        <v>0.66</v>
      </c>
      <c r="Q51" s="133">
        <v>5.4</v>
      </c>
    </row>
    <row r="52" spans="1:17" customFormat="1">
      <c r="A52" s="111" t="s">
        <v>1433</v>
      </c>
      <c r="B52" s="133">
        <v>11.15</v>
      </c>
      <c r="C52" s="133">
        <v>21.08</v>
      </c>
      <c r="D52" s="133">
        <v>21.31</v>
      </c>
      <c r="E52" s="133">
        <v>7.41</v>
      </c>
      <c r="F52" s="133">
        <v>4.75</v>
      </c>
      <c r="G52" s="133">
        <v>55.59</v>
      </c>
      <c r="H52" s="133">
        <v>24.43</v>
      </c>
      <c r="I52" s="133">
        <v>10.18</v>
      </c>
      <c r="J52" s="133">
        <v>0.2</v>
      </c>
      <c r="K52" s="133">
        <v>223.27</v>
      </c>
      <c r="L52" s="133">
        <v>32.82</v>
      </c>
      <c r="M52" s="133">
        <v>55.45</v>
      </c>
      <c r="N52" s="133">
        <v>612.9</v>
      </c>
      <c r="O52" s="133">
        <v>0</v>
      </c>
      <c r="P52" s="133">
        <v>0.66</v>
      </c>
      <c r="Q52" s="133">
        <v>5.35</v>
      </c>
    </row>
    <row r="53" spans="1:17" customFormat="1">
      <c r="A53" s="111" t="s">
        <v>1434</v>
      </c>
      <c r="B53" s="133">
        <v>10.48</v>
      </c>
      <c r="C53" s="133">
        <v>21.01</v>
      </c>
      <c r="D53" s="133">
        <v>20.73</v>
      </c>
      <c r="E53" s="133">
        <v>7.13</v>
      </c>
      <c r="F53" s="133">
        <v>4.6900000000000004</v>
      </c>
      <c r="G53" s="133">
        <v>58.78</v>
      </c>
      <c r="H53" s="133">
        <v>23.72</v>
      </c>
      <c r="I53" s="133">
        <v>10.199999999999999</v>
      </c>
      <c r="J53" s="133">
        <v>0.28000000000000003</v>
      </c>
      <c r="K53" s="133">
        <v>222.81</v>
      </c>
      <c r="L53" s="133">
        <v>32.869999999999997</v>
      </c>
      <c r="M53" s="133">
        <v>54.85</v>
      </c>
      <c r="N53" s="133">
        <v>671.8</v>
      </c>
      <c r="O53" s="133">
        <v>0</v>
      </c>
      <c r="P53" s="133">
        <v>0.66</v>
      </c>
      <c r="Q53" s="133">
        <v>5.3</v>
      </c>
    </row>
    <row r="54" spans="1:17" customFormat="1">
      <c r="A54" s="111" t="s">
        <v>1435</v>
      </c>
      <c r="B54" s="133">
        <v>9.74</v>
      </c>
      <c r="C54" s="133">
        <v>20.64</v>
      </c>
      <c r="D54" s="133">
        <v>19.940000000000001</v>
      </c>
      <c r="E54" s="133">
        <v>7.14</v>
      </c>
      <c r="F54" s="133">
        <v>5.12</v>
      </c>
      <c r="G54" s="133">
        <v>58.78</v>
      </c>
      <c r="H54" s="133">
        <v>23.72</v>
      </c>
      <c r="I54" s="133">
        <v>10.16</v>
      </c>
      <c r="J54" s="133">
        <v>0.33</v>
      </c>
      <c r="K54" s="133">
        <v>155.74</v>
      </c>
      <c r="L54" s="133">
        <v>33.229999999999997</v>
      </c>
      <c r="M54" s="133">
        <v>54.33</v>
      </c>
      <c r="N54" s="133">
        <v>686.7</v>
      </c>
      <c r="O54" s="133">
        <v>0</v>
      </c>
      <c r="P54" s="133">
        <v>0.65</v>
      </c>
      <c r="Q54" s="133">
        <v>5.28</v>
      </c>
    </row>
    <row r="55" spans="1:17" customFormat="1">
      <c r="A55" s="111" t="s">
        <v>1436</v>
      </c>
      <c r="B55" s="133">
        <v>9.18</v>
      </c>
      <c r="C55" s="133">
        <v>20.46</v>
      </c>
      <c r="D55" s="133">
        <v>19.399999999999999</v>
      </c>
      <c r="E55" s="133">
        <v>7.34</v>
      </c>
      <c r="F55" s="133">
        <v>6.13</v>
      </c>
      <c r="G55" s="133">
        <v>58.78</v>
      </c>
      <c r="H55" s="133">
        <v>23.72</v>
      </c>
      <c r="I55" s="133">
        <v>10.15</v>
      </c>
      <c r="J55" s="133">
        <v>0.22</v>
      </c>
      <c r="K55" s="133">
        <v>186.28</v>
      </c>
      <c r="L55" s="133">
        <v>33.6</v>
      </c>
      <c r="M55" s="133">
        <v>53.56</v>
      </c>
      <c r="N55" s="133">
        <v>697.9</v>
      </c>
      <c r="O55" s="133">
        <v>0</v>
      </c>
      <c r="P55" s="133">
        <v>0.65</v>
      </c>
      <c r="Q55" s="133">
        <v>5.24</v>
      </c>
    </row>
    <row r="56" spans="1:17" customFormat="1">
      <c r="A56" s="111" t="s">
        <v>1437</v>
      </c>
      <c r="B56" s="133">
        <v>8.77</v>
      </c>
      <c r="C56" s="133">
        <v>20.27</v>
      </c>
      <c r="D56" s="133">
        <v>18.97</v>
      </c>
      <c r="E56" s="133">
        <v>7.43</v>
      </c>
      <c r="F56" s="133">
        <v>6.21</v>
      </c>
      <c r="G56" s="133">
        <v>58.26</v>
      </c>
      <c r="H56" s="133">
        <v>23.42</v>
      </c>
      <c r="I56" s="133">
        <v>9.89</v>
      </c>
      <c r="J56" s="133">
        <v>0.2</v>
      </c>
      <c r="K56" s="133">
        <v>157.35</v>
      </c>
      <c r="L56" s="133">
        <v>33.61</v>
      </c>
      <c r="M56" s="133">
        <v>52.76</v>
      </c>
      <c r="N56" s="133">
        <v>665.6</v>
      </c>
      <c r="O56" s="133">
        <v>0</v>
      </c>
      <c r="P56" s="133">
        <v>0.64</v>
      </c>
      <c r="Q56" s="133">
        <v>5.2</v>
      </c>
    </row>
    <row r="57" spans="1:17" customFormat="1">
      <c r="A57" s="111" t="s">
        <v>1438</v>
      </c>
      <c r="B57" s="133">
        <v>8.2899999999999991</v>
      </c>
      <c r="C57" s="133">
        <v>19.809999999999999</v>
      </c>
      <c r="D57" s="133">
        <v>18.350000000000001</v>
      </c>
      <c r="E57" s="133">
        <v>7</v>
      </c>
      <c r="F57" s="133">
        <v>6.89</v>
      </c>
      <c r="G57" s="133">
        <v>55.4</v>
      </c>
      <c r="H57" s="133">
        <v>22.17</v>
      </c>
      <c r="I57" s="133">
        <v>9.81</v>
      </c>
      <c r="J57" s="133">
        <v>0.28000000000000003</v>
      </c>
      <c r="K57" s="133">
        <v>189.34</v>
      </c>
      <c r="L57" s="133">
        <v>33.630000000000003</v>
      </c>
      <c r="M57" s="133">
        <v>51.65</v>
      </c>
      <c r="N57" s="133">
        <v>677</v>
      </c>
      <c r="O57" s="133">
        <v>0</v>
      </c>
      <c r="P57" s="133">
        <v>0.63</v>
      </c>
      <c r="Q57" s="133">
        <v>5.19</v>
      </c>
    </row>
    <row r="58" spans="1:17" customFormat="1">
      <c r="A58" s="111" t="s">
        <v>1439</v>
      </c>
      <c r="B58" s="133">
        <v>7.97</v>
      </c>
      <c r="C58" s="133">
        <v>19.63</v>
      </c>
      <c r="D58" s="133">
        <v>18</v>
      </c>
      <c r="E58" s="133">
        <v>7.25</v>
      </c>
      <c r="F58" s="133">
        <v>6.15</v>
      </c>
      <c r="G58" s="133">
        <v>55.4</v>
      </c>
      <c r="H58" s="133">
        <v>22.17</v>
      </c>
      <c r="I58" s="133">
        <v>9.5500000000000007</v>
      </c>
      <c r="J58" s="133">
        <v>0.28000000000000003</v>
      </c>
      <c r="K58" s="133">
        <v>140.22</v>
      </c>
      <c r="L58" s="133">
        <v>34.090000000000003</v>
      </c>
      <c r="M58" s="133">
        <v>51.63</v>
      </c>
      <c r="N58" s="133">
        <v>660.7</v>
      </c>
      <c r="O58" s="133">
        <v>0</v>
      </c>
      <c r="P58" s="133">
        <v>0.62</v>
      </c>
      <c r="Q58" s="133">
        <v>5.17</v>
      </c>
    </row>
    <row r="59" spans="1:17" customFormat="1">
      <c r="A59" s="111" t="s">
        <v>1440</v>
      </c>
      <c r="B59" s="133">
        <v>7.7</v>
      </c>
      <c r="C59" s="133">
        <v>19.760000000000002</v>
      </c>
      <c r="D59" s="133">
        <v>17.850000000000001</v>
      </c>
      <c r="E59" s="133">
        <v>6.99</v>
      </c>
      <c r="F59" s="133">
        <v>5.66</v>
      </c>
      <c r="G59" s="133">
        <v>55.4</v>
      </c>
      <c r="H59" s="133">
        <v>22.17</v>
      </c>
      <c r="I59" s="133">
        <v>9.3699999999999992</v>
      </c>
      <c r="J59" s="133">
        <v>0.22</v>
      </c>
      <c r="K59" s="133">
        <v>166.81</v>
      </c>
      <c r="L59" s="133">
        <v>34</v>
      </c>
      <c r="M59" s="133">
        <v>51.16</v>
      </c>
      <c r="N59" s="133">
        <v>642.20000000000005</v>
      </c>
      <c r="O59" s="133">
        <v>0</v>
      </c>
      <c r="P59" s="133">
        <v>0.61</v>
      </c>
      <c r="Q59" s="133">
        <v>5.17</v>
      </c>
    </row>
    <row r="60" spans="1:17" customFormat="1">
      <c r="A60" s="111" t="s">
        <v>1441</v>
      </c>
      <c r="B60" s="133">
        <v>7.39</v>
      </c>
      <c r="C60" s="133">
        <v>19.920000000000002</v>
      </c>
      <c r="D60" s="133">
        <v>17.68</v>
      </c>
      <c r="E60" s="133">
        <v>6.57</v>
      </c>
      <c r="F60" s="133">
        <v>5.69</v>
      </c>
      <c r="G60" s="133">
        <v>54.59</v>
      </c>
      <c r="H60" s="133">
        <v>21.81</v>
      </c>
      <c r="I60" s="133">
        <v>9.24</v>
      </c>
      <c r="J60" s="133">
        <v>0.25</v>
      </c>
      <c r="K60" s="133">
        <v>150.84</v>
      </c>
      <c r="L60" s="133">
        <v>34.24</v>
      </c>
      <c r="M60" s="133">
        <v>50.51</v>
      </c>
      <c r="N60" s="133">
        <v>508.4</v>
      </c>
      <c r="O60" s="133">
        <v>0</v>
      </c>
      <c r="P60" s="133">
        <v>0.62</v>
      </c>
      <c r="Q60" s="133">
        <v>5.12</v>
      </c>
    </row>
    <row r="61" spans="1:17" customFormat="1">
      <c r="A61" s="111" t="s">
        <v>1442</v>
      </c>
      <c r="B61" s="133">
        <v>6.98</v>
      </c>
      <c r="C61" s="133">
        <v>20.43</v>
      </c>
      <c r="D61" s="133">
        <v>17.62</v>
      </c>
      <c r="E61" s="133">
        <v>6.55</v>
      </c>
      <c r="F61" s="133">
        <v>5.58</v>
      </c>
      <c r="G61" s="133">
        <v>50.16</v>
      </c>
      <c r="H61" s="133">
        <v>19.920000000000002</v>
      </c>
      <c r="I61" s="133">
        <v>9.1199999999999992</v>
      </c>
      <c r="J61" s="133">
        <v>0.24</v>
      </c>
      <c r="K61" s="133">
        <v>182.5</v>
      </c>
      <c r="L61" s="133">
        <v>33.950000000000003</v>
      </c>
      <c r="M61" s="133">
        <v>50.56</v>
      </c>
      <c r="N61" s="133">
        <v>487.4</v>
      </c>
      <c r="O61" s="133">
        <v>0</v>
      </c>
      <c r="P61" s="133">
        <v>0.6</v>
      </c>
      <c r="Q61" s="133">
        <v>5.12</v>
      </c>
    </row>
    <row r="62" spans="1:17" customFormat="1">
      <c r="A62" s="111" t="s">
        <v>1443</v>
      </c>
      <c r="B62" s="133">
        <v>6.42</v>
      </c>
      <c r="C62" s="133">
        <v>20.52</v>
      </c>
      <c r="D62" s="133">
        <v>17.22</v>
      </c>
      <c r="E62" s="133">
        <v>6.77</v>
      </c>
      <c r="F62" s="133">
        <v>6.4</v>
      </c>
      <c r="G62" s="133">
        <v>50.16</v>
      </c>
      <c r="H62" s="133">
        <v>19.920000000000002</v>
      </c>
      <c r="I62" s="133">
        <v>8.8800000000000008</v>
      </c>
      <c r="J62" s="133">
        <v>0.13</v>
      </c>
      <c r="K62" s="133">
        <v>155.41999999999999</v>
      </c>
      <c r="L62" s="133">
        <v>34</v>
      </c>
      <c r="M62" s="133">
        <v>49.91</v>
      </c>
      <c r="N62" s="133">
        <v>461.6</v>
      </c>
      <c r="O62" s="133">
        <v>0</v>
      </c>
      <c r="P62" s="133">
        <v>0.56000000000000005</v>
      </c>
      <c r="Q62" s="133">
        <v>5.09</v>
      </c>
    </row>
    <row r="63" spans="1:17" customFormat="1">
      <c r="A63" s="111" t="s">
        <v>1444</v>
      </c>
      <c r="B63" s="133">
        <v>6.14</v>
      </c>
      <c r="C63" s="133">
        <v>20.91</v>
      </c>
      <c r="D63" s="133">
        <v>17.2</v>
      </c>
      <c r="E63" s="133">
        <v>7.02</v>
      </c>
      <c r="F63" s="133">
        <v>4.96</v>
      </c>
      <c r="G63" s="133">
        <v>50.16</v>
      </c>
      <c r="H63" s="133">
        <v>19.920000000000002</v>
      </c>
      <c r="I63" s="133">
        <v>8.67</v>
      </c>
      <c r="J63" s="133">
        <v>0.22</v>
      </c>
      <c r="K63" s="133">
        <v>156.51</v>
      </c>
      <c r="L63" s="133">
        <v>33.86</v>
      </c>
      <c r="M63" s="133">
        <v>51.2</v>
      </c>
      <c r="N63" s="133">
        <v>259.10000000000002</v>
      </c>
      <c r="O63" s="133">
        <v>0</v>
      </c>
      <c r="P63" s="133">
        <v>0.56000000000000005</v>
      </c>
      <c r="Q63" s="133">
        <v>5.08</v>
      </c>
    </row>
    <row r="64" spans="1:17" customFormat="1">
      <c r="A64" s="111" t="s">
        <v>1445</v>
      </c>
      <c r="B64" s="133">
        <v>5.96</v>
      </c>
      <c r="C64" s="133">
        <v>20.78</v>
      </c>
      <c r="D64" s="133">
        <v>16.98</v>
      </c>
      <c r="E64" s="133">
        <v>7.19</v>
      </c>
      <c r="F64" s="133">
        <v>6.75</v>
      </c>
      <c r="G64" s="133">
        <v>49.23</v>
      </c>
      <c r="H64" s="133">
        <v>19.760000000000002</v>
      </c>
      <c r="I64" s="133">
        <v>8.18</v>
      </c>
      <c r="J64" s="133">
        <v>0.25</v>
      </c>
      <c r="K64" s="133">
        <v>176.09</v>
      </c>
      <c r="L64" s="133">
        <v>33.32</v>
      </c>
      <c r="M64" s="133">
        <v>51.22</v>
      </c>
      <c r="N64" s="133">
        <v>225.2</v>
      </c>
      <c r="O64" s="133">
        <v>0</v>
      </c>
      <c r="P64" s="133">
        <v>0.55000000000000004</v>
      </c>
      <c r="Q64" s="133">
        <v>5.09</v>
      </c>
    </row>
    <row r="65" spans="1:17" customFormat="1">
      <c r="A65" s="111" t="s">
        <v>1446</v>
      </c>
      <c r="B65" s="133">
        <v>5.78</v>
      </c>
      <c r="C65" s="133">
        <v>20.38</v>
      </c>
      <c r="D65" s="133">
        <v>16.63</v>
      </c>
      <c r="E65" s="133">
        <v>7.42</v>
      </c>
      <c r="F65" s="133">
        <v>8.94</v>
      </c>
      <c r="G65" s="133">
        <v>44.15</v>
      </c>
      <c r="H65" s="133">
        <v>19.079999999999998</v>
      </c>
      <c r="I65" s="133">
        <v>8.16</v>
      </c>
      <c r="J65" s="133">
        <v>0.35</v>
      </c>
      <c r="K65" s="133">
        <v>161.4</v>
      </c>
      <c r="L65" s="133">
        <v>32.69</v>
      </c>
      <c r="M65" s="133">
        <v>52.36</v>
      </c>
      <c r="N65" s="133">
        <v>208.1</v>
      </c>
      <c r="O65" s="133">
        <v>0</v>
      </c>
      <c r="P65" s="133">
        <v>0.54</v>
      </c>
      <c r="Q65" s="133">
        <v>5.08</v>
      </c>
    </row>
    <row r="66" spans="1:17" customFormat="1">
      <c r="A66" s="111" t="s">
        <v>1447</v>
      </c>
      <c r="B66" s="133">
        <v>5.82</v>
      </c>
      <c r="C66" s="133">
        <v>20.46</v>
      </c>
      <c r="D66" s="133">
        <v>16.71</v>
      </c>
      <c r="E66" s="133">
        <v>7.24</v>
      </c>
      <c r="F66" s="133">
        <v>6.33</v>
      </c>
      <c r="G66" s="133">
        <v>44.15</v>
      </c>
      <c r="H66" s="133">
        <v>19.079999999999998</v>
      </c>
      <c r="I66" s="133">
        <v>7.7</v>
      </c>
      <c r="J66" s="133">
        <v>0.3</v>
      </c>
      <c r="K66" s="133">
        <v>167.67</v>
      </c>
      <c r="L66" s="133">
        <v>32.6</v>
      </c>
      <c r="M66" s="133">
        <v>51.96</v>
      </c>
      <c r="N66" s="133">
        <v>211.1</v>
      </c>
      <c r="O66" s="133">
        <v>0</v>
      </c>
      <c r="P66" s="133">
        <v>0.54</v>
      </c>
      <c r="Q66" s="133">
        <v>5.08</v>
      </c>
    </row>
    <row r="67" spans="1:17" customFormat="1">
      <c r="A67" s="111" t="s">
        <v>1448</v>
      </c>
      <c r="B67" s="133">
        <v>5.87</v>
      </c>
      <c r="C67" s="133">
        <v>20.260000000000002</v>
      </c>
      <c r="D67" s="133">
        <v>16.64</v>
      </c>
      <c r="E67" s="133">
        <v>7.46</v>
      </c>
      <c r="F67" s="133">
        <v>5.84</v>
      </c>
      <c r="G67" s="133">
        <v>44.15</v>
      </c>
      <c r="H67" s="133">
        <v>19.079999999999998</v>
      </c>
      <c r="I67" s="133">
        <v>7.5</v>
      </c>
      <c r="J67" s="133">
        <v>0.25</v>
      </c>
      <c r="K67" s="133">
        <v>171.12</v>
      </c>
      <c r="L67" s="133">
        <v>32.49</v>
      </c>
      <c r="M67" s="133">
        <v>52.27</v>
      </c>
      <c r="N67" s="133">
        <v>128.30000000000001</v>
      </c>
      <c r="O67" s="133">
        <v>0</v>
      </c>
      <c r="P67" s="133">
        <v>0.53</v>
      </c>
      <c r="Q67" s="133">
        <v>5.09</v>
      </c>
    </row>
    <row r="68" spans="1:17" customFormat="1">
      <c r="A68" s="111" t="s">
        <v>1449</v>
      </c>
      <c r="B68" s="133">
        <v>5.85</v>
      </c>
      <c r="C68" s="133">
        <v>20.67</v>
      </c>
      <c r="D68" s="133">
        <v>16.84</v>
      </c>
      <c r="E68" s="133">
        <v>7.09</v>
      </c>
      <c r="F68" s="133">
        <v>6.25</v>
      </c>
      <c r="G68" s="133">
        <v>43.76</v>
      </c>
      <c r="H68" s="133">
        <v>18.45</v>
      </c>
      <c r="I68" s="133">
        <v>7.29</v>
      </c>
      <c r="J68" s="133">
        <v>0.22</v>
      </c>
      <c r="K68" s="133">
        <v>175.28</v>
      </c>
      <c r="L68" s="133">
        <v>31.62</v>
      </c>
      <c r="M68" s="133">
        <v>55.69</v>
      </c>
      <c r="N68" s="133">
        <v>103.7</v>
      </c>
      <c r="O68" s="133">
        <v>0</v>
      </c>
      <c r="P68" s="133">
        <v>0.53</v>
      </c>
      <c r="Q68" s="133">
        <v>5.07</v>
      </c>
    </row>
    <row r="69" spans="1:17" customFormat="1">
      <c r="A69" s="111" t="s">
        <v>1450</v>
      </c>
      <c r="B69" s="133">
        <v>6.01</v>
      </c>
      <c r="C69" s="133">
        <v>20.87</v>
      </c>
      <c r="D69" s="133">
        <v>17.07</v>
      </c>
      <c r="E69" s="133">
        <v>7.57</v>
      </c>
      <c r="F69" s="133">
        <v>6.66</v>
      </c>
      <c r="G69" s="133">
        <v>41.65</v>
      </c>
      <c r="H69" s="133">
        <v>15.87</v>
      </c>
      <c r="I69" s="133">
        <v>7.16</v>
      </c>
      <c r="J69" s="133">
        <v>0.15</v>
      </c>
      <c r="K69" s="133">
        <v>216.13</v>
      </c>
      <c r="L69" s="133">
        <v>31.74</v>
      </c>
      <c r="M69" s="133">
        <v>49.86</v>
      </c>
      <c r="N69" s="133">
        <v>115.1</v>
      </c>
      <c r="O69" s="133">
        <v>0</v>
      </c>
      <c r="P69" s="133">
        <v>0.52</v>
      </c>
      <c r="Q69" s="133">
        <v>5.09</v>
      </c>
    </row>
    <row r="70" spans="1:17" customFormat="1">
      <c r="A70" s="111" t="s">
        <v>1451</v>
      </c>
      <c r="B70" s="133">
        <v>5.99</v>
      </c>
      <c r="C70" s="133">
        <v>21.52</v>
      </c>
      <c r="D70" s="133">
        <v>17.399999999999999</v>
      </c>
      <c r="E70" s="133">
        <v>7.85</v>
      </c>
      <c r="F70" s="133">
        <v>7.41</v>
      </c>
      <c r="G70" s="133">
        <v>41.65</v>
      </c>
      <c r="H70" s="133">
        <v>15.87</v>
      </c>
      <c r="I70" s="133">
        <v>6.92</v>
      </c>
      <c r="J70" s="133">
        <v>0.21</v>
      </c>
      <c r="K70" s="133">
        <v>171.73</v>
      </c>
      <c r="L70" s="133">
        <v>31.85</v>
      </c>
      <c r="M70" s="133">
        <v>52.44</v>
      </c>
      <c r="N70" s="133">
        <v>103.3</v>
      </c>
      <c r="O70" s="133">
        <v>0</v>
      </c>
      <c r="P70" s="133">
        <v>0.51</v>
      </c>
      <c r="Q70" s="133">
        <v>5.13</v>
      </c>
    </row>
    <row r="71" spans="1:17" customFormat="1">
      <c r="A71" s="111" t="s">
        <v>1452</v>
      </c>
      <c r="B71" s="133">
        <v>5.96</v>
      </c>
      <c r="C71" s="133">
        <v>21.2</v>
      </c>
      <c r="D71" s="133">
        <v>17.21</v>
      </c>
      <c r="E71" s="133">
        <v>8.09</v>
      </c>
      <c r="F71" s="133">
        <v>7.44</v>
      </c>
      <c r="G71" s="133">
        <v>41.65</v>
      </c>
      <c r="H71" s="133">
        <v>15.87</v>
      </c>
      <c r="I71" s="133">
        <v>6.76</v>
      </c>
      <c r="J71" s="133">
        <v>0.24</v>
      </c>
      <c r="K71" s="133">
        <v>164.56</v>
      </c>
      <c r="L71" s="133">
        <v>31.78</v>
      </c>
      <c r="M71" s="133">
        <v>55.32</v>
      </c>
      <c r="N71" s="133">
        <v>109.1</v>
      </c>
      <c r="O71" s="133">
        <v>0</v>
      </c>
      <c r="P71" s="133">
        <v>0.5</v>
      </c>
      <c r="Q71" s="133">
        <v>5.14</v>
      </c>
    </row>
    <row r="72" spans="1:17" customFormat="1">
      <c r="A72" s="111" t="s">
        <v>1453</v>
      </c>
      <c r="B72" s="133">
        <v>5.88</v>
      </c>
      <c r="C72" s="133">
        <v>21.04</v>
      </c>
      <c r="D72" s="133">
        <v>17.059999999999999</v>
      </c>
      <c r="E72" s="133">
        <v>8.14</v>
      </c>
      <c r="F72" s="133">
        <v>9.23</v>
      </c>
      <c r="G72" s="133">
        <v>41.57</v>
      </c>
      <c r="H72" s="133">
        <v>15.6</v>
      </c>
      <c r="I72" s="133">
        <v>6.65</v>
      </c>
      <c r="J72" s="133">
        <v>0.25</v>
      </c>
      <c r="K72" s="133">
        <v>159.72</v>
      </c>
      <c r="L72" s="133">
        <v>31.68</v>
      </c>
      <c r="M72" s="133">
        <v>57.19</v>
      </c>
      <c r="N72" s="133">
        <v>80.7</v>
      </c>
      <c r="O72" s="133">
        <v>0</v>
      </c>
      <c r="P72" s="133">
        <v>0.5</v>
      </c>
      <c r="Q72" s="133">
        <v>5.16</v>
      </c>
    </row>
    <row r="73" spans="1:17" customFormat="1">
      <c r="A73" s="111" t="s">
        <v>1454</v>
      </c>
      <c r="B73" s="133">
        <v>5.99</v>
      </c>
      <c r="C73" s="133">
        <v>21.51</v>
      </c>
      <c r="D73" s="133">
        <v>17.39</v>
      </c>
      <c r="E73" s="133">
        <v>8.0299999999999994</v>
      </c>
      <c r="F73" s="133">
        <v>6.87</v>
      </c>
      <c r="G73" s="133">
        <v>41.14</v>
      </c>
      <c r="H73" s="133">
        <v>14.49</v>
      </c>
      <c r="I73" s="133">
        <v>6.43</v>
      </c>
      <c r="J73" s="133">
        <v>0.32</v>
      </c>
      <c r="K73" s="133">
        <v>30.83</v>
      </c>
      <c r="L73" s="133">
        <v>31.56</v>
      </c>
      <c r="M73" s="133">
        <v>53.05</v>
      </c>
      <c r="N73" s="133">
        <v>64.2</v>
      </c>
      <c r="O73" s="133">
        <v>0</v>
      </c>
      <c r="P73" s="133">
        <v>0.5</v>
      </c>
      <c r="Q73" s="133">
        <v>5.15</v>
      </c>
    </row>
    <row r="74" spans="1:17" customFormat="1">
      <c r="A74" s="111" t="s">
        <v>1455</v>
      </c>
      <c r="B74" s="133">
        <v>6.45</v>
      </c>
      <c r="C74" s="133">
        <v>22.63</v>
      </c>
      <c r="D74" s="133">
        <v>18.350000000000001</v>
      </c>
      <c r="E74" s="133">
        <v>9.2200000000000006</v>
      </c>
      <c r="F74" s="133">
        <v>7.88</v>
      </c>
      <c r="G74" s="133">
        <v>41.14</v>
      </c>
      <c r="H74" s="133">
        <v>14.49</v>
      </c>
      <c r="I74" s="133">
        <v>6.24</v>
      </c>
      <c r="J74" s="133">
        <v>0.4</v>
      </c>
      <c r="K74" s="133">
        <v>39.96</v>
      </c>
      <c r="L74" s="133">
        <v>30.72</v>
      </c>
      <c r="M74" s="133">
        <v>57.35</v>
      </c>
      <c r="N74" s="133">
        <v>30.1</v>
      </c>
      <c r="O74" s="133">
        <v>0</v>
      </c>
      <c r="P74" s="133">
        <v>0.55000000000000004</v>
      </c>
      <c r="Q74" s="133">
        <v>5.15</v>
      </c>
    </row>
    <row r="75" spans="1:17" customFormat="1">
      <c r="A75" s="111" t="s">
        <v>1456</v>
      </c>
      <c r="B75" s="133">
        <v>6.88</v>
      </c>
      <c r="C75" s="133">
        <v>24.75</v>
      </c>
      <c r="D75" s="133">
        <v>19.809999999999999</v>
      </c>
      <c r="E75" s="133">
        <v>9.69</v>
      </c>
      <c r="F75" s="133">
        <v>6.78</v>
      </c>
      <c r="G75" s="133">
        <v>41.14</v>
      </c>
      <c r="H75" s="133">
        <v>14.49</v>
      </c>
      <c r="I75" s="133">
        <v>6.22</v>
      </c>
      <c r="J75" s="133">
        <v>0.19</v>
      </c>
      <c r="K75" s="133">
        <v>57.04</v>
      </c>
      <c r="L75" s="133">
        <v>30.48</v>
      </c>
      <c r="M75" s="133">
        <v>58.53</v>
      </c>
      <c r="N75" s="133">
        <v>28.8</v>
      </c>
      <c r="O75" s="133">
        <v>0</v>
      </c>
      <c r="P75" s="133">
        <v>0.56000000000000005</v>
      </c>
      <c r="Q75" s="133">
        <v>5.2</v>
      </c>
    </row>
    <row r="76" spans="1:17" customFormat="1">
      <c r="A76" s="111" t="s">
        <v>1457</v>
      </c>
      <c r="B76" s="133">
        <v>6.88</v>
      </c>
      <c r="C76" s="133">
        <v>25.26</v>
      </c>
      <c r="D76" s="133">
        <v>20.059999999999999</v>
      </c>
      <c r="E76" s="133">
        <v>9.11</v>
      </c>
      <c r="F76" s="133">
        <v>5.59</v>
      </c>
      <c r="G76" s="133">
        <v>43.76</v>
      </c>
      <c r="H76" s="133">
        <v>15.79</v>
      </c>
      <c r="I76" s="133">
        <v>6.17</v>
      </c>
      <c r="J76" s="133">
        <v>0.26</v>
      </c>
      <c r="K76" s="133">
        <v>159.13999999999999</v>
      </c>
      <c r="L76" s="133">
        <v>30.55</v>
      </c>
      <c r="M76" s="133">
        <v>60.66</v>
      </c>
      <c r="N76" s="133">
        <v>23.6</v>
      </c>
      <c r="O76" s="133">
        <v>0</v>
      </c>
      <c r="P76" s="133">
        <v>0.56000000000000005</v>
      </c>
      <c r="Q76" s="133">
        <v>5.25</v>
      </c>
    </row>
    <row r="77" spans="1:17" customFormat="1">
      <c r="A77" s="111" t="s">
        <v>1458</v>
      </c>
      <c r="B77" s="133">
        <v>6.85</v>
      </c>
      <c r="C77" s="133">
        <v>25.45</v>
      </c>
      <c r="D77" s="133">
        <v>20.149999999999999</v>
      </c>
      <c r="E77" s="133">
        <v>9.4600000000000009</v>
      </c>
      <c r="F77" s="133">
        <v>8.11</v>
      </c>
      <c r="G77" s="133">
        <v>57.97</v>
      </c>
      <c r="H77" s="133">
        <v>21.1</v>
      </c>
      <c r="I77" s="133">
        <v>6.26</v>
      </c>
      <c r="J77" s="133">
        <v>0.21</v>
      </c>
      <c r="K77" s="133">
        <v>171.25</v>
      </c>
      <c r="L77" s="133">
        <v>30.21</v>
      </c>
      <c r="M77" s="133">
        <v>61.94</v>
      </c>
      <c r="N77" s="133">
        <v>10.9</v>
      </c>
      <c r="O77" s="133">
        <v>0</v>
      </c>
      <c r="P77" s="133">
        <v>0.56999999999999995</v>
      </c>
      <c r="Q77" s="133">
        <v>5.26</v>
      </c>
    </row>
    <row r="78" spans="1:17" customFormat="1">
      <c r="A78" s="111" t="s">
        <v>1459</v>
      </c>
      <c r="B78" s="133">
        <v>7</v>
      </c>
      <c r="C78" s="133">
        <v>25.69</v>
      </c>
      <c r="D78" s="133">
        <v>20.38</v>
      </c>
      <c r="E78" s="133">
        <v>9.0500000000000007</v>
      </c>
      <c r="F78" s="133">
        <v>5.32</v>
      </c>
      <c r="G78" s="133">
        <v>57.97</v>
      </c>
      <c r="H78" s="133">
        <v>21.1</v>
      </c>
      <c r="I78" s="133">
        <v>6.32</v>
      </c>
      <c r="J78" s="133">
        <v>0.24</v>
      </c>
      <c r="K78" s="133">
        <v>161.07</v>
      </c>
      <c r="L78" s="133">
        <v>29.67</v>
      </c>
      <c r="M78" s="133">
        <v>64.28</v>
      </c>
      <c r="N78" s="133">
        <v>0.3</v>
      </c>
      <c r="O78" s="133">
        <v>0</v>
      </c>
      <c r="P78" s="133">
        <v>0.57999999999999996</v>
      </c>
      <c r="Q78" s="133">
        <v>5.32</v>
      </c>
    </row>
    <row r="79" spans="1:17" customFormat="1">
      <c r="A79" s="111" t="s">
        <v>1460</v>
      </c>
      <c r="B79" s="133">
        <v>7.03</v>
      </c>
      <c r="C79" s="133">
        <v>25.99</v>
      </c>
      <c r="D79" s="133">
        <v>20.57</v>
      </c>
      <c r="E79" s="133">
        <v>9.06</v>
      </c>
      <c r="F79" s="133">
        <v>5.36</v>
      </c>
      <c r="G79" s="133">
        <v>57.97</v>
      </c>
      <c r="H79" s="133">
        <v>21.1</v>
      </c>
      <c r="I79" s="133">
        <v>6.31</v>
      </c>
      <c r="J79" s="133">
        <v>0.24</v>
      </c>
      <c r="K79" s="133">
        <v>168.26</v>
      </c>
      <c r="L79" s="133">
        <v>29.1</v>
      </c>
      <c r="M79" s="133">
        <v>69.45</v>
      </c>
      <c r="N79" s="133">
        <v>0</v>
      </c>
      <c r="O79" s="133">
        <v>0</v>
      </c>
      <c r="P79" s="133">
        <v>0.6</v>
      </c>
      <c r="Q79" s="133">
        <v>5.28</v>
      </c>
    </row>
    <row r="80" spans="1:17" customFormat="1">
      <c r="A80" s="111" t="s">
        <v>1461</v>
      </c>
      <c r="B80" s="133">
        <v>7.13</v>
      </c>
      <c r="C80" s="133">
        <v>25.96</v>
      </c>
      <c r="D80" s="133">
        <v>20.63</v>
      </c>
      <c r="E80" s="133">
        <v>8.58</v>
      </c>
      <c r="F80" s="133">
        <v>4.05</v>
      </c>
      <c r="G80" s="133">
        <v>61.06</v>
      </c>
      <c r="H80" s="133">
        <v>21.15</v>
      </c>
      <c r="I80" s="133">
        <v>6.37</v>
      </c>
      <c r="J80" s="133">
        <v>0.18</v>
      </c>
      <c r="K80" s="133">
        <v>164.36</v>
      </c>
      <c r="L80" s="133">
        <v>28.4</v>
      </c>
      <c r="M80" s="133">
        <v>71.17</v>
      </c>
      <c r="N80" s="133">
        <v>0</v>
      </c>
      <c r="O80" s="133">
        <v>0</v>
      </c>
      <c r="P80" s="133">
        <v>0.61</v>
      </c>
      <c r="Q80" s="133">
        <v>5.27</v>
      </c>
    </row>
    <row r="81" spans="1:17" customFormat="1">
      <c r="A81" s="111" t="s">
        <v>1462</v>
      </c>
      <c r="B81" s="133">
        <v>7.3</v>
      </c>
      <c r="C81" s="133">
        <v>25.78</v>
      </c>
      <c r="D81" s="133">
        <v>20.67</v>
      </c>
      <c r="E81" s="133">
        <v>5.91</v>
      </c>
      <c r="F81" s="133">
        <v>3.82</v>
      </c>
      <c r="G81" s="133">
        <v>77.83</v>
      </c>
      <c r="H81" s="133">
        <v>21.37</v>
      </c>
      <c r="I81" s="133">
        <v>6.4</v>
      </c>
      <c r="J81" s="133">
        <v>0.17</v>
      </c>
      <c r="K81" s="133">
        <v>157.06</v>
      </c>
      <c r="L81" s="133">
        <v>28.25</v>
      </c>
      <c r="M81" s="133">
        <v>75.25</v>
      </c>
      <c r="N81" s="133">
        <v>0</v>
      </c>
      <c r="O81" s="133">
        <v>0</v>
      </c>
      <c r="P81" s="133">
        <v>0.61</v>
      </c>
      <c r="Q81" s="133">
        <v>5.31</v>
      </c>
    </row>
    <row r="82" spans="1:17" customFormat="1">
      <c r="A82" s="111" t="s">
        <v>1463</v>
      </c>
      <c r="B82" s="133">
        <v>7.58</v>
      </c>
      <c r="C82" s="133">
        <v>23.8</v>
      </c>
      <c r="D82" s="133">
        <v>19.87</v>
      </c>
      <c r="E82" s="133">
        <v>7.21</v>
      </c>
      <c r="F82" s="133">
        <v>4.9400000000000004</v>
      </c>
      <c r="G82" s="133">
        <v>77.83</v>
      </c>
      <c r="H82" s="133">
        <v>21.37</v>
      </c>
      <c r="I82" s="133">
        <v>6.43</v>
      </c>
      <c r="J82" s="133">
        <v>0.14000000000000001</v>
      </c>
      <c r="K82" s="133">
        <v>174.8</v>
      </c>
      <c r="L82" s="133">
        <v>27.83</v>
      </c>
      <c r="M82" s="133">
        <v>75.48</v>
      </c>
      <c r="N82" s="133">
        <v>0</v>
      </c>
      <c r="O82" s="133">
        <v>0</v>
      </c>
      <c r="P82" s="133">
        <v>0.62</v>
      </c>
      <c r="Q82" s="133">
        <v>5.29</v>
      </c>
    </row>
    <row r="83" spans="1:17" customFormat="1">
      <c r="A83" s="111" t="s">
        <v>1464</v>
      </c>
      <c r="B83" s="133">
        <v>7.7</v>
      </c>
      <c r="C83" s="133">
        <v>23.23</v>
      </c>
      <c r="D83" s="133">
        <v>19.66</v>
      </c>
      <c r="E83" s="133">
        <v>8.01</v>
      </c>
      <c r="F83" s="133">
        <v>5.48</v>
      </c>
      <c r="G83" s="133">
        <v>77.83</v>
      </c>
      <c r="H83" s="133">
        <v>21.37</v>
      </c>
      <c r="I83" s="133">
        <v>6.41</v>
      </c>
      <c r="J83" s="133">
        <v>0.2</v>
      </c>
      <c r="K83" s="133">
        <v>200.23</v>
      </c>
      <c r="L83" s="133">
        <v>27.78</v>
      </c>
      <c r="M83" s="133">
        <v>72.63</v>
      </c>
      <c r="N83" s="133">
        <v>0</v>
      </c>
      <c r="O83" s="133">
        <v>0</v>
      </c>
      <c r="P83" s="133">
        <v>0.66</v>
      </c>
      <c r="Q83" s="133">
        <v>5.27</v>
      </c>
    </row>
    <row r="84" spans="1:17" customFormat="1">
      <c r="A84" s="111" t="s">
        <v>1465</v>
      </c>
      <c r="B84" s="133">
        <v>7.75</v>
      </c>
      <c r="C84" s="133">
        <v>22.01</v>
      </c>
      <c r="D84" s="133">
        <v>19.07</v>
      </c>
      <c r="E84" s="133">
        <v>7.79</v>
      </c>
      <c r="F84" s="133">
        <v>6.32</v>
      </c>
      <c r="G84" s="133">
        <v>77.69</v>
      </c>
      <c r="H84" s="133">
        <v>21.51</v>
      </c>
      <c r="I84" s="133">
        <v>6.46</v>
      </c>
      <c r="J84" s="133">
        <v>0.15</v>
      </c>
      <c r="K84" s="133">
        <v>198.8</v>
      </c>
      <c r="L84" s="133">
        <v>27.53</v>
      </c>
      <c r="M84" s="133">
        <v>76.680000000000007</v>
      </c>
      <c r="N84" s="133">
        <v>0</v>
      </c>
      <c r="O84" s="133">
        <v>0</v>
      </c>
      <c r="P84" s="133">
        <v>0.66</v>
      </c>
      <c r="Q84" s="133">
        <v>5.23</v>
      </c>
    </row>
    <row r="85" spans="1:17" customFormat="1">
      <c r="A85" s="111" t="s">
        <v>1466</v>
      </c>
      <c r="B85" s="133">
        <v>7.64</v>
      </c>
      <c r="C85" s="133">
        <v>21.19</v>
      </c>
      <c r="D85" s="133">
        <v>18.55</v>
      </c>
      <c r="E85" s="133">
        <v>8.48</v>
      </c>
      <c r="F85" s="133">
        <v>8.0500000000000007</v>
      </c>
      <c r="G85" s="133">
        <v>76.95</v>
      </c>
      <c r="H85" s="133">
        <v>22.33</v>
      </c>
      <c r="I85" s="133">
        <v>6.57</v>
      </c>
      <c r="J85" s="133">
        <v>0.13</v>
      </c>
      <c r="K85" s="133">
        <v>188.11</v>
      </c>
      <c r="L85" s="133">
        <v>27.45</v>
      </c>
      <c r="M85" s="133">
        <v>77.260000000000005</v>
      </c>
      <c r="N85" s="133">
        <v>0</v>
      </c>
      <c r="O85" s="133">
        <v>0</v>
      </c>
      <c r="P85" s="133">
        <v>0.69</v>
      </c>
      <c r="Q85" s="133">
        <v>5.21</v>
      </c>
    </row>
    <row r="86" spans="1:17" customFormat="1">
      <c r="A86" s="111" t="s">
        <v>1467</v>
      </c>
      <c r="B86" s="133">
        <v>7.81</v>
      </c>
      <c r="C86" s="133">
        <v>21.7</v>
      </c>
      <c r="D86" s="133">
        <v>18.95</v>
      </c>
      <c r="E86" s="133">
        <v>7.83</v>
      </c>
      <c r="F86" s="133">
        <v>7.52</v>
      </c>
      <c r="G86" s="133">
        <v>76.95</v>
      </c>
      <c r="H86" s="133">
        <v>22.33</v>
      </c>
      <c r="I86" s="133">
        <v>6.54</v>
      </c>
      <c r="J86" s="133">
        <v>0.17</v>
      </c>
      <c r="K86" s="133">
        <v>170.63</v>
      </c>
      <c r="L86" s="133">
        <v>27.5</v>
      </c>
      <c r="M86" s="133">
        <v>77.45</v>
      </c>
      <c r="N86" s="133">
        <v>0</v>
      </c>
      <c r="O86" s="133">
        <v>0</v>
      </c>
      <c r="P86" s="133">
        <v>0.67</v>
      </c>
      <c r="Q86" s="133">
        <v>5.21</v>
      </c>
    </row>
    <row r="87" spans="1:17" customFormat="1">
      <c r="A87" s="111" t="s">
        <v>1468</v>
      </c>
      <c r="B87" s="133">
        <v>7.84</v>
      </c>
      <c r="C87" s="133">
        <v>20.67</v>
      </c>
      <c r="D87" s="133">
        <v>18.440000000000001</v>
      </c>
      <c r="E87" s="133">
        <v>6.92</v>
      </c>
      <c r="F87" s="133">
        <v>6.55</v>
      </c>
      <c r="G87" s="133">
        <v>76.95</v>
      </c>
      <c r="H87" s="133">
        <v>22.33</v>
      </c>
      <c r="I87" s="133">
        <v>6.44</v>
      </c>
      <c r="J87" s="133">
        <v>0.15</v>
      </c>
      <c r="K87" s="133">
        <v>197.95</v>
      </c>
      <c r="L87" s="133">
        <v>27.16</v>
      </c>
      <c r="M87" s="133">
        <v>82.09</v>
      </c>
      <c r="N87" s="133">
        <v>0</v>
      </c>
      <c r="O87" s="133">
        <v>0</v>
      </c>
      <c r="P87" s="133">
        <v>0.69</v>
      </c>
      <c r="Q87" s="133">
        <v>5.21</v>
      </c>
    </row>
    <row r="88" spans="1:17" customFormat="1">
      <c r="A88" s="111" t="s">
        <v>1469</v>
      </c>
      <c r="B88" s="133">
        <v>8.14</v>
      </c>
      <c r="C88" s="133">
        <v>20.11</v>
      </c>
      <c r="D88" s="133">
        <v>18.39</v>
      </c>
      <c r="E88" s="133">
        <v>7.52</v>
      </c>
      <c r="F88" s="133">
        <v>7.02</v>
      </c>
      <c r="G88" s="133">
        <v>77.430000000000007</v>
      </c>
      <c r="H88" s="133">
        <v>22.74</v>
      </c>
      <c r="I88" s="133">
        <v>6.52</v>
      </c>
      <c r="J88" s="133">
        <v>0.16</v>
      </c>
      <c r="K88" s="133">
        <v>170.23</v>
      </c>
      <c r="L88" s="133">
        <v>26.96</v>
      </c>
      <c r="M88" s="133">
        <v>81.5</v>
      </c>
      <c r="N88" s="133">
        <v>0</v>
      </c>
      <c r="O88" s="133">
        <v>0</v>
      </c>
      <c r="P88" s="133">
        <v>0.69</v>
      </c>
      <c r="Q88" s="133">
        <v>5.22</v>
      </c>
    </row>
    <row r="89" spans="1:17" customFormat="1">
      <c r="A89" s="111" t="s">
        <v>1470</v>
      </c>
      <c r="B89" s="133">
        <v>8.18</v>
      </c>
      <c r="C89" s="133">
        <v>19.55</v>
      </c>
      <c r="D89" s="133">
        <v>18.12</v>
      </c>
      <c r="E89" s="133">
        <v>6.74</v>
      </c>
      <c r="F89" s="133">
        <v>7.04</v>
      </c>
      <c r="G89" s="133">
        <v>80.06</v>
      </c>
      <c r="H89" s="133">
        <v>24.39</v>
      </c>
      <c r="I89" s="133">
        <v>6.51</v>
      </c>
      <c r="J89" s="133">
        <v>0.09</v>
      </c>
      <c r="K89" s="133">
        <v>191.72</v>
      </c>
      <c r="L89" s="133">
        <v>26.72</v>
      </c>
      <c r="M89" s="133">
        <v>83.36</v>
      </c>
      <c r="N89" s="133">
        <v>0</v>
      </c>
      <c r="O89" s="133">
        <v>0</v>
      </c>
      <c r="P89" s="133">
        <v>0.69</v>
      </c>
      <c r="Q89" s="133">
        <v>5.23</v>
      </c>
    </row>
    <row r="90" spans="1:17" customFormat="1">
      <c r="A90" s="111" t="s">
        <v>1471</v>
      </c>
      <c r="B90" s="133">
        <v>8.5399999999999991</v>
      </c>
      <c r="C90" s="133">
        <v>19.420000000000002</v>
      </c>
      <c r="D90" s="133">
        <v>18.350000000000001</v>
      </c>
      <c r="E90" s="133">
        <v>6.39</v>
      </c>
      <c r="F90" s="133">
        <v>5.52</v>
      </c>
      <c r="G90" s="133">
        <v>80.06</v>
      </c>
      <c r="H90" s="133">
        <v>24.39</v>
      </c>
      <c r="I90" s="133">
        <v>6.58</v>
      </c>
      <c r="J90" s="133">
        <v>0.15</v>
      </c>
      <c r="K90" s="133">
        <v>153.59</v>
      </c>
      <c r="L90" s="133">
        <v>26.61</v>
      </c>
      <c r="M90" s="133">
        <v>84.91</v>
      </c>
      <c r="N90" s="133">
        <v>0</v>
      </c>
      <c r="O90" s="133">
        <v>0</v>
      </c>
      <c r="P90" s="133">
        <v>0.66</v>
      </c>
      <c r="Q90" s="133">
        <v>5.21</v>
      </c>
    </row>
    <row r="91" spans="1:17" customFormat="1">
      <c r="A91" s="111" t="s">
        <v>1472</v>
      </c>
      <c r="B91" s="133">
        <v>9.06</v>
      </c>
      <c r="C91" s="133">
        <v>21.25</v>
      </c>
      <c r="D91" s="133">
        <v>19.72</v>
      </c>
      <c r="E91" s="133">
        <v>6.43</v>
      </c>
      <c r="F91" s="133">
        <v>4.38</v>
      </c>
      <c r="G91" s="133">
        <v>80.06</v>
      </c>
      <c r="H91" s="133">
        <v>24.39</v>
      </c>
      <c r="I91" s="133">
        <v>6.63</v>
      </c>
      <c r="J91" s="133">
        <v>0.16</v>
      </c>
      <c r="K91" s="133">
        <v>180</v>
      </c>
      <c r="L91" s="133">
        <v>26.44</v>
      </c>
      <c r="M91" s="133">
        <v>80.91</v>
      </c>
      <c r="N91" s="133">
        <v>0</v>
      </c>
      <c r="O91" s="133">
        <v>0</v>
      </c>
      <c r="P91" s="133">
        <v>0.7</v>
      </c>
      <c r="Q91" s="133">
        <v>5.21</v>
      </c>
    </row>
    <row r="92" spans="1:17" customFormat="1">
      <c r="A92" s="111" t="s">
        <v>1473</v>
      </c>
      <c r="B92" s="133">
        <v>9.23</v>
      </c>
      <c r="C92" s="133">
        <v>20.46</v>
      </c>
      <c r="D92" s="133">
        <v>19.440000000000001</v>
      </c>
      <c r="E92" s="133">
        <v>6.58</v>
      </c>
      <c r="F92" s="133">
        <v>5.89</v>
      </c>
      <c r="G92" s="133">
        <v>80.52</v>
      </c>
      <c r="H92" s="133">
        <v>24.69</v>
      </c>
      <c r="I92" s="133">
        <v>6.73</v>
      </c>
      <c r="J92" s="133">
        <v>0.13</v>
      </c>
      <c r="K92" s="133">
        <v>205.73</v>
      </c>
      <c r="L92" s="133">
        <v>26.49</v>
      </c>
      <c r="M92" s="133">
        <v>79</v>
      </c>
      <c r="N92" s="133">
        <v>0</v>
      </c>
      <c r="O92" s="133">
        <v>0</v>
      </c>
      <c r="P92" s="133">
        <v>0.72</v>
      </c>
      <c r="Q92" s="133">
        <v>5.26</v>
      </c>
    </row>
    <row r="93" spans="1:17" customFormat="1">
      <c r="A93" s="111" t="s">
        <v>1474</v>
      </c>
      <c r="B93" s="133">
        <v>9.25</v>
      </c>
      <c r="C93" s="133">
        <v>19.38</v>
      </c>
      <c r="D93" s="133">
        <v>18.899999999999999</v>
      </c>
      <c r="E93" s="133">
        <v>6.5</v>
      </c>
      <c r="F93" s="133">
        <v>6.43</v>
      </c>
      <c r="G93" s="133">
        <v>83.01</v>
      </c>
      <c r="H93" s="133">
        <v>25.88</v>
      </c>
      <c r="I93" s="133">
        <v>6.89</v>
      </c>
      <c r="J93" s="133">
        <v>0.23</v>
      </c>
      <c r="K93" s="133">
        <v>176.27</v>
      </c>
      <c r="L93" s="133">
        <v>26.33</v>
      </c>
      <c r="M93" s="133">
        <v>85.8</v>
      </c>
      <c r="N93" s="133">
        <v>0</v>
      </c>
      <c r="O93" s="133">
        <v>0</v>
      </c>
      <c r="P93" s="133">
        <v>0.72</v>
      </c>
      <c r="Q93" s="133">
        <v>5.27</v>
      </c>
    </row>
    <row r="94" spans="1:17" customFormat="1">
      <c r="A94" s="111" t="s">
        <v>1475</v>
      </c>
      <c r="B94" s="133">
        <v>9.6999999999999993</v>
      </c>
      <c r="C94" s="133">
        <v>19.170000000000002</v>
      </c>
      <c r="D94" s="133">
        <v>19.149999999999999</v>
      </c>
      <c r="E94" s="133">
        <v>6.02</v>
      </c>
      <c r="F94" s="133">
        <v>4.76</v>
      </c>
      <c r="G94" s="133">
        <v>83.01</v>
      </c>
      <c r="H94" s="133">
        <v>25.88</v>
      </c>
      <c r="I94" s="133">
        <v>6.93</v>
      </c>
      <c r="J94" s="133">
        <v>0.18</v>
      </c>
      <c r="K94" s="133">
        <v>188.69</v>
      </c>
      <c r="L94" s="133">
        <v>26.24</v>
      </c>
      <c r="M94" s="133">
        <v>84.89</v>
      </c>
      <c r="N94" s="133">
        <v>0</v>
      </c>
      <c r="O94" s="133">
        <v>0</v>
      </c>
      <c r="P94" s="133">
        <v>0.7</v>
      </c>
      <c r="Q94" s="133">
        <v>5.3</v>
      </c>
    </row>
    <row r="95" spans="1:17" customFormat="1">
      <c r="A95" s="111" t="s">
        <v>1476</v>
      </c>
      <c r="B95" s="133">
        <v>9.3699999999999992</v>
      </c>
      <c r="C95" s="133">
        <v>18.559999999999999</v>
      </c>
      <c r="D95" s="133">
        <v>18.559999999999999</v>
      </c>
      <c r="E95" s="133">
        <v>6.01</v>
      </c>
      <c r="F95" s="133">
        <v>4.78</v>
      </c>
      <c r="G95" s="133">
        <v>83.01</v>
      </c>
      <c r="H95" s="133">
        <v>25.88</v>
      </c>
      <c r="I95" s="133">
        <v>6.96</v>
      </c>
      <c r="J95" s="133">
        <v>0.14000000000000001</v>
      </c>
      <c r="K95" s="133">
        <v>183</v>
      </c>
      <c r="L95" s="133">
        <v>26.05</v>
      </c>
      <c r="M95" s="133">
        <v>85.46</v>
      </c>
      <c r="N95" s="133">
        <v>0</v>
      </c>
      <c r="O95" s="133">
        <v>0</v>
      </c>
      <c r="P95" s="133">
        <v>0.73</v>
      </c>
      <c r="Q95" s="133">
        <v>5.29</v>
      </c>
    </row>
    <row r="96" spans="1:17" customFormat="1">
      <c r="A96" s="111" t="s">
        <v>1477</v>
      </c>
      <c r="B96" s="133">
        <v>9.5399999999999991</v>
      </c>
      <c r="C96" s="133">
        <v>18.649999999999999</v>
      </c>
      <c r="D96" s="133">
        <v>18.739999999999998</v>
      </c>
      <c r="E96" s="133">
        <v>5.81</v>
      </c>
      <c r="F96" s="133">
        <v>4.37</v>
      </c>
      <c r="G96" s="133">
        <v>83.53</v>
      </c>
      <c r="H96" s="133">
        <v>26.09</v>
      </c>
      <c r="I96" s="133">
        <v>7.04</v>
      </c>
      <c r="J96" s="133">
        <v>0.11</v>
      </c>
      <c r="K96" s="133">
        <v>223.6</v>
      </c>
      <c r="L96" s="133">
        <v>25.84</v>
      </c>
      <c r="M96" s="133">
        <v>88.54</v>
      </c>
      <c r="N96" s="133">
        <v>0</v>
      </c>
      <c r="O96" s="133">
        <v>0</v>
      </c>
      <c r="P96" s="133">
        <v>0.73</v>
      </c>
      <c r="Q96" s="133">
        <v>5.28</v>
      </c>
    </row>
    <row r="97" spans="1:22" customFormat="1">
      <c r="A97" s="111" t="s">
        <v>1478</v>
      </c>
      <c r="B97" s="133">
        <v>10.26</v>
      </c>
      <c r="C97" s="133">
        <v>21.12</v>
      </c>
      <c r="D97" s="133">
        <v>20.61</v>
      </c>
      <c r="E97" s="133">
        <v>6.1</v>
      </c>
      <c r="F97" s="133">
        <v>2.9</v>
      </c>
      <c r="G97" s="133">
        <v>86.35</v>
      </c>
      <c r="H97" s="133">
        <v>26.87</v>
      </c>
      <c r="I97" s="133">
        <v>7.1</v>
      </c>
      <c r="J97" s="133">
        <v>0.14000000000000001</v>
      </c>
      <c r="K97" s="133">
        <v>229.55</v>
      </c>
      <c r="L97" s="133">
        <v>25.72</v>
      </c>
      <c r="M97" s="133">
        <v>87.34</v>
      </c>
      <c r="N97" s="133">
        <v>0</v>
      </c>
      <c r="O97" s="133">
        <v>0</v>
      </c>
      <c r="P97" s="133">
        <v>0.74</v>
      </c>
      <c r="Q97" s="133">
        <v>5.28</v>
      </c>
    </row>
    <row r="98" spans="1:22" customFormat="1">
      <c r="A98" s="111" t="s">
        <v>1479</v>
      </c>
      <c r="B98" s="133">
        <v>10.72</v>
      </c>
      <c r="C98" s="133">
        <v>21.54</v>
      </c>
      <c r="D98" s="133">
        <v>21.2</v>
      </c>
      <c r="E98" s="133">
        <v>6.06</v>
      </c>
      <c r="F98" s="133">
        <v>2.85</v>
      </c>
      <c r="G98" s="133">
        <v>86.35</v>
      </c>
      <c r="H98" s="133">
        <v>26.87</v>
      </c>
      <c r="I98" s="133">
        <v>7.18</v>
      </c>
      <c r="J98" s="133">
        <v>0.13</v>
      </c>
      <c r="K98" s="133">
        <v>224.77</v>
      </c>
      <c r="L98" s="133">
        <v>25.57</v>
      </c>
      <c r="M98" s="133">
        <v>88.4</v>
      </c>
      <c r="N98" s="133">
        <v>0</v>
      </c>
      <c r="O98" s="133">
        <v>0</v>
      </c>
      <c r="P98" s="133">
        <v>0.77</v>
      </c>
      <c r="Q98" s="133">
        <v>5.36</v>
      </c>
    </row>
    <row r="99" spans="1:22" customFormat="1">
      <c r="A99" s="111" t="s">
        <v>1480</v>
      </c>
      <c r="B99" s="133">
        <v>11.07</v>
      </c>
      <c r="C99" s="133">
        <v>20.54</v>
      </c>
      <c r="D99" s="133">
        <v>20.96</v>
      </c>
      <c r="E99" s="133">
        <v>6.33</v>
      </c>
      <c r="F99" s="133">
        <v>3.19</v>
      </c>
      <c r="G99" s="133">
        <v>86.35</v>
      </c>
      <c r="H99" s="133">
        <v>26.87</v>
      </c>
      <c r="I99" s="133">
        <v>7.27</v>
      </c>
      <c r="J99" s="133">
        <v>0.13</v>
      </c>
      <c r="K99" s="133">
        <v>221.07</v>
      </c>
      <c r="L99" s="133">
        <v>25.42</v>
      </c>
      <c r="M99" s="133">
        <v>91.6</v>
      </c>
      <c r="N99" s="133">
        <v>0</v>
      </c>
      <c r="O99" s="133">
        <v>0</v>
      </c>
      <c r="P99" s="133">
        <v>0.77</v>
      </c>
      <c r="Q99" s="133">
        <v>5.38</v>
      </c>
    </row>
    <row r="100" spans="1:22" customFormat="1">
      <c r="A100" s="111" t="s">
        <v>1481</v>
      </c>
      <c r="B100" s="133">
        <v>11.07</v>
      </c>
      <c r="C100" s="133">
        <v>20.62</v>
      </c>
      <c r="D100" s="133">
        <v>21</v>
      </c>
      <c r="E100" s="133">
        <v>5.56</v>
      </c>
      <c r="F100" s="133">
        <v>3.05</v>
      </c>
      <c r="G100" s="133">
        <v>86.15</v>
      </c>
      <c r="H100" s="133">
        <v>26.81</v>
      </c>
      <c r="I100" s="133">
        <v>7.38</v>
      </c>
      <c r="J100" s="133">
        <v>0.14000000000000001</v>
      </c>
      <c r="K100" s="133">
        <v>154.76</v>
      </c>
      <c r="L100" s="133">
        <v>25.47</v>
      </c>
      <c r="M100" s="133">
        <v>91.04</v>
      </c>
      <c r="N100" s="133">
        <v>0</v>
      </c>
      <c r="O100" s="133">
        <v>0</v>
      </c>
      <c r="P100" s="133">
        <v>0.82</v>
      </c>
      <c r="Q100" s="133">
        <v>5.37</v>
      </c>
    </row>
    <row r="101" spans="1:22" customFormat="1">
      <c r="A101" s="111" t="s">
        <v>1482</v>
      </c>
      <c r="B101" s="133">
        <v>11.18</v>
      </c>
      <c r="C101" s="133">
        <v>21.34</v>
      </c>
      <c r="D101" s="133">
        <v>21.46</v>
      </c>
      <c r="E101" s="133">
        <v>5.26</v>
      </c>
      <c r="F101" s="133">
        <v>2.97</v>
      </c>
      <c r="G101" s="133">
        <v>85.07</v>
      </c>
      <c r="H101" s="133">
        <v>26.6</v>
      </c>
      <c r="I101" s="133">
        <v>7.44</v>
      </c>
      <c r="J101" s="133">
        <v>0.11</v>
      </c>
      <c r="K101" s="133">
        <v>161.68</v>
      </c>
      <c r="L101" s="133">
        <v>25.63</v>
      </c>
      <c r="M101" s="133">
        <v>89.6</v>
      </c>
      <c r="N101" s="133">
        <v>0</v>
      </c>
      <c r="O101" s="133">
        <v>0</v>
      </c>
      <c r="P101" s="133">
        <v>0.84</v>
      </c>
      <c r="Q101" s="133">
        <v>5.36</v>
      </c>
    </row>
    <row r="102" spans="1:22" customFormat="1">
      <c r="A102" s="111" t="s">
        <v>1483</v>
      </c>
      <c r="B102" s="133">
        <v>11.26</v>
      </c>
      <c r="C102" s="133">
        <v>22.1</v>
      </c>
      <c r="D102" s="133">
        <v>21.92</v>
      </c>
      <c r="E102" s="133">
        <v>6.1</v>
      </c>
      <c r="F102" s="133">
        <v>3.25</v>
      </c>
      <c r="G102" s="133">
        <v>85.07</v>
      </c>
      <c r="H102" s="133">
        <v>26.6</v>
      </c>
      <c r="I102" s="133">
        <v>7.84</v>
      </c>
      <c r="J102" s="133">
        <v>0.12</v>
      </c>
      <c r="K102" s="133">
        <v>182.37</v>
      </c>
      <c r="L102" s="133">
        <v>25.49</v>
      </c>
      <c r="M102" s="133">
        <v>89.14</v>
      </c>
      <c r="N102" s="133">
        <v>0</v>
      </c>
      <c r="O102" s="133">
        <v>0</v>
      </c>
      <c r="P102" s="133">
        <v>0.85</v>
      </c>
      <c r="Q102" s="133">
        <v>5.38</v>
      </c>
    </row>
    <row r="103" spans="1:22" customFormat="1">
      <c r="A103" s="111" t="s">
        <v>1484</v>
      </c>
      <c r="B103" s="133">
        <v>11.4</v>
      </c>
      <c r="C103" s="133">
        <v>22.85</v>
      </c>
      <c r="D103" s="133">
        <v>22.43</v>
      </c>
      <c r="E103" s="133">
        <v>6.01</v>
      </c>
      <c r="F103" s="133">
        <v>2.94</v>
      </c>
      <c r="G103" s="133">
        <v>85.07</v>
      </c>
      <c r="H103" s="133">
        <v>26.6</v>
      </c>
      <c r="I103" s="133">
        <v>7.94</v>
      </c>
      <c r="J103" s="133">
        <v>0.15</v>
      </c>
      <c r="K103" s="133">
        <v>199.16</v>
      </c>
      <c r="L103" s="133">
        <v>25.45</v>
      </c>
      <c r="M103" s="133">
        <v>91.58</v>
      </c>
      <c r="N103" s="133">
        <v>0</v>
      </c>
      <c r="O103" s="133">
        <v>0</v>
      </c>
      <c r="P103" s="133">
        <v>0.85</v>
      </c>
      <c r="Q103" s="133">
        <v>5.4</v>
      </c>
    </row>
    <row r="104" spans="1:22" customFormat="1">
      <c r="A104" s="111" t="s">
        <v>1485</v>
      </c>
      <c r="B104" s="133">
        <v>11.51</v>
      </c>
      <c r="C104" s="133">
        <v>23.37</v>
      </c>
      <c r="D104" s="133">
        <v>22.79</v>
      </c>
      <c r="E104" s="133">
        <v>5.91</v>
      </c>
      <c r="F104" s="133">
        <v>2.83</v>
      </c>
      <c r="G104" s="133">
        <v>84.38</v>
      </c>
      <c r="H104" s="133">
        <v>26.57</v>
      </c>
      <c r="I104" s="133">
        <v>8.02</v>
      </c>
      <c r="J104" s="133">
        <v>0.17</v>
      </c>
      <c r="K104" s="133">
        <v>216.06</v>
      </c>
      <c r="L104" s="133">
        <v>25.34</v>
      </c>
      <c r="M104" s="133">
        <v>92.05</v>
      </c>
      <c r="N104" s="133">
        <v>0</v>
      </c>
      <c r="O104" s="133">
        <v>0</v>
      </c>
      <c r="P104" s="133">
        <v>0.87</v>
      </c>
      <c r="Q104" s="133">
        <v>5.43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5.78</v>
      </c>
      <c r="C106" s="183">
        <f>MIN(C9:C104)</f>
        <v>18.559999999999999</v>
      </c>
      <c r="D106" s="183">
        <f t="shared" ref="D106:Q106" si="0">MIN(D9:D104)</f>
        <v>16.63</v>
      </c>
      <c r="E106" s="183">
        <f t="shared" si="0"/>
        <v>5.26</v>
      </c>
      <c r="F106" s="183">
        <f t="shared" si="0"/>
        <v>2.14</v>
      </c>
      <c r="G106" s="183">
        <f t="shared" si="0"/>
        <v>41.14</v>
      </c>
      <c r="H106" s="183">
        <f t="shared" si="0"/>
        <v>14.49</v>
      </c>
      <c r="I106" s="183">
        <f t="shared" si="0"/>
        <v>6.17</v>
      </c>
      <c r="J106" s="183">
        <f t="shared" si="0"/>
        <v>0.05</v>
      </c>
      <c r="K106" s="183">
        <f t="shared" si="0"/>
        <v>30.83</v>
      </c>
      <c r="L106" s="183">
        <f t="shared" si="0"/>
        <v>23.69</v>
      </c>
      <c r="M106" s="183">
        <f t="shared" si="0"/>
        <v>49.86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5.07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18.989999999999998</v>
      </c>
      <c r="C107" s="184">
        <f t="shared" ref="C107:Q107" si="1">MAX(C9:C104)</f>
        <v>26.99</v>
      </c>
      <c r="D107" s="184">
        <f t="shared" si="1"/>
        <v>27.99</v>
      </c>
      <c r="E107" s="184">
        <f t="shared" si="1"/>
        <v>9.69</v>
      </c>
      <c r="F107" s="184">
        <f t="shared" si="1"/>
        <v>9.23</v>
      </c>
      <c r="G107" s="184">
        <f t="shared" si="1"/>
        <v>86.35</v>
      </c>
      <c r="H107" s="184">
        <f t="shared" si="1"/>
        <v>26.87</v>
      </c>
      <c r="I107" s="184">
        <f t="shared" si="1"/>
        <v>21.18</v>
      </c>
      <c r="J107" s="184">
        <f t="shared" si="1"/>
        <v>0.4</v>
      </c>
      <c r="K107" s="184">
        <f t="shared" si="1"/>
        <v>247.3</v>
      </c>
      <c r="L107" s="184">
        <f t="shared" si="1"/>
        <v>34.24</v>
      </c>
      <c r="M107" s="184">
        <f t="shared" si="1"/>
        <v>96.75</v>
      </c>
      <c r="N107" s="184">
        <f t="shared" si="1"/>
        <v>697.9</v>
      </c>
      <c r="O107" s="184">
        <f t="shared" si="1"/>
        <v>0</v>
      </c>
      <c r="P107" s="184">
        <f t="shared" si="1"/>
        <v>0.87</v>
      </c>
      <c r="Q107" s="184">
        <f t="shared" si="1"/>
        <v>5.75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11.424687500000003</v>
      </c>
      <c r="C108" s="183">
        <f t="shared" ref="C108:Q108" si="2">AVERAGE(C9:C104)</f>
        <v>22.455208333333335</v>
      </c>
      <c r="D108" s="183">
        <f t="shared" si="2"/>
        <v>22.244583333333335</v>
      </c>
      <c r="E108" s="183">
        <f t="shared" si="2"/>
        <v>7.4546874999999959</v>
      </c>
      <c r="F108" s="183">
        <f t="shared" si="2"/>
        <v>4.415729166666666</v>
      </c>
      <c r="G108" s="183">
        <f t="shared" si="2"/>
        <v>58.876354166666708</v>
      </c>
      <c r="H108" s="183">
        <f t="shared" si="2"/>
        <v>21.344479166666655</v>
      </c>
      <c r="I108" s="183">
        <f t="shared" si="2"/>
        <v>10.748749999999996</v>
      </c>
      <c r="J108" s="183">
        <f t="shared" si="2"/>
        <v>0.17031250000000012</v>
      </c>
      <c r="K108" s="183">
        <f t="shared" si="2"/>
        <v>179.26843749999998</v>
      </c>
      <c r="L108" s="183">
        <f t="shared" si="2"/>
        <v>27.983541666666653</v>
      </c>
      <c r="M108" s="183">
        <f t="shared" si="2"/>
        <v>76.156249999999986</v>
      </c>
      <c r="N108" s="183">
        <f t="shared" si="2"/>
        <v>143.40937500000004</v>
      </c>
      <c r="O108" s="183">
        <f t="shared" si="2"/>
        <v>0</v>
      </c>
      <c r="P108" s="183">
        <f t="shared" si="2"/>
        <v>0.67979166666666668</v>
      </c>
      <c r="Q108" s="183">
        <f t="shared" si="2"/>
        <v>5.409166666666664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4.053185090148232</v>
      </c>
      <c r="C109" s="183">
        <f t="shared" ref="C109:Q109" si="3">STDEV(C9:C104)</f>
        <v>2.1662366003674967</v>
      </c>
      <c r="D109" s="183">
        <f t="shared" si="3"/>
        <v>3.8810456856413378</v>
      </c>
      <c r="E109" s="183">
        <f t="shared" si="3"/>
        <v>0.9607189776138676</v>
      </c>
      <c r="F109" s="183">
        <f t="shared" si="3"/>
        <v>1.8763529826103802</v>
      </c>
      <c r="G109" s="183">
        <f t="shared" si="3"/>
        <v>14.249289631031806</v>
      </c>
      <c r="H109" s="183">
        <f t="shared" si="3"/>
        <v>3.0470368245376225</v>
      </c>
      <c r="I109" s="183">
        <f t="shared" si="3"/>
        <v>4.5024800768138107</v>
      </c>
      <c r="J109" s="183">
        <f t="shared" si="3"/>
        <v>7.6481206841942331E-2</v>
      </c>
      <c r="K109" s="183">
        <f t="shared" si="3"/>
        <v>36.943764670905189</v>
      </c>
      <c r="L109" s="183">
        <f t="shared" si="3"/>
        <v>3.5429713902218931</v>
      </c>
      <c r="M109" s="183">
        <f t="shared" si="3"/>
        <v>16.953833800244631</v>
      </c>
      <c r="N109" s="183">
        <f t="shared" si="3"/>
        <v>225.93391957925957</v>
      </c>
      <c r="O109" s="183">
        <f t="shared" si="3"/>
        <v>0</v>
      </c>
      <c r="P109" s="183">
        <f t="shared" si="3"/>
        <v>8.6644818433669474E-2</v>
      </c>
      <c r="Q109" s="183">
        <f t="shared" si="3"/>
        <v>0.22217426383090499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14/10/2023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1486</v>
      </c>
      <c r="B9" s="133">
        <v>10.82</v>
      </c>
      <c r="C9" s="133">
        <v>23.78</v>
      </c>
      <c r="D9" s="133">
        <v>22.45</v>
      </c>
      <c r="E9" s="133">
        <v>5.77</v>
      </c>
      <c r="F9" s="133">
        <v>2.73</v>
      </c>
      <c r="G9" s="133">
        <v>80.66</v>
      </c>
      <c r="H9" s="133">
        <v>26.42</v>
      </c>
      <c r="I9" s="133">
        <v>8.06</v>
      </c>
      <c r="J9" s="133">
        <v>0.13</v>
      </c>
      <c r="K9" s="133">
        <v>229.6</v>
      </c>
      <c r="L9" s="133">
        <v>25.13</v>
      </c>
      <c r="M9" s="133">
        <v>90.86</v>
      </c>
      <c r="N9" s="133">
        <v>0</v>
      </c>
      <c r="O9" s="133">
        <v>0</v>
      </c>
      <c r="P9" s="133">
        <v>0.88</v>
      </c>
      <c r="Q9" s="133">
        <v>5.45</v>
      </c>
    </row>
    <row r="10" spans="1:21" customFormat="1">
      <c r="A10" s="111" t="s">
        <v>1487</v>
      </c>
      <c r="B10" s="133">
        <v>10.94</v>
      </c>
      <c r="C10" s="133">
        <v>24.33</v>
      </c>
      <c r="D10" s="133">
        <v>22.83</v>
      </c>
      <c r="E10" s="133">
        <v>6.05</v>
      </c>
      <c r="F10" s="133">
        <v>2.66</v>
      </c>
      <c r="G10" s="133">
        <v>80.66</v>
      </c>
      <c r="H10" s="133">
        <v>26.42</v>
      </c>
      <c r="I10" s="133">
        <v>8.11</v>
      </c>
      <c r="J10" s="133">
        <v>0.15</v>
      </c>
      <c r="K10" s="133">
        <v>202.97</v>
      </c>
      <c r="L10" s="133">
        <v>25.04</v>
      </c>
      <c r="M10" s="133">
        <v>91.08</v>
      </c>
      <c r="N10" s="133">
        <v>0</v>
      </c>
      <c r="O10" s="133">
        <v>0</v>
      </c>
      <c r="P10" s="133">
        <v>0.89</v>
      </c>
      <c r="Q10" s="133">
        <v>5.47</v>
      </c>
    </row>
    <row r="11" spans="1:21" customFormat="1">
      <c r="A11" s="111" t="s">
        <v>1488</v>
      </c>
      <c r="B11" s="133">
        <v>11.06</v>
      </c>
      <c r="C11" s="133">
        <v>24.63</v>
      </c>
      <c r="D11" s="133">
        <v>23.09</v>
      </c>
      <c r="E11" s="133">
        <v>5.52</v>
      </c>
      <c r="F11" s="133">
        <v>2.73</v>
      </c>
      <c r="G11" s="133">
        <v>80.66</v>
      </c>
      <c r="H11" s="133">
        <v>26.42</v>
      </c>
      <c r="I11" s="133">
        <v>8.16</v>
      </c>
      <c r="J11" s="133">
        <v>0.28000000000000003</v>
      </c>
      <c r="K11" s="133">
        <v>173.93</v>
      </c>
      <c r="L11" s="133">
        <v>25.41</v>
      </c>
      <c r="M11" s="133">
        <v>89.05</v>
      </c>
      <c r="N11" s="133">
        <v>0</v>
      </c>
      <c r="O11" s="133">
        <v>0</v>
      </c>
      <c r="P11" s="133">
        <v>0.9</v>
      </c>
      <c r="Q11" s="133">
        <v>5.47</v>
      </c>
    </row>
    <row r="12" spans="1:21" customFormat="1">
      <c r="A12" s="111" t="s">
        <v>1489</v>
      </c>
      <c r="B12" s="133">
        <v>11.17</v>
      </c>
      <c r="C12" s="133">
        <v>25.09</v>
      </c>
      <c r="D12" s="133">
        <v>23.41</v>
      </c>
      <c r="E12" s="133">
        <v>5.97</v>
      </c>
      <c r="F12" s="133">
        <v>2.62</v>
      </c>
      <c r="G12" s="133">
        <v>79.819999999999993</v>
      </c>
      <c r="H12" s="133">
        <v>26.34</v>
      </c>
      <c r="I12" s="133">
        <v>8.19</v>
      </c>
      <c r="J12" s="133">
        <v>0.16</v>
      </c>
      <c r="K12" s="133">
        <v>238.45</v>
      </c>
      <c r="L12" s="133">
        <v>25.02</v>
      </c>
      <c r="M12" s="133">
        <v>90.95</v>
      </c>
      <c r="N12" s="133">
        <v>0</v>
      </c>
      <c r="O12" s="133">
        <v>0</v>
      </c>
      <c r="P12" s="133">
        <v>0.91</v>
      </c>
      <c r="Q12" s="133">
        <v>5.47</v>
      </c>
    </row>
    <row r="13" spans="1:21" customFormat="1">
      <c r="A13" s="111" t="s">
        <v>1490</v>
      </c>
      <c r="B13" s="133">
        <v>11.25</v>
      </c>
      <c r="C13" s="133">
        <v>25.53</v>
      </c>
      <c r="D13" s="133">
        <v>23.71</v>
      </c>
      <c r="E13" s="133">
        <v>6</v>
      </c>
      <c r="F13" s="133">
        <v>2.44</v>
      </c>
      <c r="G13" s="133">
        <v>75.290000000000006</v>
      </c>
      <c r="H13" s="133">
        <v>25.9</v>
      </c>
      <c r="I13" s="133">
        <v>8.26</v>
      </c>
      <c r="J13" s="133">
        <v>0.22</v>
      </c>
      <c r="K13" s="133">
        <v>249.47</v>
      </c>
      <c r="L13" s="133">
        <v>24.86</v>
      </c>
      <c r="M13" s="133">
        <v>91.23</v>
      </c>
      <c r="N13" s="133">
        <v>0</v>
      </c>
      <c r="O13" s="133">
        <v>0</v>
      </c>
      <c r="P13" s="133">
        <v>0.9</v>
      </c>
      <c r="Q13" s="133">
        <v>5.52</v>
      </c>
    </row>
    <row r="14" spans="1:21" customFormat="1">
      <c r="A14" s="111" t="s">
        <v>1491</v>
      </c>
      <c r="B14" s="133">
        <v>11.35</v>
      </c>
      <c r="C14" s="133">
        <v>25.64</v>
      </c>
      <c r="D14" s="133">
        <v>23.85</v>
      </c>
      <c r="E14" s="133">
        <v>6.32</v>
      </c>
      <c r="F14" s="133">
        <v>2.4</v>
      </c>
      <c r="G14" s="133">
        <v>75.290000000000006</v>
      </c>
      <c r="H14" s="133">
        <v>25.9</v>
      </c>
      <c r="I14" s="133">
        <v>8.25</v>
      </c>
      <c r="J14" s="133">
        <v>0.11</v>
      </c>
      <c r="K14" s="133">
        <v>207.94</v>
      </c>
      <c r="L14" s="133">
        <v>24.89</v>
      </c>
      <c r="M14" s="133">
        <v>89.98</v>
      </c>
      <c r="N14" s="133">
        <v>0</v>
      </c>
      <c r="O14" s="133">
        <v>0</v>
      </c>
      <c r="P14" s="133">
        <v>0.9</v>
      </c>
      <c r="Q14" s="133">
        <v>5.54</v>
      </c>
    </row>
    <row r="15" spans="1:21" customFormat="1">
      <c r="A15" s="111" t="s">
        <v>1492</v>
      </c>
      <c r="B15" s="133">
        <v>11.38</v>
      </c>
      <c r="C15" s="133">
        <v>25.75</v>
      </c>
      <c r="D15" s="133">
        <v>23.93</v>
      </c>
      <c r="E15" s="133">
        <v>6.24</v>
      </c>
      <c r="F15" s="133">
        <v>2.21</v>
      </c>
      <c r="G15" s="133">
        <v>75.290000000000006</v>
      </c>
      <c r="H15" s="133">
        <v>25.9</v>
      </c>
      <c r="I15" s="133">
        <v>8.3000000000000007</v>
      </c>
      <c r="J15" s="133">
        <v>0.11</v>
      </c>
      <c r="K15" s="133">
        <v>205.68</v>
      </c>
      <c r="L15" s="133">
        <v>24.74</v>
      </c>
      <c r="M15" s="133">
        <v>90.75</v>
      </c>
      <c r="N15" s="133">
        <v>0</v>
      </c>
      <c r="O15" s="133">
        <v>0</v>
      </c>
      <c r="P15" s="133">
        <v>0.9</v>
      </c>
      <c r="Q15" s="133">
        <v>5.55</v>
      </c>
    </row>
    <row r="16" spans="1:21" customFormat="1">
      <c r="A16" s="111" t="s">
        <v>1493</v>
      </c>
      <c r="B16" s="133">
        <v>11.49</v>
      </c>
      <c r="C16" s="133">
        <v>25.36</v>
      </c>
      <c r="D16" s="133">
        <v>23.81</v>
      </c>
      <c r="E16" s="133">
        <v>6.02</v>
      </c>
      <c r="F16" s="133">
        <v>2.39</v>
      </c>
      <c r="G16" s="133">
        <v>74.260000000000005</v>
      </c>
      <c r="H16" s="133">
        <v>25.14</v>
      </c>
      <c r="I16" s="133">
        <v>8.24</v>
      </c>
      <c r="J16" s="133">
        <v>0.06</v>
      </c>
      <c r="K16" s="133">
        <v>220.31</v>
      </c>
      <c r="L16" s="133">
        <v>24.52</v>
      </c>
      <c r="M16" s="133">
        <v>91.57</v>
      </c>
      <c r="N16" s="133">
        <v>0</v>
      </c>
      <c r="O16" s="133">
        <v>0</v>
      </c>
      <c r="P16" s="133">
        <v>0.89</v>
      </c>
      <c r="Q16" s="133">
        <v>5.58</v>
      </c>
    </row>
    <row r="17" spans="1:17" customFormat="1">
      <c r="A17" s="111" t="s">
        <v>1494</v>
      </c>
      <c r="B17" s="133">
        <v>11.39</v>
      </c>
      <c r="C17" s="133">
        <v>25.78</v>
      </c>
      <c r="D17" s="133">
        <v>23.95</v>
      </c>
      <c r="E17" s="133">
        <v>5.84</v>
      </c>
      <c r="F17" s="133">
        <v>2.4700000000000002</v>
      </c>
      <c r="G17" s="133">
        <v>68.67</v>
      </c>
      <c r="H17" s="133">
        <v>22.03</v>
      </c>
      <c r="I17" s="133">
        <v>8.15</v>
      </c>
      <c r="J17" s="133">
        <v>0.09</v>
      </c>
      <c r="K17" s="133">
        <v>191.01</v>
      </c>
      <c r="L17" s="133">
        <v>24.57</v>
      </c>
      <c r="M17" s="133">
        <v>90.84</v>
      </c>
      <c r="N17" s="133">
        <v>0</v>
      </c>
      <c r="O17" s="133">
        <v>0</v>
      </c>
      <c r="P17" s="133">
        <v>0.88</v>
      </c>
      <c r="Q17" s="133">
        <v>5.57</v>
      </c>
    </row>
    <row r="18" spans="1:17" customFormat="1">
      <c r="A18" s="111" t="s">
        <v>1495</v>
      </c>
      <c r="B18" s="133">
        <v>11.42</v>
      </c>
      <c r="C18" s="133">
        <v>25.77</v>
      </c>
      <c r="D18" s="133">
        <v>23.97</v>
      </c>
      <c r="E18" s="133">
        <v>6.65</v>
      </c>
      <c r="F18" s="133">
        <v>2.57</v>
      </c>
      <c r="G18" s="133">
        <v>68.67</v>
      </c>
      <c r="H18" s="133">
        <v>22.03</v>
      </c>
      <c r="I18" s="133">
        <v>8.08</v>
      </c>
      <c r="J18" s="133">
        <v>0.08</v>
      </c>
      <c r="K18" s="133">
        <v>185.59</v>
      </c>
      <c r="L18" s="133">
        <v>24.48</v>
      </c>
      <c r="M18" s="133">
        <v>90.25</v>
      </c>
      <c r="N18" s="133">
        <v>0</v>
      </c>
      <c r="O18" s="133">
        <v>0</v>
      </c>
      <c r="P18" s="133">
        <v>0.86</v>
      </c>
      <c r="Q18" s="133">
        <v>5.57</v>
      </c>
    </row>
    <row r="19" spans="1:17" customFormat="1">
      <c r="A19" s="111" t="s">
        <v>1496</v>
      </c>
      <c r="B19" s="133">
        <v>11.39</v>
      </c>
      <c r="C19" s="133">
        <v>25.74</v>
      </c>
      <c r="D19" s="133">
        <v>23.93</v>
      </c>
      <c r="E19" s="133">
        <v>6.48</v>
      </c>
      <c r="F19" s="133">
        <v>2.57</v>
      </c>
      <c r="G19" s="133">
        <v>68.67</v>
      </c>
      <c r="H19" s="133">
        <v>22.03</v>
      </c>
      <c r="I19" s="133">
        <v>8.01</v>
      </c>
      <c r="J19" s="133">
        <v>0.11</v>
      </c>
      <c r="K19" s="133">
        <v>232.21</v>
      </c>
      <c r="L19" s="133">
        <v>24.44</v>
      </c>
      <c r="M19" s="133">
        <v>91.08</v>
      </c>
      <c r="N19" s="133">
        <v>0</v>
      </c>
      <c r="O19" s="133">
        <v>0</v>
      </c>
      <c r="P19" s="133">
        <v>0.85</v>
      </c>
      <c r="Q19" s="133">
        <v>5.57</v>
      </c>
    </row>
    <row r="20" spans="1:17" customFormat="1">
      <c r="A20" s="111" t="s">
        <v>1497</v>
      </c>
      <c r="B20" s="133">
        <v>11.43</v>
      </c>
      <c r="C20" s="133">
        <v>25.48</v>
      </c>
      <c r="D20" s="133">
        <v>23.83</v>
      </c>
      <c r="E20" s="133">
        <v>6.72</v>
      </c>
      <c r="F20" s="133">
        <v>2.5099999999999998</v>
      </c>
      <c r="G20" s="133">
        <v>67.150000000000006</v>
      </c>
      <c r="H20" s="133">
        <v>21.69</v>
      </c>
      <c r="I20" s="133">
        <v>7.88</v>
      </c>
      <c r="J20" s="133">
        <v>0.11</v>
      </c>
      <c r="K20" s="133">
        <v>201.63</v>
      </c>
      <c r="L20" s="133">
        <v>24.39</v>
      </c>
      <c r="M20" s="133">
        <v>91.42</v>
      </c>
      <c r="N20" s="133">
        <v>0</v>
      </c>
      <c r="O20" s="133">
        <v>0</v>
      </c>
      <c r="P20" s="133">
        <v>0.83</v>
      </c>
      <c r="Q20" s="133">
        <v>5.58</v>
      </c>
    </row>
    <row r="21" spans="1:17" customFormat="1">
      <c r="A21" s="111" t="s">
        <v>1498</v>
      </c>
      <c r="B21" s="133">
        <v>11.45</v>
      </c>
      <c r="C21" s="133">
        <v>25.43</v>
      </c>
      <c r="D21" s="133">
        <v>23.82</v>
      </c>
      <c r="E21" s="133">
        <v>6.65</v>
      </c>
      <c r="F21" s="133">
        <v>2.62</v>
      </c>
      <c r="G21" s="133">
        <v>58.9</v>
      </c>
      <c r="H21" s="133">
        <v>20.29</v>
      </c>
      <c r="I21" s="133">
        <v>7.79</v>
      </c>
      <c r="J21" s="133">
        <v>0.11</v>
      </c>
      <c r="K21" s="133">
        <v>194.76</v>
      </c>
      <c r="L21" s="133">
        <v>24.55</v>
      </c>
      <c r="M21" s="133">
        <v>90.56</v>
      </c>
      <c r="N21" s="133">
        <v>0</v>
      </c>
      <c r="O21" s="133">
        <v>0</v>
      </c>
      <c r="P21" s="133">
        <v>0.82</v>
      </c>
      <c r="Q21" s="133">
        <v>5.57</v>
      </c>
    </row>
    <row r="22" spans="1:17" customFormat="1">
      <c r="A22" s="111" t="s">
        <v>1499</v>
      </c>
      <c r="B22" s="133">
        <v>11.52</v>
      </c>
      <c r="C22" s="133">
        <v>25.52</v>
      </c>
      <c r="D22" s="133">
        <v>23.93</v>
      </c>
      <c r="E22" s="133">
        <v>6.33</v>
      </c>
      <c r="F22" s="133">
        <v>2.46</v>
      </c>
      <c r="G22" s="133">
        <v>58.9</v>
      </c>
      <c r="H22" s="133">
        <v>20.29</v>
      </c>
      <c r="I22" s="133">
        <v>7.7</v>
      </c>
      <c r="J22" s="133">
        <v>0.14000000000000001</v>
      </c>
      <c r="K22" s="133">
        <v>162.66999999999999</v>
      </c>
      <c r="L22" s="133">
        <v>24.71</v>
      </c>
      <c r="M22" s="133">
        <v>90.36</v>
      </c>
      <c r="N22" s="133">
        <v>0</v>
      </c>
      <c r="O22" s="133">
        <v>0</v>
      </c>
      <c r="P22" s="133">
        <v>0.82</v>
      </c>
      <c r="Q22" s="133">
        <v>5.55</v>
      </c>
    </row>
    <row r="23" spans="1:17" customFormat="1">
      <c r="A23" s="111" t="s">
        <v>1500</v>
      </c>
      <c r="B23" s="133">
        <v>11.49</v>
      </c>
      <c r="C23" s="133">
        <v>25.77</v>
      </c>
      <c r="D23" s="133">
        <v>24.02</v>
      </c>
      <c r="E23" s="133">
        <v>7.09</v>
      </c>
      <c r="F23" s="133">
        <v>2.4900000000000002</v>
      </c>
      <c r="G23" s="133">
        <v>58.9</v>
      </c>
      <c r="H23" s="133">
        <v>20.29</v>
      </c>
      <c r="I23" s="133">
        <v>7.59</v>
      </c>
      <c r="J23" s="133">
        <v>0.18</v>
      </c>
      <c r="K23" s="133">
        <v>161.91</v>
      </c>
      <c r="L23" s="133">
        <v>24.89</v>
      </c>
      <c r="M23" s="133">
        <v>92.07</v>
      </c>
      <c r="N23" s="133">
        <v>0</v>
      </c>
      <c r="O23" s="133">
        <v>0</v>
      </c>
      <c r="P23" s="133">
        <v>0.81</v>
      </c>
      <c r="Q23" s="133">
        <v>5.55</v>
      </c>
    </row>
    <row r="24" spans="1:17" customFormat="1">
      <c r="A24" s="111" t="s">
        <v>1501</v>
      </c>
      <c r="B24" s="133">
        <v>11.66</v>
      </c>
      <c r="C24" s="133">
        <v>25.25</v>
      </c>
      <c r="D24" s="133">
        <v>23.89</v>
      </c>
      <c r="E24" s="133">
        <v>7.09</v>
      </c>
      <c r="F24" s="133">
        <v>2.73</v>
      </c>
      <c r="G24" s="133">
        <v>57.76</v>
      </c>
      <c r="H24" s="133">
        <v>20.61</v>
      </c>
      <c r="I24" s="133">
        <v>7.56</v>
      </c>
      <c r="J24" s="133">
        <v>0.27</v>
      </c>
      <c r="K24" s="133">
        <v>170.38</v>
      </c>
      <c r="L24" s="133">
        <v>24.93</v>
      </c>
      <c r="M24" s="133">
        <v>91.92</v>
      </c>
      <c r="N24" s="133">
        <v>0</v>
      </c>
      <c r="O24" s="133">
        <v>0</v>
      </c>
      <c r="P24" s="133">
        <v>0.79</v>
      </c>
      <c r="Q24" s="133">
        <v>5.57</v>
      </c>
    </row>
    <row r="25" spans="1:17" customFormat="1">
      <c r="A25" s="111" t="s">
        <v>1502</v>
      </c>
      <c r="B25" s="133">
        <v>12.05</v>
      </c>
      <c r="C25" s="133">
        <v>23.94</v>
      </c>
      <c r="D25" s="133">
        <v>23.52</v>
      </c>
      <c r="E25" s="133">
        <v>6.95</v>
      </c>
      <c r="F25" s="133">
        <v>2.99</v>
      </c>
      <c r="G25" s="133">
        <v>51.56</v>
      </c>
      <c r="H25" s="133">
        <v>21.91</v>
      </c>
      <c r="I25" s="133">
        <v>7.45</v>
      </c>
      <c r="J25" s="133">
        <v>0.15</v>
      </c>
      <c r="K25" s="133">
        <v>179.51</v>
      </c>
      <c r="L25" s="133">
        <v>25.04</v>
      </c>
      <c r="M25" s="133">
        <v>90.23</v>
      </c>
      <c r="N25" s="133">
        <v>0</v>
      </c>
      <c r="O25" s="133">
        <v>0</v>
      </c>
      <c r="P25" s="133">
        <v>0.78</v>
      </c>
      <c r="Q25" s="133">
        <v>5.57</v>
      </c>
    </row>
    <row r="26" spans="1:17" customFormat="1">
      <c r="A26" s="111" t="s">
        <v>1503</v>
      </c>
      <c r="B26" s="133">
        <v>12.46</v>
      </c>
      <c r="C26" s="133">
        <v>22.29</v>
      </c>
      <c r="D26" s="133">
        <v>22.99</v>
      </c>
      <c r="E26" s="133">
        <v>6.49</v>
      </c>
      <c r="F26" s="133">
        <v>3.1</v>
      </c>
      <c r="G26" s="133">
        <v>51.56</v>
      </c>
      <c r="H26" s="133">
        <v>21.91</v>
      </c>
      <c r="I26" s="133">
        <v>7.36</v>
      </c>
      <c r="J26" s="133">
        <v>0.17</v>
      </c>
      <c r="K26" s="133">
        <v>169.18</v>
      </c>
      <c r="L26" s="133">
        <v>24.73</v>
      </c>
      <c r="M26" s="133">
        <v>91.28</v>
      </c>
      <c r="N26" s="133">
        <v>0</v>
      </c>
      <c r="O26" s="133">
        <v>0</v>
      </c>
      <c r="P26" s="133">
        <v>0.75</v>
      </c>
      <c r="Q26" s="133">
        <v>5.56</v>
      </c>
    </row>
    <row r="27" spans="1:17" customFormat="1">
      <c r="A27" s="111" t="s">
        <v>1504</v>
      </c>
      <c r="B27" s="133">
        <v>12.67</v>
      </c>
      <c r="C27" s="133">
        <v>21.13</v>
      </c>
      <c r="D27" s="133">
        <v>22.55</v>
      </c>
      <c r="E27" s="133">
        <v>6.22</v>
      </c>
      <c r="F27" s="133">
        <v>3.15</v>
      </c>
      <c r="G27" s="133">
        <v>51.56</v>
      </c>
      <c r="H27" s="133">
        <v>21.91</v>
      </c>
      <c r="I27" s="133">
        <v>7.36</v>
      </c>
      <c r="J27" s="133">
        <v>0.05</v>
      </c>
      <c r="K27" s="133">
        <v>192.61</v>
      </c>
      <c r="L27" s="133">
        <v>24.6</v>
      </c>
      <c r="M27" s="133">
        <v>91.65</v>
      </c>
      <c r="N27" s="133">
        <v>0</v>
      </c>
      <c r="O27" s="133">
        <v>0</v>
      </c>
      <c r="P27" s="133">
        <v>0.74</v>
      </c>
      <c r="Q27" s="133">
        <v>5.53</v>
      </c>
    </row>
    <row r="28" spans="1:17" customFormat="1">
      <c r="A28" s="111" t="s">
        <v>1505</v>
      </c>
      <c r="B28" s="133">
        <v>12.7</v>
      </c>
      <c r="C28" s="133">
        <v>20.2</v>
      </c>
      <c r="D28" s="133">
        <v>22.09</v>
      </c>
      <c r="E28" s="133">
        <v>6.14</v>
      </c>
      <c r="F28" s="133">
        <v>3.25</v>
      </c>
      <c r="G28" s="133">
        <v>50.49</v>
      </c>
      <c r="H28" s="133">
        <v>21.7</v>
      </c>
      <c r="I28" s="133">
        <v>7.34</v>
      </c>
      <c r="J28" s="133">
        <v>0.06</v>
      </c>
      <c r="K28" s="133">
        <v>212.03</v>
      </c>
      <c r="L28" s="133">
        <v>24.51</v>
      </c>
      <c r="M28" s="133">
        <v>92</v>
      </c>
      <c r="N28" s="133">
        <v>0</v>
      </c>
      <c r="O28" s="133">
        <v>0</v>
      </c>
      <c r="P28" s="133">
        <v>0.72</v>
      </c>
      <c r="Q28" s="133">
        <v>5.49</v>
      </c>
    </row>
    <row r="29" spans="1:17" customFormat="1">
      <c r="A29" s="111" t="s">
        <v>1506</v>
      </c>
      <c r="B29" s="133">
        <v>12.7</v>
      </c>
      <c r="C29" s="133">
        <v>19.87</v>
      </c>
      <c r="D29" s="133">
        <v>21.91</v>
      </c>
      <c r="E29" s="133">
        <v>6.36</v>
      </c>
      <c r="F29" s="133">
        <v>3.11</v>
      </c>
      <c r="G29" s="133">
        <v>44.68</v>
      </c>
      <c r="H29" s="133">
        <v>20.83</v>
      </c>
      <c r="I29" s="133">
        <v>7.31</v>
      </c>
      <c r="J29" s="133">
        <v>0.08</v>
      </c>
      <c r="K29" s="133">
        <v>233.69</v>
      </c>
      <c r="L29" s="133">
        <v>24.32</v>
      </c>
      <c r="M29" s="133">
        <v>92.27</v>
      </c>
      <c r="N29" s="133">
        <v>0</v>
      </c>
      <c r="O29" s="133">
        <v>0</v>
      </c>
      <c r="P29" s="133">
        <v>0.71</v>
      </c>
      <c r="Q29" s="133">
        <v>5.5</v>
      </c>
    </row>
    <row r="30" spans="1:17" customFormat="1">
      <c r="A30" s="111" t="s">
        <v>1507</v>
      </c>
      <c r="B30" s="133">
        <v>12.84</v>
      </c>
      <c r="C30" s="133">
        <v>22.2</v>
      </c>
      <c r="D30" s="133">
        <v>23.25</v>
      </c>
      <c r="E30" s="133">
        <v>6.66</v>
      </c>
      <c r="F30" s="133">
        <v>2.42</v>
      </c>
      <c r="G30" s="133">
        <v>44.68</v>
      </c>
      <c r="H30" s="133">
        <v>20.83</v>
      </c>
      <c r="I30" s="133">
        <v>7.21</v>
      </c>
      <c r="J30" s="133">
        <v>0.06</v>
      </c>
      <c r="K30" s="133">
        <v>189.53</v>
      </c>
      <c r="L30" s="133">
        <v>24.21</v>
      </c>
      <c r="M30" s="133">
        <v>93.16</v>
      </c>
      <c r="N30" s="133">
        <v>0</v>
      </c>
      <c r="O30" s="133">
        <v>0</v>
      </c>
      <c r="P30" s="133">
        <v>0.73</v>
      </c>
      <c r="Q30" s="133">
        <v>5.45</v>
      </c>
    </row>
    <row r="31" spans="1:17" customFormat="1">
      <c r="A31" s="111" t="s">
        <v>1508</v>
      </c>
      <c r="B31" s="133">
        <v>13.22</v>
      </c>
      <c r="C31" s="133">
        <v>21.85</v>
      </c>
      <c r="D31" s="133">
        <v>23.37</v>
      </c>
      <c r="E31" s="133">
        <v>6.07</v>
      </c>
      <c r="F31" s="133">
        <v>2.6</v>
      </c>
      <c r="G31" s="133">
        <v>44.68</v>
      </c>
      <c r="H31" s="133">
        <v>20.83</v>
      </c>
      <c r="I31" s="133">
        <v>7.23</v>
      </c>
      <c r="J31" s="133">
        <v>0.06</v>
      </c>
      <c r="K31" s="133">
        <v>217.47</v>
      </c>
      <c r="L31" s="133">
        <v>24.01</v>
      </c>
      <c r="M31" s="133">
        <v>94.13</v>
      </c>
      <c r="N31" s="133">
        <v>0</v>
      </c>
      <c r="O31" s="133">
        <v>0</v>
      </c>
      <c r="P31" s="133">
        <v>0.72</v>
      </c>
      <c r="Q31" s="133">
        <v>5.53</v>
      </c>
    </row>
    <row r="32" spans="1:17" customFormat="1">
      <c r="A32" s="111" t="s">
        <v>1509</v>
      </c>
      <c r="B32" s="133">
        <v>13.53</v>
      </c>
      <c r="C32" s="133">
        <v>20.53</v>
      </c>
      <c r="D32" s="133">
        <v>22.93</v>
      </c>
      <c r="E32" s="133">
        <v>6.09</v>
      </c>
      <c r="F32" s="133">
        <v>3.16</v>
      </c>
      <c r="G32" s="133">
        <v>44.36</v>
      </c>
      <c r="H32" s="133">
        <v>20.59</v>
      </c>
      <c r="I32" s="133">
        <v>7.27</v>
      </c>
      <c r="J32" s="133">
        <v>0.08</v>
      </c>
      <c r="K32" s="133">
        <v>215.73</v>
      </c>
      <c r="L32" s="133">
        <v>23.87</v>
      </c>
      <c r="M32" s="133">
        <v>94.4</v>
      </c>
      <c r="N32" s="133">
        <v>0</v>
      </c>
      <c r="O32" s="133">
        <v>0</v>
      </c>
      <c r="P32" s="133">
        <v>0.71</v>
      </c>
      <c r="Q32" s="133">
        <v>5.56</v>
      </c>
    </row>
    <row r="33" spans="1:17" customFormat="1">
      <c r="A33" s="111" t="s">
        <v>1510</v>
      </c>
      <c r="B33" s="133">
        <v>13.84</v>
      </c>
      <c r="C33" s="133">
        <v>19.489999999999998</v>
      </c>
      <c r="D33" s="133">
        <v>22.63</v>
      </c>
      <c r="E33" s="133">
        <v>6.26</v>
      </c>
      <c r="F33" s="133">
        <v>3.11</v>
      </c>
      <c r="G33" s="133">
        <v>42.62</v>
      </c>
      <c r="H33" s="133">
        <v>19.63</v>
      </c>
      <c r="I33" s="133">
        <v>7.22</v>
      </c>
      <c r="J33" s="133">
        <v>0.15</v>
      </c>
      <c r="K33" s="133">
        <v>156.08000000000001</v>
      </c>
      <c r="L33" s="133">
        <v>24.08</v>
      </c>
      <c r="M33" s="133">
        <v>94.14</v>
      </c>
      <c r="N33" s="133">
        <v>5.4</v>
      </c>
      <c r="O33" s="133">
        <v>0</v>
      </c>
      <c r="P33" s="133">
        <v>0.69</v>
      </c>
      <c r="Q33" s="133">
        <v>5.57</v>
      </c>
    </row>
    <row r="34" spans="1:17" customFormat="1">
      <c r="A34" s="111" t="s">
        <v>1511</v>
      </c>
      <c r="B34" s="133">
        <v>13.96</v>
      </c>
      <c r="C34" s="133">
        <v>21.84</v>
      </c>
      <c r="D34" s="133">
        <v>23.96</v>
      </c>
      <c r="E34" s="133">
        <v>6.07</v>
      </c>
      <c r="F34" s="133">
        <v>2.33</v>
      </c>
      <c r="G34" s="133">
        <v>42.62</v>
      </c>
      <c r="H34" s="133">
        <v>19.63</v>
      </c>
      <c r="I34" s="133">
        <v>7.16</v>
      </c>
      <c r="J34" s="133">
        <v>7.0000000000000007E-2</v>
      </c>
      <c r="K34" s="133">
        <v>191.54</v>
      </c>
      <c r="L34" s="133">
        <v>24.33</v>
      </c>
      <c r="M34" s="133">
        <v>93.69</v>
      </c>
      <c r="N34" s="133">
        <v>17.3</v>
      </c>
      <c r="O34" s="133">
        <v>0</v>
      </c>
      <c r="P34" s="133">
        <v>0.72</v>
      </c>
      <c r="Q34" s="133">
        <v>5.54</v>
      </c>
    </row>
    <row r="35" spans="1:17" customFormat="1">
      <c r="A35" s="111" t="s">
        <v>1512</v>
      </c>
      <c r="B35" s="133">
        <v>14.39</v>
      </c>
      <c r="C35" s="133">
        <v>21.88</v>
      </c>
      <c r="D35" s="133">
        <v>24.32</v>
      </c>
      <c r="E35" s="133">
        <v>6.2</v>
      </c>
      <c r="F35" s="133">
        <v>2.5099999999999998</v>
      </c>
      <c r="G35" s="133">
        <v>42.62</v>
      </c>
      <c r="H35" s="133">
        <v>19.63</v>
      </c>
      <c r="I35" s="133">
        <v>7.14</v>
      </c>
      <c r="J35" s="133">
        <v>0.12</v>
      </c>
      <c r="K35" s="133">
        <v>253.18</v>
      </c>
      <c r="L35" s="133">
        <v>24.73</v>
      </c>
      <c r="M35" s="133">
        <v>93.02</v>
      </c>
      <c r="N35" s="133">
        <v>29</v>
      </c>
      <c r="O35" s="133">
        <v>0</v>
      </c>
      <c r="P35" s="133">
        <v>0.73</v>
      </c>
      <c r="Q35" s="133">
        <v>5.61</v>
      </c>
    </row>
    <row r="36" spans="1:17" customFormat="1">
      <c r="A36" s="111" t="s">
        <v>1513</v>
      </c>
      <c r="B36" s="133">
        <v>14.54</v>
      </c>
      <c r="C36" s="133">
        <v>20.34</v>
      </c>
      <c r="D36" s="133">
        <v>23.64</v>
      </c>
      <c r="E36" s="133">
        <v>5.97</v>
      </c>
      <c r="F36" s="133">
        <v>3.1</v>
      </c>
      <c r="G36" s="133">
        <v>42.66</v>
      </c>
      <c r="H36" s="133">
        <v>19.649999999999999</v>
      </c>
      <c r="I36" s="133">
        <v>7.22</v>
      </c>
      <c r="J36" s="133">
        <v>0.18</v>
      </c>
      <c r="K36" s="133">
        <v>165.73</v>
      </c>
      <c r="L36" s="133">
        <v>25.24</v>
      </c>
      <c r="M36" s="133">
        <v>90.99</v>
      </c>
      <c r="N36" s="133">
        <v>43.9</v>
      </c>
      <c r="O36" s="133">
        <v>0</v>
      </c>
      <c r="P36" s="133">
        <v>0.72</v>
      </c>
      <c r="Q36" s="133">
        <v>5.63</v>
      </c>
    </row>
    <row r="37" spans="1:17" customFormat="1">
      <c r="A37" s="111" t="s">
        <v>1514</v>
      </c>
      <c r="B37" s="133">
        <v>14.26</v>
      </c>
      <c r="C37" s="133">
        <v>19.43</v>
      </c>
      <c r="D37" s="133">
        <v>22.94</v>
      </c>
      <c r="E37" s="133">
        <v>6.02</v>
      </c>
      <c r="F37" s="133">
        <v>3.32</v>
      </c>
      <c r="G37" s="133">
        <v>42.91</v>
      </c>
      <c r="H37" s="133">
        <v>19.78</v>
      </c>
      <c r="I37" s="133">
        <v>7.22</v>
      </c>
      <c r="J37" s="133">
        <v>0.11</v>
      </c>
      <c r="K37" s="133">
        <v>222.65</v>
      </c>
      <c r="L37" s="133">
        <v>25.74</v>
      </c>
      <c r="M37" s="133">
        <v>89.92</v>
      </c>
      <c r="N37" s="133">
        <v>45.1</v>
      </c>
      <c r="O37" s="133">
        <v>0</v>
      </c>
      <c r="P37" s="133">
        <v>0.7</v>
      </c>
      <c r="Q37" s="133">
        <v>5.63</v>
      </c>
    </row>
    <row r="38" spans="1:17" customFormat="1">
      <c r="A38" s="111" t="s">
        <v>1515</v>
      </c>
      <c r="B38" s="133">
        <v>14.76</v>
      </c>
      <c r="C38" s="133">
        <v>21.92</v>
      </c>
      <c r="D38" s="133">
        <v>24.64</v>
      </c>
      <c r="E38" s="133">
        <v>6.51</v>
      </c>
      <c r="F38" s="133">
        <v>2.54</v>
      </c>
      <c r="G38" s="133">
        <v>42.91</v>
      </c>
      <c r="H38" s="133">
        <v>19.78</v>
      </c>
      <c r="I38" s="133">
        <v>7.21</v>
      </c>
      <c r="J38" s="133">
        <v>0.02</v>
      </c>
      <c r="K38" s="133">
        <v>327.16000000000003</v>
      </c>
      <c r="L38" s="133">
        <v>25.81</v>
      </c>
      <c r="M38" s="133">
        <v>89.5</v>
      </c>
      <c r="N38" s="133">
        <v>57.9</v>
      </c>
      <c r="O38" s="133">
        <v>0</v>
      </c>
      <c r="P38" s="133">
        <v>0.72</v>
      </c>
      <c r="Q38" s="133">
        <v>5.62</v>
      </c>
    </row>
    <row r="39" spans="1:17" customFormat="1">
      <c r="A39" s="111" t="s">
        <v>1516</v>
      </c>
      <c r="B39" s="133">
        <v>15.13</v>
      </c>
      <c r="C39" s="133">
        <v>21.46</v>
      </c>
      <c r="D39" s="133">
        <v>24.7</v>
      </c>
      <c r="E39" s="133">
        <v>6.71</v>
      </c>
      <c r="F39" s="133">
        <v>2.86</v>
      </c>
      <c r="G39" s="133">
        <v>42.91</v>
      </c>
      <c r="H39" s="133">
        <v>19.78</v>
      </c>
      <c r="I39" s="133">
        <v>7.2</v>
      </c>
      <c r="J39" s="133">
        <v>0.08</v>
      </c>
      <c r="K39" s="133">
        <v>193.04</v>
      </c>
      <c r="L39" s="133">
        <v>26.41</v>
      </c>
      <c r="M39" s="133">
        <v>84.17</v>
      </c>
      <c r="N39" s="133">
        <v>148.6</v>
      </c>
      <c r="O39" s="133">
        <v>0</v>
      </c>
      <c r="P39" s="133">
        <v>0.72</v>
      </c>
      <c r="Q39" s="133">
        <v>5.67</v>
      </c>
    </row>
    <row r="40" spans="1:17" customFormat="1">
      <c r="A40" s="111" t="s">
        <v>1517</v>
      </c>
      <c r="B40" s="133">
        <v>15.38</v>
      </c>
      <c r="C40" s="133">
        <v>20.29</v>
      </c>
      <c r="D40" s="133">
        <v>24.29</v>
      </c>
      <c r="E40" s="133">
        <v>6.66</v>
      </c>
      <c r="F40" s="133">
        <v>3.04</v>
      </c>
      <c r="G40" s="133">
        <v>42.81</v>
      </c>
      <c r="H40" s="133">
        <v>19.89</v>
      </c>
      <c r="I40" s="133">
        <v>7.27</v>
      </c>
      <c r="J40" s="133">
        <v>0.17</v>
      </c>
      <c r="K40" s="133">
        <v>173.13</v>
      </c>
      <c r="L40" s="133">
        <v>27.44</v>
      </c>
      <c r="M40" s="133">
        <v>78.72</v>
      </c>
      <c r="N40" s="133">
        <v>223.3</v>
      </c>
      <c r="O40" s="133">
        <v>0</v>
      </c>
      <c r="P40" s="133">
        <v>0.71</v>
      </c>
      <c r="Q40" s="133">
        <v>5.68</v>
      </c>
    </row>
    <row r="41" spans="1:17" customFormat="1">
      <c r="A41" s="111" t="s">
        <v>1518</v>
      </c>
      <c r="B41" s="133">
        <v>15.24</v>
      </c>
      <c r="C41" s="133">
        <v>19.79</v>
      </c>
      <c r="D41" s="133">
        <v>23.91</v>
      </c>
      <c r="E41" s="133">
        <v>6.06</v>
      </c>
      <c r="F41" s="133">
        <v>3.24</v>
      </c>
      <c r="G41" s="133">
        <v>42.24</v>
      </c>
      <c r="H41" s="133">
        <v>20.34</v>
      </c>
      <c r="I41" s="133">
        <v>7.26</v>
      </c>
      <c r="J41" s="133">
        <v>0.06</v>
      </c>
      <c r="K41" s="133">
        <v>160.83000000000001</v>
      </c>
      <c r="L41" s="133">
        <v>28.25</v>
      </c>
      <c r="M41" s="133">
        <v>75.91</v>
      </c>
      <c r="N41" s="133">
        <v>256</v>
      </c>
      <c r="O41" s="133">
        <v>0</v>
      </c>
      <c r="P41" s="133">
        <v>0.7</v>
      </c>
      <c r="Q41" s="133">
        <v>5.66</v>
      </c>
    </row>
    <row r="42" spans="1:17" customFormat="1">
      <c r="A42" s="111" t="s">
        <v>1519</v>
      </c>
      <c r="B42" s="133">
        <v>14.91</v>
      </c>
      <c r="C42" s="133">
        <v>19.690000000000001</v>
      </c>
      <c r="D42" s="133">
        <v>23.59</v>
      </c>
      <c r="E42" s="133">
        <v>6.33</v>
      </c>
      <c r="F42" s="133">
        <v>3.31</v>
      </c>
      <c r="G42" s="133">
        <v>42.24</v>
      </c>
      <c r="H42" s="133">
        <v>20.34</v>
      </c>
      <c r="I42" s="133">
        <v>7.22</v>
      </c>
      <c r="J42" s="133">
        <v>0.16</v>
      </c>
      <c r="K42" s="133">
        <v>152.83000000000001</v>
      </c>
      <c r="L42" s="133">
        <v>28.91</v>
      </c>
      <c r="M42" s="133">
        <v>73.099999999999994</v>
      </c>
      <c r="N42" s="133">
        <v>291.8</v>
      </c>
      <c r="O42" s="133">
        <v>0</v>
      </c>
      <c r="P42" s="133">
        <v>0.7</v>
      </c>
      <c r="Q42" s="133">
        <v>5.62</v>
      </c>
    </row>
    <row r="43" spans="1:17" customFormat="1">
      <c r="A43" s="111" t="s">
        <v>1520</v>
      </c>
      <c r="B43" s="133">
        <v>14.59</v>
      </c>
      <c r="C43" s="133">
        <v>20.100000000000001</v>
      </c>
      <c r="D43" s="133">
        <v>23.55</v>
      </c>
      <c r="E43" s="133">
        <v>6.61</v>
      </c>
      <c r="F43" s="133">
        <v>3.96</v>
      </c>
      <c r="G43" s="133">
        <v>42.24</v>
      </c>
      <c r="H43" s="133">
        <v>20.34</v>
      </c>
      <c r="I43" s="133">
        <v>7.22</v>
      </c>
      <c r="J43" s="133">
        <v>0.09</v>
      </c>
      <c r="K43" s="133">
        <v>102.81</v>
      </c>
      <c r="L43" s="133">
        <v>29.49</v>
      </c>
      <c r="M43" s="133">
        <v>70.709999999999994</v>
      </c>
      <c r="N43" s="133">
        <v>332.8</v>
      </c>
      <c r="O43" s="133">
        <v>0</v>
      </c>
      <c r="P43" s="133">
        <v>0.72</v>
      </c>
      <c r="Q43" s="133">
        <v>5.61</v>
      </c>
    </row>
    <row r="44" spans="1:17" customFormat="1">
      <c r="A44" s="111" t="s">
        <v>1521</v>
      </c>
      <c r="B44" s="133">
        <v>13.65</v>
      </c>
      <c r="C44" s="133">
        <v>21.49</v>
      </c>
      <c r="D44" s="133">
        <v>23.53</v>
      </c>
      <c r="E44" s="133">
        <v>6.51</v>
      </c>
      <c r="F44" s="133">
        <v>4.17</v>
      </c>
      <c r="G44" s="133">
        <v>43.02</v>
      </c>
      <c r="H44" s="133">
        <v>20.399999999999999</v>
      </c>
      <c r="I44" s="133">
        <v>7.22</v>
      </c>
      <c r="J44" s="133">
        <v>0.06</v>
      </c>
      <c r="K44" s="133">
        <v>324.91000000000003</v>
      </c>
      <c r="L44" s="133">
        <v>29.89</v>
      </c>
      <c r="M44" s="133">
        <v>69.900000000000006</v>
      </c>
      <c r="N44" s="133">
        <v>347.4</v>
      </c>
      <c r="O44" s="133">
        <v>0</v>
      </c>
      <c r="P44" s="133">
        <v>0.75</v>
      </c>
      <c r="Q44" s="133">
        <v>5.57</v>
      </c>
    </row>
    <row r="45" spans="1:17" customFormat="1">
      <c r="A45" s="111" t="s">
        <v>1522</v>
      </c>
      <c r="B45" s="133">
        <v>12.83</v>
      </c>
      <c r="C45" s="133">
        <v>23.07</v>
      </c>
      <c r="D45" s="133">
        <v>23.69</v>
      </c>
      <c r="E45" s="133">
        <v>6.44</v>
      </c>
      <c r="F45" s="133">
        <v>5.1100000000000003</v>
      </c>
      <c r="G45" s="133">
        <v>47.24</v>
      </c>
      <c r="H45" s="133">
        <v>20.62</v>
      </c>
      <c r="I45" s="133">
        <v>7.31</v>
      </c>
      <c r="J45" s="133">
        <v>0.22</v>
      </c>
      <c r="K45" s="133">
        <v>39</v>
      </c>
      <c r="L45" s="133">
        <v>30.27</v>
      </c>
      <c r="M45" s="133">
        <v>69.59</v>
      </c>
      <c r="N45" s="133">
        <v>386.7</v>
      </c>
      <c r="O45" s="133">
        <v>0</v>
      </c>
      <c r="P45" s="133">
        <v>0.79</v>
      </c>
      <c r="Q45" s="133">
        <v>5.52</v>
      </c>
    </row>
    <row r="46" spans="1:17" customFormat="1">
      <c r="A46" s="111" t="s">
        <v>1523</v>
      </c>
      <c r="B46" s="133">
        <v>11.84</v>
      </c>
      <c r="C46" s="133">
        <v>24.21</v>
      </c>
      <c r="D46" s="133">
        <v>23.5</v>
      </c>
      <c r="E46" s="133">
        <v>6.26</v>
      </c>
      <c r="F46" s="133">
        <v>4.54</v>
      </c>
      <c r="G46" s="133">
        <v>47.24</v>
      </c>
      <c r="H46" s="133">
        <v>20.62</v>
      </c>
      <c r="I46" s="133">
        <v>7.49</v>
      </c>
      <c r="J46" s="133">
        <v>0.08</v>
      </c>
      <c r="K46" s="133">
        <v>140.16</v>
      </c>
      <c r="L46" s="133">
        <v>30.86</v>
      </c>
      <c r="M46" s="133">
        <v>66.73</v>
      </c>
      <c r="N46" s="133">
        <v>342.3</v>
      </c>
      <c r="O46" s="133">
        <v>0</v>
      </c>
      <c r="P46" s="133">
        <v>0.81</v>
      </c>
      <c r="Q46" s="133">
        <v>5.51</v>
      </c>
    </row>
    <row r="47" spans="1:17" customFormat="1">
      <c r="A47" s="111" t="s">
        <v>1524</v>
      </c>
      <c r="B47" s="133">
        <v>10.56</v>
      </c>
      <c r="C47" s="133">
        <v>25.01</v>
      </c>
      <c r="D47" s="133">
        <v>22.89</v>
      </c>
      <c r="E47" s="133">
        <v>5.96</v>
      </c>
      <c r="F47" s="133">
        <v>4</v>
      </c>
      <c r="G47" s="133">
        <v>47.24</v>
      </c>
      <c r="H47" s="133">
        <v>20.62</v>
      </c>
      <c r="I47" s="133">
        <v>7.79</v>
      </c>
      <c r="J47" s="133">
        <v>0.1</v>
      </c>
      <c r="K47" s="133">
        <v>98.31</v>
      </c>
      <c r="L47" s="133">
        <v>31.33</v>
      </c>
      <c r="M47" s="133">
        <v>65.5</v>
      </c>
      <c r="N47" s="133">
        <v>329.2</v>
      </c>
      <c r="O47" s="133">
        <v>0</v>
      </c>
      <c r="P47" s="133">
        <v>0.83</v>
      </c>
      <c r="Q47" s="133">
        <v>5.48</v>
      </c>
    </row>
    <row r="48" spans="1:17" customFormat="1">
      <c r="A48" s="111" t="s">
        <v>1525</v>
      </c>
      <c r="B48" s="133">
        <v>9.17</v>
      </c>
      <c r="C48" s="133">
        <v>25.43</v>
      </c>
      <c r="D48" s="133">
        <v>21.99</v>
      </c>
      <c r="E48" s="133">
        <v>6.36</v>
      </c>
      <c r="F48" s="133">
        <v>4.0199999999999996</v>
      </c>
      <c r="G48" s="133">
        <v>49.81</v>
      </c>
      <c r="H48" s="133">
        <v>21.46</v>
      </c>
      <c r="I48" s="133">
        <v>7.97</v>
      </c>
      <c r="J48" s="133">
        <v>0.25</v>
      </c>
      <c r="K48" s="133">
        <v>81.59</v>
      </c>
      <c r="L48" s="133">
        <v>31.5</v>
      </c>
      <c r="M48" s="133">
        <v>64.81</v>
      </c>
      <c r="N48" s="133">
        <v>453.1</v>
      </c>
      <c r="O48" s="133">
        <v>0</v>
      </c>
      <c r="P48" s="133">
        <v>0.84</v>
      </c>
      <c r="Q48" s="133">
        <v>5.42</v>
      </c>
    </row>
    <row r="49" spans="1:17" customFormat="1">
      <c r="A49" s="111" t="s">
        <v>1526</v>
      </c>
      <c r="B49" s="133">
        <v>8.1300000000000008</v>
      </c>
      <c r="C49" s="133">
        <v>25.85</v>
      </c>
      <c r="D49" s="133">
        <v>21.37</v>
      </c>
      <c r="E49" s="133">
        <v>6.4</v>
      </c>
      <c r="F49" s="133">
        <v>5.53</v>
      </c>
      <c r="G49" s="133">
        <v>63.75</v>
      </c>
      <c r="H49" s="133">
        <v>24.88</v>
      </c>
      <c r="I49" s="133">
        <v>8.1300000000000008</v>
      </c>
      <c r="J49" s="133">
        <v>0.32</v>
      </c>
      <c r="K49" s="133">
        <v>58.24</v>
      </c>
      <c r="L49" s="133">
        <v>31.58</v>
      </c>
      <c r="M49" s="133">
        <v>64.180000000000007</v>
      </c>
      <c r="N49" s="133">
        <v>488.1</v>
      </c>
      <c r="O49" s="133">
        <v>0</v>
      </c>
      <c r="P49" s="133">
        <v>0.88</v>
      </c>
      <c r="Q49" s="133">
        <v>5.35</v>
      </c>
    </row>
    <row r="50" spans="1:17" customFormat="1">
      <c r="A50" s="111" t="s">
        <v>1527</v>
      </c>
      <c r="B50" s="133">
        <v>7.02</v>
      </c>
      <c r="C50" s="133">
        <v>26.54</v>
      </c>
      <c r="D50" s="133">
        <v>20.85</v>
      </c>
      <c r="E50" s="133">
        <v>7.45</v>
      </c>
      <c r="F50" s="133">
        <v>5.57</v>
      </c>
      <c r="G50" s="133">
        <v>63.75</v>
      </c>
      <c r="H50" s="133">
        <v>24.88</v>
      </c>
      <c r="I50" s="133">
        <v>8.35</v>
      </c>
      <c r="J50" s="133">
        <v>0.37</v>
      </c>
      <c r="K50" s="133">
        <v>51.85</v>
      </c>
      <c r="L50" s="133">
        <v>31.62</v>
      </c>
      <c r="M50" s="133">
        <v>64.77</v>
      </c>
      <c r="N50" s="133">
        <v>480.7</v>
      </c>
      <c r="O50" s="133">
        <v>0</v>
      </c>
      <c r="P50" s="133">
        <v>0.89</v>
      </c>
      <c r="Q50" s="133">
        <v>5.29</v>
      </c>
    </row>
    <row r="51" spans="1:17" customFormat="1">
      <c r="A51" s="111" t="s">
        <v>1528</v>
      </c>
      <c r="B51" s="133">
        <v>6.09</v>
      </c>
      <c r="C51" s="133">
        <v>27.03</v>
      </c>
      <c r="D51" s="133">
        <v>20.350000000000001</v>
      </c>
      <c r="E51" s="133">
        <v>7.82</v>
      </c>
      <c r="F51" s="133">
        <v>6.02</v>
      </c>
      <c r="G51" s="133">
        <v>63.75</v>
      </c>
      <c r="H51" s="133">
        <v>24.88</v>
      </c>
      <c r="I51" s="133">
        <v>8.73</v>
      </c>
      <c r="J51" s="133">
        <v>0.32</v>
      </c>
      <c r="K51" s="133">
        <v>51.74</v>
      </c>
      <c r="L51" s="133">
        <v>31.99</v>
      </c>
      <c r="M51" s="133">
        <v>63.21</v>
      </c>
      <c r="N51" s="133">
        <v>540.6</v>
      </c>
      <c r="O51" s="133">
        <v>0</v>
      </c>
      <c r="P51" s="133">
        <v>0.92</v>
      </c>
      <c r="Q51" s="133">
        <v>5.24</v>
      </c>
    </row>
    <row r="52" spans="1:17" customFormat="1">
      <c r="A52" s="111" t="s">
        <v>1529</v>
      </c>
      <c r="B52" s="133">
        <v>5.44</v>
      </c>
      <c r="C52" s="133">
        <v>26.87</v>
      </c>
      <c r="D52" s="133">
        <v>19.75</v>
      </c>
      <c r="E52" s="133">
        <v>8.0399999999999991</v>
      </c>
      <c r="F52" s="133">
        <v>7.03</v>
      </c>
      <c r="G52" s="133">
        <v>66.5</v>
      </c>
      <c r="H52" s="133">
        <v>25.89</v>
      </c>
      <c r="I52" s="133">
        <v>9</v>
      </c>
      <c r="J52" s="133">
        <v>0.39</v>
      </c>
      <c r="K52" s="133">
        <v>55.7</v>
      </c>
      <c r="L52" s="133">
        <v>32.25</v>
      </c>
      <c r="M52" s="133">
        <v>61.61</v>
      </c>
      <c r="N52" s="133">
        <v>478.3</v>
      </c>
      <c r="O52" s="133">
        <v>0</v>
      </c>
      <c r="P52" s="133">
        <v>0.94</v>
      </c>
      <c r="Q52" s="133">
        <v>5.2</v>
      </c>
    </row>
    <row r="53" spans="1:17" customFormat="1">
      <c r="A53" s="111" t="s">
        <v>1530</v>
      </c>
      <c r="B53" s="133">
        <v>4.9000000000000004</v>
      </c>
      <c r="C53" s="133">
        <v>27.06</v>
      </c>
      <c r="D53" s="133">
        <v>19.420000000000002</v>
      </c>
      <c r="E53" s="133">
        <v>8.3699999999999992</v>
      </c>
      <c r="F53" s="133">
        <v>7.92</v>
      </c>
      <c r="G53" s="133">
        <v>81.42</v>
      </c>
      <c r="H53" s="133">
        <v>30.01</v>
      </c>
      <c r="I53" s="133">
        <v>9.3000000000000007</v>
      </c>
      <c r="J53" s="133">
        <v>0.27</v>
      </c>
      <c r="K53" s="133">
        <v>28.25</v>
      </c>
      <c r="L53" s="133">
        <v>31.94</v>
      </c>
      <c r="M53" s="133">
        <v>62.49</v>
      </c>
      <c r="N53" s="133">
        <v>559.20000000000005</v>
      </c>
      <c r="O53" s="133">
        <v>0</v>
      </c>
      <c r="P53" s="133">
        <v>0.96</v>
      </c>
      <c r="Q53" s="133">
        <v>5.16</v>
      </c>
    </row>
    <row r="54" spans="1:17" customFormat="1">
      <c r="A54" s="111" t="s">
        <v>1531</v>
      </c>
      <c r="B54" s="133">
        <v>4.5599999999999996</v>
      </c>
      <c r="C54" s="133">
        <v>27.16</v>
      </c>
      <c r="D54" s="133">
        <v>19.2</v>
      </c>
      <c r="E54" s="133">
        <v>8.41</v>
      </c>
      <c r="F54" s="133">
        <v>7.43</v>
      </c>
      <c r="G54" s="133">
        <v>81.42</v>
      </c>
      <c r="H54" s="133">
        <v>30.01</v>
      </c>
      <c r="I54" s="133">
        <v>9.5399999999999991</v>
      </c>
      <c r="J54" s="133">
        <v>0.09</v>
      </c>
      <c r="K54" s="133">
        <v>322.27999999999997</v>
      </c>
      <c r="L54" s="133">
        <v>32.57</v>
      </c>
      <c r="M54" s="133">
        <v>59.37</v>
      </c>
      <c r="N54" s="133">
        <v>595.5</v>
      </c>
      <c r="O54" s="133">
        <v>0</v>
      </c>
      <c r="P54" s="133">
        <v>0.95</v>
      </c>
      <c r="Q54" s="133">
        <v>5.17</v>
      </c>
    </row>
    <row r="55" spans="1:17" customFormat="1">
      <c r="A55" s="111" t="s">
        <v>1532</v>
      </c>
      <c r="B55" s="133">
        <v>4.4000000000000004</v>
      </c>
      <c r="C55" s="133">
        <v>26.51</v>
      </c>
      <c r="D55" s="133">
        <v>18.73</v>
      </c>
      <c r="E55" s="133">
        <v>9.06</v>
      </c>
      <c r="F55" s="133">
        <v>8.25</v>
      </c>
      <c r="G55" s="133">
        <v>81.42</v>
      </c>
      <c r="H55" s="133">
        <v>30.01</v>
      </c>
      <c r="I55" s="133">
        <v>9.6</v>
      </c>
      <c r="J55" s="133">
        <v>0.3</v>
      </c>
      <c r="K55" s="133">
        <v>45.91</v>
      </c>
      <c r="L55" s="133">
        <v>32.659999999999997</v>
      </c>
      <c r="M55" s="133">
        <v>55.44</v>
      </c>
      <c r="N55" s="133">
        <v>651.20000000000005</v>
      </c>
      <c r="O55" s="133">
        <v>0</v>
      </c>
      <c r="P55" s="133">
        <v>0.96</v>
      </c>
      <c r="Q55" s="133">
        <v>5.15</v>
      </c>
    </row>
    <row r="56" spans="1:17" customFormat="1">
      <c r="A56" s="111" t="s">
        <v>1533</v>
      </c>
      <c r="B56" s="133">
        <v>4.45</v>
      </c>
      <c r="C56" s="133">
        <v>26.59</v>
      </c>
      <c r="D56" s="133">
        <v>18.809999999999999</v>
      </c>
      <c r="E56" s="133">
        <v>9.5</v>
      </c>
      <c r="F56" s="133">
        <v>8.67</v>
      </c>
      <c r="G56" s="133">
        <v>82.61</v>
      </c>
      <c r="H56" s="133">
        <v>30.73</v>
      </c>
      <c r="I56" s="133">
        <v>9.6199999999999992</v>
      </c>
      <c r="J56" s="133">
        <v>0.26</v>
      </c>
      <c r="K56" s="133">
        <v>43.01</v>
      </c>
      <c r="L56" s="133">
        <v>33.32</v>
      </c>
      <c r="M56" s="133">
        <v>47.95</v>
      </c>
      <c r="N56" s="133">
        <v>686</v>
      </c>
      <c r="O56" s="133">
        <v>0</v>
      </c>
      <c r="P56" s="133">
        <v>0.95</v>
      </c>
      <c r="Q56" s="133">
        <v>5.16</v>
      </c>
    </row>
    <row r="57" spans="1:17" customFormat="1">
      <c r="A57" s="111" t="s">
        <v>1534</v>
      </c>
      <c r="B57" s="133">
        <v>4.43</v>
      </c>
      <c r="C57" s="133">
        <v>27.09</v>
      </c>
      <c r="D57" s="133">
        <v>19.059999999999999</v>
      </c>
      <c r="E57" s="133">
        <v>8.34</v>
      </c>
      <c r="F57" s="133">
        <v>6.63</v>
      </c>
      <c r="G57" s="133">
        <v>89.1</v>
      </c>
      <c r="H57" s="133">
        <v>33.68</v>
      </c>
      <c r="I57" s="133">
        <v>9.5399999999999991</v>
      </c>
      <c r="J57" s="133">
        <v>0.31</v>
      </c>
      <c r="K57" s="133">
        <v>59.16</v>
      </c>
      <c r="L57" s="133">
        <v>33.9</v>
      </c>
      <c r="M57" s="133">
        <v>47.89</v>
      </c>
      <c r="N57" s="133">
        <v>648.1</v>
      </c>
      <c r="O57" s="133">
        <v>0</v>
      </c>
      <c r="P57" s="133">
        <v>0.94</v>
      </c>
      <c r="Q57" s="133">
        <v>5.14</v>
      </c>
    </row>
    <row r="58" spans="1:17" customFormat="1">
      <c r="A58" s="111" t="s">
        <v>1535</v>
      </c>
      <c r="B58" s="133">
        <v>4.49</v>
      </c>
      <c r="C58" s="133">
        <v>25.85</v>
      </c>
      <c r="D58" s="133">
        <v>18.46</v>
      </c>
      <c r="E58" s="133">
        <v>9.11</v>
      </c>
      <c r="F58" s="133">
        <v>7.49</v>
      </c>
      <c r="G58" s="133">
        <v>89.1</v>
      </c>
      <c r="H58" s="133">
        <v>33.68</v>
      </c>
      <c r="I58" s="133">
        <v>9.35</v>
      </c>
      <c r="J58" s="133">
        <v>0.73</v>
      </c>
      <c r="K58" s="133">
        <v>31.18</v>
      </c>
      <c r="L58" s="133">
        <v>33.39</v>
      </c>
      <c r="M58" s="133">
        <v>36.159999999999997</v>
      </c>
      <c r="N58" s="133">
        <v>685.6</v>
      </c>
      <c r="O58" s="133">
        <v>0</v>
      </c>
      <c r="P58" s="133">
        <v>0.91</v>
      </c>
      <c r="Q58" s="133">
        <v>5.13</v>
      </c>
    </row>
    <row r="59" spans="1:17" customFormat="1">
      <c r="A59" s="111" t="s">
        <v>1536</v>
      </c>
      <c r="B59" s="133">
        <v>4.6500000000000004</v>
      </c>
      <c r="C59" s="133">
        <v>26.6</v>
      </c>
      <c r="D59" s="133">
        <v>18.97</v>
      </c>
      <c r="E59" s="133">
        <v>10</v>
      </c>
      <c r="F59" s="133">
        <v>8.41</v>
      </c>
      <c r="G59" s="133">
        <v>89.1</v>
      </c>
      <c r="H59" s="133">
        <v>33.68</v>
      </c>
      <c r="I59" s="133">
        <v>9.1999999999999993</v>
      </c>
      <c r="J59" s="133">
        <v>0.73</v>
      </c>
      <c r="K59" s="133">
        <v>23.16</v>
      </c>
      <c r="L59" s="133">
        <v>33.64</v>
      </c>
      <c r="M59" s="133">
        <v>34.11</v>
      </c>
      <c r="N59" s="133">
        <v>662.2</v>
      </c>
      <c r="O59" s="133">
        <v>0</v>
      </c>
      <c r="P59" s="133">
        <v>0.89</v>
      </c>
      <c r="Q59" s="133">
        <v>5.16</v>
      </c>
    </row>
    <row r="60" spans="1:17" customFormat="1">
      <c r="A60" s="111" t="s">
        <v>1537</v>
      </c>
      <c r="B60" s="133">
        <v>5</v>
      </c>
      <c r="C60" s="133">
        <v>25.31</v>
      </c>
      <c r="D60" s="133">
        <v>18.579999999999998</v>
      </c>
      <c r="E60" s="133">
        <v>9.9</v>
      </c>
      <c r="F60" s="133">
        <v>7.2</v>
      </c>
      <c r="G60" s="133">
        <v>88.15</v>
      </c>
      <c r="H60" s="133">
        <v>32.36</v>
      </c>
      <c r="I60" s="133">
        <v>8.92</v>
      </c>
      <c r="J60" s="133">
        <v>0.67</v>
      </c>
      <c r="K60" s="133">
        <v>34.94</v>
      </c>
      <c r="L60" s="133">
        <v>33.58</v>
      </c>
      <c r="M60" s="133">
        <v>36.11</v>
      </c>
      <c r="N60" s="133">
        <v>550.6</v>
      </c>
      <c r="O60" s="133">
        <v>0</v>
      </c>
      <c r="P60" s="133">
        <v>0.87</v>
      </c>
      <c r="Q60" s="133">
        <v>5.15</v>
      </c>
    </row>
    <row r="61" spans="1:17" customFormat="1">
      <c r="A61" s="111" t="s">
        <v>1538</v>
      </c>
      <c r="B61" s="133">
        <v>5.08</v>
      </c>
      <c r="C61" s="133">
        <v>27.36</v>
      </c>
      <c r="D61" s="133">
        <v>19.72</v>
      </c>
      <c r="E61" s="133">
        <v>10.36</v>
      </c>
      <c r="F61" s="133">
        <v>7.84</v>
      </c>
      <c r="G61" s="133">
        <v>82.98</v>
      </c>
      <c r="H61" s="133">
        <v>25.35</v>
      </c>
      <c r="I61" s="133">
        <v>8.51</v>
      </c>
      <c r="J61" s="133">
        <v>0.68</v>
      </c>
      <c r="K61" s="133">
        <v>41.48</v>
      </c>
      <c r="L61" s="133">
        <v>33.33</v>
      </c>
      <c r="M61" s="133">
        <v>36.53</v>
      </c>
      <c r="N61" s="133">
        <v>489</v>
      </c>
      <c r="O61" s="133">
        <v>0</v>
      </c>
      <c r="P61" s="133">
        <v>0.84</v>
      </c>
      <c r="Q61" s="133">
        <v>5.17</v>
      </c>
    </row>
    <row r="62" spans="1:17" customFormat="1">
      <c r="A62" s="111" t="s">
        <v>1539</v>
      </c>
      <c r="B62" s="133">
        <v>5.12</v>
      </c>
      <c r="C62" s="133">
        <v>26.61</v>
      </c>
      <c r="D62" s="133">
        <v>19.36</v>
      </c>
      <c r="E62" s="133">
        <v>9.36</v>
      </c>
      <c r="F62" s="133">
        <v>6.7</v>
      </c>
      <c r="G62" s="133">
        <v>82.98</v>
      </c>
      <c r="H62" s="133">
        <v>25.35</v>
      </c>
      <c r="I62" s="133">
        <v>8.31</v>
      </c>
      <c r="J62" s="133">
        <v>0.53</v>
      </c>
      <c r="K62" s="133">
        <v>35.86</v>
      </c>
      <c r="L62" s="133">
        <v>33.25</v>
      </c>
      <c r="M62" s="133">
        <v>35.869999999999997</v>
      </c>
      <c r="N62" s="133">
        <v>465.4</v>
      </c>
      <c r="O62" s="133">
        <v>0</v>
      </c>
      <c r="P62" s="133">
        <v>0.82</v>
      </c>
      <c r="Q62" s="133">
        <v>5.16</v>
      </c>
    </row>
    <row r="63" spans="1:17" customFormat="1">
      <c r="A63" s="111" t="s">
        <v>1540</v>
      </c>
      <c r="B63" s="133">
        <v>5.37</v>
      </c>
      <c r="C63" s="133">
        <v>27.67</v>
      </c>
      <c r="D63" s="133">
        <v>20.12</v>
      </c>
      <c r="E63" s="133">
        <v>10.5</v>
      </c>
      <c r="F63" s="133">
        <v>8.9</v>
      </c>
      <c r="G63" s="133">
        <v>82.98</v>
      </c>
      <c r="H63" s="133">
        <v>25.35</v>
      </c>
      <c r="I63" s="133">
        <v>8.09</v>
      </c>
      <c r="J63" s="133">
        <v>0.78</v>
      </c>
      <c r="K63" s="133">
        <v>25.89</v>
      </c>
      <c r="L63" s="133">
        <v>33.26</v>
      </c>
      <c r="M63" s="133">
        <v>34.82</v>
      </c>
      <c r="N63" s="133">
        <v>432.7</v>
      </c>
      <c r="O63" s="133">
        <v>0</v>
      </c>
      <c r="P63" s="133">
        <v>0.8</v>
      </c>
      <c r="Q63" s="133">
        <v>5.17</v>
      </c>
    </row>
    <row r="64" spans="1:17" customFormat="1">
      <c r="A64" s="111" t="s">
        <v>1541</v>
      </c>
      <c r="B64" s="133">
        <v>5.48</v>
      </c>
      <c r="C64" s="133">
        <v>26.73</v>
      </c>
      <c r="D64" s="133">
        <v>19.72</v>
      </c>
      <c r="E64" s="133">
        <v>9.2799999999999994</v>
      </c>
      <c r="F64" s="133">
        <v>7.74</v>
      </c>
      <c r="G64" s="133">
        <v>81.349999999999994</v>
      </c>
      <c r="H64" s="133">
        <v>24.49</v>
      </c>
      <c r="I64" s="133">
        <v>8.0299999999999994</v>
      </c>
      <c r="J64" s="133">
        <v>0.47</v>
      </c>
      <c r="K64" s="133">
        <v>38.159999999999997</v>
      </c>
      <c r="L64" s="133">
        <v>32.590000000000003</v>
      </c>
      <c r="M64" s="133">
        <v>37.36</v>
      </c>
      <c r="N64" s="133">
        <v>211.4</v>
      </c>
      <c r="O64" s="133">
        <v>0</v>
      </c>
      <c r="P64" s="133">
        <v>0.8</v>
      </c>
      <c r="Q64" s="133">
        <v>5.17</v>
      </c>
    </row>
    <row r="65" spans="1:17" customFormat="1">
      <c r="A65" s="111" t="s">
        <v>1542</v>
      </c>
      <c r="B65" s="133">
        <v>5.85</v>
      </c>
      <c r="C65" s="133">
        <v>25.55</v>
      </c>
      <c r="D65" s="133">
        <v>19.39</v>
      </c>
      <c r="E65" s="133">
        <v>7.97</v>
      </c>
      <c r="F65" s="133">
        <v>7.8</v>
      </c>
      <c r="G65" s="133">
        <v>72.47</v>
      </c>
      <c r="H65" s="133">
        <v>20.99</v>
      </c>
      <c r="I65" s="133">
        <v>7.58</v>
      </c>
      <c r="J65" s="133">
        <v>0.42</v>
      </c>
      <c r="K65" s="133">
        <v>44.87</v>
      </c>
      <c r="L65" s="133">
        <v>32.24</v>
      </c>
      <c r="M65" s="133">
        <v>40.340000000000003</v>
      </c>
      <c r="N65" s="133">
        <v>200.6</v>
      </c>
      <c r="O65" s="133">
        <v>0</v>
      </c>
      <c r="P65" s="133">
        <v>0.75</v>
      </c>
      <c r="Q65" s="133">
        <v>5.17</v>
      </c>
    </row>
    <row r="66" spans="1:17" customFormat="1">
      <c r="A66" s="111" t="s">
        <v>1543</v>
      </c>
      <c r="B66" s="133">
        <v>5.87</v>
      </c>
      <c r="C66" s="133">
        <v>23.7</v>
      </c>
      <c r="D66" s="133">
        <v>18.440000000000001</v>
      </c>
      <c r="E66" s="133">
        <v>8.11</v>
      </c>
      <c r="F66" s="133">
        <v>11.32</v>
      </c>
      <c r="G66" s="133">
        <v>72.47</v>
      </c>
      <c r="H66" s="133">
        <v>20.99</v>
      </c>
      <c r="I66" s="133">
        <v>7.48</v>
      </c>
      <c r="J66" s="133">
        <v>0.49</v>
      </c>
      <c r="K66" s="133">
        <v>45.1</v>
      </c>
      <c r="L66" s="133">
        <v>31.7</v>
      </c>
      <c r="M66" s="133">
        <v>42.03</v>
      </c>
      <c r="N66" s="133">
        <v>145.1</v>
      </c>
      <c r="O66" s="133">
        <v>0</v>
      </c>
      <c r="P66" s="133">
        <v>0.75</v>
      </c>
      <c r="Q66" s="133">
        <v>5.17</v>
      </c>
    </row>
    <row r="67" spans="1:17" customFormat="1">
      <c r="A67" s="111" t="s">
        <v>1544</v>
      </c>
      <c r="B67" s="133">
        <v>6</v>
      </c>
      <c r="C67" s="133">
        <v>22.39</v>
      </c>
      <c r="D67" s="133">
        <v>17.86</v>
      </c>
      <c r="E67" s="133">
        <v>8.3800000000000008</v>
      </c>
      <c r="F67" s="133">
        <v>11.75</v>
      </c>
      <c r="G67" s="133">
        <v>72.47</v>
      </c>
      <c r="H67" s="133">
        <v>20.99</v>
      </c>
      <c r="I67" s="133">
        <v>7.42</v>
      </c>
      <c r="J67" s="133">
        <v>0.33</v>
      </c>
      <c r="K67" s="133">
        <v>54.4</v>
      </c>
      <c r="L67" s="133">
        <v>31.73</v>
      </c>
      <c r="M67" s="133">
        <v>42.83</v>
      </c>
      <c r="N67" s="133">
        <v>161.69999999999999</v>
      </c>
      <c r="O67" s="133">
        <v>0</v>
      </c>
      <c r="P67" s="133">
        <v>0.71</v>
      </c>
      <c r="Q67" s="133">
        <v>5.13</v>
      </c>
    </row>
    <row r="68" spans="1:17" customFormat="1">
      <c r="A68" s="111" t="s">
        <v>1545</v>
      </c>
      <c r="B68" s="133">
        <v>6.32</v>
      </c>
      <c r="C68" s="133">
        <v>22.96</v>
      </c>
      <c r="D68" s="133">
        <v>18.420000000000002</v>
      </c>
      <c r="E68" s="133">
        <v>8.14</v>
      </c>
      <c r="F68" s="133">
        <v>13.71</v>
      </c>
      <c r="G68" s="133">
        <v>71.459999999999994</v>
      </c>
      <c r="H68" s="133">
        <v>20.82</v>
      </c>
      <c r="I68" s="133">
        <v>7.4</v>
      </c>
      <c r="J68" s="133">
        <v>0.42</v>
      </c>
      <c r="K68" s="133">
        <v>53.15</v>
      </c>
      <c r="L68" s="133">
        <v>31.7</v>
      </c>
      <c r="M68" s="133">
        <v>41.71</v>
      </c>
      <c r="N68" s="133">
        <v>144.9</v>
      </c>
      <c r="O68" s="133">
        <v>0</v>
      </c>
      <c r="P68" s="133">
        <v>0.7</v>
      </c>
      <c r="Q68" s="133">
        <v>5.08</v>
      </c>
    </row>
    <row r="69" spans="1:17" customFormat="1">
      <c r="A69" s="111" t="s">
        <v>1546</v>
      </c>
      <c r="B69" s="133">
        <v>6.59</v>
      </c>
      <c r="C69" s="133">
        <v>23.19</v>
      </c>
      <c r="D69" s="133">
        <v>18.75</v>
      </c>
      <c r="E69" s="133">
        <v>8.31</v>
      </c>
      <c r="F69" s="133">
        <v>13.14</v>
      </c>
      <c r="G69" s="133">
        <v>66</v>
      </c>
      <c r="H69" s="133">
        <v>20.11</v>
      </c>
      <c r="I69" s="133">
        <v>7.38</v>
      </c>
      <c r="J69" s="133">
        <v>0.3</v>
      </c>
      <c r="K69" s="133">
        <v>51.59</v>
      </c>
      <c r="L69" s="133">
        <v>31.62</v>
      </c>
      <c r="M69" s="133">
        <v>44.38</v>
      </c>
      <c r="N69" s="133">
        <v>124.2</v>
      </c>
      <c r="O69" s="133">
        <v>0</v>
      </c>
      <c r="P69" s="133">
        <v>0.68</v>
      </c>
      <c r="Q69" s="133">
        <v>5.08</v>
      </c>
    </row>
    <row r="70" spans="1:17" customFormat="1">
      <c r="A70" s="111" t="s">
        <v>1547</v>
      </c>
      <c r="B70" s="133">
        <v>6.7</v>
      </c>
      <c r="C70" s="133">
        <v>22.84</v>
      </c>
      <c r="D70" s="133">
        <v>18.66</v>
      </c>
      <c r="E70" s="133">
        <v>8.0399999999999991</v>
      </c>
      <c r="F70" s="133">
        <v>11.35</v>
      </c>
      <c r="G70" s="133">
        <v>66</v>
      </c>
      <c r="H70" s="133">
        <v>20.11</v>
      </c>
      <c r="I70" s="133">
        <v>6.87</v>
      </c>
      <c r="J70" s="133">
        <v>0.49</v>
      </c>
      <c r="K70" s="133">
        <v>42.62</v>
      </c>
      <c r="L70" s="133">
        <v>31.84</v>
      </c>
      <c r="M70" s="133">
        <v>44.69</v>
      </c>
      <c r="N70" s="133">
        <v>140.30000000000001</v>
      </c>
      <c r="O70" s="133">
        <v>0</v>
      </c>
      <c r="P70" s="133">
        <v>0.69</v>
      </c>
      <c r="Q70" s="133">
        <v>5.0999999999999996</v>
      </c>
    </row>
    <row r="71" spans="1:17" customFormat="1">
      <c r="A71" s="111" t="s">
        <v>1548</v>
      </c>
      <c r="B71" s="133">
        <v>6.66</v>
      </c>
      <c r="C71" s="133">
        <v>22.25</v>
      </c>
      <c r="D71" s="133">
        <v>18.32</v>
      </c>
      <c r="E71" s="133">
        <v>8.06</v>
      </c>
      <c r="F71" s="133">
        <v>13.68</v>
      </c>
      <c r="G71" s="133">
        <v>66</v>
      </c>
      <c r="H71" s="133">
        <v>20.11</v>
      </c>
      <c r="I71" s="133">
        <v>6.71</v>
      </c>
      <c r="J71" s="133">
        <v>0.53</v>
      </c>
      <c r="K71" s="133">
        <v>43.29</v>
      </c>
      <c r="L71" s="133">
        <v>31.65</v>
      </c>
      <c r="M71" s="133">
        <v>43.83</v>
      </c>
      <c r="N71" s="133">
        <v>76.099999999999994</v>
      </c>
      <c r="O71" s="133">
        <v>0</v>
      </c>
      <c r="P71" s="133">
        <v>0.67</v>
      </c>
      <c r="Q71" s="133">
        <v>5.0999999999999996</v>
      </c>
    </row>
    <row r="72" spans="1:17" customFormat="1">
      <c r="A72" s="111" t="s">
        <v>1549</v>
      </c>
      <c r="B72" s="133">
        <v>7.77</v>
      </c>
      <c r="C72" s="133">
        <v>23.48</v>
      </c>
      <c r="D72" s="133">
        <v>19.850000000000001</v>
      </c>
      <c r="E72" s="133">
        <v>8.69</v>
      </c>
      <c r="F72" s="133">
        <v>18.87</v>
      </c>
      <c r="G72" s="133">
        <v>65.61</v>
      </c>
      <c r="H72" s="133">
        <v>19.510000000000002</v>
      </c>
      <c r="I72" s="133">
        <v>6.84</v>
      </c>
      <c r="J72" s="133">
        <v>0.55000000000000004</v>
      </c>
      <c r="K72" s="133">
        <v>21.05</v>
      </c>
      <c r="L72" s="133">
        <v>31.59</v>
      </c>
      <c r="M72" s="133">
        <v>43.73</v>
      </c>
      <c r="N72" s="133">
        <v>57.6</v>
      </c>
      <c r="O72" s="133">
        <v>0</v>
      </c>
      <c r="P72" s="133">
        <v>0.65</v>
      </c>
      <c r="Q72" s="133">
        <v>5.1100000000000003</v>
      </c>
    </row>
    <row r="73" spans="1:17" customFormat="1">
      <c r="A73" s="111" t="s">
        <v>1550</v>
      </c>
      <c r="B73" s="133">
        <v>9.18</v>
      </c>
      <c r="C73" s="133">
        <v>24.05</v>
      </c>
      <c r="D73" s="133">
        <v>21.28</v>
      </c>
      <c r="E73" s="133">
        <v>8.31</v>
      </c>
      <c r="F73" s="133">
        <v>16.23</v>
      </c>
      <c r="G73" s="133">
        <v>63.46</v>
      </c>
      <c r="H73" s="133">
        <v>17.11</v>
      </c>
      <c r="I73" s="133">
        <v>6.68</v>
      </c>
      <c r="J73" s="133">
        <v>0.47</v>
      </c>
      <c r="K73" s="133">
        <v>43.03</v>
      </c>
      <c r="L73" s="133">
        <v>31.4</v>
      </c>
      <c r="M73" s="133">
        <v>44.53</v>
      </c>
      <c r="N73" s="133">
        <v>49.8</v>
      </c>
      <c r="O73" s="133">
        <v>0</v>
      </c>
      <c r="P73" s="133">
        <v>0.64</v>
      </c>
      <c r="Q73" s="133">
        <v>5.08</v>
      </c>
    </row>
    <row r="74" spans="1:17" customFormat="1">
      <c r="A74" s="111" t="s">
        <v>1551</v>
      </c>
      <c r="B74" s="133">
        <v>8.4600000000000009</v>
      </c>
      <c r="C74" s="133">
        <v>23.23</v>
      </c>
      <c r="D74" s="133">
        <v>20.27</v>
      </c>
      <c r="E74" s="133">
        <v>8.5299999999999994</v>
      </c>
      <c r="F74" s="133">
        <v>17.149999999999999</v>
      </c>
      <c r="G74" s="133">
        <v>63.46</v>
      </c>
      <c r="H74" s="133">
        <v>17.11</v>
      </c>
      <c r="I74" s="133">
        <v>5.94</v>
      </c>
      <c r="J74" s="133">
        <v>0.33</v>
      </c>
      <c r="K74" s="133">
        <v>30.9</v>
      </c>
      <c r="L74" s="133">
        <v>31.17</v>
      </c>
      <c r="M74" s="133">
        <v>45.85</v>
      </c>
      <c r="N74" s="133">
        <v>44</v>
      </c>
      <c r="O74" s="133">
        <v>0</v>
      </c>
      <c r="P74" s="133">
        <v>0.67</v>
      </c>
      <c r="Q74" s="133">
        <v>5.12</v>
      </c>
    </row>
    <row r="75" spans="1:17" customFormat="1">
      <c r="A75" s="111" t="s">
        <v>1552</v>
      </c>
      <c r="B75" s="133">
        <v>8.1</v>
      </c>
      <c r="C75" s="133">
        <v>24.31</v>
      </c>
      <c r="D75" s="133">
        <v>20.55</v>
      </c>
      <c r="E75" s="133">
        <v>8.14</v>
      </c>
      <c r="F75" s="133">
        <v>12.92</v>
      </c>
      <c r="G75" s="133">
        <v>63.46</v>
      </c>
      <c r="H75" s="133">
        <v>17.11</v>
      </c>
      <c r="I75" s="133">
        <v>6.32</v>
      </c>
      <c r="J75" s="133">
        <v>0.17</v>
      </c>
      <c r="K75" s="133">
        <v>16.3</v>
      </c>
      <c r="L75" s="133">
        <v>30.86</v>
      </c>
      <c r="M75" s="133">
        <v>49.66</v>
      </c>
      <c r="N75" s="133">
        <v>26.8</v>
      </c>
      <c r="O75" s="133">
        <v>0</v>
      </c>
      <c r="P75" s="133">
        <v>0.67</v>
      </c>
      <c r="Q75" s="133">
        <v>5.15</v>
      </c>
    </row>
    <row r="76" spans="1:17" customFormat="1">
      <c r="A76" s="111" t="s">
        <v>1553</v>
      </c>
      <c r="B76" s="133">
        <v>8.93</v>
      </c>
      <c r="C76" s="133">
        <v>26.68</v>
      </c>
      <c r="D76" s="133">
        <v>22.45</v>
      </c>
      <c r="E76" s="133">
        <v>7.91</v>
      </c>
      <c r="F76" s="133">
        <v>9.86</v>
      </c>
      <c r="G76" s="133">
        <v>64.03</v>
      </c>
      <c r="H76" s="133">
        <v>17.37</v>
      </c>
      <c r="I76" s="133">
        <v>6.1</v>
      </c>
      <c r="J76" s="133">
        <v>0.06</v>
      </c>
      <c r="K76" s="133">
        <v>96.11</v>
      </c>
      <c r="L76" s="133">
        <v>30.22</v>
      </c>
      <c r="M76" s="133">
        <v>53.73</v>
      </c>
      <c r="N76" s="133">
        <v>15.8</v>
      </c>
      <c r="O76" s="133">
        <v>0</v>
      </c>
      <c r="P76" s="133">
        <v>0.68</v>
      </c>
      <c r="Q76" s="133">
        <v>5.17</v>
      </c>
    </row>
    <row r="77" spans="1:17" customFormat="1">
      <c r="A77" s="111" t="s">
        <v>1554</v>
      </c>
      <c r="B77" s="133">
        <v>7.9</v>
      </c>
      <c r="C77" s="133">
        <v>25.53</v>
      </c>
      <c r="D77" s="133">
        <v>21.03</v>
      </c>
      <c r="E77" s="133">
        <v>7.8</v>
      </c>
      <c r="F77" s="133">
        <v>9.6300000000000008</v>
      </c>
      <c r="G77" s="133">
        <v>67.13</v>
      </c>
      <c r="H77" s="133">
        <v>18.43</v>
      </c>
      <c r="I77" s="133">
        <v>6.07</v>
      </c>
      <c r="J77" s="133">
        <v>0.27</v>
      </c>
      <c r="K77" s="133">
        <v>172.02</v>
      </c>
      <c r="L77" s="133">
        <v>29.2</v>
      </c>
      <c r="M77" s="133">
        <v>56.78</v>
      </c>
      <c r="N77" s="133">
        <v>5.6</v>
      </c>
      <c r="O77" s="133">
        <v>0</v>
      </c>
      <c r="P77" s="133">
        <v>0.67</v>
      </c>
      <c r="Q77" s="133">
        <v>5.18</v>
      </c>
    </row>
    <row r="78" spans="1:17" customFormat="1">
      <c r="A78" s="111" t="s">
        <v>1555</v>
      </c>
      <c r="B78" s="133">
        <v>7.46</v>
      </c>
      <c r="C78" s="133">
        <v>25.22</v>
      </c>
      <c r="D78" s="133">
        <v>20.51</v>
      </c>
      <c r="E78" s="133">
        <v>7.32</v>
      </c>
      <c r="F78" s="133">
        <v>8.49</v>
      </c>
      <c r="G78" s="133">
        <v>67.13</v>
      </c>
      <c r="H78" s="133">
        <v>18.43</v>
      </c>
      <c r="I78" s="133">
        <v>5.89</v>
      </c>
      <c r="J78" s="133">
        <v>0.16</v>
      </c>
      <c r="K78" s="133">
        <v>192.7</v>
      </c>
      <c r="L78" s="133">
        <v>28.75</v>
      </c>
      <c r="M78" s="133">
        <v>56.33</v>
      </c>
      <c r="N78" s="133">
        <v>0</v>
      </c>
      <c r="O78" s="133">
        <v>0</v>
      </c>
      <c r="P78" s="133">
        <v>0.69</v>
      </c>
      <c r="Q78" s="133">
        <v>5.21</v>
      </c>
    </row>
    <row r="79" spans="1:17" customFormat="1">
      <c r="A79" s="111" t="s">
        <v>1556</v>
      </c>
      <c r="B79" s="133">
        <v>8.06</v>
      </c>
      <c r="C79" s="133">
        <v>26.29</v>
      </c>
      <c r="D79" s="133">
        <v>21.55</v>
      </c>
      <c r="E79" s="133">
        <v>7.28</v>
      </c>
      <c r="F79" s="133">
        <v>5.4</v>
      </c>
      <c r="G79" s="133">
        <v>67.13</v>
      </c>
      <c r="H79" s="133">
        <v>18.43</v>
      </c>
      <c r="I79" s="133">
        <v>6.17</v>
      </c>
      <c r="J79" s="133">
        <v>0.2</v>
      </c>
      <c r="K79" s="133">
        <v>175.84</v>
      </c>
      <c r="L79" s="133">
        <v>28.01</v>
      </c>
      <c r="M79" s="133">
        <v>63.48</v>
      </c>
      <c r="N79" s="133">
        <v>0</v>
      </c>
      <c r="O79" s="133">
        <v>0</v>
      </c>
      <c r="P79" s="133">
        <v>0.7</v>
      </c>
      <c r="Q79" s="133">
        <v>5.26</v>
      </c>
    </row>
    <row r="80" spans="1:17" customFormat="1">
      <c r="A80" s="111" t="s">
        <v>1557</v>
      </c>
      <c r="B80" s="133">
        <v>7.89</v>
      </c>
      <c r="C80" s="133">
        <v>25.09</v>
      </c>
      <c r="D80" s="133">
        <v>20.79</v>
      </c>
      <c r="E80" s="133">
        <v>6.6</v>
      </c>
      <c r="F80" s="133">
        <v>5.94</v>
      </c>
      <c r="G80" s="133">
        <v>68.08</v>
      </c>
      <c r="H80" s="133">
        <v>19.03</v>
      </c>
      <c r="I80" s="133">
        <v>7.17</v>
      </c>
      <c r="J80" s="133">
        <v>0.15</v>
      </c>
      <c r="K80" s="133">
        <v>175.67</v>
      </c>
      <c r="L80" s="133">
        <v>27.44</v>
      </c>
      <c r="M80" s="133">
        <v>71.41</v>
      </c>
      <c r="N80" s="133">
        <v>0</v>
      </c>
      <c r="O80" s="133">
        <v>0</v>
      </c>
      <c r="P80" s="133">
        <v>0.74</v>
      </c>
      <c r="Q80" s="133">
        <v>5.3</v>
      </c>
    </row>
    <row r="81" spans="1:17" customFormat="1">
      <c r="A81" s="111" t="s">
        <v>1558</v>
      </c>
      <c r="B81" s="133">
        <v>8.73</v>
      </c>
      <c r="C81" s="133">
        <v>25.14</v>
      </c>
      <c r="D81" s="133">
        <v>21.49</v>
      </c>
      <c r="E81" s="133">
        <v>6.69</v>
      </c>
      <c r="F81" s="133">
        <v>4.3099999999999996</v>
      </c>
      <c r="G81" s="133">
        <v>73.239999999999995</v>
      </c>
      <c r="H81" s="133">
        <v>21.47</v>
      </c>
      <c r="I81" s="133">
        <v>7.46</v>
      </c>
      <c r="J81" s="133">
        <v>0.17</v>
      </c>
      <c r="K81" s="133">
        <v>170.12</v>
      </c>
      <c r="L81" s="133">
        <v>27.19</v>
      </c>
      <c r="M81" s="133">
        <v>74.52</v>
      </c>
      <c r="N81" s="133">
        <v>0</v>
      </c>
      <c r="O81" s="133">
        <v>0</v>
      </c>
      <c r="P81" s="133">
        <v>0.74</v>
      </c>
      <c r="Q81" s="133">
        <v>5.31</v>
      </c>
    </row>
    <row r="82" spans="1:17" customFormat="1">
      <c r="A82" s="111" t="s">
        <v>1559</v>
      </c>
      <c r="B82" s="133">
        <v>9.75</v>
      </c>
      <c r="C82" s="133">
        <v>25.76</v>
      </c>
      <c r="D82" s="133">
        <v>22.63</v>
      </c>
      <c r="E82" s="133">
        <v>7.45</v>
      </c>
      <c r="F82" s="133">
        <v>3.44</v>
      </c>
      <c r="G82" s="133">
        <v>73.239999999999995</v>
      </c>
      <c r="H82" s="133">
        <v>21.47</v>
      </c>
      <c r="I82" s="133">
        <v>7.46</v>
      </c>
      <c r="J82" s="133">
        <v>0.15</v>
      </c>
      <c r="K82" s="133">
        <v>166.15</v>
      </c>
      <c r="L82" s="133">
        <v>26.94</v>
      </c>
      <c r="M82" s="133">
        <v>76.709999999999994</v>
      </c>
      <c r="N82" s="133">
        <v>0</v>
      </c>
      <c r="O82" s="133">
        <v>0</v>
      </c>
      <c r="P82" s="133">
        <v>0.77</v>
      </c>
      <c r="Q82" s="133">
        <v>5.39</v>
      </c>
    </row>
    <row r="83" spans="1:17" customFormat="1">
      <c r="A83" s="111" t="s">
        <v>1560</v>
      </c>
      <c r="B83" s="133">
        <v>12.02</v>
      </c>
      <c r="C83" s="133">
        <v>27.55</v>
      </c>
      <c r="D83" s="133">
        <v>25.39</v>
      </c>
      <c r="E83" s="133">
        <v>7.5</v>
      </c>
      <c r="F83" s="133">
        <v>2.97</v>
      </c>
      <c r="G83" s="133">
        <v>73.239999999999995</v>
      </c>
      <c r="H83" s="133">
        <v>21.47</v>
      </c>
      <c r="I83" s="133">
        <v>7.35</v>
      </c>
      <c r="J83" s="133">
        <v>0.19</v>
      </c>
      <c r="K83" s="133">
        <v>177.58</v>
      </c>
      <c r="L83" s="133">
        <v>26.84</v>
      </c>
      <c r="M83" s="133">
        <v>78.91</v>
      </c>
      <c r="N83" s="133">
        <v>0</v>
      </c>
      <c r="O83" s="133">
        <v>0</v>
      </c>
      <c r="P83" s="133">
        <v>0.79</v>
      </c>
      <c r="Q83" s="133">
        <v>5.45</v>
      </c>
    </row>
    <row r="84" spans="1:17" customFormat="1">
      <c r="A84" s="111" t="s">
        <v>1561</v>
      </c>
      <c r="B84" s="133">
        <v>11.5</v>
      </c>
      <c r="C84" s="133">
        <v>26.99</v>
      </c>
      <c r="D84" s="133">
        <v>24.68</v>
      </c>
      <c r="E84" s="133">
        <v>7.12</v>
      </c>
      <c r="F84" s="133">
        <v>3.79</v>
      </c>
      <c r="G84" s="133">
        <v>75.010000000000005</v>
      </c>
      <c r="H84" s="133">
        <v>21.51</v>
      </c>
      <c r="I84" s="133">
        <v>7.46</v>
      </c>
      <c r="J84" s="133">
        <v>0.18</v>
      </c>
      <c r="K84" s="133">
        <v>179.23</v>
      </c>
      <c r="L84" s="133">
        <v>26.27</v>
      </c>
      <c r="M84" s="133">
        <v>79.69</v>
      </c>
      <c r="N84" s="133">
        <v>0</v>
      </c>
      <c r="O84" s="133">
        <v>0</v>
      </c>
      <c r="P84" s="133">
        <v>0.79</v>
      </c>
      <c r="Q84" s="133">
        <v>5.56</v>
      </c>
    </row>
    <row r="85" spans="1:17" customFormat="1">
      <c r="A85" s="111" t="s">
        <v>1562</v>
      </c>
      <c r="B85" s="133">
        <v>11.16</v>
      </c>
      <c r="C85" s="133">
        <v>26.84</v>
      </c>
      <c r="D85" s="133">
        <v>24.32</v>
      </c>
      <c r="E85" s="133">
        <v>7.8</v>
      </c>
      <c r="F85" s="133">
        <v>3.98</v>
      </c>
      <c r="G85" s="133">
        <v>84.62</v>
      </c>
      <c r="H85" s="133">
        <v>21.7</v>
      </c>
      <c r="I85" s="133">
        <v>7.81</v>
      </c>
      <c r="J85" s="133">
        <v>0.11</v>
      </c>
      <c r="K85" s="133">
        <v>214.79</v>
      </c>
      <c r="L85" s="133">
        <v>25.91</v>
      </c>
      <c r="M85" s="133">
        <v>78.84</v>
      </c>
      <c r="N85" s="133">
        <v>0</v>
      </c>
      <c r="O85" s="133">
        <v>0</v>
      </c>
      <c r="P85" s="133">
        <v>0.8</v>
      </c>
      <c r="Q85" s="133">
        <v>5.61</v>
      </c>
    </row>
    <row r="86" spans="1:17" customFormat="1">
      <c r="A86" s="111" t="s">
        <v>1563</v>
      </c>
      <c r="B86" s="133">
        <v>11.2</v>
      </c>
      <c r="C86" s="133">
        <v>26.73</v>
      </c>
      <c r="D86" s="133">
        <v>24.3</v>
      </c>
      <c r="E86" s="133">
        <v>7.98</v>
      </c>
      <c r="F86" s="133">
        <v>3.6</v>
      </c>
      <c r="G86" s="133">
        <v>84.62</v>
      </c>
      <c r="H86" s="133">
        <v>21.7</v>
      </c>
      <c r="I86" s="133">
        <v>7.74</v>
      </c>
      <c r="J86" s="133">
        <v>0.14000000000000001</v>
      </c>
      <c r="K86" s="133">
        <v>167.48</v>
      </c>
      <c r="L86" s="133">
        <v>25.98</v>
      </c>
      <c r="M86" s="133">
        <v>81.33</v>
      </c>
      <c r="N86" s="133">
        <v>0</v>
      </c>
      <c r="O86" s="133">
        <v>0</v>
      </c>
      <c r="P86" s="133">
        <v>0.8</v>
      </c>
      <c r="Q86" s="133">
        <v>5.63</v>
      </c>
    </row>
    <row r="87" spans="1:17" customFormat="1">
      <c r="A87" s="111" t="s">
        <v>1564</v>
      </c>
      <c r="B87" s="133">
        <v>11.06</v>
      </c>
      <c r="C87" s="133">
        <v>26.74</v>
      </c>
      <c r="D87" s="133">
        <v>24.19</v>
      </c>
      <c r="E87" s="133">
        <v>7.69</v>
      </c>
      <c r="F87" s="133">
        <v>3.1</v>
      </c>
      <c r="G87" s="133">
        <v>84.62</v>
      </c>
      <c r="H87" s="133">
        <v>21.7</v>
      </c>
      <c r="I87" s="133">
        <v>7.8</v>
      </c>
      <c r="J87" s="133">
        <v>0.13</v>
      </c>
      <c r="K87" s="133">
        <v>231.92</v>
      </c>
      <c r="L87" s="133">
        <v>25.78</v>
      </c>
      <c r="M87" s="133">
        <v>79.22</v>
      </c>
      <c r="N87" s="133">
        <v>0</v>
      </c>
      <c r="O87" s="133">
        <v>0</v>
      </c>
      <c r="P87" s="133">
        <v>0.8</v>
      </c>
      <c r="Q87" s="133">
        <v>5.66</v>
      </c>
    </row>
    <row r="88" spans="1:17" customFormat="1">
      <c r="A88" s="111" t="s">
        <v>1565</v>
      </c>
      <c r="B88" s="133">
        <v>11.05</v>
      </c>
      <c r="C88" s="133">
        <v>26.57</v>
      </c>
      <c r="D88" s="133">
        <v>24.1</v>
      </c>
      <c r="E88" s="133">
        <v>7.79</v>
      </c>
      <c r="F88" s="133">
        <v>2.96</v>
      </c>
      <c r="G88" s="133">
        <v>82.47</v>
      </c>
      <c r="H88" s="133">
        <v>21.73</v>
      </c>
      <c r="I88" s="133">
        <v>7.81</v>
      </c>
      <c r="J88" s="133">
        <v>0.1</v>
      </c>
      <c r="K88" s="133">
        <v>214.66</v>
      </c>
      <c r="L88" s="133">
        <v>25.7</v>
      </c>
      <c r="M88" s="133">
        <v>79.05</v>
      </c>
      <c r="N88" s="133">
        <v>0</v>
      </c>
      <c r="O88" s="133">
        <v>0</v>
      </c>
      <c r="P88" s="133">
        <v>0.8</v>
      </c>
      <c r="Q88" s="133">
        <v>5.67</v>
      </c>
    </row>
    <row r="89" spans="1:17" customFormat="1">
      <c r="A89" s="111" t="s">
        <v>1566</v>
      </c>
      <c r="B89" s="133">
        <v>11.13</v>
      </c>
      <c r="C89" s="133">
        <v>26.59</v>
      </c>
      <c r="D89" s="133">
        <v>24.17</v>
      </c>
      <c r="E89" s="133">
        <v>7.79</v>
      </c>
      <c r="F89" s="133">
        <v>2.89</v>
      </c>
      <c r="G89" s="133">
        <v>70.78</v>
      </c>
      <c r="H89" s="133">
        <v>21.86</v>
      </c>
      <c r="I89" s="133">
        <v>7.76</v>
      </c>
      <c r="J89" s="133">
        <v>0.19</v>
      </c>
      <c r="K89" s="133">
        <v>246.01</v>
      </c>
      <c r="L89" s="133">
        <v>25.51</v>
      </c>
      <c r="M89" s="133">
        <v>81.7</v>
      </c>
      <c r="N89" s="133">
        <v>0</v>
      </c>
      <c r="O89" s="133">
        <v>0</v>
      </c>
      <c r="P89" s="133">
        <v>0.81</v>
      </c>
      <c r="Q89" s="133">
        <v>5.68</v>
      </c>
    </row>
    <row r="90" spans="1:17" customFormat="1">
      <c r="A90" s="111" t="s">
        <v>1567</v>
      </c>
      <c r="B90" s="133">
        <v>11.02</v>
      </c>
      <c r="C90" s="133">
        <v>26.83</v>
      </c>
      <c r="D90" s="133">
        <v>24.21</v>
      </c>
      <c r="E90" s="133">
        <v>7.41</v>
      </c>
      <c r="F90" s="133">
        <v>2.9</v>
      </c>
      <c r="G90" s="133">
        <v>70.78</v>
      </c>
      <c r="H90" s="133">
        <v>21.86</v>
      </c>
      <c r="I90" s="133">
        <v>7.75</v>
      </c>
      <c r="J90" s="133">
        <v>0.18</v>
      </c>
      <c r="K90" s="133">
        <v>167.32</v>
      </c>
      <c r="L90" s="133">
        <v>25.49</v>
      </c>
      <c r="M90" s="133">
        <v>81.05</v>
      </c>
      <c r="N90" s="133">
        <v>0</v>
      </c>
      <c r="O90" s="133">
        <v>0</v>
      </c>
      <c r="P90" s="133">
        <v>0.81</v>
      </c>
      <c r="Q90" s="133">
        <v>5.71</v>
      </c>
    </row>
    <row r="91" spans="1:17" customFormat="1">
      <c r="A91" s="111" t="s">
        <v>1568</v>
      </c>
      <c r="B91" s="133">
        <v>10.93</v>
      </c>
      <c r="C91" s="133">
        <v>26.72</v>
      </c>
      <c r="D91" s="133">
        <v>24.07</v>
      </c>
      <c r="E91" s="133">
        <v>7.85</v>
      </c>
      <c r="F91" s="133">
        <v>2.81</v>
      </c>
      <c r="G91" s="133">
        <v>70.78</v>
      </c>
      <c r="H91" s="133">
        <v>21.86</v>
      </c>
      <c r="I91" s="133">
        <v>7.78</v>
      </c>
      <c r="J91" s="133">
        <v>0.1</v>
      </c>
      <c r="K91" s="133">
        <v>195.8</v>
      </c>
      <c r="L91" s="133">
        <v>25.38</v>
      </c>
      <c r="M91" s="133">
        <v>82.75</v>
      </c>
      <c r="N91" s="133">
        <v>0</v>
      </c>
      <c r="O91" s="133">
        <v>0</v>
      </c>
      <c r="P91" s="133">
        <v>0.81</v>
      </c>
      <c r="Q91" s="133">
        <v>5.73</v>
      </c>
    </row>
    <row r="92" spans="1:17" customFormat="1">
      <c r="A92" s="111" t="s">
        <v>1569</v>
      </c>
      <c r="B92" s="133">
        <v>10.94</v>
      </c>
      <c r="C92" s="133">
        <v>26.77</v>
      </c>
      <c r="D92" s="133">
        <v>24.11</v>
      </c>
      <c r="E92" s="133">
        <v>7.91</v>
      </c>
      <c r="F92" s="133">
        <v>2.67</v>
      </c>
      <c r="G92" s="133">
        <v>71.16</v>
      </c>
      <c r="H92" s="133">
        <v>21.69</v>
      </c>
      <c r="I92" s="133">
        <v>7.8</v>
      </c>
      <c r="J92" s="133">
        <v>0.13</v>
      </c>
      <c r="K92" s="133">
        <v>189.12</v>
      </c>
      <c r="L92" s="133">
        <v>25.41</v>
      </c>
      <c r="M92" s="133">
        <v>81.36</v>
      </c>
      <c r="N92" s="133">
        <v>0</v>
      </c>
      <c r="O92" s="133">
        <v>0</v>
      </c>
      <c r="P92" s="133">
        <v>0.82</v>
      </c>
      <c r="Q92" s="133">
        <v>5.74</v>
      </c>
    </row>
    <row r="93" spans="1:17" customFormat="1">
      <c r="A93" s="111" t="s">
        <v>1570</v>
      </c>
      <c r="B93" s="133">
        <v>10.96</v>
      </c>
      <c r="C93" s="133">
        <v>27.13</v>
      </c>
      <c r="D93" s="133">
        <v>24.31</v>
      </c>
      <c r="E93" s="133">
        <v>7.63</v>
      </c>
      <c r="F93" s="133">
        <v>2.63</v>
      </c>
      <c r="G93" s="133">
        <v>73.209999999999994</v>
      </c>
      <c r="H93" s="133">
        <v>21.01</v>
      </c>
      <c r="I93" s="133">
        <v>7.78</v>
      </c>
      <c r="J93" s="133">
        <v>0.3</v>
      </c>
      <c r="K93" s="133">
        <v>181.49</v>
      </c>
      <c r="L93" s="133">
        <v>25.28</v>
      </c>
      <c r="M93" s="133">
        <v>85.68</v>
      </c>
      <c r="N93" s="133">
        <v>0</v>
      </c>
      <c r="O93" s="133">
        <v>0</v>
      </c>
      <c r="P93" s="133">
        <v>0.82</v>
      </c>
      <c r="Q93" s="133">
        <v>5.77</v>
      </c>
    </row>
    <row r="94" spans="1:17" customFormat="1">
      <c r="A94" s="111" t="s">
        <v>1571</v>
      </c>
      <c r="B94" s="133">
        <v>10.95</v>
      </c>
      <c r="C94" s="133">
        <v>27.22</v>
      </c>
      <c r="D94" s="133">
        <v>24.35</v>
      </c>
      <c r="E94" s="133">
        <v>7.86</v>
      </c>
      <c r="F94" s="133">
        <v>2.58</v>
      </c>
      <c r="G94" s="133">
        <v>73.209999999999994</v>
      </c>
      <c r="H94" s="133">
        <v>21.01</v>
      </c>
      <c r="I94" s="133">
        <v>7.87</v>
      </c>
      <c r="J94" s="133">
        <v>0.14000000000000001</v>
      </c>
      <c r="K94" s="133">
        <v>205.85</v>
      </c>
      <c r="L94" s="133">
        <v>25.06</v>
      </c>
      <c r="M94" s="133">
        <v>85.7</v>
      </c>
      <c r="N94" s="133">
        <v>0</v>
      </c>
      <c r="O94" s="133">
        <v>0</v>
      </c>
      <c r="P94" s="133">
        <v>0.83</v>
      </c>
      <c r="Q94" s="133">
        <v>5.76</v>
      </c>
    </row>
    <row r="95" spans="1:17" customFormat="1">
      <c r="A95" s="111" t="s">
        <v>1572</v>
      </c>
      <c r="B95" s="133">
        <v>10.94</v>
      </c>
      <c r="C95" s="133">
        <v>27.5</v>
      </c>
      <c r="D95" s="133">
        <v>24.49</v>
      </c>
      <c r="E95" s="133">
        <v>7.76</v>
      </c>
      <c r="F95" s="133">
        <v>2.4300000000000002</v>
      </c>
      <c r="G95" s="133">
        <v>73.209999999999994</v>
      </c>
      <c r="H95" s="133">
        <v>21.01</v>
      </c>
      <c r="I95" s="133">
        <v>7.91</v>
      </c>
      <c r="J95" s="133">
        <v>0.14000000000000001</v>
      </c>
      <c r="K95" s="133">
        <v>221.19</v>
      </c>
      <c r="L95" s="133">
        <v>24.81</v>
      </c>
      <c r="M95" s="133">
        <v>85.61</v>
      </c>
      <c r="N95" s="133">
        <v>0</v>
      </c>
      <c r="O95" s="133">
        <v>0</v>
      </c>
      <c r="P95" s="133">
        <v>0.85</v>
      </c>
      <c r="Q95" s="133">
        <v>5.78</v>
      </c>
    </row>
    <row r="96" spans="1:17" customFormat="1">
      <c r="A96" s="111" t="s">
        <v>1573</v>
      </c>
      <c r="B96" s="133">
        <v>11.15</v>
      </c>
      <c r="C96" s="133">
        <v>28</v>
      </c>
      <c r="D96" s="133">
        <v>24.92</v>
      </c>
      <c r="E96" s="133">
        <v>8.0399999999999991</v>
      </c>
      <c r="F96" s="133">
        <v>2.37</v>
      </c>
      <c r="G96" s="133">
        <v>73.94</v>
      </c>
      <c r="H96" s="133">
        <v>21.55</v>
      </c>
      <c r="I96" s="133">
        <v>7.94</v>
      </c>
      <c r="J96" s="133">
        <v>0.14000000000000001</v>
      </c>
      <c r="K96" s="133">
        <v>204.84</v>
      </c>
      <c r="L96" s="133">
        <v>24.84</v>
      </c>
      <c r="M96" s="133">
        <v>85.62</v>
      </c>
      <c r="N96" s="133">
        <v>0</v>
      </c>
      <c r="O96" s="133">
        <v>0</v>
      </c>
      <c r="P96" s="133">
        <v>0.87</v>
      </c>
      <c r="Q96" s="133">
        <v>5.76</v>
      </c>
    </row>
    <row r="97" spans="1:22" customFormat="1">
      <c r="A97" s="111" t="s">
        <v>1574</v>
      </c>
      <c r="B97" s="133">
        <v>11.36</v>
      </c>
      <c r="C97" s="133">
        <v>28.51</v>
      </c>
      <c r="D97" s="133">
        <v>25.36</v>
      </c>
      <c r="E97" s="133">
        <v>8.11</v>
      </c>
      <c r="F97" s="133">
        <v>2.46</v>
      </c>
      <c r="G97" s="133">
        <v>77.92</v>
      </c>
      <c r="H97" s="133">
        <v>23.75</v>
      </c>
      <c r="I97" s="133">
        <v>8.07</v>
      </c>
      <c r="J97" s="133">
        <v>0.18</v>
      </c>
      <c r="K97" s="133">
        <v>185.31</v>
      </c>
      <c r="L97" s="133">
        <v>24.75</v>
      </c>
      <c r="M97" s="133">
        <v>88.69</v>
      </c>
      <c r="N97" s="133">
        <v>0</v>
      </c>
      <c r="O97" s="133">
        <v>0</v>
      </c>
      <c r="P97" s="133">
        <v>0.9</v>
      </c>
      <c r="Q97" s="133">
        <v>5.77</v>
      </c>
    </row>
    <row r="98" spans="1:22" customFormat="1">
      <c r="A98" s="111" t="s">
        <v>1575</v>
      </c>
      <c r="B98" s="133">
        <v>11.62</v>
      </c>
      <c r="C98" s="133">
        <v>28.56</v>
      </c>
      <c r="D98" s="133">
        <v>25.59</v>
      </c>
      <c r="E98" s="133">
        <v>8.0399999999999991</v>
      </c>
      <c r="F98" s="133">
        <v>2.4</v>
      </c>
      <c r="G98" s="133">
        <v>77.92</v>
      </c>
      <c r="H98" s="133">
        <v>23.75</v>
      </c>
      <c r="I98" s="133">
        <v>8.25</v>
      </c>
      <c r="J98" s="133">
        <v>0.2</v>
      </c>
      <c r="K98" s="133">
        <v>253.73</v>
      </c>
      <c r="L98" s="133">
        <v>24.68</v>
      </c>
      <c r="M98" s="133">
        <v>87.01</v>
      </c>
      <c r="N98" s="133">
        <v>0</v>
      </c>
      <c r="O98" s="133">
        <v>0</v>
      </c>
      <c r="P98" s="133">
        <v>0.92</v>
      </c>
      <c r="Q98" s="133">
        <v>5.79</v>
      </c>
    </row>
    <row r="99" spans="1:22" customFormat="1">
      <c r="A99" s="111" t="s">
        <v>1576</v>
      </c>
      <c r="B99" s="133">
        <v>11.78</v>
      </c>
      <c r="C99" s="133">
        <v>28.96</v>
      </c>
      <c r="D99" s="133">
        <v>25.93</v>
      </c>
      <c r="E99" s="133">
        <v>8.01</v>
      </c>
      <c r="F99" s="133">
        <v>2.48</v>
      </c>
      <c r="G99" s="133">
        <v>77.92</v>
      </c>
      <c r="H99" s="133">
        <v>23.75</v>
      </c>
      <c r="I99" s="133">
        <v>8.39</v>
      </c>
      <c r="J99" s="133">
        <v>0.15</v>
      </c>
      <c r="K99" s="133">
        <v>225.46</v>
      </c>
      <c r="L99" s="133">
        <v>24.64</v>
      </c>
      <c r="M99" s="133">
        <v>86.05</v>
      </c>
      <c r="N99" s="133">
        <v>0</v>
      </c>
      <c r="O99" s="133">
        <v>0</v>
      </c>
      <c r="P99" s="133">
        <v>0.94</v>
      </c>
      <c r="Q99" s="133">
        <v>5.79</v>
      </c>
    </row>
    <row r="100" spans="1:22" customFormat="1">
      <c r="A100" s="111" t="s">
        <v>1577</v>
      </c>
      <c r="B100" s="133">
        <v>12.19</v>
      </c>
      <c r="C100" s="133">
        <v>29.47</v>
      </c>
      <c r="D100" s="133">
        <v>26.53</v>
      </c>
      <c r="E100" s="133">
        <v>8.4600000000000009</v>
      </c>
      <c r="F100" s="133">
        <v>2.39</v>
      </c>
      <c r="G100" s="133">
        <v>79.569999999999993</v>
      </c>
      <c r="H100" s="133">
        <v>24.19</v>
      </c>
      <c r="I100" s="133">
        <v>8.59</v>
      </c>
      <c r="J100" s="133">
        <v>0.11</v>
      </c>
      <c r="K100" s="133">
        <v>232.89</v>
      </c>
      <c r="L100" s="133">
        <v>24.66</v>
      </c>
      <c r="M100" s="133">
        <v>85.86</v>
      </c>
      <c r="N100" s="133">
        <v>0</v>
      </c>
      <c r="O100" s="133">
        <v>0</v>
      </c>
      <c r="P100" s="133">
        <v>0.98</v>
      </c>
      <c r="Q100" s="133">
        <v>5.8</v>
      </c>
    </row>
    <row r="101" spans="1:22" customFormat="1">
      <c r="A101" s="111" t="s">
        <v>1578</v>
      </c>
      <c r="B101" s="133">
        <v>12.57</v>
      </c>
      <c r="C101" s="133">
        <v>29.91</v>
      </c>
      <c r="D101" s="133">
        <v>27.06</v>
      </c>
      <c r="E101" s="133">
        <v>8.43</v>
      </c>
      <c r="F101" s="133">
        <v>2.3199999999999998</v>
      </c>
      <c r="G101" s="133">
        <v>88.5</v>
      </c>
      <c r="H101" s="133">
        <v>25.99</v>
      </c>
      <c r="I101" s="133">
        <v>8.7899999999999991</v>
      </c>
      <c r="J101" s="133">
        <v>0.12</v>
      </c>
      <c r="K101" s="133">
        <v>190.99</v>
      </c>
      <c r="L101" s="133">
        <v>24.68</v>
      </c>
      <c r="M101" s="133">
        <v>84.19</v>
      </c>
      <c r="N101" s="133">
        <v>0</v>
      </c>
      <c r="O101" s="133">
        <v>0</v>
      </c>
      <c r="P101" s="133">
        <v>1.01</v>
      </c>
      <c r="Q101" s="133">
        <v>5.79</v>
      </c>
    </row>
    <row r="102" spans="1:22" customFormat="1">
      <c r="A102" s="111" t="s">
        <v>1579</v>
      </c>
      <c r="B102" s="133">
        <v>12.8</v>
      </c>
      <c r="C102" s="133">
        <v>29.91</v>
      </c>
      <c r="D102" s="133">
        <v>27.24</v>
      </c>
      <c r="E102" s="133">
        <v>8.69</v>
      </c>
      <c r="F102" s="133">
        <v>2.27</v>
      </c>
      <c r="G102" s="133">
        <v>88.5</v>
      </c>
      <c r="H102" s="133">
        <v>25.99</v>
      </c>
      <c r="I102" s="133">
        <v>8.9700000000000006</v>
      </c>
      <c r="J102" s="133">
        <v>0.15</v>
      </c>
      <c r="K102" s="133">
        <v>179</v>
      </c>
      <c r="L102" s="133">
        <v>24.66</v>
      </c>
      <c r="M102" s="133">
        <v>85.09</v>
      </c>
      <c r="N102" s="133">
        <v>0</v>
      </c>
      <c r="O102" s="133">
        <v>0</v>
      </c>
      <c r="P102" s="133">
        <v>1.03</v>
      </c>
      <c r="Q102" s="133">
        <v>5.76</v>
      </c>
    </row>
    <row r="103" spans="1:22" customFormat="1">
      <c r="A103" s="111" t="s">
        <v>1580</v>
      </c>
      <c r="B103" s="133">
        <v>13</v>
      </c>
      <c r="C103" s="133">
        <v>29.58</v>
      </c>
      <c r="D103" s="133">
        <v>27.23</v>
      </c>
      <c r="E103" s="133">
        <v>8.35</v>
      </c>
      <c r="F103" s="133">
        <v>2.4700000000000002</v>
      </c>
      <c r="G103" s="133">
        <v>88.5</v>
      </c>
      <c r="H103" s="133">
        <v>25.99</v>
      </c>
      <c r="I103" s="133">
        <v>9.15</v>
      </c>
      <c r="J103" s="133">
        <v>0.2</v>
      </c>
      <c r="K103" s="133">
        <v>166.68</v>
      </c>
      <c r="L103" s="133">
        <v>24.79</v>
      </c>
      <c r="M103" s="133">
        <v>86.19</v>
      </c>
      <c r="N103" s="133">
        <v>0</v>
      </c>
      <c r="O103" s="133">
        <v>0</v>
      </c>
      <c r="P103" s="133">
        <v>1.02</v>
      </c>
      <c r="Q103" s="133">
        <v>5.78</v>
      </c>
    </row>
    <row r="104" spans="1:22" customFormat="1">
      <c r="A104" s="111" t="s">
        <v>1581</v>
      </c>
      <c r="B104" s="133">
        <v>13.42</v>
      </c>
      <c r="C104" s="133">
        <v>27.75</v>
      </c>
      <c r="D104" s="133">
        <v>26.61</v>
      </c>
      <c r="E104" s="133">
        <v>7.96</v>
      </c>
      <c r="F104" s="133">
        <v>2.81</v>
      </c>
      <c r="G104" s="133">
        <v>87.58</v>
      </c>
      <c r="H104" s="133">
        <v>25.66</v>
      </c>
      <c r="I104" s="133">
        <v>9.2200000000000006</v>
      </c>
      <c r="J104" s="133">
        <v>0.16</v>
      </c>
      <c r="K104" s="133">
        <v>176.44</v>
      </c>
      <c r="L104" s="133">
        <v>24.73</v>
      </c>
      <c r="M104" s="133">
        <v>85.44</v>
      </c>
      <c r="N104" s="133">
        <v>0</v>
      </c>
      <c r="O104" s="133">
        <v>0</v>
      </c>
      <c r="P104" s="133">
        <v>1.02</v>
      </c>
      <c r="Q104" s="133">
        <v>5.77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4.4000000000000004</v>
      </c>
      <c r="C106" s="183">
        <f>MIN(C9:C104)</f>
        <v>19.43</v>
      </c>
      <c r="D106" s="183">
        <f t="shared" ref="D106:Q106" si="0">MIN(D9:D104)</f>
        <v>17.86</v>
      </c>
      <c r="E106" s="183">
        <f t="shared" si="0"/>
        <v>5.52</v>
      </c>
      <c r="F106" s="183">
        <f t="shared" si="0"/>
        <v>2.21</v>
      </c>
      <c r="G106" s="183">
        <f t="shared" si="0"/>
        <v>42.24</v>
      </c>
      <c r="H106" s="183">
        <f t="shared" si="0"/>
        <v>17.11</v>
      </c>
      <c r="I106" s="183">
        <f t="shared" si="0"/>
        <v>5.89</v>
      </c>
      <c r="J106" s="183">
        <f t="shared" si="0"/>
        <v>0.02</v>
      </c>
      <c r="K106" s="183">
        <f t="shared" si="0"/>
        <v>16.3</v>
      </c>
      <c r="L106" s="183">
        <f t="shared" si="0"/>
        <v>23.87</v>
      </c>
      <c r="M106" s="183">
        <f t="shared" si="0"/>
        <v>34.11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5.08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15.38</v>
      </c>
      <c r="C107" s="184">
        <f t="shared" ref="C107:Q107" si="1">MAX(C9:C104)</f>
        <v>29.91</v>
      </c>
      <c r="D107" s="184">
        <f t="shared" si="1"/>
        <v>27.24</v>
      </c>
      <c r="E107" s="184">
        <f t="shared" si="1"/>
        <v>10.5</v>
      </c>
      <c r="F107" s="184">
        <f t="shared" si="1"/>
        <v>18.87</v>
      </c>
      <c r="G107" s="184">
        <f t="shared" si="1"/>
        <v>89.1</v>
      </c>
      <c r="H107" s="184">
        <f t="shared" si="1"/>
        <v>33.68</v>
      </c>
      <c r="I107" s="184">
        <f t="shared" si="1"/>
        <v>9.6199999999999992</v>
      </c>
      <c r="J107" s="184">
        <f t="shared" si="1"/>
        <v>0.78</v>
      </c>
      <c r="K107" s="184">
        <f t="shared" si="1"/>
        <v>327.16000000000003</v>
      </c>
      <c r="L107" s="184">
        <f t="shared" si="1"/>
        <v>33.9</v>
      </c>
      <c r="M107" s="184">
        <f t="shared" si="1"/>
        <v>94.4</v>
      </c>
      <c r="N107" s="184">
        <f t="shared" si="1"/>
        <v>686</v>
      </c>
      <c r="O107" s="184">
        <f t="shared" si="1"/>
        <v>0</v>
      </c>
      <c r="P107" s="184">
        <f t="shared" si="1"/>
        <v>1.03</v>
      </c>
      <c r="Q107" s="184">
        <f t="shared" si="1"/>
        <v>5.8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10.187604166666667</v>
      </c>
      <c r="C108" s="183">
        <f t="shared" ref="C108:Q108" si="2">AVERAGE(C9:C104)</f>
        <v>24.975208333333324</v>
      </c>
      <c r="D108" s="183">
        <f t="shared" si="2"/>
        <v>22.569479166666664</v>
      </c>
      <c r="E108" s="183">
        <f t="shared" si="2"/>
        <v>7.4006250000000016</v>
      </c>
      <c r="F108" s="183">
        <f t="shared" si="2"/>
        <v>5.1368750000000007</v>
      </c>
      <c r="G108" s="183">
        <f t="shared" si="2"/>
        <v>67.059479166666634</v>
      </c>
      <c r="H108" s="183">
        <f t="shared" si="2"/>
        <v>22.669479166666651</v>
      </c>
      <c r="I108" s="183">
        <f t="shared" si="2"/>
        <v>7.782604166666669</v>
      </c>
      <c r="J108" s="183">
        <f t="shared" si="2"/>
        <v>0.22145833333333331</v>
      </c>
      <c r="K108" s="183">
        <f t="shared" si="2"/>
        <v>151.7782291666667</v>
      </c>
      <c r="L108" s="183">
        <f t="shared" si="2"/>
        <v>27.730312499999997</v>
      </c>
      <c r="M108" s="183">
        <f t="shared" si="2"/>
        <v>73.051354166666599</v>
      </c>
      <c r="N108" s="183">
        <f t="shared" si="2"/>
        <v>136.73854166666669</v>
      </c>
      <c r="O108" s="183">
        <f t="shared" si="2"/>
        <v>0</v>
      </c>
      <c r="P108" s="183">
        <f t="shared" si="2"/>
        <v>0.80885416666666654</v>
      </c>
      <c r="Q108" s="183">
        <f t="shared" si="2"/>
        <v>5.4578125000000002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3.1157335014716891</v>
      </c>
      <c r="C109" s="183">
        <f t="shared" ref="C109:Q109" si="3">STDEV(C9:C104)</f>
        <v>2.6114508889914916</v>
      </c>
      <c r="D109" s="183">
        <f t="shared" si="3"/>
        <v>2.3527911173044451</v>
      </c>
      <c r="E109" s="183">
        <f t="shared" si="3"/>
        <v>1.1404337240486069</v>
      </c>
      <c r="F109" s="183">
        <f t="shared" si="3"/>
        <v>3.7469938301467605</v>
      </c>
      <c r="G109" s="183">
        <f t="shared" si="3"/>
        <v>14.76086706694378</v>
      </c>
      <c r="H109" s="183">
        <f t="shared" si="3"/>
        <v>3.6591558905219039</v>
      </c>
      <c r="I109" s="183">
        <f t="shared" si="3"/>
        <v>0.81614916695373485</v>
      </c>
      <c r="J109" s="183">
        <f t="shared" si="3"/>
        <v>0.16987288849493917</v>
      </c>
      <c r="K109" s="183">
        <f t="shared" si="3"/>
        <v>79.545568324005515</v>
      </c>
      <c r="L109" s="183">
        <f t="shared" si="3"/>
        <v>3.355056655926032</v>
      </c>
      <c r="M109" s="183">
        <f t="shared" si="3"/>
        <v>19.329556839736956</v>
      </c>
      <c r="N109" s="183">
        <f t="shared" si="3"/>
        <v>212.20034097387736</v>
      </c>
      <c r="O109" s="183">
        <f t="shared" si="3"/>
        <v>0</v>
      </c>
      <c r="P109" s="183">
        <f t="shared" si="3"/>
        <v>9.7082382722552374E-2</v>
      </c>
      <c r="Q109" s="183">
        <f t="shared" si="3"/>
        <v>0.22907228518986703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15/10/2023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1582</v>
      </c>
      <c r="B9" s="133">
        <v>13.55</v>
      </c>
      <c r="C9" s="133">
        <v>25.62</v>
      </c>
      <c r="D9" s="133">
        <v>25.61</v>
      </c>
      <c r="E9" s="133">
        <v>7.74</v>
      </c>
      <c r="F9" s="133">
        <v>3.07</v>
      </c>
      <c r="G9" s="133">
        <v>82.54</v>
      </c>
      <c r="H9" s="133">
        <v>24.3</v>
      </c>
      <c r="I9" s="133">
        <v>9.2799999999999994</v>
      </c>
      <c r="J9" s="133">
        <v>0.09</v>
      </c>
      <c r="K9" s="133">
        <v>172.41</v>
      </c>
      <c r="L9" s="133">
        <v>24.6</v>
      </c>
      <c r="M9" s="133">
        <v>86.59</v>
      </c>
      <c r="N9" s="133">
        <v>0</v>
      </c>
      <c r="O9" s="133">
        <v>0</v>
      </c>
      <c r="P9" s="133">
        <v>1</v>
      </c>
      <c r="Q9" s="133">
        <v>5.71</v>
      </c>
      <c r="R9" s="6"/>
      <c r="S9" s="6"/>
      <c r="T9" s="181"/>
      <c r="U9" s="6"/>
    </row>
    <row r="10" spans="1:21" customFormat="1">
      <c r="A10" s="111" t="s">
        <v>1583</v>
      </c>
      <c r="B10" s="133">
        <v>13.74</v>
      </c>
      <c r="C10" s="133">
        <v>24.64</v>
      </c>
      <c r="D10" s="133">
        <v>25.24</v>
      </c>
      <c r="E10" s="133">
        <v>7.8</v>
      </c>
      <c r="F10" s="133">
        <v>3.11</v>
      </c>
      <c r="G10" s="133">
        <v>82.54</v>
      </c>
      <c r="H10" s="133">
        <v>24.3</v>
      </c>
      <c r="I10" s="133">
        <v>9.2899999999999991</v>
      </c>
      <c r="J10" s="133">
        <v>0.09</v>
      </c>
      <c r="K10" s="133">
        <v>198.22</v>
      </c>
      <c r="L10" s="133">
        <v>24.33</v>
      </c>
      <c r="M10" s="133">
        <v>87.87</v>
      </c>
      <c r="N10" s="133">
        <v>0</v>
      </c>
      <c r="O10" s="133">
        <v>0</v>
      </c>
      <c r="P10" s="133">
        <v>0.98</v>
      </c>
      <c r="Q10" s="133">
        <v>5.68</v>
      </c>
      <c r="R10" s="6"/>
      <c r="S10" s="6"/>
      <c r="T10" s="181"/>
      <c r="U10" s="6"/>
    </row>
    <row r="11" spans="1:21" customFormat="1">
      <c r="A11" s="111" t="s">
        <v>1584</v>
      </c>
      <c r="B11" s="133">
        <v>13.83</v>
      </c>
      <c r="C11" s="133">
        <v>23.83</v>
      </c>
      <c r="D11" s="133">
        <v>24.9</v>
      </c>
      <c r="E11" s="133">
        <v>7.56</v>
      </c>
      <c r="F11" s="133">
        <v>3.15</v>
      </c>
      <c r="G11" s="133">
        <v>82.54</v>
      </c>
      <c r="H11" s="133">
        <v>24.3</v>
      </c>
      <c r="I11" s="133">
        <v>9.2899999999999991</v>
      </c>
      <c r="J11" s="133">
        <v>7.0000000000000007E-2</v>
      </c>
      <c r="K11" s="133">
        <v>154.38999999999999</v>
      </c>
      <c r="L11" s="133">
        <v>24.37</v>
      </c>
      <c r="M11" s="133">
        <v>88.05</v>
      </c>
      <c r="N11" s="133">
        <v>0</v>
      </c>
      <c r="O11" s="133">
        <v>0</v>
      </c>
      <c r="P11" s="133">
        <v>0.97</v>
      </c>
      <c r="Q11" s="133">
        <v>5.66</v>
      </c>
      <c r="R11" s="6"/>
      <c r="S11" s="6"/>
      <c r="T11" s="181"/>
      <c r="U11" s="6"/>
    </row>
    <row r="12" spans="1:21" customFormat="1">
      <c r="A12" s="111" t="s">
        <v>1585</v>
      </c>
      <c r="B12" s="133">
        <v>13.82</v>
      </c>
      <c r="C12" s="133">
        <v>23.06</v>
      </c>
      <c r="D12" s="133">
        <v>24.48</v>
      </c>
      <c r="E12" s="133">
        <v>7.37</v>
      </c>
      <c r="F12" s="133">
        <v>3.1</v>
      </c>
      <c r="G12" s="133">
        <v>81.48</v>
      </c>
      <c r="H12" s="133">
        <v>24.72</v>
      </c>
      <c r="I12" s="133">
        <v>9.25</v>
      </c>
      <c r="J12" s="133">
        <v>0.08</v>
      </c>
      <c r="K12" s="133">
        <v>183.11</v>
      </c>
      <c r="L12" s="133">
        <v>24.42</v>
      </c>
      <c r="M12" s="133">
        <v>90.21</v>
      </c>
      <c r="N12" s="133">
        <v>0</v>
      </c>
      <c r="O12" s="133">
        <v>0</v>
      </c>
      <c r="P12" s="133">
        <v>0.95</v>
      </c>
      <c r="Q12" s="133">
        <v>5.64</v>
      </c>
      <c r="R12" s="6"/>
      <c r="S12" s="6"/>
      <c r="T12" s="181"/>
      <c r="U12" s="6"/>
    </row>
    <row r="13" spans="1:21" customFormat="1">
      <c r="A13" s="111" t="s">
        <v>1586</v>
      </c>
      <c r="B13" s="133">
        <v>14.08</v>
      </c>
      <c r="C13" s="133">
        <v>24.57</v>
      </c>
      <c r="D13" s="133">
        <v>25.48</v>
      </c>
      <c r="E13" s="133">
        <v>7.66</v>
      </c>
      <c r="F13" s="133">
        <v>2.44</v>
      </c>
      <c r="G13" s="133">
        <v>75.69</v>
      </c>
      <c r="H13" s="133">
        <v>26.95</v>
      </c>
      <c r="I13" s="133">
        <v>9.2200000000000006</v>
      </c>
      <c r="J13" s="133">
        <v>0.14000000000000001</v>
      </c>
      <c r="K13" s="133">
        <v>208.75</v>
      </c>
      <c r="L13" s="133">
        <v>24.22</v>
      </c>
      <c r="M13" s="133">
        <v>92.07</v>
      </c>
      <c r="N13" s="133">
        <v>0</v>
      </c>
      <c r="O13" s="133">
        <v>0</v>
      </c>
      <c r="P13" s="133">
        <v>0.97</v>
      </c>
      <c r="Q13" s="133">
        <v>5.62</v>
      </c>
      <c r="R13" s="6"/>
      <c r="S13" s="6"/>
      <c r="T13" s="181"/>
      <c r="U13" s="6"/>
    </row>
    <row r="14" spans="1:21" customFormat="1">
      <c r="A14" s="111" t="s">
        <v>1587</v>
      </c>
      <c r="B14" s="133">
        <v>14.5</v>
      </c>
      <c r="C14" s="133">
        <v>25.73</v>
      </c>
      <c r="D14" s="133">
        <v>26.42</v>
      </c>
      <c r="E14" s="133">
        <v>8.4</v>
      </c>
      <c r="F14" s="133">
        <v>2.5</v>
      </c>
      <c r="G14" s="133">
        <v>75.69</v>
      </c>
      <c r="H14" s="133">
        <v>26.95</v>
      </c>
      <c r="I14" s="133">
        <v>9.19</v>
      </c>
      <c r="J14" s="133">
        <v>0.22</v>
      </c>
      <c r="K14" s="133">
        <v>184.98</v>
      </c>
      <c r="L14" s="133">
        <v>24.24</v>
      </c>
      <c r="M14" s="133">
        <v>91.93</v>
      </c>
      <c r="N14" s="133">
        <v>0</v>
      </c>
      <c r="O14" s="133">
        <v>0</v>
      </c>
      <c r="P14" s="133">
        <v>0.98</v>
      </c>
      <c r="Q14" s="133">
        <v>5.62</v>
      </c>
      <c r="R14" s="6"/>
      <c r="S14" s="6"/>
      <c r="T14" s="181"/>
      <c r="U14" s="6"/>
    </row>
    <row r="15" spans="1:21" customFormat="1">
      <c r="A15" s="111" t="s">
        <v>1588</v>
      </c>
      <c r="B15" s="133">
        <v>14.8</v>
      </c>
      <c r="C15" s="133">
        <v>24.37</v>
      </c>
      <c r="D15" s="133">
        <v>25.95</v>
      </c>
      <c r="E15" s="133">
        <v>8.1</v>
      </c>
      <c r="F15" s="133">
        <v>2.98</v>
      </c>
      <c r="G15" s="133">
        <v>75.69</v>
      </c>
      <c r="H15" s="133">
        <v>26.95</v>
      </c>
      <c r="I15" s="133">
        <v>9.25</v>
      </c>
      <c r="J15" s="133">
        <v>0.11</v>
      </c>
      <c r="K15" s="133">
        <v>196.09</v>
      </c>
      <c r="L15" s="133">
        <v>24.2</v>
      </c>
      <c r="M15" s="133">
        <v>93.35</v>
      </c>
      <c r="N15" s="133">
        <v>0</v>
      </c>
      <c r="O15" s="133">
        <v>0</v>
      </c>
      <c r="P15" s="133">
        <v>0.98</v>
      </c>
      <c r="Q15" s="133">
        <v>5.68</v>
      </c>
      <c r="R15" s="6"/>
      <c r="S15" s="6"/>
      <c r="T15" s="181"/>
      <c r="U15" s="6"/>
    </row>
    <row r="16" spans="1:21" customFormat="1">
      <c r="A16" s="111" t="s">
        <v>1589</v>
      </c>
      <c r="B16" s="133">
        <v>14.86</v>
      </c>
      <c r="C16" s="133">
        <v>22.93</v>
      </c>
      <c r="D16" s="133">
        <v>25.25</v>
      </c>
      <c r="E16" s="133">
        <v>7.88</v>
      </c>
      <c r="F16" s="133">
        <v>3.24</v>
      </c>
      <c r="G16" s="133">
        <v>74.37</v>
      </c>
      <c r="H16" s="133">
        <v>26.83</v>
      </c>
      <c r="I16" s="133">
        <v>9.1999999999999993</v>
      </c>
      <c r="J16" s="133">
        <v>0.05</v>
      </c>
      <c r="K16" s="133">
        <v>210.75</v>
      </c>
      <c r="L16" s="133">
        <v>24.06</v>
      </c>
      <c r="M16" s="133">
        <v>91.16</v>
      </c>
      <c r="N16" s="133">
        <v>0</v>
      </c>
      <c r="O16" s="133">
        <v>0</v>
      </c>
      <c r="P16" s="133">
        <v>0.96</v>
      </c>
      <c r="Q16" s="133">
        <v>5.69</v>
      </c>
      <c r="R16" s="6"/>
      <c r="S16" s="6"/>
      <c r="T16" s="181"/>
      <c r="U16" s="6"/>
    </row>
    <row r="17" spans="1:21" customFormat="1">
      <c r="A17" s="111" t="s">
        <v>1590</v>
      </c>
      <c r="B17" s="133">
        <v>14.89</v>
      </c>
      <c r="C17" s="133">
        <v>24.19</v>
      </c>
      <c r="D17" s="133">
        <v>25.93</v>
      </c>
      <c r="E17" s="133">
        <v>6.81</v>
      </c>
      <c r="F17" s="133">
        <v>2.63</v>
      </c>
      <c r="G17" s="133">
        <v>67.16</v>
      </c>
      <c r="H17" s="133">
        <v>26.36</v>
      </c>
      <c r="I17" s="133">
        <v>9.18</v>
      </c>
      <c r="J17" s="133">
        <v>0.06</v>
      </c>
      <c r="K17" s="133">
        <v>164.77</v>
      </c>
      <c r="L17" s="133">
        <v>24.06</v>
      </c>
      <c r="M17" s="133">
        <v>91.39</v>
      </c>
      <c r="N17" s="133">
        <v>0</v>
      </c>
      <c r="O17" s="133">
        <v>0</v>
      </c>
      <c r="P17" s="133">
        <v>0.96</v>
      </c>
      <c r="Q17" s="133">
        <v>5.65</v>
      </c>
      <c r="R17" s="6"/>
      <c r="S17" s="6"/>
      <c r="T17" s="181"/>
      <c r="U17" s="6"/>
    </row>
    <row r="18" spans="1:21" customFormat="1">
      <c r="A18" s="111" t="s">
        <v>1591</v>
      </c>
      <c r="B18" s="133">
        <v>15.19</v>
      </c>
      <c r="C18" s="133">
        <v>24.8</v>
      </c>
      <c r="D18" s="133">
        <v>26.49</v>
      </c>
      <c r="E18" s="133">
        <v>7.59</v>
      </c>
      <c r="F18" s="133">
        <v>2.64</v>
      </c>
      <c r="G18" s="133">
        <v>67.16</v>
      </c>
      <c r="H18" s="133">
        <v>26.36</v>
      </c>
      <c r="I18" s="133">
        <v>9.07</v>
      </c>
      <c r="J18" s="133">
        <v>0.13</v>
      </c>
      <c r="K18" s="133">
        <v>202.18</v>
      </c>
      <c r="L18" s="133">
        <v>24.02</v>
      </c>
      <c r="M18" s="133">
        <v>93.09</v>
      </c>
      <c r="N18" s="133">
        <v>0</v>
      </c>
      <c r="O18" s="133">
        <v>0</v>
      </c>
      <c r="P18" s="133">
        <v>0.96</v>
      </c>
      <c r="Q18" s="133">
        <v>5.68</v>
      </c>
      <c r="R18" s="6"/>
      <c r="S18" s="6"/>
      <c r="T18" s="181"/>
      <c r="U18" s="6"/>
    </row>
    <row r="19" spans="1:21" customFormat="1">
      <c r="A19" s="111" t="s">
        <v>1592</v>
      </c>
      <c r="B19" s="133">
        <v>15.46</v>
      </c>
      <c r="C19" s="133">
        <v>23.4</v>
      </c>
      <c r="D19" s="133">
        <v>25.98</v>
      </c>
      <c r="E19" s="133">
        <v>7.77</v>
      </c>
      <c r="F19" s="133">
        <v>3.14</v>
      </c>
      <c r="G19" s="133">
        <v>67.16</v>
      </c>
      <c r="H19" s="133">
        <v>26.36</v>
      </c>
      <c r="I19" s="133">
        <v>9.1199999999999992</v>
      </c>
      <c r="J19" s="133">
        <v>0.13</v>
      </c>
      <c r="K19" s="133">
        <v>187.94</v>
      </c>
      <c r="L19" s="133">
        <v>23.94</v>
      </c>
      <c r="M19" s="133">
        <v>92.18</v>
      </c>
      <c r="N19" s="133">
        <v>0</v>
      </c>
      <c r="O19" s="133">
        <v>0</v>
      </c>
      <c r="P19" s="133">
        <v>0.95</v>
      </c>
      <c r="Q19" s="133">
        <v>5.7</v>
      </c>
      <c r="R19" s="6"/>
      <c r="S19" s="6"/>
      <c r="T19" s="181"/>
      <c r="U19" s="6"/>
    </row>
    <row r="20" spans="1:21" customFormat="1">
      <c r="A20" s="111" t="s">
        <v>1593</v>
      </c>
      <c r="B20" s="133">
        <v>15.55</v>
      </c>
      <c r="C20" s="133">
        <v>21.9</v>
      </c>
      <c r="D20" s="133">
        <v>25.26</v>
      </c>
      <c r="E20" s="133">
        <v>7.43</v>
      </c>
      <c r="F20" s="133">
        <v>3.12</v>
      </c>
      <c r="G20" s="133">
        <v>66.53</v>
      </c>
      <c r="H20" s="133">
        <v>26.07</v>
      </c>
      <c r="I20" s="133">
        <v>9.0500000000000007</v>
      </c>
      <c r="J20" s="133">
        <v>0.09</v>
      </c>
      <c r="K20" s="133">
        <v>241.06</v>
      </c>
      <c r="L20" s="133">
        <v>23.75</v>
      </c>
      <c r="M20" s="133">
        <v>93.78</v>
      </c>
      <c r="N20" s="133">
        <v>0</v>
      </c>
      <c r="O20" s="133">
        <v>0</v>
      </c>
      <c r="P20" s="133">
        <v>0.93</v>
      </c>
      <c r="Q20" s="133">
        <v>5.69</v>
      </c>
      <c r="R20" s="6"/>
      <c r="S20" s="6"/>
      <c r="T20" s="181"/>
      <c r="U20" s="6"/>
    </row>
    <row r="21" spans="1:21" customFormat="1">
      <c r="A21" s="111" t="s">
        <v>1594</v>
      </c>
      <c r="B21" s="133">
        <v>15.57</v>
      </c>
      <c r="C21" s="133">
        <v>23.35</v>
      </c>
      <c r="D21" s="133">
        <v>26.04</v>
      </c>
      <c r="E21" s="133">
        <v>7.62</v>
      </c>
      <c r="F21" s="133">
        <v>2.36</v>
      </c>
      <c r="G21" s="133">
        <v>63.13</v>
      </c>
      <c r="H21" s="133">
        <v>24.86</v>
      </c>
      <c r="I21" s="133">
        <v>9</v>
      </c>
      <c r="J21" s="133">
        <v>7.0000000000000007E-2</v>
      </c>
      <c r="K21" s="133">
        <v>277.22000000000003</v>
      </c>
      <c r="L21" s="133">
        <v>23.69</v>
      </c>
      <c r="M21" s="133">
        <v>95.24</v>
      </c>
      <c r="N21" s="133">
        <v>0</v>
      </c>
      <c r="O21" s="133">
        <v>0</v>
      </c>
      <c r="P21" s="133">
        <v>0.92</v>
      </c>
      <c r="Q21" s="133">
        <v>5.65</v>
      </c>
      <c r="R21" s="6"/>
      <c r="S21" s="6"/>
      <c r="T21" s="181"/>
      <c r="U21" s="6"/>
    </row>
    <row r="22" spans="1:21" customFormat="1">
      <c r="A22" s="111" t="s">
        <v>1595</v>
      </c>
      <c r="B22" s="133">
        <v>15.84</v>
      </c>
      <c r="C22" s="133">
        <v>24.28</v>
      </c>
      <c r="D22" s="133">
        <v>26.74</v>
      </c>
      <c r="E22" s="133">
        <v>7.32</v>
      </c>
      <c r="F22" s="133">
        <v>2.37</v>
      </c>
      <c r="G22" s="133">
        <v>63.13</v>
      </c>
      <c r="H22" s="133">
        <v>24.86</v>
      </c>
      <c r="I22" s="133">
        <v>8.9</v>
      </c>
      <c r="J22" s="133">
        <v>0.1</v>
      </c>
      <c r="K22" s="133">
        <v>177.24</v>
      </c>
      <c r="L22" s="133">
        <v>23.76</v>
      </c>
      <c r="M22" s="133">
        <v>95.21</v>
      </c>
      <c r="N22" s="133">
        <v>0</v>
      </c>
      <c r="O22" s="133">
        <v>0</v>
      </c>
      <c r="P22" s="133">
        <v>0.95</v>
      </c>
      <c r="Q22" s="133">
        <v>5.7</v>
      </c>
      <c r="R22" s="6"/>
      <c r="S22" s="6"/>
      <c r="T22" s="181"/>
      <c r="U22" s="6"/>
    </row>
    <row r="23" spans="1:21" customFormat="1">
      <c r="A23" s="111" t="s">
        <v>1596</v>
      </c>
      <c r="B23" s="133">
        <v>16.03</v>
      </c>
      <c r="C23" s="133">
        <v>22.9</v>
      </c>
      <c r="D23" s="133">
        <v>26.17</v>
      </c>
      <c r="E23" s="133">
        <v>7.89</v>
      </c>
      <c r="F23" s="133">
        <v>2.85</v>
      </c>
      <c r="G23" s="133">
        <v>63.13</v>
      </c>
      <c r="H23" s="133">
        <v>24.86</v>
      </c>
      <c r="I23" s="133">
        <v>8.92</v>
      </c>
      <c r="J23" s="133">
        <v>0.1</v>
      </c>
      <c r="K23" s="133">
        <v>157.96</v>
      </c>
      <c r="L23" s="133">
        <v>23.99</v>
      </c>
      <c r="M23" s="133">
        <v>93.95</v>
      </c>
      <c r="N23" s="133">
        <v>0</v>
      </c>
      <c r="O23" s="133">
        <v>0</v>
      </c>
      <c r="P23" s="133">
        <v>0.92</v>
      </c>
      <c r="Q23" s="133">
        <v>5.74</v>
      </c>
      <c r="R23" s="6"/>
      <c r="S23" s="6"/>
      <c r="T23" s="181"/>
      <c r="U23" s="6"/>
    </row>
    <row r="24" spans="1:21" customFormat="1">
      <c r="A24" s="111" t="s">
        <v>1597</v>
      </c>
      <c r="B24" s="133">
        <v>16.09</v>
      </c>
      <c r="C24" s="133">
        <v>21.78</v>
      </c>
      <c r="D24" s="133">
        <v>25.64</v>
      </c>
      <c r="E24" s="133">
        <v>7.74</v>
      </c>
      <c r="F24" s="133">
        <v>3.1</v>
      </c>
      <c r="G24" s="133">
        <v>62.54</v>
      </c>
      <c r="H24" s="133">
        <v>24.69</v>
      </c>
      <c r="I24" s="133">
        <v>8.86</v>
      </c>
      <c r="J24" s="133">
        <v>0.1</v>
      </c>
      <c r="K24" s="133">
        <v>186.02</v>
      </c>
      <c r="L24" s="133">
        <v>24.15</v>
      </c>
      <c r="M24" s="133">
        <v>92.05</v>
      </c>
      <c r="N24" s="133">
        <v>0</v>
      </c>
      <c r="O24" s="133">
        <v>0</v>
      </c>
      <c r="P24" s="133">
        <v>0.9</v>
      </c>
      <c r="Q24" s="133">
        <v>5.73</v>
      </c>
      <c r="R24" s="6"/>
      <c r="S24" s="6"/>
      <c r="T24" s="181"/>
      <c r="U24" s="6"/>
    </row>
    <row r="25" spans="1:21" customFormat="1">
      <c r="A25" s="111" t="s">
        <v>1598</v>
      </c>
      <c r="B25" s="133">
        <v>16.09</v>
      </c>
      <c r="C25" s="133">
        <v>23.72</v>
      </c>
      <c r="D25" s="133">
        <v>26.65</v>
      </c>
      <c r="E25" s="133">
        <v>7.76</v>
      </c>
      <c r="F25" s="133">
        <v>2.46</v>
      </c>
      <c r="G25" s="133">
        <v>59.39</v>
      </c>
      <c r="H25" s="133">
        <v>24</v>
      </c>
      <c r="I25" s="133">
        <v>8.76</v>
      </c>
      <c r="J25" s="133">
        <v>0.14000000000000001</v>
      </c>
      <c r="K25" s="133">
        <v>180.87</v>
      </c>
      <c r="L25" s="133">
        <v>24.11</v>
      </c>
      <c r="M25" s="133">
        <v>92.46</v>
      </c>
      <c r="N25" s="133">
        <v>0</v>
      </c>
      <c r="O25" s="133">
        <v>0</v>
      </c>
      <c r="P25" s="133">
        <v>0.91</v>
      </c>
      <c r="Q25" s="133">
        <v>5.71</v>
      </c>
      <c r="R25" s="6"/>
      <c r="S25" s="6"/>
      <c r="T25" s="181"/>
      <c r="U25" s="6"/>
    </row>
    <row r="26" spans="1:21" customFormat="1">
      <c r="A26" s="111" t="s">
        <v>1599</v>
      </c>
      <c r="B26" s="133">
        <v>16.16</v>
      </c>
      <c r="C26" s="133">
        <v>24.3</v>
      </c>
      <c r="D26" s="133">
        <v>27.01</v>
      </c>
      <c r="E26" s="133">
        <v>7.54</v>
      </c>
      <c r="F26" s="133">
        <v>2.5099999999999998</v>
      </c>
      <c r="G26" s="133">
        <v>59.39</v>
      </c>
      <c r="H26" s="133">
        <v>24</v>
      </c>
      <c r="I26" s="133">
        <v>8.75</v>
      </c>
      <c r="J26" s="133">
        <v>0.04</v>
      </c>
      <c r="K26" s="133">
        <v>207.3</v>
      </c>
      <c r="L26" s="133">
        <v>24.04</v>
      </c>
      <c r="M26" s="133">
        <v>92.35</v>
      </c>
      <c r="N26" s="133">
        <v>0</v>
      </c>
      <c r="O26" s="133">
        <v>0</v>
      </c>
      <c r="P26" s="133">
        <v>0.92</v>
      </c>
      <c r="Q26" s="133">
        <v>5.72</v>
      </c>
      <c r="R26" s="6"/>
      <c r="S26" s="6"/>
      <c r="T26" s="181"/>
      <c r="U26" s="6"/>
    </row>
    <row r="27" spans="1:21" customFormat="1">
      <c r="A27" s="111" t="s">
        <v>1600</v>
      </c>
      <c r="B27" s="133">
        <v>15.8</v>
      </c>
      <c r="C27" s="133">
        <v>24.24</v>
      </c>
      <c r="D27" s="133">
        <v>26.68</v>
      </c>
      <c r="E27" s="133">
        <v>7.83</v>
      </c>
      <c r="F27" s="133">
        <v>2.74</v>
      </c>
      <c r="G27" s="133">
        <v>59.39</v>
      </c>
      <c r="H27" s="133">
        <v>24</v>
      </c>
      <c r="I27" s="133">
        <v>8.7799999999999994</v>
      </c>
      <c r="J27" s="133">
        <v>0.12</v>
      </c>
      <c r="K27" s="133">
        <v>222.72</v>
      </c>
      <c r="L27" s="133">
        <v>24.03</v>
      </c>
      <c r="M27" s="133">
        <v>91.59</v>
      </c>
      <c r="N27" s="133">
        <v>0</v>
      </c>
      <c r="O27" s="133">
        <v>0</v>
      </c>
      <c r="P27" s="133">
        <v>0.91</v>
      </c>
      <c r="Q27" s="133">
        <v>5.73</v>
      </c>
      <c r="R27" s="6"/>
      <c r="S27" s="6"/>
      <c r="T27" s="181"/>
      <c r="U27" s="6"/>
    </row>
    <row r="28" spans="1:21" customFormat="1">
      <c r="A28" s="111" t="s">
        <v>1601</v>
      </c>
      <c r="B28" s="133">
        <v>15.34</v>
      </c>
      <c r="C28" s="133">
        <v>24.52</v>
      </c>
      <c r="D28" s="133">
        <v>26.46</v>
      </c>
      <c r="E28" s="133">
        <v>7.88</v>
      </c>
      <c r="F28" s="133">
        <v>2.57</v>
      </c>
      <c r="G28" s="133">
        <v>58.6</v>
      </c>
      <c r="H28" s="133">
        <v>23.83</v>
      </c>
      <c r="I28" s="133">
        <v>8.7100000000000009</v>
      </c>
      <c r="J28" s="133">
        <v>0.19</v>
      </c>
      <c r="K28" s="133">
        <v>237.2</v>
      </c>
      <c r="L28" s="133">
        <v>24.08</v>
      </c>
      <c r="M28" s="133">
        <v>90.56</v>
      </c>
      <c r="N28" s="133">
        <v>0</v>
      </c>
      <c r="O28" s="133">
        <v>0</v>
      </c>
      <c r="P28" s="133">
        <v>0.9</v>
      </c>
      <c r="Q28" s="133">
        <v>5.73</v>
      </c>
      <c r="R28" s="6"/>
      <c r="S28" s="6"/>
      <c r="T28" s="181"/>
      <c r="U28" s="6"/>
    </row>
    <row r="29" spans="1:21" customFormat="1">
      <c r="A29" s="111" t="s">
        <v>1602</v>
      </c>
      <c r="B29" s="133">
        <v>15.08</v>
      </c>
      <c r="C29" s="133">
        <v>24.98</v>
      </c>
      <c r="D29" s="133">
        <v>26.5</v>
      </c>
      <c r="E29" s="133">
        <v>7.72</v>
      </c>
      <c r="F29" s="133">
        <v>2.5499999999999998</v>
      </c>
      <c r="G29" s="133">
        <v>54.28</v>
      </c>
      <c r="H29" s="133">
        <v>23.12</v>
      </c>
      <c r="I29" s="133">
        <v>8.5399999999999991</v>
      </c>
      <c r="J29" s="133">
        <v>0.13</v>
      </c>
      <c r="K29" s="133">
        <v>174.49</v>
      </c>
      <c r="L29" s="133">
        <v>24.18</v>
      </c>
      <c r="M29" s="133">
        <v>89.25</v>
      </c>
      <c r="N29" s="133">
        <v>0</v>
      </c>
      <c r="O29" s="133">
        <v>0</v>
      </c>
      <c r="P29" s="133">
        <v>0.9</v>
      </c>
      <c r="Q29" s="133">
        <v>5.7</v>
      </c>
      <c r="R29" s="6"/>
      <c r="S29" s="6"/>
      <c r="T29" s="181"/>
      <c r="U29" s="6"/>
    </row>
    <row r="30" spans="1:21" customFormat="1">
      <c r="A30" s="111" t="s">
        <v>1603</v>
      </c>
      <c r="B30" s="133">
        <v>14.91</v>
      </c>
      <c r="C30" s="133">
        <v>25.61</v>
      </c>
      <c r="D30" s="133">
        <v>26.69</v>
      </c>
      <c r="E30" s="133">
        <v>7.05</v>
      </c>
      <c r="F30" s="133">
        <v>2.5099999999999998</v>
      </c>
      <c r="G30" s="133">
        <v>54.28</v>
      </c>
      <c r="H30" s="133">
        <v>23.12</v>
      </c>
      <c r="I30" s="133">
        <v>8.4</v>
      </c>
      <c r="J30" s="133">
        <v>0.16</v>
      </c>
      <c r="K30" s="133">
        <v>178.45</v>
      </c>
      <c r="L30" s="133">
        <v>23.85</v>
      </c>
      <c r="M30" s="133">
        <v>89.92</v>
      </c>
      <c r="N30" s="133">
        <v>0</v>
      </c>
      <c r="O30" s="133">
        <v>0</v>
      </c>
      <c r="P30" s="133">
        <v>0.87</v>
      </c>
      <c r="Q30" s="133">
        <v>5.7</v>
      </c>
      <c r="R30" s="6"/>
      <c r="S30" s="6"/>
      <c r="T30" s="181"/>
      <c r="U30" s="6"/>
    </row>
    <row r="31" spans="1:21" customFormat="1">
      <c r="A31" s="111" t="s">
        <v>1604</v>
      </c>
      <c r="B31" s="133">
        <v>14.6</v>
      </c>
      <c r="C31" s="133">
        <v>25.74</v>
      </c>
      <c r="D31" s="133">
        <v>26.51</v>
      </c>
      <c r="E31" s="133">
        <v>7.31</v>
      </c>
      <c r="F31" s="133">
        <v>2.4300000000000002</v>
      </c>
      <c r="G31" s="133">
        <v>54.28</v>
      </c>
      <c r="H31" s="133">
        <v>23.12</v>
      </c>
      <c r="I31" s="133">
        <v>8.3000000000000007</v>
      </c>
      <c r="J31" s="133">
        <v>0.09</v>
      </c>
      <c r="K31" s="133">
        <v>186.85</v>
      </c>
      <c r="L31" s="133">
        <v>23.78</v>
      </c>
      <c r="M31" s="133">
        <v>91.31</v>
      </c>
      <c r="N31" s="133">
        <v>0</v>
      </c>
      <c r="O31" s="133">
        <v>0</v>
      </c>
      <c r="P31" s="133">
        <v>0.86</v>
      </c>
      <c r="Q31" s="133">
        <v>5.7</v>
      </c>
      <c r="R31" s="6"/>
      <c r="S31" s="6"/>
      <c r="T31" s="181"/>
      <c r="U31" s="6"/>
    </row>
    <row r="32" spans="1:21" customFormat="1">
      <c r="A32" s="111" t="s">
        <v>1605</v>
      </c>
      <c r="B32" s="133">
        <v>14.22</v>
      </c>
      <c r="C32" s="133">
        <v>26.2</v>
      </c>
      <c r="D32" s="133">
        <v>26.44</v>
      </c>
      <c r="E32" s="133">
        <v>7.71</v>
      </c>
      <c r="F32" s="133">
        <v>2.56</v>
      </c>
      <c r="G32" s="133">
        <v>53.25</v>
      </c>
      <c r="H32" s="133">
        <v>22.86</v>
      </c>
      <c r="I32" s="133">
        <v>8.15</v>
      </c>
      <c r="J32" s="133">
        <v>0.12</v>
      </c>
      <c r="K32" s="133">
        <v>164.13</v>
      </c>
      <c r="L32" s="133">
        <v>23.5</v>
      </c>
      <c r="M32" s="133">
        <v>92.72</v>
      </c>
      <c r="N32" s="133">
        <v>0</v>
      </c>
      <c r="O32" s="133">
        <v>0</v>
      </c>
      <c r="P32" s="133">
        <v>0.84</v>
      </c>
      <c r="Q32" s="133">
        <v>5.69</v>
      </c>
      <c r="R32" s="6"/>
      <c r="S32" s="6"/>
      <c r="T32" s="181"/>
      <c r="U32" s="6"/>
    </row>
    <row r="33" spans="1:21" customFormat="1">
      <c r="A33" s="111" t="s">
        <v>1606</v>
      </c>
      <c r="B33" s="133">
        <v>13.96</v>
      </c>
      <c r="C33" s="133">
        <v>26.4</v>
      </c>
      <c r="D33" s="133">
        <v>26.34</v>
      </c>
      <c r="E33" s="133">
        <v>8.17</v>
      </c>
      <c r="F33" s="133">
        <v>2.5299999999999998</v>
      </c>
      <c r="G33" s="133">
        <v>47.62</v>
      </c>
      <c r="H33" s="133">
        <v>21.8</v>
      </c>
      <c r="I33" s="133">
        <v>8</v>
      </c>
      <c r="J33" s="133">
        <v>0.08</v>
      </c>
      <c r="K33" s="133">
        <v>167.5</v>
      </c>
      <c r="L33" s="133">
        <v>23.47</v>
      </c>
      <c r="M33" s="133">
        <v>93.55</v>
      </c>
      <c r="N33" s="133">
        <v>1.1000000000000001</v>
      </c>
      <c r="O33" s="133">
        <v>0</v>
      </c>
      <c r="P33" s="133">
        <v>0.83</v>
      </c>
      <c r="Q33" s="133">
        <v>5.68</v>
      </c>
      <c r="R33" s="6"/>
      <c r="S33" s="6"/>
      <c r="T33" s="181"/>
      <c r="U33" s="6"/>
    </row>
    <row r="34" spans="1:21" customFormat="1">
      <c r="A34" s="111" t="s">
        <v>1607</v>
      </c>
      <c r="B34" s="133">
        <v>13.86</v>
      </c>
      <c r="C34" s="133">
        <v>26.13</v>
      </c>
      <c r="D34" s="133">
        <v>26.12</v>
      </c>
      <c r="E34" s="133">
        <v>7.8</v>
      </c>
      <c r="F34" s="133">
        <v>2.63</v>
      </c>
      <c r="G34" s="133">
        <v>47.62</v>
      </c>
      <c r="H34" s="133">
        <v>21.8</v>
      </c>
      <c r="I34" s="133">
        <v>7.91</v>
      </c>
      <c r="J34" s="133">
        <v>0.11</v>
      </c>
      <c r="K34" s="133">
        <v>156.25</v>
      </c>
      <c r="L34" s="133">
        <v>23.45</v>
      </c>
      <c r="M34" s="133">
        <v>93.63</v>
      </c>
      <c r="N34" s="133">
        <v>8.8000000000000007</v>
      </c>
      <c r="O34" s="133">
        <v>0</v>
      </c>
      <c r="P34" s="133">
        <v>0.82</v>
      </c>
      <c r="Q34" s="133">
        <v>5.67</v>
      </c>
      <c r="R34" s="6"/>
      <c r="S34" s="6"/>
      <c r="T34" s="181"/>
      <c r="U34" s="6"/>
    </row>
    <row r="35" spans="1:21" customFormat="1">
      <c r="A35" s="111" t="s">
        <v>1608</v>
      </c>
      <c r="B35" s="133">
        <v>13.73</v>
      </c>
      <c r="C35" s="133">
        <v>26.29</v>
      </c>
      <c r="D35" s="133">
        <v>26.1</v>
      </c>
      <c r="E35" s="133">
        <v>7.55</v>
      </c>
      <c r="F35" s="133">
        <v>2.54</v>
      </c>
      <c r="G35" s="133">
        <v>47.62</v>
      </c>
      <c r="H35" s="133">
        <v>21.8</v>
      </c>
      <c r="I35" s="133">
        <v>7.81</v>
      </c>
      <c r="J35" s="133">
        <v>0.15</v>
      </c>
      <c r="K35" s="133">
        <v>150.69999999999999</v>
      </c>
      <c r="L35" s="133">
        <v>23.75</v>
      </c>
      <c r="M35" s="133">
        <v>92.67</v>
      </c>
      <c r="N35" s="133">
        <v>20</v>
      </c>
      <c r="O35" s="133">
        <v>0</v>
      </c>
      <c r="P35" s="133">
        <v>0.81</v>
      </c>
      <c r="Q35" s="133">
        <v>5.66</v>
      </c>
      <c r="R35" s="6"/>
      <c r="S35" s="6"/>
      <c r="T35" s="181"/>
      <c r="U35" s="6"/>
    </row>
    <row r="36" spans="1:21" customFormat="1">
      <c r="A36" s="111" t="s">
        <v>1609</v>
      </c>
      <c r="B36" s="133">
        <v>13.56</v>
      </c>
      <c r="C36" s="133">
        <v>26.2</v>
      </c>
      <c r="D36" s="133">
        <v>25.92</v>
      </c>
      <c r="E36" s="133">
        <v>7.59</v>
      </c>
      <c r="F36" s="133">
        <v>2.61</v>
      </c>
      <c r="G36" s="133">
        <v>47.18</v>
      </c>
      <c r="H36" s="133">
        <v>21.69</v>
      </c>
      <c r="I36" s="133">
        <v>7.7</v>
      </c>
      <c r="J36" s="133">
        <v>0.22</v>
      </c>
      <c r="K36" s="133">
        <v>149.29</v>
      </c>
      <c r="L36" s="133">
        <v>24.2</v>
      </c>
      <c r="M36" s="133">
        <v>91.42</v>
      </c>
      <c r="N36" s="133">
        <v>38.5</v>
      </c>
      <c r="O36" s="133">
        <v>0</v>
      </c>
      <c r="P36" s="133">
        <v>0.8</v>
      </c>
      <c r="Q36" s="133">
        <v>5.67</v>
      </c>
      <c r="R36" s="6"/>
      <c r="S36" s="6"/>
      <c r="T36" s="181"/>
      <c r="U36" s="6"/>
    </row>
    <row r="37" spans="1:21" customFormat="1">
      <c r="A37" s="111" t="s">
        <v>1610</v>
      </c>
      <c r="B37" s="133">
        <v>13.36</v>
      </c>
      <c r="C37" s="133">
        <v>26.91</v>
      </c>
      <c r="D37" s="133">
        <v>26.12</v>
      </c>
      <c r="E37" s="133">
        <v>8.2200000000000006</v>
      </c>
      <c r="F37" s="133">
        <v>2.48</v>
      </c>
      <c r="G37" s="133">
        <v>44.81</v>
      </c>
      <c r="H37" s="133">
        <v>21.07</v>
      </c>
      <c r="I37" s="133">
        <v>7.6</v>
      </c>
      <c r="J37" s="133">
        <v>0.17</v>
      </c>
      <c r="K37" s="133">
        <v>250.8</v>
      </c>
      <c r="L37" s="133">
        <v>24.68</v>
      </c>
      <c r="M37" s="133">
        <v>89.52</v>
      </c>
      <c r="N37" s="133">
        <v>54</v>
      </c>
      <c r="O37" s="133">
        <v>0</v>
      </c>
      <c r="P37" s="133">
        <v>0.8</v>
      </c>
      <c r="Q37" s="133">
        <v>5.69</v>
      </c>
      <c r="R37" s="6"/>
      <c r="S37" s="6"/>
      <c r="T37" s="181"/>
      <c r="U37" s="6"/>
    </row>
    <row r="38" spans="1:21" customFormat="1">
      <c r="A38" s="111" t="s">
        <v>1611</v>
      </c>
      <c r="B38" s="133">
        <v>13.35</v>
      </c>
      <c r="C38" s="133">
        <v>26.79</v>
      </c>
      <c r="D38" s="133">
        <v>26.05</v>
      </c>
      <c r="E38" s="133">
        <v>7.94</v>
      </c>
      <c r="F38" s="133">
        <v>2.57</v>
      </c>
      <c r="G38" s="133">
        <v>44.81</v>
      </c>
      <c r="H38" s="133">
        <v>21.07</v>
      </c>
      <c r="I38" s="133">
        <v>7.5</v>
      </c>
      <c r="J38" s="133">
        <v>0.26</v>
      </c>
      <c r="K38" s="133">
        <v>251.25</v>
      </c>
      <c r="L38" s="133">
        <v>25.19</v>
      </c>
      <c r="M38" s="133">
        <v>87.01</v>
      </c>
      <c r="N38" s="133">
        <v>77.099999999999994</v>
      </c>
      <c r="O38" s="133">
        <v>0</v>
      </c>
      <c r="P38" s="133">
        <v>0.8</v>
      </c>
      <c r="Q38" s="133">
        <v>5.66</v>
      </c>
      <c r="R38" s="6"/>
      <c r="S38" s="6"/>
      <c r="T38" s="181"/>
      <c r="U38" s="6"/>
    </row>
    <row r="39" spans="1:21" customFormat="1">
      <c r="A39" s="111" t="s">
        <v>1612</v>
      </c>
      <c r="B39" s="133">
        <v>13.16</v>
      </c>
      <c r="C39" s="133">
        <v>26.55</v>
      </c>
      <c r="D39" s="133">
        <v>25.77</v>
      </c>
      <c r="E39" s="133">
        <v>8.11</v>
      </c>
      <c r="F39" s="133">
        <v>2.5299999999999998</v>
      </c>
      <c r="G39" s="133">
        <v>44.81</v>
      </c>
      <c r="H39" s="133">
        <v>21.07</v>
      </c>
      <c r="I39" s="133">
        <v>7.49</v>
      </c>
      <c r="J39" s="133">
        <v>0.17</v>
      </c>
      <c r="K39" s="133">
        <v>237.01</v>
      </c>
      <c r="L39" s="133">
        <v>25.85</v>
      </c>
      <c r="M39" s="133">
        <v>84.26</v>
      </c>
      <c r="N39" s="133">
        <v>151.80000000000001</v>
      </c>
      <c r="O39" s="133">
        <v>0</v>
      </c>
      <c r="P39" s="133">
        <v>0.79</v>
      </c>
      <c r="Q39" s="133">
        <v>5.67</v>
      </c>
      <c r="R39" s="6"/>
      <c r="S39" s="6"/>
      <c r="T39" s="181"/>
      <c r="U39" s="6"/>
    </row>
    <row r="40" spans="1:21" customFormat="1">
      <c r="A40" s="111" t="s">
        <v>1613</v>
      </c>
      <c r="B40" s="133">
        <v>12.79</v>
      </c>
      <c r="C40" s="133">
        <v>26.59</v>
      </c>
      <c r="D40" s="133">
        <v>25.5</v>
      </c>
      <c r="E40" s="133">
        <v>8.02</v>
      </c>
      <c r="F40" s="133">
        <v>2.63</v>
      </c>
      <c r="G40" s="133">
        <v>44.99</v>
      </c>
      <c r="H40" s="133">
        <v>20.39</v>
      </c>
      <c r="I40" s="133">
        <v>7.46</v>
      </c>
      <c r="J40" s="133">
        <v>0.18</v>
      </c>
      <c r="K40" s="133">
        <v>177.88</v>
      </c>
      <c r="L40" s="133">
        <v>26.97</v>
      </c>
      <c r="M40" s="133">
        <v>78.650000000000006</v>
      </c>
      <c r="N40" s="133">
        <v>223.5</v>
      </c>
      <c r="O40" s="133">
        <v>0</v>
      </c>
      <c r="P40" s="133">
        <v>0.8</v>
      </c>
      <c r="Q40" s="133">
        <v>5.64</v>
      </c>
      <c r="R40" s="6"/>
      <c r="S40" s="6"/>
      <c r="T40" s="181"/>
      <c r="U40" s="6"/>
    </row>
    <row r="41" spans="1:21" customFormat="1">
      <c r="A41" s="111" t="s">
        <v>1614</v>
      </c>
      <c r="B41" s="133">
        <v>12.52</v>
      </c>
      <c r="C41" s="133">
        <v>26.88</v>
      </c>
      <c r="D41" s="133">
        <v>25.44</v>
      </c>
      <c r="E41" s="133">
        <v>7.98</v>
      </c>
      <c r="F41" s="133">
        <v>2.8</v>
      </c>
      <c r="G41" s="133">
        <v>45.92</v>
      </c>
      <c r="H41" s="133">
        <v>17.63</v>
      </c>
      <c r="I41" s="133">
        <v>7.44</v>
      </c>
      <c r="J41" s="133">
        <v>0.31</v>
      </c>
      <c r="K41" s="133">
        <v>248.69</v>
      </c>
      <c r="L41" s="133">
        <v>27.55</v>
      </c>
      <c r="M41" s="133">
        <v>73.930000000000007</v>
      </c>
      <c r="N41" s="133">
        <v>274.60000000000002</v>
      </c>
      <c r="O41" s="133">
        <v>0</v>
      </c>
      <c r="P41" s="133">
        <v>0.8</v>
      </c>
      <c r="Q41" s="133">
        <v>5.63</v>
      </c>
      <c r="R41" s="6"/>
      <c r="S41" s="6"/>
      <c r="T41" s="181"/>
      <c r="U41" s="6"/>
    </row>
    <row r="42" spans="1:21" customFormat="1">
      <c r="A42" s="111" t="s">
        <v>1615</v>
      </c>
      <c r="B42" s="133">
        <v>12.09</v>
      </c>
      <c r="C42" s="133">
        <v>26.8</v>
      </c>
      <c r="D42" s="133">
        <v>25.05</v>
      </c>
      <c r="E42" s="133">
        <v>8.2899999999999991</v>
      </c>
      <c r="F42" s="133">
        <v>2.87</v>
      </c>
      <c r="G42" s="133">
        <v>45.92</v>
      </c>
      <c r="H42" s="133">
        <v>17.63</v>
      </c>
      <c r="I42" s="133">
        <v>7.55</v>
      </c>
      <c r="J42" s="133">
        <v>0.24</v>
      </c>
      <c r="K42" s="133">
        <v>235.5</v>
      </c>
      <c r="L42" s="133">
        <v>28.25</v>
      </c>
      <c r="M42" s="133">
        <v>70.92</v>
      </c>
      <c r="N42" s="133">
        <v>323.7</v>
      </c>
      <c r="O42" s="133">
        <v>0</v>
      </c>
      <c r="P42" s="133">
        <v>0.78</v>
      </c>
      <c r="Q42" s="133">
        <v>5.62</v>
      </c>
      <c r="R42" s="6"/>
      <c r="S42" s="6"/>
      <c r="T42" s="181"/>
      <c r="U42" s="6"/>
    </row>
    <row r="43" spans="1:21" customFormat="1">
      <c r="A43" s="111" t="s">
        <v>1616</v>
      </c>
      <c r="B43" s="133">
        <v>11.37</v>
      </c>
      <c r="C43" s="133">
        <v>26.82</v>
      </c>
      <c r="D43" s="133">
        <v>24.48</v>
      </c>
      <c r="E43" s="133">
        <v>8.06</v>
      </c>
      <c r="F43" s="133">
        <v>2.82</v>
      </c>
      <c r="G43" s="133">
        <v>45.92</v>
      </c>
      <c r="H43" s="133">
        <v>17.63</v>
      </c>
      <c r="I43" s="133">
        <v>7.49</v>
      </c>
      <c r="J43" s="133">
        <v>0.15</v>
      </c>
      <c r="K43" s="133">
        <v>220.55</v>
      </c>
      <c r="L43" s="133">
        <v>29.1</v>
      </c>
      <c r="M43" s="133">
        <v>66</v>
      </c>
      <c r="N43" s="133">
        <v>366.1</v>
      </c>
      <c r="O43" s="133">
        <v>0</v>
      </c>
      <c r="P43" s="133">
        <v>0.77</v>
      </c>
      <c r="Q43" s="133">
        <v>5.58</v>
      </c>
      <c r="R43" s="6"/>
      <c r="S43" s="6"/>
      <c r="T43" s="181"/>
      <c r="U43" s="6"/>
    </row>
    <row r="44" spans="1:21" customFormat="1">
      <c r="A44" s="111" t="s">
        <v>1617</v>
      </c>
      <c r="B44" s="133">
        <v>10.58</v>
      </c>
      <c r="C44" s="133">
        <v>27.06</v>
      </c>
      <c r="D44" s="133">
        <v>23.98</v>
      </c>
      <c r="E44" s="133">
        <v>8.31</v>
      </c>
      <c r="F44" s="133">
        <v>2.8</v>
      </c>
      <c r="G44" s="133">
        <v>45.46</v>
      </c>
      <c r="H44" s="133">
        <v>17.940000000000001</v>
      </c>
      <c r="I44" s="133">
        <v>7.38</v>
      </c>
      <c r="J44" s="133">
        <v>0.24</v>
      </c>
      <c r="K44" s="133">
        <v>232.22</v>
      </c>
      <c r="L44" s="133">
        <v>29.65</v>
      </c>
      <c r="M44" s="133">
        <v>65.03</v>
      </c>
      <c r="N44" s="133">
        <v>409</v>
      </c>
      <c r="O44" s="133">
        <v>0</v>
      </c>
      <c r="P44" s="133">
        <v>0.76</v>
      </c>
      <c r="Q44" s="133">
        <v>5.56</v>
      </c>
      <c r="R44" s="6"/>
      <c r="S44" s="6"/>
      <c r="T44" s="181"/>
      <c r="U44" s="6"/>
    </row>
    <row r="45" spans="1:21" customFormat="1">
      <c r="A45" s="111" t="s">
        <v>1618</v>
      </c>
      <c r="B45" s="133">
        <v>9.98</v>
      </c>
      <c r="C45" s="133">
        <v>26.96</v>
      </c>
      <c r="D45" s="133">
        <v>23.44</v>
      </c>
      <c r="E45" s="133">
        <v>8.0299999999999994</v>
      </c>
      <c r="F45" s="133">
        <v>2.96</v>
      </c>
      <c r="G45" s="133">
        <v>42.98</v>
      </c>
      <c r="H45" s="133">
        <v>19.190000000000001</v>
      </c>
      <c r="I45" s="133">
        <v>7.23</v>
      </c>
      <c r="J45" s="133">
        <v>0.24</v>
      </c>
      <c r="K45" s="133">
        <v>237.45</v>
      </c>
      <c r="L45" s="133">
        <v>29.99</v>
      </c>
      <c r="M45" s="133">
        <v>63.74</v>
      </c>
      <c r="N45" s="133">
        <v>456.9</v>
      </c>
      <c r="O45" s="133">
        <v>0</v>
      </c>
      <c r="P45" s="133">
        <v>0.75</v>
      </c>
      <c r="Q45" s="133">
        <v>5.52</v>
      </c>
      <c r="R45" s="6"/>
      <c r="S45" s="6"/>
      <c r="T45" s="181"/>
      <c r="U45" s="6"/>
    </row>
    <row r="46" spans="1:21" customFormat="1">
      <c r="A46" s="111" t="s">
        <v>1619</v>
      </c>
      <c r="B46" s="133">
        <v>9.32</v>
      </c>
      <c r="C46" s="133">
        <v>26.62</v>
      </c>
      <c r="D46" s="133">
        <v>22.74</v>
      </c>
      <c r="E46" s="133">
        <v>8.15</v>
      </c>
      <c r="F46" s="133">
        <v>3.28</v>
      </c>
      <c r="G46" s="133">
        <v>42.98</v>
      </c>
      <c r="H46" s="133">
        <v>19.190000000000001</v>
      </c>
      <c r="I46" s="133">
        <v>7.06</v>
      </c>
      <c r="J46" s="133">
        <v>0.22</v>
      </c>
      <c r="K46" s="133">
        <v>245.04</v>
      </c>
      <c r="L46" s="133">
        <v>30.42</v>
      </c>
      <c r="M46" s="133">
        <v>62.44</v>
      </c>
      <c r="N46" s="133">
        <v>364</v>
      </c>
      <c r="O46" s="133">
        <v>0</v>
      </c>
      <c r="P46" s="133">
        <v>0.73</v>
      </c>
      <c r="Q46" s="133">
        <v>5.46</v>
      </c>
      <c r="R46" s="6"/>
      <c r="S46" s="6"/>
      <c r="T46" s="181"/>
      <c r="U46" s="6"/>
    </row>
    <row r="47" spans="1:21" customFormat="1">
      <c r="A47" s="111" t="s">
        <v>1620</v>
      </c>
      <c r="B47" s="133">
        <v>8.85</v>
      </c>
      <c r="C47" s="133">
        <v>28.29</v>
      </c>
      <c r="D47" s="133">
        <v>23.23</v>
      </c>
      <c r="E47" s="133">
        <v>8.31</v>
      </c>
      <c r="F47" s="133">
        <v>2.82</v>
      </c>
      <c r="G47" s="133">
        <v>42.98</v>
      </c>
      <c r="H47" s="133">
        <v>19.190000000000001</v>
      </c>
      <c r="I47" s="133">
        <v>6.95</v>
      </c>
      <c r="J47" s="133">
        <v>0.16</v>
      </c>
      <c r="K47" s="133">
        <v>233.16</v>
      </c>
      <c r="L47" s="133">
        <v>30.56</v>
      </c>
      <c r="M47" s="133">
        <v>62.78</v>
      </c>
      <c r="N47" s="133">
        <v>305.2</v>
      </c>
      <c r="O47" s="133">
        <v>0</v>
      </c>
      <c r="P47" s="133">
        <v>0.72</v>
      </c>
      <c r="Q47" s="133">
        <v>5.4</v>
      </c>
      <c r="R47" s="6"/>
      <c r="S47" s="6"/>
      <c r="T47" s="181"/>
      <c r="U47" s="6"/>
    </row>
    <row r="48" spans="1:21" customFormat="1">
      <c r="A48" s="111" t="s">
        <v>1621</v>
      </c>
      <c r="B48" s="133">
        <v>8.4</v>
      </c>
      <c r="C48" s="133">
        <v>25.27</v>
      </c>
      <c r="D48" s="133">
        <v>21.29</v>
      </c>
      <c r="E48" s="133">
        <v>8.43</v>
      </c>
      <c r="F48" s="133">
        <v>3.62</v>
      </c>
      <c r="G48" s="133">
        <v>42.32</v>
      </c>
      <c r="H48" s="133">
        <v>19.27</v>
      </c>
      <c r="I48" s="133">
        <v>6.83</v>
      </c>
      <c r="J48" s="133">
        <v>0.2</v>
      </c>
      <c r="K48" s="133">
        <v>181.37</v>
      </c>
      <c r="L48" s="133">
        <v>31.12</v>
      </c>
      <c r="M48" s="133">
        <v>60.32</v>
      </c>
      <c r="N48" s="133">
        <v>530.1</v>
      </c>
      <c r="O48" s="133">
        <v>0</v>
      </c>
      <c r="P48" s="133">
        <v>0.69</v>
      </c>
      <c r="Q48" s="133">
        <v>5.36</v>
      </c>
      <c r="R48" s="6"/>
      <c r="S48" s="6"/>
      <c r="T48" s="181"/>
      <c r="U48" s="6"/>
    </row>
    <row r="49" spans="1:21" customFormat="1">
      <c r="A49" s="111" t="s">
        <v>1622</v>
      </c>
      <c r="B49" s="133">
        <v>7.59</v>
      </c>
      <c r="C49" s="133">
        <v>23.05</v>
      </c>
      <c r="D49" s="133">
        <v>19.48</v>
      </c>
      <c r="E49" s="133">
        <v>6.82</v>
      </c>
      <c r="F49" s="133">
        <v>3.49</v>
      </c>
      <c r="G49" s="133">
        <v>38.75</v>
      </c>
      <c r="H49" s="133">
        <v>19.63</v>
      </c>
      <c r="I49" s="133">
        <v>6.77</v>
      </c>
      <c r="J49" s="133">
        <v>0.23</v>
      </c>
      <c r="K49" s="133">
        <v>225.4</v>
      </c>
      <c r="L49" s="133">
        <v>31.33</v>
      </c>
      <c r="M49" s="133">
        <v>57.41</v>
      </c>
      <c r="N49" s="133">
        <v>582.9</v>
      </c>
      <c r="O49" s="133">
        <v>0</v>
      </c>
      <c r="P49" s="133">
        <v>0.68</v>
      </c>
      <c r="Q49" s="133">
        <v>5.33</v>
      </c>
      <c r="R49" s="6"/>
      <c r="S49" s="6"/>
      <c r="T49" s="181"/>
      <c r="U49" s="6"/>
    </row>
    <row r="50" spans="1:21" customFormat="1">
      <c r="A50" s="111" t="s">
        <v>1623</v>
      </c>
      <c r="B50" s="133">
        <v>6.94</v>
      </c>
      <c r="C50" s="133">
        <v>21.93</v>
      </c>
      <c r="D50" s="133">
        <v>18.37</v>
      </c>
      <c r="E50" s="133">
        <v>7.8</v>
      </c>
      <c r="F50" s="133">
        <v>4.75</v>
      </c>
      <c r="G50" s="133">
        <v>38.75</v>
      </c>
      <c r="H50" s="133">
        <v>19.63</v>
      </c>
      <c r="I50" s="133">
        <v>6.86</v>
      </c>
      <c r="J50" s="133">
        <v>0.28000000000000003</v>
      </c>
      <c r="K50" s="133">
        <v>259.81</v>
      </c>
      <c r="L50" s="133">
        <v>31.47</v>
      </c>
      <c r="M50" s="133">
        <v>54.71</v>
      </c>
      <c r="N50" s="133">
        <v>611.29999999999995</v>
      </c>
      <c r="O50" s="133">
        <v>0</v>
      </c>
      <c r="P50" s="133">
        <v>0.67</v>
      </c>
      <c r="Q50" s="133">
        <v>5.28</v>
      </c>
      <c r="R50" s="6"/>
      <c r="S50" s="6"/>
      <c r="T50" s="181"/>
      <c r="U50" s="6"/>
    </row>
    <row r="51" spans="1:21" customFormat="1">
      <c r="A51" s="111" t="s">
        <v>1624</v>
      </c>
      <c r="B51" s="133">
        <v>6.34</v>
      </c>
      <c r="C51" s="133">
        <v>21.53</v>
      </c>
      <c r="D51" s="133">
        <v>17.690000000000001</v>
      </c>
      <c r="E51" s="133">
        <v>7.41</v>
      </c>
      <c r="F51" s="133">
        <v>4.82</v>
      </c>
      <c r="G51" s="133">
        <v>38.75</v>
      </c>
      <c r="H51" s="133">
        <v>19.63</v>
      </c>
      <c r="I51" s="133">
        <v>6.89</v>
      </c>
      <c r="J51" s="133">
        <v>0.4</v>
      </c>
      <c r="K51" s="133">
        <v>264.43</v>
      </c>
      <c r="L51" s="133">
        <v>31.84</v>
      </c>
      <c r="M51" s="133">
        <v>50.4</v>
      </c>
      <c r="N51" s="133">
        <v>637.70000000000005</v>
      </c>
      <c r="O51" s="133">
        <v>0</v>
      </c>
      <c r="P51" s="133">
        <v>0.66</v>
      </c>
      <c r="Q51" s="133">
        <v>5.22</v>
      </c>
      <c r="R51" s="6"/>
      <c r="S51" s="6"/>
      <c r="T51" s="181"/>
      <c r="U51" s="6"/>
    </row>
    <row r="52" spans="1:21" customFormat="1">
      <c r="A52" s="111" t="s">
        <v>1625</v>
      </c>
      <c r="B52" s="133">
        <v>4.46</v>
      </c>
      <c r="C52" s="133">
        <v>20.41</v>
      </c>
      <c r="D52" s="133">
        <v>15.59</v>
      </c>
      <c r="E52" s="133">
        <v>8.2100000000000009</v>
      </c>
      <c r="F52" s="133">
        <v>17.43</v>
      </c>
      <c r="G52" s="133">
        <v>38.799999999999997</v>
      </c>
      <c r="H52" s="133">
        <v>18.63</v>
      </c>
      <c r="I52" s="133">
        <v>6.8</v>
      </c>
      <c r="J52" s="133">
        <v>0.34</v>
      </c>
      <c r="K52" s="133">
        <v>258.47000000000003</v>
      </c>
      <c r="L52" s="133">
        <v>32.11</v>
      </c>
      <c r="M52" s="133">
        <v>48.64</v>
      </c>
      <c r="N52" s="133">
        <v>612.29999999999995</v>
      </c>
      <c r="O52" s="133">
        <v>0</v>
      </c>
      <c r="P52" s="133">
        <v>0.6</v>
      </c>
      <c r="Q52" s="133">
        <v>5.15</v>
      </c>
      <c r="R52" s="6"/>
      <c r="S52" s="6"/>
      <c r="T52" s="181"/>
      <c r="U52" s="6"/>
    </row>
    <row r="53" spans="1:21" customFormat="1">
      <c r="A53" s="111" t="s">
        <v>1626</v>
      </c>
      <c r="B53" s="133">
        <v>2.5299999999999998</v>
      </c>
      <c r="C53" s="133">
        <v>17.87</v>
      </c>
      <c r="D53" s="133">
        <v>12.71</v>
      </c>
      <c r="E53" s="133">
        <v>8.0399999999999991</v>
      </c>
      <c r="F53" s="133">
        <v>21.59</v>
      </c>
      <c r="G53" s="133">
        <v>39.090000000000003</v>
      </c>
      <c r="H53" s="133">
        <v>14.58</v>
      </c>
      <c r="I53" s="133">
        <v>6.68</v>
      </c>
      <c r="J53" s="133">
        <v>0.2</v>
      </c>
      <c r="K53" s="133">
        <v>287.01</v>
      </c>
      <c r="L53" s="133">
        <v>32.29</v>
      </c>
      <c r="M53" s="133">
        <v>49.4</v>
      </c>
      <c r="N53" s="133">
        <v>669.1</v>
      </c>
      <c r="O53" s="133">
        <v>0</v>
      </c>
      <c r="P53" s="133">
        <v>0.54</v>
      </c>
      <c r="Q53" s="133">
        <v>4.97</v>
      </c>
      <c r="R53" s="6"/>
      <c r="S53" s="6"/>
      <c r="T53" s="181"/>
      <c r="U53" s="6"/>
    </row>
    <row r="54" spans="1:21" customFormat="1">
      <c r="A54" s="111" t="s">
        <v>1627</v>
      </c>
      <c r="B54" s="133">
        <v>4.26</v>
      </c>
      <c r="C54" s="133">
        <v>17.05</v>
      </c>
      <c r="D54" s="133">
        <v>13.68</v>
      </c>
      <c r="E54" s="133">
        <v>7.23</v>
      </c>
      <c r="F54" s="133">
        <v>12.92</v>
      </c>
      <c r="G54" s="133">
        <v>39.090000000000003</v>
      </c>
      <c r="H54" s="133">
        <v>14.58</v>
      </c>
      <c r="I54" s="133">
        <v>5.72</v>
      </c>
      <c r="J54" s="133">
        <v>0.32</v>
      </c>
      <c r="K54" s="133">
        <v>255.05</v>
      </c>
      <c r="L54" s="133">
        <v>32.71</v>
      </c>
      <c r="M54" s="133">
        <v>47.55</v>
      </c>
      <c r="N54" s="133">
        <v>691.3</v>
      </c>
      <c r="O54" s="133">
        <v>0</v>
      </c>
      <c r="P54" s="133">
        <v>0.53</v>
      </c>
      <c r="Q54" s="133">
        <v>4.91</v>
      </c>
      <c r="R54" s="6"/>
      <c r="S54" s="6"/>
      <c r="T54" s="181"/>
      <c r="U54" s="6"/>
    </row>
    <row r="55" spans="1:21" customFormat="1">
      <c r="A55" s="111" t="s">
        <v>1628</v>
      </c>
      <c r="B55" s="133">
        <v>4.0599999999999996</v>
      </c>
      <c r="C55" s="133">
        <v>17.52</v>
      </c>
      <c r="D55" s="133">
        <v>13.76</v>
      </c>
      <c r="E55" s="133">
        <v>6.17</v>
      </c>
      <c r="F55" s="133">
        <v>8.08</v>
      </c>
      <c r="G55" s="133">
        <v>39.090000000000003</v>
      </c>
      <c r="H55" s="133">
        <v>14.58</v>
      </c>
      <c r="I55" s="133">
        <v>4.5599999999999996</v>
      </c>
      <c r="J55" s="133">
        <v>0.28000000000000003</v>
      </c>
      <c r="K55" s="133">
        <v>290.89</v>
      </c>
      <c r="L55" s="133">
        <v>32.76</v>
      </c>
      <c r="M55" s="133">
        <v>44.66</v>
      </c>
      <c r="N55" s="133">
        <v>688.6</v>
      </c>
      <c r="O55" s="133">
        <v>0</v>
      </c>
      <c r="P55" s="133">
        <v>0.55000000000000004</v>
      </c>
      <c r="Q55" s="133">
        <v>4.92</v>
      </c>
      <c r="R55" s="6"/>
      <c r="S55" s="6"/>
      <c r="T55" s="181"/>
      <c r="U55" s="6"/>
    </row>
    <row r="56" spans="1:21" customFormat="1">
      <c r="A56" s="111" t="s">
        <v>1629</v>
      </c>
      <c r="B56" s="133">
        <v>3.88</v>
      </c>
      <c r="C56" s="133">
        <v>17.18</v>
      </c>
      <c r="D56" s="133">
        <v>13.44</v>
      </c>
      <c r="E56" s="133">
        <v>6.45</v>
      </c>
      <c r="F56" s="133">
        <v>11.65</v>
      </c>
      <c r="G56" s="133">
        <v>39.24</v>
      </c>
      <c r="H56" s="133">
        <v>15.2</v>
      </c>
      <c r="I56" s="133">
        <v>6.23</v>
      </c>
      <c r="J56" s="133">
        <v>0.08</v>
      </c>
      <c r="K56" s="133">
        <v>188.4</v>
      </c>
      <c r="L56" s="133">
        <v>32.979999999999997</v>
      </c>
      <c r="M56" s="133">
        <v>42.67</v>
      </c>
      <c r="N56" s="133">
        <v>695.5</v>
      </c>
      <c r="O56" s="133">
        <v>0</v>
      </c>
      <c r="P56" s="133">
        <v>0.54</v>
      </c>
      <c r="Q56" s="133">
        <v>4.93</v>
      </c>
      <c r="R56" s="6"/>
      <c r="S56" s="6"/>
      <c r="T56" s="181"/>
      <c r="U56" s="6"/>
    </row>
    <row r="57" spans="1:21" customFormat="1">
      <c r="A57" s="111" t="s">
        <v>1630</v>
      </c>
      <c r="B57" s="133">
        <v>3.9</v>
      </c>
      <c r="C57" s="133">
        <v>17.82</v>
      </c>
      <c r="D57" s="133">
        <v>13.79</v>
      </c>
      <c r="E57" s="133">
        <v>5.6</v>
      </c>
      <c r="F57" s="133">
        <v>7.44</v>
      </c>
      <c r="G57" s="133">
        <v>40.020000000000003</v>
      </c>
      <c r="H57" s="133">
        <v>17.87</v>
      </c>
      <c r="I57" s="133">
        <v>6.38</v>
      </c>
      <c r="J57" s="133">
        <v>0.3</v>
      </c>
      <c r="K57" s="133">
        <v>174.45</v>
      </c>
      <c r="L57" s="133">
        <v>33.299999999999997</v>
      </c>
      <c r="M57" s="133">
        <v>44.8</v>
      </c>
      <c r="N57" s="133">
        <v>679.7</v>
      </c>
      <c r="O57" s="133">
        <v>0</v>
      </c>
      <c r="P57" s="133">
        <v>0.52</v>
      </c>
      <c r="Q57" s="133">
        <v>4.93</v>
      </c>
      <c r="R57" s="6"/>
      <c r="S57" s="6"/>
      <c r="T57" s="181"/>
      <c r="U57" s="6"/>
    </row>
    <row r="58" spans="1:21" customFormat="1">
      <c r="A58" s="111" t="s">
        <v>1631</v>
      </c>
      <c r="B58" s="133">
        <v>4.24</v>
      </c>
      <c r="C58" s="133">
        <v>18.68</v>
      </c>
      <c r="D58" s="133">
        <v>14.51</v>
      </c>
      <c r="E58" s="133">
        <v>5.74</v>
      </c>
      <c r="F58" s="133">
        <v>5.0599999999999996</v>
      </c>
      <c r="G58" s="133">
        <v>40.020000000000003</v>
      </c>
      <c r="H58" s="133">
        <v>17.87</v>
      </c>
      <c r="I58" s="133">
        <v>5.88</v>
      </c>
      <c r="J58" s="133">
        <v>0.25</v>
      </c>
      <c r="K58" s="133">
        <v>235</v>
      </c>
      <c r="L58" s="133">
        <v>33.409999999999997</v>
      </c>
      <c r="M58" s="133">
        <v>46.6</v>
      </c>
      <c r="N58" s="133">
        <v>644.29999999999995</v>
      </c>
      <c r="O58" s="133">
        <v>0</v>
      </c>
      <c r="P58" s="133">
        <v>0.51</v>
      </c>
      <c r="Q58" s="133">
        <v>4.9400000000000004</v>
      </c>
      <c r="R58" s="6"/>
      <c r="S58" s="6"/>
      <c r="T58" s="181"/>
      <c r="U58" s="6"/>
    </row>
    <row r="59" spans="1:21" customFormat="1">
      <c r="A59" s="111" t="s">
        <v>1632</v>
      </c>
      <c r="B59" s="133">
        <v>4.62</v>
      </c>
      <c r="C59" s="133">
        <v>19.36</v>
      </c>
      <c r="D59" s="133">
        <v>15.17</v>
      </c>
      <c r="E59" s="133">
        <v>5.6</v>
      </c>
      <c r="F59" s="133">
        <v>4.49</v>
      </c>
      <c r="G59" s="133">
        <v>40.020000000000003</v>
      </c>
      <c r="H59" s="133">
        <v>17.87</v>
      </c>
      <c r="I59" s="133">
        <v>5.97</v>
      </c>
      <c r="J59" s="133">
        <v>0.2</v>
      </c>
      <c r="K59" s="133">
        <v>210.75</v>
      </c>
      <c r="L59" s="133">
        <v>33.53</v>
      </c>
      <c r="M59" s="133">
        <v>44.51</v>
      </c>
      <c r="N59" s="133">
        <v>677.5</v>
      </c>
      <c r="O59" s="133">
        <v>0</v>
      </c>
      <c r="P59" s="133">
        <v>0.52</v>
      </c>
      <c r="Q59" s="133">
        <v>4.95</v>
      </c>
      <c r="R59" s="6"/>
      <c r="S59" s="6"/>
      <c r="T59" s="181"/>
      <c r="U59" s="6"/>
    </row>
    <row r="60" spans="1:21" customFormat="1">
      <c r="A60" s="111" t="s">
        <v>1633</v>
      </c>
      <c r="B60" s="133">
        <v>5.0199999999999996</v>
      </c>
      <c r="C60" s="133">
        <v>19.91</v>
      </c>
      <c r="D60" s="133">
        <v>15.78</v>
      </c>
      <c r="E60" s="133">
        <v>5.72</v>
      </c>
      <c r="F60" s="133">
        <v>5.52</v>
      </c>
      <c r="G60" s="133">
        <v>39.799999999999997</v>
      </c>
      <c r="H60" s="133">
        <v>17.64</v>
      </c>
      <c r="I60" s="133">
        <v>6.02</v>
      </c>
      <c r="J60" s="133">
        <v>0.28000000000000003</v>
      </c>
      <c r="K60" s="133">
        <v>183.44</v>
      </c>
      <c r="L60" s="133">
        <v>34.21</v>
      </c>
      <c r="M60" s="133">
        <v>44.07</v>
      </c>
      <c r="N60" s="133">
        <v>637.6</v>
      </c>
      <c r="O60" s="133">
        <v>0</v>
      </c>
      <c r="P60" s="133">
        <v>0.52</v>
      </c>
      <c r="Q60" s="133">
        <v>4.97</v>
      </c>
      <c r="R60" s="6"/>
      <c r="S60" s="6"/>
      <c r="T60" s="181"/>
      <c r="U60" s="6"/>
    </row>
    <row r="61" spans="1:21" customFormat="1">
      <c r="A61" s="111" t="s">
        <v>1634</v>
      </c>
      <c r="B61" s="133">
        <v>5.24</v>
      </c>
      <c r="C61" s="133">
        <v>20.420000000000002</v>
      </c>
      <c r="D61" s="133">
        <v>16.22</v>
      </c>
      <c r="E61" s="133">
        <v>5.62</v>
      </c>
      <c r="F61" s="133">
        <v>5.78</v>
      </c>
      <c r="G61" s="133">
        <v>38.6</v>
      </c>
      <c r="H61" s="133">
        <v>16.399999999999999</v>
      </c>
      <c r="I61" s="133">
        <v>6.04</v>
      </c>
      <c r="J61" s="133">
        <v>0.2</v>
      </c>
      <c r="K61" s="133">
        <v>186.13</v>
      </c>
      <c r="L61" s="133">
        <v>33.69</v>
      </c>
      <c r="M61" s="133">
        <v>46.04</v>
      </c>
      <c r="N61" s="133">
        <v>325.3</v>
      </c>
      <c r="O61" s="133">
        <v>0</v>
      </c>
      <c r="P61" s="133">
        <v>0.51</v>
      </c>
      <c r="Q61" s="133">
        <v>4.97</v>
      </c>
      <c r="R61" s="6"/>
      <c r="S61" s="6"/>
      <c r="T61" s="181"/>
      <c r="U61" s="6"/>
    </row>
    <row r="62" spans="1:21" customFormat="1">
      <c r="A62" s="111" t="s">
        <v>1635</v>
      </c>
      <c r="B62" s="133">
        <v>5.46</v>
      </c>
      <c r="C62" s="133">
        <v>20.85</v>
      </c>
      <c r="D62" s="133">
        <v>16.62</v>
      </c>
      <c r="E62" s="133">
        <v>5.6</v>
      </c>
      <c r="F62" s="133">
        <v>4.1100000000000003</v>
      </c>
      <c r="G62" s="133">
        <v>38.6</v>
      </c>
      <c r="H62" s="133">
        <v>16.399999999999999</v>
      </c>
      <c r="I62" s="133">
        <v>6.02</v>
      </c>
      <c r="J62" s="133">
        <v>0.19</v>
      </c>
      <c r="K62" s="133">
        <v>167.09</v>
      </c>
      <c r="L62" s="133">
        <v>32.4</v>
      </c>
      <c r="M62" s="133">
        <v>49.49</v>
      </c>
      <c r="N62" s="133">
        <v>179.3</v>
      </c>
      <c r="O62" s="133">
        <v>0</v>
      </c>
      <c r="P62" s="133">
        <v>0.51</v>
      </c>
      <c r="Q62" s="133">
        <v>4.99</v>
      </c>
      <c r="R62" s="6"/>
      <c r="S62" s="6"/>
      <c r="T62" s="181"/>
      <c r="U62" s="6"/>
    </row>
    <row r="63" spans="1:21" customFormat="1">
      <c r="A63" s="111" t="s">
        <v>1636</v>
      </c>
      <c r="B63" s="133">
        <v>5.72</v>
      </c>
      <c r="C63" s="133">
        <v>20.81</v>
      </c>
      <c r="D63" s="133">
        <v>16.809999999999999</v>
      </c>
      <c r="E63" s="133">
        <v>5.65</v>
      </c>
      <c r="F63" s="133">
        <v>4.58</v>
      </c>
      <c r="G63" s="133">
        <v>38.6</v>
      </c>
      <c r="H63" s="133">
        <v>16.399999999999999</v>
      </c>
      <c r="I63" s="133">
        <v>6.05</v>
      </c>
      <c r="J63" s="133">
        <v>0.19</v>
      </c>
      <c r="K63" s="133">
        <v>175.79</v>
      </c>
      <c r="L63" s="133">
        <v>31.91</v>
      </c>
      <c r="M63" s="133">
        <v>51.09</v>
      </c>
      <c r="N63" s="133">
        <v>169.4</v>
      </c>
      <c r="O63" s="133">
        <v>0</v>
      </c>
      <c r="P63" s="133">
        <v>0.49</v>
      </c>
      <c r="Q63" s="133">
        <v>4.97</v>
      </c>
      <c r="R63" s="6"/>
      <c r="S63" s="6"/>
      <c r="T63" s="181"/>
      <c r="U63" s="6"/>
    </row>
    <row r="64" spans="1:21" customFormat="1">
      <c r="A64" s="111" t="s">
        <v>1637</v>
      </c>
      <c r="B64" s="133">
        <v>5.78</v>
      </c>
      <c r="C64" s="133">
        <v>20.13</v>
      </c>
      <c r="D64" s="133">
        <v>16.5</v>
      </c>
      <c r="E64" s="133">
        <v>6.75</v>
      </c>
      <c r="F64" s="133">
        <v>9.09</v>
      </c>
      <c r="G64" s="133">
        <v>38.04</v>
      </c>
      <c r="H64" s="133">
        <v>16</v>
      </c>
      <c r="I64" s="133">
        <v>6.07</v>
      </c>
      <c r="J64" s="133">
        <v>0.21</v>
      </c>
      <c r="K64" s="133">
        <v>193.18</v>
      </c>
      <c r="L64" s="133">
        <v>31.16</v>
      </c>
      <c r="M64" s="133">
        <v>53.35</v>
      </c>
      <c r="N64" s="133">
        <v>94</v>
      </c>
      <c r="O64" s="133">
        <v>0</v>
      </c>
      <c r="P64" s="133">
        <v>0.49</v>
      </c>
      <c r="Q64" s="133">
        <v>4.95</v>
      </c>
      <c r="R64" s="6"/>
      <c r="S64" s="6"/>
      <c r="T64" s="181"/>
      <c r="U64" s="6"/>
    </row>
    <row r="65" spans="1:21" customFormat="1">
      <c r="A65" s="111" t="s">
        <v>1638</v>
      </c>
      <c r="B65" s="133">
        <v>5.76</v>
      </c>
      <c r="C65" s="133">
        <v>19.66</v>
      </c>
      <c r="D65" s="133">
        <v>16.239999999999998</v>
      </c>
      <c r="E65" s="133">
        <v>6.41</v>
      </c>
      <c r="F65" s="133">
        <v>7.61</v>
      </c>
      <c r="G65" s="133">
        <v>35</v>
      </c>
      <c r="H65" s="133">
        <v>14.25</v>
      </c>
      <c r="I65" s="133">
        <v>6</v>
      </c>
      <c r="J65" s="133">
        <v>0.23</v>
      </c>
      <c r="K65" s="133">
        <v>202.78</v>
      </c>
      <c r="L65" s="133">
        <v>30.61</v>
      </c>
      <c r="M65" s="133">
        <v>56.57</v>
      </c>
      <c r="N65" s="133">
        <v>132</v>
      </c>
      <c r="O65" s="133">
        <v>0</v>
      </c>
      <c r="P65" s="133">
        <v>0.46</v>
      </c>
      <c r="Q65" s="133">
        <v>4.96</v>
      </c>
      <c r="R65" s="6"/>
      <c r="S65" s="6"/>
      <c r="T65" s="181"/>
      <c r="U65" s="6"/>
    </row>
    <row r="66" spans="1:21" customFormat="1">
      <c r="A66" s="111" t="s">
        <v>1639</v>
      </c>
      <c r="B66" s="133">
        <v>5.82</v>
      </c>
      <c r="C66" s="133">
        <v>20.79</v>
      </c>
      <c r="D66" s="133">
        <v>16.88</v>
      </c>
      <c r="E66" s="133">
        <v>5.79</v>
      </c>
      <c r="F66" s="133">
        <v>5.36</v>
      </c>
      <c r="G66" s="133">
        <v>35</v>
      </c>
      <c r="H66" s="133">
        <v>14.25</v>
      </c>
      <c r="I66" s="133">
        <v>5.78</v>
      </c>
      <c r="J66" s="133">
        <v>0.16</v>
      </c>
      <c r="K66" s="133">
        <v>204.9</v>
      </c>
      <c r="L66" s="133">
        <v>30.69</v>
      </c>
      <c r="M66" s="133">
        <v>57.91</v>
      </c>
      <c r="N66" s="133">
        <v>111.9</v>
      </c>
      <c r="O66" s="133">
        <v>0</v>
      </c>
      <c r="P66" s="133">
        <v>0.47</v>
      </c>
      <c r="Q66" s="133">
        <v>5.01</v>
      </c>
      <c r="R66" s="6"/>
      <c r="S66" s="6"/>
      <c r="T66" s="181"/>
      <c r="U66" s="6"/>
    </row>
    <row r="67" spans="1:21" customFormat="1">
      <c r="A67" s="111" t="s">
        <v>1640</v>
      </c>
      <c r="B67" s="133">
        <v>5.68</v>
      </c>
      <c r="C67" s="133">
        <v>21.42</v>
      </c>
      <c r="D67" s="133">
        <v>17.09</v>
      </c>
      <c r="E67" s="133">
        <v>6.23</v>
      </c>
      <c r="F67" s="133">
        <v>5.97</v>
      </c>
      <c r="G67" s="133">
        <v>35</v>
      </c>
      <c r="H67" s="133">
        <v>14.25</v>
      </c>
      <c r="I67" s="133">
        <v>5.87</v>
      </c>
      <c r="J67" s="133">
        <v>0.17</v>
      </c>
      <c r="K67" s="133">
        <v>180.62</v>
      </c>
      <c r="L67" s="133">
        <v>30.71</v>
      </c>
      <c r="M67" s="133">
        <v>58.49</v>
      </c>
      <c r="N67" s="133">
        <v>108</v>
      </c>
      <c r="O67" s="133">
        <v>0</v>
      </c>
      <c r="P67" s="133">
        <v>0.46</v>
      </c>
      <c r="Q67" s="133">
        <v>5.04</v>
      </c>
      <c r="R67" s="6"/>
      <c r="S67" s="6"/>
      <c r="T67" s="181"/>
      <c r="U67" s="6"/>
    </row>
    <row r="68" spans="1:21" customFormat="1">
      <c r="A68" s="111" t="s">
        <v>1641</v>
      </c>
      <c r="B68" s="133">
        <v>5.76</v>
      </c>
      <c r="C68" s="133">
        <v>21.42</v>
      </c>
      <c r="D68" s="133">
        <v>17.16</v>
      </c>
      <c r="E68" s="133">
        <v>6.24</v>
      </c>
      <c r="F68" s="133">
        <v>7.57</v>
      </c>
      <c r="G68" s="133">
        <v>34.9</v>
      </c>
      <c r="H68" s="133">
        <v>14.91</v>
      </c>
      <c r="I68" s="133">
        <v>6.06</v>
      </c>
      <c r="J68" s="133">
        <v>0.22</v>
      </c>
      <c r="K68" s="133">
        <v>171.59</v>
      </c>
      <c r="L68" s="133">
        <v>30.43</v>
      </c>
      <c r="M68" s="133">
        <v>58.6</v>
      </c>
      <c r="N68" s="133">
        <v>77.8</v>
      </c>
      <c r="O68" s="133">
        <v>0</v>
      </c>
      <c r="P68" s="133">
        <v>0.46</v>
      </c>
      <c r="Q68" s="133">
        <v>5.04</v>
      </c>
      <c r="R68" s="6"/>
      <c r="S68" s="6"/>
      <c r="T68" s="181"/>
      <c r="U68" s="6"/>
    </row>
    <row r="69" spans="1:21" customFormat="1">
      <c r="A69" s="111" t="s">
        <v>1642</v>
      </c>
      <c r="B69" s="133">
        <v>5.97</v>
      </c>
      <c r="C69" s="133">
        <v>21.43</v>
      </c>
      <c r="D69" s="133">
        <v>17.329999999999998</v>
      </c>
      <c r="E69" s="133">
        <v>7.09</v>
      </c>
      <c r="F69" s="133">
        <v>7.44</v>
      </c>
      <c r="G69" s="133">
        <v>34.39</v>
      </c>
      <c r="H69" s="133">
        <v>17.88</v>
      </c>
      <c r="I69" s="133">
        <v>6.07</v>
      </c>
      <c r="J69" s="133">
        <v>0.2</v>
      </c>
      <c r="K69" s="133">
        <v>175.2</v>
      </c>
      <c r="L69" s="133">
        <v>30.12</v>
      </c>
      <c r="M69" s="133">
        <v>58.57</v>
      </c>
      <c r="N69" s="133">
        <v>67.400000000000006</v>
      </c>
      <c r="O69" s="133">
        <v>0</v>
      </c>
      <c r="P69" s="133">
        <v>0.47</v>
      </c>
      <c r="Q69" s="133">
        <v>5.0599999999999996</v>
      </c>
      <c r="R69" s="6"/>
      <c r="S69" s="6"/>
      <c r="T69" s="181"/>
      <c r="U69" s="6"/>
    </row>
    <row r="70" spans="1:21" customFormat="1">
      <c r="A70" s="111" t="s">
        <v>1643</v>
      </c>
      <c r="B70" s="133">
        <v>6.36</v>
      </c>
      <c r="C70" s="133">
        <v>21.39</v>
      </c>
      <c r="D70" s="133">
        <v>17.62</v>
      </c>
      <c r="E70" s="133">
        <v>6.66</v>
      </c>
      <c r="F70" s="133">
        <v>6.11</v>
      </c>
      <c r="G70" s="133">
        <v>34.39</v>
      </c>
      <c r="H70" s="133">
        <v>17.88</v>
      </c>
      <c r="I70" s="133">
        <v>5.97</v>
      </c>
      <c r="J70" s="133">
        <v>0.26</v>
      </c>
      <c r="K70" s="133">
        <v>159.88999999999999</v>
      </c>
      <c r="L70" s="133">
        <v>30.02</v>
      </c>
      <c r="M70" s="133">
        <v>58.42</v>
      </c>
      <c r="N70" s="133">
        <v>81.099999999999994</v>
      </c>
      <c r="O70" s="133">
        <v>0</v>
      </c>
      <c r="P70" s="133">
        <v>0.46</v>
      </c>
      <c r="Q70" s="133">
        <v>5.05</v>
      </c>
      <c r="R70" s="6"/>
      <c r="S70" s="6"/>
      <c r="T70" s="181"/>
      <c r="U70" s="6"/>
    </row>
    <row r="71" spans="1:21" customFormat="1">
      <c r="A71" s="111" t="s">
        <v>1644</v>
      </c>
      <c r="B71" s="133">
        <v>6.58</v>
      </c>
      <c r="C71" s="133">
        <v>21.09</v>
      </c>
      <c r="D71" s="133">
        <v>17.649999999999999</v>
      </c>
      <c r="E71" s="133">
        <v>7.05</v>
      </c>
      <c r="F71" s="133">
        <v>8.41</v>
      </c>
      <c r="G71" s="133">
        <v>34.39</v>
      </c>
      <c r="H71" s="133">
        <v>17.88</v>
      </c>
      <c r="I71" s="133">
        <v>5.91</v>
      </c>
      <c r="J71" s="133">
        <v>0.23</v>
      </c>
      <c r="K71" s="133">
        <v>163.49</v>
      </c>
      <c r="L71" s="133">
        <v>30.18</v>
      </c>
      <c r="M71" s="133">
        <v>58.31</v>
      </c>
      <c r="N71" s="133">
        <v>86.8</v>
      </c>
      <c r="O71" s="133">
        <v>0</v>
      </c>
      <c r="P71" s="133">
        <v>0.47</v>
      </c>
      <c r="Q71" s="133">
        <v>5.07</v>
      </c>
      <c r="R71" s="6"/>
      <c r="S71" s="6"/>
      <c r="T71" s="181"/>
      <c r="U71" s="6"/>
    </row>
    <row r="72" spans="1:21" customFormat="1">
      <c r="A72" s="111" t="s">
        <v>1645</v>
      </c>
      <c r="B72" s="133">
        <v>6.74</v>
      </c>
      <c r="C72" s="133">
        <v>21.26</v>
      </c>
      <c r="D72" s="133">
        <v>17.86</v>
      </c>
      <c r="E72" s="133">
        <v>7.25</v>
      </c>
      <c r="F72" s="133">
        <v>8.3000000000000007</v>
      </c>
      <c r="G72" s="133">
        <v>34.880000000000003</v>
      </c>
      <c r="H72" s="133">
        <v>17.68</v>
      </c>
      <c r="I72" s="133">
        <v>5.86</v>
      </c>
      <c r="J72" s="133">
        <v>0.22</v>
      </c>
      <c r="K72" s="133">
        <v>166.03</v>
      </c>
      <c r="L72" s="133">
        <v>30.18</v>
      </c>
      <c r="M72" s="133">
        <v>58.24</v>
      </c>
      <c r="N72" s="133">
        <v>61.4</v>
      </c>
      <c r="O72" s="133">
        <v>0</v>
      </c>
      <c r="P72" s="133">
        <v>0.47</v>
      </c>
      <c r="Q72" s="133">
        <v>5.08</v>
      </c>
      <c r="R72" s="6"/>
      <c r="S72" s="6"/>
      <c r="T72" s="181"/>
      <c r="U72" s="6"/>
    </row>
    <row r="73" spans="1:21" customFormat="1">
      <c r="A73" s="111" t="s">
        <v>1646</v>
      </c>
      <c r="B73" s="133">
        <v>6.67</v>
      </c>
      <c r="C73" s="133">
        <v>21.5</v>
      </c>
      <c r="D73" s="133">
        <v>17.93</v>
      </c>
      <c r="E73" s="133">
        <v>7.2</v>
      </c>
      <c r="F73" s="133">
        <v>6</v>
      </c>
      <c r="G73" s="133">
        <v>37.53</v>
      </c>
      <c r="H73" s="133">
        <v>16.87</v>
      </c>
      <c r="I73" s="133">
        <v>5.74</v>
      </c>
      <c r="J73" s="133">
        <v>0.19</v>
      </c>
      <c r="K73" s="133">
        <v>167.65</v>
      </c>
      <c r="L73" s="133">
        <v>29.93</v>
      </c>
      <c r="M73" s="133">
        <v>60.76</v>
      </c>
      <c r="N73" s="133">
        <v>58.7</v>
      </c>
      <c r="O73" s="133">
        <v>0</v>
      </c>
      <c r="P73" s="133">
        <v>0.47</v>
      </c>
      <c r="Q73" s="133">
        <v>5.09</v>
      </c>
      <c r="R73" s="6"/>
      <c r="S73" s="6"/>
      <c r="T73" s="181"/>
      <c r="U73" s="6"/>
    </row>
    <row r="74" spans="1:21" customFormat="1">
      <c r="A74" s="111" t="s">
        <v>1647</v>
      </c>
      <c r="B74" s="133">
        <v>6.92</v>
      </c>
      <c r="C74" s="133">
        <v>21.43</v>
      </c>
      <c r="D74" s="133">
        <v>18.100000000000001</v>
      </c>
      <c r="E74" s="133">
        <v>7.31</v>
      </c>
      <c r="F74" s="133">
        <v>6.58</v>
      </c>
      <c r="G74" s="133">
        <v>37.53</v>
      </c>
      <c r="H74" s="133">
        <v>16.87</v>
      </c>
      <c r="I74" s="133">
        <v>4.74</v>
      </c>
      <c r="J74" s="133">
        <v>0.27</v>
      </c>
      <c r="K74" s="133">
        <v>163.01</v>
      </c>
      <c r="L74" s="133">
        <v>30.23</v>
      </c>
      <c r="M74" s="133">
        <v>62.47</v>
      </c>
      <c r="N74" s="133">
        <v>66.400000000000006</v>
      </c>
      <c r="O74" s="133">
        <v>0</v>
      </c>
      <c r="P74" s="133">
        <v>0.47</v>
      </c>
      <c r="Q74" s="133">
        <v>5.13</v>
      </c>
      <c r="R74" s="6"/>
      <c r="S74" s="6"/>
      <c r="T74" s="181"/>
      <c r="U74" s="6"/>
    </row>
    <row r="75" spans="1:21" customFormat="1">
      <c r="A75" s="111" t="s">
        <v>1648</v>
      </c>
      <c r="B75" s="133">
        <v>7.03</v>
      </c>
      <c r="C75" s="133">
        <v>21.45</v>
      </c>
      <c r="D75" s="133">
        <v>18.190000000000001</v>
      </c>
      <c r="E75" s="133">
        <v>7.76</v>
      </c>
      <c r="F75" s="133">
        <v>6.99</v>
      </c>
      <c r="G75" s="133">
        <v>37.53</v>
      </c>
      <c r="H75" s="133">
        <v>16.87</v>
      </c>
      <c r="I75" s="133">
        <v>4.74</v>
      </c>
      <c r="J75" s="133">
        <v>0.24</v>
      </c>
      <c r="K75" s="133">
        <v>159.94999999999999</v>
      </c>
      <c r="L75" s="133">
        <v>30.23</v>
      </c>
      <c r="M75" s="133">
        <v>60.65</v>
      </c>
      <c r="N75" s="133">
        <v>50.2</v>
      </c>
      <c r="O75" s="133">
        <v>0</v>
      </c>
      <c r="P75" s="133">
        <v>0.47</v>
      </c>
      <c r="Q75" s="133">
        <v>5.17</v>
      </c>
      <c r="R75" s="6"/>
      <c r="S75" s="6"/>
      <c r="T75" s="181"/>
      <c r="U75" s="6"/>
    </row>
    <row r="76" spans="1:21" customFormat="1">
      <c r="A76" s="111" t="s">
        <v>1649</v>
      </c>
      <c r="B76" s="133">
        <v>7.11</v>
      </c>
      <c r="C76" s="133">
        <v>21.39</v>
      </c>
      <c r="D76" s="133">
        <v>18.23</v>
      </c>
      <c r="E76" s="133">
        <v>7.69</v>
      </c>
      <c r="F76" s="133">
        <v>9.06</v>
      </c>
      <c r="G76" s="133">
        <v>37.159999999999997</v>
      </c>
      <c r="H76" s="133">
        <v>17.07</v>
      </c>
      <c r="I76" s="133">
        <v>4.67</v>
      </c>
      <c r="J76" s="133">
        <v>0.23</v>
      </c>
      <c r="K76" s="133">
        <v>159.78</v>
      </c>
      <c r="L76" s="133">
        <v>29.78</v>
      </c>
      <c r="M76" s="133">
        <v>63.6</v>
      </c>
      <c r="N76" s="133">
        <v>29.7</v>
      </c>
      <c r="O76" s="133">
        <v>0</v>
      </c>
      <c r="P76" s="133">
        <v>0.47</v>
      </c>
      <c r="Q76" s="133">
        <v>5.19</v>
      </c>
      <c r="R76" s="6"/>
      <c r="S76" s="6"/>
      <c r="T76" s="181"/>
      <c r="U76" s="6"/>
    </row>
    <row r="77" spans="1:21" customFormat="1">
      <c r="A77" s="111" t="s">
        <v>1650</v>
      </c>
      <c r="B77" s="133">
        <v>7.22</v>
      </c>
      <c r="C77" s="133">
        <v>21.71</v>
      </c>
      <c r="D77" s="133">
        <v>18.48</v>
      </c>
      <c r="E77" s="133">
        <v>7.74</v>
      </c>
      <c r="F77" s="133">
        <v>6.49</v>
      </c>
      <c r="G77" s="133">
        <v>35.17</v>
      </c>
      <c r="H77" s="133">
        <v>17.899999999999999</v>
      </c>
      <c r="I77" s="133">
        <v>4.5999999999999996</v>
      </c>
      <c r="J77" s="133">
        <v>0.25</v>
      </c>
      <c r="K77" s="133">
        <v>157.94</v>
      </c>
      <c r="L77" s="133">
        <v>29.3</v>
      </c>
      <c r="M77" s="133">
        <v>66.400000000000006</v>
      </c>
      <c r="N77" s="133">
        <v>10.6</v>
      </c>
      <c r="O77" s="133">
        <v>0</v>
      </c>
      <c r="P77" s="133">
        <v>0.47</v>
      </c>
      <c r="Q77" s="133">
        <v>5.22</v>
      </c>
      <c r="R77" s="6"/>
      <c r="S77" s="6"/>
      <c r="T77" s="181"/>
      <c r="U77" s="6"/>
    </row>
    <row r="78" spans="1:21" customFormat="1">
      <c r="A78" s="111" t="s">
        <v>1651</v>
      </c>
      <c r="B78" s="133">
        <v>7.49</v>
      </c>
      <c r="C78" s="133">
        <v>22.23</v>
      </c>
      <c r="D78" s="133">
        <v>18.97</v>
      </c>
      <c r="E78" s="133">
        <v>7.72</v>
      </c>
      <c r="F78" s="133">
        <v>6.15</v>
      </c>
      <c r="G78" s="133">
        <v>35.17</v>
      </c>
      <c r="H78" s="133">
        <v>17.899999999999999</v>
      </c>
      <c r="I78" s="133">
        <v>4.43</v>
      </c>
      <c r="J78" s="133">
        <v>0.16</v>
      </c>
      <c r="K78" s="133">
        <v>194.66</v>
      </c>
      <c r="L78" s="133">
        <v>28.58</v>
      </c>
      <c r="M78" s="133">
        <v>65.3</v>
      </c>
      <c r="N78" s="133">
        <v>0.2</v>
      </c>
      <c r="O78" s="133">
        <v>0</v>
      </c>
      <c r="P78" s="133">
        <v>0.48</v>
      </c>
      <c r="Q78" s="133">
        <v>5.23</v>
      </c>
      <c r="R78" s="6"/>
      <c r="S78" s="6"/>
      <c r="T78" s="181"/>
      <c r="U78" s="6"/>
    </row>
    <row r="79" spans="1:21" customFormat="1">
      <c r="A79" s="111" t="s">
        <v>1652</v>
      </c>
      <c r="B79" s="133">
        <v>7.59</v>
      </c>
      <c r="C79" s="133">
        <v>22.61</v>
      </c>
      <c r="D79" s="133">
        <v>19.25</v>
      </c>
      <c r="E79" s="133">
        <v>7.84</v>
      </c>
      <c r="F79" s="133">
        <v>4.88</v>
      </c>
      <c r="G79" s="133">
        <v>35.17</v>
      </c>
      <c r="H79" s="133">
        <v>17.899999999999999</v>
      </c>
      <c r="I79" s="133">
        <v>4.47</v>
      </c>
      <c r="J79" s="133">
        <v>0.15</v>
      </c>
      <c r="K79" s="133">
        <v>201.98</v>
      </c>
      <c r="L79" s="133">
        <v>27.99</v>
      </c>
      <c r="M79" s="133">
        <v>72.11</v>
      </c>
      <c r="N79" s="133">
        <v>0</v>
      </c>
      <c r="O79" s="133">
        <v>0</v>
      </c>
      <c r="P79" s="133">
        <v>0.48</v>
      </c>
      <c r="Q79" s="133">
        <v>5.23</v>
      </c>
      <c r="R79" s="6"/>
      <c r="S79" s="6"/>
      <c r="T79" s="181"/>
      <c r="U79" s="6"/>
    </row>
    <row r="80" spans="1:21" customFormat="1">
      <c r="A80" s="111" t="s">
        <v>1653</v>
      </c>
      <c r="B80" s="133">
        <v>7.87</v>
      </c>
      <c r="C80" s="133">
        <v>22.35</v>
      </c>
      <c r="D80" s="133">
        <v>19.34</v>
      </c>
      <c r="E80" s="133">
        <v>7.88</v>
      </c>
      <c r="F80" s="133">
        <v>5.97</v>
      </c>
      <c r="G80" s="133">
        <v>35.83</v>
      </c>
      <c r="H80" s="133">
        <v>17.88</v>
      </c>
      <c r="I80" s="133">
        <v>4.46</v>
      </c>
      <c r="J80" s="133">
        <v>0.15</v>
      </c>
      <c r="K80" s="133">
        <v>177.29</v>
      </c>
      <c r="L80" s="133">
        <v>27.72</v>
      </c>
      <c r="M80" s="133">
        <v>70.48</v>
      </c>
      <c r="N80" s="133">
        <v>0</v>
      </c>
      <c r="O80" s="133">
        <v>0</v>
      </c>
      <c r="P80" s="133">
        <v>0.47</v>
      </c>
      <c r="Q80" s="133">
        <v>5.28</v>
      </c>
      <c r="R80" s="6"/>
      <c r="S80" s="6"/>
      <c r="T80" s="181"/>
      <c r="U80" s="6"/>
    </row>
    <row r="81" spans="1:26" customFormat="1">
      <c r="A81" s="111" t="s">
        <v>1654</v>
      </c>
      <c r="B81" s="133">
        <v>8.23</v>
      </c>
      <c r="C81" s="133">
        <v>22.25</v>
      </c>
      <c r="D81" s="133">
        <v>19.579999999999998</v>
      </c>
      <c r="E81" s="133">
        <v>4.8600000000000003</v>
      </c>
      <c r="F81" s="133">
        <v>4.62</v>
      </c>
      <c r="G81" s="133">
        <v>39.4</v>
      </c>
      <c r="H81" s="133">
        <v>17.78</v>
      </c>
      <c r="I81" s="133">
        <v>4.4400000000000004</v>
      </c>
      <c r="J81" s="133">
        <v>0.1</v>
      </c>
      <c r="K81" s="133">
        <v>175.68</v>
      </c>
      <c r="L81" s="133">
        <v>27.46</v>
      </c>
      <c r="M81" s="133">
        <v>74.3</v>
      </c>
      <c r="N81" s="133">
        <v>0</v>
      </c>
      <c r="O81" s="133">
        <v>0</v>
      </c>
      <c r="P81" s="133">
        <v>0.48</v>
      </c>
      <c r="Q81" s="133">
        <v>5.31</v>
      </c>
      <c r="R81" s="6"/>
      <c r="S81" s="6"/>
      <c r="T81" s="181"/>
      <c r="U81" s="6"/>
    </row>
    <row r="82" spans="1:26" customFormat="1">
      <c r="A82" s="111" t="s">
        <v>1655</v>
      </c>
      <c r="B82" s="133">
        <v>8.4</v>
      </c>
      <c r="C82" s="133">
        <v>22.86</v>
      </c>
      <c r="D82" s="133">
        <v>20.03</v>
      </c>
      <c r="E82" s="133">
        <v>5.0999999999999996</v>
      </c>
      <c r="F82" s="133">
        <v>3.76</v>
      </c>
      <c r="G82" s="133">
        <v>39.4</v>
      </c>
      <c r="H82" s="133">
        <v>17.78</v>
      </c>
      <c r="I82" s="133">
        <v>4.4000000000000004</v>
      </c>
      <c r="J82" s="133">
        <v>0.16</v>
      </c>
      <c r="K82" s="133">
        <v>162.25</v>
      </c>
      <c r="L82" s="133">
        <v>27.38</v>
      </c>
      <c r="M82" s="133">
        <v>70.33</v>
      </c>
      <c r="N82" s="133">
        <v>0</v>
      </c>
      <c r="O82" s="133">
        <v>0</v>
      </c>
      <c r="P82" s="133">
        <v>0.49</v>
      </c>
      <c r="Q82" s="133">
        <v>5.3</v>
      </c>
      <c r="R82" s="6"/>
      <c r="S82" s="6"/>
      <c r="T82" s="181"/>
      <c r="U82" s="6"/>
    </row>
    <row r="83" spans="1:26" customFormat="1">
      <c r="A83" s="111" t="s">
        <v>1656</v>
      </c>
      <c r="B83" s="133">
        <v>8.64</v>
      </c>
      <c r="C83" s="133">
        <v>23.01</v>
      </c>
      <c r="D83" s="133">
        <v>20.3</v>
      </c>
      <c r="E83" s="133">
        <v>5.61</v>
      </c>
      <c r="F83" s="133">
        <v>3.48</v>
      </c>
      <c r="G83" s="133">
        <v>39.4</v>
      </c>
      <c r="H83" s="133">
        <v>17.78</v>
      </c>
      <c r="I83" s="133">
        <v>4.43</v>
      </c>
      <c r="J83" s="133">
        <v>0.12</v>
      </c>
      <c r="K83" s="133">
        <v>187.82</v>
      </c>
      <c r="L83" s="133">
        <v>27.1</v>
      </c>
      <c r="M83" s="133">
        <v>73.34</v>
      </c>
      <c r="N83" s="133">
        <v>0</v>
      </c>
      <c r="O83" s="133">
        <v>0</v>
      </c>
      <c r="P83" s="133">
        <v>0.49</v>
      </c>
      <c r="Q83" s="133">
        <v>5.32</v>
      </c>
      <c r="R83" s="6"/>
      <c r="S83" s="6"/>
      <c r="T83" s="181"/>
      <c r="U83" s="6"/>
    </row>
    <row r="84" spans="1:26" customFormat="1">
      <c r="A84" s="111" t="s">
        <v>1657</v>
      </c>
      <c r="B84" s="133">
        <v>8.74</v>
      </c>
      <c r="C84" s="133">
        <v>23.14</v>
      </c>
      <c r="D84" s="133">
        <v>20.45</v>
      </c>
      <c r="E84" s="133">
        <v>5.31</v>
      </c>
      <c r="F84" s="133">
        <v>3.75</v>
      </c>
      <c r="G84" s="133">
        <v>39.770000000000003</v>
      </c>
      <c r="H84" s="133">
        <v>17.420000000000002</v>
      </c>
      <c r="I84" s="133">
        <v>4.4800000000000004</v>
      </c>
      <c r="J84" s="133">
        <v>0.18</v>
      </c>
      <c r="K84" s="133">
        <v>163.9</v>
      </c>
      <c r="L84" s="133">
        <v>26.71</v>
      </c>
      <c r="M84" s="133">
        <v>76.819999999999993</v>
      </c>
      <c r="N84" s="133">
        <v>0</v>
      </c>
      <c r="O84" s="133">
        <v>0</v>
      </c>
      <c r="P84" s="133">
        <v>0.51</v>
      </c>
      <c r="Q84" s="133">
        <v>5.35</v>
      </c>
      <c r="R84" s="6"/>
      <c r="S84" s="6"/>
      <c r="T84" s="181"/>
      <c r="U84" s="6"/>
    </row>
    <row r="85" spans="1:26" customFormat="1">
      <c r="A85" s="111" t="s">
        <v>1658</v>
      </c>
      <c r="B85" s="133">
        <v>8.94</v>
      </c>
      <c r="C85" s="133">
        <v>23.61</v>
      </c>
      <c r="D85" s="133">
        <v>20.85</v>
      </c>
      <c r="E85" s="133">
        <v>5.27</v>
      </c>
      <c r="F85" s="133">
        <v>4.01</v>
      </c>
      <c r="G85" s="133">
        <v>41.73</v>
      </c>
      <c r="H85" s="133">
        <v>15.32</v>
      </c>
      <c r="I85" s="133">
        <v>5.23</v>
      </c>
      <c r="J85" s="133">
        <v>0.14000000000000001</v>
      </c>
      <c r="K85" s="133">
        <v>181.99</v>
      </c>
      <c r="L85" s="133">
        <v>26.45</v>
      </c>
      <c r="M85" s="133">
        <v>75.14</v>
      </c>
      <c r="N85" s="133">
        <v>0</v>
      </c>
      <c r="O85" s="133">
        <v>0</v>
      </c>
      <c r="P85" s="133">
        <v>0.52</v>
      </c>
      <c r="Q85" s="133">
        <v>5.34</v>
      </c>
      <c r="R85" s="6"/>
      <c r="S85" s="6"/>
      <c r="T85" s="181"/>
      <c r="U85" s="6"/>
    </row>
    <row r="86" spans="1:26" customFormat="1">
      <c r="A86" s="111" t="s">
        <v>1659</v>
      </c>
      <c r="B86" s="133">
        <v>9.17</v>
      </c>
      <c r="C86" s="133">
        <v>23.74</v>
      </c>
      <c r="D86" s="133">
        <v>21.11</v>
      </c>
      <c r="E86" s="133">
        <v>5.32</v>
      </c>
      <c r="F86" s="133">
        <v>3.12</v>
      </c>
      <c r="G86" s="133">
        <v>41.73</v>
      </c>
      <c r="H86" s="133">
        <v>15.32</v>
      </c>
      <c r="I86" s="133">
        <v>5.3</v>
      </c>
      <c r="J86" s="133">
        <v>0.12</v>
      </c>
      <c r="K86" s="133">
        <v>196.6</v>
      </c>
      <c r="L86" s="133">
        <v>26.14</v>
      </c>
      <c r="M86" s="133">
        <v>80.06</v>
      </c>
      <c r="N86" s="133">
        <v>0</v>
      </c>
      <c r="O86" s="133">
        <v>0</v>
      </c>
      <c r="P86" s="133">
        <v>0.52</v>
      </c>
      <c r="Q86" s="133">
        <v>5.32</v>
      </c>
      <c r="R86" s="6"/>
      <c r="S86" s="6"/>
      <c r="T86" s="181"/>
      <c r="U86" s="6"/>
    </row>
    <row r="87" spans="1:26" customFormat="1">
      <c r="A87" s="111" t="s">
        <v>1660</v>
      </c>
      <c r="B87" s="133">
        <v>9.68</v>
      </c>
      <c r="C87" s="133">
        <v>22.36</v>
      </c>
      <c r="D87" s="133">
        <v>20.8</v>
      </c>
      <c r="E87" s="133">
        <v>5.03</v>
      </c>
      <c r="F87" s="133">
        <v>2.96</v>
      </c>
      <c r="G87" s="133">
        <v>41.73</v>
      </c>
      <c r="H87" s="133">
        <v>15.32</v>
      </c>
      <c r="I87" s="133">
        <v>5.41</v>
      </c>
      <c r="J87" s="133">
        <v>0.1</v>
      </c>
      <c r="K87" s="133">
        <v>179.23</v>
      </c>
      <c r="L87" s="133">
        <v>25.9</v>
      </c>
      <c r="M87" s="133">
        <v>81.260000000000005</v>
      </c>
      <c r="N87" s="133">
        <v>0</v>
      </c>
      <c r="O87" s="133">
        <v>0</v>
      </c>
      <c r="P87" s="133">
        <v>0.51</v>
      </c>
      <c r="Q87" s="133">
        <v>5.28</v>
      </c>
      <c r="R87" s="6"/>
      <c r="S87" s="6"/>
      <c r="T87" s="181"/>
      <c r="U87" s="6"/>
    </row>
    <row r="88" spans="1:26" customFormat="1">
      <c r="A88" s="111" t="s">
        <v>1661</v>
      </c>
      <c r="B88" s="133">
        <v>9.98</v>
      </c>
      <c r="C88" s="133">
        <v>20.94</v>
      </c>
      <c r="D88" s="133">
        <v>20.29</v>
      </c>
      <c r="E88" s="133">
        <v>5</v>
      </c>
      <c r="F88" s="133">
        <v>3.23</v>
      </c>
      <c r="G88" s="133">
        <v>41.75</v>
      </c>
      <c r="H88" s="133">
        <v>15.51</v>
      </c>
      <c r="I88" s="133">
        <v>5.53</v>
      </c>
      <c r="J88" s="133">
        <v>0.13</v>
      </c>
      <c r="K88" s="133">
        <v>163.13999999999999</v>
      </c>
      <c r="L88" s="133">
        <v>25.74</v>
      </c>
      <c r="M88" s="133">
        <v>80</v>
      </c>
      <c r="N88" s="133">
        <v>0</v>
      </c>
      <c r="O88" s="133">
        <v>0</v>
      </c>
      <c r="P88" s="133">
        <v>0.51</v>
      </c>
      <c r="Q88" s="133">
        <v>5.27</v>
      </c>
      <c r="R88" s="6"/>
      <c r="S88" s="6"/>
      <c r="T88" s="181"/>
      <c r="U88" s="6"/>
    </row>
    <row r="89" spans="1:26" customFormat="1">
      <c r="A89" s="111" t="s">
        <v>1662</v>
      </c>
      <c r="B89" s="133">
        <v>10.26</v>
      </c>
      <c r="C89" s="133">
        <v>20.239999999999998</v>
      </c>
      <c r="D89" s="133">
        <v>20.16</v>
      </c>
      <c r="E89" s="133">
        <v>4.54</v>
      </c>
      <c r="F89" s="133">
        <v>3.3</v>
      </c>
      <c r="G89" s="133">
        <v>41.87</v>
      </c>
      <c r="H89" s="133">
        <v>16.32</v>
      </c>
      <c r="I89" s="133">
        <v>5.61</v>
      </c>
      <c r="J89" s="133">
        <v>0.1</v>
      </c>
      <c r="K89" s="133">
        <v>162.97</v>
      </c>
      <c r="L89" s="133">
        <v>25.63</v>
      </c>
      <c r="M89" s="133">
        <v>84.31</v>
      </c>
      <c r="N89" s="133">
        <v>0</v>
      </c>
      <c r="O89" s="133">
        <v>0</v>
      </c>
      <c r="P89" s="133">
        <v>0.5</v>
      </c>
      <c r="Q89" s="133">
        <v>5.25</v>
      </c>
      <c r="R89" s="6"/>
      <c r="S89" s="6"/>
      <c r="T89" s="181"/>
      <c r="U89" s="6"/>
    </row>
    <row r="90" spans="1:26" customFormat="1">
      <c r="A90" s="111" t="s">
        <v>1663</v>
      </c>
      <c r="B90" s="133">
        <v>10.56</v>
      </c>
      <c r="C90" s="133">
        <v>19.97</v>
      </c>
      <c r="D90" s="133">
        <v>20.260000000000002</v>
      </c>
      <c r="E90" s="133">
        <v>5.0599999999999996</v>
      </c>
      <c r="F90" s="133">
        <v>3.25</v>
      </c>
      <c r="G90" s="133">
        <v>41.87</v>
      </c>
      <c r="H90" s="133">
        <v>16.32</v>
      </c>
      <c r="I90" s="133">
        <v>5.65</v>
      </c>
      <c r="J90" s="133">
        <v>0.18</v>
      </c>
      <c r="K90" s="133">
        <v>163.86</v>
      </c>
      <c r="L90" s="133">
        <v>25.61</v>
      </c>
      <c r="M90" s="133">
        <v>80.89</v>
      </c>
      <c r="N90" s="133">
        <v>0</v>
      </c>
      <c r="O90" s="133">
        <v>0</v>
      </c>
      <c r="P90" s="133">
        <v>0.5</v>
      </c>
      <c r="Q90" s="133">
        <v>5.25</v>
      </c>
      <c r="R90" s="6"/>
      <c r="S90" s="6"/>
      <c r="T90" s="181"/>
      <c r="U90" s="6"/>
    </row>
    <row r="91" spans="1:26" customFormat="1">
      <c r="A91" s="111" t="s">
        <v>1664</v>
      </c>
      <c r="B91" s="133">
        <v>10.81</v>
      </c>
      <c r="C91" s="133">
        <v>19.55</v>
      </c>
      <c r="D91" s="133">
        <v>20.23</v>
      </c>
      <c r="E91" s="133">
        <v>4.97</v>
      </c>
      <c r="F91" s="133">
        <v>3.2</v>
      </c>
      <c r="G91" s="133">
        <v>41.87</v>
      </c>
      <c r="H91" s="133">
        <v>16.32</v>
      </c>
      <c r="I91" s="133">
        <v>5.66</v>
      </c>
      <c r="J91" s="133">
        <v>0.13</v>
      </c>
      <c r="K91" s="133">
        <v>170.38</v>
      </c>
      <c r="L91" s="133">
        <v>25.3</v>
      </c>
      <c r="M91" s="133">
        <v>81.17</v>
      </c>
      <c r="N91" s="133">
        <v>0</v>
      </c>
      <c r="O91" s="133">
        <v>0</v>
      </c>
      <c r="P91" s="133">
        <v>0.49</v>
      </c>
      <c r="Q91" s="133">
        <v>5.24</v>
      </c>
      <c r="R91" s="6"/>
      <c r="S91" s="6"/>
      <c r="T91" s="181"/>
      <c r="U91" s="6"/>
    </row>
    <row r="92" spans="1:26" customFormat="1">
      <c r="A92" s="111" t="s">
        <v>1665</v>
      </c>
      <c r="B92" s="133">
        <v>10.85</v>
      </c>
      <c r="C92" s="133">
        <v>19.59</v>
      </c>
      <c r="D92" s="133">
        <v>20.29</v>
      </c>
      <c r="E92" s="133">
        <v>4.93</v>
      </c>
      <c r="F92" s="133">
        <v>3.26</v>
      </c>
      <c r="G92" s="133">
        <v>42.02</v>
      </c>
      <c r="H92" s="133">
        <v>16.350000000000001</v>
      </c>
      <c r="I92" s="133">
        <v>5.71</v>
      </c>
      <c r="J92" s="133">
        <v>0.11</v>
      </c>
      <c r="K92" s="133">
        <v>200.69</v>
      </c>
      <c r="L92" s="133">
        <v>25.25</v>
      </c>
      <c r="M92" s="133">
        <v>80.36</v>
      </c>
      <c r="N92" s="133">
        <v>0</v>
      </c>
      <c r="O92" s="133">
        <v>0</v>
      </c>
      <c r="P92" s="133">
        <v>0.5</v>
      </c>
      <c r="Q92" s="133">
        <v>5.24</v>
      </c>
      <c r="R92" s="6"/>
      <c r="S92" s="6"/>
      <c r="T92" s="181"/>
      <c r="U92" s="6"/>
    </row>
    <row r="93" spans="1:26" customFormat="1">
      <c r="A93" s="111" t="s">
        <v>1666</v>
      </c>
      <c r="B93" s="133">
        <v>11.21</v>
      </c>
      <c r="C93" s="133">
        <v>22.09</v>
      </c>
      <c r="D93" s="133">
        <v>21.88</v>
      </c>
      <c r="E93" s="133">
        <v>5.55</v>
      </c>
      <c r="F93" s="133">
        <v>2.54</v>
      </c>
      <c r="G93" s="133">
        <v>42.82</v>
      </c>
      <c r="H93" s="133">
        <v>16.47</v>
      </c>
      <c r="I93" s="133">
        <v>5.77</v>
      </c>
      <c r="J93" s="133">
        <v>0.14000000000000001</v>
      </c>
      <c r="K93" s="133">
        <v>220.57</v>
      </c>
      <c r="L93" s="133">
        <v>24.96</v>
      </c>
      <c r="M93" s="133">
        <v>88.32</v>
      </c>
      <c r="N93" s="133">
        <v>0</v>
      </c>
      <c r="O93" s="133">
        <v>0</v>
      </c>
      <c r="P93" s="133">
        <v>0.54</v>
      </c>
      <c r="Q93" s="133">
        <v>5.22</v>
      </c>
      <c r="R93" s="6"/>
      <c r="S93" s="6"/>
      <c r="T93" s="181"/>
      <c r="U93" s="6"/>
    </row>
    <row r="94" spans="1:26" customFormat="1">
      <c r="A94" s="111" t="s">
        <v>1667</v>
      </c>
      <c r="B94" s="133">
        <v>11.55</v>
      </c>
      <c r="C94" s="133">
        <v>22.38</v>
      </c>
      <c r="D94" s="133">
        <v>22.31</v>
      </c>
      <c r="E94" s="133">
        <v>5.66</v>
      </c>
      <c r="F94" s="133">
        <v>2.59</v>
      </c>
      <c r="G94" s="133">
        <v>42.82</v>
      </c>
      <c r="H94" s="133">
        <v>16.47</v>
      </c>
      <c r="I94" s="133">
        <v>5.8</v>
      </c>
      <c r="J94" s="133">
        <v>0.17</v>
      </c>
      <c r="K94" s="133">
        <v>243.14</v>
      </c>
      <c r="L94" s="133">
        <v>24.61</v>
      </c>
      <c r="M94" s="133">
        <v>88.19</v>
      </c>
      <c r="N94" s="133">
        <v>0</v>
      </c>
      <c r="O94" s="133">
        <v>0</v>
      </c>
      <c r="P94" s="133">
        <v>0.55000000000000004</v>
      </c>
      <c r="Q94" s="133">
        <v>5.28</v>
      </c>
      <c r="R94" s="6"/>
      <c r="S94" s="6"/>
      <c r="T94" s="181"/>
      <c r="U94" s="6"/>
    </row>
    <row r="95" spans="1:26" customFormat="1">
      <c r="A95" s="111" t="s">
        <v>1668</v>
      </c>
      <c r="B95" s="133">
        <v>12.01</v>
      </c>
      <c r="C95" s="133">
        <v>21</v>
      </c>
      <c r="D95" s="133">
        <v>21.96</v>
      </c>
      <c r="E95" s="133">
        <v>5.6</v>
      </c>
      <c r="F95" s="133">
        <v>2.77</v>
      </c>
      <c r="G95" s="133">
        <v>42.82</v>
      </c>
      <c r="H95" s="133">
        <v>16.47</v>
      </c>
      <c r="I95" s="133">
        <v>5.96</v>
      </c>
      <c r="J95" s="133">
        <v>0.19</v>
      </c>
      <c r="K95" s="133">
        <v>248.51</v>
      </c>
      <c r="L95" s="133">
        <v>24.43</v>
      </c>
      <c r="M95" s="133">
        <v>87.34</v>
      </c>
      <c r="N95" s="133">
        <v>0</v>
      </c>
      <c r="O95" s="133">
        <v>0</v>
      </c>
      <c r="P95" s="133">
        <v>0.54</v>
      </c>
      <c r="Q95" s="133">
        <v>5.33</v>
      </c>
      <c r="R95" s="6"/>
      <c r="S95" s="6"/>
      <c r="T95" s="181"/>
      <c r="U95" s="6"/>
    </row>
    <row r="96" spans="1:26" customFormat="1">
      <c r="A96" s="111" t="s">
        <v>1669</v>
      </c>
      <c r="B96" s="133">
        <v>12.43</v>
      </c>
      <c r="C96" s="133">
        <v>21.71</v>
      </c>
      <c r="D96" s="133">
        <v>22.66</v>
      </c>
      <c r="E96" s="133">
        <v>5.24</v>
      </c>
      <c r="F96" s="133">
        <v>2.63</v>
      </c>
      <c r="G96" s="133">
        <v>43.06</v>
      </c>
      <c r="H96" s="133">
        <v>16.61</v>
      </c>
      <c r="I96" s="133">
        <v>6.02</v>
      </c>
      <c r="J96" s="133">
        <v>0.11</v>
      </c>
      <c r="K96" s="133">
        <v>206.99</v>
      </c>
      <c r="L96" s="133">
        <v>24.44</v>
      </c>
      <c r="M96" s="133">
        <v>87.23</v>
      </c>
      <c r="N96" s="133">
        <v>0</v>
      </c>
      <c r="O96" s="133">
        <v>0</v>
      </c>
      <c r="P96" s="133">
        <v>0.56999999999999995</v>
      </c>
      <c r="Q96" s="133">
        <v>5.32</v>
      </c>
      <c r="R96" s="6"/>
      <c r="S96" s="6"/>
      <c r="T96" s="181"/>
      <c r="U96" s="6"/>
      <c r="Z96" s="189"/>
    </row>
    <row r="97" spans="1:33" customFormat="1">
      <c r="A97" s="111" t="s">
        <v>1670</v>
      </c>
      <c r="B97" s="133">
        <v>12.87</v>
      </c>
      <c r="C97" s="133">
        <v>21.26</v>
      </c>
      <c r="D97" s="133">
        <v>22.78</v>
      </c>
      <c r="E97" s="133">
        <v>5.4</v>
      </c>
      <c r="F97" s="133">
        <v>2.71</v>
      </c>
      <c r="G97" s="133">
        <v>44.38</v>
      </c>
      <c r="H97" s="133">
        <v>17.21</v>
      </c>
      <c r="I97" s="133">
        <v>6.08</v>
      </c>
      <c r="J97" s="133">
        <v>0.15</v>
      </c>
      <c r="K97" s="133">
        <v>216.64</v>
      </c>
      <c r="L97" s="133">
        <v>24.3</v>
      </c>
      <c r="M97" s="133">
        <v>89.42</v>
      </c>
      <c r="N97" s="133">
        <v>0</v>
      </c>
      <c r="O97" s="133">
        <v>0</v>
      </c>
      <c r="P97" s="133">
        <v>0.56999999999999995</v>
      </c>
      <c r="Q97" s="133">
        <v>5.39</v>
      </c>
      <c r="R97" s="6"/>
      <c r="S97" s="6"/>
      <c r="T97" s="181"/>
      <c r="U97" s="6"/>
    </row>
    <row r="98" spans="1:33" customFormat="1">
      <c r="A98" s="111" t="s">
        <v>1671</v>
      </c>
      <c r="B98" s="133">
        <v>13.23</v>
      </c>
      <c r="C98" s="133">
        <v>21</v>
      </c>
      <c r="D98" s="133">
        <v>22.93</v>
      </c>
      <c r="E98" s="133">
        <v>5.38</v>
      </c>
      <c r="F98" s="133">
        <v>2.72</v>
      </c>
      <c r="G98" s="133">
        <v>44.38</v>
      </c>
      <c r="H98" s="133">
        <v>17.21</v>
      </c>
      <c r="I98" s="133">
        <v>6.23</v>
      </c>
      <c r="J98" s="133">
        <v>0.14000000000000001</v>
      </c>
      <c r="K98" s="133">
        <v>180.3</v>
      </c>
      <c r="L98" s="133">
        <v>24.23</v>
      </c>
      <c r="M98" s="133">
        <v>88.97</v>
      </c>
      <c r="N98" s="133">
        <v>0</v>
      </c>
      <c r="O98" s="133">
        <v>0</v>
      </c>
      <c r="P98" s="133">
        <v>0.56999999999999995</v>
      </c>
      <c r="Q98" s="133">
        <v>5.37</v>
      </c>
      <c r="R98" s="6"/>
      <c r="S98" s="6"/>
      <c r="T98" s="181"/>
      <c r="U98" s="6"/>
    </row>
    <row r="99" spans="1:33" customFormat="1">
      <c r="A99" s="111" t="s">
        <v>1672</v>
      </c>
      <c r="B99" s="133">
        <v>13.52</v>
      </c>
      <c r="C99" s="133">
        <v>22.6</v>
      </c>
      <c r="D99" s="133">
        <v>24</v>
      </c>
      <c r="E99" s="133">
        <v>5.47</v>
      </c>
      <c r="F99" s="133">
        <v>2.4300000000000002</v>
      </c>
      <c r="G99" s="133">
        <v>44.38</v>
      </c>
      <c r="H99" s="133">
        <v>17.21</v>
      </c>
      <c r="I99" s="133">
        <v>6.29</v>
      </c>
      <c r="J99" s="133">
        <v>0.13</v>
      </c>
      <c r="K99" s="133">
        <v>205.14</v>
      </c>
      <c r="L99" s="133">
        <v>24.07</v>
      </c>
      <c r="M99" s="133">
        <v>89.19</v>
      </c>
      <c r="N99" s="133">
        <v>0</v>
      </c>
      <c r="O99" s="133">
        <v>0</v>
      </c>
      <c r="P99" s="133">
        <v>0.6</v>
      </c>
      <c r="Q99" s="133">
        <v>5.39</v>
      </c>
      <c r="R99" s="6"/>
      <c r="S99" s="6"/>
      <c r="T99" s="181"/>
      <c r="U99" s="6"/>
    </row>
    <row r="100" spans="1:33" customFormat="1">
      <c r="A100" s="111" t="s">
        <v>1673</v>
      </c>
      <c r="B100" s="133">
        <v>13.85</v>
      </c>
      <c r="C100" s="133">
        <v>21.62</v>
      </c>
      <c r="D100" s="133">
        <v>23.75</v>
      </c>
      <c r="E100" s="133">
        <v>5.0599999999999996</v>
      </c>
      <c r="F100" s="133">
        <v>2.69</v>
      </c>
      <c r="G100" s="133">
        <v>45.43</v>
      </c>
      <c r="H100" s="133">
        <v>17.96</v>
      </c>
      <c r="I100" s="133">
        <v>6.35</v>
      </c>
      <c r="J100" s="133">
        <v>0.08</v>
      </c>
      <c r="K100" s="133">
        <v>200.35</v>
      </c>
      <c r="L100" s="133">
        <v>24.07</v>
      </c>
      <c r="M100" s="133">
        <v>87.11</v>
      </c>
      <c r="N100" s="133">
        <v>0</v>
      </c>
      <c r="O100" s="133">
        <v>0</v>
      </c>
      <c r="P100" s="133">
        <v>0.6</v>
      </c>
      <c r="Q100" s="133">
        <v>5.42</v>
      </c>
      <c r="R100" s="6"/>
      <c r="S100" s="6"/>
      <c r="T100" s="181"/>
      <c r="U100" s="6"/>
      <c r="AB100" s="190"/>
      <c r="AG100" s="189"/>
    </row>
    <row r="101" spans="1:33" customFormat="1">
      <c r="A101" s="111" t="s">
        <v>1674</v>
      </c>
      <c r="B101" s="133">
        <v>14.03</v>
      </c>
      <c r="C101" s="133">
        <v>21.75</v>
      </c>
      <c r="D101" s="133">
        <v>23.97</v>
      </c>
      <c r="E101" s="133">
        <v>5.0599999999999996</v>
      </c>
      <c r="F101" s="133">
        <v>2.7</v>
      </c>
      <c r="G101" s="133">
        <v>51.11</v>
      </c>
      <c r="H101" s="133">
        <v>20.98</v>
      </c>
      <c r="I101" s="133">
        <v>6.45</v>
      </c>
      <c r="J101" s="133">
        <v>0.12</v>
      </c>
      <c r="K101" s="133">
        <v>238.17</v>
      </c>
      <c r="L101" s="133">
        <v>23.89</v>
      </c>
      <c r="M101" s="133">
        <v>89.46</v>
      </c>
      <c r="N101" s="133">
        <v>0</v>
      </c>
      <c r="O101" s="133">
        <v>0</v>
      </c>
      <c r="P101" s="133">
        <v>0.6</v>
      </c>
      <c r="Q101" s="133">
        <v>5.43</v>
      </c>
      <c r="R101" s="6"/>
      <c r="S101" s="6"/>
      <c r="T101" s="181"/>
      <c r="U101" s="6"/>
    </row>
    <row r="102" spans="1:33" customFormat="1">
      <c r="A102" s="111" t="s">
        <v>1675</v>
      </c>
      <c r="B102" s="133">
        <v>14.29</v>
      </c>
      <c r="C102" s="133">
        <v>22.94</v>
      </c>
      <c r="D102" s="133">
        <v>24.79</v>
      </c>
      <c r="E102" s="133">
        <v>5.63</v>
      </c>
      <c r="F102" s="133">
        <v>2.39</v>
      </c>
      <c r="G102" s="133">
        <v>51.11</v>
      </c>
      <c r="H102" s="133">
        <v>20.98</v>
      </c>
      <c r="I102" s="133">
        <v>6.46</v>
      </c>
      <c r="J102" s="133">
        <v>0.05</v>
      </c>
      <c r="K102" s="133">
        <v>177.79</v>
      </c>
      <c r="L102" s="133">
        <v>23.77</v>
      </c>
      <c r="M102" s="133">
        <v>88.46</v>
      </c>
      <c r="N102" s="133">
        <v>0</v>
      </c>
      <c r="O102" s="133">
        <v>0</v>
      </c>
      <c r="P102" s="133">
        <v>0.62</v>
      </c>
      <c r="Q102" s="133">
        <v>5.43</v>
      </c>
      <c r="R102" s="6"/>
      <c r="S102" s="6"/>
      <c r="T102" s="181"/>
      <c r="U102" s="6"/>
    </row>
    <row r="103" spans="1:33" customFormat="1">
      <c r="A103" s="111" t="s">
        <v>1676</v>
      </c>
      <c r="B103" s="133">
        <v>14.59</v>
      </c>
      <c r="C103" s="133">
        <v>21.79</v>
      </c>
      <c r="D103" s="133">
        <v>24.44</v>
      </c>
      <c r="E103" s="133">
        <v>5.5</v>
      </c>
      <c r="F103" s="133">
        <v>2.68</v>
      </c>
      <c r="G103" s="133">
        <v>51.11</v>
      </c>
      <c r="H103" s="133">
        <v>20.98</v>
      </c>
      <c r="I103" s="133">
        <v>6.5</v>
      </c>
      <c r="J103" s="133">
        <v>0.04</v>
      </c>
      <c r="K103" s="133">
        <v>61.46</v>
      </c>
      <c r="L103" s="133">
        <v>23.53</v>
      </c>
      <c r="M103" s="133">
        <v>89.47</v>
      </c>
      <c r="N103" s="133">
        <v>0</v>
      </c>
      <c r="O103" s="133">
        <v>0</v>
      </c>
      <c r="P103" s="133">
        <v>0.61</v>
      </c>
      <c r="Q103" s="133">
        <v>5.45</v>
      </c>
      <c r="R103" s="6"/>
      <c r="S103" s="6"/>
      <c r="T103" s="181"/>
      <c r="U103" s="6"/>
    </row>
    <row r="104" spans="1:33" customFormat="1">
      <c r="A104" s="111" t="s">
        <v>1677</v>
      </c>
      <c r="B104" s="133">
        <v>14.88</v>
      </c>
      <c r="C104" s="133">
        <v>22.34</v>
      </c>
      <c r="D104" s="133">
        <v>24.96</v>
      </c>
      <c r="E104" s="133">
        <v>5.75</v>
      </c>
      <c r="F104" s="133">
        <v>2.48</v>
      </c>
      <c r="G104" s="133">
        <v>50.81</v>
      </c>
      <c r="H104" s="133">
        <v>21.02</v>
      </c>
      <c r="I104" s="133">
        <v>6.53</v>
      </c>
      <c r="J104" s="133">
        <v>0.09</v>
      </c>
      <c r="K104" s="133">
        <v>130.30000000000001</v>
      </c>
      <c r="L104" s="133">
        <v>23.54</v>
      </c>
      <c r="M104" s="133">
        <v>87.06</v>
      </c>
      <c r="N104" s="133">
        <v>0</v>
      </c>
      <c r="O104" s="133">
        <v>0</v>
      </c>
      <c r="P104" s="133">
        <v>0.61</v>
      </c>
      <c r="Q104" s="133">
        <v>5.46</v>
      </c>
      <c r="R104" s="6"/>
      <c r="S104" s="6"/>
      <c r="T104" s="181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2" t="s">
        <v>48</v>
      </c>
      <c r="B106" s="183">
        <f>MIN(B9:B104)</f>
        <v>2.5299999999999998</v>
      </c>
      <c r="C106" s="183">
        <f>MIN(C9:C104)</f>
        <v>17.05</v>
      </c>
      <c r="D106" s="183">
        <f t="shared" ref="D106:Q106" si="0">MIN(D9:D104)</f>
        <v>12.71</v>
      </c>
      <c r="E106" s="183">
        <f t="shared" si="0"/>
        <v>4.54</v>
      </c>
      <c r="F106" s="183">
        <f t="shared" si="0"/>
        <v>2.36</v>
      </c>
      <c r="G106" s="183">
        <f t="shared" si="0"/>
        <v>34.39</v>
      </c>
      <c r="H106" s="183">
        <f t="shared" si="0"/>
        <v>14.25</v>
      </c>
      <c r="I106" s="183">
        <f t="shared" si="0"/>
        <v>4.4000000000000004</v>
      </c>
      <c r="J106" s="183">
        <f t="shared" si="0"/>
        <v>0.04</v>
      </c>
      <c r="K106" s="183">
        <f t="shared" si="0"/>
        <v>61.46</v>
      </c>
      <c r="L106" s="183">
        <f t="shared" si="0"/>
        <v>23.45</v>
      </c>
      <c r="M106" s="183">
        <f t="shared" si="0"/>
        <v>42.67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4.91</v>
      </c>
      <c r="R106" s="187"/>
      <c r="S106" s="187"/>
      <c r="T106" s="187"/>
      <c r="U106" s="187"/>
    </row>
    <row r="107" spans="1:33">
      <c r="A107" s="182" t="s">
        <v>49</v>
      </c>
      <c r="B107" s="184">
        <f>MAX(B9:B104)</f>
        <v>16.16</v>
      </c>
      <c r="C107" s="184">
        <f t="shared" ref="C107:Q107" si="1">MAX(C9:C104)</f>
        <v>28.29</v>
      </c>
      <c r="D107" s="184">
        <f t="shared" si="1"/>
        <v>27.01</v>
      </c>
      <c r="E107" s="184">
        <f t="shared" si="1"/>
        <v>8.43</v>
      </c>
      <c r="F107" s="184">
        <f t="shared" si="1"/>
        <v>21.59</v>
      </c>
      <c r="G107" s="184">
        <f t="shared" si="1"/>
        <v>82.54</v>
      </c>
      <c r="H107" s="184">
        <f t="shared" si="1"/>
        <v>26.95</v>
      </c>
      <c r="I107" s="184">
        <f t="shared" si="1"/>
        <v>9.2899999999999991</v>
      </c>
      <c r="J107" s="184">
        <f t="shared" si="1"/>
        <v>0.4</v>
      </c>
      <c r="K107" s="184">
        <f t="shared" si="1"/>
        <v>290.89</v>
      </c>
      <c r="L107" s="184">
        <f t="shared" si="1"/>
        <v>34.21</v>
      </c>
      <c r="M107" s="184">
        <f t="shared" si="1"/>
        <v>95.24</v>
      </c>
      <c r="N107" s="184">
        <f t="shared" si="1"/>
        <v>695.5</v>
      </c>
      <c r="O107" s="184">
        <f t="shared" si="1"/>
        <v>0</v>
      </c>
      <c r="P107" s="184">
        <f t="shared" si="1"/>
        <v>1</v>
      </c>
      <c r="Q107" s="184">
        <f t="shared" si="1"/>
        <v>5.74</v>
      </c>
      <c r="R107" s="188"/>
      <c r="S107" s="188"/>
      <c r="T107" s="188"/>
      <c r="U107" s="188"/>
    </row>
    <row r="108" spans="1:33">
      <c r="A108" s="182" t="s">
        <v>50</v>
      </c>
      <c r="B108" s="183">
        <f>AVERAGE(B9:B104)</f>
        <v>10.523020833333335</v>
      </c>
      <c r="C108" s="183">
        <f t="shared" ref="C108:Q108" si="2">AVERAGE(C9:C104)</f>
        <v>22.798020833333329</v>
      </c>
      <c r="D108" s="183">
        <f t="shared" si="2"/>
        <v>21.701145833333332</v>
      </c>
      <c r="E108" s="183">
        <f t="shared" si="2"/>
        <v>6.8438541666666666</v>
      </c>
      <c r="F108" s="183">
        <f t="shared" si="2"/>
        <v>4.4122916666666674</v>
      </c>
      <c r="G108" s="183">
        <f t="shared" si="2"/>
        <v>47.58697916666668</v>
      </c>
      <c r="H108" s="183">
        <f t="shared" si="2"/>
        <v>19.524895833333339</v>
      </c>
      <c r="I108" s="183">
        <f t="shared" si="2"/>
        <v>6.8172916666666685</v>
      </c>
      <c r="J108" s="183">
        <f t="shared" si="2"/>
        <v>0.16645833333333335</v>
      </c>
      <c r="K108" s="183">
        <f t="shared" si="2"/>
        <v>196.14249999999993</v>
      </c>
      <c r="L108" s="183">
        <f t="shared" si="2"/>
        <v>27.227916666666676</v>
      </c>
      <c r="M108" s="183">
        <f t="shared" si="2"/>
        <v>74.943958333333356</v>
      </c>
      <c r="N108" s="183">
        <f t="shared" si="2"/>
        <v>136.9</v>
      </c>
      <c r="O108" s="183">
        <f t="shared" si="2"/>
        <v>0</v>
      </c>
      <c r="P108" s="183">
        <f t="shared" si="2"/>
        <v>0.66854166666666659</v>
      </c>
      <c r="Q108" s="183">
        <f t="shared" si="2"/>
        <v>5.376875000000001</v>
      </c>
      <c r="R108" s="187"/>
      <c r="S108" s="187"/>
      <c r="T108" s="187"/>
      <c r="U108" s="187"/>
    </row>
    <row r="109" spans="1:33">
      <c r="A109" s="182" t="s">
        <v>51</v>
      </c>
      <c r="B109" s="183">
        <f>STDEV(B9:B104)</f>
        <v>3.9287258199042605</v>
      </c>
      <c r="C109" s="183">
        <f t="shared" ref="C109:Q109" si="3">STDEV(C9:C104)</f>
        <v>2.5577463846093789</v>
      </c>
      <c r="D109" s="183">
        <f t="shared" si="3"/>
        <v>4.1138054785503737</v>
      </c>
      <c r="E109" s="183">
        <f t="shared" si="3"/>
        <v>1.1601173895154586</v>
      </c>
      <c r="F109" s="183">
        <f t="shared" si="3"/>
        <v>3.1022831928713264</v>
      </c>
      <c r="G109" s="183">
        <f t="shared" si="3"/>
        <v>12.729489105371412</v>
      </c>
      <c r="H109" s="183">
        <f t="shared" si="3"/>
        <v>3.6523117393873221</v>
      </c>
      <c r="I109" s="183">
        <f t="shared" si="3"/>
        <v>1.5012853995417259</v>
      </c>
      <c r="J109" s="183">
        <f t="shared" si="3"/>
        <v>7.2677791680187814E-2</v>
      </c>
      <c r="K109" s="183">
        <f t="shared" si="3"/>
        <v>37.406664140301132</v>
      </c>
      <c r="L109" s="183">
        <f t="shared" si="3"/>
        <v>3.3732017951608784</v>
      </c>
      <c r="M109" s="183">
        <f t="shared" si="3"/>
        <v>16.685561579380401</v>
      </c>
      <c r="N109" s="183">
        <f t="shared" si="3"/>
        <v>226.17298177326694</v>
      </c>
      <c r="O109" s="183">
        <f t="shared" si="3"/>
        <v>0</v>
      </c>
      <c r="P109" s="183">
        <f t="shared" si="3"/>
        <v>0.18590308265424546</v>
      </c>
      <c r="Q109" s="183">
        <f t="shared" si="3"/>
        <v>0.27010061478134845</v>
      </c>
      <c r="R109" s="187"/>
      <c r="S109" s="187"/>
      <c r="T109" s="187"/>
      <c r="U109" s="187"/>
    </row>
    <row r="110" spans="1:33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33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33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16/10/2023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1678</v>
      </c>
      <c r="B9" s="133">
        <v>13.91</v>
      </c>
      <c r="C9" s="133">
        <v>26.29</v>
      </c>
      <c r="D9" s="133">
        <v>26.24</v>
      </c>
      <c r="E9" s="133">
        <v>5.48</v>
      </c>
      <c r="F9" s="133">
        <v>2.2400000000000002</v>
      </c>
      <c r="G9" s="133">
        <v>49.21</v>
      </c>
      <c r="H9" s="133">
        <v>21.19</v>
      </c>
      <c r="I9" s="133">
        <v>6.51</v>
      </c>
      <c r="J9" s="133">
        <v>0.23</v>
      </c>
      <c r="K9" s="133">
        <v>159.94</v>
      </c>
      <c r="L9" s="133">
        <v>23.79</v>
      </c>
      <c r="M9" s="133">
        <v>85.19</v>
      </c>
      <c r="N9" s="133">
        <v>0</v>
      </c>
      <c r="O9" s="133">
        <v>0</v>
      </c>
      <c r="P9" s="133">
        <v>0.64</v>
      </c>
      <c r="Q9" s="133">
        <v>5.53</v>
      </c>
    </row>
    <row r="10" spans="1:21" customFormat="1">
      <c r="A10" s="111" t="s">
        <v>1679</v>
      </c>
      <c r="B10" s="133">
        <v>14.81</v>
      </c>
      <c r="C10" s="133">
        <v>26.03</v>
      </c>
      <c r="D10" s="133">
        <v>26.83</v>
      </c>
      <c r="E10" s="133">
        <v>6.09</v>
      </c>
      <c r="F10" s="133">
        <v>2.2999999999999998</v>
      </c>
      <c r="G10" s="133">
        <v>49.21</v>
      </c>
      <c r="H10" s="133">
        <v>21.19</v>
      </c>
      <c r="I10" s="133">
        <v>6.52</v>
      </c>
      <c r="J10" s="133">
        <v>0.15</v>
      </c>
      <c r="K10" s="133">
        <v>160.1</v>
      </c>
      <c r="L10" s="133">
        <v>23.74</v>
      </c>
      <c r="M10" s="133">
        <v>88.17</v>
      </c>
      <c r="N10" s="133">
        <v>0</v>
      </c>
      <c r="O10" s="133">
        <v>0</v>
      </c>
      <c r="P10" s="133">
        <v>0.65</v>
      </c>
      <c r="Q10" s="133">
        <v>5.63</v>
      </c>
    </row>
    <row r="11" spans="1:21" customFormat="1">
      <c r="A11" s="111" t="s">
        <v>1680</v>
      </c>
      <c r="B11" s="133">
        <v>15.09</v>
      </c>
      <c r="C11" s="133">
        <v>26.02</v>
      </c>
      <c r="D11" s="133">
        <v>27.05</v>
      </c>
      <c r="E11" s="133">
        <v>5.69</v>
      </c>
      <c r="F11" s="133">
        <v>2.5299999999999998</v>
      </c>
      <c r="G11" s="133">
        <v>49.21</v>
      </c>
      <c r="H11" s="133">
        <v>21.19</v>
      </c>
      <c r="I11" s="133">
        <v>6.49</v>
      </c>
      <c r="J11" s="133">
        <v>0.06</v>
      </c>
      <c r="K11" s="133">
        <v>177.67</v>
      </c>
      <c r="L11" s="133">
        <v>23.35</v>
      </c>
      <c r="M11" s="133">
        <v>87.03</v>
      </c>
      <c r="N11" s="133">
        <v>0</v>
      </c>
      <c r="O11" s="133">
        <v>0</v>
      </c>
      <c r="P11" s="133">
        <v>0.66</v>
      </c>
      <c r="Q11" s="133">
        <v>5.68</v>
      </c>
    </row>
    <row r="12" spans="1:21" customFormat="1">
      <c r="A12" s="111" t="s">
        <v>1681</v>
      </c>
      <c r="B12" s="133">
        <v>14.87</v>
      </c>
      <c r="C12" s="133">
        <v>26.2</v>
      </c>
      <c r="D12" s="133">
        <v>26.96</v>
      </c>
      <c r="E12" s="133">
        <v>5.69</v>
      </c>
      <c r="F12" s="133">
        <v>2.79</v>
      </c>
      <c r="G12" s="133">
        <v>49.44</v>
      </c>
      <c r="H12" s="133">
        <v>21.06</v>
      </c>
      <c r="I12" s="133">
        <v>6.45</v>
      </c>
      <c r="J12" s="133">
        <v>0.17</v>
      </c>
      <c r="K12" s="133">
        <v>232.15</v>
      </c>
      <c r="L12" s="133">
        <v>23.16</v>
      </c>
      <c r="M12" s="133">
        <v>88.16</v>
      </c>
      <c r="N12" s="133">
        <v>0</v>
      </c>
      <c r="O12" s="133">
        <v>0</v>
      </c>
      <c r="P12" s="133">
        <v>0.66</v>
      </c>
      <c r="Q12" s="133">
        <v>5.67</v>
      </c>
    </row>
    <row r="13" spans="1:21" customFormat="1">
      <c r="A13" s="111" t="s">
        <v>1682</v>
      </c>
      <c r="B13" s="133">
        <v>14.63</v>
      </c>
      <c r="C13" s="133">
        <v>26.19</v>
      </c>
      <c r="D13" s="133">
        <v>26.77</v>
      </c>
      <c r="E13" s="133">
        <v>5.67</v>
      </c>
      <c r="F13" s="133">
        <v>2.71</v>
      </c>
      <c r="G13" s="133">
        <v>50.66</v>
      </c>
      <c r="H13" s="133">
        <v>20.440000000000001</v>
      </c>
      <c r="I13" s="133">
        <v>6.39</v>
      </c>
      <c r="J13" s="133">
        <v>0.13</v>
      </c>
      <c r="K13" s="133">
        <v>216.07</v>
      </c>
      <c r="L13" s="133">
        <v>22.9</v>
      </c>
      <c r="M13" s="133">
        <v>90.39</v>
      </c>
      <c r="N13" s="133">
        <v>0</v>
      </c>
      <c r="O13" s="133">
        <v>0</v>
      </c>
      <c r="P13" s="133">
        <v>0.66</v>
      </c>
      <c r="Q13" s="133">
        <v>5.68</v>
      </c>
    </row>
    <row r="14" spans="1:21" customFormat="1">
      <c r="A14" s="111" t="s">
        <v>1683</v>
      </c>
      <c r="B14" s="133">
        <v>14.49</v>
      </c>
      <c r="C14" s="133">
        <v>25.81</v>
      </c>
      <c r="D14" s="133">
        <v>26.46</v>
      </c>
      <c r="E14" s="133">
        <v>5.99</v>
      </c>
      <c r="F14" s="133">
        <v>2.6</v>
      </c>
      <c r="G14" s="133">
        <v>50.66</v>
      </c>
      <c r="H14" s="133">
        <v>20.440000000000001</v>
      </c>
      <c r="I14" s="133">
        <v>6.35</v>
      </c>
      <c r="J14" s="133">
        <v>0.1</v>
      </c>
      <c r="K14" s="133">
        <v>212.79</v>
      </c>
      <c r="L14" s="133">
        <v>22.67</v>
      </c>
      <c r="M14" s="133">
        <v>92.9</v>
      </c>
      <c r="N14" s="133">
        <v>0</v>
      </c>
      <c r="O14" s="133">
        <v>0</v>
      </c>
      <c r="P14" s="133">
        <v>0.66</v>
      </c>
      <c r="Q14" s="133">
        <v>5.65</v>
      </c>
    </row>
    <row r="15" spans="1:21" customFormat="1">
      <c r="A15" s="111" t="s">
        <v>1684</v>
      </c>
      <c r="B15" s="133">
        <v>14.17</v>
      </c>
      <c r="C15" s="133">
        <v>26.07</v>
      </c>
      <c r="D15" s="133">
        <v>26.34</v>
      </c>
      <c r="E15" s="133">
        <v>5.65</v>
      </c>
      <c r="F15" s="133">
        <v>2.67</v>
      </c>
      <c r="G15" s="133">
        <v>50.66</v>
      </c>
      <c r="H15" s="133">
        <v>20.440000000000001</v>
      </c>
      <c r="I15" s="133">
        <v>6.34</v>
      </c>
      <c r="J15" s="133">
        <v>0.11</v>
      </c>
      <c r="K15" s="133">
        <v>238.83</v>
      </c>
      <c r="L15" s="133">
        <v>22.47</v>
      </c>
      <c r="M15" s="133">
        <v>93.78</v>
      </c>
      <c r="N15" s="133">
        <v>0</v>
      </c>
      <c r="O15" s="133">
        <v>0</v>
      </c>
      <c r="P15" s="133">
        <v>0.65</v>
      </c>
      <c r="Q15" s="133">
        <v>5.65</v>
      </c>
    </row>
    <row r="16" spans="1:21" customFormat="1">
      <c r="A16" s="111" t="s">
        <v>1685</v>
      </c>
      <c r="B16" s="133">
        <v>13.95</v>
      </c>
      <c r="C16" s="133">
        <v>25.94</v>
      </c>
      <c r="D16" s="133">
        <v>26.09</v>
      </c>
      <c r="E16" s="133">
        <v>5.59</v>
      </c>
      <c r="F16" s="133">
        <v>2.67</v>
      </c>
      <c r="G16" s="133">
        <v>49.2</v>
      </c>
      <c r="H16" s="133">
        <v>19.66</v>
      </c>
      <c r="I16" s="133">
        <v>6.31</v>
      </c>
      <c r="J16" s="133">
        <v>0.18</v>
      </c>
      <c r="K16" s="133">
        <v>247.46</v>
      </c>
      <c r="L16" s="133">
        <v>22.47</v>
      </c>
      <c r="M16" s="133">
        <v>92.04</v>
      </c>
      <c r="N16" s="133">
        <v>0</v>
      </c>
      <c r="O16" s="133">
        <v>0</v>
      </c>
      <c r="P16" s="133">
        <v>0.65</v>
      </c>
      <c r="Q16" s="133">
        <v>5.63</v>
      </c>
    </row>
    <row r="17" spans="1:17" customFormat="1">
      <c r="A17" s="111" t="s">
        <v>1686</v>
      </c>
      <c r="B17" s="133">
        <v>13.82</v>
      </c>
      <c r="C17" s="133">
        <v>25.82</v>
      </c>
      <c r="D17" s="133">
        <v>25.92</v>
      </c>
      <c r="E17" s="133">
        <v>5.84</v>
      </c>
      <c r="F17" s="133">
        <v>2.58</v>
      </c>
      <c r="G17" s="133">
        <v>40.549999999999997</v>
      </c>
      <c r="H17" s="133">
        <v>16.48</v>
      </c>
      <c r="I17" s="133">
        <v>6.26</v>
      </c>
      <c r="J17" s="133">
        <v>0.11</v>
      </c>
      <c r="K17" s="133">
        <v>205.51</v>
      </c>
      <c r="L17" s="133">
        <v>22.61</v>
      </c>
      <c r="M17" s="133">
        <v>88.56</v>
      </c>
      <c r="N17" s="133">
        <v>0</v>
      </c>
      <c r="O17" s="133">
        <v>0</v>
      </c>
      <c r="P17" s="133">
        <v>0.65</v>
      </c>
      <c r="Q17" s="133">
        <v>5.63</v>
      </c>
    </row>
    <row r="18" spans="1:17" customFormat="1">
      <c r="A18" s="111" t="s">
        <v>1687</v>
      </c>
      <c r="B18" s="133">
        <v>13.65</v>
      </c>
      <c r="C18" s="133">
        <v>25.82</v>
      </c>
      <c r="D18" s="133">
        <v>25.79</v>
      </c>
      <c r="E18" s="133">
        <v>6.64</v>
      </c>
      <c r="F18" s="133">
        <v>2.59</v>
      </c>
      <c r="G18" s="133">
        <v>40.549999999999997</v>
      </c>
      <c r="H18" s="133">
        <v>16.48</v>
      </c>
      <c r="I18" s="133">
        <v>6.21</v>
      </c>
      <c r="J18" s="133">
        <v>0.06</v>
      </c>
      <c r="K18" s="133">
        <v>268.58999999999997</v>
      </c>
      <c r="L18" s="133">
        <v>22.68</v>
      </c>
      <c r="M18" s="133">
        <v>87.7</v>
      </c>
      <c r="N18" s="133">
        <v>0</v>
      </c>
      <c r="O18" s="133">
        <v>0</v>
      </c>
      <c r="P18" s="133">
        <v>0.64</v>
      </c>
      <c r="Q18" s="133">
        <v>5.61</v>
      </c>
    </row>
    <row r="19" spans="1:17" customFormat="1">
      <c r="A19" s="111" t="s">
        <v>1688</v>
      </c>
      <c r="B19" s="133">
        <v>13.8</v>
      </c>
      <c r="C19" s="133">
        <v>26.71</v>
      </c>
      <c r="D19" s="133">
        <v>26.37</v>
      </c>
      <c r="E19" s="133">
        <v>6.12</v>
      </c>
      <c r="F19" s="133">
        <v>2.62</v>
      </c>
      <c r="G19" s="133">
        <v>40.549999999999997</v>
      </c>
      <c r="H19" s="133">
        <v>16.48</v>
      </c>
      <c r="I19" s="133">
        <v>6.17</v>
      </c>
      <c r="J19" s="133">
        <v>0.13</v>
      </c>
      <c r="K19" s="133">
        <v>49.11</v>
      </c>
      <c r="L19" s="133">
        <v>22.92</v>
      </c>
      <c r="M19" s="133">
        <v>84.91</v>
      </c>
      <c r="N19" s="133">
        <v>0</v>
      </c>
      <c r="O19" s="133">
        <v>0</v>
      </c>
      <c r="P19" s="133">
        <v>0.64</v>
      </c>
      <c r="Q19" s="133">
        <v>5.63</v>
      </c>
    </row>
    <row r="20" spans="1:17" customFormat="1">
      <c r="A20" s="111" t="s">
        <v>1689</v>
      </c>
      <c r="B20" s="133">
        <v>14.41</v>
      </c>
      <c r="C20" s="133">
        <v>27.48</v>
      </c>
      <c r="D20" s="133">
        <v>27.27</v>
      </c>
      <c r="E20" s="133">
        <v>6.58</v>
      </c>
      <c r="F20" s="133">
        <v>2.65</v>
      </c>
      <c r="G20" s="133">
        <v>41.45</v>
      </c>
      <c r="H20" s="133">
        <v>16.489999999999998</v>
      </c>
      <c r="I20" s="133">
        <v>6.13</v>
      </c>
      <c r="J20" s="133">
        <v>0.2</v>
      </c>
      <c r="K20" s="133">
        <v>43.84</v>
      </c>
      <c r="L20" s="133">
        <v>23.02</v>
      </c>
      <c r="M20" s="133">
        <v>83.65</v>
      </c>
      <c r="N20" s="133">
        <v>0</v>
      </c>
      <c r="O20" s="133">
        <v>0</v>
      </c>
      <c r="P20" s="133">
        <v>0.64</v>
      </c>
      <c r="Q20" s="133">
        <v>5.65</v>
      </c>
    </row>
    <row r="21" spans="1:17" customFormat="1">
      <c r="A21" s="111" t="s">
        <v>1690</v>
      </c>
      <c r="B21" s="133">
        <v>14.82</v>
      </c>
      <c r="C21" s="133">
        <v>27.86</v>
      </c>
      <c r="D21" s="133">
        <v>27.79</v>
      </c>
      <c r="E21" s="133">
        <v>6.83</v>
      </c>
      <c r="F21" s="133">
        <v>2.56</v>
      </c>
      <c r="G21" s="133">
        <v>46.3</v>
      </c>
      <c r="H21" s="133">
        <v>16.53</v>
      </c>
      <c r="I21" s="133">
        <v>6.08</v>
      </c>
      <c r="J21" s="133">
        <v>0.1</v>
      </c>
      <c r="K21" s="133">
        <v>127.28</v>
      </c>
      <c r="L21" s="133">
        <v>23.13</v>
      </c>
      <c r="M21" s="133">
        <v>83.71</v>
      </c>
      <c r="N21" s="133">
        <v>0</v>
      </c>
      <c r="O21" s="133">
        <v>0</v>
      </c>
      <c r="P21" s="133">
        <v>0.63</v>
      </c>
      <c r="Q21" s="133">
        <v>5.66</v>
      </c>
    </row>
    <row r="22" spans="1:17" customFormat="1">
      <c r="A22" s="111" t="s">
        <v>1691</v>
      </c>
      <c r="B22" s="133">
        <v>15.17</v>
      </c>
      <c r="C22" s="133">
        <v>28.27</v>
      </c>
      <c r="D22" s="133">
        <v>28.29</v>
      </c>
      <c r="E22" s="133">
        <v>6.9</v>
      </c>
      <c r="F22" s="133">
        <v>2.63</v>
      </c>
      <c r="G22" s="133">
        <v>46.3</v>
      </c>
      <c r="H22" s="133">
        <v>16.53</v>
      </c>
      <c r="I22" s="133">
        <v>6.08</v>
      </c>
      <c r="J22" s="133">
        <v>0.34</v>
      </c>
      <c r="K22" s="133">
        <v>164.77</v>
      </c>
      <c r="L22" s="133">
        <v>23.16</v>
      </c>
      <c r="M22" s="133">
        <v>86.78</v>
      </c>
      <c r="N22" s="133">
        <v>0</v>
      </c>
      <c r="O22" s="133">
        <v>0</v>
      </c>
      <c r="P22" s="133">
        <v>0.62</v>
      </c>
      <c r="Q22" s="133">
        <v>5.69</v>
      </c>
    </row>
    <row r="23" spans="1:17" customFormat="1">
      <c r="A23" s="111" t="s">
        <v>1692</v>
      </c>
      <c r="B23" s="133">
        <v>15.16</v>
      </c>
      <c r="C23" s="133">
        <v>28.32</v>
      </c>
      <c r="D23" s="133">
        <v>28.31</v>
      </c>
      <c r="E23" s="133">
        <v>7.07</v>
      </c>
      <c r="F23" s="133">
        <v>2.46</v>
      </c>
      <c r="G23" s="133">
        <v>46.3</v>
      </c>
      <c r="H23" s="133">
        <v>16.53</v>
      </c>
      <c r="I23" s="133">
        <v>6.09</v>
      </c>
      <c r="J23" s="133">
        <v>0.45</v>
      </c>
      <c r="K23" s="133">
        <v>166.88</v>
      </c>
      <c r="L23" s="133">
        <v>22.89</v>
      </c>
      <c r="M23" s="133">
        <v>88.34</v>
      </c>
      <c r="N23" s="133">
        <v>0</v>
      </c>
      <c r="O23" s="133">
        <v>0</v>
      </c>
      <c r="P23" s="133">
        <v>0.62</v>
      </c>
      <c r="Q23" s="133">
        <v>5.73</v>
      </c>
    </row>
    <row r="24" spans="1:17" customFormat="1">
      <c r="A24" s="111" t="s">
        <v>1693</v>
      </c>
      <c r="B24" s="133">
        <v>14.98</v>
      </c>
      <c r="C24" s="133">
        <v>28.26</v>
      </c>
      <c r="D24" s="133">
        <v>28.13</v>
      </c>
      <c r="E24" s="133">
        <v>6.95</v>
      </c>
      <c r="F24" s="133">
        <v>2.48</v>
      </c>
      <c r="G24" s="133">
        <v>45.83</v>
      </c>
      <c r="H24" s="133">
        <v>16.850000000000001</v>
      </c>
      <c r="I24" s="133">
        <v>6.05</v>
      </c>
      <c r="J24" s="133">
        <v>0.09</v>
      </c>
      <c r="K24" s="133">
        <v>236.68</v>
      </c>
      <c r="L24" s="133">
        <v>22.5</v>
      </c>
      <c r="M24" s="133">
        <v>90.49</v>
      </c>
      <c r="N24" s="133">
        <v>0</v>
      </c>
      <c r="O24" s="133">
        <v>0</v>
      </c>
      <c r="P24" s="133">
        <v>0.62</v>
      </c>
      <c r="Q24" s="133">
        <v>5.73</v>
      </c>
    </row>
    <row r="25" spans="1:17" customFormat="1">
      <c r="A25" s="111" t="s">
        <v>1694</v>
      </c>
      <c r="B25" s="133">
        <v>14.92</v>
      </c>
      <c r="C25" s="133">
        <v>28.3</v>
      </c>
      <c r="D25" s="133">
        <v>28.11</v>
      </c>
      <c r="E25" s="133">
        <v>7.29</v>
      </c>
      <c r="F25" s="133">
        <v>2.5</v>
      </c>
      <c r="G25" s="133">
        <v>43.28</v>
      </c>
      <c r="H25" s="133">
        <v>18.12</v>
      </c>
      <c r="I25" s="133">
        <v>6.04</v>
      </c>
      <c r="J25" s="133">
        <v>0.1</v>
      </c>
      <c r="K25" s="133">
        <v>206.66</v>
      </c>
      <c r="L25" s="133">
        <v>22.05</v>
      </c>
      <c r="M25" s="133">
        <v>91.76</v>
      </c>
      <c r="N25" s="133">
        <v>0</v>
      </c>
      <c r="O25" s="133">
        <v>0</v>
      </c>
      <c r="P25" s="133">
        <v>0.62</v>
      </c>
      <c r="Q25" s="133">
        <v>5.73</v>
      </c>
    </row>
    <row r="26" spans="1:17" customFormat="1">
      <c r="A26" s="111" t="s">
        <v>1695</v>
      </c>
      <c r="B26" s="133">
        <v>14.98</v>
      </c>
      <c r="C26" s="133">
        <v>28.24</v>
      </c>
      <c r="D26" s="133">
        <v>28.12</v>
      </c>
      <c r="E26" s="133">
        <v>6.93</v>
      </c>
      <c r="F26" s="133">
        <v>2.56</v>
      </c>
      <c r="G26" s="133">
        <v>43.28</v>
      </c>
      <c r="H26" s="133">
        <v>18.12</v>
      </c>
      <c r="I26" s="133">
        <v>6.03</v>
      </c>
      <c r="J26" s="133">
        <v>0.09</v>
      </c>
      <c r="K26" s="133">
        <v>189.76</v>
      </c>
      <c r="L26" s="133">
        <v>21.81</v>
      </c>
      <c r="M26" s="133">
        <v>92.58</v>
      </c>
      <c r="N26" s="133">
        <v>0</v>
      </c>
      <c r="O26" s="133">
        <v>0</v>
      </c>
      <c r="P26" s="133">
        <v>0.62</v>
      </c>
      <c r="Q26" s="133">
        <v>5.72</v>
      </c>
    </row>
    <row r="27" spans="1:17" customFormat="1">
      <c r="A27" s="111" t="s">
        <v>1696</v>
      </c>
      <c r="B27" s="133">
        <v>15.45</v>
      </c>
      <c r="C27" s="133">
        <v>28.11</v>
      </c>
      <c r="D27" s="133">
        <v>28.42</v>
      </c>
      <c r="E27" s="133">
        <v>7</v>
      </c>
      <c r="F27" s="133">
        <v>2.52</v>
      </c>
      <c r="G27" s="133">
        <v>43.28</v>
      </c>
      <c r="H27" s="133">
        <v>18.12</v>
      </c>
      <c r="I27" s="133">
        <v>5.98</v>
      </c>
      <c r="J27" s="133">
        <v>0.25</v>
      </c>
      <c r="K27" s="133">
        <v>165.8</v>
      </c>
      <c r="L27" s="133">
        <v>22</v>
      </c>
      <c r="M27" s="133">
        <v>94.34</v>
      </c>
      <c r="N27" s="133">
        <v>0</v>
      </c>
      <c r="O27" s="133">
        <v>0</v>
      </c>
      <c r="P27" s="133">
        <v>0.61</v>
      </c>
      <c r="Q27" s="133">
        <v>5.74</v>
      </c>
    </row>
    <row r="28" spans="1:17" customFormat="1">
      <c r="A28" s="111" t="s">
        <v>1697</v>
      </c>
      <c r="B28" s="133">
        <v>15.53</v>
      </c>
      <c r="C28" s="133">
        <v>27.89</v>
      </c>
      <c r="D28" s="133">
        <v>28.38</v>
      </c>
      <c r="E28" s="133">
        <v>6.93</v>
      </c>
      <c r="F28" s="133">
        <v>2.4900000000000002</v>
      </c>
      <c r="G28" s="133">
        <v>43.13</v>
      </c>
      <c r="H28" s="133">
        <v>18.21</v>
      </c>
      <c r="I28" s="133">
        <v>5.95</v>
      </c>
      <c r="J28" s="133">
        <v>0.1</v>
      </c>
      <c r="K28" s="133">
        <v>188.41</v>
      </c>
      <c r="L28" s="133">
        <v>21.99</v>
      </c>
      <c r="M28" s="133">
        <v>93.92</v>
      </c>
      <c r="N28" s="133">
        <v>0</v>
      </c>
      <c r="O28" s="133">
        <v>0</v>
      </c>
      <c r="P28" s="133">
        <v>0.61</v>
      </c>
      <c r="Q28" s="133">
        <v>5.73</v>
      </c>
    </row>
    <row r="29" spans="1:17" customFormat="1">
      <c r="A29" s="111" t="s">
        <v>1698</v>
      </c>
      <c r="B29" s="133">
        <v>15.5</v>
      </c>
      <c r="C29" s="133">
        <v>27.68</v>
      </c>
      <c r="D29" s="133">
        <v>28.25</v>
      </c>
      <c r="E29" s="133">
        <v>7.24</v>
      </c>
      <c r="F29" s="133">
        <v>2.4500000000000002</v>
      </c>
      <c r="G29" s="133">
        <v>42.32</v>
      </c>
      <c r="H29" s="133">
        <v>18.579999999999998</v>
      </c>
      <c r="I29" s="133">
        <v>5.93</v>
      </c>
      <c r="J29" s="133">
        <v>0.13</v>
      </c>
      <c r="K29" s="133">
        <v>155.1</v>
      </c>
      <c r="L29" s="133">
        <v>21.95</v>
      </c>
      <c r="M29" s="133">
        <v>96.06</v>
      </c>
      <c r="N29" s="133">
        <v>0</v>
      </c>
      <c r="O29" s="133">
        <v>0</v>
      </c>
      <c r="P29" s="133">
        <v>0.62</v>
      </c>
      <c r="Q29" s="133">
        <v>5.71</v>
      </c>
    </row>
    <row r="30" spans="1:17" customFormat="1">
      <c r="A30" s="111" t="s">
        <v>1699</v>
      </c>
      <c r="B30" s="133">
        <v>15.67</v>
      </c>
      <c r="C30" s="133">
        <v>26.7</v>
      </c>
      <c r="D30" s="133">
        <v>27.87</v>
      </c>
      <c r="E30" s="133">
        <v>6.66</v>
      </c>
      <c r="F30" s="133">
        <v>2.59</v>
      </c>
      <c r="G30" s="133">
        <v>42.32</v>
      </c>
      <c r="H30" s="133">
        <v>18.579999999999998</v>
      </c>
      <c r="I30" s="133">
        <v>5.89</v>
      </c>
      <c r="J30" s="133">
        <v>0.23</v>
      </c>
      <c r="K30" s="133">
        <v>176.52</v>
      </c>
      <c r="L30" s="133">
        <v>21.88</v>
      </c>
      <c r="M30" s="133">
        <v>96.17</v>
      </c>
      <c r="N30" s="133">
        <v>0</v>
      </c>
      <c r="O30" s="133">
        <v>0</v>
      </c>
      <c r="P30" s="133">
        <v>0.6</v>
      </c>
      <c r="Q30" s="133">
        <v>5.69</v>
      </c>
    </row>
    <row r="31" spans="1:17" customFormat="1">
      <c r="A31" s="111" t="s">
        <v>1700</v>
      </c>
      <c r="B31" s="133">
        <v>15.92</v>
      </c>
      <c r="C31" s="133">
        <v>24.32</v>
      </c>
      <c r="D31" s="133">
        <v>26.83</v>
      </c>
      <c r="E31" s="133">
        <v>6.53</v>
      </c>
      <c r="F31" s="133">
        <v>2.95</v>
      </c>
      <c r="G31" s="133">
        <v>42.32</v>
      </c>
      <c r="H31" s="133">
        <v>18.579999999999998</v>
      </c>
      <c r="I31" s="133">
        <v>5.9</v>
      </c>
      <c r="J31" s="133">
        <v>0.09</v>
      </c>
      <c r="K31" s="133">
        <v>203.62</v>
      </c>
      <c r="L31" s="133">
        <v>21.84</v>
      </c>
      <c r="M31" s="133">
        <v>95.76</v>
      </c>
      <c r="N31" s="133">
        <v>0</v>
      </c>
      <c r="O31" s="133">
        <v>0</v>
      </c>
      <c r="P31" s="133">
        <v>0.56000000000000005</v>
      </c>
      <c r="Q31" s="133">
        <v>5.68</v>
      </c>
    </row>
    <row r="32" spans="1:17" customFormat="1">
      <c r="A32" s="111" t="s">
        <v>1701</v>
      </c>
      <c r="B32" s="133">
        <v>16.11</v>
      </c>
      <c r="C32" s="133">
        <v>22.63</v>
      </c>
      <c r="D32" s="133">
        <v>26.09</v>
      </c>
      <c r="E32" s="133">
        <v>6.62</v>
      </c>
      <c r="F32" s="133">
        <v>2.95</v>
      </c>
      <c r="G32" s="133">
        <v>41.68</v>
      </c>
      <c r="H32" s="133">
        <v>18.3</v>
      </c>
      <c r="I32" s="133">
        <v>5.89</v>
      </c>
      <c r="J32" s="133">
        <v>0.13</v>
      </c>
      <c r="K32" s="133">
        <v>237.2</v>
      </c>
      <c r="L32" s="133">
        <v>21.69</v>
      </c>
      <c r="M32" s="133">
        <v>97</v>
      </c>
      <c r="N32" s="133">
        <v>0</v>
      </c>
      <c r="O32" s="133">
        <v>0</v>
      </c>
      <c r="P32" s="133">
        <v>0.54</v>
      </c>
      <c r="Q32" s="133">
        <v>5.67</v>
      </c>
    </row>
    <row r="33" spans="1:17" customFormat="1">
      <c r="A33" s="111" t="s">
        <v>1702</v>
      </c>
      <c r="B33" s="133">
        <v>16.239999999999998</v>
      </c>
      <c r="C33" s="133">
        <v>23.44</v>
      </c>
      <c r="D33" s="133">
        <v>26.62</v>
      </c>
      <c r="E33" s="133">
        <v>6.77</v>
      </c>
      <c r="F33" s="133">
        <v>2.63</v>
      </c>
      <c r="G33" s="133">
        <v>38.200000000000003</v>
      </c>
      <c r="H33" s="133">
        <v>17.170000000000002</v>
      </c>
      <c r="I33" s="133">
        <v>5.87</v>
      </c>
      <c r="J33" s="133">
        <v>0.09</v>
      </c>
      <c r="K33" s="133">
        <v>215.39</v>
      </c>
      <c r="L33" s="133">
        <v>21.55</v>
      </c>
      <c r="M33" s="133">
        <v>97.29</v>
      </c>
      <c r="N33" s="133">
        <v>2.8</v>
      </c>
      <c r="O33" s="133">
        <v>0</v>
      </c>
      <c r="P33" s="133">
        <v>0.55000000000000004</v>
      </c>
      <c r="Q33" s="133">
        <v>5.64</v>
      </c>
    </row>
    <row r="34" spans="1:17" customFormat="1">
      <c r="A34" s="111" t="s">
        <v>1703</v>
      </c>
      <c r="B34" s="133">
        <v>16.27</v>
      </c>
      <c r="C34" s="133">
        <v>23.57</v>
      </c>
      <c r="D34" s="133">
        <v>26.72</v>
      </c>
      <c r="E34" s="133">
        <v>6.85</v>
      </c>
      <c r="F34" s="133">
        <v>2.5299999999999998</v>
      </c>
      <c r="G34" s="133">
        <v>38.200000000000003</v>
      </c>
      <c r="H34" s="133">
        <v>17.170000000000002</v>
      </c>
      <c r="I34" s="133">
        <v>5.85</v>
      </c>
      <c r="J34" s="133">
        <v>0.1</v>
      </c>
      <c r="K34" s="133">
        <v>178.44</v>
      </c>
      <c r="L34" s="133">
        <v>21.91</v>
      </c>
      <c r="M34" s="133">
        <v>96.45</v>
      </c>
      <c r="N34" s="133">
        <v>13.2</v>
      </c>
      <c r="O34" s="133">
        <v>0</v>
      </c>
      <c r="P34" s="133">
        <v>0.54</v>
      </c>
      <c r="Q34" s="133">
        <v>5.66</v>
      </c>
    </row>
    <row r="35" spans="1:17" customFormat="1">
      <c r="A35" s="111" t="s">
        <v>1704</v>
      </c>
      <c r="B35" s="133">
        <v>16.41</v>
      </c>
      <c r="C35" s="133">
        <v>22.28</v>
      </c>
      <c r="D35" s="133">
        <v>26.15</v>
      </c>
      <c r="E35" s="133">
        <v>6.81</v>
      </c>
      <c r="F35" s="133">
        <v>2.77</v>
      </c>
      <c r="G35" s="133">
        <v>38.200000000000003</v>
      </c>
      <c r="H35" s="133">
        <v>17.170000000000002</v>
      </c>
      <c r="I35" s="133">
        <v>5.86</v>
      </c>
      <c r="J35" s="133">
        <v>0.06</v>
      </c>
      <c r="K35" s="133">
        <v>177.27</v>
      </c>
      <c r="L35" s="133">
        <v>22.26</v>
      </c>
      <c r="M35" s="133">
        <v>95.31</v>
      </c>
      <c r="N35" s="133">
        <v>25.2</v>
      </c>
      <c r="O35" s="133">
        <v>0</v>
      </c>
      <c r="P35" s="133">
        <v>0.54</v>
      </c>
      <c r="Q35" s="133">
        <v>5.66</v>
      </c>
    </row>
    <row r="36" spans="1:17" customFormat="1">
      <c r="A36" s="111" t="s">
        <v>1705</v>
      </c>
      <c r="B36" s="133">
        <v>16.45</v>
      </c>
      <c r="C36" s="133">
        <v>23.5</v>
      </c>
      <c r="D36" s="133">
        <v>26.82</v>
      </c>
      <c r="E36" s="133">
        <v>6.78</v>
      </c>
      <c r="F36" s="133">
        <v>2.5499999999999998</v>
      </c>
      <c r="G36" s="133">
        <v>38.61</v>
      </c>
      <c r="H36" s="133">
        <v>17.29</v>
      </c>
      <c r="I36" s="133">
        <v>5.85</v>
      </c>
      <c r="J36" s="133">
        <v>0.08</v>
      </c>
      <c r="K36" s="133">
        <v>200.49</v>
      </c>
      <c r="L36" s="133">
        <v>22.85</v>
      </c>
      <c r="M36" s="133">
        <v>92.43</v>
      </c>
      <c r="N36" s="133">
        <v>37.700000000000003</v>
      </c>
      <c r="O36" s="133">
        <v>0</v>
      </c>
      <c r="P36" s="133">
        <v>0.56000000000000005</v>
      </c>
      <c r="Q36" s="133">
        <v>5.65</v>
      </c>
    </row>
    <row r="37" spans="1:17" customFormat="1">
      <c r="A37" s="111" t="s">
        <v>1706</v>
      </c>
      <c r="B37" s="133">
        <v>16.57</v>
      </c>
      <c r="C37" s="133">
        <v>22.97</v>
      </c>
      <c r="D37" s="133">
        <v>26.64</v>
      </c>
      <c r="E37" s="133">
        <v>6.36</v>
      </c>
      <c r="F37" s="133">
        <v>2.75</v>
      </c>
      <c r="G37" s="133">
        <v>40.83</v>
      </c>
      <c r="H37" s="133">
        <v>17.96</v>
      </c>
      <c r="I37" s="133">
        <v>5.89</v>
      </c>
      <c r="J37" s="133">
        <v>7.0000000000000007E-2</v>
      </c>
      <c r="K37" s="133">
        <v>171.16</v>
      </c>
      <c r="L37" s="133">
        <v>23.55</v>
      </c>
      <c r="M37" s="133">
        <v>88.98</v>
      </c>
      <c r="N37" s="133">
        <v>50.6</v>
      </c>
      <c r="O37" s="133">
        <v>0</v>
      </c>
      <c r="P37" s="133">
        <v>0.54</v>
      </c>
      <c r="Q37" s="133">
        <v>5.69</v>
      </c>
    </row>
    <row r="38" spans="1:17" customFormat="1">
      <c r="A38" s="111" t="s">
        <v>1707</v>
      </c>
      <c r="B38" s="133">
        <v>16.690000000000001</v>
      </c>
      <c r="C38" s="133">
        <v>23.96</v>
      </c>
      <c r="D38" s="133">
        <v>27.26</v>
      </c>
      <c r="E38" s="133">
        <v>6.43</v>
      </c>
      <c r="F38" s="133">
        <v>2.4900000000000002</v>
      </c>
      <c r="G38" s="133">
        <v>40.83</v>
      </c>
      <c r="H38" s="133">
        <v>17.96</v>
      </c>
      <c r="I38" s="133">
        <v>5.97</v>
      </c>
      <c r="J38" s="133">
        <v>0.11</v>
      </c>
      <c r="K38" s="133">
        <v>147.61000000000001</v>
      </c>
      <c r="L38" s="133">
        <v>24.29</v>
      </c>
      <c r="M38" s="133">
        <v>85.37</v>
      </c>
      <c r="N38" s="133">
        <v>71.599999999999994</v>
      </c>
      <c r="O38" s="133">
        <v>0</v>
      </c>
      <c r="P38" s="133">
        <v>0.56999999999999995</v>
      </c>
      <c r="Q38" s="133">
        <v>5.69</v>
      </c>
    </row>
    <row r="39" spans="1:17" customFormat="1">
      <c r="A39" s="111" t="s">
        <v>1708</v>
      </c>
      <c r="B39" s="133">
        <v>16.850000000000001</v>
      </c>
      <c r="C39" s="133">
        <v>23.62</v>
      </c>
      <c r="D39" s="133">
        <v>27.2</v>
      </c>
      <c r="E39" s="133">
        <v>6.51</v>
      </c>
      <c r="F39" s="133">
        <v>2.72</v>
      </c>
      <c r="G39" s="133">
        <v>40.83</v>
      </c>
      <c r="H39" s="133">
        <v>17.96</v>
      </c>
      <c r="I39" s="133">
        <v>6</v>
      </c>
      <c r="J39" s="133">
        <v>0.1</v>
      </c>
      <c r="K39" s="133">
        <v>202.62</v>
      </c>
      <c r="L39" s="133">
        <v>25.22</v>
      </c>
      <c r="M39" s="133">
        <v>81.239999999999995</v>
      </c>
      <c r="N39" s="133">
        <v>168.1</v>
      </c>
      <c r="O39" s="133">
        <v>0</v>
      </c>
      <c r="P39" s="133">
        <v>0.57999999999999996</v>
      </c>
      <c r="Q39" s="133">
        <v>5.73</v>
      </c>
    </row>
    <row r="40" spans="1:17" customFormat="1">
      <c r="A40" s="111" t="s">
        <v>1709</v>
      </c>
      <c r="B40" s="133">
        <v>16.86</v>
      </c>
      <c r="C40" s="133">
        <v>22.6</v>
      </c>
      <c r="D40" s="133">
        <v>26.68</v>
      </c>
      <c r="E40" s="133">
        <v>6.39</v>
      </c>
      <c r="F40" s="133">
        <v>2.9</v>
      </c>
      <c r="G40" s="133">
        <v>41.19</v>
      </c>
      <c r="H40" s="133">
        <v>18.010000000000002</v>
      </c>
      <c r="I40" s="133">
        <v>6.21</v>
      </c>
      <c r="J40" s="133">
        <v>0.11</v>
      </c>
      <c r="K40" s="133">
        <v>189.95</v>
      </c>
      <c r="L40" s="133">
        <v>26.33</v>
      </c>
      <c r="M40" s="133">
        <v>74.849999999999994</v>
      </c>
      <c r="N40" s="133">
        <v>244.9</v>
      </c>
      <c r="O40" s="133">
        <v>0</v>
      </c>
      <c r="P40" s="133">
        <v>0.57999999999999996</v>
      </c>
      <c r="Q40" s="133">
        <v>5.7</v>
      </c>
    </row>
    <row r="41" spans="1:17" customFormat="1">
      <c r="A41" s="111" t="s">
        <v>1710</v>
      </c>
      <c r="B41" s="133">
        <v>16.47</v>
      </c>
      <c r="C41" s="133">
        <v>23.69</v>
      </c>
      <c r="D41" s="133">
        <v>26.93</v>
      </c>
      <c r="E41" s="133">
        <v>6.27</v>
      </c>
      <c r="F41" s="133">
        <v>2.69</v>
      </c>
      <c r="G41" s="133">
        <v>43.18</v>
      </c>
      <c r="H41" s="133">
        <v>18.22</v>
      </c>
      <c r="I41" s="133">
        <v>6.36</v>
      </c>
      <c r="J41" s="133">
        <v>0.17</v>
      </c>
      <c r="K41" s="133">
        <v>233.66</v>
      </c>
      <c r="L41" s="133">
        <v>27.28</v>
      </c>
      <c r="M41" s="133">
        <v>69.7</v>
      </c>
      <c r="N41" s="133">
        <v>293.5</v>
      </c>
      <c r="O41" s="133">
        <v>0</v>
      </c>
      <c r="P41" s="133">
        <v>0.59</v>
      </c>
      <c r="Q41" s="133">
        <v>5.66</v>
      </c>
    </row>
    <row r="42" spans="1:17" customFormat="1">
      <c r="A42" s="111" t="s">
        <v>1711</v>
      </c>
      <c r="B42" s="133">
        <v>16.11</v>
      </c>
      <c r="C42" s="133">
        <v>23.76</v>
      </c>
      <c r="D42" s="133">
        <v>26.68</v>
      </c>
      <c r="E42" s="133">
        <v>6.57</v>
      </c>
      <c r="F42" s="133">
        <v>2.85</v>
      </c>
      <c r="G42" s="133">
        <v>43.18</v>
      </c>
      <c r="H42" s="133">
        <v>18.22</v>
      </c>
      <c r="I42" s="133">
        <v>6.48</v>
      </c>
      <c r="J42" s="133">
        <v>0.14000000000000001</v>
      </c>
      <c r="K42" s="133">
        <v>233.67</v>
      </c>
      <c r="L42" s="133">
        <v>28.06</v>
      </c>
      <c r="M42" s="133">
        <v>65.209999999999994</v>
      </c>
      <c r="N42" s="133">
        <v>341.2</v>
      </c>
      <c r="O42" s="133">
        <v>0</v>
      </c>
      <c r="P42" s="133">
        <v>0.59</v>
      </c>
      <c r="Q42" s="133">
        <v>5.65</v>
      </c>
    </row>
    <row r="43" spans="1:17" customFormat="1">
      <c r="A43" s="111" t="s">
        <v>1712</v>
      </c>
      <c r="B43" s="133">
        <v>15.51</v>
      </c>
      <c r="C43" s="133">
        <v>23.11</v>
      </c>
      <c r="D43" s="133">
        <v>25.86</v>
      </c>
      <c r="E43" s="133">
        <v>6.92</v>
      </c>
      <c r="F43" s="133">
        <v>2.92</v>
      </c>
      <c r="G43" s="133">
        <v>43.18</v>
      </c>
      <c r="H43" s="133">
        <v>18.22</v>
      </c>
      <c r="I43" s="133">
        <v>6.52</v>
      </c>
      <c r="J43" s="133">
        <v>0.18</v>
      </c>
      <c r="K43" s="133">
        <v>235.15</v>
      </c>
      <c r="L43" s="133">
        <v>28.72</v>
      </c>
      <c r="M43" s="133">
        <v>63.44</v>
      </c>
      <c r="N43" s="133">
        <v>387.2</v>
      </c>
      <c r="O43" s="133">
        <v>0</v>
      </c>
      <c r="P43" s="133">
        <v>0.57999999999999996</v>
      </c>
      <c r="Q43" s="133">
        <v>5.64</v>
      </c>
    </row>
    <row r="44" spans="1:17" customFormat="1">
      <c r="A44" s="111" t="s">
        <v>1713</v>
      </c>
      <c r="B44" s="133">
        <v>14.82</v>
      </c>
      <c r="C44" s="133">
        <v>22.8</v>
      </c>
      <c r="D44" s="133">
        <v>25.15</v>
      </c>
      <c r="E44" s="133">
        <v>6.28</v>
      </c>
      <c r="F44" s="133">
        <v>2.95</v>
      </c>
      <c r="G44" s="133">
        <v>42.95</v>
      </c>
      <c r="H44" s="133">
        <v>18.62</v>
      </c>
      <c r="I44" s="133">
        <v>6.45</v>
      </c>
      <c r="J44" s="133">
        <v>0.13</v>
      </c>
      <c r="K44" s="133">
        <v>182.44</v>
      </c>
      <c r="L44" s="133">
        <v>29.43</v>
      </c>
      <c r="M44" s="133">
        <v>59.69</v>
      </c>
      <c r="N44" s="133">
        <v>425.3</v>
      </c>
      <c r="O44" s="133">
        <v>0</v>
      </c>
      <c r="P44" s="133">
        <v>0.57999999999999996</v>
      </c>
      <c r="Q44" s="133">
        <v>5.58</v>
      </c>
    </row>
    <row r="45" spans="1:17" customFormat="1">
      <c r="A45" s="111" t="s">
        <v>1714</v>
      </c>
      <c r="B45" s="133">
        <v>14.1</v>
      </c>
      <c r="C45" s="133">
        <v>22.73</v>
      </c>
      <c r="D45" s="133">
        <v>24.54</v>
      </c>
      <c r="E45" s="133">
        <v>6.24</v>
      </c>
      <c r="F45" s="133">
        <v>3.09</v>
      </c>
      <c r="G45" s="133">
        <v>41.72</v>
      </c>
      <c r="H45" s="133">
        <v>20.239999999999998</v>
      </c>
      <c r="I45" s="133">
        <v>6.41</v>
      </c>
      <c r="J45" s="133">
        <v>0.13</v>
      </c>
      <c r="K45" s="133">
        <v>178.73</v>
      </c>
      <c r="L45" s="133">
        <v>30.06</v>
      </c>
      <c r="M45" s="133">
        <v>59.75</v>
      </c>
      <c r="N45" s="133">
        <v>462.7</v>
      </c>
      <c r="O45" s="133">
        <v>0</v>
      </c>
      <c r="P45" s="133">
        <v>0.56999999999999995</v>
      </c>
      <c r="Q45" s="133">
        <v>5.54</v>
      </c>
    </row>
    <row r="46" spans="1:17" customFormat="1">
      <c r="A46" s="111" t="s">
        <v>1715</v>
      </c>
      <c r="B46" s="133">
        <v>13.36</v>
      </c>
      <c r="C46" s="133">
        <v>22.63</v>
      </c>
      <c r="D46" s="133">
        <v>23.89</v>
      </c>
      <c r="E46" s="133">
        <v>6.32</v>
      </c>
      <c r="F46" s="133">
        <v>3.06</v>
      </c>
      <c r="G46" s="133">
        <v>41.72</v>
      </c>
      <c r="H46" s="133">
        <v>20.239999999999998</v>
      </c>
      <c r="I46" s="133">
        <v>6.35</v>
      </c>
      <c r="J46" s="133">
        <v>0.1</v>
      </c>
      <c r="K46" s="133">
        <v>163.27000000000001</v>
      </c>
      <c r="L46" s="133">
        <v>30.67</v>
      </c>
      <c r="M46" s="133">
        <v>57.16</v>
      </c>
      <c r="N46" s="133">
        <v>375.5</v>
      </c>
      <c r="O46" s="133">
        <v>0</v>
      </c>
      <c r="P46" s="133">
        <v>0.56000000000000005</v>
      </c>
      <c r="Q46" s="133">
        <v>5.49</v>
      </c>
    </row>
    <row r="47" spans="1:17" customFormat="1">
      <c r="A47" s="111" t="s">
        <v>1716</v>
      </c>
      <c r="B47" s="133">
        <v>12.58</v>
      </c>
      <c r="C47" s="133">
        <v>22.38</v>
      </c>
      <c r="D47" s="133">
        <v>23.13</v>
      </c>
      <c r="E47" s="133">
        <v>6.18</v>
      </c>
      <c r="F47" s="133">
        <v>3.03</v>
      </c>
      <c r="G47" s="133">
        <v>41.72</v>
      </c>
      <c r="H47" s="133">
        <v>20.239999999999998</v>
      </c>
      <c r="I47" s="133">
        <v>6.31</v>
      </c>
      <c r="J47" s="133">
        <v>0.21</v>
      </c>
      <c r="K47" s="133">
        <v>164.21</v>
      </c>
      <c r="L47" s="133">
        <v>31.11</v>
      </c>
      <c r="M47" s="133">
        <v>55.33</v>
      </c>
      <c r="N47" s="133">
        <v>347.8</v>
      </c>
      <c r="O47" s="133">
        <v>0</v>
      </c>
      <c r="P47" s="133">
        <v>0.56000000000000005</v>
      </c>
      <c r="Q47" s="133">
        <v>5.43</v>
      </c>
    </row>
    <row r="48" spans="1:17" customFormat="1">
      <c r="A48" s="111" t="s">
        <v>1717</v>
      </c>
      <c r="B48" s="133">
        <v>11.54</v>
      </c>
      <c r="C48" s="133">
        <v>21.65</v>
      </c>
      <c r="D48" s="133">
        <v>21.91</v>
      </c>
      <c r="E48" s="133">
        <v>6.48</v>
      </c>
      <c r="F48" s="133">
        <v>4.34</v>
      </c>
      <c r="G48" s="133">
        <v>41.97</v>
      </c>
      <c r="H48" s="133">
        <v>20.079999999999998</v>
      </c>
      <c r="I48" s="133">
        <v>6.24</v>
      </c>
      <c r="J48" s="133">
        <v>0.18</v>
      </c>
      <c r="K48" s="133">
        <v>203.45</v>
      </c>
      <c r="L48" s="133">
        <v>31.23</v>
      </c>
      <c r="M48" s="133">
        <v>53.03</v>
      </c>
      <c r="N48" s="133">
        <v>562.6</v>
      </c>
      <c r="O48" s="133">
        <v>0</v>
      </c>
      <c r="P48" s="133">
        <v>0.55000000000000004</v>
      </c>
      <c r="Q48" s="133">
        <v>5.42</v>
      </c>
    </row>
    <row r="49" spans="1:17" customFormat="1">
      <c r="A49" s="111" t="s">
        <v>1718</v>
      </c>
      <c r="B49" s="133">
        <v>10.46</v>
      </c>
      <c r="C49" s="133">
        <v>21.82</v>
      </c>
      <c r="D49" s="133">
        <v>21.14</v>
      </c>
      <c r="E49" s="133">
        <v>7.18</v>
      </c>
      <c r="F49" s="133">
        <v>3.72</v>
      </c>
      <c r="G49" s="133">
        <v>43.34</v>
      </c>
      <c r="H49" s="133">
        <v>19.45</v>
      </c>
      <c r="I49" s="133">
        <v>6.16</v>
      </c>
      <c r="J49" s="133">
        <v>0.16</v>
      </c>
      <c r="K49" s="133">
        <v>217.28</v>
      </c>
      <c r="L49" s="133">
        <v>31.8</v>
      </c>
      <c r="M49" s="133">
        <v>51.9</v>
      </c>
      <c r="N49" s="133">
        <v>599.9</v>
      </c>
      <c r="O49" s="133">
        <v>0</v>
      </c>
      <c r="P49" s="133">
        <v>0.56000000000000005</v>
      </c>
      <c r="Q49" s="133">
        <v>5.38</v>
      </c>
    </row>
    <row r="50" spans="1:17" customFormat="1">
      <c r="A50" s="111" t="s">
        <v>1719</v>
      </c>
      <c r="B50" s="133">
        <v>9.44</v>
      </c>
      <c r="C50" s="133">
        <v>22.87</v>
      </c>
      <c r="D50" s="133">
        <v>20.87</v>
      </c>
      <c r="E50" s="133">
        <v>7.89</v>
      </c>
      <c r="F50" s="133">
        <v>4.0199999999999996</v>
      </c>
      <c r="G50" s="133">
        <v>43.34</v>
      </c>
      <c r="H50" s="133">
        <v>19.45</v>
      </c>
      <c r="I50" s="133">
        <v>5.98</v>
      </c>
      <c r="J50" s="133">
        <v>0.21</v>
      </c>
      <c r="K50" s="133">
        <v>199.15</v>
      </c>
      <c r="L50" s="133">
        <v>32.07</v>
      </c>
      <c r="M50" s="133">
        <v>49.72</v>
      </c>
      <c r="N50" s="133">
        <v>626.9</v>
      </c>
      <c r="O50" s="133">
        <v>0</v>
      </c>
      <c r="P50" s="133">
        <v>0.56000000000000005</v>
      </c>
      <c r="Q50" s="133">
        <v>5.32</v>
      </c>
    </row>
    <row r="51" spans="1:17" customFormat="1">
      <c r="A51" s="111" t="s">
        <v>1720</v>
      </c>
      <c r="B51" s="133">
        <v>8.44</v>
      </c>
      <c r="C51" s="133">
        <v>23.01</v>
      </c>
      <c r="D51" s="133">
        <v>20.14</v>
      </c>
      <c r="E51" s="133">
        <v>8</v>
      </c>
      <c r="F51" s="133">
        <v>5.18</v>
      </c>
      <c r="G51" s="133">
        <v>43.34</v>
      </c>
      <c r="H51" s="133">
        <v>19.45</v>
      </c>
      <c r="I51" s="133">
        <v>5.96</v>
      </c>
      <c r="J51" s="133">
        <v>0.26</v>
      </c>
      <c r="K51" s="133">
        <v>190.77</v>
      </c>
      <c r="L51" s="133">
        <v>32.200000000000003</v>
      </c>
      <c r="M51" s="133">
        <v>50.23</v>
      </c>
      <c r="N51" s="133">
        <v>644.29999999999995</v>
      </c>
      <c r="O51" s="133">
        <v>0</v>
      </c>
      <c r="P51" s="133">
        <v>0.55000000000000004</v>
      </c>
      <c r="Q51" s="133">
        <v>5.26</v>
      </c>
    </row>
    <row r="52" spans="1:17" customFormat="1">
      <c r="A52" s="111" t="s">
        <v>1721</v>
      </c>
      <c r="B52" s="133">
        <v>7.8</v>
      </c>
      <c r="C52" s="133">
        <v>22.77</v>
      </c>
      <c r="D52" s="133">
        <v>19.5</v>
      </c>
      <c r="E52" s="133">
        <v>8.06</v>
      </c>
      <c r="F52" s="133">
        <v>5.58</v>
      </c>
      <c r="G52" s="133">
        <v>43.55</v>
      </c>
      <c r="H52" s="133">
        <v>19.82</v>
      </c>
      <c r="I52" s="133">
        <v>5.76</v>
      </c>
      <c r="J52" s="133">
        <v>0.17</v>
      </c>
      <c r="K52" s="133">
        <v>222.17</v>
      </c>
      <c r="L52" s="133">
        <v>32.44</v>
      </c>
      <c r="M52" s="133">
        <v>49.02</v>
      </c>
      <c r="N52" s="133">
        <v>618.29999999999995</v>
      </c>
      <c r="O52" s="133">
        <v>0</v>
      </c>
      <c r="P52" s="133">
        <v>0.54</v>
      </c>
      <c r="Q52" s="133">
        <v>5.19</v>
      </c>
    </row>
    <row r="53" spans="1:17" customFormat="1">
      <c r="A53" s="111" t="s">
        <v>1722</v>
      </c>
      <c r="B53" s="133">
        <v>7.18</v>
      </c>
      <c r="C53" s="133">
        <v>23.07</v>
      </c>
      <c r="D53" s="133">
        <v>19.16</v>
      </c>
      <c r="E53" s="133">
        <v>7.82</v>
      </c>
      <c r="F53" s="133">
        <v>5.28</v>
      </c>
      <c r="G53" s="133">
        <v>44.65</v>
      </c>
      <c r="H53" s="133">
        <v>21.33</v>
      </c>
      <c r="I53" s="133">
        <v>5.61</v>
      </c>
      <c r="J53" s="133">
        <v>0.2</v>
      </c>
      <c r="K53" s="133">
        <v>178.1</v>
      </c>
      <c r="L53" s="133">
        <v>32.619999999999997</v>
      </c>
      <c r="M53" s="133">
        <v>46.28</v>
      </c>
      <c r="N53" s="133">
        <v>692.6</v>
      </c>
      <c r="O53" s="133">
        <v>0</v>
      </c>
      <c r="P53" s="133">
        <v>0.53</v>
      </c>
      <c r="Q53" s="133">
        <v>5.16</v>
      </c>
    </row>
    <row r="54" spans="1:17" customFormat="1">
      <c r="A54" s="111" t="s">
        <v>1723</v>
      </c>
      <c r="B54" s="133">
        <v>6.42</v>
      </c>
      <c r="C54" s="133">
        <v>23.3</v>
      </c>
      <c r="D54" s="133">
        <v>18.68</v>
      </c>
      <c r="E54" s="133">
        <v>7.17</v>
      </c>
      <c r="F54" s="133">
        <v>5.1100000000000003</v>
      </c>
      <c r="G54" s="133">
        <v>44.65</v>
      </c>
      <c r="H54" s="133">
        <v>21.33</v>
      </c>
      <c r="I54" s="133">
        <v>5.44</v>
      </c>
      <c r="J54" s="133">
        <v>0.37</v>
      </c>
      <c r="K54" s="133">
        <v>182.22</v>
      </c>
      <c r="L54" s="133">
        <v>32.72</v>
      </c>
      <c r="M54" s="133">
        <v>44.8</v>
      </c>
      <c r="N54" s="133">
        <v>705.8</v>
      </c>
      <c r="O54" s="133">
        <v>0</v>
      </c>
      <c r="P54" s="133">
        <v>0.53</v>
      </c>
      <c r="Q54" s="133">
        <v>5.13</v>
      </c>
    </row>
    <row r="55" spans="1:17" customFormat="1">
      <c r="A55" s="111" t="s">
        <v>1724</v>
      </c>
      <c r="B55" s="133">
        <v>5.99</v>
      </c>
      <c r="C55" s="133">
        <v>22.89</v>
      </c>
      <c r="D55" s="133">
        <v>18.11</v>
      </c>
      <c r="E55" s="133">
        <v>7.68</v>
      </c>
      <c r="F55" s="133">
        <v>4.45</v>
      </c>
      <c r="G55" s="133">
        <v>44.65</v>
      </c>
      <c r="H55" s="133">
        <v>21.33</v>
      </c>
      <c r="I55" s="133">
        <v>5.4</v>
      </c>
      <c r="J55" s="133">
        <v>0.1</v>
      </c>
      <c r="K55" s="133">
        <v>216.87</v>
      </c>
      <c r="L55" s="133">
        <v>32.86</v>
      </c>
      <c r="M55" s="133">
        <v>44.21</v>
      </c>
      <c r="N55" s="133">
        <v>711</v>
      </c>
      <c r="O55" s="133">
        <v>0</v>
      </c>
      <c r="P55" s="133">
        <v>0.52</v>
      </c>
      <c r="Q55" s="133">
        <v>5.12</v>
      </c>
    </row>
    <row r="56" spans="1:17" customFormat="1">
      <c r="A56" s="111" t="s">
        <v>1725</v>
      </c>
      <c r="B56" s="133">
        <v>5.91</v>
      </c>
      <c r="C56" s="133">
        <v>22.86</v>
      </c>
      <c r="D56" s="133">
        <v>18.04</v>
      </c>
      <c r="E56" s="133">
        <v>7.65</v>
      </c>
      <c r="F56" s="133">
        <v>4.99</v>
      </c>
      <c r="G56" s="133">
        <v>43.29</v>
      </c>
      <c r="H56" s="133">
        <v>20.73</v>
      </c>
      <c r="I56" s="133">
        <v>5.3</v>
      </c>
      <c r="J56" s="133">
        <v>0.28000000000000003</v>
      </c>
      <c r="K56" s="133">
        <v>170.23</v>
      </c>
      <c r="L56" s="133">
        <v>33.18</v>
      </c>
      <c r="M56" s="133">
        <v>44.49</v>
      </c>
      <c r="N56" s="133">
        <v>715</v>
      </c>
      <c r="O56" s="133">
        <v>0</v>
      </c>
      <c r="P56" s="133">
        <v>0.51</v>
      </c>
      <c r="Q56" s="133">
        <v>5.08</v>
      </c>
    </row>
    <row r="57" spans="1:17" customFormat="1">
      <c r="A57" s="111" t="s">
        <v>1726</v>
      </c>
      <c r="B57" s="133">
        <v>5.79</v>
      </c>
      <c r="C57" s="133">
        <v>22.56</v>
      </c>
      <c r="D57" s="133">
        <v>17.78</v>
      </c>
      <c r="E57" s="133">
        <v>7.97</v>
      </c>
      <c r="F57" s="133">
        <v>4.91</v>
      </c>
      <c r="G57" s="133">
        <v>35.94</v>
      </c>
      <c r="H57" s="133">
        <v>18.3</v>
      </c>
      <c r="I57" s="133">
        <v>5.23</v>
      </c>
      <c r="J57" s="133">
        <v>0.33</v>
      </c>
      <c r="K57" s="133">
        <v>183.17</v>
      </c>
      <c r="L57" s="133">
        <v>33.46</v>
      </c>
      <c r="M57" s="133">
        <v>40.68</v>
      </c>
      <c r="N57" s="133">
        <v>713.8</v>
      </c>
      <c r="O57" s="133">
        <v>0</v>
      </c>
      <c r="P57" s="133">
        <v>0.51</v>
      </c>
      <c r="Q57" s="133">
        <v>5.08</v>
      </c>
    </row>
    <row r="58" spans="1:17" customFormat="1">
      <c r="A58" s="111" t="s">
        <v>1727</v>
      </c>
      <c r="B58" s="133">
        <v>5.64</v>
      </c>
      <c r="C58" s="133">
        <v>22.16</v>
      </c>
      <c r="D58" s="133">
        <v>17.45</v>
      </c>
      <c r="E58" s="133">
        <v>7.64</v>
      </c>
      <c r="F58" s="133">
        <v>4.59</v>
      </c>
      <c r="G58" s="133">
        <v>35.94</v>
      </c>
      <c r="H58" s="133">
        <v>18.3</v>
      </c>
      <c r="I58" s="133">
        <v>5.07</v>
      </c>
      <c r="J58" s="133">
        <v>0.46</v>
      </c>
      <c r="K58" s="133">
        <v>163.12</v>
      </c>
      <c r="L58" s="133">
        <v>34.04</v>
      </c>
      <c r="M58" s="133">
        <v>37.53</v>
      </c>
      <c r="N58" s="133">
        <v>701.2</v>
      </c>
      <c r="O58" s="133">
        <v>0</v>
      </c>
      <c r="P58" s="133">
        <v>0.5</v>
      </c>
      <c r="Q58" s="133">
        <v>5.07</v>
      </c>
    </row>
    <row r="59" spans="1:17" customFormat="1">
      <c r="A59" s="111" t="s">
        <v>1728</v>
      </c>
      <c r="B59" s="133">
        <v>5.54</v>
      </c>
      <c r="C59" s="133">
        <v>21.85</v>
      </c>
      <c r="D59" s="133">
        <v>17.21</v>
      </c>
      <c r="E59" s="133">
        <v>7.71</v>
      </c>
      <c r="F59" s="133">
        <v>4.57</v>
      </c>
      <c r="G59" s="133">
        <v>35.94</v>
      </c>
      <c r="H59" s="133">
        <v>18.3</v>
      </c>
      <c r="I59" s="133">
        <v>5</v>
      </c>
      <c r="J59" s="133">
        <v>0.31</v>
      </c>
      <c r="K59" s="133">
        <v>214.49</v>
      </c>
      <c r="L59" s="133">
        <v>34.06</v>
      </c>
      <c r="M59" s="133">
        <v>38.76</v>
      </c>
      <c r="N59" s="133">
        <v>689.7</v>
      </c>
      <c r="O59" s="133">
        <v>0</v>
      </c>
      <c r="P59" s="133">
        <v>0.49</v>
      </c>
      <c r="Q59" s="133">
        <v>5.07</v>
      </c>
    </row>
    <row r="60" spans="1:17" customFormat="1">
      <c r="A60" s="111" t="s">
        <v>1729</v>
      </c>
      <c r="B60" s="133">
        <v>5.42</v>
      </c>
      <c r="C60" s="133">
        <v>21.89</v>
      </c>
      <c r="D60" s="133">
        <v>17.14</v>
      </c>
      <c r="E60" s="133">
        <v>7.72</v>
      </c>
      <c r="F60" s="133">
        <v>6.37</v>
      </c>
      <c r="G60" s="133">
        <v>35.44</v>
      </c>
      <c r="H60" s="133">
        <v>17.93</v>
      </c>
      <c r="I60" s="133">
        <v>4.9400000000000004</v>
      </c>
      <c r="J60" s="133">
        <v>0.36</v>
      </c>
      <c r="K60" s="133">
        <v>262.48</v>
      </c>
      <c r="L60" s="133">
        <v>33.700000000000003</v>
      </c>
      <c r="M60" s="133">
        <v>36.22</v>
      </c>
      <c r="N60" s="133">
        <v>663.4</v>
      </c>
      <c r="O60" s="133">
        <v>0</v>
      </c>
      <c r="P60" s="133">
        <v>0.48</v>
      </c>
      <c r="Q60" s="133">
        <v>5.07</v>
      </c>
    </row>
    <row r="61" spans="1:17" customFormat="1">
      <c r="A61" s="111" t="s">
        <v>1730</v>
      </c>
      <c r="B61" s="133">
        <v>5.51</v>
      </c>
      <c r="C61" s="133">
        <v>21.71</v>
      </c>
      <c r="D61" s="133">
        <v>17.11</v>
      </c>
      <c r="E61" s="133">
        <v>7.9</v>
      </c>
      <c r="F61" s="133">
        <v>5.87</v>
      </c>
      <c r="G61" s="133">
        <v>32.729999999999997</v>
      </c>
      <c r="H61" s="133">
        <v>15.97</v>
      </c>
      <c r="I61" s="133">
        <v>4.84</v>
      </c>
      <c r="J61" s="133">
        <v>0.26</v>
      </c>
      <c r="K61" s="133">
        <v>193.62</v>
      </c>
      <c r="L61" s="133">
        <v>33.909999999999997</v>
      </c>
      <c r="M61" s="133">
        <v>36.61</v>
      </c>
      <c r="N61" s="133">
        <v>605.29999999999995</v>
      </c>
      <c r="O61" s="133">
        <v>0</v>
      </c>
      <c r="P61" s="133">
        <v>0.47</v>
      </c>
      <c r="Q61" s="133">
        <v>5.0599999999999996</v>
      </c>
    </row>
    <row r="62" spans="1:17" customFormat="1">
      <c r="A62" s="111" t="s">
        <v>1731</v>
      </c>
      <c r="B62" s="133">
        <v>5.39</v>
      </c>
      <c r="C62" s="133">
        <v>21.42</v>
      </c>
      <c r="D62" s="133">
        <v>16.87</v>
      </c>
      <c r="E62" s="133">
        <v>7.64</v>
      </c>
      <c r="F62" s="133">
        <v>4.76</v>
      </c>
      <c r="G62" s="133">
        <v>32.729999999999997</v>
      </c>
      <c r="H62" s="133">
        <v>15.97</v>
      </c>
      <c r="I62" s="133">
        <v>4.7300000000000004</v>
      </c>
      <c r="J62" s="133">
        <v>0.41</v>
      </c>
      <c r="K62" s="133">
        <v>160.4</v>
      </c>
      <c r="L62" s="133">
        <v>34.090000000000003</v>
      </c>
      <c r="M62" s="133">
        <v>35.58</v>
      </c>
      <c r="N62" s="133">
        <v>606.6</v>
      </c>
      <c r="O62" s="133">
        <v>0</v>
      </c>
      <c r="P62" s="133">
        <v>0.46</v>
      </c>
      <c r="Q62" s="133">
        <v>5.05</v>
      </c>
    </row>
    <row r="63" spans="1:17" customFormat="1">
      <c r="A63" s="111" t="s">
        <v>1732</v>
      </c>
      <c r="B63" s="133">
        <v>5.42</v>
      </c>
      <c r="C63" s="133">
        <v>21.75</v>
      </c>
      <c r="D63" s="133">
        <v>17.059999999999999</v>
      </c>
      <c r="E63" s="133">
        <v>8.06</v>
      </c>
      <c r="F63" s="133">
        <v>5.38</v>
      </c>
      <c r="G63" s="133">
        <v>32.729999999999997</v>
      </c>
      <c r="H63" s="133">
        <v>15.97</v>
      </c>
      <c r="I63" s="133">
        <v>4.7</v>
      </c>
      <c r="J63" s="133">
        <v>0.33</v>
      </c>
      <c r="K63" s="133">
        <v>165.32</v>
      </c>
      <c r="L63" s="133">
        <v>34.1</v>
      </c>
      <c r="M63" s="133">
        <v>37.86</v>
      </c>
      <c r="N63" s="133">
        <v>568.79999999999995</v>
      </c>
      <c r="O63" s="133">
        <v>0</v>
      </c>
      <c r="P63" s="133">
        <v>0.46</v>
      </c>
      <c r="Q63" s="133">
        <v>5.03</v>
      </c>
    </row>
    <row r="64" spans="1:17" customFormat="1">
      <c r="A64" s="111" t="s">
        <v>1733</v>
      </c>
      <c r="B64" s="133">
        <v>5.4</v>
      </c>
      <c r="C64" s="133">
        <v>20.93</v>
      </c>
      <c r="D64" s="133">
        <v>16.62</v>
      </c>
      <c r="E64" s="133">
        <v>7.95</v>
      </c>
      <c r="F64" s="133">
        <v>4.76</v>
      </c>
      <c r="G64" s="133">
        <v>32.19</v>
      </c>
      <c r="H64" s="133">
        <v>16.04</v>
      </c>
      <c r="I64" s="133">
        <v>4.6399999999999997</v>
      </c>
      <c r="J64" s="133">
        <v>0.28999999999999998</v>
      </c>
      <c r="K64" s="133">
        <v>161.77000000000001</v>
      </c>
      <c r="L64" s="133">
        <v>33.950000000000003</v>
      </c>
      <c r="M64" s="133">
        <v>37.229999999999997</v>
      </c>
      <c r="N64" s="133">
        <v>534.79999999999995</v>
      </c>
      <c r="O64" s="133">
        <v>0</v>
      </c>
      <c r="P64" s="133">
        <v>0.45</v>
      </c>
      <c r="Q64" s="133">
        <v>5.04</v>
      </c>
    </row>
    <row r="65" spans="1:17" customFormat="1">
      <c r="A65" s="111" t="s">
        <v>1734</v>
      </c>
      <c r="B65" s="133">
        <v>5.32</v>
      </c>
      <c r="C65" s="133">
        <v>21.57</v>
      </c>
      <c r="D65" s="133">
        <v>16.89</v>
      </c>
      <c r="E65" s="133">
        <v>7.94</v>
      </c>
      <c r="F65" s="133">
        <v>4.57</v>
      </c>
      <c r="G65" s="133">
        <v>29.24</v>
      </c>
      <c r="H65" s="133">
        <v>16.34</v>
      </c>
      <c r="I65" s="133">
        <v>4.55</v>
      </c>
      <c r="J65" s="133">
        <v>0.17</v>
      </c>
      <c r="K65" s="133">
        <v>181.58</v>
      </c>
      <c r="L65" s="133">
        <v>33.71</v>
      </c>
      <c r="M65" s="133">
        <v>35.97</v>
      </c>
      <c r="N65" s="133">
        <v>507.7</v>
      </c>
      <c r="O65" s="133">
        <v>0</v>
      </c>
      <c r="P65" s="133">
        <v>0.48</v>
      </c>
      <c r="Q65" s="133">
        <v>5.03</v>
      </c>
    </row>
    <row r="66" spans="1:17" customFormat="1">
      <c r="A66" s="111" t="s">
        <v>1735</v>
      </c>
      <c r="B66" s="133">
        <v>5.31</v>
      </c>
      <c r="C66" s="133">
        <v>20.98</v>
      </c>
      <c r="D66" s="133">
        <v>16.57</v>
      </c>
      <c r="E66" s="133">
        <v>7.95</v>
      </c>
      <c r="F66" s="133">
        <v>4.5599999999999996</v>
      </c>
      <c r="G66" s="133">
        <v>29.24</v>
      </c>
      <c r="H66" s="133">
        <v>16.34</v>
      </c>
      <c r="I66" s="133">
        <v>4.49</v>
      </c>
      <c r="J66" s="133">
        <v>0.28999999999999998</v>
      </c>
      <c r="K66" s="133">
        <v>172.52</v>
      </c>
      <c r="L66" s="133">
        <v>33.700000000000003</v>
      </c>
      <c r="M66" s="133">
        <v>37.08</v>
      </c>
      <c r="N66" s="133">
        <v>422.1</v>
      </c>
      <c r="O66" s="133">
        <v>0</v>
      </c>
      <c r="P66" s="133">
        <v>0.5</v>
      </c>
      <c r="Q66" s="133">
        <v>5.04</v>
      </c>
    </row>
    <row r="67" spans="1:17" customFormat="1">
      <c r="A67" s="111" t="s">
        <v>1736</v>
      </c>
      <c r="B67" s="133">
        <v>5.27</v>
      </c>
      <c r="C67" s="133">
        <v>21.13</v>
      </c>
      <c r="D67" s="133">
        <v>16.62</v>
      </c>
      <c r="E67" s="133">
        <v>8.18</v>
      </c>
      <c r="F67" s="133">
        <v>4.5</v>
      </c>
      <c r="G67" s="133">
        <v>29.24</v>
      </c>
      <c r="H67" s="133">
        <v>16.34</v>
      </c>
      <c r="I67" s="133">
        <v>4.43</v>
      </c>
      <c r="J67" s="133">
        <v>0.34</v>
      </c>
      <c r="K67" s="133">
        <v>165.02</v>
      </c>
      <c r="L67" s="133">
        <v>33.24</v>
      </c>
      <c r="M67" s="133">
        <v>38.54</v>
      </c>
      <c r="N67" s="133">
        <v>121.8</v>
      </c>
      <c r="O67" s="133">
        <v>0</v>
      </c>
      <c r="P67" s="133">
        <v>0.49</v>
      </c>
      <c r="Q67" s="133">
        <v>5.05</v>
      </c>
    </row>
    <row r="68" spans="1:17" customFormat="1">
      <c r="A68" s="111" t="s">
        <v>1737</v>
      </c>
      <c r="B68" s="133">
        <v>5.43</v>
      </c>
      <c r="C68" s="133">
        <v>21.26</v>
      </c>
      <c r="D68" s="133">
        <v>16.809999999999999</v>
      </c>
      <c r="E68" s="133">
        <v>7.95</v>
      </c>
      <c r="F68" s="133">
        <v>4.58</v>
      </c>
      <c r="G68" s="133">
        <v>29.02</v>
      </c>
      <c r="H68" s="133">
        <v>15.6</v>
      </c>
      <c r="I68" s="133">
        <v>4.32</v>
      </c>
      <c r="J68" s="133">
        <v>0.25</v>
      </c>
      <c r="K68" s="133">
        <v>171.4</v>
      </c>
      <c r="L68" s="133">
        <v>32.22</v>
      </c>
      <c r="M68" s="133">
        <v>39.97</v>
      </c>
      <c r="N68" s="133">
        <v>104</v>
      </c>
      <c r="O68" s="133">
        <v>0</v>
      </c>
      <c r="P68" s="133">
        <v>0.49</v>
      </c>
      <c r="Q68" s="133">
        <v>5.05</v>
      </c>
    </row>
    <row r="69" spans="1:17" customFormat="1">
      <c r="A69" s="111" t="s">
        <v>1738</v>
      </c>
      <c r="B69" s="133">
        <v>5.62</v>
      </c>
      <c r="C69" s="133">
        <v>22.23</v>
      </c>
      <c r="D69" s="133">
        <v>17.47</v>
      </c>
      <c r="E69" s="133">
        <v>8.26</v>
      </c>
      <c r="F69" s="133">
        <v>4.47</v>
      </c>
      <c r="G69" s="133">
        <v>27.8</v>
      </c>
      <c r="H69" s="133">
        <v>12.55</v>
      </c>
      <c r="I69" s="133">
        <v>4.26</v>
      </c>
      <c r="J69" s="133">
        <v>0.19</v>
      </c>
      <c r="K69" s="133">
        <v>157.47999999999999</v>
      </c>
      <c r="L69" s="133">
        <v>31.72</v>
      </c>
      <c r="M69" s="133">
        <v>43.52</v>
      </c>
      <c r="N69" s="133">
        <v>92.1</v>
      </c>
      <c r="O69" s="133">
        <v>0</v>
      </c>
      <c r="P69" s="133">
        <v>0.49</v>
      </c>
      <c r="Q69" s="133">
        <v>5.05</v>
      </c>
    </row>
    <row r="70" spans="1:17" customFormat="1">
      <c r="A70" s="111" t="s">
        <v>1739</v>
      </c>
      <c r="B70" s="133">
        <v>5.87</v>
      </c>
      <c r="C70" s="133">
        <v>21.03</v>
      </c>
      <c r="D70" s="133">
        <v>17.05</v>
      </c>
      <c r="E70" s="133">
        <v>8.5500000000000007</v>
      </c>
      <c r="F70" s="133">
        <v>4.75</v>
      </c>
      <c r="G70" s="133">
        <v>27.8</v>
      </c>
      <c r="H70" s="133">
        <v>12.55</v>
      </c>
      <c r="I70" s="133">
        <v>4.17</v>
      </c>
      <c r="J70" s="133">
        <v>0.28000000000000003</v>
      </c>
      <c r="K70" s="133">
        <v>160.44999999999999</v>
      </c>
      <c r="L70" s="133">
        <v>31.4</v>
      </c>
      <c r="M70" s="133">
        <v>43.43</v>
      </c>
      <c r="N70" s="133">
        <v>96.9</v>
      </c>
      <c r="O70" s="133">
        <v>0</v>
      </c>
      <c r="P70" s="133">
        <v>0.47</v>
      </c>
      <c r="Q70" s="133">
        <v>5.05</v>
      </c>
    </row>
    <row r="71" spans="1:17" customFormat="1">
      <c r="A71" s="111" t="s">
        <v>1740</v>
      </c>
      <c r="B71" s="133">
        <v>5.74</v>
      </c>
      <c r="C71" s="133">
        <v>19.43</v>
      </c>
      <c r="D71" s="133">
        <v>16.100000000000001</v>
      </c>
      <c r="E71" s="133">
        <v>7.93</v>
      </c>
      <c r="F71" s="133">
        <v>5.38</v>
      </c>
      <c r="G71" s="133">
        <v>27.8</v>
      </c>
      <c r="H71" s="133">
        <v>12.55</v>
      </c>
      <c r="I71" s="133">
        <v>4.17</v>
      </c>
      <c r="J71" s="133">
        <v>0.21</v>
      </c>
      <c r="K71" s="133">
        <v>164.25</v>
      </c>
      <c r="L71" s="133">
        <v>30.96</v>
      </c>
      <c r="M71" s="133">
        <v>45.41</v>
      </c>
      <c r="N71" s="133">
        <v>71.5</v>
      </c>
      <c r="O71" s="133">
        <v>0</v>
      </c>
      <c r="P71" s="133">
        <v>0.46</v>
      </c>
      <c r="Q71" s="133">
        <v>5.05</v>
      </c>
    </row>
    <row r="72" spans="1:17" customFormat="1">
      <c r="A72" s="111" t="s">
        <v>1741</v>
      </c>
      <c r="B72" s="133">
        <v>5.49</v>
      </c>
      <c r="C72" s="133">
        <v>18.489999999999998</v>
      </c>
      <c r="D72" s="133">
        <v>15.41</v>
      </c>
      <c r="E72" s="133">
        <v>8.4499999999999993</v>
      </c>
      <c r="F72" s="133">
        <v>7.94</v>
      </c>
      <c r="G72" s="133">
        <v>27.73</v>
      </c>
      <c r="H72" s="133">
        <v>12.92</v>
      </c>
      <c r="I72" s="133">
        <v>4.12</v>
      </c>
      <c r="J72" s="133">
        <v>0.32</v>
      </c>
      <c r="K72" s="133">
        <v>156.22999999999999</v>
      </c>
      <c r="L72" s="133">
        <v>30.73</v>
      </c>
      <c r="M72" s="133">
        <v>45.35</v>
      </c>
      <c r="N72" s="133">
        <v>59.2</v>
      </c>
      <c r="O72" s="133">
        <v>0</v>
      </c>
      <c r="P72" s="133">
        <v>0.45</v>
      </c>
      <c r="Q72" s="133">
        <v>5.04</v>
      </c>
    </row>
    <row r="73" spans="1:17" customFormat="1">
      <c r="A73" s="111" t="s">
        <v>1742</v>
      </c>
      <c r="B73" s="133">
        <v>5.43</v>
      </c>
      <c r="C73" s="133">
        <v>17.43</v>
      </c>
      <c r="D73" s="133">
        <v>14.81</v>
      </c>
      <c r="E73" s="133">
        <v>8.33</v>
      </c>
      <c r="F73" s="133">
        <v>8.48</v>
      </c>
      <c r="G73" s="133">
        <v>27.36</v>
      </c>
      <c r="H73" s="133">
        <v>14.42</v>
      </c>
      <c r="I73" s="133">
        <v>4.05</v>
      </c>
      <c r="J73" s="133">
        <v>0.25</v>
      </c>
      <c r="K73" s="133">
        <v>161.84</v>
      </c>
      <c r="L73" s="133">
        <v>30.47</v>
      </c>
      <c r="M73" s="133">
        <v>46.91</v>
      </c>
      <c r="N73" s="133">
        <v>50.5</v>
      </c>
      <c r="O73" s="133">
        <v>0</v>
      </c>
      <c r="P73" s="133">
        <v>0.44</v>
      </c>
      <c r="Q73" s="133">
        <v>5.03</v>
      </c>
    </row>
    <row r="74" spans="1:17" customFormat="1">
      <c r="A74" s="111" t="s">
        <v>1743</v>
      </c>
      <c r="B74" s="133">
        <v>5.48</v>
      </c>
      <c r="C74" s="133">
        <v>17.059999999999999</v>
      </c>
      <c r="D74" s="133">
        <v>14.66</v>
      </c>
      <c r="E74" s="133">
        <v>7.94</v>
      </c>
      <c r="F74" s="133">
        <v>9.16</v>
      </c>
      <c r="G74" s="133">
        <v>27.36</v>
      </c>
      <c r="H74" s="133">
        <v>14.42</v>
      </c>
      <c r="I74" s="133">
        <v>3.95</v>
      </c>
      <c r="J74" s="133">
        <v>0.28000000000000003</v>
      </c>
      <c r="K74" s="133">
        <v>154.28</v>
      </c>
      <c r="L74" s="133">
        <v>30.19</v>
      </c>
      <c r="M74" s="133">
        <v>49.43</v>
      </c>
      <c r="N74" s="133">
        <v>48.5</v>
      </c>
      <c r="O74" s="133">
        <v>0</v>
      </c>
      <c r="P74" s="133">
        <v>0.44</v>
      </c>
      <c r="Q74" s="133">
        <v>5.0199999999999996</v>
      </c>
    </row>
    <row r="75" spans="1:17" customFormat="1">
      <c r="A75" s="111" t="s">
        <v>1744</v>
      </c>
      <c r="B75" s="133">
        <v>5.52</v>
      </c>
      <c r="C75" s="133">
        <v>17.07</v>
      </c>
      <c r="D75" s="133">
        <v>14.7</v>
      </c>
      <c r="E75" s="133">
        <v>8.06</v>
      </c>
      <c r="F75" s="133">
        <v>8.9499999999999993</v>
      </c>
      <c r="G75" s="133">
        <v>27.36</v>
      </c>
      <c r="H75" s="133">
        <v>14.42</v>
      </c>
      <c r="I75" s="133">
        <v>3.86</v>
      </c>
      <c r="J75" s="133">
        <v>0.32</v>
      </c>
      <c r="K75" s="133">
        <v>155.41</v>
      </c>
      <c r="L75" s="133">
        <v>30</v>
      </c>
      <c r="M75" s="133">
        <v>50.23</v>
      </c>
      <c r="N75" s="133">
        <v>28.7</v>
      </c>
      <c r="O75" s="133">
        <v>0</v>
      </c>
      <c r="P75" s="133">
        <v>0.44</v>
      </c>
      <c r="Q75" s="133">
        <v>5.0199999999999996</v>
      </c>
    </row>
    <row r="76" spans="1:17" customFormat="1">
      <c r="A76" s="111" t="s">
        <v>1745</v>
      </c>
      <c r="B76" s="133">
        <v>5.52</v>
      </c>
      <c r="C76" s="133">
        <v>16.899999999999999</v>
      </c>
      <c r="D76" s="133">
        <v>14.61</v>
      </c>
      <c r="E76" s="133">
        <v>7.92</v>
      </c>
      <c r="F76" s="133">
        <v>10.07</v>
      </c>
      <c r="G76" s="133">
        <v>27.19</v>
      </c>
      <c r="H76" s="133">
        <v>14.35</v>
      </c>
      <c r="I76" s="133">
        <v>3.93</v>
      </c>
      <c r="J76" s="133">
        <v>0.24</v>
      </c>
      <c r="K76" s="133">
        <v>165.25</v>
      </c>
      <c r="L76" s="133">
        <v>29.45</v>
      </c>
      <c r="M76" s="133">
        <v>54.3</v>
      </c>
      <c r="N76" s="133">
        <v>14.1</v>
      </c>
      <c r="O76" s="133">
        <v>0</v>
      </c>
      <c r="P76" s="133">
        <v>0.44</v>
      </c>
      <c r="Q76" s="133">
        <v>5.01</v>
      </c>
    </row>
    <row r="77" spans="1:17" customFormat="1">
      <c r="A77" s="111" t="s">
        <v>1746</v>
      </c>
      <c r="B77" s="133">
        <v>5.69</v>
      </c>
      <c r="C77" s="133">
        <v>16.98</v>
      </c>
      <c r="D77" s="133">
        <v>14.79</v>
      </c>
      <c r="E77" s="133">
        <v>7.8</v>
      </c>
      <c r="F77" s="133">
        <v>8.27</v>
      </c>
      <c r="G77" s="133">
        <v>26.27</v>
      </c>
      <c r="H77" s="133">
        <v>14.05</v>
      </c>
      <c r="I77" s="133">
        <v>3.83</v>
      </c>
      <c r="J77" s="133">
        <v>0.15</v>
      </c>
      <c r="K77" s="133">
        <v>156.53</v>
      </c>
      <c r="L77" s="133">
        <v>28.69</v>
      </c>
      <c r="M77" s="133">
        <v>59.06</v>
      </c>
      <c r="N77" s="133">
        <v>3.5</v>
      </c>
      <c r="O77" s="133">
        <v>0</v>
      </c>
      <c r="P77" s="133">
        <v>0.44</v>
      </c>
      <c r="Q77" s="133">
        <v>5.0199999999999996</v>
      </c>
    </row>
    <row r="78" spans="1:17" customFormat="1">
      <c r="A78" s="111" t="s">
        <v>1747</v>
      </c>
      <c r="B78" s="133">
        <v>5.82</v>
      </c>
      <c r="C78" s="133">
        <v>17.18</v>
      </c>
      <c r="D78" s="133">
        <v>14.99</v>
      </c>
      <c r="E78" s="133">
        <v>7.88</v>
      </c>
      <c r="F78" s="133">
        <v>7.16</v>
      </c>
      <c r="G78" s="133">
        <v>26.27</v>
      </c>
      <c r="H78" s="133">
        <v>14.05</v>
      </c>
      <c r="I78" s="133">
        <v>3.8</v>
      </c>
      <c r="J78" s="133">
        <v>0.15</v>
      </c>
      <c r="K78" s="133">
        <v>158.47</v>
      </c>
      <c r="L78" s="133">
        <v>28.06</v>
      </c>
      <c r="M78" s="133">
        <v>63.51</v>
      </c>
      <c r="N78" s="133">
        <v>0</v>
      </c>
      <c r="O78" s="133">
        <v>0</v>
      </c>
      <c r="P78" s="133">
        <v>0.43</v>
      </c>
      <c r="Q78" s="133">
        <v>5.04</v>
      </c>
    </row>
    <row r="79" spans="1:17" customFormat="1">
      <c r="A79" s="111" t="s">
        <v>1748</v>
      </c>
      <c r="B79" s="133">
        <v>6</v>
      </c>
      <c r="C79" s="133">
        <v>17.350000000000001</v>
      </c>
      <c r="D79" s="133">
        <v>15.23</v>
      </c>
      <c r="E79" s="133">
        <v>8.4700000000000006</v>
      </c>
      <c r="F79" s="133">
        <v>6.73</v>
      </c>
      <c r="G79" s="133">
        <v>26.27</v>
      </c>
      <c r="H79" s="133">
        <v>14.05</v>
      </c>
      <c r="I79" s="133">
        <v>3.85</v>
      </c>
      <c r="J79" s="133">
        <v>0.16</v>
      </c>
      <c r="K79" s="133">
        <v>159.04</v>
      </c>
      <c r="L79" s="133">
        <v>27.45</v>
      </c>
      <c r="M79" s="133">
        <v>66.16</v>
      </c>
      <c r="N79" s="133">
        <v>0</v>
      </c>
      <c r="O79" s="133">
        <v>0</v>
      </c>
      <c r="P79" s="133">
        <v>0.43</v>
      </c>
      <c r="Q79" s="133">
        <v>5.0599999999999996</v>
      </c>
    </row>
    <row r="80" spans="1:17" customFormat="1">
      <c r="A80" s="111" t="s">
        <v>1749</v>
      </c>
      <c r="B80" s="133">
        <v>6.24</v>
      </c>
      <c r="C80" s="133">
        <v>17.14</v>
      </c>
      <c r="D80" s="133">
        <v>15.31</v>
      </c>
      <c r="E80" s="133">
        <v>7.99</v>
      </c>
      <c r="F80" s="133">
        <v>8.09</v>
      </c>
      <c r="G80" s="133">
        <v>28.73</v>
      </c>
      <c r="H80" s="133">
        <v>14.56</v>
      </c>
      <c r="I80" s="133">
        <v>3.97</v>
      </c>
      <c r="J80" s="133">
        <v>0.12</v>
      </c>
      <c r="K80" s="133">
        <v>209.72</v>
      </c>
      <c r="L80" s="133">
        <v>26.99</v>
      </c>
      <c r="M80" s="133">
        <v>66.27</v>
      </c>
      <c r="N80" s="133">
        <v>0</v>
      </c>
      <c r="O80" s="133">
        <v>0</v>
      </c>
      <c r="P80" s="133">
        <v>0.44</v>
      </c>
      <c r="Q80" s="133">
        <v>5.03</v>
      </c>
    </row>
    <row r="81" spans="1:17" customFormat="1">
      <c r="A81" s="111" t="s">
        <v>1750</v>
      </c>
      <c r="B81" s="133">
        <v>6.53</v>
      </c>
      <c r="C81" s="133">
        <v>17.18</v>
      </c>
      <c r="D81" s="133">
        <v>15.56</v>
      </c>
      <c r="E81" s="133">
        <v>6.14</v>
      </c>
      <c r="F81" s="133">
        <v>6.81</v>
      </c>
      <c r="G81" s="133">
        <v>42.13</v>
      </c>
      <c r="H81" s="133">
        <v>16.670000000000002</v>
      </c>
      <c r="I81" s="133">
        <v>4</v>
      </c>
      <c r="J81" s="133">
        <v>0.12</v>
      </c>
      <c r="K81" s="133">
        <v>167.21</v>
      </c>
      <c r="L81" s="133">
        <v>26.7</v>
      </c>
      <c r="M81" s="133">
        <v>67.56</v>
      </c>
      <c r="N81" s="133">
        <v>0</v>
      </c>
      <c r="O81" s="133">
        <v>0</v>
      </c>
      <c r="P81" s="133">
        <v>0.44</v>
      </c>
      <c r="Q81" s="133">
        <v>5.04</v>
      </c>
    </row>
    <row r="82" spans="1:17" customFormat="1">
      <c r="A82" s="111" t="s">
        <v>1751</v>
      </c>
      <c r="B82" s="133">
        <v>6.89</v>
      </c>
      <c r="C82" s="133">
        <v>18.170000000000002</v>
      </c>
      <c r="D82" s="133">
        <v>16.37</v>
      </c>
      <c r="E82" s="133">
        <v>6.39</v>
      </c>
      <c r="F82" s="133">
        <v>6.25</v>
      </c>
      <c r="G82" s="133">
        <v>42.13</v>
      </c>
      <c r="H82" s="133">
        <v>16.670000000000002</v>
      </c>
      <c r="I82" s="133">
        <v>3.99</v>
      </c>
      <c r="J82" s="133">
        <v>0.11</v>
      </c>
      <c r="K82" s="133">
        <v>216.58</v>
      </c>
      <c r="L82" s="133">
        <v>26.44</v>
      </c>
      <c r="M82" s="133">
        <v>71.349999999999994</v>
      </c>
      <c r="N82" s="133">
        <v>0</v>
      </c>
      <c r="O82" s="133">
        <v>0</v>
      </c>
      <c r="P82" s="133">
        <v>0.44</v>
      </c>
      <c r="Q82" s="133">
        <v>5.05</v>
      </c>
    </row>
    <row r="83" spans="1:17" customFormat="1">
      <c r="A83" s="111" t="s">
        <v>1752</v>
      </c>
      <c r="B83" s="133">
        <v>7.39</v>
      </c>
      <c r="C83" s="133">
        <v>19.97</v>
      </c>
      <c r="D83" s="133">
        <v>17.71</v>
      </c>
      <c r="E83" s="133">
        <v>6.94</v>
      </c>
      <c r="F83" s="133">
        <v>3.62</v>
      </c>
      <c r="G83" s="133">
        <v>42.13</v>
      </c>
      <c r="H83" s="133">
        <v>16.670000000000002</v>
      </c>
      <c r="I83" s="133">
        <v>4.04</v>
      </c>
      <c r="J83" s="133">
        <v>0.14000000000000001</v>
      </c>
      <c r="K83" s="133">
        <v>209.24</v>
      </c>
      <c r="L83" s="133">
        <v>26.28</v>
      </c>
      <c r="M83" s="133">
        <v>70.569999999999993</v>
      </c>
      <c r="N83" s="133">
        <v>0</v>
      </c>
      <c r="O83" s="133">
        <v>0</v>
      </c>
      <c r="P83" s="133">
        <v>0.47</v>
      </c>
      <c r="Q83" s="133">
        <v>5.05</v>
      </c>
    </row>
    <row r="84" spans="1:17" customFormat="1">
      <c r="A84" s="111" t="s">
        <v>1753</v>
      </c>
      <c r="B84" s="133">
        <v>7.71</v>
      </c>
      <c r="C84" s="133">
        <v>19.27</v>
      </c>
      <c r="D84" s="133">
        <v>17.61</v>
      </c>
      <c r="E84" s="133">
        <v>6.77</v>
      </c>
      <c r="F84" s="133">
        <v>4.8499999999999996</v>
      </c>
      <c r="G84" s="133">
        <v>43.03</v>
      </c>
      <c r="H84" s="133">
        <v>16.96</v>
      </c>
      <c r="I84" s="133">
        <v>4.0999999999999996</v>
      </c>
      <c r="J84" s="133">
        <v>0.13</v>
      </c>
      <c r="K84" s="133">
        <v>174.79</v>
      </c>
      <c r="L84" s="133">
        <v>26.2</v>
      </c>
      <c r="M84" s="133">
        <v>70.959999999999994</v>
      </c>
      <c r="N84" s="133">
        <v>0</v>
      </c>
      <c r="O84" s="133">
        <v>0</v>
      </c>
      <c r="P84" s="133">
        <v>0.47</v>
      </c>
      <c r="Q84" s="133">
        <v>5.09</v>
      </c>
    </row>
    <row r="85" spans="1:17" customFormat="1">
      <c r="A85" s="111" t="s">
        <v>1754</v>
      </c>
      <c r="B85" s="133">
        <v>7.84</v>
      </c>
      <c r="C85" s="133">
        <v>19.28</v>
      </c>
      <c r="D85" s="133">
        <v>17.71</v>
      </c>
      <c r="E85" s="133">
        <v>7.14</v>
      </c>
      <c r="F85" s="133">
        <v>4.8600000000000003</v>
      </c>
      <c r="G85" s="133">
        <v>47.97</v>
      </c>
      <c r="H85" s="133">
        <v>18.489999999999998</v>
      </c>
      <c r="I85" s="133">
        <v>4.22</v>
      </c>
      <c r="J85" s="133">
        <v>0.15</v>
      </c>
      <c r="K85" s="133">
        <v>167.26</v>
      </c>
      <c r="L85" s="133">
        <v>26.02</v>
      </c>
      <c r="M85" s="133">
        <v>75.040000000000006</v>
      </c>
      <c r="N85" s="133">
        <v>0</v>
      </c>
      <c r="O85" s="133">
        <v>0</v>
      </c>
      <c r="P85" s="133">
        <v>0.48</v>
      </c>
      <c r="Q85" s="133">
        <v>5.12</v>
      </c>
    </row>
    <row r="86" spans="1:17" customFormat="1">
      <c r="A86" s="111" t="s">
        <v>1755</v>
      </c>
      <c r="B86" s="133">
        <v>8.2799999999999994</v>
      </c>
      <c r="C86" s="133">
        <v>20.89</v>
      </c>
      <c r="D86" s="133">
        <v>18.899999999999999</v>
      </c>
      <c r="E86" s="133">
        <v>6.95</v>
      </c>
      <c r="F86" s="133">
        <v>3.1</v>
      </c>
      <c r="G86" s="133">
        <v>47.97</v>
      </c>
      <c r="H86" s="133">
        <v>18.489999999999998</v>
      </c>
      <c r="I86" s="133">
        <v>4.3099999999999996</v>
      </c>
      <c r="J86" s="133">
        <v>0.14000000000000001</v>
      </c>
      <c r="K86" s="133">
        <v>168.68</v>
      </c>
      <c r="L86" s="133">
        <v>25.71</v>
      </c>
      <c r="M86" s="133">
        <v>80.099999999999994</v>
      </c>
      <c r="N86" s="133">
        <v>0</v>
      </c>
      <c r="O86" s="133">
        <v>0</v>
      </c>
      <c r="P86" s="133">
        <v>0.5</v>
      </c>
      <c r="Q86" s="133">
        <v>5.16</v>
      </c>
    </row>
    <row r="87" spans="1:17" customFormat="1">
      <c r="A87" s="111" t="s">
        <v>1756</v>
      </c>
      <c r="B87" s="133">
        <v>8.6199999999999992</v>
      </c>
      <c r="C87" s="133">
        <v>20.29</v>
      </c>
      <c r="D87" s="133">
        <v>18.87</v>
      </c>
      <c r="E87" s="133">
        <v>7.12</v>
      </c>
      <c r="F87" s="133">
        <v>3.11</v>
      </c>
      <c r="G87" s="133">
        <v>47.97</v>
      </c>
      <c r="H87" s="133">
        <v>18.489999999999998</v>
      </c>
      <c r="I87" s="133">
        <v>4.4000000000000004</v>
      </c>
      <c r="J87" s="133">
        <v>0.12</v>
      </c>
      <c r="K87" s="133">
        <v>177.04</v>
      </c>
      <c r="L87" s="133">
        <v>25.61</v>
      </c>
      <c r="M87" s="133">
        <v>79.69</v>
      </c>
      <c r="N87" s="133">
        <v>0</v>
      </c>
      <c r="O87" s="133">
        <v>0</v>
      </c>
      <c r="P87" s="133">
        <v>0.5</v>
      </c>
      <c r="Q87" s="133">
        <v>5.19</v>
      </c>
    </row>
    <row r="88" spans="1:17" customFormat="1">
      <c r="A88" s="111" t="s">
        <v>1757</v>
      </c>
      <c r="B88" s="133">
        <v>8.8800000000000008</v>
      </c>
      <c r="C88" s="133">
        <v>19.72</v>
      </c>
      <c r="D88" s="133">
        <v>18.77</v>
      </c>
      <c r="E88" s="133">
        <v>7.45</v>
      </c>
      <c r="F88" s="133">
        <v>3.01</v>
      </c>
      <c r="G88" s="133">
        <v>48.38</v>
      </c>
      <c r="H88" s="133">
        <v>18.239999999999998</v>
      </c>
      <c r="I88" s="133">
        <v>4.47</v>
      </c>
      <c r="J88" s="133">
        <v>0.09</v>
      </c>
      <c r="K88" s="133">
        <v>168.14</v>
      </c>
      <c r="L88" s="133">
        <v>25.25</v>
      </c>
      <c r="M88" s="133">
        <v>80.489999999999995</v>
      </c>
      <c r="N88" s="133">
        <v>0</v>
      </c>
      <c r="O88" s="133">
        <v>0</v>
      </c>
      <c r="P88" s="133">
        <v>0.53</v>
      </c>
      <c r="Q88" s="133">
        <v>5.19</v>
      </c>
    </row>
    <row r="89" spans="1:17" customFormat="1">
      <c r="A89" s="111" t="s">
        <v>1758</v>
      </c>
      <c r="B89" s="133">
        <v>8.8000000000000007</v>
      </c>
      <c r="C89" s="133">
        <v>20.350000000000001</v>
      </c>
      <c r="D89" s="133">
        <v>19.04</v>
      </c>
      <c r="E89" s="133">
        <v>6.78</v>
      </c>
      <c r="F89" s="133">
        <v>2.99</v>
      </c>
      <c r="G89" s="133">
        <v>50.61</v>
      </c>
      <c r="H89" s="133">
        <v>17.2</v>
      </c>
      <c r="I89" s="133">
        <v>4.59</v>
      </c>
      <c r="J89" s="133">
        <v>0.13</v>
      </c>
      <c r="K89" s="133">
        <v>156.16999999999999</v>
      </c>
      <c r="L89" s="133">
        <v>25.17</v>
      </c>
      <c r="M89" s="133">
        <v>81.34</v>
      </c>
      <c r="N89" s="133">
        <v>0</v>
      </c>
      <c r="O89" s="133">
        <v>0</v>
      </c>
      <c r="P89" s="133">
        <v>0.55000000000000004</v>
      </c>
      <c r="Q89" s="133">
        <v>5.18</v>
      </c>
    </row>
    <row r="90" spans="1:17" customFormat="1">
      <c r="A90" s="111" t="s">
        <v>1759</v>
      </c>
      <c r="B90" s="133">
        <v>8.9600000000000009</v>
      </c>
      <c r="C90" s="133">
        <v>20.98</v>
      </c>
      <c r="D90" s="133">
        <v>19.5</v>
      </c>
      <c r="E90" s="133">
        <v>6.61</v>
      </c>
      <c r="F90" s="133">
        <v>2.88</v>
      </c>
      <c r="G90" s="133">
        <v>50.61</v>
      </c>
      <c r="H90" s="133">
        <v>17.2</v>
      </c>
      <c r="I90" s="133">
        <v>4.71</v>
      </c>
      <c r="J90" s="133">
        <v>0.12</v>
      </c>
      <c r="K90" s="133">
        <v>169.25</v>
      </c>
      <c r="L90" s="133">
        <v>25.07</v>
      </c>
      <c r="M90" s="133">
        <v>79.56</v>
      </c>
      <c r="N90" s="133">
        <v>0</v>
      </c>
      <c r="O90" s="133">
        <v>0</v>
      </c>
      <c r="P90" s="133">
        <v>0.57999999999999996</v>
      </c>
      <c r="Q90" s="133">
        <v>5.18</v>
      </c>
    </row>
    <row r="91" spans="1:17" customFormat="1">
      <c r="A91" s="111" t="s">
        <v>1760</v>
      </c>
      <c r="B91" s="133">
        <v>8.9499999999999993</v>
      </c>
      <c r="C91" s="133">
        <v>21.69</v>
      </c>
      <c r="D91" s="133">
        <v>19.86</v>
      </c>
      <c r="E91" s="133">
        <v>6.63</v>
      </c>
      <c r="F91" s="133">
        <v>3.05</v>
      </c>
      <c r="G91" s="133">
        <v>50.61</v>
      </c>
      <c r="H91" s="133">
        <v>17.2</v>
      </c>
      <c r="I91" s="133">
        <v>4.84</v>
      </c>
      <c r="J91" s="133">
        <v>0.09</v>
      </c>
      <c r="K91" s="133">
        <v>185.9</v>
      </c>
      <c r="L91" s="133">
        <v>24.91</v>
      </c>
      <c r="M91" s="133">
        <v>79.12</v>
      </c>
      <c r="N91" s="133">
        <v>0</v>
      </c>
      <c r="O91" s="133">
        <v>0</v>
      </c>
      <c r="P91" s="133">
        <v>0.59</v>
      </c>
      <c r="Q91" s="133">
        <v>5.18</v>
      </c>
    </row>
    <row r="92" spans="1:17" customFormat="1">
      <c r="A92" s="111" t="s">
        <v>1761</v>
      </c>
      <c r="B92" s="133">
        <v>9.01</v>
      </c>
      <c r="C92" s="133">
        <v>22.27</v>
      </c>
      <c r="D92" s="133">
        <v>20.21</v>
      </c>
      <c r="E92" s="133">
        <v>6.38</v>
      </c>
      <c r="F92" s="133">
        <v>3.04</v>
      </c>
      <c r="G92" s="133">
        <v>50.76</v>
      </c>
      <c r="H92" s="133">
        <v>17.399999999999999</v>
      </c>
      <c r="I92" s="133">
        <v>4.92</v>
      </c>
      <c r="J92" s="133">
        <v>0.14000000000000001</v>
      </c>
      <c r="K92" s="133">
        <v>161.78</v>
      </c>
      <c r="L92" s="133">
        <v>24.82</v>
      </c>
      <c r="M92" s="133">
        <v>81.66</v>
      </c>
      <c r="N92" s="133">
        <v>0</v>
      </c>
      <c r="O92" s="133">
        <v>0</v>
      </c>
      <c r="P92" s="133">
        <v>0.59</v>
      </c>
      <c r="Q92" s="133">
        <v>5.22</v>
      </c>
    </row>
    <row r="93" spans="1:17" customFormat="1">
      <c r="A93" s="111" t="s">
        <v>1762</v>
      </c>
      <c r="B93" s="133">
        <v>9.2200000000000006</v>
      </c>
      <c r="C93" s="133">
        <v>22.46</v>
      </c>
      <c r="D93" s="133">
        <v>20.48</v>
      </c>
      <c r="E93" s="133">
        <v>6.8</v>
      </c>
      <c r="F93" s="133">
        <v>3.04</v>
      </c>
      <c r="G93" s="133">
        <v>51.56</v>
      </c>
      <c r="H93" s="133">
        <v>18.21</v>
      </c>
      <c r="I93" s="133">
        <v>5.03</v>
      </c>
      <c r="J93" s="133">
        <v>0.17</v>
      </c>
      <c r="K93" s="133">
        <v>157.43</v>
      </c>
      <c r="L93" s="133">
        <v>24.66</v>
      </c>
      <c r="M93" s="133">
        <v>83.54</v>
      </c>
      <c r="N93" s="133">
        <v>0</v>
      </c>
      <c r="O93" s="133">
        <v>0</v>
      </c>
      <c r="P93" s="133">
        <v>0.61</v>
      </c>
      <c r="Q93" s="133">
        <v>5.24</v>
      </c>
    </row>
    <row r="94" spans="1:17" customFormat="1">
      <c r="A94" s="111" t="s">
        <v>1763</v>
      </c>
      <c r="B94" s="133">
        <v>9.4499999999999993</v>
      </c>
      <c r="C94" s="133">
        <v>22.97</v>
      </c>
      <c r="D94" s="133">
        <v>20.93</v>
      </c>
      <c r="E94" s="133">
        <v>6.39</v>
      </c>
      <c r="F94" s="133">
        <v>2.83</v>
      </c>
      <c r="G94" s="133">
        <v>51.56</v>
      </c>
      <c r="H94" s="133">
        <v>18.21</v>
      </c>
      <c r="I94" s="133">
        <v>5.08</v>
      </c>
      <c r="J94" s="133">
        <v>0.2</v>
      </c>
      <c r="K94" s="133">
        <v>158.85</v>
      </c>
      <c r="L94" s="133">
        <v>24.64</v>
      </c>
      <c r="M94" s="133">
        <v>82.17</v>
      </c>
      <c r="N94" s="133">
        <v>0</v>
      </c>
      <c r="O94" s="133">
        <v>0</v>
      </c>
      <c r="P94" s="133">
        <v>0.62</v>
      </c>
      <c r="Q94" s="133">
        <v>5.26</v>
      </c>
    </row>
    <row r="95" spans="1:17" customFormat="1">
      <c r="A95" s="111" t="s">
        <v>1764</v>
      </c>
      <c r="B95" s="133">
        <v>9.58</v>
      </c>
      <c r="C95" s="133">
        <v>23.35</v>
      </c>
      <c r="D95" s="133">
        <v>21.23</v>
      </c>
      <c r="E95" s="133">
        <v>6.87</v>
      </c>
      <c r="F95" s="133">
        <v>2.77</v>
      </c>
      <c r="G95" s="133">
        <v>51.56</v>
      </c>
      <c r="H95" s="133">
        <v>18.21</v>
      </c>
      <c r="I95" s="133">
        <v>5.17</v>
      </c>
      <c r="J95" s="133">
        <v>0.18</v>
      </c>
      <c r="K95" s="133">
        <v>158.41</v>
      </c>
      <c r="L95" s="133">
        <v>24.68</v>
      </c>
      <c r="M95" s="133">
        <v>78.09</v>
      </c>
      <c r="N95" s="133">
        <v>0</v>
      </c>
      <c r="O95" s="133">
        <v>0</v>
      </c>
      <c r="P95" s="133">
        <v>0.63</v>
      </c>
      <c r="Q95" s="133">
        <v>5.29</v>
      </c>
    </row>
    <row r="96" spans="1:17" customFormat="1">
      <c r="A96" s="111" t="s">
        <v>1765</v>
      </c>
      <c r="B96" s="133">
        <v>9.74</v>
      </c>
      <c r="C96" s="133">
        <v>23.72</v>
      </c>
      <c r="D96" s="133">
        <v>21.56</v>
      </c>
      <c r="E96" s="133">
        <v>6.42</v>
      </c>
      <c r="F96" s="133">
        <v>2.77</v>
      </c>
      <c r="G96" s="133">
        <v>51.09</v>
      </c>
      <c r="H96" s="133">
        <v>18.45</v>
      </c>
      <c r="I96" s="133">
        <v>5.23</v>
      </c>
      <c r="J96" s="133">
        <v>0.11</v>
      </c>
      <c r="K96" s="133">
        <v>215.97</v>
      </c>
      <c r="L96" s="133">
        <v>24.51</v>
      </c>
      <c r="M96" s="133">
        <v>78.64</v>
      </c>
      <c r="N96" s="133">
        <v>0</v>
      </c>
      <c r="O96" s="133">
        <v>0</v>
      </c>
      <c r="P96" s="133">
        <v>0.64</v>
      </c>
      <c r="Q96" s="133">
        <v>5.31</v>
      </c>
    </row>
    <row r="97" spans="1:22" customFormat="1">
      <c r="A97" s="111" t="s">
        <v>1766</v>
      </c>
      <c r="B97" s="133">
        <v>9.84</v>
      </c>
      <c r="C97" s="133">
        <v>24.01</v>
      </c>
      <c r="D97" s="133">
        <v>21.79</v>
      </c>
      <c r="E97" s="133">
        <v>6.7</v>
      </c>
      <c r="F97" s="133">
        <v>2.66</v>
      </c>
      <c r="G97" s="133">
        <v>48.56</v>
      </c>
      <c r="H97" s="133">
        <v>19.440000000000001</v>
      </c>
      <c r="I97" s="133">
        <v>5.35</v>
      </c>
      <c r="J97" s="133">
        <v>0.12</v>
      </c>
      <c r="K97" s="133">
        <v>163.43</v>
      </c>
      <c r="L97" s="133">
        <v>24.45</v>
      </c>
      <c r="M97" s="133">
        <v>84.82</v>
      </c>
      <c r="N97" s="133">
        <v>0</v>
      </c>
      <c r="O97" s="133">
        <v>0</v>
      </c>
      <c r="P97" s="133">
        <v>0.64</v>
      </c>
      <c r="Q97" s="133">
        <v>5.33</v>
      </c>
    </row>
    <row r="98" spans="1:22" customFormat="1">
      <c r="A98" s="111" t="s">
        <v>1767</v>
      </c>
      <c r="B98" s="133">
        <v>10.14</v>
      </c>
      <c r="C98" s="133">
        <v>24.3</v>
      </c>
      <c r="D98" s="133">
        <v>22.18</v>
      </c>
      <c r="E98" s="133">
        <v>6.73</v>
      </c>
      <c r="F98" s="133">
        <v>2.6</v>
      </c>
      <c r="G98" s="133">
        <v>48.56</v>
      </c>
      <c r="H98" s="133">
        <v>19.440000000000001</v>
      </c>
      <c r="I98" s="133">
        <v>5.41</v>
      </c>
      <c r="J98" s="133">
        <v>0.14000000000000001</v>
      </c>
      <c r="K98" s="133">
        <v>177.06</v>
      </c>
      <c r="L98" s="133">
        <v>24.31</v>
      </c>
      <c r="M98" s="133">
        <v>84.12</v>
      </c>
      <c r="N98" s="133">
        <v>0</v>
      </c>
      <c r="O98" s="133">
        <v>0</v>
      </c>
      <c r="P98" s="133">
        <v>0.65</v>
      </c>
      <c r="Q98" s="133">
        <v>5.33</v>
      </c>
    </row>
    <row r="99" spans="1:22" customFormat="1">
      <c r="A99" s="111" t="s">
        <v>1768</v>
      </c>
      <c r="B99" s="133">
        <v>10.39</v>
      </c>
      <c r="C99" s="133">
        <v>24.41</v>
      </c>
      <c r="D99" s="133">
        <v>22.44</v>
      </c>
      <c r="E99" s="133">
        <v>6.74</v>
      </c>
      <c r="F99" s="133">
        <v>2.5</v>
      </c>
      <c r="G99" s="133">
        <v>48.56</v>
      </c>
      <c r="H99" s="133">
        <v>19.440000000000001</v>
      </c>
      <c r="I99" s="133">
        <v>5.52</v>
      </c>
      <c r="J99" s="133">
        <v>0.17</v>
      </c>
      <c r="K99" s="133">
        <v>234.33</v>
      </c>
      <c r="L99" s="133">
        <v>24.14</v>
      </c>
      <c r="M99" s="133">
        <v>85.91</v>
      </c>
      <c r="N99" s="133">
        <v>0</v>
      </c>
      <c r="O99" s="133">
        <v>0</v>
      </c>
      <c r="P99" s="133">
        <v>0.65</v>
      </c>
      <c r="Q99" s="133">
        <v>5.36</v>
      </c>
    </row>
    <row r="100" spans="1:22" customFormat="1">
      <c r="A100" s="111" t="s">
        <v>1769</v>
      </c>
      <c r="B100" s="133">
        <v>10.56</v>
      </c>
      <c r="C100" s="133">
        <v>24.88</v>
      </c>
      <c r="D100" s="133">
        <v>22.82</v>
      </c>
      <c r="E100" s="133">
        <v>6.75</v>
      </c>
      <c r="F100" s="133">
        <v>2.52</v>
      </c>
      <c r="G100" s="133">
        <v>48.59</v>
      </c>
      <c r="H100" s="133">
        <v>19.510000000000002</v>
      </c>
      <c r="I100" s="133">
        <v>5.57</v>
      </c>
      <c r="J100" s="133">
        <v>0.17</v>
      </c>
      <c r="K100" s="133">
        <v>235.05</v>
      </c>
      <c r="L100" s="133">
        <v>23.77</v>
      </c>
      <c r="M100" s="133">
        <v>83.37</v>
      </c>
      <c r="N100" s="133">
        <v>0</v>
      </c>
      <c r="O100" s="133">
        <v>0</v>
      </c>
      <c r="P100" s="133">
        <v>0.65</v>
      </c>
      <c r="Q100" s="133">
        <v>5.38</v>
      </c>
    </row>
    <row r="101" spans="1:22" customFormat="1">
      <c r="A101" s="111" t="s">
        <v>1770</v>
      </c>
      <c r="B101" s="133">
        <v>10.82</v>
      </c>
      <c r="C101" s="133">
        <v>25.27</v>
      </c>
      <c r="D101" s="133">
        <v>23.23</v>
      </c>
      <c r="E101" s="133">
        <v>7</v>
      </c>
      <c r="F101" s="133">
        <v>2.36</v>
      </c>
      <c r="G101" s="133">
        <v>48.79</v>
      </c>
      <c r="H101" s="133">
        <v>19.78</v>
      </c>
      <c r="I101" s="133">
        <v>5.66</v>
      </c>
      <c r="J101" s="133">
        <v>0.11</v>
      </c>
      <c r="K101" s="133">
        <v>194.43</v>
      </c>
      <c r="L101" s="133">
        <v>23.7</v>
      </c>
      <c r="M101" s="133">
        <v>87.26</v>
      </c>
      <c r="N101" s="133">
        <v>0</v>
      </c>
      <c r="O101" s="133">
        <v>0</v>
      </c>
      <c r="P101" s="133">
        <v>0.66</v>
      </c>
      <c r="Q101" s="133">
        <v>5.39</v>
      </c>
    </row>
    <row r="102" spans="1:22" customFormat="1">
      <c r="A102" s="111" t="s">
        <v>1771</v>
      </c>
      <c r="B102" s="133">
        <v>11.07</v>
      </c>
      <c r="C102" s="133">
        <v>25.28</v>
      </c>
      <c r="D102" s="133">
        <v>23.44</v>
      </c>
      <c r="E102" s="133">
        <v>6.79</v>
      </c>
      <c r="F102" s="133">
        <v>2.44</v>
      </c>
      <c r="G102" s="133">
        <v>48.79</v>
      </c>
      <c r="H102" s="133">
        <v>19.78</v>
      </c>
      <c r="I102" s="133">
        <v>5.7</v>
      </c>
      <c r="J102" s="133">
        <v>0.14000000000000001</v>
      </c>
      <c r="K102" s="133">
        <v>159.33000000000001</v>
      </c>
      <c r="L102" s="133">
        <v>23.53</v>
      </c>
      <c r="M102" s="133">
        <v>90.98</v>
      </c>
      <c r="N102" s="133">
        <v>0</v>
      </c>
      <c r="O102" s="133">
        <v>0</v>
      </c>
      <c r="P102" s="133">
        <v>0.66</v>
      </c>
      <c r="Q102" s="133">
        <v>5.41</v>
      </c>
    </row>
    <row r="103" spans="1:22" customFormat="1">
      <c r="A103" s="111" t="s">
        <v>1772</v>
      </c>
      <c r="B103" s="133">
        <v>11.18</v>
      </c>
      <c r="C103" s="133">
        <v>25.37</v>
      </c>
      <c r="D103" s="133">
        <v>23.58</v>
      </c>
      <c r="E103" s="133">
        <v>6.92</v>
      </c>
      <c r="F103" s="133">
        <v>2.48</v>
      </c>
      <c r="G103" s="133">
        <v>48.79</v>
      </c>
      <c r="H103" s="133">
        <v>19.78</v>
      </c>
      <c r="I103" s="133">
        <v>5.77</v>
      </c>
      <c r="J103" s="133">
        <v>0.13</v>
      </c>
      <c r="K103" s="133">
        <v>208.37</v>
      </c>
      <c r="L103" s="133">
        <v>23.49</v>
      </c>
      <c r="M103" s="133">
        <v>89.86</v>
      </c>
      <c r="N103" s="133">
        <v>0</v>
      </c>
      <c r="O103" s="133">
        <v>0</v>
      </c>
      <c r="P103" s="133">
        <v>0.68</v>
      </c>
      <c r="Q103" s="133">
        <v>5.43</v>
      </c>
    </row>
    <row r="104" spans="1:22" customFormat="1">
      <c r="A104" s="111" t="s">
        <v>1773</v>
      </c>
      <c r="B104" s="133">
        <v>11.41</v>
      </c>
      <c r="C104" s="133">
        <v>25.49</v>
      </c>
      <c r="D104" s="133">
        <v>23.82</v>
      </c>
      <c r="E104" s="133">
        <v>6.89</v>
      </c>
      <c r="F104" s="133">
        <v>2.5499999999999998</v>
      </c>
      <c r="G104" s="133">
        <v>49.38</v>
      </c>
      <c r="H104" s="133">
        <v>20.12</v>
      </c>
      <c r="I104" s="133">
        <v>5.86</v>
      </c>
      <c r="J104" s="133">
        <v>0.11</v>
      </c>
      <c r="K104" s="133">
        <v>173.33</v>
      </c>
      <c r="L104" s="133">
        <v>23.38</v>
      </c>
      <c r="M104" s="133">
        <v>91.11</v>
      </c>
      <c r="N104" s="133">
        <v>0</v>
      </c>
      <c r="O104" s="133">
        <v>0</v>
      </c>
      <c r="P104" s="133">
        <v>0.68</v>
      </c>
      <c r="Q104" s="133">
        <v>5.45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5.27</v>
      </c>
      <c r="C106" s="183">
        <f>MIN(C9:C104)</f>
        <v>16.899999999999999</v>
      </c>
      <c r="D106" s="183">
        <f t="shared" ref="D106:Q106" si="0">MIN(D9:D104)</f>
        <v>14.61</v>
      </c>
      <c r="E106" s="183">
        <f t="shared" si="0"/>
        <v>5.48</v>
      </c>
      <c r="F106" s="183">
        <f t="shared" si="0"/>
        <v>2.2400000000000002</v>
      </c>
      <c r="G106" s="183">
        <f t="shared" si="0"/>
        <v>26.27</v>
      </c>
      <c r="H106" s="183">
        <f t="shared" si="0"/>
        <v>12.55</v>
      </c>
      <c r="I106" s="183">
        <f t="shared" si="0"/>
        <v>3.8</v>
      </c>
      <c r="J106" s="183">
        <f t="shared" si="0"/>
        <v>0.06</v>
      </c>
      <c r="K106" s="183">
        <f t="shared" si="0"/>
        <v>43.84</v>
      </c>
      <c r="L106" s="183">
        <f t="shared" si="0"/>
        <v>21.55</v>
      </c>
      <c r="M106" s="183">
        <f t="shared" si="0"/>
        <v>35.58</v>
      </c>
      <c r="N106" s="183">
        <f t="shared" si="0"/>
        <v>0</v>
      </c>
      <c r="O106" s="183">
        <f t="shared" si="0"/>
        <v>0</v>
      </c>
      <c r="P106" s="183">
        <f t="shared" si="0"/>
        <v>0.43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16.86</v>
      </c>
      <c r="C107" s="184">
        <f t="shared" ref="C107:Q107" si="1">MAX(C9:C104)</f>
        <v>28.32</v>
      </c>
      <c r="D107" s="184">
        <f t="shared" si="1"/>
        <v>28.42</v>
      </c>
      <c r="E107" s="184">
        <f t="shared" si="1"/>
        <v>8.5500000000000007</v>
      </c>
      <c r="F107" s="184">
        <f t="shared" si="1"/>
        <v>10.07</v>
      </c>
      <c r="G107" s="184">
        <f t="shared" si="1"/>
        <v>51.56</v>
      </c>
      <c r="H107" s="184">
        <f t="shared" si="1"/>
        <v>21.33</v>
      </c>
      <c r="I107" s="184">
        <f t="shared" si="1"/>
        <v>6.52</v>
      </c>
      <c r="J107" s="184">
        <f t="shared" si="1"/>
        <v>0.46</v>
      </c>
      <c r="K107" s="184">
        <f t="shared" si="1"/>
        <v>268.58999999999997</v>
      </c>
      <c r="L107" s="184">
        <f t="shared" si="1"/>
        <v>34.1</v>
      </c>
      <c r="M107" s="184">
        <f t="shared" si="1"/>
        <v>97.29</v>
      </c>
      <c r="N107" s="184">
        <f t="shared" si="1"/>
        <v>715</v>
      </c>
      <c r="O107" s="184">
        <f t="shared" si="1"/>
        <v>0</v>
      </c>
      <c r="P107" s="184">
        <f t="shared" si="1"/>
        <v>0.68</v>
      </c>
      <c r="Q107" s="184">
        <f t="shared" si="1"/>
        <v>5.74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10.61875</v>
      </c>
      <c r="C108" s="183">
        <f t="shared" ref="C108:Q108" si="2">AVERAGE(C9:C104)</f>
        <v>22.930312500000003</v>
      </c>
      <c r="D108" s="183">
        <f t="shared" si="2"/>
        <v>21.84760416666666</v>
      </c>
      <c r="E108" s="183">
        <f t="shared" si="2"/>
        <v>7.0216666666666674</v>
      </c>
      <c r="F108" s="183">
        <f t="shared" si="2"/>
        <v>3.9026041666666678</v>
      </c>
      <c r="G108" s="183">
        <f t="shared" si="2"/>
        <v>41.389791666666682</v>
      </c>
      <c r="H108" s="183">
        <f t="shared" si="2"/>
        <v>17.797812500000006</v>
      </c>
      <c r="I108" s="183">
        <f t="shared" si="2"/>
        <v>5.365729166666668</v>
      </c>
      <c r="J108" s="183">
        <f t="shared" si="2"/>
        <v>0.17854166666666668</v>
      </c>
      <c r="K108" s="183">
        <f t="shared" si="2"/>
        <v>183.30114583333338</v>
      </c>
      <c r="L108" s="183">
        <f t="shared" si="2"/>
        <v>26.925104166666667</v>
      </c>
      <c r="M108" s="183">
        <f t="shared" si="2"/>
        <v>70.501979166666672</v>
      </c>
      <c r="N108" s="183">
        <f t="shared" si="2"/>
        <v>164.87395833333335</v>
      </c>
      <c r="O108" s="183">
        <f t="shared" si="2"/>
        <v>0</v>
      </c>
      <c r="P108" s="183">
        <f t="shared" si="2"/>
        <v>0.55697916666666625</v>
      </c>
      <c r="Q108" s="183">
        <f t="shared" si="2"/>
        <v>5.3591666666666669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4.1472533079135632</v>
      </c>
      <c r="C109" s="183">
        <f t="shared" ref="C109:Q109" si="3">STDEV(C9:C104)</f>
        <v>3.0489917067174019</v>
      </c>
      <c r="D109" s="183">
        <f t="shared" si="3"/>
        <v>4.6066093809910695</v>
      </c>
      <c r="E109" s="183">
        <f t="shared" si="3"/>
        <v>0.75798440015423529</v>
      </c>
      <c r="F109" s="183">
        <f t="shared" si="3"/>
        <v>1.8235478691661327</v>
      </c>
      <c r="G109" s="183">
        <f t="shared" si="3"/>
        <v>7.6465181590145122</v>
      </c>
      <c r="H109" s="183">
        <f t="shared" si="3"/>
        <v>2.141630074265787</v>
      </c>
      <c r="I109" s="183">
        <f t="shared" si="3"/>
        <v>0.86551565985609258</v>
      </c>
      <c r="J109" s="183">
        <f t="shared" si="3"/>
        <v>9.0530357416919019E-2</v>
      </c>
      <c r="K109" s="183">
        <f t="shared" si="3"/>
        <v>35.146367660483179</v>
      </c>
      <c r="L109" s="183">
        <f t="shared" si="3"/>
        <v>4.203614733909423</v>
      </c>
      <c r="M109" s="183">
        <f t="shared" si="3"/>
        <v>20.355324177164441</v>
      </c>
      <c r="N109" s="183">
        <f t="shared" si="3"/>
        <v>253.69404168875781</v>
      </c>
      <c r="O109" s="183">
        <f t="shared" si="3"/>
        <v>0</v>
      </c>
      <c r="P109" s="183">
        <f t="shared" si="3"/>
        <v>7.4933230512824273E-2</v>
      </c>
      <c r="Q109" s="183">
        <f t="shared" si="3"/>
        <v>0.26988756593367308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17/10/2023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1774</v>
      </c>
      <c r="B9" s="133">
        <v>11.05</v>
      </c>
      <c r="C9" s="133">
        <v>25.14</v>
      </c>
      <c r="D9" s="133">
        <v>23.34</v>
      </c>
      <c r="E9" s="133">
        <v>6.95</v>
      </c>
      <c r="F9" s="133">
        <v>2.39</v>
      </c>
      <c r="G9" s="133">
        <v>52.56</v>
      </c>
      <c r="H9" s="133">
        <v>21.39</v>
      </c>
      <c r="I9" s="133">
        <v>5.94</v>
      </c>
      <c r="J9" s="133">
        <v>0.09</v>
      </c>
      <c r="K9" s="133">
        <v>203.7</v>
      </c>
      <c r="L9" s="133">
        <v>23.26</v>
      </c>
      <c r="M9" s="133">
        <v>91.13</v>
      </c>
      <c r="N9" s="133">
        <v>0</v>
      </c>
      <c r="O9" s="133">
        <v>0</v>
      </c>
      <c r="P9" s="133">
        <v>0.69</v>
      </c>
      <c r="Q9" s="133">
        <v>5.47</v>
      </c>
    </row>
    <row r="10" spans="1:21" customFormat="1">
      <c r="A10" s="111" t="s">
        <v>1775</v>
      </c>
      <c r="B10" s="133">
        <v>11.18</v>
      </c>
      <c r="C10" s="133">
        <v>25.51</v>
      </c>
      <c r="D10" s="133">
        <v>23.65</v>
      </c>
      <c r="E10" s="133">
        <v>7.32</v>
      </c>
      <c r="F10" s="133">
        <v>2.2599999999999998</v>
      </c>
      <c r="G10" s="133">
        <v>52.56</v>
      </c>
      <c r="H10" s="133">
        <v>21.39</v>
      </c>
      <c r="I10" s="133">
        <v>5.99</v>
      </c>
      <c r="J10" s="133">
        <v>0.13</v>
      </c>
      <c r="K10" s="133">
        <v>233.91</v>
      </c>
      <c r="L10" s="133">
        <v>23.02</v>
      </c>
      <c r="M10" s="133">
        <v>88.28</v>
      </c>
      <c r="N10" s="133">
        <v>0</v>
      </c>
      <c r="O10" s="133">
        <v>0</v>
      </c>
      <c r="P10" s="133">
        <v>0.69</v>
      </c>
      <c r="Q10" s="133">
        <v>5.5</v>
      </c>
    </row>
    <row r="11" spans="1:21" customFormat="1">
      <c r="A11" s="111" t="s">
        <v>1776</v>
      </c>
      <c r="B11" s="133">
        <v>11.13</v>
      </c>
      <c r="C11" s="133">
        <v>25.76</v>
      </c>
      <c r="D11" s="133">
        <v>23.74</v>
      </c>
      <c r="E11" s="133">
        <v>7.14</v>
      </c>
      <c r="F11" s="133">
        <v>2.5099999999999998</v>
      </c>
      <c r="G11" s="133">
        <v>52.56</v>
      </c>
      <c r="H11" s="133">
        <v>21.39</v>
      </c>
      <c r="I11" s="133">
        <v>6.05</v>
      </c>
      <c r="J11" s="133">
        <v>0.16</v>
      </c>
      <c r="K11" s="133">
        <v>251.49</v>
      </c>
      <c r="L11" s="133">
        <v>22.88</v>
      </c>
      <c r="M11" s="133">
        <v>87.41</v>
      </c>
      <c r="N11" s="133">
        <v>0</v>
      </c>
      <c r="O11" s="133">
        <v>0</v>
      </c>
      <c r="P11" s="133">
        <v>0.7</v>
      </c>
      <c r="Q11" s="133">
        <v>5.54</v>
      </c>
    </row>
    <row r="12" spans="1:21" customFormat="1">
      <c r="A12" s="111" t="s">
        <v>1777</v>
      </c>
      <c r="B12" s="133">
        <v>11.11</v>
      </c>
      <c r="C12" s="133">
        <v>26.31</v>
      </c>
      <c r="D12" s="133">
        <v>24.01</v>
      </c>
      <c r="E12" s="133">
        <v>7.77</v>
      </c>
      <c r="F12" s="133">
        <v>2.56</v>
      </c>
      <c r="G12" s="133">
        <v>51.85</v>
      </c>
      <c r="H12" s="133">
        <v>21.42</v>
      </c>
      <c r="I12" s="133">
        <v>6.14</v>
      </c>
      <c r="J12" s="133">
        <v>0.08</v>
      </c>
      <c r="K12" s="133">
        <v>185.86</v>
      </c>
      <c r="L12" s="133">
        <v>22.84</v>
      </c>
      <c r="M12" s="133">
        <v>87.14</v>
      </c>
      <c r="N12" s="133">
        <v>0</v>
      </c>
      <c r="O12" s="133">
        <v>0</v>
      </c>
      <c r="P12" s="133">
        <v>0.71</v>
      </c>
      <c r="Q12" s="133">
        <v>5.51</v>
      </c>
    </row>
    <row r="13" spans="1:21" customFormat="1">
      <c r="A13" s="111" t="s">
        <v>1778</v>
      </c>
      <c r="B13" s="133">
        <v>11.42</v>
      </c>
      <c r="C13" s="133">
        <v>26.94</v>
      </c>
      <c r="D13" s="133">
        <v>24.58</v>
      </c>
      <c r="E13" s="133">
        <v>7.87</v>
      </c>
      <c r="F13" s="133">
        <v>2.4900000000000002</v>
      </c>
      <c r="G13" s="133">
        <v>48.01</v>
      </c>
      <c r="H13" s="133">
        <v>21.55</v>
      </c>
      <c r="I13" s="133">
        <v>6.23</v>
      </c>
      <c r="J13" s="133">
        <v>0.12</v>
      </c>
      <c r="K13" s="133">
        <v>180.41</v>
      </c>
      <c r="L13" s="133">
        <v>22.9</v>
      </c>
      <c r="M13" s="133">
        <v>87.66</v>
      </c>
      <c r="N13" s="133">
        <v>0</v>
      </c>
      <c r="O13" s="133">
        <v>0</v>
      </c>
      <c r="P13" s="133">
        <v>0.71</v>
      </c>
      <c r="Q13" s="133">
        <v>5.49</v>
      </c>
    </row>
    <row r="14" spans="1:21" customFormat="1">
      <c r="A14" s="111" t="s">
        <v>1779</v>
      </c>
      <c r="B14" s="133">
        <v>11.81</v>
      </c>
      <c r="C14" s="133">
        <v>24.82</v>
      </c>
      <c r="D14" s="133">
        <v>23.79</v>
      </c>
      <c r="E14" s="133">
        <v>7.21</v>
      </c>
      <c r="F14" s="133">
        <v>2.85</v>
      </c>
      <c r="G14" s="133">
        <v>48.01</v>
      </c>
      <c r="H14" s="133">
        <v>21.55</v>
      </c>
      <c r="I14" s="133">
        <v>6.29</v>
      </c>
      <c r="J14" s="133">
        <v>0.08</v>
      </c>
      <c r="K14" s="133">
        <v>184.4</v>
      </c>
      <c r="L14" s="133">
        <v>22.67</v>
      </c>
      <c r="M14" s="133">
        <v>89.01</v>
      </c>
      <c r="N14" s="133">
        <v>0</v>
      </c>
      <c r="O14" s="133">
        <v>0</v>
      </c>
      <c r="P14" s="133">
        <v>0.69</v>
      </c>
      <c r="Q14" s="133">
        <v>5.51</v>
      </c>
    </row>
    <row r="15" spans="1:21" customFormat="1">
      <c r="A15" s="111" t="s">
        <v>1780</v>
      </c>
      <c r="B15" s="133">
        <v>12.1</v>
      </c>
      <c r="C15" s="133">
        <v>23.17</v>
      </c>
      <c r="D15" s="133">
        <v>23.16</v>
      </c>
      <c r="E15" s="133">
        <v>6.41</v>
      </c>
      <c r="F15" s="133">
        <v>2.91</v>
      </c>
      <c r="G15" s="133">
        <v>48.01</v>
      </c>
      <c r="H15" s="133">
        <v>21.55</v>
      </c>
      <c r="I15" s="133">
        <v>6.43</v>
      </c>
      <c r="J15" s="133">
        <v>0.09</v>
      </c>
      <c r="K15" s="133">
        <v>214.31</v>
      </c>
      <c r="L15" s="133">
        <v>22.59</v>
      </c>
      <c r="M15" s="133">
        <v>87.87</v>
      </c>
      <c r="N15" s="133">
        <v>0</v>
      </c>
      <c r="O15" s="133">
        <v>0</v>
      </c>
      <c r="P15" s="133">
        <v>0.68</v>
      </c>
      <c r="Q15" s="133">
        <v>5.49</v>
      </c>
    </row>
    <row r="16" spans="1:21" customFormat="1">
      <c r="A16" s="111" t="s">
        <v>1781</v>
      </c>
      <c r="B16" s="133">
        <v>12.28</v>
      </c>
      <c r="C16" s="133">
        <v>22.71</v>
      </c>
      <c r="D16" s="133">
        <v>23.07</v>
      </c>
      <c r="E16" s="133">
        <v>6.56</v>
      </c>
      <c r="F16" s="133">
        <v>2.77</v>
      </c>
      <c r="G16" s="133">
        <v>48.14</v>
      </c>
      <c r="H16" s="133">
        <v>21.79</v>
      </c>
      <c r="I16" s="133">
        <v>6.5</v>
      </c>
      <c r="J16" s="133">
        <v>0.11</v>
      </c>
      <c r="K16" s="133">
        <v>218.63</v>
      </c>
      <c r="L16" s="133">
        <v>22.56</v>
      </c>
      <c r="M16" s="133">
        <v>88.58</v>
      </c>
      <c r="N16" s="133">
        <v>0</v>
      </c>
      <c r="O16" s="133">
        <v>0</v>
      </c>
      <c r="P16" s="133">
        <v>0.67</v>
      </c>
      <c r="Q16" s="133">
        <v>5.47</v>
      </c>
    </row>
    <row r="17" spans="1:17" customFormat="1">
      <c r="A17" s="111" t="s">
        <v>1782</v>
      </c>
      <c r="B17" s="133">
        <v>12.62</v>
      </c>
      <c r="C17" s="133">
        <v>24.34</v>
      </c>
      <c r="D17" s="133">
        <v>24.19</v>
      </c>
      <c r="E17" s="133">
        <v>8.11</v>
      </c>
      <c r="F17" s="133">
        <v>2.34</v>
      </c>
      <c r="G17" s="133">
        <v>48.86</v>
      </c>
      <c r="H17" s="133">
        <v>22.73</v>
      </c>
      <c r="I17" s="133">
        <v>6.55</v>
      </c>
      <c r="J17" s="133">
        <v>0.08</v>
      </c>
      <c r="K17" s="133">
        <v>218.56</v>
      </c>
      <c r="L17" s="133">
        <v>22.63</v>
      </c>
      <c r="M17" s="133">
        <v>88.3</v>
      </c>
      <c r="N17" s="133">
        <v>0</v>
      </c>
      <c r="O17" s="133">
        <v>0</v>
      </c>
      <c r="P17" s="133">
        <v>0.69</v>
      </c>
      <c r="Q17" s="133">
        <v>5.47</v>
      </c>
    </row>
    <row r="18" spans="1:17" customFormat="1">
      <c r="A18" s="111" t="s">
        <v>1783</v>
      </c>
      <c r="B18" s="133">
        <v>12.79</v>
      </c>
      <c r="C18" s="133">
        <v>23.72</v>
      </c>
      <c r="D18" s="133">
        <v>24</v>
      </c>
      <c r="E18" s="133">
        <v>9.1</v>
      </c>
      <c r="F18" s="133">
        <v>2.6</v>
      </c>
      <c r="G18" s="133">
        <v>48.86</v>
      </c>
      <c r="H18" s="133">
        <v>22.73</v>
      </c>
      <c r="I18" s="133">
        <v>6.62</v>
      </c>
      <c r="J18" s="133">
        <v>0.11</v>
      </c>
      <c r="K18" s="133">
        <v>210.83</v>
      </c>
      <c r="L18" s="133">
        <v>22.53</v>
      </c>
      <c r="M18" s="133">
        <v>88.07</v>
      </c>
      <c r="N18" s="133">
        <v>0</v>
      </c>
      <c r="O18" s="133">
        <v>0</v>
      </c>
      <c r="P18" s="133">
        <v>0.69</v>
      </c>
      <c r="Q18" s="133">
        <v>5.49</v>
      </c>
    </row>
    <row r="19" spans="1:17" customFormat="1">
      <c r="A19" s="111" t="s">
        <v>1784</v>
      </c>
      <c r="B19" s="133">
        <v>12.96</v>
      </c>
      <c r="C19" s="133">
        <v>22.61</v>
      </c>
      <c r="D19" s="133">
        <v>23.56</v>
      </c>
      <c r="E19" s="133">
        <v>8.6</v>
      </c>
      <c r="F19" s="133">
        <v>2.77</v>
      </c>
      <c r="G19" s="133">
        <v>48.86</v>
      </c>
      <c r="H19" s="133">
        <v>22.73</v>
      </c>
      <c r="I19" s="133">
        <v>6.74</v>
      </c>
      <c r="J19" s="133">
        <v>0.08</v>
      </c>
      <c r="K19" s="133">
        <v>209.47</v>
      </c>
      <c r="L19" s="133">
        <v>22.38</v>
      </c>
      <c r="M19" s="133">
        <v>88.94</v>
      </c>
      <c r="N19" s="133">
        <v>0</v>
      </c>
      <c r="O19" s="133">
        <v>0</v>
      </c>
      <c r="P19" s="133">
        <v>0.68</v>
      </c>
      <c r="Q19" s="133">
        <v>5.5</v>
      </c>
    </row>
    <row r="20" spans="1:17" customFormat="1">
      <c r="A20" s="111" t="s">
        <v>1785</v>
      </c>
      <c r="B20" s="133">
        <v>13.21</v>
      </c>
      <c r="C20" s="133">
        <v>23.56</v>
      </c>
      <c r="D20" s="133">
        <v>24.25</v>
      </c>
      <c r="E20" s="133">
        <v>8.9499999999999993</v>
      </c>
      <c r="F20" s="133">
        <v>2.4700000000000002</v>
      </c>
      <c r="G20" s="133">
        <v>48.94</v>
      </c>
      <c r="H20" s="133">
        <v>22.51</v>
      </c>
      <c r="I20" s="133">
        <v>6.82</v>
      </c>
      <c r="J20" s="133">
        <v>0.11</v>
      </c>
      <c r="K20" s="133">
        <v>188.3</v>
      </c>
      <c r="L20" s="133">
        <v>22.34</v>
      </c>
      <c r="M20" s="133">
        <v>88.53</v>
      </c>
      <c r="N20" s="133">
        <v>0</v>
      </c>
      <c r="O20" s="133">
        <v>0</v>
      </c>
      <c r="P20" s="133">
        <v>0.7</v>
      </c>
      <c r="Q20" s="133">
        <v>5.51</v>
      </c>
    </row>
    <row r="21" spans="1:17" customFormat="1">
      <c r="A21" s="111" t="s">
        <v>1786</v>
      </c>
      <c r="B21" s="133">
        <v>13.52</v>
      </c>
      <c r="C21" s="133">
        <v>23.25</v>
      </c>
      <c r="D21" s="133">
        <v>24.34</v>
      </c>
      <c r="E21" s="133">
        <v>8.99</v>
      </c>
      <c r="F21" s="133">
        <v>2.64</v>
      </c>
      <c r="G21" s="133">
        <v>49.34</v>
      </c>
      <c r="H21" s="133">
        <v>21.61</v>
      </c>
      <c r="I21" s="133">
        <v>6.88</v>
      </c>
      <c r="J21" s="133">
        <v>7.0000000000000007E-2</v>
      </c>
      <c r="K21" s="133">
        <v>136.72999999999999</v>
      </c>
      <c r="L21" s="133">
        <v>22.33</v>
      </c>
      <c r="M21" s="133">
        <v>89.67</v>
      </c>
      <c r="N21" s="133">
        <v>0</v>
      </c>
      <c r="O21" s="133">
        <v>0</v>
      </c>
      <c r="P21" s="133">
        <v>0.69</v>
      </c>
      <c r="Q21" s="133">
        <v>5.55</v>
      </c>
    </row>
    <row r="22" spans="1:17" customFormat="1">
      <c r="A22" s="111" t="s">
        <v>1787</v>
      </c>
      <c r="B22" s="133">
        <v>14.48</v>
      </c>
      <c r="C22" s="133">
        <v>24.07</v>
      </c>
      <c r="D22" s="133">
        <v>25.54</v>
      </c>
      <c r="E22" s="133">
        <v>8.58</v>
      </c>
      <c r="F22" s="133">
        <v>2.5099999999999998</v>
      </c>
      <c r="G22" s="133">
        <v>49.34</v>
      </c>
      <c r="H22" s="133">
        <v>21.61</v>
      </c>
      <c r="I22" s="133">
        <v>6.99</v>
      </c>
      <c r="J22" s="133">
        <v>0.1</v>
      </c>
      <c r="K22" s="133">
        <v>141.75</v>
      </c>
      <c r="L22" s="133">
        <v>22.38</v>
      </c>
      <c r="M22" s="133">
        <v>89.34</v>
      </c>
      <c r="N22" s="133">
        <v>0</v>
      </c>
      <c r="O22" s="133">
        <v>0</v>
      </c>
      <c r="P22" s="133">
        <v>0.71</v>
      </c>
      <c r="Q22" s="133">
        <v>5.56</v>
      </c>
    </row>
    <row r="23" spans="1:17" customFormat="1">
      <c r="A23" s="111" t="s">
        <v>1788</v>
      </c>
      <c r="B23" s="133">
        <v>16.170000000000002</v>
      </c>
      <c r="C23" s="133">
        <v>23.85</v>
      </c>
      <c r="D23" s="133">
        <v>26.78</v>
      </c>
      <c r="E23" s="133">
        <v>9.0500000000000007</v>
      </c>
      <c r="F23" s="133">
        <v>2.7</v>
      </c>
      <c r="G23" s="133">
        <v>49.34</v>
      </c>
      <c r="H23" s="133">
        <v>21.61</v>
      </c>
      <c r="I23" s="133">
        <v>6.97</v>
      </c>
      <c r="J23" s="133">
        <v>0.1</v>
      </c>
      <c r="K23" s="133">
        <v>159.08000000000001</v>
      </c>
      <c r="L23" s="133">
        <v>22.3</v>
      </c>
      <c r="M23" s="133">
        <v>90.04</v>
      </c>
      <c r="N23" s="133">
        <v>0</v>
      </c>
      <c r="O23" s="133">
        <v>0</v>
      </c>
      <c r="P23" s="133">
        <v>0.69</v>
      </c>
      <c r="Q23" s="133">
        <v>5.67</v>
      </c>
    </row>
    <row r="24" spans="1:17" customFormat="1">
      <c r="A24" s="111" t="s">
        <v>1789</v>
      </c>
      <c r="B24" s="133">
        <v>17.170000000000002</v>
      </c>
      <c r="C24" s="133">
        <v>25.4</v>
      </c>
      <c r="D24" s="133">
        <v>28.39</v>
      </c>
      <c r="E24" s="133">
        <v>8.69</v>
      </c>
      <c r="F24" s="133">
        <v>2.48</v>
      </c>
      <c r="G24" s="133">
        <v>49.88</v>
      </c>
      <c r="H24" s="133">
        <v>22.05</v>
      </c>
      <c r="I24" s="133">
        <v>7.01</v>
      </c>
      <c r="J24" s="133">
        <v>0.14000000000000001</v>
      </c>
      <c r="K24" s="133">
        <v>140.33000000000001</v>
      </c>
      <c r="L24" s="133">
        <v>22.25</v>
      </c>
      <c r="M24" s="133">
        <v>90.2</v>
      </c>
      <c r="N24" s="133">
        <v>0</v>
      </c>
      <c r="O24" s="133">
        <v>0</v>
      </c>
      <c r="P24" s="133">
        <v>0.71</v>
      </c>
      <c r="Q24" s="133">
        <v>5.72</v>
      </c>
    </row>
    <row r="25" spans="1:17" customFormat="1">
      <c r="A25" s="111" t="s">
        <v>1790</v>
      </c>
      <c r="B25" s="133">
        <v>18.420000000000002</v>
      </c>
      <c r="C25" s="133">
        <v>25.13</v>
      </c>
      <c r="D25" s="133">
        <v>29.25</v>
      </c>
      <c r="E25" s="133">
        <v>9.19</v>
      </c>
      <c r="F25" s="133">
        <v>2.61</v>
      </c>
      <c r="G25" s="133">
        <v>52.84</v>
      </c>
      <c r="H25" s="133">
        <v>23.84</v>
      </c>
      <c r="I25" s="133">
        <v>7</v>
      </c>
      <c r="J25" s="133">
        <v>0.11</v>
      </c>
      <c r="K25" s="133">
        <v>162.58000000000001</v>
      </c>
      <c r="L25" s="133">
        <v>22.24</v>
      </c>
      <c r="M25" s="133">
        <v>90.68</v>
      </c>
      <c r="N25" s="133">
        <v>0</v>
      </c>
      <c r="O25" s="133">
        <v>0</v>
      </c>
      <c r="P25" s="133">
        <v>0.71</v>
      </c>
      <c r="Q25" s="133">
        <v>5.8</v>
      </c>
    </row>
    <row r="26" spans="1:17" customFormat="1">
      <c r="A26" s="111" t="s">
        <v>1791</v>
      </c>
      <c r="B26" s="133">
        <v>19.59</v>
      </c>
      <c r="C26" s="133">
        <v>25.17</v>
      </c>
      <c r="D26" s="133">
        <v>30.21</v>
      </c>
      <c r="E26" s="133">
        <v>8.43</v>
      </c>
      <c r="F26" s="133">
        <v>2.54</v>
      </c>
      <c r="G26" s="133">
        <v>52.84</v>
      </c>
      <c r="H26" s="133">
        <v>23.84</v>
      </c>
      <c r="I26" s="133">
        <v>7.03</v>
      </c>
      <c r="J26" s="133">
        <v>0.12</v>
      </c>
      <c r="K26" s="133">
        <v>212.13</v>
      </c>
      <c r="L26" s="133">
        <v>22.15</v>
      </c>
      <c r="M26" s="133">
        <v>93.68</v>
      </c>
      <c r="N26" s="133">
        <v>0</v>
      </c>
      <c r="O26" s="133">
        <v>0</v>
      </c>
      <c r="P26" s="133">
        <v>0.71</v>
      </c>
      <c r="Q26" s="133">
        <v>5.84</v>
      </c>
    </row>
    <row r="27" spans="1:17" customFormat="1">
      <c r="A27" s="111" t="s">
        <v>1792</v>
      </c>
      <c r="B27" s="133">
        <v>20.22</v>
      </c>
      <c r="C27" s="133">
        <v>25.53</v>
      </c>
      <c r="D27" s="133">
        <v>30.9</v>
      </c>
      <c r="E27" s="133">
        <v>9.1</v>
      </c>
      <c r="F27" s="133">
        <v>2.5299999999999998</v>
      </c>
      <c r="G27" s="133">
        <v>52.84</v>
      </c>
      <c r="H27" s="133">
        <v>23.84</v>
      </c>
      <c r="I27" s="133">
        <v>7.02</v>
      </c>
      <c r="J27" s="133">
        <v>0.11</v>
      </c>
      <c r="K27" s="133">
        <v>173.22</v>
      </c>
      <c r="L27" s="133">
        <v>21.92</v>
      </c>
      <c r="M27" s="133">
        <v>96.64</v>
      </c>
      <c r="N27" s="133">
        <v>0</v>
      </c>
      <c r="O27" s="133">
        <v>0</v>
      </c>
      <c r="P27" s="133">
        <v>0.71</v>
      </c>
      <c r="Q27" s="133">
        <v>5.89</v>
      </c>
    </row>
    <row r="28" spans="1:17" customFormat="1">
      <c r="A28" s="111" t="s">
        <v>1793</v>
      </c>
      <c r="B28" s="133">
        <v>20.67</v>
      </c>
      <c r="C28" s="133">
        <v>24.46</v>
      </c>
      <c r="D28" s="133">
        <v>30.7</v>
      </c>
      <c r="E28" s="133">
        <v>8.9600000000000009</v>
      </c>
      <c r="F28" s="133">
        <v>2.78</v>
      </c>
      <c r="G28" s="133">
        <v>52.6</v>
      </c>
      <c r="H28" s="133">
        <v>23.53</v>
      </c>
      <c r="I28" s="133">
        <v>7.08</v>
      </c>
      <c r="J28" s="133">
        <v>0.15</v>
      </c>
      <c r="K28" s="133">
        <v>161.36000000000001</v>
      </c>
      <c r="L28" s="133">
        <v>21.75</v>
      </c>
      <c r="M28" s="133">
        <v>96.53</v>
      </c>
      <c r="N28" s="133">
        <v>0</v>
      </c>
      <c r="O28" s="133">
        <v>0</v>
      </c>
      <c r="P28" s="133">
        <v>0.7</v>
      </c>
      <c r="Q28" s="133">
        <v>5.91</v>
      </c>
    </row>
    <row r="29" spans="1:17" customFormat="1">
      <c r="A29" s="111" t="s">
        <v>1794</v>
      </c>
      <c r="B29" s="133">
        <v>20.75</v>
      </c>
      <c r="C29" s="133">
        <v>25.78</v>
      </c>
      <c r="D29" s="133">
        <v>31.46</v>
      </c>
      <c r="E29" s="133">
        <v>9</v>
      </c>
      <c r="F29" s="133">
        <v>2.4</v>
      </c>
      <c r="G29" s="133">
        <v>51.3</v>
      </c>
      <c r="H29" s="133">
        <v>22.26</v>
      </c>
      <c r="I29" s="133">
        <v>7.09</v>
      </c>
      <c r="J29" s="133">
        <v>0.28000000000000003</v>
      </c>
      <c r="K29" s="133">
        <v>178.74</v>
      </c>
      <c r="L29" s="133">
        <v>21.65</v>
      </c>
      <c r="M29" s="133">
        <v>95.58</v>
      </c>
      <c r="N29" s="133">
        <v>0</v>
      </c>
      <c r="O29" s="133">
        <v>0</v>
      </c>
      <c r="P29" s="133">
        <v>0.72</v>
      </c>
      <c r="Q29" s="133">
        <v>5.9</v>
      </c>
    </row>
    <row r="30" spans="1:17" customFormat="1">
      <c r="A30" s="111" t="s">
        <v>1795</v>
      </c>
      <c r="B30" s="133">
        <v>20.83</v>
      </c>
      <c r="C30" s="133">
        <v>25.09</v>
      </c>
      <c r="D30" s="133">
        <v>31.16</v>
      </c>
      <c r="E30" s="133">
        <v>8.51</v>
      </c>
      <c r="F30" s="133">
        <v>2.64</v>
      </c>
      <c r="G30" s="133">
        <v>51.3</v>
      </c>
      <c r="H30" s="133">
        <v>22.26</v>
      </c>
      <c r="I30" s="133">
        <v>7.08</v>
      </c>
      <c r="J30" s="133">
        <v>0.17</v>
      </c>
      <c r="K30" s="133">
        <v>193.89</v>
      </c>
      <c r="L30" s="133">
        <v>21.82</v>
      </c>
      <c r="M30" s="133">
        <v>93.41</v>
      </c>
      <c r="N30" s="133">
        <v>0</v>
      </c>
      <c r="O30" s="133">
        <v>0</v>
      </c>
      <c r="P30" s="133">
        <v>0.7</v>
      </c>
      <c r="Q30" s="133">
        <v>5.93</v>
      </c>
    </row>
    <row r="31" spans="1:17" customFormat="1">
      <c r="A31" s="111" t="s">
        <v>1796</v>
      </c>
      <c r="B31" s="133">
        <v>20.63</v>
      </c>
      <c r="C31" s="133">
        <v>25.81</v>
      </c>
      <c r="D31" s="133">
        <v>31.38</v>
      </c>
      <c r="E31" s="133">
        <v>9.0299999999999994</v>
      </c>
      <c r="F31" s="133">
        <v>2.3199999999999998</v>
      </c>
      <c r="G31" s="133">
        <v>51.3</v>
      </c>
      <c r="H31" s="133">
        <v>22.26</v>
      </c>
      <c r="I31" s="133">
        <v>7.14</v>
      </c>
      <c r="J31" s="133">
        <v>0.17</v>
      </c>
      <c r="K31" s="133">
        <v>221.09</v>
      </c>
      <c r="L31" s="133">
        <v>21.52</v>
      </c>
      <c r="M31" s="133">
        <v>95.51</v>
      </c>
      <c r="N31" s="133">
        <v>0</v>
      </c>
      <c r="O31" s="133">
        <v>0</v>
      </c>
      <c r="P31" s="133">
        <v>0.71</v>
      </c>
      <c r="Q31" s="133">
        <v>5.91</v>
      </c>
    </row>
    <row r="32" spans="1:17" customFormat="1">
      <c r="A32" s="111" t="s">
        <v>1797</v>
      </c>
      <c r="B32" s="133">
        <v>20.39</v>
      </c>
      <c r="C32" s="133">
        <v>26.78</v>
      </c>
      <c r="D32" s="133">
        <v>31.69</v>
      </c>
      <c r="E32" s="133">
        <v>9.2899999999999991</v>
      </c>
      <c r="F32" s="133">
        <v>2.31</v>
      </c>
      <c r="G32" s="133">
        <v>50.67</v>
      </c>
      <c r="H32" s="133">
        <v>21.63</v>
      </c>
      <c r="I32" s="133">
        <v>7.1</v>
      </c>
      <c r="J32" s="133">
        <v>0.08</v>
      </c>
      <c r="K32" s="133">
        <v>203.02</v>
      </c>
      <c r="L32" s="133">
        <v>21.42</v>
      </c>
      <c r="M32" s="133">
        <v>96.32</v>
      </c>
      <c r="N32" s="133">
        <v>0</v>
      </c>
      <c r="O32" s="133">
        <v>0</v>
      </c>
      <c r="P32" s="133">
        <v>0.73</v>
      </c>
      <c r="Q32" s="133">
        <v>5.95</v>
      </c>
    </row>
    <row r="33" spans="1:17" customFormat="1">
      <c r="A33" s="111" t="s">
        <v>1798</v>
      </c>
      <c r="B33" s="133">
        <v>20.149999999999999</v>
      </c>
      <c r="C33" s="133">
        <v>27.04</v>
      </c>
      <c r="D33" s="133">
        <v>31.64</v>
      </c>
      <c r="E33" s="133">
        <v>8.58</v>
      </c>
      <c r="F33" s="133">
        <v>2.4300000000000002</v>
      </c>
      <c r="G33" s="133">
        <v>47.27</v>
      </c>
      <c r="H33" s="133">
        <v>19.05</v>
      </c>
      <c r="I33" s="133">
        <v>7.13</v>
      </c>
      <c r="J33" s="133">
        <v>0.09</v>
      </c>
      <c r="K33" s="133">
        <v>181.8</v>
      </c>
      <c r="L33" s="133">
        <v>21.59</v>
      </c>
      <c r="M33" s="133">
        <v>96.8</v>
      </c>
      <c r="N33" s="133">
        <v>3</v>
      </c>
      <c r="O33" s="133">
        <v>0</v>
      </c>
      <c r="P33" s="133">
        <v>0.74</v>
      </c>
      <c r="Q33" s="133">
        <v>5.95</v>
      </c>
    </row>
    <row r="34" spans="1:17" customFormat="1">
      <c r="A34" s="111" t="s">
        <v>1799</v>
      </c>
      <c r="B34" s="133">
        <v>19.8</v>
      </c>
      <c r="C34" s="133">
        <v>26.97</v>
      </c>
      <c r="D34" s="133">
        <v>31.32</v>
      </c>
      <c r="E34" s="133">
        <v>8.5299999999999994</v>
      </c>
      <c r="F34" s="133">
        <v>2.6</v>
      </c>
      <c r="G34" s="133">
        <v>47.27</v>
      </c>
      <c r="H34" s="133">
        <v>19.05</v>
      </c>
      <c r="I34" s="133">
        <v>7.1</v>
      </c>
      <c r="J34" s="133">
        <v>0.19</v>
      </c>
      <c r="K34" s="133">
        <v>171.08</v>
      </c>
      <c r="L34" s="133">
        <v>21.92</v>
      </c>
      <c r="M34" s="133">
        <v>96.04</v>
      </c>
      <c r="N34" s="133">
        <v>13.9</v>
      </c>
      <c r="O34" s="133">
        <v>0</v>
      </c>
      <c r="P34" s="133">
        <v>0.75</v>
      </c>
      <c r="Q34" s="133">
        <v>5.93</v>
      </c>
    </row>
    <row r="35" spans="1:17" customFormat="1">
      <c r="A35" s="111" t="s">
        <v>1800</v>
      </c>
      <c r="B35" s="133">
        <v>19.63</v>
      </c>
      <c r="C35" s="133">
        <v>26.68</v>
      </c>
      <c r="D35" s="133">
        <v>31.04</v>
      </c>
      <c r="E35" s="133">
        <v>8.4600000000000009</v>
      </c>
      <c r="F35" s="133">
        <v>2.67</v>
      </c>
      <c r="G35" s="133">
        <v>47.27</v>
      </c>
      <c r="H35" s="133">
        <v>19.05</v>
      </c>
      <c r="I35" s="133">
        <v>7.13</v>
      </c>
      <c r="J35" s="133">
        <v>0.08</v>
      </c>
      <c r="K35" s="133">
        <v>168.29</v>
      </c>
      <c r="L35" s="133">
        <v>22.21</v>
      </c>
      <c r="M35" s="133">
        <v>95.26</v>
      </c>
      <c r="N35" s="133">
        <v>27</v>
      </c>
      <c r="O35" s="133">
        <v>0</v>
      </c>
      <c r="P35" s="133">
        <v>0.75</v>
      </c>
      <c r="Q35" s="133">
        <v>5.91</v>
      </c>
    </row>
    <row r="36" spans="1:17" customFormat="1">
      <c r="A36" s="111" t="s">
        <v>1801</v>
      </c>
      <c r="B36" s="133">
        <v>19.329999999999998</v>
      </c>
      <c r="C36" s="133">
        <v>26.97</v>
      </c>
      <c r="D36" s="133">
        <v>30.94</v>
      </c>
      <c r="E36" s="133">
        <v>8.57</v>
      </c>
      <c r="F36" s="133">
        <v>2.5299999999999998</v>
      </c>
      <c r="G36" s="133">
        <v>47.5</v>
      </c>
      <c r="H36" s="133">
        <v>19.64</v>
      </c>
      <c r="I36" s="133">
        <v>7.15</v>
      </c>
      <c r="J36" s="133">
        <v>0.11</v>
      </c>
      <c r="K36" s="133">
        <v>160.9</v>
      </c>
      <c r="L36" s="133">
        <v>22.74</v>
      </c>
      <c r="M36" s="133">
        <v>93.61</v>
      </c>
      <c r="N36" s="133">
        <v>40.5</v>
      </c>
      <c r="O36" s="133">
        <v>0</v>
      </c>
      <c r="P36" s="133">
        <v>0.75</v>
      </c>
      <c r="Q36" s="133">
        <v>5.89</v>
      </c>
    </row>
    <row r="37" spans="1:17" customFormat="1">
      <c r="A37" s="111" t="s">
        <v>1802</v>
      </c>
      <c r="B37" s="133">
        <v>19.18</v>
      </c>
      <c r="C37" s="133">
        <v>27.23</v>
      </c>
      <c r="D37" s="133">
        <v>30.96</v>
      </c>
      <c r="E37" s="133">
        <v>9.09</v>
      </c>
      <c r="F37" s="133">
        <v>2.59</v>
      </c>
      <c r="G37" s="133">
        <v>48.77</v>
      </c>
      <c r="H37" s="133">
        <v>22.76</v>
      </c>
      <c r="I37" s="133">
        <v>7.16</v>
      </c>
      <c r="J37" s="133">
        <v>0.1</v>
      </c>
      <c r="K37" s="133">
        <v>207</v>
      </c>
      <c r="L37" s="133">
        <v>23.43</v>
      </c>
      <c r="M37" s="133">
        <v>90.1</v>
      </c>
      <c r="N37" s="133">
        <v>54.8</v>
      </c>
      <c r="O37" s="133">
        <v>0</v>
      </c>
      <c r="P37" s="133">
        <v>0.75</v>
      </c>
      <c r="Q37" s="133">
        <v>5.89</v>
      </c>
    </row>
    <row r="38" spans="1:17" customFormat="1">
      <c r="A38" s="111" t="s">
        <v>1803</v>
      </c>
      <c r="B38" s="133">
        <v>19.02</v>
      </c>
      <c r="C38" s="133">
        <v>27.32</v>
      </c>
      <c r="D38" s="133">
        <v>30.88</v>
      </c>
      <c r="E38" s="133">
        <v>8.92</v>
      </c>
      <c r="F38" s="133">
        <v>2.67</v>
      </c>
      <c r="G38" s="133">
        <v>48.77</v>
      </c>
      <c r="H38" s="133">
        <v>22.76</v>
      </c>
      <c r="I38" s="133">
        <v>7.19</v>
      </c>
      <c r="J38" s="133">
        <v>0.11</v>
      </c>
      <c r="K38" s="133">
        <v>200.02</v>
      </c>
      <c r="L38" s="133">
        <v>24.17</v>
      </c>
      <c r="M38" s="133">
        <v>85.85</v>
      </c>
      <c r="N38" s="133">
        <v>75.599999999999994</v>
      </c>
      <c r="O38" s="133">
        <v>0</v>
      </c>
      <c r="P38" s="133">
        <v>0.77</v>
      </c>
      <c r="Q38" s="133">
        <v>5.92</v>
      </c>
    </row>
    <row r="39" spans="1:17" customFormat="1">
      <c r="A39" s="111" t="s">
        <v>1804</v>
      </c>
      <c r="B39" s="133">
        <v>18.66</v>
      </c>
      <c r="C39" s="133">
        <v>27.59</v>
      </c>
      <c r="D39" s="133">
        <v>30.73</v>
      </c>
      <c r="E39" s="133">
        <v>8.64</v>
      </c>
      <c r="F39" s="133">
        <v>2.57</v>
      </c>
      <c r="G39" s="133">
        <v>48.77</v>
      </c>
      <c r="H39" s="133">
        <v>22.76</v>
      </c>
      <c r="I39" s="133">
        <v>7.31</v>
      </c>
      <c r="J39" s="133">
        <v>0.13</v>
      </c>
      <c r="K39" s="133">
        <v>244.85</v>
      </c>
      <c r="L39" s="133">
        <v>24.94</v>
      </c>
      <c r="M39" s="133">
        <v>81.91</v>
      </c>
      <c r="N39" s="133">
        <v>161.69999999999999</v>
      </c>
      <c r="O39" s="133">
        <v>0</v>
      </c>
      <c r="P39" s="133">
        <v>0.77</v>
      </c>
      <c r="Q39" s="133">
        <v>5.94</v>
      </c>
    </row>
    <row r="40" spans="1:17" customFormat="1">
      <c r="A40" s="111" t="s">
        <v>1805</v>
      </c>
      <c r="B40" s="133">
        <v>18.07</v>
      </c>
      <c r="C40" s="133">
        <v>27.88</v>
      </c>
      <c r="D40" s="133">
        <v>30.41</v>
      </c>
      <c r="E40" s="133">
        <v>8.81</v>
      </c>
      <c r="F40" s="133">
        <v>2.77</v>
      </c>
      <c r="G40" s="133">
        <v>49.3</v>
      </c>
      <c r="H40" s="133">
        <v>23.1</v>
      </c>
      <c r="I40" s="133">
        <v>7.46</v>
      </c>
      <c r="J40" s="133">
        <v>0.19</v>
      </c>
      <c r="K40" s="133">
        <v>240.44</v>
      </c>
      <c r="L40" s="133">
        <v>25.68</v>
      </c>
      <c r="M40" s="133">
        <v>79.040000000000006</v>
      </c>
      <c r="N40" s="133">
        <v>224.2</v>
      </c>
      <c r="O40" s="133">
        <v>0</v>
      </c>
      <c r="P40" s="133">
        <v>0.78</v>
      </c>
      <c r="Q40" s="133">
        <v>5.92</v>
      </c>
    </row>
    <row r="41" spans="1:17" customFormat="1">
      <c r="A41" s="111" t="s">
        <v>1806</v>
      </c>
      <c r="B41" s="133">
        <v>17.3</v>
      </c>
      <c r="C41" s="133">
        <v>28.22</v>
      </c>
      <c r="D41" s="133">
        <v>29.97</v>
      </c>
      <c r="E41" s="133">
        <v>8.98</v>
      </c>
      <c r="F41" s="133">
        <v>2.76</v>
      </c>
      <c r="G41" s="133">
        <v>52.18</v>
      </c>
      <c r="H41" s="133">
        <v>24.5</v>
      </c>
      <c r="I41" s="133">
        <v>7.63</v>
      </c>
      <c r="J41" s="133">
        <v>0.17</v>
      </c>
      <c r="K41" s="133">
        <v>215.21</v>
      </c>
      <c r="L41" s="133">
        <v>26.64</v>
      </c>
      <c r="M41" s="133">
        <v>74.69</v>
      </c>
      <c r="N41" s="133">
        <v>269.5</v>
      </c>
      <c r="O41" s="133">
        <v>0</v>
      </c>
      <c r="P41" s="133">
        <v>0.79</v>
      </c>
      <c r="Q41" s="133">
        <v>5.91</v>
      </c>
    </row>
    <row r="42" spans="1:17" customFormat="1">
      <c r="A42" s="111" t="s">
        <v>1807</v>
      </c>
      <c r="B42" s="133">
        <v>16.3</v>
      </c>
      <c r="C42" s="133">
        <v>28.45</v>
      </c>
      <c r="D42" s="133">
        <v>29.28</v>
      </c>
      <c r="E42" s="133">
        <v>9.15</v>
      </c>
      <c r="F42" s="133">
        <v>2.79</v>
      </c>
      <c r="G42" s="133">
        <v>52.18</v>
      </c>
      <c r="H42" s="133">
        <v>24.5</v>
      </c>
      <c r="I42" s="133">
        <v>7.8</v>
      </c>
      <c r="J42" s="133">
        <v>0.13</v>
      </c>
      <c r="K42" s="133">
        <v>242.32</v>
      </c>
      <c r="L42" s="133">
        <v>27.34</v>
      </c>
      <c r="M42" s="133">
        <v>72.11</v>
      </c>
      <c r="N42" s="133">
        <v>311.3</v>
      </c>
      <c r="O42" s="133">
        <v>0</v>
      </c>
      <c r="P42" s="133">
        <v>0.79</v>
      </c>
      <c r="Q42" s="133">
        <v>5.83</v>
      </c>
    </row>
    <row r="43" spans="1:17" customFormat="1">
      <c r="A43" s="111" t="s">
        <v>1808</v>
      </c>
      <c r="B43" s="133">
        <v>15.31</v>
      </c>
      <c r="C43" s="133">
        <v>28.64</v>
      </c>
      <c r="D43" s="133">
        <v>28.59</v>
      </c>
      <c r="E43" s="133">
        <v>8.49</v>
      </c>
      <c r="F43" s="133">
        <v>2.84</v>
      </c>
      <c r="G43" s="133">
        <v>52.18</v>
      </c>
      <c r="H43" s="133">
        <v>24.5</v>
      </c>
      <c r="I43" s="133">
        <v>7.94</v>
      </c>
      <c r="J43" s="133">
        <v>0.18</v>
      </c>
      <c r="K43" s="133">
        <v>237.81</v>
      </c>
      <c r="L43" s="133">
        <v>27.98</v>
      </c>
      <c r="M43" s="133">
        <v>67.97</v>
      </c>
      <c r="N43" s="133">
        <v>355.1</v>
      </c>
      <c r="O43" s="133">
        <v>0</v>
      </c>
      <c r="P43" s="133">
        <v>0.79</v>
      </c>
      <c r="Q43" s="133">
        <v>5.77</v>
      </c>
    </row>
    <row r="44" spans="1:17" customFormat="1">
      <c r="A44" s="111" t="s">
        <v>1809</v>
      </c>
      <c r="B44" s="133">
        <v>14.15</v>
      </c>
      <c r="C44" s="133">
        <v>28.79</v>
      </c>
      <c r="D44" s="133">
        <v>27.74</v>
      </c>
      <c r="E44" s="133">
        <v>8.98</v>
      </c>
      <c r="F44" s="133">
        <v>2.83</v>
      </c>
      <c r="G44" s="133">
        <v>52.27</v>
      </c>
      <c r="H44" s="133">
        <v>25.23</v>
      </c>
      <c r="I44" s="133">
        <v>8.0399999999999991</v>
      </c>
      <c r="J44" s="133">
        <v>0.11</v>
      </c>
      <c r="K44" s="133">
        <v>192.04</v>
      </c>
      <c r="L44" s="133">
        <v>28.78</v>
      </c>
      <c r="M44" s="133">
        <v>64.39</v>
      </c>
      <c r="N44" s="133">
        <v>394.3</v>
      </c>
      <c r="O44" s="133">
        <v>0</v>
      </c>
      <c r="P44" s="133">
        <v>0.8</v>
      </c>
      <c r="Q44" s="133">
        <v>5.72</v>
      </c>
    </row>
    <row r="45" spans="1:17" customFormat="1">
      <c r="A45" s="111" t="s">
        <v>1810</v>
      </c>
      <c r="B45" s="133">
        <v>13.14</v>
      </c>
      <c r="C45" s="133">
        <v>28.73</v>
      </c>
      <c r="D45" s="133">
        <v>26.9</v>
      </c>
      <c r="E45" s="133">
        <v>8.59</v>
      </c>
      <c r="F45" s="133">
        <v>2.81</v>
      </c>
      <c r="G45" s="133">
        <v>52.72</v>
      </c>
      <c r="H45" s="133">
        <v>28.21</v>
      </c>
      <c r="I45" s="133">
        <v>8.06</v>
      </c>
      <c r="J45" s="133">
        <v>0.09</v>
      </c>
      <c r="K45" s="133">
        <v>164.26</v>
      </c>
      <c r="L45" s="133">
        <v>29.37</v>
      </c>
      <c r="M45" s="133">
        <v>63.17</v>
      </c>
      <c r="N45" s="133">
        <v>429.7</v>
      </c>
      <c r="O45" s="133">
        <v>0</v>
      </c>
      <c r="P45" s="133">
        <v>0.81</v>
      </c>
      <c r="Q45" s="133">
        <v>5.66</v>
      </c>
    </row>
    <row r="46" spans="1:17" customFormat="1">
      <c r="A46" s="111" t="s">
        <v>1811</v>
      </c>
      <c r="B46" s="133">
        <v>11.94</v>
      </c>
      <c r="C46" s="133">
        <v>28.67</v>
      </c>
      <c r="D46" s="133">
        <v>25.91</v>
      </c>
      <c r="E46" s="133">
        <v>8.89</v>
      </c>
      <c r="F46" s="133">
        <v>3.07</v>
      </c>
      <c r="G46" s="133">
        <v>52.72</v>
      </c>
      <c r="H46" s="133">
        <v>28.21</v>
      </c>
      <c r="I46" s="133">
        <v>8.1300000000000008</v>
      </c>
      <c r="J46" s="133">
        <v>0.13</v>
      </c>
      <c r="K46" s="133">
        <v>225.71</v>
      </c>
      <c r="L46" s="133">
        <v>29.8</v>
      </c>
      <c r="M46" s="133">
        <v>60.58</v>
      </c>
      <c r="N46" s="133">
        <v>360.3</v>
      </c>
      <c r="O46" s="133">
        <v>0</v>
      </c>
      <c r="P46" s="133">
        <v>0.8</v>
      </c>
      <c r="Q46" s="133">
        <v>5.61</v>
      </c>
    </row>
    <row r="47" spans="1:17" customFormat="1">
      <c r="A47" s="111" t="s">
        <v>1812</v>
      </c>
      <c r="B47" s="133">
        <v>10.75</v>
      </c>
      <c r="C47" s="133">
        <v>28.54</v>
      </c>
      <c r="D47" s="133">
        <v>24.88</v>
      </c>
      <c r="E47" s="133">
        <v>9.24</v>
      </c>
      <c r="F47" s="133">
        <v>3.08</v>
      </c>
      <c r="G47" s="133">
        <v>52.72</v>
      </c>
      <c r="H47" s="133">
        <v>28.21</v>
      </c>
      <c r="I47" s="133">
        <v>8.16</v>
      </c>
      <c r="J47" s="133">
        <v>0.11</v>
      </c>
      <c r="K47" s="133">
        <v>203.99</v>
      </c>
      <c r="L47" s="133">
        <v>30.18</v>
      </c>
      <c r="M47" s="133">
        <v>57.36</v>
      </c>
      <c r="N47" s="133">
        <v>339.8</v>
      </c>
      <c r="O47" s="133">
        <v>0</v>
      </c>
      <c r="P47" s="133">
        <v>0.79</v>
      </c>
      <c r="Q47" s="133">
        <v>5.54</v>
      </c>
    </row>
    <row r="48" spans="1:17" customFormat="1">
      <c r="A48" s="111" t="s">
        <v>1813</v>
      </c>
      <c r="B48" s="133">
        <v>9.7899999999999991</v>
      </c>
      <c r="C48" s="133">
        <v>28.1</v>
      </c>
      <c r="D48" s="133">
        <v>23.89</v>
      </c>
      <c r="E48" s="133">
        <v>8.83</v>
      </c>
      <c r="F48" s="133">
        <v>3.28</v>
      </c>
      <c r="G48" s="133">
        <v>52.39</v>
      </c>
      <c r="H48" s="133">
        <v>27.16</v>
      </c>
      <c r="I48" s="133">
        <v>8.18</v>
      </c>
      <c r="J48" s="133">
        <v>0.21</v>
      </c>
      <c r="K48" s="133">
        <v>156.62</v>
      </c>
      <c r="L48" s="133">
        <v>30.74</v>
      </c>
      <c r="M48" s="133">
        <v>53.35</v>
      </c>
      <c r="N48" s="133">
        <v>537.20000000000005</v>
      </c>
      <c r="O48" s="133">
        <v>0</v>
      </c>
      <c r="P48" s="133">
        <v>0.78</v>
      </c>
      <c r="Q48" s="133">
        <v>5.48</v>
      </c>
    </row>
    <row r="49" spans="1:17" customFormat="1">
      <c r="A49" s="111" t="s">
        <v>1814</v>
      </c>
      <c r="B49" s="133">
        <v>8.9</v>
      </c>
      <c r="C49" s="133">
        <v>27.94</v>
      </c>
      <c r="D49" s="133">
        <v>23.09</v>
      </c>
      <c r="E49" s="133">
        <v>5.71</v>
      </c>
      <c r="F49" s="133">
        <v>3.32</v>
      </c>
      <c r="G49" s="133">
        <v>50.62</v>
      </c>
      <c r="H49" s="133">
        <v>22.87</v>
      </c>
      <c r="I49" s="133">
        <v>8.06</v>
      </c>
      <c r="J49" s="133">
        <v>0.17</v>
      </c>
      <c r="K49" s="133">
        <v>187.58</v>
      </c>
      <c r="L49" s="133">
        <v>31.06</v>
      </c>
      <c r="M49" s="133">
        <v>51.61</v>
      </c>
      <c r="N49" s="133">
        <v>565.5</v>
      </c>
      <c r="O49" s="133">
        <v>0</v>
      </c>
      <c r="P49" s="133">
        <v>0.77</v>
      </c>
      <c r="Q49" s="133">
        <v>5.41</v>
      </c>
    </row>
    <row r="50" spans="1:17" customFormat="1">
      <c r="A50" s="111" t="s">
        <v>1815</v>
      </c>
      <c r="B50" s="133">
        <v>8.0500000000000007</v>
      </c>
      <c r="C50" s="133">
        <v>27.24</v>
      </c>
      <c r="D50" s="133">
        <v>22.04</v>
      </c>
      <c r="E50" s="133">
        <v>6.48</v>
      </c>
      <c r="F50" s="133">
        <v>3.51</v>
      </c>
      <c r="G50" s="133">
        <v>50.62</v>
      </c>
      <c r="H50" s="133">
        <v>22.87</v>
      </c>
      <c r="I50" s="133">
        <v>7.88</v>
      </c>
      <c r="J50" s="133">
        <v>0.19</v>
      </c>
      <c r="K50" s="133">
        <v>200.13</v>
      </c>
      <c r="L50" s="133">
        <v>31.33</v>
      </c>
      <c r="M50" s="133">
        <v>54.18</v>
      </c>
      <c r="N50" s="133">
        <v>590.6</v>
      </c>
      <c r="O50" s="133">
        <v>0</v>
      </c>
      <c r="P50" s="133">
        <v>0.75</v>
      </c>
      <c r="Q50" s="133">
        <v>5.39</v>
      </c>
    </row>
    <row r="51" spans="1:17" customFormat="1">
      <c r="A51" s="111" t="s">
        <v>1816</v>
      </c>
      <c r="B51" s="133">
        <v>7.42</v>
      </c>
      <c r="C51" s="133">
        <v>26.44</v>
      </c>
      <c r="D51" s="133">
        <v>21.11</v>
      </c>
      <c r="E51" s="133">
        <v>6.25</v>
      </c>
      <c r="F51" s="133">
        <v>3.69</v>
      </c>
      <c r="G51" s="133">
        <v>50.62</v>
      </c>
      <c r="H51" s="133">
        <v>22.87</v>
      </c>
      <c r="I51" s="133">
        <v>7.74</v>
      </c>
      <c r="J51" s="133">
        <v>0.19</v>
      </c>
      <c r="K51" s="133">
        <v>257.66000000000003</v>
      </c>
      <c r="L51" s="133">
        <v>31.32</v>
      </c>
      <c r="M51" s="133">
        <v>52.2</v>
      </c>
      <c r="N51" s="133">
        <v>614.4</v>
      </c>
      <c r="O51" s="133">
        <v>0</v>
      </c>
      <c r="P51" s="133">
        <v>0.72</v>
      </c>
      <c r="Q51" s="133">
        <v>5.34</v>
      </c>
    </row>
    <row r="52" spans="1:17" customFormat="1">
      <c r="A52" s="111" t="s">
        <v>1817</v>
      </c>
      <c r="B52" s="133">
        <v>6.88</v>
      </c>
      <c r="C52" s="133">
        <v>27.92</v>
      </c>
      <c r="D52" s="133">
        <v>21.46</v>
      </c>
      <c r="E52" s="133">
        <v>6.37</v>
      </c>
      <c r="F52" s="133">
        <v>3.27</v>
      </c>
      <c r="G52" s="133">
        <v>50.93</v>
      </c>
      <c r="H52" s="133">
        <v>22.69</v>
      </c>
      <c r="I52" s="133">
        <v>7.54</v>
      </c>
      <c r="J52" s="133">
        <v>0.36</v>
      </c>
      <c r="K52" s="133">
        <v>262.70999999999998</v>
      </c>
      <c r="L52" s="133">
        <v>31.38</v>
      </c>
      <c r="M52" s="133">
        <v>51.41</v>
      </c>
      <c r="N52" s="133">
        <v>599.6</v>
      </c>
      <c r="O52" s="133">
        <v>0</v>
      </c>
      <c r="P52" s="133">
        <v>0.72</v>
      </c>
      <c r="Q52" s="133">
        <v>5.25</v>
      </c>
    </row>
    <row r="53" spans="1:17" customFormat="1">
      <c r="A53" s="111" t="s">
        <v>1818</v>
      </c>
      <c r="B53" s="133">
        <v>6.77</v>
      </c>
      <c r="C53" s="133">
        <v>26.77</v>
      </c>
      <c r="D53" s="133">
        <v>20.76</v>
      </c>
      <c r="E53" s="133">
        <v>6.58</v>
      </c>
      <c r="F53" s="133">
        <v>3.65</v>
      </c>
      <c r="G53" s="133">
        <v>52.59</v>
      </c>
      <c r="H53" s="133">
        <v>21.95</v>
      </c>
      <c r="I53" s="133">
        <v>7.32</v>
      </c>
      <c r="J53" s="133">
        <v>0.1</v>
      </c>
      <c r="K53" s="133">
        <v>206.09</v>
      </c>
      <c r="L53" s="133">
        <v>31.7</v>
      </c>
      <c r="M53" s="133">
        <v>51.36</v>
      </c>
      <c r="N53" s="133">
        <v>659.8</v>
      </c>
      <c r="O53" s="133">
        <v>0</v>
      </c>
      <c r="P53" s="133">
        <v>0.7</v>
      </c>
      <c r="Q53" s="133">
        <v>5.26</v>
      </c>
    </row>
    <row r="54" spans="1:17" customFormat="1">
      <c r="A54" s="111" t="s">
        <v>1819</v>
      </c>
      <c r="B54" s="133">
        <v>6.4</v>
      </c>
      <c r="C54" s="133">
        <v>24.84</v>
      </c>
      <c r="D54" s="133">
        <v>19.46</v>
      </c>
      <c r="E54" s="133">
        <v>6.35</v>
      </c>
      <c r="F54" s="133">
        <v>3.79</v>
      </c>
      <c r="G54" s="133">
        <v>52.59</v>
      </c>
      <c r="H54" s="133">
        <v>21.95</v>
      </c>
      <c r="I54" s="133">
        <v>7.22</v>
      </c>
      <c r="J54" s="133">
        <v>0.25</v>
      </c>
      <c r="K54" s="133">
        <v>190.19</v>
      </c>
      <c r="L54" s="133">
        <v>32.19</v>
      </c>
      <c r="M54" s="133">
        <v>48.49</v>
      </c>
      <c r="N54" s="133">
        <v>664.1</v>
      </c>
      <c r="O54" s="133">
        <v>0</v>
      </c>
      <c r="P54" s="133">
        <v>0.69</v>
      </c>
      <c r="Q54" s="133">
        <v>5.22</v>
      </c>
    </row>
    <row r="55" spans="1:17" customFormat="1">
      <c r="A55" s="111" t="s">
        <v>1820</v>
      </c>
      <c r="B55" s="133">
        <v>6.04</v>
      </c>
      <c r="C55" s="133">
        <v>23.48</v>
      </c>
      <c r="D55" s="133">
        <v>18.46</v>
      </c>
      <c r="E55" s="133">
        <v>6.02</v>
      </c>
      <c r="F55" s="133">
        <v>3.91</v>
      </c>
      <c r="G55" s="133">
        <v>52.59</v>
      </c>
      <c r="H55" s="133">
        <v>21.95</v>
      </c>
      <c r="I55" s="133">
        <v>7.05</v>
      </c>
      <c r="J55" s="133">
        <v>0.39</v>
      </c>
      <c r="K55" s="133">
        <v>168.83</v>
      </c>
      <c r="L55" s="133">
        <v>32.479999999999997</v>
      </c>
      <c r="M55" s="133">
        <v>47.02</v>
      </c>
      <c r="N55" s="133">
        <v>675</v>
      </c>
      <c r="O55" s="133">
        <v>0</v>
      </c>
      <c r="P55" s="133">
        <v>0.7</v>
      </c>
      <c r="Q55" s="133">
        <v>5.16</v>
      </c>
    </row>
    <row r="56" spans="1:17" customFormat="1">
      <c r="A56" s="111" t="s">
        <v>1821</v>
      </c>
      <c r="B56" s="133">
        <v>5.68</v>
      </c>
      <c r="C56" s="133">
        <v>22.86</v>
      </c>
      <c r="D56" s="133">
        <v>17.850000000000001</v>
      </c>
      <c r="E56" s="133">
        <v>5.69</v>
      </c>
      <c r="F56" s="133">
        <v>4.1900000000000004</v>
      </c>
      <c r="G56" s="133">
        <v>52.7</v>
      </c>
      <c r="H56" s="133">
        <v>22.3</v>
      </c>
      <c r="I56" s="133">
        <v>6.99</v>
      </c>
      <c r="J56" s="133">
        <v>0.24</v>
      </c>
      <c r="K56" s="133">
        <v>175.74</v>
      </c>
      <c r="L56" s="133">
        <v>32.5</v>
      </c>
      <c r="M56" s="133">
        <v>47.3</v>
      </c>
      <c r="N56" s="133">
        <v>678.5</v>
      </c>
      <c r="O56" s="133">
        <v>0</v>
      </c>
      <c r="P56" s="133">
        <v>0.7</v>
      </c>
      <c r="Q56" s="133">
        <v>5.14</v>
      </c>
    </row>
    <row r="57" spans="1:17" customFormat="1">
      <c r="A57" s="111" t="s">
        <v>1822</v>
      </c>
      <c r="B57" s="133">
        <v>5.52</v>
      </c>
      <c r="C57" s="133">
        <v>22.46</v>
      </c>
      <c r="D57" s="133">
        <v>17.510000000000002</v>
      </c>
      <c r="E57" s="133">
        <v>5.67</v>
      </c>
      <c r="F57" s="133">
        <v>4.46</v>
      </c>
      <c r="G57" s="133">
        <v>53.31</v>
      </c>
      <c r="H57" s="133">
        <v>23.74</v>
      </c>
      <c r="I57" s="133">
        <v>7</v>
      </c>
      <c r="J57" s="133">
        <v>0.34</v>
      </c>
      <c r="K57" s="133">
        <v>170.25</v>
      </c>
      <c r="L57" s="133">
        <v>32.81</v>
      </c>
      <c r="M57" s="133">
        <v>43.88</v>
      </c>
      <c r="N57" s="133">
        <v>681.2</v>
      </c>
      <c r="O57" s="133">
        <v>0</v>
      </c>
      <c r="P57" s="133">
        <v>0.7</v>
      </c>
      <c r="Q57" s="133">
        <v>5.1100000000000003</v>
      </c>
    </row>
    <row r="58" spans="1:17" customFormat="1">
      <c r="A58" s="111" t="s">
        <v>1823</v>
      </c>
      <c r="B58" s="133">
        <v>5.36</v>
      </c>
      <c r="C58" s="133">
        <v>21.89</v>
      </c>
      <c r="D58" s="133">
        <v>17.09</v>
      </c>
      <c r="E58" s="133">
        <v>5.78</v>
      </c>
      <c r="F58" s="133">
        <v>4.51</v>
      </c>
      <c r="G58" s="133">
        <v>53.31</v>
      </c>
      <c r="H58" s="133">
        <v>23.74</v>
      </c>
      <c r="I58" s="133">
        <v>6.88</v>
      </c>
      <c r="J58" s="133">
        <v>0.36</v>
      </c>
      <c r="K58" s="133">
        <v>166.97</v>
      </c>
      <c r="L58" s="133">
        <v>33.24</v>
      </c>
      <c r="M58" s="133">
        <v>40.53</v>
      </c>
      <c r="N58" s="133">
        <v>676.1</v>
      </c>
      <c r="O58" s="133">
        <v>0</v>
      </c>
      <c r="P58" s="133">
        <v>0.69</v>
      </c>
      <c r="Q58" s="133">
        <v>5.08</v>
      </c>
    </row>
    <row r="59" spans="1:17" customFormat="1">
      <c r="A59" s="111" t="s">
        <v>1824</v>
      </c>
      <c r="B59" s="133">
        <v>5.16</v>
      </c>
      <c r="C59" s="133">
        <v>21.63</v>
      </c>
      <c r="D59" s="133">
        <v>16.79</v>
      </c>
      <c r="E59" s="133">
        <v>5.65</v>
      </c>
      <c r="F59" s="133">
        <v>4.5</v>
      </c>
      <c r="G59" s="133">
        <v>53.31</v>
      </c>
      <c r="H59" s="133">
        <v>23.74</v>
      </c>
      <c r="I59" s="133">
        <v>6.84</v>
      </c>
      <c r="J59" s="133">
        <v>0.26</v>
      </c>
      <c r="K59" s="133">
        <v>187.51</v>
      </c>
      <c r="L59" s="133">
        <v>33.39</v>
      </c>
      <c r="M59" s="133">
        <v>41.23</v>
      </c>
      <c r="N59" s="133">
        <v>653.79999999999995</v>
      </c>
      <c r="O59" s="133">
        <v>0</v>
      </c>
      <c r="P59" s="133">
        <v>0.68</v>
      </c>
      <c r="Q59" s="133">
        <v>5.05</v>
      </c>
    </row>
    <row r="60" spans="1:17" customFormat="1">
      <c r="A60" s="111" t="s">
        <v>1825</v>
      </c>
      <c r="B60" s="133">
        <v>5.04</v>
      </c>
      <c r="C60" s="133">
        <v>21.33</v>
      </c>
      <c r="D60" s="133">
        <v>16.54</v>
      </c>
      <c r="E60" s="133">
        <v>6.18</v>
      </c>
      <c r="F60" s="133">
        <v>4.91</v>
      </c>
      <c r="G60" s="133">
        <v>52.26</v>
      </c>
      <c r="H60" s="133">
        <v>22.72</v>
      </c>
      <c r="I60" s="133">
        <v>6.75</v>
      </c>
      <c r="J60" s="133">
        <v>0.2</v>
      </c>
      <c r="K60" s="133">
        <v>67.209999999999994</v>
      </c>
      <c r="L60" s="133">
        <v>33.43</v>
      </c>
      <c r="M60" s="133">
        <v>40.67</v>
      </c>
      <c r="N60" s="133">
        <v>602.9</v>
      </c>
      <c r="O60" s="133">
        <v>0</v>
      </c>
      <c r="P60" s="133">
        <v>0.68</v>
      </c>
      <c r="Q60" s="133">
        <v>5.04</v>
      </c>
    </row>
    <row r="61" spans="1:17" customFormat="1">
      <c r="A61" s="111" t="s">
        <v>1826</v>
      </c>
      <c r="B61" s="133">
        <v>5</v>
      </c>
      <c r="C61" s="133">
        <v>20.85</v>
      </c>
      <c r="D61" s="133">
        <v>16.25</v>
      </c>
      <c r="E61" s="133">
        <v>6.56</v>
      </c>
      <c r="F61" s="133">
        <v>6.2</v>
      </c>
      <c r="G61" s="133">
        <v>46.55</v>
      </c>
      <c r="H61" s="133">
        <v>17.36</v>
      </c>
      <c r="I61" s="133">
        <v>6.64</v>
      </c>
      <c r="J61" s="133">
        <v>0.31</v>
      </c>
      <c r="K61" s="133">
        <v>174.95</v>
      </c>
      <c r="L61" s="133">
        <v>33.35</v>
      </c>
      <c r="M61" s="133">
        <v>40.6</v>
      </c>
      <c r="N61" s="133">
        <v>565.5</v>
      </c>
      <c r="O61" s="133">
        <v>0</v>
      </c>
      <c r="P61" s="133">
        <v>0.67</v>
      </c>
      <c r="Q61" s="133">
        <v>5.03</v>
      </c>
    </row>
    <row r="62" spans="1:17" customFormat="1">
      <c r="A62" s="111" t="s">
        <v>1827</v>
      </c>
      <c r="B62" s="133">
        <v>4.92</v>
      </c>
      <c r="C62" s="133">
        <v>20.81</v>
      </c>
      <c r="D62" s="133">
        <v>16.170000000000002</v>
      </c>
      <c r="E62" s="133">
        <v>5.77</v>
      </c>
      <c r="F62" s="133">
        <v>5.68</v>
      </c>
      <c r="G62" s="133">
        <v>46.55</v>
      </c>
      <c r="H62" s="133">
        <v>17.36</v>
      </c>
      <c r="I62" s="133">
        <v>6.5</v>
      </c>
      <c r="J62" s="133">
        <v>0.14000000000000001</v>
      </c>
      <c r="K62" s="133">
        <v>95.64</v>
      </c>
      <c r="L62" s="133">
        <v>33.11</v>
      </c>
      <c r="M62" s="133">
        <v>41.43</v>
      </c>
      <c r="N62" s="133">
        <v>540.9</v>
      </c>
      <c r="O62" s="133">
        <v>0</v>
      </c>
      <c r="P62" s="133">
        <v>0.66</v>
      </c>
      <c r="Q62" s="133">
        <v>5.03</v>
      </c>
    </row>
    <row r="63" spans="1:17" customFormat="1">
      <c r="A63" s="111" t="s">
        <v>1828</v>
      </c>
      <c r="B63" s="133">
        <v>4.72</v>
      </c>
      <c r="C63" s="133">
        <v>20.97</v>
      </c>
      <c r="D63" s="133">
        <v>16.09</v>
      </c>
      <c r="E63" s="133">
        <v>5.51</v>
      </c>
      <c r="F63" s="133">
        <v>5.54</v>
      </c>
      <c r="G63" s="133">
        <v>46.55</v>
      </c>
      <c r="H63" s="133">
        <v>17.36</v>
      </c>
      <c r="I63" s="133">
        <v>6.37</v>
      </c>
      <c r="J63" s="133">
        <v>0.36</v>
      </c>
      <c r="K63" s="133">
        <v>54.76</v>
      </c>
      <c r="L63" s="133">
        <v>33.46</v>
      </c>
      <c r="M63" s="133">
        <v>40.69</v>
      </c>
      <c r="N63" s="133">
        <v>514.4</v>
      </c>
      <c r="O63" s="133">
        <v>0</v>
      </c>
      <c r="P63" s="133">
        <v>0.66</v>
      </c>
      <c r="Q63" s="133">
        <v>5.0199999999999996</v>
      </c>
    </row>
    <row r="64" spans="1:17" customFormat="1">
      <c r="A64" s="111" t="s">
        <v>1829</v>
      </c>
      <c r="B64" s="133">
        <v>4.88</v>
      </c>
      <c r="C64" s="133">
        <v>21.16</v>
      </c>
      <c r="D64" s="133">
        <v>16.32</v>
      </c>
      <c r="E64" s="133">
        <v>6.97</v>
      </c>
      <c r="F64" s="133">
        <v>7.32</v>
      </c>
      <c r="G64" s="133">
        <v>46.84</v>
      </c>
      <c r="H64" s="133">
        <v>17.309999999999999</v>
      </c>
      <c r="I64" s="133">
        <v>6.31</v>
      </c>
      <c r="J64" s="133">
        <v>0.25</v>
      </c>
      <c r="K64" s="133">
        <v>58.82</v>
      </c>
      <c r="L64" s="133">
        <v>33.32</v>
      </c>
      <c r="M64" s="133">
        <v>41.38</v>
      </c>
      <c r="N64" s="133">
        <v>478.8</v>
      </c>
      <c r="O64" s="133">
        <v>0</v>
      </c>
      <c r="P64" s="133">
        <v>0.65</v>
      </c>
      <c r="Q64" s="133">
        <v>5</v>
      </c>
    </row>
    <row r="65" spans="1:17" customFormat="1">
      <c r="A65" s="111" t="s">
        <v>1830</v>
      </c>
      <c r="B65" s="133">
        <v>4.84</v>
      </c>
      <c r="C65" s="133">
        <v>21.09</v>
      </c>
      <c r="D65" s="133">
        <v>16.25</v>
      </c>
      <c r="E65" s="133">
        <v>6.1</v>
      </c>
      <c r="F65" s="133">
        <v>5.68</v>
      </c>
      <c r="G65" s="133">
        <v>48.41</v>
      </c>
      <c r="H65" s="133">
        <v>17.14</v>
      </c>
      <c r="I65" s="133">
        <v>6.22</v>
      </c>
      <c r="J65" s="133">
        <v>0.18</v>
      </c>
      <c r="K65" s="133">
        <v>177.58</v>
      </c>
      <c r="L65" s="133">
        <v>33.44</v>
      </c>
      <c r="M65" s="133">
        <v>42.86</v>
      </c>
      <c r="N65" s="133">
        <v>423.6</v>
      </c>
      <c r="O65" s="133">
        <v>0</v>
      </c>
      <c r="P65" s="133">
        <v>0.63</v>
      </c>
      <c r="Q65" s="133">
        <v>5.03</v>
      </c>
    </row>
    <row r="66" spans="1:17" customFormat="1">
      <c r="A66" s="111" t="s">
        <v>1831</v>
      </c>
      <c r="B66" s="133">
        <v>4.76</v>
      </c>
      <c r="C66" s="133">
        <v>20.43</v>
      </c>
      <c r="D66" s="133">
        <v>15.84</v>
      </c>
      <c r="E66" s="133">
        <v>5.78</v>
      </c>
      <c r="F66" s="133">
        <v>5.0599999999999996</v>
      </c>
      <c r="G66" s="133">
        <v>48.41</v>
      </c>
      <c r="H66" s="133">
        <v>17.14</v>
      </c>
      <c r="I66" s="133">
        <v>6.06</v>
      </c>
      <c r="J66" s="133">
        <v>0.25</v>
      </c>
      <c r="K66" s="133">
        <v>194.09</v>
      </c>
      <c r="L66" s="133">
        <v>33.15</v>
      </c>
      <c r="M66" s="133">
        <v>41.94</v>
      </c>
      <c r="N66" s="133">
        <v>327.7</v>
      </c>
      <c r="O66" s="133">
        <v>0</v>
      </c>
      <c r="P66" s="133">
        <v>0.65</v>
      </c>
      <c r="Q66" s="133">
        <v>5.01</v>
      </c>
    </row>
    <row r="67" spans="1:17" customFormat="1">
      <c r="A67" s="111" t="s">
        <v>1832</v>
      </c>
      <c r="B67" s="133">
        <v>4.6100000000000003</v>
      </c>
      <c r="C67" s="133">
        <v>20.02</v>
      </c>
      <c r="D67" s="133">
        <v>15.51</v>
      </c>
      <c r="E67" s="133">
        <v>5.8</v>
      </c>
      <c r="F67" s="133">
        <v>7.05</v>
      </c>
      <c r="G67" s="133">
        <v>48.41</v>
      </c>
      <c r="H67" s="133">
        <v>17.14</v>
      </c>
      <c r="I67" s="133">
        <v>6.08</v>
      </c>
      <c r="J67" s="133">
        <v>0.17</v>
      </c>
      <c r="K67" s="133">
        <v>165.85</v>
      </c>
      <c r="L67" s="133">
        <v>32.01</v>
      </c>
      <c r="M67" s="133">
        <v>48.03</v>
      </c>
      <c r="N67" s="133">
        <v>136.9</v>
      </c>
      <c r="O67" s="133">
        <v>0</v>
      </c>
      <c r="P67" s="133">
        <v>0.64</v>
      </c>
      <c r="Q67" s="133">
        <v>4.99</v>
      </c>
    </row>
    <row r="68" spans="1:17" customFormat="1">
      <c r="A68" s="111" t="s">
        <v>1833</v>
      </c>
      <c r="B68" s="133">
        <v>4.38</v>
      </c>
      <c r="C68" s="133">
        <v>19.38</v>
      </c>
      <c r="D68" s="133">
        <v>14.99</v>
      </c>
      <c r="E68" s="133">
        <v>7.92</v>
      </c>
      <c r="F68" s="133">
        <v>11.2</v>
      </c>
      <c r="G68" s="133">
        <v>47.96</v>
      </c>
      <c r="H68" s="133">
        <v>16.899999999999999</v>
      </c>
      <c r="I68" s="133">
        <v>5.96</v>
      </c>
      <c r="J68" s="133">
        <v>0.34</v>
      </c>
      <c r="K68" s="133">
        <v>192.67</v>
      </c>
      <c r="L68" s="133">
        <v>31.41</v>
      </c>
      <c r="M68" s="133">
        <v>49.21</v>
      </c>
      <c r="N68" s="133">
        <v>118</v>
      </c>
      <c r="O68" s="133">
        <v>0</v>
      </c>
      <c r="P68" s="133">
        <v>0.62</v>
      </c>
      <c r="Q68" s="133">
        <v>4.97</v>
      </c>
    </row>
    <row r="69" spans="1:17" customFormat="1">
      <c r="A69" s="111" t="s">
        <v>1834</v>
      </c>
      <c r="B69" s="133">
        <v>4.37</v>
      </c>
      <c r="C69" s="133">
        <v>18.98</v>
      </c>
      <c r="D69" s="133">
        <v>14.77</v>
      </c>
      <c r="E69" s="133">
        <v>7.72</v>
      </c>
      <c r="F69" s="133">
        <v>9.3000000000000007</v>
      </c>
      <c r="G69" s="133">
        <v>45.57</v>
      </c>
      <c r="H69" s="133">
        <v>15.94</v>
      </c>
      <c r="I69" s="133">
        <v>5.83</v>
      </c>
      <c r="J69" s="133">
        <v>0.33</v>
      </c>
      <c r="K69" s="133">
        <v>179.83</v>
      </c>
      <c r="L69" s="133">
        <v>31.32</v>
      </c>
      <c r="M69" s="133">
        <v>49.11</v>
      </c>
      <c r="N69" s="133">
        <v>102.6</v>
      </c>
      <c r="O69" s="133">
        <v>0</v>
      </c>
      <c r="P69" s="133">
        <v>0.62</v>
      </c>
      <c r="Q69" s="133">
        <v>4.97</v>
      </c>
    </row>
    <row r="70" spans="1:17" customFormat="1">
      <c r="A70" s="111" t="s">
        <v>1835</v>
      </c>
      <c r="B70" s="133">
        <v>4.2300000000000004</v>
      </c>
      <c r="C70" s="133">
        <v>19.11</v>
      </c>
      <c r="D70" s="133">
        <v>14.73</v>
      </c>
      <c r="E70" s="133">
        <v>7.45</v>
      </c>
      <c r="F70" s="133">
        <v>9.6199999999999992</v>
      </c>
      <c r="G70" s="133">
        <v>45.57</v>
      </c>
      <c r="H70" s="133">
        <v>15.94</v>
      </c>
      <c r="I70" s="133">
        <v>5.64</v>
      </c>
      <c r="J70" s="133">
        <v>0.28999999999999998</v>
      </c>
      <c r="K70" s="133">
        <v>187.6</v>
      </c>
      <c r="L70" s="133">
        <v>31.07</v>
      </c>
      <c r="M70" s="133">
        <v>48.57</v>
      </c>
      <c r="N70" s="133">
        <v>89.7</v>
      </c>
      <c r="O70" s="133">
        <v>0</v>
      </c>
      <c r="P70" s="133">
        <v>0.61</v>
      </c>
      <c r="Q70" s="133">
        <v>4.99</v>
      </c>
    </row>
    <row r="71" spans="1:17" customFormat="1">
      <c r="A71" s="111" t="s">
        <v>1836</v>
      </c>
      <c r="B71" s="133">
        <v>4.3499999999999996</v>
      </c>
      <c r="C71" s="133">
        <v>19.04</v>
      </c>
      <c r="D71" s="133">
        <v>14.79</v>
      </c>
      <c r="E71" s="133">
        <v>6.71</v>
      </c>
      <c r="F71" s="133">
        <v>8.2200000000000006</v>
      </c>
      <c r="G71" s="133">
        <v>45.57</v>
      </c>
      <c r="H71" s="133">
        <v>15.94</v>
      </c>
      <c r="I71" s="133">
        <v>5.63</v>
      </c>
      <c r="J71" s="133">
        <v>0.25</v>
      </c>
      <c r="K71" s="133">
        <v>188.76</v>
      </c>
      <c r="L71" s="133">
        <v>30.79</v>
      </c>
      <c r="M71" s="133">
        <v>51.28</v>
      </c>
      <c r="N71" s="133">
        <v>74</v>
      </c>
      <c r="O71" s="133">
        <v>0</v>
      </c>
      <c r="P71" s="133">
        <v>0.62</v>
      </c>
      <c r="Q71" s="133">
        <v>4.9800000000000004</v>
      </c>
    </row>
    <row r="72" spans="1:17" customFormat="1">
      <c r="A72" s="111" t="s">
        <v>1837</v>
      </c>
      <c r="B72" s="133">
        <v>4.1900000000000004</v>
      </c>
      <c r="C72" s="133">
        <v>19.41</v>
      </c>
      <c r="D72" s="133">
        <v>14.86</v>
      </c>
      <c r="E72" s="133">
        <v>6.54</v>
      </c>
      <c r="F72" s="133">
        <v>10.93</v>
      </c>
      <c r="G72" s="133">
        <v>45.76</v>
      </c>
      <c r="H72" s="133">
        <v>16.14</v>
      </c>
      <c r="I72" s="133">
        <v>5.52</v>
      </c>
      <c r="J72" s="133">
        <v>0.21</v>
      </c>
      <c r="K72" s="133">
        <v>177.72</v>
      </c>
      <c r="L72" s="133">
        <v>30.72</v>
      </c>
      <c r="M72" s="133">
        <v>54.99</v>
      </c>
      <c r="N72" s="133">
        <v>63.1</v>
      </c>
      <c r="O72" s="133">
        <v>0</v>
      </c>
      <c r="P72" s="133">
        <v>0.61</v>
      </c>
      <c r="Q72" s="133">
        <v>5</v>
      </c>
    </row>
    <row r="73" spans="1:17" customFormat="1">
      <c r="A73" s="111" t="s">
        <v>1838</v>
      </c>
      <c r="B73" s="133">
        <v>4.22</v>
      </c>
      <c r="C73" s="133">
        <v>19.28</v>
      </c>
      <c r="D73" s="133">
        <v>14.81</v>
      </c>
      <c r="E73" s="133">
        <v>6.6</v>
      </c>
      <c r="F73" s="133">
        <v>8.5299999999999994</v>
      </c>
      <c r="G73" s="133">
        <v>46.81</v>
      </c>
      <c r="H73" s="133">
        <v>17.010000000000002</v>
      </c>
      <c r="I73" s="133">
        <v>5.51</v>
      </c>
      <c r="J73" s="133">
        <v>0.2</v>
      </c>
      <c r="K73" s="133">
        <v>173.38</v>
      </c>
      <c r="L73" s="133">
        <v>30.59</v>
      </c>
      <c r="M73" s="133">
        <v>54.61</v>
      </c>
      <c r="N73" s="133">
        <v>51.8</v>
      </c>
      <c r="O73" s="133">
        <v>0</v>
      </c>
      <c r="P73" s="133">
        <v>0.6</v>
      </c>
      <c r="Q73" s="133">
        <v>4.99</v>
      </c>
    </row>
    <row r="74" spans="1:17" customFormat="1">
      <c r="A74" s="111" t="s">
        <v>1839</v>
      </c>
      <c r="B74" s="133">
        <v>4.3499999999999996</v>
      </c>
      <c r="C74" s="133">
        <v>19.72</v>
      </c>
      <c r="D74" s="133">
        <v>15.14</v>
      </c>
      <c r="E74" s="133">
        <v>5.86</v>
      </c>
      <c r="F74" s="133">
        <v>8.44</v>
      </c>
      <c r="G74" s="133">
        <v>46.81</v>
      </c>
      <c r="H74" s="133">
        <v>17.010000000000002</v>
      </c>
      <c r="I74" s="133">
        <v>5.3</v>
      </c>
      <c r="J74" s="133">
        <v>0.28999999999999998</v>
      </c>
      <c r="K74" s="133">
        <v>159.22999999999999</v>
      </c>
      <c r="L74" s="133">
        <v>30.3</v>
      </c>
      <c r="M74" s="133">
        <v>56.97</v>
      </c>
      <c r="N74" s="133">
        <v>40.299999999999997</v>
      </c>
      <c r="O74" s="133">
        <v>0</v>
      </c>
      <c r="P74" s="133">
        <v>0.6</v>
      </c>
      <c r="Q74" s="133">
        <v>4.99</v>
      </c>
    </row>
    <row r="75" spans="1:17" customFormat="1">
      <c r="A75" s="111" t="s">
        <v>1840</v>
      </c>
      <c r="B75" s="133">
        <v>4.47</v>
      </c>
      <c r="C75" s="133">
        <v>19.690000000000001</v>
      </c>
      <c r="D75" s="133">
        <v>15.22</v>
      </c>
      <c r="E75" s="133">
        <v>5.44</v>
      </c>
      <c r="F75" s="133">
        <v>8.91</v>
      </c>
      <c r="G75" s="133">
        <v>46.81</v>
      </c>
      <c r="H75" s="133">
        <v>17.010000000000002</v>
      </c>
      <c r="I75" s="133">
        <v>5.21</v>
      </c>
      <c r="J75" s="133">
        <v>0.22</v>
      </c>
      <c r="K75" s="133">
        <v>173.57</v>
      </c>
      <c r="L75" s="133">
        <v>30.17</v>
      </c>
      <c r="M75" s="133">
        <v>59.14</v>
      </c>
      <c r="N75" s="133">
        <v>24.4</v>
      </c>
      <c r="O75" s="133">
        <v>0</v>
      </c>
      <c r="P75" s="133">
        <v>0.6</v>
      </c>
      <c r="Q75" s="133">
        <v>5</v>
      </c>
    </row>
    <row r="76" spans="1:17" customFormat="1">
      <c r="A76" s="111" t="s">
        <v>1841</v>
      </c>
      <c r="B76" s="133">
        <v>4.59</v>
      </c>
      <c r="C76" s="133">
        <v>19.850000000000001</v>
      </c>
      <c r="D76" s="133">
        <v>15.4</v>
      </c>
      <c r="E76" s="133">
        <v>5.54</v>
      </c>
      <c r="F76" s="133">
        <v>7.73</v>
      </c>
      <c r="G76" s="133">
        <v>46.91</v>
      </c>
      <c r="H76" s="133">
        <v>17.690000000000001</v>
      </c>
      <c r="I76" s="133">
        <v>5.1100000000000003</v>
      </c>
      <c r="J76" s="133">
        <v>0.17</v>
      </c>
      <c r="K76" s="133">
        <v>168.57</v>
      </c>
      <c r="L76" s="133">
        <v>29.49</v>
      </c>
      <c r="M76" s="133">
        <v>62.87</v>
      </c>
      <c r="N76" s="133">
        <v>13.1</v>
      </c>
      <c r="O76" s="133">
        <v>0</v>
      </c>
      <c r="P76" s="133">
        <v>0.6</v>
      </c>
      <c r="Q76" s="133">
        <v>4.99</v>
      </c>
    </row>
    <row r="77" spans="1:17" customFormat="1">
      <c r="A77" s="111" t="s">
        <v>1842</v>
      </c>
      <c r="B77" s="133">
        <v>4.75</v>
      </c>
      <c r="C77" s="133">
        <v>20.09</v>
      </c>
      <c r="D77" s="133">
        <v>15.66</v>
      </c>
      <c r="E77" s="133">
        <v>5.38</v>
      </c>
      <c r="F77" s="133">
        <v>7.34</v>
      </c>
      <c r="G77" s="133">
        <v>47.5</v>
      </c>
      <c r="H77" s="133">
        <v>20.46</v>
      </c>
      <c r="I77" s="133">
        <v>4.9800000000000004</v>
      </c>
      <c r="J77" s="133">
        <v>0.16</v>
      </c>
      <c r="K77" s="133">
        <v>169.89</v>
      </c>
      <c r="L77" s="133">
        <v>28.83</v>
      </c>
      <c r="M77" s="133">
        <v>65.959999999999994</v>
      </c>
      <c r="N77" s="133">
        <v>3.1</v>
      </c>
      <c r="O77" s="133">
        <v>0</v>
      </c>
      <c r="P77" s="133">
        <v>0.57999999999999996</v>
      </c>
      <c r="Q77" s="133">
        <v>5.0199999999999996</v>
      </c>
    </row>
    <row r="78" spans="1:17" customFormat="1">
      <c r="A78" s="111" t="s">
        <v>1843</v>
      </c>
      <c r="B78" s="133">
        <v>4.8600000000000003</v>
      </c>
      <c r="C78" s="133">
        <v>20.65</v>
      </c>
      <c r="D78" s="133">
        <v>16.04</v>
      </c>
      <c r="E78" s="133">
        <v>5.67</v>
      </c>
      <c r="F78" s="133">
        <v>6.23</v>
      </c>
      <c r="G78" s="133">
        <v>47.5</v>
      </c>
      <c r="H78" s="133">
        <v>20.46</v>
      </c>
      <c r="I78" s="133">
        <v>4.9000000000000004</v>
      </c>
      <c r="J78" s="133">
        <v>0.21</v>
      </c>
      <c r="K78" s="133">
        <v>168.13</v>
      </c>
      <c r="L78" s="133">
        <v>28.4</v>
      </c>
      <c r="M78" s="133">
        <v>66.61</v>
      </c>
      <c r="N78" s="133">
        <v>0</v>
      </c>
      <c r="O78" s="133">
        <v>0</v>
      </c>
      <c r="P78" s="133">
        <v>0.59</v>
      </c>
      <c r="Q78" s="133">
        <v>5.03</v>
      </c>
    </row>
    <row r="79" spans="1:17" customFormat="1">
      <c r="A79" s="111" t="s">
        <v>1844</v>
      </c>
      <c r="B79" s="133">
        <v>5.04</v>
      </c>
      <c r="C79" s="133">
        <v>20.85</v>
      </c>
      <c r="D79" s="133">
        <v>16.28</v>
      </c>
      <c r="E79" s="133">
        <v>5.9</v>
      </c>
      <c r="F79" s="133">
        <v>5.64</v>
      </c>
      <c r="G79" s="133">
        <v>47.5</v>
      </c>
      <c r="H79" s="133">
        <v>20.46</v>
      </c>
      <c r="I79" s="133">
        <v>4.88</v>
      </c>
      <c r="J79" s="133">
        <v>0.23</v>
      </c>
      <c r="K79" s="133">
        <v>161.91999999999999</v>
      </c>
      <c r="L79" s="133">
        <v>28.03</v>
      </c>
      <c r="M79" s="133">
        <v>68.180000000000007</v>
      </c>
      <c r="N79" s="133">
        <v>0</v>
      </c>
      <c r="O79" s="133">
        <v>0</v>
      </c>
      <c r="P79" s="133">
        <v>0.59</v>
      </c>
      <c r="Q79" s="133">
        <v>5.05</v>
      </c>
    </row>
    <row r="80" spans="1:17" customFormat="1">
      <c r="A80" s="111" t="s">
        <v>1845</v>
      </c>
      <c r="B80" s="133">
        <v>5.13</v>
      </c>
      <c r="C80" s="133">
        <v>21.06</v>
      </c>
      <c r="D80" s="133">
        <v>16.47</v>
      </c>
      <c r="E80" s="133">
        <v>5.9</v>
      </c>
      <c r="F80" s="133">
        <v>6.43</v>
      </c>
      <c r="G80" s="133">
        <v>47.75</v>
      </c>
      <c r="H80" s="133">
        <v>19.63</v>
      </c>
      <c r="I80" s="133">
        <v>4.91</v>
      </c>
      <c r="J80" s="133">
        <v>0.17</v>
      </c>
      <c r="K80" s="133">
        <v>164.81</v>
      </c>
      <c r="L80" s="133">
        <v>27.58</v>
      </c>
      <c r="M80" s="133">
        <v>69.59</v>
      </c>
      <c r="N80" s="133">
        <v>0</v>
      </c>
      <c r="O80" s="133">
        <v>0</v>
      </c>
      <c r="P80" s="133">
        <v>0.57999999999999996</v>
      </c>
      <c r="Q80" s="133">
        <v>5.07</v>
      </c>
    </row>
    <row r="81" spans="1:17" customFormat="1">
      <c r="A81" s="111" t="s">
        <v>1846</v>
      </c>
      <c r="B81" s="133">
        <v>5.3</v>
      </c>
      <c r="C81" s="133">
        <v>21.55</v>
      </c>
      <c r="D81" s="133">
        <v>16.86</v>
      </c>
      <c r="E81" s="133">
        <v>6.04</v>
      </c>
      <c r="F81" s="133">
        <v>4.95</v>
      </c>
      <c r="G81" s="133">
        <v>49.12</v>
      </c>
      <c r="H81" s="133">
        <v>16.260000000000002</v>
      </c>
      <c r="I81" s="133">
        <v>4.8600000000000003</v>
      </c>
      <c r="J81" s="133">
        <v>0.13</v>
      </c>
      <c r="K81" s="133">
        <v>188.95</v>
      </c>
      <c r="L81" s="133">
        <v>27.25</v>
      </c>
      <c r="M81" s="133">
        <v>70.75</v>
      </c>
      <c r="N81" s="133">
        <v>0</v>
      </c>
      <c r="O81" s="133">
        <v>0</v>
      </c>
      <c r="P81" s="133">
        <v>0.59</v>
      </c>
      <c r="Q81" s="133">
        <v>5.07</v>
      </c>
    </row>
    <row r="82" spans="1:17" customFormat="1">
      <c r="A82" s="111" t="s">
        <v>1847</v>
      </c>
      <c r="B82" s="133">
        <v>5.57</v>
      </c>
      <c r="C82" s="133">
        <v>22.02</v>
      </c>
      <c r="D82" s="133">
        <v>17.32</v>
      </c>
      <c r="E82" s="133">
        <v>6.4</v>
      </c>
      <c r="F82" s="133">
        <v>4.05</v>
      </c>
      <c r="G82" s="133">
        <v>49.12</v>
      </c>
      <c r="H82" s="133">
        <v>16.260000000000002</v>
      </c>
      <c r="I82" s="133">
        <v>4.8499999999999996</v>
      </c>
      <c r="J82" s="133">
        <v>0.19</v>
      </c>
      <c r="K82" s="133">
        <v>160.4</v>
      </c>
      <c r="L82" s="133">
        <v>27.05</v>
      </c>
      <c r="M82" s="133">
        <v>76.56</v>
      </c>
      <c r="N82" s="133">
        <v>0</v>
      </c>
      <c r="O82" s="133">
        <v>0</v>
      </c>
      <c r="P82" s="133">
        <v>0.59</v>
      </c>
      <c r="Q82" s="133">
        <v>5.0999999999999996</v>
      </c>
    </row>
    <row r="83" spans="1:17" customFormat="1">
      <c r="A83" s="111" t="s">
        <v>1848</v>
      </c>
      <c r="B83" s="133">
        <v>5.81</v>
      </c>
      <c r="C83" s="133">
        <v>22.13</v>
      </c>
      <c r="D83" s="133">
        <v>17.57</v>
      </c>
      <c r="E83" s="133">
        <v>6.21</v>
      </c>
      <c r="F83" s="133">
        <v>3.51</v>
      </c>
      <c r="G83" s="133">
        <v>49.12</v>
      </c>
      <c r="H83" s="133">
        <v>16.260000000000002</v>
      </c>
      <c r="I83" s="133">
        <v>4.8899999999999997</v>
      </c>
      <c r="J83" s="133">
        <v>0.17</v>
      </c>
      <c r="K83" s="133">
        <v>168.23</v>
      </c>
      <c r="L83" s="133">
        <v>26.81</v>
      </c>
      <c r="M83" s="133">
        <v>77.819999999999993</v>
      </c>
      <c r="N83" s="133">
        <v>0</v>
      </c>
      <c r="O83" s="133">
        <v>0</v>
      </c>
      <c r="P83" s="133">
        <v>0.59</v>
      </c>
      <c r="Q83" s="133">
        <v>5.14</v>
      </c>
    </row>
    <row r="84" spans="1:17" customFormat="1">
      <c r="A84" s="111" t="s">
        <v>1849</v>
      </c>
      <c r="B84" s="133">
        <v>5.83</v>
      </c>
      <c r="C84" s="133">
        <v>22.49</v>
      </c>
      <c r="D84" s="133">
        <v>17.77</v>
      </c>
      <c r="E84" s="133">
        <v>6.6</v>
      </c>
      <c r="F84" s="133">
        <v>3.35</v>
      </c>
      <c r="G84" s="133">
        <v>49.6</v>
      </c>
      <c r="H84" s="133">
        <v>17.059999999999999</v>
      </c>
      <c r="I84" s="133">
        <v>4.91</v>
      </c>
      <c r="J84" s="133">
        <v>0.17</v>
      </c>
      <c r="K84" s="133">
        <v>167.14</v>
      </c>
      <c r="L84" s="133">
        <v>26.66</v>
      </c>
      <c r="M84" s="133">
        <v>78.55</v>
      </c>
      <c r="N84" s="133">
        <v>0</v>
      </c>
      <c r="O84" s="133">
        <v>0</v>
      </c>
      <c r="P84" s="133">
        <v>0.6</v>
      </c>
      <c r="Q84" s="133">
        <v>5.15</v>
      </c>
    </row>
    <row r="85" spans="1:17" customFormat="1">
      <c r="A85" s="111" t="s">
        <v>1850</v>
      </c>
      <c r="B85" s="133">
        <v>6.16</v>
      </c>
      <c r="C85" s="133">
        <v>22.91</v>
      </c>
      <c r="D85" s="133">
        <v>18.260000000000002</v>
      </c>
      <c r="E85" s="133">
        <v>6.36</v>
      </c>
      <c r="F85" s="133">
        <v>4.25</v>
      </c>
      <c r="G85" s="133">
        <v>52.2</v>
      </c>
      <c r="H85" s="133">
        <v>20.89</v>
      </c>
      <c r="I85" s="133">
        <v>5.03</v>
      </c>
      <c r="J85" s="133">
        <v>0.16</v>
      </c>
      <c r="K85" s="133">
        <v>149.13</v>
      </c>
      <c r="L85" s="133">
        <v>26.53</v>
      </c>
      <c r="M85" s="133">
        <v>75.75</v>
      </c>
      <c r="N85" s="133">
        <v>0</v>
      </c>
      <c r="O85" s="133">
        <v>0</v>
      </c>
      <c r="P85" s="133">
        <v>0.62</v>
      </c>
      <c r="Q85" s="133">
        <v>5.18</v>
      </c>
    </row>
    <row r="86" spans="1:17" customFormat="1">
      <c r="A86" s="111" t="s">
        <v>1851</v>
      </c>
      <c r="B86" s="133">
        <v>6.53</v>
      </c>
      <c r="C86" s="133">
        <v>23.3</v>
      </c>
      <c r="D86" s="133">
        <v>18.77</v>
      </c>
      <c r="E86" s="133">
        <v>7.09</v>
      </c>
      <c r="F86" s="133">
        <v>3.17</v>
      </c>
      <c r="G86" s="133">
        <v>52.2</v>
      </c>
      <c r="H86" s="133">
        <v>20.89</v>
      </c>
      <c r="I86" s="133">
        <v>5.13</v>
      </c>
      <c r="J86" s="133">
        <v>0.13</v>
      </c>
      <c r="K86" s="133">
        <v>178.79</v>
      </c>
      <c r="L86" s="133">
        <v>26.42</v>
      </c>
      <c r="M86" s="133">
        <v>73.62</v>
      </c>
      <c r="N86" s="133">
        <v>0</v>
      </c>
      <c r="O86" s="133">
        <v>0</v>
      </c>
      <c r="P86" s="133">
        <v>0.62</v>
      </c>
      <c r="Q86" s="133">
        <v>5.23</v>
      </c>
    </row>
    <row r="87" spans="1:17" customFormat="1">
      <c r="A87" s="111" t="s">
        <v>1852</v>
      </c>
      <c r="B87" s="133">
        <v>6.64</v>
      </c>
      <c r="C87" s="133">
        <v>23.5</v>
      </c>
      <c r="D87" s="133">
        <v>18.96</v>
      </c>
      <c r="E87" s="133">
        <v>6.82</v>
      </c>
      <c r="F87" s="133">
        <v>2.96</v>
      </c>
      <c r="G87" s="133">
        <v>52.2</v>
      </c>
      <c r="H87" s="133">
        <v>20.89</v>
      </c>
      <c r="I87" s="133">
        <v>5.26</v>
      </c>
      <c r="J87" s="133">
        <v>0.13</v>
      </c>
      <c r="K87" s="133">
        <v>184.06</v>
      </c>
      <c r="L87" s="133">
        <v>26.31</v>
      </c>
      <c r="M87" s="133">
        <v>73.75</v>
      </c>
      <c r="N87" s="133">
        <v>0</v>
      </c>
      <c r="O87" s="133">
        <v>0</v>
      </c>
      <c r="P87" s="133">
        <v>0.62</v>
      </c>
      <c r="Q87" s="133">
        <v>5.23</v>
      </c>
    </row>
    <row r="88" spans="1:17" customFormat="1">
      <c r="A88" s="111" t="s">
        <v>1853</v>
      </c>
      <c r="B88" s="133">
        <v>6.82</v>
      </c>
      <c r="C88" s="133">
        <v>23.84</v>
      </c>
      <c r="D88" s="133">
        <v>19.27</v>
      </c>
      <c r="E88" s="133">
        <v>6.71</v>
      </c>
      <c r="F88" s="133">
        <v>2.95</v>
      </c>
      <c r="G88" s="133">
        <v>52.63</v>
      </c>
      <c r="H88" s="133">
        <v>21.09</v>
      </c>
      <c r="I88" s="133">
        <v>5.31</v>
      </c>
      <c r="J88" s="133">
        <v>0.31</v>
      </c>
      <c r="K88" s="133">
        <v>166.59</v>
      </c>
      <c r="L88" s="133">
        <v>26.28</v>
      </c>
      <c r="M88" s="133">
        <v>76.41</v>
      </c>
      <c r="N88" s="133">
        <v>0</v>
      </c>
      <c r="O88" s="133">
        <v>0</v>
      </c>
      <c r="P88" s="133">
        <v>0.63</v>
      </c>
      <c r="Q88" s="133">
        <v>5.24</v>
      </c>
    </row>
    <row r="89" spans="1:17" customFormat="1">
      <c r="A89" s="111" t="s">
        <v>1854</v>
      </c>
      <c r="B89" s="133">
        <v>7.08</v>
      </c>
      <c r="C89" s="133">
        <v>24.16</v>
      </c>
      <c r="D89" s="133">
        <v>19.649999999999999</v>
      </c>
      <c r="E89" s="133">
        <v>6.72</v>
      </c>
      <c r="F89" s="133">
        <v>2.83</v>
      </c>
      <c r="G89" s="133">
        <v>54.99</v>
      </c>
      <c r="H89" s="133">
        <v>21.88</v>
      </c>
      <c r="I89" s="133">
        <v>5.41</v>
      </c>
      <c r="J89" s="133">
        <v>0.18</v>
      </c>
      <c r="K89" s="133">
        <v>169.37</v>
      </c>
      <c r="L89" s="133">
        <v>25.88</v>
      </c>
      <c r="M89" s="133">
        <v>82.09</v>
      </c>
      <c r="N89" s="133">
        <v>0</v>
      </c>
      <c r="O89" s="133">
        <v>0</v>
      </c>
      <c r="P89" s="133">
        <v>0.63</v>
      </c>
      <c r="Q89" s="133">
        <v>5.26</v>
      </c>
    </row>
    <row r="90" spans="1:17" customFormat="1">
      <c r="A90" s="111" t="s">
        <v>1855</v>
      </c>
      <c r="B90" s="133">
        <v>7.49</v>
      </c>
      <c r="C90" s="133">
        <v>24.54</v>
      </c>
      <c r="D90" s="133">
        <v>20.18</v>
      </c>
      <c r="E90" s="133">
        <v>6.93</v>
      </c>
      <c r="F90" s="133">
        <v>2.76</v>
      </c>
      <c r="G90" s="133">
        <v>54.99</v>
      </c>
      <c r="H90" s="133">
        <v>21.88</v>
      </c>
      <c r="I90" s="133">
        <v>5.43</v>
      </c>
      <c r="J90" s="133">
        <v>0.27</v>
      </c>
      <c r="K90" s="133">
        <v>29.39</v>
      </c>
      <c r="L90" s="133">
        <v>25.84</v>
      </c>
      <c r="M90" s="133">
        <v>79.22</v>
      </c>
      <c r="N90" s="133">
        <v>0</v>
      </c>
      <c r="O90" s="133">
        <v>0</v>
      </c>
      <c r="P90" s="133">
        <v>0.66</v>
      </c>
      <c r="Q90" s="133">
        <v>5.29</v>
      </c>
    </row>
    <row r="91" spans="1:17" customFormat="1">
      <c r="A91" s="111" t="s">
        <v>1856</v>
      </c>
      <c r="B91" s="133">
        <v>9.17</v>
      </c>
      <c r="C91" s="133">
        <v>25.84</v>
      </c>
      <c r="D91" s="133">
        <v>22.2</v>
      </c>
      <c r="E91" s="133">
        <v>6.83</v>
      </c>
      <c r="F91" s="133">
        <v>2.4900000000000002</v>
      </c>
      <c r="G91" s="133">
        <v>54.99</v>
      </c>
      <c r="H91" s="133">
        <v>21.88</v>
      </c>
      <c r="I91" s="133">
        <v>5.48</v>
      </c>
      <c r="J91" s="133">
        <v>0.85</v>
      </c>
      <c r="K91" s="133">
        <v>29.14</v>
      </c>
      <c r="L91" s="133">
        <v>25.96</v>
      </c>
      <c r="M91" s="133">
        <v>75.55</v>
      </c>
      <c r="N91" s="133">
        <v>0</v>
      </c>
      <c r="O91" s="133">
        <v>0</v>
      </c>
      <c r="P91" s="133">
        <v>0.71</v>
      </c>
      <c r="Q91" s="133">
        <v>5.36</v>
      </c>
    </row>
    <row r="92" spans="1:17" customFormat="1">
      <c r="A92" s="111" t="s">
        <v>1857</v>
      </c>
      <c r="B92" s="133">
        <v>9.85</v>
      </c>
      <c r="C92" s="133">
        <v>27.09</v>
      </c>
      <c r="D92" s="133">
        <v>23.4</v>
      </c>
      <c r="E92" s="133">
        <v>7.08</v>
      </c>
      <c r="F92" s="133">
        <v>2.83</v>
      </c>
      <c r="G92" s="133">
        <v>56.48</v>
      </c>
      <c r="H92" s="133">
        <v>21.69</v>
      </c>
      <c r="I92" s="133">
        <v>5.56</v>
      </c>
      <c r="J92" s="133">
        <v>0.8</v>
      </c>
      <c r="K92" s="133">
        <v>34.08</v>
      </c>
      <c r="L92" s="133">
        <v>25.24</v>
      </c>
      <c r="M92" s="133">
        <v>75.86</v>
      </c>
      <c r="N92" s="133">
        <v>0</v>
      </c>
      <c r="O92" s="133">
        <v>0</v>
      </c>
      <c r="P92" s="133">
        <v>0.69</v>
      </c>
      <c r="Q92" s="133">
        <v>5.41</v>
      </c>
    </row>
    <row r="93" spans="1:17" customFormat="1">
      <c r="A93" s="111" t="s">
        <v>1858</v>
      </c>
      <c r="B93" s="133">
        <v>10.34</v>
      </c>
      <c r="C93" s="133">
        <v>25.27</v>
      </c>
      <c r="D93" s="133">
        <v>22.85</v>
      </c>
      <c r="E93" s="133">
        <v>7.12</v>
      </c>
      <c r="F93" s="133">
        <v>3.39</v>
      </c>
      <c r="G93" s="133">
        <v>64.58</v>
      </c>
      <c r="H93" s="133">
        <v>20.93</v>
      </c>
      <c r="I93" s="133">
        <v>5.75</v>
      </c>
      <c r="J93" s="133">
        <v>0.61</v>
      </c>
      <c r="K93" s="133">
        <v>30.07</v>
      </c>
      <c r="L93" s="133">
        <v>24.7</v>
      </c>
      <c r="M93" s="133">
        <v>77.94</v>
      </c>
      <c r="N93" s="133">
        <v>0</v>
      </c>
      <c r="O93" s="133">
        <v>0</v>
      </c>
      <c r="P93" s="133">
        <v>0.66</v>
      </c>
      <c r="Q93" s="133">
        <v>5.44</v>
      </c>
    </row>
    <row r="94" spans="1:17" customFormat="1">
      <c r="A94" s="111" t="s">
        <v>1859</v>
      </c>
      <c r="B94" s="133">
        <v>10.65</v>
      </c>
      <c r="C94" s="133">
        <v>23.92</v>
      </c>
      <c r="D94" s="133">
        <v>22.39</v>
      </c>
      <c r="E94" s="133">
        <v>7.01</v>
      </c>
      <c r="F94" s="133">
        <v>3.23</v>
      </c>
      <c r="G94" s="133">
        <v>64.58</v>
      </c>
      <c r="H94" s="133">
        <v>20.93</v>
      </c>
      <c r="I94" s="133">
        <v>5.72</v>
      </c>
      <c r="J94" s="133">
        <v>0.5</v>
      </c>
      <c r="K94" s="133">
        <v>31.09</v>
      </c>
      <c r="L94" s="133">
        <v>24.46</v>
      </c>
      <c r="M94" s="133">
        <v>78.45</v>
      </c>
      <c r="N94" s="133">
        <v>0</v>
      </c>
      <c r="O94" s="133">
        <v>0</v>
      </c>
      <c r="P94" s="133">
        <v>0.65</v>
      </c>
      <c r="Q94" s="133">
        <v>5.44</v>
      </c>
    </row>
    <row r="95" spans="1:17" customFormat="1">
      <c r="A95" s="111" t="s">
        <v>1860</v>
      </c>
      <c r="B95" s="133">
        <v>10.97</v>
      </c>
      <c r="C95" s="133">
        <v>23.21</v>
      </c>
      <c r="D95" s="133">
        <v>22.27</v>
      </c>
      <c r="E95" s="133">
        <v>6.77</v>
      </c>
      <c r="F95" s="133">
        <v>3.08</v>
      </c>
      <c r="G95" s="133">
        <v>64.58</v>
      </c>
      <c r="H95" s="133">
        <v>20.93</v>
      </c>
      <c r="I95" s="133">
        <v>5.69</v>
      </c>
      <c r="J95" s="133">
        <v>0.45</v>
      </c>
      <c r="K95" s="133">
        <v>37.53</v>
      </c>
      <c r="L95" s="133">
        <v>24.34</v>
      </c>
      <c r="M95" s="133">
        <v>78.47</v>
      </c>
      <c r="N95" s="133">
        <v>0</v>
      </c>
      <c r="O95" s="133">
        <v>0</v>
      </c>
      <c r="P95" s="133">
        <v>0.64</v>
      </c>
      <c r="Q95" s="133">
        <v>5.44</v>
      </c>
    </row>
    <row r="96" spans="1:17" customFormat="1">
      <c r="A96" s="111" t="s">
        <v>1861</v>
      </c>
      <c r="B96" s="133">
        <v>11.31</v>
      </c>
      <c r="C96" s="133">
        <v>23</v>
      </c>
      <c r="D96" s="133">
        <v>22.44</v>
      </c>
      <c r="E96" s="133">
        <v>6.57</v>
      </c>
      <c r="F96" s="133">
        <v>3.14</v>
      </c>
      <c r="G96" s="133">
        <v>64.77</v>
      </c>
      <c r="H96" s="133">
        <v>20.64</v>
      </c>
      <c r="I96" s="133">
        <v>5.63</v>
      </c>
      <c r="J96" s="133">
        <v>0.4</v>
      </c>
      <c r="K96" s="133">
        <v>31.5</v>
      </c>
      <c r="L96" s="133">
        <v>24.23</v>
      </c>
      <c r="M96" s="133">
        <v>78.61</v>
      </c>
      <c r="N96" s="133">
        <v>0</v>
      </c>
      <c r="O96" s="133">
        <v>0</v>
      </c>
      <c r="P96" s="133">
        <v>0.63</v>
      </c>
      <c r="Q96" s="133">
        <v>5.44</v>
      </c>
    </row>
    <row r="97" spans="1:22" customFormat="1">
      <c r="A97" s="111" t="s">
        <v>1862</v>
      </c>
      <c r="B97" s="133">
        <v>11.78</v>
      </c>
      <c r="C97" s="133">
        <v>24.85</v>
      </c>
      <c r="D97" s="133">
        <v>23.78</v>
      </c>
      <c r="E97" s="133">
        <v>6.53</v>
      </c>
      <c r="F97" s="133">
        <v>2.5499999999999998</v>
      </c>
      <c r="G97" s="133">
        <v>65.84</v>
      </c>
      <c r="H97" s="133">
        <v>19.46</v>
      </c>
      <c r="I97" s="133">
        <v>5.61</v>
      </c>
      <c r="J97" s="133">
        <v>0.32</v>
      </c>
      <c r="K97" s="133">
        <v>25.77</v>
      </c>
      <c r="L97" s="133">
        <v>24.23</v>
      </c>
      <c r="M97" s="133">
        <v>78.47</v>
      </c>
      <c r="N97" s="133">
        <v>0</v>
      </c>
      <c r="O97" s="133">
        <v>0</v>
      </c>
      <c r="P97" s="133">
        <v>0.65</v>
      </c>
      <c r="Q97" s="133">
        <v>5.42</v>
      </c>
    </row>
    <row r="98" spans="1:22" customFormat="1">
      <c r="A98" s="111" t="s">
        <v>1863</v>
      </c>
      <c r="B98" s="133">
        <v>12.58</v>
      </c>
      <c r="C98" s="133">
        <v>24.69</v>
      </c>
      <c r="D98" s="133">
        <v>24.33</v>
      </c>
      <c r="E98" s="133">
        <v>7.01</v>
      </c>
      <c r="F98" s="133">
        <v>2.6</v>
      </c>
      <c r="G98" s="133">
        <v>65.84</v>
      </c>
      <c r="H98" s="133">
        <v>19.46</v>
      </c>
      <c r="I98" s="133">
        <v>5.56</v>
      </c>
      <c r="J98" s="133">
        <v>0.21</v>
      </c>
      <c r="K98" s="133">
        <v>21.2</v>
      </c>
      <c r="L98" s="133">
        <v>24.22</v>
      </c>
      <c r="M98" s="133">
        <v>78.790000000000006</v>
      </c>
      <c r="N98" s="133">
        <v>0</v>
      </c>
      <c r="O98" s="133">
        <v>0</v>
      </c>
      <c r="P98" s="133">
        <v>0.64</v>
      </c>
      <c r="Q98" s="133">
        <v>5.47</v>
      </c>
    </row>
    <row r="99" spans="1:22" customFormat="1">
      <c r="A99" s="111" t="s">
        <v>1864</v>
      </c>
      <c r="B99" s="133">
        <v>13.31</v>
      </c>
      <c r="C99" s="133">
        <v>24.43</v>
      </c>
      <c r="D99" s="133">
        <v>24.79</v>
      </c>
      <c r="E99" s="133">
        <v>6.91</v>
      </c>
      <c r="F99" s="133">
        <v>2.62</v>
      </c>
      <c r="G99" s="133">
        <v>65.84</v>
      </c>
      <c r="H99" s="133">
        <v>19.46</v>
      </c>
      <c r="I99" s="133">
        <v>5.61</v>
      </c>
      <c r="J99" s="133">
        <v>0.21</v>
      </c>
      <c r="K99" s="133">
        <v>37.83</v>
      </c>
      <c r="L99" s="133">
        <v>24.18</v>
      </c>
      <c r="M99" s="133">
        <v>78.44</v>
      </c>
      <c r="N99" s="133">
        <v>0</v>
      </c>
      <c r="O99" s="133">
        <v>0</v>
      </c>
      <c r="P99" s="133">
        <v>0.63</v>
      </c>
      <c r="Q99" s="133">
        <v>5.53</v>
      </c>
    </row>
    <row r="100" spans="1:22" customFormat="1">
      <c r="A100" s="111" t="s">
        <v>1865</v>
      </c>
      <c r="B100" s="133">
        <v>14.11</v>
      </c>
      <c r="C100" s="133">
        <v>25.6</v>
      </c>
      <c r="D100" s="133">
        <v>26.05</v>
      </c>
      <c r="E100" s="133">
        <v>6.91</v>
      </c>
      <c r="F100" s="133">
        <v>2.5</v>
      </c>
      <c r="G100" s="133">
        <v>65.31</v>
      </c>
      <c r="H100" s="133">
        <v>19.96</v>
      </c>
      <c r="I100" s="133">
        <v>5.54</v>
      </c>
      <c r="J100" s="133">
        <v>0.03</v>
      </c>
      <c r="K100" s="133">
        <v>62.84</v>
      </c>
      <c r="L100" s="133">
        <v>24.13</v>
      </c>
      <c r="M100" s="133">
        <v>79.989999999999995</v>
      </c>
      <c r="N100" s="133">
        <v>0</v>
      </c>
      <c r="O100" s="133">
        <v>0</v>
      </c>
      <c r="P100" s="133">
        <v>0.65</v>
      </c>
      <c r="Q100" s="133">
        <v>5.57</v>
      </c>
    </row>
    <row r="101" spans="1:22" customFormat="1">
      <c r="A101" s="111" t="s">
        <v>1866</v>
      </c>
      <c r="B101" s="133">
        <v>14.75</v>
      </c>
      <c r="C101" s="133">
        <v>24.77</v>
      </c>
      <c r="D101" s="133">
        <v>26.12</v>
      </c>
      <c r="E101" s="133">
        <v>6.54</v>
      </c>
      <c r="F101" s="133">
        <v>2.69</v>
      </c>
      <c r="G101" s="133">
        <v>62.45</v>
      </c>
      <c r="H101" s="133">
        <v>22.02</v>
      </c>
      <c r="I101" s="133">
        <v>5.49</v>
      </c>
      <c r="J101" s="133">
        <v>0.15</v>
      </c>
      <c r="K101" s="133">
        <v>31.61</v>
      </c>
      <c r="L101" s="133">
        <v>24.08</v>
      </c>
      <c r="M101" s="133">
        <v>77.819999999999993</v>
      </c>
      <c r="N101" s="133">
        <v>0</v>
      </c>
      <c r="O101" s="133">
        <v>0</v>
      </c>
      <c r="P101" s="133">
        <v>0.64</v>
      </c>
      <c r="Q101" s="133">
        <v>5.6</v>
      </c>
    </row>
    <row r="102" spans="1:22" customFormat="1">
      <c r="A102" s="111" t="s">
        <v>1867</v>
      </c>
      <c r="B102" s="133">
        <v>15.17</v>
      </c>
      <c r="C102" s="133">
        <v>25.21</v>
      </c>
      <c r="D102" s="133">
        <v>26.68</v>
      </c>
      <c r="E102" s="133">
        <v>6.62</v>
      </c>
      <c r="F102" s="133">
        <v>2.52</v>
      </c>
      <c r="G102" s="133">
        <v>62.45</v>
      </c>
      <c r="H102" s="133">
        <v>22.02</v>
      </c>
      <c r="I102" s="133">
        <v>5.54</v>
      </c>
      <c r="J102" s="133">
        <v>0.13</v>
      </c>
      <c r="K102" s="133">
        <v>36.380000000000003</v>
      </c>
      <c r="L102" s="133">
        <v>24.04</v>
      </c>
      <c r="M102" s="133">
        <v>78.67</v>
      </c>
      <c r="N102" s="133">
        <v>0</v>
      </c>
      <c r="O102" s="133">
        <v>0</v>
      </c>
      <c r="P102" s="133">
        <v>0.64</v>
      </c>
      <c r="Q102" s="133">
        <v>5.64</v>
      </c>
    </row>
    <row r="103" spans="1:22" customFormat="1">
      <c r="A103" s="111" t="s">
        <v>1868</v>
      </c>
      <c r="B103" s="133">
        <v>15.78</v>
      </c>
      <c r="C103" s="133">
        <v>26.25</v>
      </c>
      <c r="D103" s="133">
        <v>27.72</v>
      </c>
      <c r="E103" s="133">
        <v>7.03</v>
      </c>
      <c r="F103" s="133">
        <v>2.37</v>
      </c>
      <c r="G103" s="133">
        <v>62.45</v>
      </c>
      <c r="H103" s="133">
        <v>22.02</v>
      </c>
      <c r="I103" s="133">
        <v>5.51</v>
      </c>
      <c r="J103" s="133">
        <v>0.25</v>
      </c>
      <c r="K103" s="133">
        <v>31.75</v>
      </c>
      <c r="L103" s="133">
        <v>23.92</v>
      </c>
      <c r="M103" s="133">
        <v>79.33</v>
      </c>
      <c r="N103" s="133">
        <v>0</v>
      </c>
      <c r="O103" s="133">
        <v>0</v>
      </c>
      <c r="P103" s="133">
        <v>0.65</v>
      </c>
      <c r="Q103" s="133">
        <v>5.7</v>
      </c>
    </row>
    <row r="104" spans="1:22" customFormat="1">
      <c r="A104" s="111" t="s">
        <v>1869</v>
      </c>
      <c r="B104" s="133">
        <v>16.510000000000002</v>
      </c>
      <c r="C104" s="133">
        <v>25.14</v>
      </c>
      <c r="D104" s="133">
        <v>27.73</v>
      </c>
      <c r="E104" s="133">
        <v>7</v>
      </c>
      <c r="F104" s="133">
        <v>2.73</v>
      </c>
      <c r="G104" s="133">
        <v>62.78</v>
      </c>
      <c r="H104" s="133">
        <v>21.78</v>
      </c>
      <c r="I104" s="133">
        <v>5.47</v>
      </c>
      <c r="J104" s="133">
        <v>0.34</v>
      </c>
      <c r="K104" s="133">
        <v>18.75</v>
      </c>
      <c r="L104" s="133">
        <v>23.89</v>
      </c>
      <c r="M104" s="133">
        <v>79.3</v>
      </c>
      <c r="N104" s="133">
        <v>0</v>
      </c>
      <c r="O104" s="133">
        <v>0</v>
      </c>
      <c r="P104" s="133">
        <v>0.63</v>
      </c>
      <c r="Q104" s="133">
        <v>5.73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4.1900000000000004</v>
      </c>
      <c r="C106" s="183">
        <f>MIN(C9:C104)</f>
        <v>18.98</v>
      </c>
      <c r="D106" s="183">
        <f t="shared" ref="D106:Q106" si="0">MIN(D9:D104)</f>
        <v>14.73</v>
      </c>
      <c r="E106" s="183">
        <f t="shared" si="0"/>
        <v>5.38</v>
      </c>
      <c r="F106" s="183">
        <f t="shared" si="0"/>
        <v>2.2599999999999998</v>
      </c>
      <c r="G106" s="183">
        <f t="shared" si="0"/>
        <v>45.57</v>
      </c>
      <c r="H106" s="183">
        <f t="shared" si="0"/>
        <v>15.94</v>
      </c>
      <c r="I106" s="183">
        <f t="shared" si="0"/>
        <v>4.8499999999999996</v>
      </c>
      <c r="J106" s="183">
        <f t="shared" si="0"/>
        <v>0.03</v>
      </c>
      <c r="K106" s="183">
        <f t="shared" si="0"/>
        <v>18.75</v>
      </c>
      <c r="L106" s="183">
        <f t="shared" si="0"/>
        <v>21.42</v>
      </c>
      <c r="M106" s="183">
        <f t="shared" si="0"/>
        <v>40.53</v>
      </c>
      <c r="N106" s="183">
        <f t="shared" si="0"/>
        <v>0</v>
      </c>
      <c r="O106" s="183">
        <f t="shared" si="0"/>
        <v>0</v>
      </c>
      <c r="P106" s="183">
        <f t="shared" si="0"/>
        <v>0.57999999999999996</v>
      </c>
      <c r="Q106" s="183">
        <f t="shared" si="0"/>
        <v>4.97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20.83</v>
      </c>
      <c r="C107" s="184">
        <f t="shared" ref="C107:Q107" si="1">MAX(C9:C104)</f>
        <v>28.79</v>
      </c>
      <c r="D107" s="184">
        <f t="shared" si="1"/>
        <v>31.69</v>
      </c>
      <c r="E107" s="184">
        <f t="shared" si="1"/>
        <v>9.2899999999999991</v>
      </c>
      <c r="F107" s="184">
        <f t="shared" si="1"/>
        <v>11.2</v>
      </c>
      <c r="G107" s="184">
        <f t="shared" si="1"/>
        <v>65.84</v>
      </c>
      <c r="H107" s="184">
        <f t="shared" si="1"/>
        <v>28.21</v>
      </c>
      <c r="I107" s="184">
        <f t="shared" si="1"/>
        <v>8.18</v>
      </c>
      <c r="J107" s="184">
        <f t="shared" si="1"/>
        <v>0.85</v>
      </c>
      <c r="K107" s="184">
        <f t="shared" si="1"/>
        <v>262.70999999999998</v>
      </c>
      <c r="L107" s="184">
        <f t="shared" si="1"/>
        <v>33.46</v>
      </c>
      <c r="M107" s="184">
        <f t="shared" si="1"/>
        <v>96.8</v>
      </c>
      <c r="N107" s="184">
        <f t="shared" si="1"/>
        <v>681.2</v>
      </c>
      <c r="O107" s="184">
        <f t="shared" si="1"/>
        <v>0</v>
      </c>
      <c r="P107" s="184">
        <f t="shared" si="1"/>
        <v>0.81</v>
      </c>
      <c r="Q107" s="184">
        <f t="shared" si="1"/>
        <v>5.95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10.816770833333329</v>
      </c>
      <c r="C108" s="183">
        <f t="shared" ref="C108:Q108" si="2">AVERAGE(C9:C104)</f>
        <v>24.142499999999995</v>
      </c>
      <c r="D108" s="183">
        <f t="shared" si="2"/>
        <v>22.638854166666661</v>
      </c>
      <c r="E108" s="183">
        <f t="shared" si="2"/>
        <v>7.2835416666666655</v>
      </c>
      <c r="F108" s="183">
        <f t="shared" si="2"/>
        <v>3.9369791666666671</v>
      </c>
      <c r="G108" s="183">
        <f t="shared" si="2"/>
        <v>51.868645833333325</v>
      </c>
      <c r="H108" s="183">
        <f t="shared" si="2"/>
        <v>21.073854166666681</v>
      </c>
      <c r="I108" s="183">
        <f t="shared" si="2"/>
        <v>6.3784374999999978</v>
      </c>
      <c r="J108" s="183">
        <f t="shared" si="2"/>
        <v>0.20666666666666667</v>
      </c>
      <c r="K108" s="183">
        <f t="shared" si="2"/>
        <v>158.81624999999997</v>
      </c>
      <c r="L108" s="183">
        <f t="shared" si="2"/>
        <v>26.748541666666664</v>
      </c>
      <c r="M108" s="183">
        <f t="shared" si="2"/>
        <v>71.821458333333311</v>
      </c>
      <c r="N108" s="183">
        <f t="shared" si="2"/>
        <v>154.45104166666667</v>
      </c>
      <c r="O108" s="183">
        <f t="shared" si="2"/>
        <v>0</v>
      </c>
      <c r="P108" s="183">
        <f t="shared" si="2"/>
        <v>0.68062499999999992</v>
      </c>
      <c r="Q108" s="183">
        <f t="shared" si="2"/>
        <v>5.4181250000000007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5.4643112908921996</v>
      </c>
      <c r="C109" s="183">
        <f t="shared" ref="C109:Q109" si="3">STDEV(C9:C104)</f>
        <v>2.7714339818566542</v>
      </c>
      <c r="D109" s="183">
        <f t="shared" si="3"/>
        <v>5.48081589581078</v>
      </c>
      <c r="E109" s="183">
        <f t="shared" si="3"/>
        <v>1.218527998224161</v>
      </c>
      <c r="F109" s="183">
        <f t="shared" si="3"/>
        <v>2.1102103261556731</v>
      </c>
      <c r="G109" s="183">
        <f t="shared" si="3"/>
        <v>5.3355916398212244</v>
      </c>
      <c r="H109" s="183">
        <f t="shared" si="3"/>
        <v>2.7988991707422928</v>
      </c>
      <c r="I109" s="183">
        <f t="shared" si="3"/>
        <v>0.95226635827654904</v>
      </c>
      <c r="J109" s="183">
        <f t="shared" si="3"/>
        <v>0.13708749927013894</v>
      </c>
      <c r="K109" s="183">
        <f t="shared" si="3"/>
        <v>64.810385526590352</v>
      </c>
      <c r="L109" s="183">
        <f t="shared" si="3"/>
        <v>3.9965471884896293</v>
      </c>
      <c r="M109" s="183">
        <f t="shared" si="3"/>
        <v>17.796590269467469</v>
      </c>
      <c r="N109" s="183">
        <f t="shared" si="3"/>
        <v>237.00083899242651</v>
      </c>
      <c r="O109" s="183">
        <f t="shared" si="3"/>
        <v>0</v>
      </c>
      <c r="P109" s="183">
        <f t="shared" si="3"/>
        <v>5.9838598702983914E-2</v>
      </c>
      <c r="Q109" s="183">
        <f t="shared" si="3"/>
        <v>0.32133049882276787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18/10/2023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1870</v>
      </c>
      <c r="B9" s="133">
        <v>17.72</v>
      </c>
      <c r="C9" s="133">
        <v>26.01</v>
      </c>
      <c r="D9" s="133">
        <v>29.15</v>
      </c>
      <c r="E9" s="133">
        <v>6.82</v>
      </c>
      <c r="F9" s="133">
        <v>2.72</v>
      </c>
      <c r="G9" s="133">
        <v>64.56</v>
      </c>
      <c r="H9" s="133">
        <v>20.68</v>
      </c>
      <c r="I9" s="133">
        <v>5.47</v>
      </c>
      <c r="J9" s="133">
        <v>0.31</v>
      </c>
      <c r="K9" s="133">
        <v>29.76</v>
      </c>
      <c r="L9" s="133">
        <v>23.82</v>
      </c>
      <c r="M9" s="133">
        <v>79.819999999999993</v>
      </c>
      <c r="N9" s="133">
        <v>0</v>
      </c>
      <c r="O9" s="133">
        <v>0</v>
      </c>
      <c r="P9" s="133">
        <v>0.64</v>
      </c>
      <c r="Q9" s="133">
        <v>5.75</v>
      </c>
    </row>
    <row r="10" spans="1:21" customFormat="1">
      <c r="A10" s="111" t="s">
        <v>1871</v>
      </c>
      <c r="B10" s="133">
        <v>17.82</v>
      </c>
      <c r="C10" s="133">
        <v>26.19</v>
      </c>
      <c r="D10" s="133">
        <v>29.33</v>
      </c>
      <c r="E10" s="133">
        <v>6.36</v>
      </c>
      <c r="F10" s="133">
        <v>2.4900000000000002</v>
      </c>
      <c r="G10" s="133">
        <v>64.56</v>
      </c>
      <c r="H10" s="133">
        <v>20.68</v>
      </c>
      <c r="I10" s="133">
        <v>5.37</v>
      </c>
      <c r="J10" s="133">
        <v>0.34</v>
      </c>
      <c r="K10" s="133">
        <v>24</v>
      </c>
      <c r="L10" s="133">
        <v>23.8</v>
      </c>
      <c r="M10" s="133">
        <v>79.489999999999995</v>
      </c>
      <c r="N10" s="133">
        <v>0</v>
      </c>
      <c r="O10" s="133">
        <v>0</v>
      </c>
      <c r="P10" s="133">
        <v>0.64</v>
      </c>
      <c r="Q10" s="133">
        <v>5.77</v>
      </c>
    </row>
    <row r="11" spans="1:21" customFormat="1">
      <c r="A11" s="111" t="s">
        <v>1872</v>
      </c>
      <c r="B11" s="133">
        <v>18.420000000000002</v>
      </c>
      <c r="C11" s="133">
        <v>25.18</v>
      </c>
      <c r="D11" s="133">
        <v>29.28</v>
      </c>
      <c r="E11" s="133">
        <v>6.64</v>
      </c>
      <c r="F11" s="133">
        <v>2.75</v>
      </c>
      <c r="G11" s="133">
        <v>64.56</v>
      </c>
      <c r="H11" s="133">
        <v>20.68</v>
      </c>
      <c r="I11" s="133">
        <v>5.41</v>
      </c>
      <c r="J11" s="133">
        <v>0.3</v>
      </c>
      <c r="K11" s="133">
        <v>21.59</v>
      </c>
      <c r="L11" s="133">
        <v>23.75</v>
      </c>
      <c r="M11" s="133">
        <v>79.89</v>
      </c>
      <c r="N11" s="133">
        <v>0</v>
      </c>
      <c r="O11" s="133">
        <v>0</v>
      </c>
      <c r="P11" s="133">
        <v>0.62</v>
      </c>
      <c r="Q11" s="133">
        <v>5.8</v>
      </c>
    </row>
    <row r="12" spans="1:21" customFormat="1">
      <c r="A12" s="111" t="s">
        <v>1873</v>
      </c>
      <c r="B12" s="133">
        <v>18.690000000000001</v>
      </c>
      <c r="C12" s="133">
        <v>26.16</v>
      </c>
      <c r="D12" s="133">
        <v>30.01</v>
      </c>
      <c r="E12" s="133">
        <v>6.56</v>
      </c>
      <c r="F12" s="133">
        <v>2.4900000000000002</v>
      </c>
      <c r="G12" s="133">
        <v>63.88</v>
      </c>
      <c r="H12" s="133">
        <v>20.64</v>
      </c>
      <c r="I12" s="133">
        <v>5.36</v>
      </c>
      <c r="J12" s="133">
        <v>0.26</v>
      </c>
      <c r="K12" s="133">
        <v>22.9</v>
      </c>
      <c r="L12" s="133">
        <v>23.59</v>
      </c>
      <c r="M12" s="133">
        <v>81.459999999999994</v>
      </c>
      <c r="N12" s="133">
        <v>0</v>
      </c>
      <c r="O12" s="133">
        <v>0</v>
      </c>
      <c r="P12" s="133">
        <v>0.63</v>
      </c>
      <c r="Q12" s="133">
        <v>5.81</v>
      </c>
    </row>
    <row r="13" spans="1:21" customFormat="1">
      <c r="A13" s="111" t="s">
        <v>1874</v>
      </c>
      <c r="B13" s="133">
        <v>18.96</v>
      </c>
      <c r="C13" s="133">
        <v>25.96</v>
      </c>
      <c r="D13" s="133">
        <v>30.12</v>
      </c>
      <c r="E13" s="133">
        <v>6.83</v>
      </c>
      <c r="F13" s="133">
        <v>2.79</v>
      </c>
      <c r="G13" s="133">
        <v>60.18</v>
      </c>
      <c r="H13" s="133">
        <v>20.43</v>
      </c>
      <c r="I13" s="133">
        <v>5.28</v>
      </c>
      <c r="J13" s="133">
        <v>0.39</v>
      </c>
      <c r="K13" s="133">
        <v>36.51</v>
      </c>
      <c r="L13" s="133">
        <v>23.46</v>
      </c>
      <c r="M13" s="133">
        <v>81.73</v>
      </c>
      <c r="N13" s="133">
        <v>0</v>
      </c>
      <c r="O13" s="133">
        <v>0</v>
      </c>
      <c r="P13" s="133">
        <v>0.62</v>
      </c>
      <c r="Q13" s="133">
        <v>5.86</v>
      </c>
    </row>
    <row r="14" spans="1:21" customFormat="1">
      <c r="A14" s="111" t="s">
        <v>1875</v>
      </c>
      <c r="B14" s="133">
        <v>19.07</v>
      </c>
      <c r="C14" s="133">
        <v>26.72</v>
      </c>
      <c r="D14" s="133">
        <v>30.61</v>
      </c>
      <c r="E14" s="133">
        <v>6.96</v>
      </c>
      <c r="F14" s="133">
        <v>2.5</v>
      </c>
      <c r="G14" s="133">
        <v>60.18</v>
      </c>
      <c r="H14" s="133">
        <v>20.43</v>
      </c>
      <c r="I14" s="133">
        <v>5.31</v>
      </c>
      <c r="J14" s="133">
        <v>0.37</v>
      </c>
      <c r="K14" s="133">
        <v>45.71</v>
      </c>
      <c r="L14" s="133">
        <v>23.41</v>
      </c>
      <c r="M14" s="133">
        <v>82.2</v>
      </c>
      <c r="N14" s="133">
        <v>0</v>
      </c>
      <c r="O14" s="133">
        <v>0</v>
      </c>
      <c r="P14" s="133">
        <v>0.63</v>
      </c>
      <c r="Q14" s="133">
        <v>5.86</v>
      </c>
    </row>
    <row r="15" spans="1:21" customFormat="1">
      <c r="A15" s="111" t="s">
        <v>1876</v>
      </c>
      <c r="B15" s="133">
        <v>18.850000000000001</v>
      </c>
      <c r="C15" s="133">
        <v>27.08</v>
      </c>
      <c r="D15" s="133">
        <v>30.61</v>
      </c>
      <c r="E15" s="133">
        <v>7.1</v>
      </c>
      <c r="F15" s="133">
        <v>2.61</v>
      </c>
      <c r="G15" s="133">
        <v>60.18</v>
      </c>
      <c r="H15" s="133">
        <v>20.43</v>
      </c>
      <c r="I15" s="133">
        <v>5.25</v>
      </c>
      <c r="J15" s="133">
        <v>0.33</v>
      </c>
      <c r="K15" s="133">
        <v>39.71</v>
      </c>
      <c r="L15" s="133">
        <v>23.29</v>
      </c>
      <c r="M15" s="133">
        <v>83.18</v>
      </c>
      <c r="N15" s="133">
        <v>0</v>
      </c>
      <c r="O15" s="133">
        <v>0</v>
      </c>
      <c r="P15" s="133">
        <v>0.64</v>
      </c>
      <c r="Q15" s="133">
        <v>5.89</v>
      </c>
    </row>
    <row r="16" spans="1:21" customFormat="1">
      <c r="A16" s="111" t="s">
        <v>1877</v>
      </c>
      <c r="B16" s="133">
        <v>18.59</v>
      </c>
      <c r="C16" s="133">
        <v>27.46</v>
      </c>
      <c r="D16" s="133">
        <v>30.6</v>
      </c>
      <c r="E16" s="133">
        <v>7.47</v>
      </c>
      <c r="F16" s="133">
        <v>2.62</v>
      </c>
      <c r="G16" s="133">
        <v>59.4</v>
      </c>
      <c r="H16" s="133">
        <v>20.239999999999998</v>
      </c>
      <c r="I16" s="133">
        <v>5.24</v>
      </c>
      <c r="J16" s="133">
        <v>0.25</v>
      </c>
      <c r="K16" s="133">
        <v>22.39</v>
      </c>
      <c r="L16" s="133">
        <v>23.17</v>
      </c>
      <c r="M16" s="133">
        <v>84.89</v>
      </c>
      <c r="N16" s="133">
        <v>0</v>
      </c>
      <c r="O16" s="133">
        <v>0</v>
      </c>
      <c r="P16" s="133">
        <v>0.65</v>
      </c>
      <c r="Q16" s="133">
        <v>5.88</v>
      </c>
    </row>
    <row r="17" spans="1:17" customFormat="1">
      <c r="A17" s="111" t="s">
        <v>1878</v>
      </c>
      <c r="B17" s="133">
        <v>18.420000000000002</v>
      </c>
      <c r="C17" s="133">
        <v>27.94</v>
      </c>
      <c r="D17" s="133">
        <v>30.72</v>
      </c>
      <c r="E17" s="133">
        <v>6.15</v>
      </c>
      <c r="F17" s="133">
        <v>2.72</v>
      </c>
      <c r="G17" s="133">
        <v>55.19</v>
      </c>
      <c r="H17" s="133">
        <v>19.38</v>
      </c>
      <c r="I17" s="133">
        <v>5.17</v>
      </c>
      <c r="J17" s="133">
        <v>0.19</v>
      </c>
      <c r="K17" s="133">
        <v>65.739999999999995</v>
      </c>
      <c r="L17" s="133">
        <v>23.17</v>
      </c>
      <c r="M17" s="133">
        <v>85.04</v>
      </c>
      <c r="N17" s="133">
        <v>0</v>
      </c>
      <c r="O17" s="133">
        <v>0</v>
      </c>
      <c r="P17" s="133">
        <v>0.64</v>
      </c>
      <c r="Q17" s="133">
        <v>5.88</v>
      </c>
    </row>
    <row r="18" spans="1:17" customFormat="1">
      <c r="A18" s="111" t="s">
        <v>1879</v>
      </c>
      <c r="B18" s="133">
        <v>18.07</v>
      </c>
      <c r="C18" s="133">
        <v>28.41</v>
      </c>
      <c r="D18" s="133">
        <v>30.68</v>
      </c>
      <c r="E18" s="133">
        <v>6.72</v>
      </c>
      <c r="F18" s="133">
        <v>2.83</v>
      </c>
      <c r="G18" s="133">
        <v>55.19</v>
      </c>
      <c r="H18" s="133">
        <v>19.38</v>
      </c>
      <c r="I18" s="133">
        <v>5.08</v>
      </c>
      <c r="J18" s="133">
        <v>0.28000000000000003</v>
      </c>
      <c r="K18" s="133">
        <v>43.46</v>
      </c>
      <c r="L18" s="133">
        <v>23.15</v>
      </c>
      <c r="M18" s="133">
        <v>83.83</v>
      </c>
      <c r="N18" s="133">
        <v>0</v>
      </c>
      <c r="O18" s="133">
        <v>0</v>
      </c>
      <c r="P18" s="133">
        <v>0.64</v>
      </c>
      <c r="Q18" s="133">
        <v>5.87</v>
      </c>
    </row>
    <row r="19" spans="1:17" customFormat="1">
      <c r="A19" s="111" t="s">
        <v>1880</v>
      </c>
      <c r="B19" s="133">
        <v>17.57</v>
      </c>
      <c r="C19" s="133">
        <v>28.45</v>
      </c>
      <c r="D19" s="133">
        <v>30.3</v>
      </c>
      <c r="E19" s="133">
        <v>7.01</v>
      </c>
      <c r="F19" s="133">
        <v>2.79</v>
      </c>
      <c r="G19" s="133">
        <v>55.19</v>
      </c>
      <c r="H19" s="133">
        <v>19.38</v>
      </c>
      <c r="I19" s="133">
        <v>5.0199999999999996</v>
      </c>
      <c r="J19" s="133">
        <v>0.28999999999999998</v>
      </c>
      <c r="K19" s="133">
        <v>28.27</v>
      </c>
      <c r="L19" s="133">
        <v>23.11</v>
      </c>
      <c r="M19" s="133">
        <v>83.65</v>
      </c>
      <c r="N19" s="133">
        <v>0</v>
      </c>
      <c r="O19" s="133">
        <v>0</v>
      </c>
      <c r="P19" s="133">
        <v>0.63</v>
      </c>
      <c r="Q19" s="133">
        <v>5.85</v>
      </c>
    </row>
    <row r="20" spans="1:17" customFormat="1">
      <c r="A20" s="111" t="s">
        <v>1881</v>
      </c>
      <c r="B20" s="133">
        <v>17.190000000000001</v>
      </c>
      <c r="C20" s="133">
        <v>28.64</v>
      </c>
      <c r="D20" s="133">
        <v>30.1</v>
      </c>
      <c r="E20" s="133">
        <v>7.13</v>
      </c>
      <c r="F20" s="133">
        <v>2.73</v>
      </c>
      <c r="G20" s="133">
        <v>54.81</v>
      </c>
      <c r="H20" s="133">
        <v>19.13</v>
      </c>
      <c r="I20" s="133">
        <v>4.92</v>
      </c>
      <c r="J20" s="133">
        <v>0.13</v>
      </c>
      <c r="K20" s="133">
        <v>34.24</v>
      </c>
      <c r="L20" s="133">
        <v>23.09</v>
      </c>
      <c r="M20" s="133">
        <v>84</v>
      </c>
      <c r="N20" s="133">
        <v>0</v>
      </c>
      <c r="O20" s="133">
        <v>0</v>
      </c>
      <c r="P20" s="133">
        <v>0.62</v>
      </c>
      <c r="Q20" s="133">
        <v>5.83</v>
      </c>
    </row>
    <row r="21" spans="1:17" customFormat="1">
      <c r="A21" s="111" t="s">
        <v>1882</v>
      </c>
      <c r="B21" s="133">
        <v>17.04</v>
      </c>
      <c r="C21" s="133">
        <v>28.91</v>
      </c>
      <c r="D21" s="133">
        <v>30.12</v>
      </c>
      <c r="E21" s="133">
        <v>6.52</v>
      </c>
      <c r="F21" s="133">
        <v>2.76</v>
      </c>
      <c r="G21" s="133">
        <v>52.77</v>
      </c>
      <c r="H21" s="133">
        <v>18.079999999999998</v>
      </c>
      <c r="I21" s="133">
        <v>4.84</v>
      </c>
      <c r="J21" s="133">
        <v>0.08</v>
      </c>
      <c r="K21" s="133">
        <v>199.09</v>
      </c>
      <c r="L21" s="133">
        <v>23.11</v>
      </c>
      <c r="M21" s="133">
        <v>85.04</v>
      </c>
      <c r="N21" s="133">
        <v>0</v>
      </c>
      <c r="O21" s="133">
        <v>0</v>
      </c>
      <c r="P21" s="133">
        <v>0.61</v>
      </c>
      <c r="Q21" s="133">
        <v>5.82</v>
      </c>
    </row>
    <row r="22" spans="1:17" customFormat="1">
      <c r="A22" s="111" t="s">
        <v>1883</v>
      </c>
      <c r="B22" s="133">
        <v>16.77</v>
      </c>
      <c r="C22" s="133">
        <v>28.77</v>
      </c>
      <c r="D22" s="133">
        <v>29.83</v>
      </c>
      <c r="E22" s="133">
        <v>6.69</v>
      </c>
      <c r="F22" s="133">
        <v>2.58</v>
      </c>
      <c r="G22" s="133">
        <v>52.77</v>
      </c>
      <c r="H22" s="133">
        <v>18.079999999999998</v>
      </c>
      <c r="I22" s="133">
        <v>4.78</v>
      </c>
      <c r="J22" s="133">
        <v>0.11</v>
      </c>
      <c r="K22" s="133">
        <v>183.32</v>
      </c>
      <c r="L22" s="133">
        <v>22.98</v>
      </c>
      <c r="M22" s="133">
        <v>85.99</v>
      </c>
      <c r="N22" s="133">
        <v>0</v>
      </c>
      <c r="O22" s="133">
        <v>0</v>
      </c>
      <c r="P22" s="133">
        <v>0.61</v>
      </c>
      <c r="Q22" s="133">
        <v>5.82</v>
      </c>
    </row>
    <row r="23" spans="1:17" customFormat="1">
      <c r="A23" s="111" t="s">
        <v>1884</v>
      </c>
      <c r="B23" s="133">
        <v>16.39</v>
      </c>
      <c r="C23" s="133">
        <v>28.87</v>
      </c>
      <c r="D23" s="133">
        <v>29.58</v>
      </c>
      <c r="E23" s="133">
        <v>7.13</v>
      </c>
      <c r="F23" s="133">
        <v>2.57</v>
      </c>
      <c r="G23" s="133">
        <v>52.77</v>
      </c>
      <c r="H23" s="133">
        <v>18.079999999999998</v>
      </c>
      <c r="I23" s="133">
        <v>4.72</v>
      </c>
      <c r="J23" s="133">
        <v>0.09</v>
      </c>
      <c r="K23" s="133">
        <v>166.62</v>
      </c>
      <c r="L23" s="133">
        <v>22.81</v>
      </c>
      <c r="M23" s="133">
        <v>86.7</v>
      </c>
      <c r="N23" s="133">
        <v>0</v>
      </c>
      <c r="O23" s="133">
        <v>0</v>
      </c>
      <c r="P23" s="133">
        <v>0.6</v>
      </c>
      <c r="Q23" s="133">
        <v>5.81</v>
      </c>
    </row>
    <row r="24" spans="1:17" customFormat="1">
      <c r="A24" s="111" t="s">
        <v>1885</v>
      </c>
      <c r="B24" s="133">
        <v>16.53</v>
      </c>
      <c r="C24" s="133">
        <v>29.18</v>
      </c>
      <c r="D24" s="133">
        <v>29.85</v>
      </c>
      <c r="E24" s="133">
        <v>6.36</v>
      </c>
      <c r="F24" s="133">
        <v>2.57</v>
      </c>
      <c r="G24" s="133">
        <v>52.12</v>
      </c>
      <c r="H24" s="133">
        <v>18.48</v>
      </c>
      <c r="I24" s="133">
        <v>4.66</v>
      </c>
      <c r="J24" s="133">
        <v>0.08</v>
      </c>
      <c r="K24" s="133">
        <v>181.13</v>
      </c>
      <c r="L24" s="133">
        <v>22.67</v>
      </c>
      <c r="M24" s="133">
        <v>87.45</v>
      </c>
      <c r="N24" s="133">
        <v>0</v>
      </c>
      <c r="O24" s="133">
        <v>0</v>
      </c>
      <c r="P24" s="133">
        <v>0.59</v>
      </c>
      <c r="Q24" s="133">
        <v>5.81</v>
      </c>
    </row>
    <row r="25" spans="1:17" customFormat="1">
      <c r="A25" s="111" t="s">
        <v>1886</v>
      </c>
      <c r="B25" s="133">
        <v>16.829999999999998</v>
      </c>
      <c r="C25" s="133">
        <v>29.5</v>
      </c>
      <c r="D25" s="133">
        <v>30.26</v>
      </c>
      <c r="E25" s="133">
        <v>6.97</v>
      </c>
      <c r="F25" s="133">
        <v>2.44</v>
      </c>
      <c r="G25" s="133">
        <v>48.58</v>
      </c>
      <c r="H25" s="133">
        <v>20.09</v>
      </c>
      <c r="I25" s="133">
        <v>4.6100000000000003</v>
      </c>
      <c r="J25" s="133">
        <v>0.11</v>
      </c>
      <c r="K25" s="133">
        <v>206.42</v>
      </c>
      <c r="L25" s="133">
        <v>22.58</v>
      </c>
      <c r="M25" s="133">
        <v>88.55</v>
      </c>
      <c r="N25" s="133">
        <v>0</v>
      </c>
      <c r="O25" s="133">
        <v>0</v>
      </c>
      <c r="P25" s="133">
        <v>0.57999999999999996</v>
      </c>
      <c r="Q25" s="133">
        <v>5.83</v>
      </c>
    </row>
    <row r="26" spans="1:17" customFormat="1">
      <c r="A26" s="111" t="s">
        <v>1887</v>
      </c>
      <c r="B26" s="133">
        <v>16.809999999999999</v>
      </c>
      <c r="C26" s="133">
        <v>29.59</v>
      </c>
      <c r="D26" s="133">
        <v>30.29</v>
      </c>
      <c r="E26" s="133">
        <v>6.52</v>
      </c>
      <c r="F26" s="133">
        <v>2.5099999999999998</v>
      </c>
      <c r="G26" s="133">
        <v>48.58</v>
      </c>
      <c r="H26" s="133">
        <v>20.09</v>
      </c>
      <c r="I26" s="133">
        <v>4.55</v>
      </c>
      <c r="J26" s="133">
        <v>0.16</v>
      </c>
      <c r="K26" s="133">
        <v>234.99</v>
      </c>
      <c r="L26" s="133">
        <v>22.32</v>
      </c>
      <c r="M26" s="133">
        <v>89.81</v>
      </c>
      <c r="N26" s="133">
        <v>0</v>
      </c>
      <c r="O26" s="133">
        <v>0</v>
      </c>
      <c r="P26" s="133">
        <v>0.57999999999999996</v>
      </c>
      <c r="Q26" s="133">
        <v>5.84</v>
      </c>
    </row>
    <row r="27" spans="1:17" customFormat="1">
      <c r="A27" s="111" t="s">
        <v>1888</v>
      </c>
      <c r="B27" s="133">
        <v>16.72</v>
      </c>
      <c r="C27" s="133">
        <v>29.46</v>
      </c>
      <c r="D27" s="133">
        <v>30.15</v>
      </c>
      <c r="E27" s="133">
        <v>6.97</v>
      </c>
      <c r="F27" s="133">
        <v>2.52</v>
      </c>
      <c r="G27" s="133">
        <v>48.58</v>
      </c>
      <c r="H27" s="133">
        <v>20.09</v>
      </c>
      <c r="I27" s="133">
        <v>4.53</v>
      </c>
      <c r="J27" s="133">
        <v>0.15</v>
      </c>
      <c r="K27" s="133">
        <v>167.96</v>
      </c>
      <c r="L27" s="133">
        <v>22.39</v>
      </c>
      <c r="M27" s="133">
        <v>88.81</v>
      </c>
      <c r="N27" s="133">
        <v>0</v>
      </c>
      <c r="O27" s="133">
        <v>0</v>
      </c>
      <c r="P27" s="133">
        <v>0.57999999999999996</v>
      </c>
      <c r="Q27" s="133">
        <v>5.86</v>
      </c>
    </row>
    <row r="28" spans="1:17" customFormat="1">
      <c r="A28" s="111" t="s">
        <v>1889</v>
      </c>
      <c r="B28" s="133">
        <v>16.899999999999999</v>
      </c>
      <c r="C28" s="133">
        <v>29.43</v>
      </c>
      <c r="D28" s="133">
        <v>30.28</v>
      </c>
      <c r="E28" s="133">
        <v>7.27</v>
      </c>
      <c r="F28" s="133">
        <v>2.59</v>
      </c>
      <c r="G28" s="133">
        <v>48.32</v>
      </c>
      <c r="H28" s="133">
        <v>19.98</v>
      </c>
      <c r="I28" s="133">
        <v>4.47</v>
      </c>
      <c r="J28" s="133">
        <v>0.19</v>
      </c>
      <c r="K28" s="133">
        <v>157.83000000000001</v>
      </c>
      <c r="L28" s="133">
        <v>22.52</v>
      </c>
      <c r="M28" s="133">
        <v>90.32</v>
      </c>
      <c r="N28" s="133">
        <v>0</v>
      </c>
      <c r="O28" s="133">
        <v>0</v>
      </c>
      <c r="P28" s="133">
        <v>0.57999999999999996</v>
      </c>
      <c r="Q28" s="133">
        <v>5.84</v>
      </c>
    </row>
    <row r="29" spans="1:17" customFormat="1">
      <c r="A29" s="111" t="s">
        <v>1890</v>
      </c>
      <c r="B29" s="133">
        <v>16.989999999999998</v>
      </c>
      <c r="C29" s="133">
        <v>29.5</v>
      </c>
      <c r="D29" s="133">
        <v>30.39</v>
      </c>
      <c r="E29" s="133">
        <v>6.98</v>
      </c>
      <c r="F29" s="133">
        <v>2.73</v>
      </c>
      <c r="G29" s="133">
        <v>46.89</v>
      </c>
      <c r="H29" s="133">
        <v>19.5</v>
      </c>
      <c r="I29" s="133">
        <v>4.46</v>
      </c>
      <c r="J29" s="133">
        <v>0.16</v>
      </c>
      <c r="K29" s="133">
        <v>215.72</v>
      </c>
      <c r="L29" s="133">
        <v>22.31</v>
      </c>
      <c r="M29" s="133">
        <v>91.91</v>
      </c>
      <c r="N29" s="133">
        <v>0</v>
      </c>
      <c r="O29" s="133">
        <v>0</v>
      </c>
      <c r="P29" s="133">
        <v>0.56999999999999995</v>
      </c>
      <c r="Q29" s="133">
        <v>5.85</v>
      </c>
    </row>
    <row r="30" spans="1:17" customFormat="1">
      <c r="A30" s="111" t="s">
        <v>1891</v>
      </c>
      <c r="B30" s="133">
        <v>16.850000000000001</v>
      </c>
      <c r="C30" s="133">
        <v>29.18</v>
      </c>
      <c r="D30" s="133">
        <v>30.1</v>
      </c>
      <c r="E30" s="133">
        <v>6.84</v>
      </c>
      <c r="F30" s="133">
        <v>2.63</v>
      </c>
      <c r="G30" s="133">
        <v>46.89</v>
      </c>
      <c r="H30" s="133">
        <v>19.5</v>
      </c>
      <c r="I30" s="133">
        <v>4.41</v>
      </c>
      <c r="J30" s="133">
        <v>7.0000000000000007E-2</v>
      </c>
      <c r="K30" s="133">
        <v>149.74</v>
      </c>
      <c r="L30" s="133">
        <v>22.09</v>
      </c>
      <c r="M30" s="133">
        <v>92.99</v>
      </c>
      <c r="N30" s="133">
        <v>0</v>
      </c>
      <c r="O30" s="133">
        <v>0</v>
      </c>
      <c r="P30" s="133">
        <v>0.56000000000000005</v>
      </c>
      <c r="Q30" s="133">
        <v>5.83</v>
      </c>
    </row>
    <row r="31" spans="1:17" customFormat="1">
      <c r="A31" s="111" t="s">
        <v>1892</v>
      </c>
      <c r="B31" s="133">
        <v>16.690000000000001</v>
      </c>
      <c r="C31" s="133">
        <v>28.82</v>
      </c>
      <c r="D31" s="133">
        <v>29.79</v>
      </c>
      <c r="E31" s="133">
        <v>6.87</v>
      </c>
      <c r="F31" s="133">
        <v>2.57</v>
      </c>
      <c r="G31" s="133">
        <v>46.89</v>
      </c>
      <c r="H31" s="133">
        <v>19.5</v>
      </c>
      <c r="I31" s="133">
        <v>4.4000000000000004</v>
      </c>
      <c r="J31" s="133">
        <v>7.0000000000000007E-2</v>
      </c>
      <c r="K31" s="133">
        <v>157.22</v>
      </c>
      <c r="L31" s="133">
        <v>21.94</v>
      </c>
      <c r="M31" s="133">
        <v>94.47</v>
      </c>
      <c r="N31" s="133">
        <v>0</v>
      </c>
      <c r="O31" s="133">
        <v>0</v>
      </c>
      <c r="P31" s="133">
        <v>0.57999999999999996</v>
      </c>
      <c r="Q31" s="133">
        <v>5.85</v>
      </c>
    </row>
    <row r="32" spans="1:17" customFormat="1">
      <c r="A32" s="111" t="s">
        <v>1893</v>
      </c>
      <c r="B32" s="133">
        <v>16.62</v>
      </c>
      <c r="C32" s="133">
        <v>28.48</v>
      </c>
      <c r="D32" s="133">
        <v>29.56</v>
      </c>
      <c r="E32" s="133">
        <v>6.79</v>
      </c>
      <c r="F32" s="133">
        <v>2.46</v>
      </c>
      <c r="G32" s="133">
        <v>46.4</v>
      </c>
      <c r="H32" s="133">
        <v>19.32</v>
      </c>
      <c r="I32" s="133">
        <v>4.43</v>
      </c>
      <c r="J32" s="133">
        <v>0.05</v>
      </c>
      <c r="K32" s="133">
        <v>195.83</v>
      </c>
      <c r="L32" s="133">
        <v>21.91</v>
      </c>
      <c r="M32" s="133">
        <v>95.75</v>
      </c>
      <c r="N32" s="133">
        <v>0</v>
      </c>
      <c r="O32" s="133">
        <v>0</v>
      </c>
      <c r="P32" s="133">
        <v>0.57999999999999996</v>
      </c>
      <c r="Q32" s="133">
        <v>5.85</v>
      </c>
    </row>
    <row r="33" spans="1:17" customFormat="1">
      <c r="A33" s="111" t="s">
        <v>1894</v>
      </c>
      <c r="B33" s="133">
        <v>16.55</v>
      </c>
      <c r="C33" s="133">
        <v>28.5</v>
      </c>
      <c r="D33" s="133">
        <v>29.51</v>
      </c>
      <c r="E33" s="133">
        <v>7</v>
      </c>
      <c r="F33" s="133">
        <v>2.4</v>
      </c>
      <c r="G33" s="133">
        <v>43.74</v>
      </c>
      <c r="H33" s="133">
        <v>18.61</v>
      </c>
      <c r="I33" s="133">
        <v>4.54</v>
      </c>
      <c r="J33" s="133">
        <v>0.05</v>
      </c>
      <c r="K33" s="133">
        <v>217.24</v>
      </c>
      <c r="L33" s="133">
        <v>21.93</v>
      </c>
      <c r="M33" s="133">
        <v>96</v>
      </c>
      <c r="N33" s="133">
        <v>2.6</v>
      </c>
      <c r="O33" s="133">
        <v>0</v>
      </c>
      <c r="P33" s="133">
        <v>0.57999999999999996</v>
      </c>
      <c r="Q33" s="133">
        <v>5.82</v>
      </c>
    </row>
    <row r="34" spans="1:17" customFormat="1">
      <c r="A34" s="111" t="s">
        <v>1895</v>
      </c>
      <c r="B34" s="133">
        <v>16.57</v>
      </c>
      <c r="C34" s="133">
        <v>28.09</v>
      </c>
      <c r="D34" s="133">
        <v>29.31</v>
      </c>
      <c r="E34" s="133">
        <v>6.43</v>
      </c>
      <c r="F34" s="133">
        <v>2.4900000000000002</v>
      </c>
      <c r="G34" s="133">
        <v>43.74</v>
      </c>
      <c r="H34" s="133">
        <v>18.61</v>
      </c>
      <c r="I34" s="133">
        <v>4.6399999999999997</v>
      </c>
      <c r="J34" s="133">
        <v>7.0000000000000007E-2</v>
      </c>
      <c r="K34" s="133">
        <v>193.84</v>
      </c>
      <c r="L34" s="133">
        <v>22.11</v>
      </c>
      <c r="M34" s="133">
        <v>95.59</v>
      </c>
      <c r="N34" s="133">
        <v>13.7</v>
      </c>
      <c r="O34" s="133">
        <v>0</v>
      </c>
      <c r="P34" s="133">
        <v>0.57999999999999996</v>
      </c>
      <c r="Q34" s="133">
        <v>5.82</v>
      </c>
    </row>
    <row r="35" spans="1:17" customFormat="1">
      <c r="A35" s="111" t="s">
        <v>1896</v>
      </c>
      <c r="B35" s="133">
        <v>16.46</v>
      </c>
      <c r="C35" s="133">
        <v>27.86</v>
      </c>
      <c r="D35" s="133">
        <v>29.1</v>
      </c>
      <c r="E35" s="133">
        <v>6.85</v>
      </c>
      <c r="F35" s="133">
        <v>2.63</v>
      </c>
      <c r="G35" s="133">
        <v>43.74</v>
      </c>
      <c r="H35" s="133">
        <v>18.61</v>
      </c>
      <c r="I35" s="133">
        <v>4.7</v>
      </c>
      <c r="J35" s="133">
        <v>0.11</v>
      </c>
      <c r="K35" s="133">
        <v>254.92</v>
      </c>
      <c r="L35" s="133">
        <v>22.43</v>
      </c>
      <c r="M35" s="133">
        <v>93.85</v>
      </c>
      <c r="N35" s="133">
        <v>26.4</v>
      </c>
      <c r="O35" s="133">
        <v>0</v>
      </c>
      <c r="P35" s="133">
        <v>0.59</v>
      </c>
      <c r="Q35" s="133">
        <v>5.83</v>
      </c>
    </row>
    <row r="36" spans="1:17" customFormat="1">
      <c r="A36" s="111" t="s">
        <v>1897</v>
      </c>
      <c r="B36" s="133">
        <v>16.649999999999999</v>
      </c>
      <c r="C36" s="133">
        <v>27.35</v>
      </c>
      <c r="D36" s="133">
        <v>29</v>
      </c>
      <c r="E36" s="133">
        <v>6.16</v>
      </c>
      <c r="F36" s="133">
        <v>2.77</v>
      </c>
      <c r="G36" s="133">
        <v>44.73</v>
      </c>
      <c r="H36" s="133">
        <v>19.11</v>
      </c>
      <c r="I36" s="133">
        <v>4.7699999999999996</v>
      </c>
      <c r="J36" s="133">
        <v>0.18</v>
      </c>
      <c r="K36" s="133">
        <v>277.83</v>
      </c>
      <c r="L36" s="133">
        <v>22.78</v>
      </c>
      <c r="M36" s="133">
        <v>92.93</v>
      </c>
      <c r="N36" s="133">
        <v>40.700000000000003</v>
      </c>
      <c r="O36" s="133">
        <v>0</v>
      </c>
      <c r="P36" s="133">
        <v>0.56999999999999995</v>
      </c>
      <c r="Q36" s="133">
        <v>5.82</v>
      </c>
    </row>
    <row r="37" spans="1:17" customFormat="1">
      <c r="A37" s="111" t="s">
        <v>1898</v>
      </c>
      <c r="B37" s="133">
        <v>17.05</v>
      </c>
      <c r="C37" s="133">
        <v>25.4</v>
      </c>
      <c r="D37" s="133">
        <v>28.3</v>
      </c>
      <c r="E37" s="133">
        <v>6.43</v>
      </c>
      <c r="F37" s="133">
        <v>2.96</v>
      </c>
      <c r="G37" s="133">
        <v>50.08</v>
      </c>
      <c r="H37" s="133">
        <v>21.74</v>
      </c>
      <c r="I37" s="133">
        <v>4.84</v>
      </c>
      <c r="J37" s="133">
        <v>0.24</v>
      </c>
      <c r="K37" s="133">
        <v>287.63</v>
      </c>
      <c r="L37" s="133">
        <v>23.35</v>
      </c>
      <c r="M37" s="133">
        <v>89.57</v>
      </c>
      <c r="N37" s="133">
        <v>56.8</v>
      </c>
      <c r="O37" s="133">
        <v>0</v>
      </c>
      <c r="P37" s="133">
        <v>0.56000000000000005</v>
      </c>
      <c r="Q37" s="133">
        <v>5.82</v>
      </c>
    </row>
    <row r="38" spans="1:17" customFormat="1">
      <c r="A38" s="111" t="s">
        <v>1899</v>
      </c>
      <c r="B38" s="133">
        <v>17.66</v>
      </c>
      <c r="C38" s="133">
        <v>24.12</v>
      </c>
      <c r="D38" s="133">
        <v>28.11</v>
      </c>
      <c r="E38" s="133">
        <v>6.42</v>
      </c>
      <c r="F38" s="133">
        <v>2.94</v>
      </c>
      <c r="G38" s="133">
        <v>50.08</v>
      </c>
      <c r="H38" s="133">
        <v>21.74</v>
      </c>
      <c r="I38" s="133">
        <v>4.91</v>
      </c>
      <c r="J38" s="133">
        <v>0.23</v>
      </c>
      <c r="K38" s="133">
        <v>340.84</v>
      </c>
      <c r="L38" s="133">
        <v>24.07</v>
      </c>
      <c r="M38" s="133">
        <v>85.03</v>
      </c>
      <c r="N38" s="133">
        <v>77.2</v>
      </c>
      <c r="O38" s="133">
        <v>0</v>
      </c>
      <c r="P38" s="133">
        <v>0.55000000000000004</v>
      </c>
      <c r="Q38" s="133">
        <v>5.82</v>
      </c>
    </row>
    <row r="39" spans="1:17" customFormat="1">
      <c r="A39" s="111" t="s">
        <v>1900</v>
      </c>
      <c r="B39" s="133">
        <v>18.11</v>
      </c>
      <c r="C39" s="133">
        <v>24.05</v>
      </c>
      <c r="D39" s="133">
        <v>28.44</v>
      </c>
      <c r="E39" s="133">
        <v>6.71</v>
      </c>
      <c r="F39" s="133">
        <v>2.87</v>
      </c>
      <c r="G39" s="133">
        <v>50.08</v>
      </c>
      <c r="H39" s="133">
        <v>21.74</v>
      </c>
      <c r="I39" s="133">
        <v>4.9800000000000004</v>
      </c>
      <c r="J39" s="133">
        <v>0.26</v>
      </c>
      <c r="K39" s="133">
        <v>321.97000000000003</v>
      </c>
      <c r="L39" s="133">
        <v>24.67</v>
      </c>
      <c r="M39" s="133">
        <v>81.489999999999995</v>
      </c>
      <c r="N39" s="133">
        <v>143.6</v>
      </c>
      <c r="O39" s="133">
        <v>0</v>
      </c>
      <c r="P39" s="133">
        <v>0.55000000000000004</v>
      </c>
      <c r="Q39" s="133">
        <v>5.83</v>
      </c>
    </row>
    <row r="40" spans="1:17" customFormat="1">
      <c r="A40" s="111" t="s">
        <v>1901</v>
      </c>
      <c r="B40" s="133">
        <v>18.59</v>
      </c>
      <c r="C40" s="133">
        <v>25.66</v>
      </c>
      <c r="D40" s="133">
        <v>29.67</v>
      </c>
      <c r="E40" s="133">
        <v>6.89</v>
      </c>
      <c r="F40" s="133">
        <v>2.52</v>
      </c>
      <c r="G40" s="133">
        <v>52.38</v>
      </c>
      <c r="H40" s="133">
        <v>22.47</v>
      </c>
      <c r="I40" s="133">
        <v>5.1100000000000003</v>
      </c>
      <c r="J40" s="133">
        <v>0.25</v>
      </c>
      <c r="K40" s="133">
        <v>31.2</v>
      </c>
      <c r="L40" s="133">
        <v>25.27</v>
      </c>
      <c r="M40" s="133">
        <v>79.7</v>
      </c>
      <c r="N40" s="133">
        <v>188.2</v>
      </c>
      <c r="O40" s="133">
        <v>0</v>
      </c>
      <c r="P40" s="133">
        <v>0.6</v>
      </c>
      <c r="Q40" s="133">
        <v>5.81</v>
      </c>
    </row>
    <row r="41" spans="1:17" customFormat="1">
      <c r="A41" s="111" t="s">
        <v>1902</v>
      </c>
      <c r="B41" s="133">
        <v>19.23</v>
      </c>
      <c r="C41" s="133">
        <v>25.37</v>
      </c>
      <c r="D41" s="133">
        <v>30.03</v>
      </c>
      <c r="E41" s="133">
        <v>7.08</v>
      </c>
      <c r="F41" s="133">
        <v>2.81</v>
      </c>
      <c r="G41" s="133">
        <v>64.89</v>
      </c>
      <c r="H41" s="133">
        <v>25.43</v>
      </c>
      <c r="I41" s="133">
        <v>5.2</v>
      </c>
      <c r="J41" s="133">
        <v>0.24</v>
      </c>
      <c r="K41" s="133">
        <v>311.33999999999997</v>
      </c>
      <c r="L41" s="133">
        <v>25.75</v>
      </c>
      <c r="M41" s="133">
        <v>77.81</v>
      </c>
      <c r="N41" s="133">
        <v>232.3</v>
      </c>
      <c r="O41" s="133">
        <v>0</v>
      </c>
      <c r="P41" s="133">
        <v>0.6</v>
      </c>
      <c r="Q41" s="133">
        <v>5.88</v>
      </c>
    </row>
    <row r="42" spans="1:17" customFormat="1">
      <c r="A42" s="111" t="s">
        <v>1903</v>
      </c>
      <c r="B42" s="133">
        <v>19.29</v>
      </c>
      <c r="C42" s="133">
        <v>24.84</v>
      </c>
      <c r="D42" s="133">
        <v>29.8</v>
      </c>
      <c r="E42" s="133">
        <v>6.85</v>
      </c>
      <c r="F42" s="133">
        <v>2.98</v>
      </c>
      <c r="G42" s="133">
        <v>64.89</v>
      </c>
      <c r="H42" s="133">
        <v>25.43</v>
      </c>
      <c r="I42" s="133">
        <v>5.35</v>
      </c>
      <c r="J42" s="133">
        <v>0.34</v>
      </c>
      <c r="K42" s="133">
        <v>6.05</v>
      </c>
      <c r="L42" s="133">
        <v>26.36</v>
      </c>
      <c r="M42" s="133">
        <v>76.12</v>
      </c>
      <c r="N42" s="133">
        <v>274.39999999999998</v>
      </c>
      <c r="O42" s="133">
        <v>0</v>
      </c>
      <c r="P42" s="133">
        <v>0.6</v>
      </c>
      <c r="Q42" s="133">
        <v>5.88</v>
      </c>
    </row>
    <row r="43" spans="1:17" customFormat="1">
      <c r="A43" s="111" t="s">
        <v>1904</v>
      </c>
      <c r="B43" s="133">
        <v>19.239999999999998</v>
      </c>
      <c r="C43" s="133">
        <v>24.83</v>
      </c>
      <c r="D43" s="133">
        <v>29.75</v>
      </c>
      <c r="E43" s="133">
        <v>6.64</v>
      </c>
      <c r="F43" s="133">
        <v>2.91</v>
      </c>
      <c r="G43" s="133">
        <v>64.89</v>
      </c>
      <c r="H43" s="133">
        <v>25.43</v>
      </c>
      <c r="I43" s="133">
        <v>5.47</v>
      </c>
      <c r="J43" s="133">
        <v>0.35</v>
      </c>
      <c r="K43" s="133">
        <v>17.510000000000002</v>
      </c>
      <c r="L43" s="133">
        <v>26.83</v>
      </c>
      <c r="M43" s="133">
        <v>72.13</v>
      </c>
      <c r="N43" s="133">
        <v>311</v>
      </c>
      <c r="O43" s="133">
        <v>0</v>
      </c>
      <c r="P43" s="133">
        <v>0.62</v>
      </c>
      <c r="Q43" s="133">
        <v>5.88</v>
      </c>
    </row>
    <row r="44" spans="1:17" customFormat="1">
      <c r="A44" s="111" t="s">
        <v>1905</v>
      </c>
      <c r="B44" s="133">
        <v>19</v>
      </c>
      <c r="C44" s="133">
        <v>25.44</v>
      </c>
      <c r="D44" s="133">
        <v>29.88</v>
      </c>
      <c r="E44" s="133">
        <v>7.07</v>
      </c>
      <c r="F44" s="133">
        <v>2.85</v>
      </c>
      <c r="G44" s="133">
        <v>67.83</v>
      </c>
      <c r="H44" s="133">
        <v>26.11</v>
      </c>
      <c r="I44" s="133">
        <v>5.64</v>
      </c>
      <c r="J44" s="133">
        <v>0.16</v>
      </c>
      <c r="K44" s="133">
        <v>317.72000000000003</v>
      </c>
      <c r="L44" s="133">
        <v>27.35</v>
      </c>
      <c r="M44" s="133">
        <v>68.8</v>
      </c>
      <c r="N44" s="133">
        <v>337.4</v>
      </c>
      <c r="O44" s="133">
        <v>0</v>
      </c>
      <c r="P44" s="133">
        <v>0.64</v>
      </c>
      <c r="Q44" s="133">
        <v>5.86</v>
      </c>
    </row>
    <row r="45" spans="1:17" customFormat="1">
      <c r="A45" s="111" t="s">
        <v>1906</v>
      </c>
      <c r="B45" s="133">
        <v>18.809999999999999</v>
      </c>
      <c r="C45" s="133">
        <v>27.38</v>
      </c>
      <c r="D45" s="133">
        <v>30.74</v>
      </c>
      <c r="E45" s="133">
        <v>7.48</v>
      </c>
      <c r="F45" s="133">
        <v>2.7</v>
      </c>
      <c r="G45" s="133">
        <v>83.8</v>
      </c>
      <c r="H45" s="133">
        <v>28.86</v>
      </c>
      <c r="I45" s="133">
        <v>5.76</v>
      </c>
      <c r="J45" s="133">
        <v>0.44</v>
      </c>
      <c r="K45" s="133">
        <v>28.91</v>
      </c>
      <c r="L45" s="133">
        <v>27.89</v>
      </c>
      <c r="M45" s="133">
        <v>68.900000000000006</v>
      </c>
      <c r="N45" s="133">
        <v>370.2</v>
      </c>
      <c r="O45" s="133">
        <v>0</v>
      </c>
      <c r="P45" s="133">
        <v>0.69</v>
      </c>
      <c r="Q45" s="133">
        <v>5.85</v>
      </c>
    </row>
    <row r="46" spans="1:17" customFormat="1">
      <c r="A46" s="111" t="s">
        <v>1907</v>
      </c>
      <c r="B46" s="133">
        <v>19.04</v>
      </c>
      <c r="C46" s="133">
        <v>27.08</v>
      </c>
      <c r="D46" s="133">
        <v>30.77</v>
      </c>
      <c r="E46" s="133">
        <v>7.3</v>
      </c>
      <c r="F46" s="133">
        <v>2.73</v>
      </c>
      <c r="G46" s="133">
        <v>83.8</v>
      </c>
      <c r="H46" s="133">
        <v>28.86</v>
      </c>
      <c r="I46" s="133">
        <v>5.88</v>
      </c>
      <c r="J46" s="133">
        <v>0.55000000000000004</v>
      </c>
      <c r="K46" s="133">
        <v>43.26</v>
      </c>
      <c r="L46" s="133">
        <v>28.12</v>
      </c>
      <c r="M46" s="133">
        <v>67.17</v>
      </c>
      <c r="N46" s="133">
        <v>326.8</v>
      </c>
      <c r="O46" s="133">
        <v>0</v>
      </c>
      <c r="P46" s="133">
        <v>0.7</v>
      </c>
      <c r="Q46" s="133">
        <v>5.85</v>
      </c>
    </row>
    <row r="47" spans="1:17" customFormat="1">
      <c r="A47" s="111" t="s">
        <v>1908</v>
      </c>
      <c r="B47" s="133">
        <v>19.010000000000002</v>
      </c>
      <c r="C47" s="133">
        <v>26.91</v>
      </c>
      <c r="D47" s="133">
        <v>30.65</v>
      </c>
      <c r="E47" s="133">
        <v>7.53</v>
      </c>
      <c r="F47" s="133">
        <v>3</v>
      </c>
      <c r="G47" s="133">
        <v>83.8</v>
      </c>
      <c r="H47" s="133">
        <v>28.86</v>
      </c>
      <c r="I47" s="133">
        <v>6.12</v>
      </c>
      <c r="J47" s="133">
        <v>0.41</v>
      </c>
      <c r="K47" s="133">
        <v>51.99</v>
      </c>
      <c r="L47" s="133">
        <v>28.58</v>
      </c>
      <c r="M47" s="133">
        <v>63.09</v>
      </c>
      <c r="N47" s="133">
        <v>317.10000000000002</v>
      </c>
      <c r="O47" s="133">
        <v>0</v>
      </c>
      <c r="P47" s="133">
        <v>0.72</v>
      </c>
      <c r="Q47" s="133">
        <v>5.87</v>
      </c>
    </row>
    <row r="48" spans="1:17" customFormat="1">
      <c r="A48" s="111" t="s">
        <v>1909</v>
      </c>
      <c r="B48" s="133">
        <v>18.78</v>
      </c>
      <c r="C48" s="133">
        <v>27.06</v>
      </c>
      <c r="D48" s="133">
        <v>30.55</v>
      </c>
      <c r="E48" s="133">
        <v>7.51</v>
      </c>
      <c r="F48" s="133">
        <v>3.02</v>
      </c>
      <c r="G48" s="133">
        <v>87.41</v>
      </c>
      <c r="H48" s="133">
        <v>31.41</v>
      </c>
      <c r="I48" s="133">
        <v>6.33</v>
      </c>
      <c r="J48" s="133">
        <v>0.25</v>
      </c>
      <c r="K48" s="133">
        <v>21.07</v>
      </c>
      <c r="L48" s="133">
        <v>29.01</v>
      </c>
      <c r="M48" s="133">
        <v>61.06</v>
      </c>
      <c r="N48" s="133">
        <v>464.4</v>
      </c>
      <c r="O48" s="133">
        <v>0</v>
      </c>
      <c r="P48" s="133">
        <v>0.73</v>
      </c>
      <c r="Q48" s="133">
        <v>5.88</v>
      </c>
    </row>
    <row r="49" spans="1:17" customFormat="1">
      <c r="A49" s="111" t="s">
        <v>1910</v>
      </c>
      <c r="B49" s="133">
        <v>18.41</v>
      </c>
      <c r="C49" s="133">
        <v>27.04</v>
      </c>
      <c r="D49" s="133">
        <v>30.25</v>
      </c>
      <c r="E49" s="133">
        <v>7.55</v>
      </c>
      <c r="F49" s="133">
        <v>3.21</v>
      </c>
      <c r="G49" s="133">
        <v>107.02</v>
      </c>
      <c r="H49" s="133">
        <v>41.84</v>
      </c>
      <c r="I49" s="133">
        <v>6.45</v>
      </c>
      <c r="J49" s="133">
        <v>0.36</v>
      </c>
      <c r="K49" s="133">
        <v>27.49</v>
      </c>
      <c r="L49" s="133">
        <v>29.65</v>
      </c>
      <c r="M49" s="133">
        <v>59.31</v>
      </c>
      <c r="N49" s="133">
        <v>512.70000000000005</v>
      </c>
      <c r="O49" s="133">
        <v>0</v>
      </c>
      <c r="P49" s="133">
        <v>0.74</v>
      </c>
      <c r="Q49" s="133">
        <v>5.84</v>
      </c>
    </row>
    <row r="50" spans="1:17" customFormat="1">
      <c r="A50" s="111" t="s">
        <v>1911</v>
      </c>
      <c r="B50" s="133">
        <v>18.11</v>
      </c>
      <c r="C50" s="133">
        <v>27.25</v>
      </c>
      <c r="D50" s="133">
        <v>30.11</v>
      </c>
      <c r="E50" s="133">
        <v>8.6199999999999992</v>
      </c>
      <c r="F50" s="133">
        <v>3.2</v>
      </c>
      <c r="G50" s="133">
        <v>107.02</v>
      </c>
      <c r="H50" s="133">
        <v>41.84</v>
      </c>
      <c r="I50" s="133">
        <v>6.56</v>
      </c>
      <c r="J50" s="133">
        <v>0.19</v>
      </c>
      <c r="K50" s="133">
        <v>359.59</v>
      </c>
      <c r="L50" s="133">
        <v>30.25</v>
      </c>
      <c r="M50" s="133">
        <v>59.64</v>
      </c>
      <c r="N50" s="133">
        <v>522.70000000000005</v>
      </c>
      <c r="O50" s="133">
        <v>0</v>
      </c>
      <c r="P50" s="133">
        <v>0.75</v>
      </c>
      <c r="Q50" s="133">
        <v>5.83</v>
      </c>
    </row>
    <row r="51" spans="1:17" customFormat="1">
      <c r="A51" s="111" t="s">
        <v>1912</v>
      </c>
      <c r="B51" s="133">
        <v>17.16</v>
      </c>
      <c r="C51" s="133">
        <v>27.25</v>
      </c>
      <c r="D51" s="133">
        <v>29.35</v>
      </c>
      <c r="E51" s="133">
        <v>13.52</v>
      </c>
      <c r="F51" s="133">
        <v>6.75</v>
      </c>
      <c r="G51" s="133">
        <v>107.02</v>
      </c>
      <c r="H51" s="133">
        <v>41.84</v>
      </c>
      <c r="I51" s="133">
        <v>6.61</v>
      </c>
      <c r="J51" s="133">
        <v>0.3</v>
      </c>
      <c r="K51" s="133">
        <v>5.75</v>
      </c>
      <c r="L51" s="133">
        <v>30.29</v>
      </c>
      <c r="M51" s="133">
        <v>61.07</v>
      </c>
      <c r="N51" s="133">
        <v>515.5</v>
      </c>
      <c r="O51" s="133">
        <v>0</v>
      </c>
      <c r="P51" s="133">
        <v>0.81</v>
      </c>
      <c r="Q51" s="133">
        <v>5.8</v>
      </c>
    </row>
    <row r="52" spans="1:17" customFormat="1">
      <c r="A52" s="111" t="s">
        <v>1913</v>
      </c>
      <c r="B52" s="133">
        <v>14.54</v>
      </c>
      <c r="C52" s="133">
        <v>29.61</v>
      </c>
      <c r="D52" s="133">
        <v>28.48</v>
      </c>
      <c r="E52" s="133">
        <v>17.809999999999999</v>
      </c>
      <c r="F52" s="133">
        <v>6.94</v>
      </c>
      <c r="G52" s="133">
        <v>108.31</v>
      </c>
      <c r="H52" s="133">
        <v>41.63</v>
      </c>
      <c r="I52" s="133">
        <v>6.64</v>
      </c>
      <c r="J52" s="133">
        <v>0.42</v>
      </c>
      <c r="K52" s="133">
        <v>32.6</v>
      </c>
      <c r="L52" s="133">
        <v>30.68</v>
      </c>
      <c r="M52" s="133">
        <v>59.48</v>
      </c>
      <c r="N52" s="133">
        <v>480.1</v>
      </c>
      <c r="O52" s="133">
        <v>0</v>
      </c>
      <c r="P52" s="133">
        <v>0.88</v>
      </c>
      <c r="Q52" s="133">
        <v>5.71</v>
      </c>
    </row>
    <row r="53" spans="1:17" customFormat="1">
      <c r="A53" s="111" t="s">
        <v>1914</v>
      </c>
      <c r="B53" s="133">
        <v>12.49</v>
      </c>
      <c r="C53" s="133">
        <v>29.71</v>
      </c>
      <c r="D53" s="133">
        <v>26.89</v>
      </c>
      <c r="E53" s="133">
        <v>21.95</v>
      </c>
      <c r="F53" s="133">
        <v>10.58</v>
      </c>
      <c r="G53" s="133">
        <v>115.28</v>
      </c>
      <c r="H53" s="133">
        <v>40.799999999999997</v>
      </c>
      <c r="I53" s="133">
        <v>6.68</v>
      </c>
      <c r="J53" s="133">
        <v>0.49</v>
      </c>
      <c r="K53" s="133">
        <v>30.23</v>
      </c>
      <c r="L53" s="133">
        <v>30.58</v>
      </c>
      <c r="M53" s="133">
        <v>58.14</v>
      </c>
      <c r="N53" s="133">
        <v>545.1</v>
      </c>
      <c r="O53" s="133">
        <v>0</v>
      </c>
      <c r="P53" s="133">
        <v>0.91</v>
      </c>
      <c r="Q53" s="171" t="s">
        <v>8</v>
      </c>
    </row>
    <row r="54" spans="1:17" customFormat="1">
      <c r="A54" s="111" t="s">
        <v>1915</v>
      </c>
      <c r="B54" s="150" t="s">
        <v>12</v>
      </c>
      <c r="C54" s="150" t="s">
        <v>12</v>
      </c>
      <c r="D54" s="150" t="s">
        <v>12</v>
      </c>
      <c r="E54" s="133">
        <v>21.32</v>
      </c>
      <c r="F54" s="133">
        <v>9.76</v>
      </c>
      <c r="G54" s="150" t="s">
        <v>12</v>
      </c>
      <c r="H54" s="150" t="s">
        <v>12</v>
      </c>
      <c r="I54" s="133">
        <v>6.76</v>
      </c>
      <c r="J54" s="133">
        <v>0.43</v>
      </c>
      <c r="K54" s="133">
        <v>39.020000000000003</v>
      </c>
      <c r="L54" s="133">
        <v>31.01</v>
      </c>
      <c r="M54" s="133">
        <v>55.34</v>
      </c>
      <c r="N54" s="133">
        <v>583.6</v>
      </c>
      <c r="O54" s="133">
        <v>0</v>
      </c>
      <c r="P54" s="133">
        <v>0.9</v>
      </c>
      <c r="Q54" s="171" t="s">
        <v>8</v>
      </c>
    </row>
    <row r="55" spans="1:17" customFormat="1">
      <c r="A55" s="111" t="s">
        <v>1916</v>
      </c>
      <c r="B55" s="150" t="s">
        <v>12</v>
      </c>
      <c r="C55" s="150" t="s">
        <v>12</v>
      </c>
      <c r="D55" s="150" t="s">
        <v>12</v>
      </c>
      <c r="E55" s="133">
        <v>19.22</v>
      </c>
      <c r="F55" s="133">
        <v>12.03</v>
      </c>
      <c r="G55" s="150" t="s">
        <v>12</v>
      </c>
      <c r="H55" s="150" t="s">
        <v>12</v>
      </c>
      <c r="I55" s="133">
        <v>6.56</v>
      </c>
      <c r="J55" s="133">
        <v>0.36</v>
      </c>
      <c r="K55" s="133">
        <v>45.64</v>
      </c>
      <c r="L55" s="133">
        <v>31.4</v>
      </c>
      <c r="M55" s="133">
        <v>53.36</v>
      </c>
      <c r="N55" s="133">
        <v>598.4</v>
      </c>
      <c r="O55" s="133">
        <v>0</v>
      </c>
      <c r="P55" s="133">
        <v>0.86</v>
      </c>
      <c r="Q55" s="171" t="s">
        <v>8</v>
      </c>
    </row>
    <row r="56" spans="1:17" customFormat="1">
      <c r="A56" s="111" t="s">
        <v>1917</v>
      </c>
      <c r="B56" s="133">
        <v>4.3499999999999996</v>
      </c>
      <c r="C56" s="133">
        <v>34.76</v>
      </c>
      <c r="D56" s="133">
        <v>23</v>
      </c>
      <c r="E56" s="133">
        <v>20.03</v>
      </c>
      <c r="F56" s="133">
        <v>12.52</v>
      </c>
      <c r="G56" s="150" t="s">
        <v>12</v>
      </c>
      <c r="H56" s="150" t="s">
        <v>12</v>
      </c>
      <c r="I56" s="133">
        <v>6.36</v>
      </c>
      <c r="J56" s="133">
        <v>0.59</v>
      </c>
      <c r="K56" s="133">
        <v>28.34</v>
      </c>
      <c r="L56" s="133">
        <v>31.09</v>
      </c>
      <c r="M56" s="133">
        <v>53.52</v>
      </c>
      <c r="N56" s="133">
        <v>611.79999999999995</v>
      </c>
      <c r="O56" s="133">
        <v>0</v>
      </c>
      <c r="P56" s="133">
        <v>0.83</v>
      </c>
      <c r="Q56" s="171" t="s">
        <v>8</v>
      </c>
    </row>
    <row r="57" spans="1:17" customFormat="1">
      <c r="A57" s="111" t="s">
        <v>1918</v>
      </c>
      <c r="B57" s="133">
        <v>3.46</v>
      </c>
      <c r="C57" s="133">
        <v>30.81</v>
      </c>
      <c r="D57" s="133">
        <v>20.22</v>
      </c>
      <c r="E57" s="133">
        <v>24.45</v>
      </c>
      <c r="F57" s="133">
        <v>14.85</v>
      </c>
      <c r="G57" s="133">
        <v>79.5</v>
      </c>
      <c r="H57" s="133">
        <v>27.94</v>
      </c>
      <c r="I57" s="133">
        <v>5.92</v>
      </c>
      <c r="J57" s="133">
        <v>0.5</v>
      </c>
      <c r="K57" s="133">
        <v>28.08</v>
      </c>
      <c r="L57" s="133">
        <v>31.48</v>
      </c>
      <c r="M57" s="133">
        <v>51.46</v>
      </c>
      <c r="N57" s="133">
        <v>601.4</v>
      </c>
      <c r="O57" s="133">
        <v>0</v>
      </c>
      <c r="P57" s="133">
        <v>0.79</v>
      </c>
      <c r="Q57" s="133">
        <v>4.97</v>
      </c>
    </row>
    <row r="58" spans="1:17" customFormat="1">
      <c r="A58" s="111" t="s">
        <v>1919</v>
      </c>
      <c r="B58" s="133">
        <v>2.2999999999999998</v>
      </c>
      <c r="C58" s="133">
        <v>29.62</v>
      </c>
      <c r="D58" s="133">
        <v>18.670000000000002</v>
      </c>
      <c r="E58" s="133">
        <v>18.86</v>
      </c>
      <c r="F58" s="133">
        <v>9.02</v>
      </c>
      <c r="G58" s="133">
        <v>79.5</v>
      </c>
      <c r="H58" s="133">
        <v>27.94</v>
      </c>
      <c r="I58" s="133">
        <v>4.9400000000000004</v>
      </c>
      <c r="J58" s="133">
        <v>0.39</v>
      </c>
      <c r="K58" s="133">
        <v>68.459999999999994</v>
      </c>
      <c r="L58" s="133">
        <v>31.57</v>
      </c>
      <c r="M58" s="133">
        <v>51.5</v>
      </c>
      <c r="N58" s="133">
        <v>586</v>
      </c>
      <c r="O58" s="133">
        <v>0</v>
      </c>
      <c r="P58" s="133">
        <v>0.8</v>
      </c>
      <c r="Q58" s="133">
        <v>4.7</v>
      </c>
    </row>
    <row r="59" spans="1:17" customFormat="1">
      <c r="A59" s="111" t="s">
        <v>1920</v>
      </c>
      <c r="B59" s="133">
        <v>1.75</v>
      </c>
      <c r="C59" s="133">
        <v>26.14</v>
      </c>
      <c r="D59" s="133">
        <v>16.41</v>
      </c>
      <c r="E59" s="133">
        <v>22.55</v>
      </c>
      <c r="F59" s="133">
        <v>18.239999999999998</v>
      </c>
      <c r="G59" s="133">
        <v>79.5</v>
      </c>
      <c r="H59" s="133">
        <v>27.94</v>
      </c>
      <c r="I59" s="133">
        <v>4.5599999999999996</v>
      </c>
      <c r="J59" s="133">
        <v>0.49</v>
      </c>
      <c r="K59" s="133">
        <v>45.93</v>
      </c>
      <c r="L59" s="133">
        <v>32.020000000000003</v>
      </c>
      <c r="M59" s="133">
        <v>51</v>
      </c>
      <c r="N59" s="133">
        <v>561.9</v>
      </c>
      <c r="O59" s="133">
        <v>0</v>
      </c>
      <c r="P59" s="133">
        <v>0.8</v>
      </c>
      <c r="Q59" s="133">
        <v>4.57</v>
      </c>
    </row>
    <row r="60" spans="1:17" customFormat="1">
      <c r="A60" s="111" t="s">
        <v>1921</v>
      </c>
      <c r="B60" s="133">
        <v>1.98</v>
      </c>
      <c r="C60" s="133">
        <v>24.57</v>
      </c>
      <c r="D60" s="133">
        <v>15.78</v>
      </c>
      <c r="E60" s="133">
        <v>31.77</v>
      </c>
      <c r="F60" s="133">
        <v>16.350000000000001</v>
      </c>
      <c r="G60" s="133">
        <v>79.5</v>
      </c>
      <c r="H60" s="133">
        <v>27.94</v>
      </c>
      <c r="I60" s="133">
        <v>4.59</v>
      </c>
      <c r="J60" s="133">
        <v>0.56999999999999995</v>
      </c>
      <c r="K60" s="133">
        <v>30.69</v>
      </c>
      <c r="L60" s="133">
        <v>31.72</v>
      </c>
      <c r="M60" s="133">
        <v>50.82</v>
      </c>
      <c r="N60" s="133">
        <v>541.5</v>
      </c>
      <c r="O60" s="133">
        <v>0</v>
      </c>
      <c r="P60" s="133">
        <v>0.81</v>
      </c>
      <c r="Q60" s="133">
        <v>4.5</v>
      </c>
    </row>
    <row r="61" spans="1:17" customFormat="1">
      <c r="A61" s="111" t="s">
        <v>1922</v>
      </c>
      <c r="B61" s="133">
        <v>1.7</v>
      </c>
      <c r="C61" s="133">
        <v>25.48</v>
      </c>
      <c r="D61" s="133">
        <v>16.03</v>
      </c>
      <c r="E61" s="133">
        <v>16.54</v>
      </c>
      <c r="F61" s="133">
        <v>9.19</v>
      </c>
      <c r="G61" s="133">
        <v>81.010000000000005</v>
      </c>
      <c r="H61" s="133">
        <v>27.54</v>
      </c>
      <c r="I61" s="133">
        <v>4.1399999999999997</v>
      </c>
      <c r="J61" s="133">
        <v>0.53</v>
      </c>
      <c r="K61" s="133">
        <v>29.19</v>
      </c>
      <c r="L61" s="133">
        <v>31.83</v>
      </c>
      <c r="M61" s="133">
        <v>51.7</v>
      </c>
      <c r="N61" s="133">
        <v>517</v>
      </c>
      <c r="O61" s="133">
        <v>0</v>
      </c>
      <c r="P61" s="133">
        <v>0.81</v>
      </c>
      <c r="Q61" s="133">
        <v>4.4800000000000004</v>
      </c>
    </row>
    <row r="62" spans="1:17" customFormat="1">
      <c r="A62" s="111" t="s">
        <v>1923</v>
      </c>
      <c r="B62" s="133">
        <v>1.99</v>
      </c>
      <c r="C62" s="133">
        <v>22.86</v>
      </c>
      <c r="D62" s="133">
        <v>14.89</v>
      </c>
      <c r="E62" s="133">
        <v>22.93</v>
      </c>
      <c r="F62" s="133">
        <v>22.19</v>
      </c>
      <c r="G62" s="133">
        <v>84.72</v>
      </c>
      <c r="H62" s="133">
        <v>26.91</v>
      </c>
      <c r="I62" s="133">
        <v>4.08</v>
      </c>
      <c r="J62" s="133">
        <v>0.62</v>
      </c>
      <c r="K62" s="133">
        <v>23.9</v>
      </c>
      <c r="L62" s="133">
        <v>31.74</v>
      </c>
      <c r="M62" s="133">
        <v>52.38</v>
      </c>
      <c r="N62" s="133">
        <v>504.1</v>
      </c>
      <c r="O62" s="133">
        <v>0</v>
      </c>
      <c r="P62" s="133">
        <v>0.78</v>
      </c>
      <c r="Q62" s="133">
        <v>4.51</v>
      </c>
    </row>
    <row r="63" spans="1:17" customFormat="1">
      <c r="A63" s="111" t="s">
        <v>1924</v>
      </c>
      <c r="B63" s="133">
        <v>1.63</v>
      </c>
      <c r="C63" s="133">
        <v>22.71</v>
      </c>
      <c r="D63" s="133">
        <v>14.52</v>
      </c>
      <c r="E63" s="133">
        <v>19.16</v>
      </c>
      <c r="F63" s="133">
        <v>7.7</v>
      </c>
      <c r="G63" s="133">
        <v>84.72</v>
      </c>
      <c r="H63" s="133">
        <v>26.91</v>
      </c>
      <c r="I63" s="133">
        <v>4.0599999999999996</v>
      </c>
      <c r="J63" s="133">
        <v>0.36</v>
      </c>
      <c r="K63" s="133">
        <v>16.52</v>
      </c>
      <c r="L63" s="133">
        <v>31.79</v>
      </c>
      <c r="M63" s="133">
        <v>52.68</v>
      </c>
      <c r="N63" s="133">
        <v>463.6</v>
      </c>
      <c r="O63" s="133">
        <v>0</v>
      </c>
      <c r="P63" s="133">
        <v>0.8</v>
      </c>
      <c r="Q63" s="133">
        <v>4.51</v>
      </c>
    </row>
    <row r="64" spans="1:17" customFormat="1">
      <c r="A64" s="111" t="s">
        <v>1925</v>
      </c>
      <c r="B64" s="133">
        <v>1.52</v>
      </c>
      <c r="C64" s="133">
        <v>22.41</v>
      </c>
      <c r="D64" s="133">
        <v>14.28</v>
      </c>
      <c r="E64" s="133">
        <v>12.29</v>
      </c>
      <c r="F64" s="133">
        <v>6.88</v>
      </c>
      <c r="G64" s="133">
        <v>84.72</v>
      </c>
      <c r="H64" s="133">
        <v>26.91</v>
      </c>
      <c r="I64" s="133">
        <v>3.88</v>
      </c>
      <c r="J64" s="133">
        <v>0.55000000000000004</v>
      </c>
      <c r="K64" s="133">
        <v>41.71</v>
      </c>
      <c r="L64" s="133">
        <v>31.77</v>
      </c>
      <c r="M64" s="133">
        <v>54.8</v>
      </c>
      <c r="N64" s="133">
        <v>437.8</v>
      </c>
      <c r="O64" s="133">
        <v>0</v>
      </c>
      <c r="P64" s="133">
        <v>0.78</v>
      </c>
      <c r="Q64" s="133">
        <v>4.5</v>
      </c>
    </row>
    <row r="65" spans="1:17" customFormat="1">
      <c r="A65" s="111" t="s">
        <v>1926</v>
      </c>
      <c r="B65" s="133">
        <v>1.41</v>
      </c>
      <c r="C65" s="133">
        <v>20.350000000000001</v>
      </c>
      <c r="D65" s="133">
        <v>13.11</v>
      </c>
      <c r="E65" s="133">
        <v>12.23</v>
      </c>
      <c r="F65" s="133">
        <v>8.23</v>
      </c>
      <c r="G65" s="133">
        <v>84.5</v>
      </c>
      <c r="H65" s="133">
        <v>27.59</v>
      </c>
      <c r="I65" s="133">
        <v>4.08</v>
      </c>
      <c r="J65" s="133">
        <v>0.39</v>
      </c>
      <c r="K65" s="133">
        <v>20.100000000000001</v>
      </c>
      <c r="L65" s="133">
        <v>31.6</v>
      </c>
      <c r="M65" s="133">
        <v>53.88</v>
      </c>
      <c r="N65" s="133">
        <v>418.8</v>
      </c>
      <c r="O65" s="133">
        <v>0</v>
      </c>
      <c r="P65" s="133">
        <v>0.75</v>
      </c>
      <c r="Q65" s="133">
        <v>4.5</v>
      </c>
    </row>
    <row r="66" spans="1:17" customFormat="1">
      <c r="A66" s="111" t="s">
        <v>1927</v>
      </c>
      <c r="B66" s="133">
        <v>1.52</v>
      </c>
      <c r="C66" s="133">
        <v>22.16</v>
      </c>
      <c r="D66" s="133">
        <v>14.15</v>
      </c>
      <c r="E66" s="133">
        <v>13.26</v>
      </c>
      <c r="F66" s="133">
        <v>10.96</v>
      </c>
      <c r="G66" s="133">
        <v>83.94</v>
      </c>
      <c r="H66" s="133">
        <v>28.67</v>
      </c>
      <c r="I66" s="133">
        <v>4.1500000000000004</v>
      </c>
      <c r="J66" s="133">
        <v>0.57999999999999996</v>
      </c>
      <c r="K66" s="133">
        <v>27.59</v>
      </c>
      <c r="L66" s="133">
        <v>31.62</v>
      </c>
      <c r="M66" s="133">
        <v>55.89</v>
      </c>
      <c r="N66" s="133">
        <v>328.8</v>
      </c>
      <c r="O66" s="133">
        <v>0</v>
      </c>
      <c r="P66" s="133">
        <v>0.77</v>
      </c>
      <c r="Q66" s="133">
        <v>4.49</v>
      </c>
    </row>
    <row r="67" spans="1:17" customFormat="1">
      <c r="A67" s="111" t="s">
        <v>1928</v>
      </c>
      <c r="B67" s="133">
        <v>1.02</v>
      </c>
      <c r="C67" s="133">
        <v>22.62</v>
      </c>
      <c r="D67" s="133">
        <v>13.98</v>
      </c>
      <c r="E67" s="133">
        <v>11.95</v>
      </c>
      <c r="F67" s="133">
        <v>8.92</v>
      </c>
      <c r="G67" s="133">
        <v>83.94</v>
      </c>
      <c r="H67" s="133">
        <v>28.67</v>
      </c>
      <c r="I67" s="133">
        <v>4.1100000000000003</v>
      </c>
      <c r="J67" s="133">
        <v>0.3</v>
      </c>
      <c r="K67" s="133">
        <v>62.26</v>
      </c>
      <c r="L67" s="133">
        <v>31.24</v>
      </c>
      <c r="M67" s="133">
        <v>56.23</v>
      </c>
      <c r="N67" s="133">
        <v>143.80000000000001</v>
      </c>
      <c r="O67" s="133">
        <v>0</v>
      </c>
      <c r="P67" s="133">
        <v>0.76</v>
      </c>
      <c r="Q67" s="133">
        <v>4.5</v>
      </c>
    </row>
    <row r="68" spans="1:17" customFormat="1">
      <c r="A68" s="111" t="s">
        <v>1929</v>
      </c>
      <c r="B68" s="133">
        <v>1.01</v>
      </c>
      <c r="C68" s="133">
        <v>23.59</v>
      </c>
      <c r="D68" s="133">
        <v>14.49</v>
      </c>
      <c r="E68" s="133">
        <v>11.29</v>
      </c>
      <c r="F68" s="133">
        <v>5.26</v>
      </c>
      <c r="G68" s="133">
        <v>83.94</v>
      </c>
      <c r="H68" s="133">
        <v>28.67</v>
      </c>
      <c r="I68" s="133">
        <v>4.1100000000000003</v>
      </c>
      <c r="J68" s="133">
        <v>0.65</v>
      </c>
      <c r="K68" s="133">
        <v>36.94</v>
      </c>
      <c r="L68" s="133">
        <v>30.83</v>
      </c>
      <c r="M68" s="133">
        <v>57.03</v>
      </c>
      <c r="N68" s="133">
        <v>123.1</v>
      </c>
      <c r="O68" s="133">
        <v>0</v>
      </c>
      <c r="P68" s="133">
        <v>0.77</v>
      </c>
      <c r="Q68" s="133">
        <v>4.4800000000000004</v>
      </c>
    </row>
    <row r="69" spans="1:17" customFormat="1">
      <c r="A69" s="111" t="s">
        <v>1930</v>
      </c>
      <c r="B69" s="133">
        <v>1.34</v>
      </c>
      <c r="C69" s="133">
        <v>22.05</v>
      </c>
      <c r="D69" s="133">
        <v>13.95</v>
      </c>
      <c r="E69" s="133">
        <v>11.64</v>
      </c>
      <c r="F69" s="133">
        <v>6.95</v>
      </c>
      <c r="G69" s="133">
        <v>83.01</v>
      </c>
      <c r="H69" s="133">
        <v>29.02</v>
      </c>
      <c r="I69" s="133">
        <v>4.12</v>
      </c>
      <c r="J69" s="133">
        <v>0.54</v>
      </c>
      <c r="K69" s="133">
        <v>44.72</v>
      </c>
      <c r="L69" s="133">
        <v>30.46</v>
      </c>
      <c r="M69" s="133">
        <v>57.52</v>
      </c>
      <c r="N69" s="133">
        <v>107.3</v>
      </c>
      <c r="O69" s="133">
        <v>0</v>
      </c>
      <c r="P69" s="133">
        <v>0.74</v>
      </c>
      <c r="Q69" s="133">
        <v>4.51</v>
      </c>
    </row>
    <row r="70" spans="1:17" customFormat="1">
      <c r="A70" s="111" t="s">
        <v>1931</v>
      </c>
      <c r="B70" s="133">
        <v>1.4</v>
      </c>
      <c r="C70" s="133">
        <v>23.79</v>
      </c>
      <c r="D70" s="133">
        <v>14.9</v>
      </c>
      <c r="E70" s="133">
        <v>11.24</v>
      </c>
      <c r="F70" s="133">
        <v>6.33</v>
      </c>
      <c r="G70" s="133">
        <v>80.709999999999994</v>
      </c>
      <c r="H70" s="133">
        <v>29.59</v>
      </c>
      <c r="I70" s="133">
        <v>4.18</v>
      </c>
      <c r="J70" s="133">
        <v>0.62</v>
      </c>
      <c r="K70" s="133">
        <v>41.81</v>
      </c>
      <c r="L70" s="133">
        <v>30.34</v>
      </c>
      <c r="M70" s="133">
        <v>57.7</v>
      </c>
      <c r="N70" s="133">
        <v>96.5</v>
      </c>
      <c r="O70" s="133">
        <v>0</v>
      </c>
      <c r="P70" s="133">
        <v>0.76</v>
      </c>
      <c r="Q70" s="133">
        <v>4.53</v>
      </c>
    </row>
    <row r="71" spans="1:17" customFormat="1">
      <c r="A71" s="111" t="s">
        <v>1932</v>
      </c>
      <c r="B71" s="133">
        <v>1.63</v>
      </c>
      <c r="C71" s="133">
        <v>22.84</v>
      </c>
      <c r="D71" s="133">
        <v>14.6</v>
      </c>
      <c r="E71" s="133">
        <v>10.92</v>
      </c>
      <c r="F71" s="133">
        <v>7.1</v>
      </c>
      <c r="G71" s="133">
        <v>80.709999999999994</v>
      </c>
      <c r="H71" s="133">
        <v>29.59</v>
      </c>
      <c r="I71" s="133">
        <v>4.09</v>
      </c>
      <c r="J71" s="133">
        <v>0.53</v>
      </c>
      <c r="K71" s="133">
        <v>38.56</v>
      </c>
      <c r="L71" s="133">
        <v>30.27</v>
      </c>
      <c r="M71" s="133">
        <v>57.61</v>
      </c>
      <c r="N71" s="133">
        <v>78.900000000000006</v>
      </c>
      <c r="O71" s="133">
        <v>0</v>
      </c>
      <c r="P71" s="133">
        <v>0.74</v>
      </c>
      <c r="Q71" s="133">
        <v>4.54</v>
      </c>
    </row>
    <row r="72" spans="1:17" customFormat="1">
      <c r="A72" s="111" t="s">
        <v>1933</v>
      </c>
      <c r="B72" s="133">
        <v>1.93</v>
      </c>
      <c r="C72" s="133">
        <v>23.04</v>
      </c>
      <c r="D72" s="133">
        <v>14.94</v>
      </c>
      <c r="E72" s="133">
        <v>11.06</v>
      </c>
      <c r="F72" s="133">
        <v>6.17</v>
      </c>
      <c r="G72" s="133">
        <v>80.709999999999994</v>
      </c>
      <c r="H72" s="133">
        <v>29.59</v>
      </c>
      <c r="I72" s="133">
        <v>4.0999999999999996</v>
      </c>
      <c r="J72" s="133">
        <v>0.48</v>
      </c>
      <c r="K72" s="133">
        <v>54.49</v>
      </c>
      <c r="L72" s="133">
        <v>30.21</v>
      </c>
      <c r="M72" s="133">
        <v>56.55</v>
      </c>
      <c r="N72" s="133">
        <v>61.1</v>
      </c>
      <c r="O72" s="133">
        <v>0</v>
      </c>
      <c r="P72" s="133">
        <v>0.74</v>
      </c>
      <c r="Q72" s="133">
        <v>4.5599999999999996</v>
      </c>
    </row>
    <row r="73" spans="1:17" customFormat="1">
      <c r="A73" s="111" t="s">
        <v>1934</v>
      </c>
      <c r="B73" s="133">
        <v>2.04</v>
      </c>
      <c r="C73" s="133">
        <v>22.51</v>
      </c>
      <c r="D73" s="133">
        <v>14.75</v>
      </c>
      <c r="E73" s="133">
        <v>10.34</v>
      </c>
      <c r="F73" s="133">
        <v>5.37</v>
      </c>
      <c r="G73" s="133">
        <v>80.66</v>
      </c>
      <c r="H73" s="133">
        <v>28.21</v>
      </c>
      <c r="I73" s="133">
        <v>4.08</v>
      </c>
      <c r="J73" s="133">
        <v>0.35</v>
      </c>
      <c r="K73" s="133">
        <v>59.59</v>
      </c>
      <c r="L73" s="133">
        <v>30.14</v>
      </c>
      <c r="M73" s="133">
        <v>56.17</v>
      </c>
      <c r="N73" s="133">
        <v>47</v>
      </c>
      <c r="O73" s="133">
        <v>0</v>
      </c>
      <c r="P73" s="133">
        <v>0.74</v>
      </c>
      <c r="Q73" s="133">
        <v>4.58</v>
      </c>
    </row>
    <row r="74" spans="1:17" customFormat="1">
      <c r="A74" s="111" t="s">
        <v>1935</v>
      </c>
      <c r="B74" s="133">
        <v>2.34</v>
      </c>
      <c r="C74" s="133">
        <v>23.82</v>
      </c>
      <c r="D74" s="133">
        <v>15.67</v>
      </c>
      <c r="E74" s="133">
        <v>10.91</v>
      </c>
      <c r="F74" s="133">
        <v>4.62</v>
      </c>
      <c r="G74" s="133">
        <v>80.540000000000006</v>
      </c>
      <c r="H74" s="133">
        <v>25.95</v>
      </c>
      <c r="I74" s="133">
        <v>4.03</v>
      </c>
      <c r="J74" s="133">
        <v>0.38</v>
      </c>
      <c r="K74" s="133">
        <v>53.5</v>
      </c>
      <c r="L74" s="133">
        <v>30.03</v>
      </c>
      <c r="M74" s="133">
        <v>58.33</v>
      </c>
      <c r="N74" s="133">
        <v>40</v>
      </c>
      <c r="O74" s="133">
        <v>0</v>
      </c>
      <c r="P74" s="133">
        <v>0.73</v>
      </c>
      <c r="Q74" s="133">
        <v>4.57</v>
      </c>
    </row>
    <row r="75" spans="1:17" customFormat="1">
      <c r="A75" s="111" t="s">
        <v>1936</v>
      </c>
      <c r="B75" s="133">
        <v>3.07</v>
      </c>
      <c r="C75" s="133">
        <v>25.81</v>
      </c>
      <c r="D75" s="133">
        <v>17.3</v>
      </c>
      <c r="E75" s="133">
        <v>12.91</v>
      </c>
      <c r="F75" s="133">
        <v>7.1</v>
      </c>
      <c r="G75" s="133">
        <v>80.540000000000006</v>
      </c>
      <c r="H75" s="133">
        <v>25.95</v>
      </c>
      <c r="I75" s="133">
        <v>4.07</v>
      </c>
      <c r="J75" s="133">
        <v>0.42</v>
      </c>
      <c r="K75" s="133">
        <v>39.44</v>
      </c>
      <c r="L75" s="133">
        <v>29.71</v>
      </c>
      <c r="M75" s="133">
        <v>60.18</v>
      </c>
      <c r="N75" s="133">
        <v>25.1</v>
      </c>
      <c r="O75" s="133">
        <v>0</v>
      </c>
      <c r="P75" s="133">
        <v>0.73</v>
      </c>
      <c r="Q75" s="133">
        <v>4.6100000000000003</v>
      </c>
    </row>
    <row r="76" spans="1:17" customFormat="1">
      <c r="A76" s="111" t="s">
        <v>1937</v>
      </c>
      <c r="B76" s="133">
        <v>3.53</v>
      </c>
      <c r="C76" s="133">
        <v>28.71</v>
      </c>
      <c r="D76" s="133">
        <v>19.18</v>
      </c>
      <c r="E76" s="133">
        <v>21.28</v>
      </c>
      <c r="F76" s="133">
        <v>16.760000000000002</v>
      </c>
      <c r="G76" s="133">
        <v>80.540000000000006</v>
      </c>
      <c r="H76" s="133">
        <v>25.95</v>
      </c>
      <c r="I76" s="133">
        <v>4.5599999999999996</v>
      </c>
      <c r="J76" s="133">
        <v>0.27</v>
      </c>
      <c r="K76" s="133">
        <v>56.45</v>
      </c>
      <c r="L76" s="133">
        <v>29.47</v>
      </c>
      <c r="M76" s="133">
        <v>60.66</v>
      </c>
      <c r="N76" s="133">
        <v>11.9</v>
      </c>
      <c r="O76" s="133">
        <v>0</v>
      </c>
      <c r="P76" s="133">
        <v>0.74</v>
      </c>
      <c r="Q76" s="133">
        <v>4.6100000000000003</v>
      </c>
    </row>
    <row r="77" spans="1:17" customFormat="1">
      <c r="A77" s="111" t="s">
        <v>1938</v>
      </c>
      <c r="B77" s="133">
        <v>3</v>
      </c>
      <c r="C77" s="133">
        <v>32.39</v>
      </c>
      <c r="D77" s="133">
        <v>20.68</v>
      </c>
      <c r="E77" s="133">
        <v>15.32</v>
      </c>
      <c r="F77" s="133">
        <v>6.49</v>
      </c>
      <c r="G77" s="133">
        <v>79.98</v>
      </c>
      <c r="H77" s="133">
        <v>26.18</v>
      </c>
      <c r="I77" s="133">
        <v>4.75</v>
      </c>
      <c r="J77" s="133">
        <v>0.09</v>
      </c>
      <c r="K77" s="133">
        <v>121.35</v>
      </c>
      <c r="L77" s="133">
        <v>28.97</v>
      </c>
      <c r="M77" s="133">
        <v>65.44</v>
      </c>
      <c r="N77" s="133">
        <v>2.4</v>
      </c>
      <c r="O77" s="133">
        <v>0</v>
      </c>
      <c r="P77" s="133">
        <v>0.76</v>
      </c>
      <c r="Q77" s="133">
        <v>4.62</v>
      </c>
    </row>
    <row r="78" spans="1:17" customFormat="1">
      <c r="A78" s="111" t="s">
        <v>1939</v>
      </c>
      <c r="B78" s="133">
        <v>2.87</v>
      </c>
      <c r="C78" s="133">
        <v>31.12</v>
      </c>
      <c r="D78" s="133">
        <v>19.91</v>
      </c>
      <c r="E78" s="133">
        <v>10.76</v>
      </c>
      <c r="F78" s="133">
        <v>4.72</v>
      </c>
      <c r="G78" s="133">
        <v>78.69</v>
      </c>
      <c r="H78" s="133">
        <v>27.15</v>
      </c>
      <c r="I78" s="133">
        <v>4.68</v>
      </c>
      <c r="J78" s="133">
        <v>0.22</v>
      </c>
      <c r="K78" s="133">
        <v>167.29</v>
      </c>
      <c r="L78" s="133">
        <v>28.04</v>
      </c>
      <c r="M78" s="133">
        <v>72.180000000000007</v>
      </c>
      <c r="N78" s="133">
        <v>0</v>
      </c>
      <c r="O78" s="133">
        <v>0</v>
      </c>
      <c r="P78" s="133">
        <v>0.73</v>
      </c>
      <c r="Q78" s="133">
        <v>4.6399999999999997</v>
      </c>
    </row>
    <row r="79" spans="1:17" customFormat="1">
      <c r="A79" s="111" t="s">
        <v>1940</v>
      </c>
      <c r="B79" s="133">
        <v>3.14</v>
      </c>
      <c r="C79" s="133">
        <v>29.3</v>
      </c>
      <c r="D79" s="133">
        <v>19.170000000000002</v>
      </c>
      <c r="E79" s="133">
        <v>10.01</v>
      </c>
      <c r="F79" s="133">
        <v>4.2699999999999996</v>
      </c>
      <c r="G79" s="133">
        <v>78.69</v>
      </c>
      <c r="H79" s="133">
        <v>27.15</v>
      </c>
      <c r="I79" s="133">
        <v>4.83</v>
      </c>
      <c r="J79" s="133">
        <v>0.23</v>
      </c>
      <c r="K79" s="133">
        <v>168</v>
      </c>
      <c r="L79" s="133">
        <v>27.59</v>
      </c>
      <c r="M79" s="133">
        <v>74.239999999999995</v>
      </c>
      <c r="N79" s="133">
        <v>0</v>
      </c>
      <c r="O79" s="133">
        <v>0</v>
      </c>
      <c r="P79" s="133">
        <v>0.71</v>
      </c>
      <c r="Q79" s="133">
        <v>4.6500000000000004</v>
      </c>
    </row>
    <row r="80" spans="1:17" customFormat="1">
      <c r="A80" s="111" t="s">
        <v>1941</v>
      </c>
      <c r="B80" s="133">
        <v>3.45</v>
      </c>
      <c r="C80" s="133">
        <v>27.94</v>
      </c>
      <c r="D80" s="133">
        <v>18.71</v>
      </c>
      <c r="E80" s="133">
        <v>9.61</v>
      </c>
      <c r="F80" s="133">
        <v>4.32</v>
      </c>
      <c r="G80" s="133">
        <v>78.69</v>
      </c>
      <c r="H80" s="133">
        <v>27.15</v>
      </c>
      <c r="I80" s="133">
        <v>4.97</v>
      </c>
      <c r="J80" s="133">
        <v>0.13</v>
      </c>
      <c r="K80" s="133">
        <v>184.64</v>
      </c>
      <c r="L80" s="133">
        <v>27.33</v>
      </c>
      <c r="M80" s="133">
        <v>75.959999999999994</v>
      </c>
      <c r="N80" s="133">
        <v>0</v>
      </c>
      <c r="O80" s="133">
        <v>0</v>
      </c>
      <c r="P80" s="133">
        <v>0.71</v>
      </c>
      <c r="Q80" s="133">
        <v>4.6500000000000004</v>
      </c>
    </row>
    <row r="81" spans="1:17" customFormat="1">
      <c r="A81" s="111" t="s">
        <v>1942</v>
      </c>
      <c r="B81" s="133">
        <v>3.77</v>
      </c>
      <c r="C81" s="133">
        <v>27.35</v>
      </c>
      <c r="D81" s="133">
        <v>18.670000000000002</v>
      </c>
      <c r="E81" s="133">
        <v>7.44</v>
      </c>
      <c r="F81" s="133">
        <v>3.98</v>
      </c>
      <c r="G81" s="133">
        <v>79.349999999999994</v>
      </c>
      <c r="H81" s="133">
        <v>27.29</v>
      </c>
      <c r="I81" s="133">
        <v>4.97</v>
      </c>
      <c r="J81" s="133">
        <v>0.13</v>
      </c>
      <c r="K81" s="133">
        <v>162.38</v>
      </c>
      <c r="L81" s="133">
        <v>26.99</v>
      </c>
      <c r="M81" s="133">
        <v>78.27</v>
      </c>
      <c r="N81" s="133">
        <v>0</v>
      </c>
      <c r="O81" s="133">
        <v>0</v>
      </c>
      <c r="P81" s="133">
        <v>0.71</v>
      </c>
      <c r="Q81" s="133">
        <v>4.68</v>
      </c>
    </row>
    <row r="82" spans="1:17" customFormat="1">
      <c r="A82" s="111" t="s">
        <v>1943</v>
      </c>
      <c r="B82" s="133">
        <v>4.24</v>
      </c>
      <c r="C82" s="133">
        <v>25.89</v>
      </c>
      <c r="D82" s="133">
        <v>18.28</v>
      </c>
      <c r="E82" s="133">
        <v>8.16</v>
      </c>
      <c r="F82" s="133">
        <v>4.4400000000000004</v>
      </c>
      <c r="G82" s="133">
        <v>81</v>
      </c>
      <c r="H82" s="133">
        <v>27.52</v>
      </c>
      <c r="I82" s="133">
        <v>4.97</v>
      </c>
      <c r="J82" s="133">
        <v>0.08</v>
      </c>
      <c r="K82" s="133">
        <v>197.19</v>
      </c>
      <c r="L82" s="133">
        <v>26.71</v>
      </c>
      <c r="M82" s="133">
        <v>79.72</v>
      </c>
      <c r="N82" s="133">
        <v>0</v>
      </c>
      <c r="O82" s="133">
        <v>0</v>
      </c>
      <c r="P82" s="133">
        <v>0.7</v>
      </c>
      <c r="Q82" s="133">
        <v>4.6900000000000004</v>
      </c>
    </row>
    <row r="83" spans="1:17" customFormat="1">
      <c r="A83" s="111" t="s">
        <v>1944</v>
      </c>
      <c r="B83" s="133">
        <v>4.58</v>
      </c>
      <c r="C83" s="133">
        <v>24.96</v>
      </c>
      <c r="D83" s="133">
        <v>18.07</v>
      </c>
      <c r="E83" s="133">
        <v>7.78</v>
      </c>
      <c r="F83" s="133">
        <v>4.49</v>
      </c>
      <c r="G83" s="133">
        <v>81</v>
      </c>
      <c r="H83" s="133">
        <v>27.52</v>
      </c>
      <c r="I83" s="133">
        <v>4.96</v>
      </c>
      <c r="J83" s="133">
        <v>0.14000000000000001</v>
      </c>
      <c r="K83" s="133">
        <v>180.98</v>
      </c>
      <c r="L83" s="133">
        <v>26.55</v>
      </c>
      <c r="M83" s="133">
        <v>81.36</v>
      </c>
      <c r="N83" s="133">
        <v>0</v>
      </c>
      <c r="O83" s="133">
        <v>0</v>
      </c>
      <c r="P83" s="133">
        <v>0.69</v>
      </c>
      <c r="Q83" s="133">
        <v>4.7</v>
      </c>
    </row>
    <row r="84" spans="1:17" customFormat="1">
      <c r="A84" s="111" t="s">
        <v>1945</v>
      </c>
      <c r="B84" s="133">
        <v>5.2</v>
      </c>
      <c r="C84" s="133">
        <v>24.72</v>
      </c>
      <c r="D84" s="133">
        <v>18.440000000000001</v>
      </c>
      <c r="E84" s="133">
        <v>7.53</v>
      </c>
      <c r="F84" s="133">
        <v>3.66</v>
      </c>
      <c r="G84" s="133">
        <v>81</v>
      </c>
      <c r="H84" s="133">
        <v>27.52</v>
      </c>
      <c r="I84" s="133">
        <v>4.9800000000000004</v>
      </c>
      <c r="J84" s="133">
        <v>0.11</v>
      </c>
      <c r="K84" s="133">
        <v>127.27</v>
      </c>
      <c r="L84" s="133">
        <v>26.4</v>
      </c>
      <c r="M84" s="133">
        <v>83.73</v>
      </c>
      <c r="N84" s="133">
        <v>0</v>
      </c>
      <c r="O84" s="133">
        <v>0</v>
      </c>
      <c r="P84" s="133">
        <v>0.71</v>
      </c>
      <c r="Q84" s="133">
        <v>4.7</v>
      </c>
    </row>
    <row r="85" spans="1:17" customFormat="1">
      <c r="A85" s="111" t="s">
        <v>1946</v>
      </c>
      <c r="B85" s="133">
        <v>7.06</v>
      </c>
      <c r="C85" s="133">
        <v>27.07</v>
      </c>
      <c r="D85" s="133">
        <v>21.16</v>
      </c>
      <c r="E85" s="133">
        <v>9.68</v>
      </c>
      <c r="F85" s="133">
        <v>2.97</v>
      </c>
      <c r="G85" s="133">
        <v>81.08</v>
      </c>
      <c r="H85" s="133">
        <v>27.98</v>
      </c>
      <c r="I85" s="133">
        <v>5.0199999999999996</v>
      </c>
      <c r="J85" s="133">
        <v>0.15</v>
      </c>
      <c r="K85" s="133">
        <v>84.77</v>
      </c>
      <c r="L85" s="133">
        <v>26.64</v>
      </c>
      <c r="M85" s="133">
        <v>80.13</v>
      </c>
      <c r="N85" s="133">
        <v>0</v>
      </c>
      <c r="O85" s="133">
        <v>0</v>
      </c>
      <c r="P85" s="133">
        <v>0.76</v>
      </c>
      <c r="Q85" s="133">
        <v>4.71</v>
      </c>
    </row>
    <row r="86" spans="1:17" customFormat="1">
      <c r="A86" s="111" t="s">
        <v>1947</v>
      </c>
      <c r="B86" s="133">
        <v>7.04</v>
      </c>
      <c r="C86" s="133">
        <v>26.18</v>
      </c>
      <c r="D86" s="133">
        <v>20.67</v>
      </c>
      <c r="E86" s="133">
        <v>9.7899999999999991</v>
      </c>
      <c r="F86" s="133">
        <v>3.59</v>
      </c>
      <c r="G86" s="133">
        <v>81.27</v>
      </c>
      <c r="H86" s="133">
        <v>28.7</v>
      </c>
      <c r="I86" s="133">
        <v>5.36</v>
      </c>
      <c r="J86" s="133">
        <v>0.08</v>
      </c>
      <c r="K86" s="133">
        <v>135.25</v>
      </c>
      <c r="L86" s="133">
        <v>26.65</v>
      </c>
      <c r="M86" s="133">
        <v>80.16</v>
      </c>
      <c r="N86" s="133">
        <v>0</v>
      </c>
      <c r="O86" s="133">
        <v>0</v>
      </c>
      <c r="P86" s="133">
        <v>0.71</v>
      </c>
      <c r="Q86" s="133">
        <v>4.78</v>
      </c>
    </row>
    <row r="87" spans="1:17" customFormat="1">
      <c r="A87" s="111" t="s">
        <v>1948</v>
      </c>
      <c r="B87" s="133">
        <v>6.86</v>
      </c>
      <c r="C87" s="133">
        <v>24.32</v>
      </c>
      <c r="D87" s="133">
        <v>19.559999999999999</v>
      </c>
      <c r="E87" s="133">
        <v>8.35</v>
      </c>
      <c r="F87" s="133">
        <v>4.2300000000000004</v>
      </c>
      <c r="G87" s="133">
        <v>81.27</v>
      </c>
      <c r="H87" s="133">
        <v>28.7</v>
      </c>
      <c r="I87" s="133">
        <v>5.59</v>
      </c>
      <c r="J87" s="133">
        <v>0.15</v>
      </c>
      <c r="K87" s="133">
        <v>198</v>
      </c>
      <c r="L87" s="133">
        <v>26.27</v>
      </c>
      <c r="M87" s="133">
        <v>82.2</v>
      </c>
      <c r="N87" s="133">
        <v>0</v>
      </c>
      <c r="O87" s="133">
        <v>0</v>
      </c>
      <c r="P87" s="133">
        <v>0.7</v>
      </c>
      <c r="Q87" s="133">
        <v>4.8099999999999996</v>
      </c>
    </row>
    <row r="88" spans="1:17" customFormat="1">
      <c r="A88" s="111" t="s">
        <v>1949</v>
      </c>
      <c r="B88" s="133">
        <v>7.64</v>
      </c>
      <c r="C88" s="133">
        <v>24.66</v>
      </c>
      <c r="D88" s="133">
        <v>20.36</v>
      </c>
      <c r="E88" s="133">
        <v>7.76</v>
      </c>
      <c r="F88" s="133">
        <v>3.15</v>
      </c>
      <c r="G88" s="133">
        <v>81.27</v>
      </c>
      <c r="H88" s="133">
        <v>28.7</v>
      </c>
      <c r="I88" s="133">
        <v>5.43</v>
      </c>
      <c r="J88" s="133">
        <v>0.09</v>
      </c>
      <c r="K88" s="133">
        <v>200.14</v>
      </c>
      <c r="L88" s="133">
        <v>25.78</v>
      </c>
      <c r="M88" s="133">
        <v>86.69</v>
      </c>
      <c r="N88" s="133">
        <v>0</v>
      </c>
      <c r="O88" s="133">
        <v>0</v>
      </c>
      <c r="P88" s="133">
        <v>0.72</v>
      </c>
      <c r="Q88" s="133">
        <v>4.83</v>
      </c>
    </row>
    <row r="89" spans="1:17" customFormat="1">
      <c r="A89" s="111" t="s">
        <v>1950</v>
      </c>
      <c r="B89" s="133">
        <v>7.98</v>
      </c>
      <c r="C89" s="133">
        <v>23.31</v>
      </c>
      <c r="D89" s="133">
        <v>19.93</v>
      </c>
      <c r="E89" s="133">
        <v>7.5</v>
      </c>
      <c r="F89" s="133">
        <v>3.26</v>
      </c>
      <c r="G89" s="133">
        <v>80.650000000000006</v>
      </c>
      <c r="H89" s="133">
        <v>28.25</v>
      </c>
      <c r="I89" s="133">
        <v>5.38</v>
      </c>
      <c r="J89" s="133">
        <v>0.13</v>
      </c>
      <c r="K89" s="133">
        <v>170.6</v>
      </c>
      <c r="L89" s="133">
        <v>25.57</v>
      </c>
      <c r="M89" s="133">
        <v>85.87</v>
      </c>
      <c r="N89" s="133">
        <v>0</v>
      </c>
      <c r="O89" s="133">
        <v>0</v>
      </c>
      <c r="P89" s="133">
        <v>0.73</v>
      </c>
      <c r="Q89" s="133">
        <v>4.87</v>
      </c>
    </row>
    <row r="90" spans="1:17" customFormat="1">
      <c r="A90" s="111" t="s">
        <v>1951</v>
      </c>
      <c r="B90" s="133">
        <v>8.2100000000000009</v>
      </c>
      <c r="C90" s="133">
        <v>22.15</v>
      </c>
      <c r="D90" s="133">
        <v>19.510000000000002</v>
      </c>
      <c r="E90" s="133">
        <v>7.44</v>
      </c>
      <c r="F90" s="133">
        <v>3.45</v>
      </c>
      <c r="G90" s="133">
        <v>79.209999999999994</v>
      </c>
      <c r="H90" s="133">
        <v>27.53</v>
      </c>
      <c r="I90" s="133">
        <v>5.45</v>
      </c>
      <c r="J90" s="133">
        <v>0.15</v>
      </c>
      <c r="K90" s="133">
        <v>199.75</v>
      </c>
      <c r="L90" s="133">
        <v>25.42</v>
      </c>
      <c r="M90" s="133">
        <v>86.78</v>
      </c>
      <c r="N90" s="133">
        <v>0</v>
      </c>
      <c r="O90" s="133">
        <v>0</v>
      </c>
      <c r="P90" s="133">
        <v>0.7</v>
      </c>
      <c r="Q90" s="133">
        <v>4.8600000000000003</v>
      </c>
    </row>
    <row r="91" spans="1:17" customFormat="1">
      <c r="A91" s="111" t="s">
        <v>1952</v>
      </c>
      <c r="B91" s="133">
        <v>8.6</v>
      </c>
      <c r="C91" s="133">
        <v>21.31</v>
      </c>
      <c r="D91" s="133">
        <v>19.38</v>
      </c>
      <c r="E91" s="133">
        <v>7.33</v>
      </c>
      <c r="F91" s="133">
        <v>3.11</v>
      </c>
      <c r="G91" s="133">
        <v>79.209999999999994</v>
      </c>
      <c r="H91" s="133">
        <v>27.53</v>
      </c>
      <c r="I91" s="133">
        <v>5.46</v>
      </c>
      <c r="J91" s="133">
        <v>0.17</v>
      </c>
      <c r="K91" s="133">
        <v>231.82</v>
      </c>
      <c r="L91" s="133">
        <v>25.05</v>
      </c>
      <c r="M91" s="133">
        <v>88.87</v>
      </c>
      <c r="N91" s="133">
        <v>0</v>
      </c>
      <c r="O91" s="133">
        <v>0</v>
      </c>
      <c r="P91" s="133">
        <v>0.7</v>
      </c>
      <c r="Q91" s="133">
        <v>4.88</v>
      </c>
    </row>
    <row r="92" spans="1:17" customFormat="1">
      <c r="A92" s="111" t="s">
        <v>1953</v>
      </c>
      <c r="B92" s="133">
        <v>9.1300000000000008</v>
      </c>
      <c r="C92" s="133">
        <v>22.93</v>
      </c>
      <c r="D92" s="133">
        <v>20.66</v>
      </c>
      <c r="E92" s="133">
        <v>7.19</v>
      </c>
      <c r="F92" s="133">
        <v>2.6</v>
      </c>
      <c r="G92" s="133">
        <v>79.209999999999994</v>
      </c>
      <c r="H92" s="133">
        <v>27.53</v>
      </c>
      <c r="I92" s="133">
        <v>5.51</v>
      </c>
      <c r="J92" s="133">
        <v>0.11</v>
      </c>
      <c r="K92" s="133">
        <v>207.39</v>
      </c>
      <c r="L92" s="133">
        <v>24.86</v>
      </c>
      <c r="M92" s="133">
        <v>89.88</v>
      </c>
      <c r="N92" s="133">
        <v>0</v>
      </c>
      <c r="O92" s="133">
        <v>0</v>
      </c>
      <c r="P92" s="133">
        <v>0.73</v>
      </c>
      <c r="Q92" s="133">
        <v>4.8899999999999997</v>
      </c>
    </row>
    <row r="93" spans="1:17" customFormat="1">
      <c r="A93" s="111" t="s">
        <v>1954</v>
      </c>
      <c r="B93" s="133">
        <v>9.66</v>
      </c>
      <c r="C93" s="133">
        <v>23.19</v>
      </c>
      <c r="D93" s="133">
        <v>21.21</v>
      </c>
      <c r="E93" s="133">
        <v>7.59</v>
      </c>
      <c r="F93" s="133">
        <v>2.67</v>
      </c>
      <c r="G93" s="133">
        <v>79.12</v>
      </c>
      <c r="H93" s="133">
        <v>28.28</v>
      </c>
      <c r="I93" s="133">
        <v>5.52</v>
      </c>
      <c r="J93" s="133">
        <v>0.17</v>
      </c>
      <c r="K93" s="133">
        <v>164.28</v>
      </c>
      <c r="L93" s="133">
        <v>24.99</v>
      </c>
      <c r="M93" s="133">
        <v>90.97</v>
      </c>
      <c r="N93" s="133">
        <v>0</v>
      </c>
      <c r="O93" s="133">
        <v>0</v>
      </c>
      <c r="P93" s="133">
        <v>0.74</v>
      </c>
      <c r="Q93" s="133">
        <v>4.93</v>
      </c>
    </row>
    <row r="94" spans="1:17" customFormat="1">
      <c r="A94" s="111" t="s">
        <v>1955</v>
      </c>
      <c r="B94" s="133">
        <v>9.9700000000000006</v>
      </c>
      <c r="C94" s="133">
        <v>32.46</v>
      </c>
      <c r="D94" s="133">
        <v>26.31</v>
      </c>
      <c r="E94" s="133">
        <v>7.79</v>
      </c>
      <c r="F94" s="133">
        <v>2.36</v>
      </c>
      <c r="G94" s="133">
        <v>78.92</v>
      </c>
      <c r="H94" s="133">
        <v>29.47</v>
      </c>
      <c r="I94" s="133">
        <v>5.61</v>
      </c>
      <c r="J94" s="133">
        <v>0.14000000000000001</v>
      </c>
      <c r="K94" s="133">
        <v>182.92</v>
      </c>
      <c r="L94" s="133">
        <v>24.96</v>
      </c>
      <c r="M94" s="133">
        <v>89.04</v>
      </c>
      <c r="N94" s="133">
        <v>0</v>
      </c>
      <c r="O94" s="133">
        <v>0</v>
      </c>
      <c r="P94" s="133">
        <v>0.77</v>
      </c>
      <c r="Q94" s="133">
        <v>4.96</v>
      </c>
    </row>
    <row r="95" spans="1:17" customFormat="1">
      <c r="A95" s="111" t="s">
        <v>1956</v>
      </c>
      <c r="B95" s="133">
        <v>10.44</v>
      </c>
      <c r="C95" s="133">
        <v>38.6</v>
      </c>
      <c r="D95" s="133">
        <v>29.89</v>
      </c>
      <c r="E95" s="133">
        <v>8.25</v>
      </c>
      <c r="F95" s="133">
        <v>2.33</v>
      </c>
      <c r="G95" s="133">
        <v>78.92</v>
      </c>
      <c r="H95" s="133">
        <v>29.47</v>
      </c>
      <c r="I95" s="133">
        <v>5.63</v>
      </c>
      <c r="J95" s="133">
        <v>0.14000000000000001</v>
      </c>
      <c r="K95" s="133">
        <v>208.32</v>
      </c>
      <c r="L95" s="133">
        <v>24.86</v>
      </c>
      <c r="M95" s="133">
        <v>93.86</v>
      </c>
      <c r="N95" s="133">
        <v>0</v>
      </c>
      <c r="O95" s="133">
        <v>0</v>
      </c>
      <c r="P95" s="133">
        <v>0.79</v>
      </c>
      <c r="Q95" s="133">
        <v>5.05</v>
      </c>
    </row>
    <row r="96" spans="1:17" customFormat="1">
      <c r="A96" s="111" t="s">
        <v>1957</v>
      </c>
      <c r="B96" s="133">
        <v>10.82</v>
      </c>
      <c r="C96" s="133">
        <v>37.21</v>
      </c>
      <c r="D96" s="133">
        <v>29.46</v>
      </c>
      <c r="E96" s="133">
        <v>8.39</v>
      </c>
      <c r="F96" s="133">
        <v>2.34</v>
      </c>
      <c r="G96" s="133">
        <v>78.92</v>
      </c>
      <c r="H96" s="133">
        <v>29.47</v>
      </c>
      <c r="I96" s="133">
        <v>5.71</v>
      </c>
      <c r="J96" s="133">
        <v>0.16</v>
      </c>
      <c r="K96" s="133">
        <v>244.93</v>
      </c>
      <c r="L96" s="133">
        <v>24.62</v>
      </c>
      <c r="M96" s="133">
        <v>96.27</v>
      </c>
      <c r="N96" s="133">
        <v>0</v>
      </c>
      <c r="O96" s="133">
        <v>0</v>
      </c>
      <c r="P96" s="133">
        <v>0.79</v>
      </c>
      <c r="Q96" s="133">
        <v>5.12</v>
      </c>
    </row>
    <row r="97" spans="1:22" customFormat="1">
      <c r="A97" s="111" t="s">
        <v>1958</v>
      </c>
      <c r="B97" s="133">
        <v>11.07</v>
      </c>
      <c r="C97" s="133">
        <v>35.799999999999997</v>
      </c>
      <c r="D97" s="133">
        <v>28.93</v>
      </c>
      <c r="E97" s="133">
        <v>8.61</v>
      </c>
      <c r="F97" s="133">
        <v>2.4300000000000002</v>
      </c>
      <c r="G97" s="133">
        <v>78.62</v>
      </c>
      <c r="H97" s="133">
        <v>29.44</v>
      </c>
      <c r="I97" s="133">
        <v>5.78</v>
      </c>
      <c r="J97" s="133">
        <v>0.13</v>
      </c>
      <c r="K97" s="133">
        <v>175.28</v>
      </c>
      <c r="L97" s="133">
        <v>24.62</v>
      </c>
      <c r="M97" s="133">
        <v>94.66</v>
      </c>
      <c r="N97" s="133">
        <v>0</v>
      </c>
      <c r="O97" s="133">
        <v>0</v>
      </c>
      <c r="P97" s="133">
        <v>0.79</v>
      </c>
      <c r="Q97" s="133">
        <v>5.13</v>
      </c>
    </row>
    <row r="98" spans="1:22" customFormat="1">
      <c r="A98" s="111" t="s">
        <v>1959</v>
      </c>
      <c r="B98" s="133">
        <v>11.44</v>
      </c>
      <c r="C98" s="133">
        <v>34.590000000000003</v>
      </c>
      <c r="D98" s="133">
        <v>28.6</v>
      </c>
      <c r="E98" s="133">
        <v>9.0500000000000007</v>
      </c>
      <c r="F98" s="133">
        <v>2.48</v>
      </c>
      <c r="G98" s="133">
        <v>77.849999999999994</v>
      </c>
      <c r="H98" s="133">
        <v>29.39</v>
      </c>
      <c r="I98" s="133">
        <v>5.85</v>
      </c>
      <c r="J98" s="133">
        <v>0.11</v>
      </c>
      <c r="K98" s="133">
        <v>160.58000000000001</v>
      </c>
      <c r="L98" s="133">
        <v>24.54</v>
      </c>
      <c r="M98" s="133">
        <v>97.31</v>
      </c>
      <c r="N98" s="133">
        <v>0</v>
      </c>
      <c r="O98" s="133">
        <v>0</v>
      </c>
      <c r="P98" s="133">
        <v>0.8</v>
      </c>
      <c r="Q98" s="133">
        <v>5.14</v>
      </c>
    </row>
    <row r="99" spans="1:22" customFormat="1">
      <c r="A99" s="111" t="s">
        <v>1960</v>
      </c>
      <c r="B99" s="133">
        <v>12.36</v>
      </c>
      <c r="C99" s="133">
        <v>33.57</v>
      </c>
      <c r="D99" s="133">
        <v>28.8</v>
      </c>
      <c r="E99" s="133">
        <v>8.7200000000000006</v>
      </c>
      <c r="F99" s="133">
        <v>2.35</v>
      </c>
      <c r="G99" s="133">
        <v>77.849999999999994</v>
      </c>
      <c r="H99" s="133">
        <v>29.39</v>
      </c>
      <c r="I99" s="133">
        <v>5.92</v>
      </c>
      <c r="J99" s="133">
        <v>0.1</v>
      </c>
      <c r="K99" s="133">
        <v>235.24</v>
      </c>
      <c r="L99" s="133">
        <v>24.54</v>
      </c>
      <c r="M99" s="133">
        <v>90.91</v>
      </c>
      <c r="N99" s="133">
        <v>0</v>
      </c>
      <c r="O99" s="133">
        <v>0</v>
      </c>
      <c r="P99" s="133">
        <v>0.79</v>
      </c>
      <c r="Q99" s="133">
        <v>5.2</v>
      </c>
    </row>
    <row r="100" spans="1:22" customFormat="1">
      <c r="A100" s="111" t="s">
        <v>1961</v>
      </c>
      <c r="B100" s="133">
        <v>15.15</v>
      </c>
      <c r="C100" s="133">
        <v>33.24</v>
      </c>
      <c r="D100" s="133">
        <v>30.87</v>
      </c>
      <c r="E100" s="133">
        <v>9.1</v>
      </c>
      <c r="F100" s="133">
        <v>2.42</v>
      </c>
      <c r="G100" s="133">
        <v>77.849999999999994</v>
      </c>
      <c r="H100" s="133">
        <v>29.39</v>
      </c>
      <c r="I100" s="133">
        <v>6.28</v>
      </c>
      <c r="J100" s="133">
        <v>0.15</v>
      </c>
      <c r="K100" s="133">
        <v>183.43</v>
      </c>
      <c r="L100" s="133">
        <v>24.63</v>
      </c>
      <c r="M100" s="133">
        <v>89.09</v>
      </c>
      <c r="N100" s="133">
        <v>0</v>
      </c>
      <c r="O100" s="133">
        <v>0</v>
      </c>
      <c r="P100" s="133">
        <v>0.82</v>
      </c>
      <c r="Q100" s="133">
        <v>5.32</v>
      </c>
    </row>
    <row r="101" spans="1:22" customFormat="1">
      <c r="A101" s="111" t="s">
        <v>1962</v>
      </c>
      <c r="B101" s="133">
        <v>18.12</v>
      </c>
      <c r="C101" s="133">
        <v>32.78</v>
      </c>
      <c r="D101" s="133">
        <v>33.01</v>
      </c>
      <c r="E101" s="133">
        <v>9.19</v>
      </c>
      <c r="F101" s="133">
        <v>2.46</v>
      </c>
      <c r="G101" s="133">
        <v>78.39</v>
      </c>
      <c r="H101" s="133">
        <v>29.29</v>
      </c>
      <c r="I101" s="133">
        <v>6.8</v>
      </c>
      <c r="J101" s="133">
        <v>0.14000000000000001</v>
      </c>
      <c r="K101" s="133">
        <v>223.32</v>
      </c>
      <c r="L101" s="133">
        <v>24.59</v>
      </c>
      <c r="M101" s="133">
        <v>89.94</v>
      </c>
      <c r="N101" s="133">
        <v>0</v>
      </c>
      <c r="O101" s="133">
        <v>0</v>
      </c>
      <c r="P101" s="133">
        <v>0.84</v>
      </c>
      <c r="Q101" s="133">
        <v>5.46</v>
      </c>
    </row>
    <row r="102" spans="1:22" customFormat="1">
      <c r="A102" s="111" t="s">
        <v>1963</v>
      </c>
      <c r="B102" s="133">
        <v>20.81</v>
      </c>
      <c r="C102" s="133">
        <v>33.049999999999997</v>
      </c>
      <c r="D102" s="133">
        <v>35.299999999999997</v>
      </c>
      <c r="E102" s="133">
        <v>9.3800000000000008</v>
      </c>
      <c r="F102" s="133">
        <v>2.38</v>
      </c>
      <c r="G102" s="133">
        <v>79.64</v>
      </c>
      <c r="H102" s="133">
        <v>28.84</v>
      </c>
      <c r="I102" s="133">
        <v>7.73</v>
      </c>
      <c r="J102" s="133">
        <v>0.08</v>
      </c>
      <c r="K102" s="133">
        <v>202.98</v>
      </c>
      <c r="L102" s="133">
        <v>24.41</v>
      </c>
      <c r="M102" s="133">
        <v>91.19</v>
      </c>
      <c r="N102" s="133">
        <v>0</v>
      </c>
      <c r="O102" s="133">
        <v>0</v>
      </c>
      <c r="P102" s="133">
        <v>0.84</v>
      </c>
      <c r="Q102" s="133">
        <v>5.58</v>
      </c>
    </row>
    <row r="103" spans="1:22" customFormat="1">
      <c r="A103" s="111" t="s">
        <v>1964</v>
      </c>
      <c r="B103" s="133">
        <v>24.86</v>
      </c>
      <c r="C103" s="133">
        <v>32.93</v>
      </c>
      <c r="D103" s="133">
        <v>38.49</v>
      </c>
      <c r="E103" s="133">
        <v>9.66</v>
      </c>
      <c r="F103" s="133">
        <v>2.48</v>
      </c>
      <c r="G103" s="133">
        <v>79.64</v>
      </c>
      <c r="H103" s="133">
        <v>28.84</v>
      </c>
      <c r="I103" s="133">
        <v>8.6300000000000008</v>
      </c>
      <c r="J103" s="133">
        <v>0.14000000000000001</v>
      </c>
      <c r="K103" s="133">
        <v>165.46</v>
      </c>
      <c r="L103" s="133">
        <v>24.55</v>
      </c>
      <c r="M103" s="133">
        <v>90.52</v>
      </c>
      <c r="N103" s="133">
        <v>0</v>
      </c>
      <c r="O103" s="133">
        <v>0</v>
      </c>
      <c r="P103" s="133">
        <v>0.87</v>
      </c>
      <c r="Q103" s="133">
        <v>5.78</v>
      </c>
    </row>
    <row r="104" spans="1:22" customFormat="1">
      <c r="A104" s="111" t="s">
        <v>1965</v>
      </c>
      <c r="B104" s="133">
        <v>28.67</v>
      </c>
      <c r="C104" s="133">
        <v>32.99</v>
      </c>
      <c r="D104" s="133">
        <v>41.57</v>
      </c>
      <c r="E104" s="133">
        <v>9.44</v>
      </c>
      <c r="F104" s="133">
        <v>2.4700000000000002</v>
      </c>
      <c r="G104" s="133">
        <v>79.64</v>
      </c>
      <c r="H104" s="133">
        <v>28.84</v>
      </c>
      <c r="I104" s="133">
        <v>9.34</v>
      </c>
      <c r="J104" s="133">
        <v>0.17</v>
      </c>
      <c r="K104" s="133">
        <v>174.91</v>
      </c>
      <c r="L104" s="133">
        <v>24.56</v>
      </c>
      <c r="M104" s="133">
        <v>91.08</v>
      </c>
      <c r="N104" s="133">
        <v>0</v>
      </c>
      <c r="O104" s="133">
        <v>0</v>
      </c>
      <c r="P104" s="133">
        <v>0.88</v>
      </c>
      <c r="Q104" s="133">
        <v>5.97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1.01</v>
      </c>
      <c r="C106" s="183">
        <f>MIN(C9:C104)</f>
        <v>20.350000000000001</v>
      </c>
      <c r="D106" s="183">
        <f t="shared" ref="D106:Q106" si="0">MIN(D9:D104)</f>
        <v>13.11</v>
      </c>
      <c r="E106" s="183">
        <f t="shared" si="0"/>
        <v>6.15</v>
      </c>
      <c r="F106" s="183">
        <f t="shared" si="0"/>
        <v>2.33</v>
      </c>
      <c r="G106" s="183">
        <f t="shared" si="0"/>
        <v>43.74</v>
      </c>
      <c r="H106" s="183">
        <f t="shared" si="0"/>
        <v>18.079999999999998</v>
      </c>
      <c r="I106" s="183">
        <f t="shared" si="0"/>
        <v>3.88</v>
      </c>
      <c r="J106" s="183">
        <f t="shared" si="0"/>
        <v>0.05</v>
      </c>
      <c r="K106" s="183">
        <f t="shared" si="0"/>
        <v>5.75</v>
      </c>
      <c r="L106" s="183">
        <f t="shared" si="0"/>
        <v>21.91</v>
      </c>
      <c r="M106" s="183">
        <f t="shared" si="0"/>
        <v>50.82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4.4800000000000004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28.67</v>
      </c>
      <c r="C107" s="184">
        <f t="shared" ref="C107:Q107" si="1">MAX(C9:C104)</f>
        <v>38.6</v>
      </c>
      <c r="D107" s="184">
        <f t="shared" si="1"/>
        <v>41.57</v>
      </c>
      <c r="E107" s="184">
        <f t="shared" si="1"/>
        <v>31.77</v>
      </c>
      <c r="F107" s="184">
        <f t="shared" si="1"/>
        <v>22.19</v>
      </c>
      <c r="G107" s="184">
        <f t="shared" si="1"/>
        <v>115.28</v>
      </c>
      <c r="H107" s="184">
        <f t="shared" si="1"/>
        <v>41.84</v>
      </c>
      <c r="I107" s="184">
        <f t="shared" si="1"/>
        <v>9.34</v>
      </c>
      <c r="J107" s="184">
        <f t="shared" si="1"/>
        <v>0.65</v>
      </c>
      <c r="K107" s="184">
        <f t="shared" si="1"/>
        <v>359.59</v>
      </c>
      <c r="L107" s="184">
        <f t="shared" si="1"/>
        <v>32.020000000000003</v>
      </c>
      <c r="M107" s="184">
        <f t="shared" si="1"/>
        <v>97.31</v>
      </c>
      <c r="N107" s="184">
        <f t="shared" si="1"/>
        <v>611.79999999999995</v>
      </c>
      <c r="O107" s="184">
        <f t="shared" si="1"/>
        <v>0</v>
      </c>
      <c r="P107" s="184">
        <f t="shared" si="1"/>
        <v>0.91</v>
      </c>
      <c r="Q107" s="184">
        <f t="shared" si="1"/>
        <v>5.97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11.81191489361702</v>
      </c>
      <c r="C108" s="183">
        <f t="shared" ref="C108:Q108" si="2">AVERAGE(C9:C104)</f>
        <v>27.354787234042547</v>
      </c>
      <c r="D108" s="183">
        <f t="shared" si="2"/>
        <v>25.115106382978734</v>
      </c>
      <c r="E108" s="183">
        <f t="shared" si="2"/>
        <v>10.087812499999997</v>
      </c>
      <c r="F108" s="183">
        <f t="shared" si="2"/>
        <v>4.819062500000002</v>
      </c>
      <c r="G108" s="183">
        <f t="shared" si="2"/>
        <v>72.019462365591423</v>
      </c>
      <c r="H108" s="183">
        <f t="shared" si="2"/>
        <v>25.948709677419359</v>
      </c>
      <c r="I108" s="183">
        <f t="shared" si="2"/>
        <v>5.2245833333333316</v>
      </c>
      <c r="J108" s="183">
        <f t="shared" si="2"/>
        <v>0.26395833333333324</v>
      </c>
      <c r="K108" s="183">
        <f t="shared" si="2"/>
        <v>122.92218750000002</v>
      </c>
      <c r="L108" s="183">
        <f t="shared" si="2"/>
        <v>26.483541666666667</v>
      </c>
      <c r="M108" s="183">
        <f t="shared" si="2"/>
        <v>76.004999999999995</v>
      </c>
      <c r="N108" s="183">
        <f t="shared" si="2"/>
        <v>138.02812499999996</v>
      </c>
      <c r="O108" s="183">
        <f t="shared" si="2"/>
        <v>0</v>
      </c>
      <c r="P108" s="183">
        <f t="shared" si="2"/>
        <v>0.70531250000000012</v>
      </c>
      <c r="Q108" s="183">
        <f t="shared" si="2"/>
        <v>5.2997826086956499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7.2195947934718836</v>
      </c>
      <c r="C109" s="183">
        <f t="shared" ref="C109:Q109" si="3">STDEV(C9:C104)</f>
        <v>3.688950000309275</v>
      </c>
      <c r="D109" s="183">
        <f t="shared" si="3"/>
        <v>6.6806457328551145</v>
      </c>
      <c r="E109" s="183">
        <f t="shared" si="3"/>
        <v>5.0569866632058815</v>
      </c>
      <c r="F109" s="183">
        <f t="shared" si="3"/>
        <v>3.910183217708938</v>
      </c>
      <c r="G109" s="183">
        <f t="shared" si="3"/>
        <v>16.323045616123938</v>
      </c>
      <c r="H109" s="183">
        <f t="shared" si="3"/>
        <v>5.5109819660396244</v>
      </c>
      <c r="I109" s="183">
        <f t="shared" si="3"/>
        <v>0.96290669238801496</v>
      </c>
      <c r="J109" s="183">
        <f t="shared" si="3"/>
        <v>0.16283332884411664</v>
      </c>
      <c r="K109" s="183">
        <f t="shared" si="3"/>
        <v>93.98980069194657</v>
      </c>
      <c r="L109" s="183">
        <f t="shared" si="3"/>
        <v>3.2994605553241754</v>
      </c>
      <c r="M109" s="183">
        <f t="shared" si="3"/>
        <v>14.888956769505807</v>
      </c>
      <c r="N109" s="183">
        <f t="shared" si="3"/>
        <v>208.70133971936528</v>
      </c>
      <c r="O109" s="183">
        <f t="shared" si="3"/>
        <v>0</v>
      </c>
      <c r="P109" s="183">
        <f t="shared" si="3"/>
        <v>9.3526839660291433E-2</v>
      </c>
      <c r="Q109" s="183">
        <f t="shared" si="3"/>
        <v>0.57459776329563228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f t="shared" ref="I110:Q110" si="4">COUNT(I9:I104)</f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10" sqref="G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19/10/2023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1966</v>
      </c>
      <c r="B9" s="133">
        <v>34.33</v>
      </c>
      <c r="C9" s="133">
        <v>34.39</v>
      </c>
      <c r="D9" s="133">
        <v>46.85</v>
      </c>
      <c r="E9" s="133">
        <v>9.6199999999999992</v>
      </c>
      <c r="F9" s="133">
        <v>2.4900000000000002</v>
      </c>
      <c r="G9" s="133">
        <v>81.680000000000007</v>
      </c>
      <c r="H9" s="133">
        <v>29.67</v>
      </c>
      <c r="I9" s="133">
        <v>10.119999999999999</v>
      </c>
      <c r="J9" s="133">
        <v>0.04</v>
      </c>
      <c r="K9" s="133">
        <v>194.73</v>
      </c>
      <c r="L9" s="133">
        <v>24.42</v>
      </c>
      <c r="M9" s="133">
        <v>92.59</v>
      </c>
      <c r="N9" s="133">
        <v>0</v>
      </c>
      <c r="O9" s="133">
        <v>0</v>
      </c>
      <c r="P9" s="133">
        <v>0.89</v>
      </c>
      <c r="Q9" s="133">
        <v>6.1</v>
      </c>
    </row>
    <row r="10" spans="1:21" customFormat="1">
      <c r="A10" s="111" t="s">
        <v>1967</v>
      </c>
      <c r="B10" s="133">
        <v>36.47</v>
      </c>
      <c r="C10" s="133">
        <v>33.159999999999997</v>
      </c>
      <c r="D10" s="133">
        <v>47.92</v>
      </c>
      <c r="E10" s="133">
        <v>9.98</v>
      </c>
      <c r="F10" s="133">
        <v>2.36</v>
      </c>
      <c r="G10" s="133">
        <v>86.45</v>
      </c>
      <c r="H10" s="133">
        <v>30.99</v>
      </c>
      <c r="I10" s="133">
        <v>10.69</v>
      </c>
      <c r="J10" s="133">
        <v>0.15</v>
      </c>
      <c r="K10" s="133">
        <v>63.17</v>
      </c>
      <c r="L10" s="133">
        <v>24.43</v>
      </c>
      <c r="M10" s="133">
        <v>89.12</v>
      </c>
      <c r="N10" s="133">
        <v>0</v>
      </c>
      <c r="O10" s="133">
        <v>0</v>
      </c>
      <c r="P10" s="133">
        <v>0.91</v>
      </c>
      <c r="Q10" s="133">
        <v>6.22</v>
      </c>
    </row>
    <row r="11" spans="1:21" customFormat="1">
      <c r="A11" s="111" t="s">
        <v>1968</v>
      </c>
      <c r="B11" s="133">
        <v>37.81</v>
      </c>
      <c r="C11" s="133">
        <v>32.4</v>
      </c>
      <c r="D11" s="133">
        <v>48.6</v>
      </c>
      <c r="E11" s="133">
        <v>10.1</v>
      </c>
      <c r="F11" s="133">
        <v>2.5499999999999998</v>
      </c>
      <c r="G11" s="133">
        <v>86.45</v>
      </c>
      <c r="H11" s="133">
        <v>30.99</v>
      </c>
      <c r="I11" s="133">
        <v>11.19</v>
      </c>
      <c r="J11" s="133">
        <v>0.12</v>
      </c>
      <c r="K11" s="133">
        <v>168.21</v>
      </c>
      <c r="L11" s="133">
        <v>24.44</v>
      </c>
      <c r="M11" s="133">
        <v>88.92</v>
      </c>
      <c r="N11" s="133">
        <v>0</v>
      </c>
      <c r="O11" s="133">
        <v>0</v>
      </c>
      <c r="P11" s="133">
        <v>0.91</v>
      </c>
      <c r="Q11" s="133">
        <v>6.32</v>
      </c>
    </row>
    <row r="12" spans="1:21" customFormat="1">
      <c r="A12" s="111" t="s">
        <v>1969</v>
      </c>
      <c r="B12" s="133">
        <v>37.83</v>
      </c>
      <c r="C12" s="133">
        <v>31.53</v>
      </c>
      <c r="D12" s="133">
        <v>48.16</v>
      </c>
      <c r="E12" s="133">
        <v>9.91</v>
      </c>
      <c r="F12" s="133">
        <v>2.5499999999999998</v>
      </c>
      <c r="G12" s="133">
        <v>86.45</v>
      </c>
      <c r="H12" s="133">
        <v>30.99</v>
      </c>
      <c r="I12" s="133">
        <v>11.54</v>
      </c>
      <c r="J12" s="133">
        <v>0.12</v>
      </c>
      <c r="K12" s="133">
        <v>167.7</v>
      </c>
      <c r="L12" s="133">
        <v>24.19</v>
      </c>
      <c r="M12" s="133">
        <v>92.23</v>
      </c>
      <c r="N12" s="133">
        <v>0</v>
      </c>
      <c r="O12" s="133">
        <v>0</v>
      </c>
      <c r="P12" s="133">
        <v>0.9</v>
      </c>
      <c r="Q12" s="133">
        <v>6.36</v>
      </c>
    </row>
    <row r="13" spans="1:21" customFormat="1">
      <c r="A13" s="111" t="s">
        <v>1970</v>
      </c>
      <c r="B13" s="133">
        <v>37.159999999999997</v>
      </c>
      <c r="C13" s="133">
        <v>31.49</v>
      </c>
      <c r="D13" s="133">
        <v>47.6</v>
      </c>
      <c r="E13" s="133">
        <v>9.9499999999999993</v>
      </c>
      <c r="F13" s="133">
        <v>2.38</v>
      </c>
      <c r="G13" s="133">
        <v>84.73</v>
      </c>
      <c r="H13" s="133">
        <v>30.23</v>
      </c>
      <c r="I13" s="133">
        <v>11.43</v>
      </c>
      <c r="J13" s="133">
        <v>0.15</v>
      </c>
      <c r="K13" s="133">
        <v>171.25</v>
      </c>
      <c r="L13" s="133">
        <v>24.1</v>
      </c>
      <c r="M13" s="133">
        <v>93.09</v>
      </c>
      <c r="N13" s="133">
        <v>0</v>
      </c>
      <c r="O13" s="133">
        <v>0</v>
      </c>
      <c r="P13" s="133">
        <v>0.9</v>
      </c>
      <c r="Q13" s="133">
        <v>6.35</v>
      </c>
    </row>
    <row r="14" spans="1:21" customFormat="1">
      <c r="A14" s="111" t="s">
        <v>1971</v>
      </c>
      <c r="B14" s="133">
        <v>36.590000000000003</v>
      </c>
      <c r="C14" s="133">
        <v>31.34</v>
      </c>
      <c r="D14" s="133">
        <v>47.07</v>
      </c>
      <c r="E14" s="133">
        <v>9.92</v>
      </c>
      <c r="F14" s="133">
        <v>2.31</v>
      </c>
      <c r="G14" s="133">
        <v>80.48</v>
      </c>
      <c r="H14" s="133">
        <v>28.92</v>
      </c>
      <c r="I14" s="133">
        <v>11.27</v>
      </c>
      <c r="J14" s="133">
        <v>0.25</v>
      </c>
      <c r="K14" s="133">
        <v>182.51</v>
      </c>
      <c r="L14" s="133">
        <v>23.93</v>
      </c>
      <c r="M14" s="133">
        <v>93.46</v>
      </c>
      <c r="N14" s="133">
        <v>0</v>
      </c>
      <c r="O14" s="133">
        <v>0</v>
      </c>
      <c r="P14" s="133">
        <v>0.9</v>
      </c>
      <c r="Q14" s="133">
        <v>6.28</v>
      </c>
    </row>
    <row r="15" spans="1:21" customFormat="1">
      <c r="A15" s="111" t="s">
        <v>1972</v>
      </c>
      <c r="B15" s="133">
        <v>35.909999999999997</v>
      </c>
      <c r="C15" s="133">
        <v>30.78</v>
      </c>
      <c r="D15" s="133">
        <v>46.23</v>
      </c>
      <c r="E15" s="133">
        <v>9.58</v>
      </c>
      <c r="F15" s="133">
        <v>2.5</v>
      </c>
      <c r="G15" s="133">
        <v>80.48</v>
      </c>
      <c r="H15" s="133">
        <v>28.92</v>
      </c>
      <c r="I15" s="133">
        <v>11.22</v>
      </c>
      <c r="J15" s="133">
        <v>0.09</v>
      </c>
      <c r="K15" s="133">
        <v>139.58000000000001</v>
      </c>
      <c r="L15" s="133">
        <v>23.87</v>
      </c>
      <c r="M15" s="133">
        <v>92.4</v>
      </c>
      <c r="N15" s="133">
        <v>0</v>
      </c>
      <c r="O15" s="133">
        <v>0</v>
      </c>
      <c r="P15" s="133">
        <v>0.9</v>
      </c>
      <c r="Q15" s="133">
        <v>6.25</v>
      </c>
    </row>
    <row r="16" spans="1:21" customFormat="1">
      <c r="A16" s="111" t="s">
        <v>1973</v>
      </c>
      <c r="B16" s="133">
        <v>35.64</v>
      </c>
      <c r="C16" s="133">
        <v>30.07</v>
      </c>
      <c r="D16" s="133">
        <v>45.65</v>
      </c>
      <c r="E16" s="133">
        <v>9.66</v>
      </c>
      <c r="F16" s="133">
        <v>2.86</v>
      </c>
      <c r="G16" s="133">
        <v>80.48</v>
      </c>
      <c r="H16" s="133">
        <v>28.92</v>
      </c>
      <c r="I16" s="133">
        <v>11.12</v>
      </c>
      <c r="J16" s="133">
        <v>0.11</v>
      </c>
      <c r="K16" s="133">
        <v>81.430000000000007</v>
      </c>
      <c r="L16" s="133">
        <v>23.84</v>
      </c>
      <c r="M16" s="133">
        <v>92.25</v>
      </c>
      <c r="N16" s="133">
        <v>0</v>
      </c>
      <c r="O16" s="133">
        <v>0</v>
      </c>
      <c r="P16" s="133">
        <v>0.89</v>
      </c>
      <c r="Q16" s="133">
        <v>6.26</v>
      </c>
    </row>
    <row r="17" spans="1:17" customFormat="1">
      <c r="A17" s="111" t="s">
        <v>1974</v>
      </c>
      <c r="B17" s="133">
        <v>35.5</v>
      </c>
      <c r="C17" s="133">
        <v>30.13</v>
      </c>
      <c r="D17" s="133">
        <v>45.56</v>
      </c>
      <c r="E17" s="133">
        <v>7.7</v>
      </c>
      <c r="F17" s="133">
        <v>2.52</v>
      </c>
      <c r="G17" s="133">
        <v>79.680000000000007</v>
      </c>
      <c r="H17" s="133">
        <v>29.31</v>
      </c>
      <c r="I17" s="133">
        <v>10.97</v>
      </c>
      <c r="J17" s="133">
        <v>0.18</v>
      </c>
      <c r="K17" s="133">
        <v>62.58</v>
      </c>
      <c r="L17" s="133">
        <v>23.9</v>
      </c>
      <c r="M17" s="133">
        <v>106.35</v>
      </c>
      <c r="N17" s="133">
        <v>0</v>
      </c>
      <c r="O17" s="133">
        <v>0</v>
      </c>
      <c r="P17" s="133">
        <v>0.89</v>
      </c>
      <c r="Q17" s="133">
        <v>6.23</v>
      </c>
    </row>
    <row r="18" spans="1:17" customFormat="1">
      <c r="A18" s="111" t="s">
        <v>1975</v>
      </c>
      <c r="B18" s="133">
        <v>34.81</v>
      </c>
      <c r="C18" s="133">
        <v>30.97</v>
      </c>
      <c r="D18" s="133">
        <v>45.45</v>
      </c>
      <c r="E18" s="133">
        <v>7.56</v>
      </c>
      <c r="F18" s="133">
        <v>2.36</v>
      </c>
      <c r="G18" s="133">
        <v>77.69</v>
      </c>
      <c r="H18" s="133">
        <v>29.96</v>
      </c>
      <c r="I18" s="133">
        <v>10.73</v>
      </c>
      <c r="J18" s="133">
        <v>0.24</v>
      </c>
      <c r="K18" s="133">
        <v>41.58</v>
      </c>
      <c r="L18" s="133">
        <v>23.83</v>
      </c>
      <c r="M18" s="133">
        <v>108.27</v>
      </c>
      <c r="N18" s="133">
        <v>0</v>
      </c>
      <c r="O18" s="133">
        <v>0</v>
      </c>
      <c r="P18" s="133">
        <v>0.9</v>
      </c>
      <c r="Q18" s="133">
        <v>6.17</v>
      </c>
    </row>
    <row r="19" spans="1:17" customFormat="1">
      <c r="A19" s="111" t="s">
        <v>1976</v>
      </c>
      <c r="B19" s="133">
        <v>35.32</v>
      </c>
      <c r="C19" s="133">
        <v>30.37</v>
      </c>
      <c r="D19" s="133">
        <v>45.54</v>
      </c>
      <c r="E19" s="133">
        <v>8.42</v>
      </c>
      <c r="F19" s="133">
        <v>2.74</v>
      </c>
      <c r="G19" s="133">
        <v>77.69</v>
      </c>
      <c r="H19" s="133">
        <v>29.96</v>
      </c>
      <c r="I19" s="133">
        <v>10.47</v>
      </c>
      <c r="J19" s="133">
        <v>0.2</v>
      </c>
      <c r="K19" s="133">
        <v>36.15</v>
      </c>
      <c r="L19" s="133">
        <v>23.75</v>
      </c>
      <c r="M19" s="133">
        <v>105.42</v>
      </c>
      <c r="N19" s="133">
        <v>0</v>
      </c>
      <c r="O19" s="133">
        <v>0</v>
      </c>
      <c r="P19" s="133">
        <v>0.87</v>
      </c>
      <c r="Q19" s="133">
        <v>6.15</v>
      </c>
    </row>
    <row r="20" spans="1:17" customFormat="1">
      <c r="A20" s="111" t="s">
        <v>1977</v>
      </c>
      <c r="B20" s="133">
        <v>35.89</v>
      </c>
      <c r="C20" s="133">
        <v>25.94</v>
      </c>
      <c r="D20" s="133">
        <v>43.69</v>
      </c>
      <c r="E20" s="133">
        <v>7.42</v>
      </c>
      <c r="F20" s="133">
        <v>3.16</v>
      </c>
      <c r="G20" s="133">
        <v>77.69</v>
      </c>
      <c r="H20" s="133">
        <v>29.96</v>
      </c>
      <c r="I20" s="133">
        <v>10.32</v>
      </c>
      <c r="J20" s="133">
        <v>0.08</v>
      </c>
      <c r="K20" s="133">
        <v>2.21</v>
      </c>
      <c r="L20" s="133">
        <v>23.63</v>
      </c>
      <c r="M20" s="133">
        <v>100.06</v>
      </c>
      <c r="N20" s="133">
        <v>0</v>
      </c>
      <c r="O20" s="133">
        <v>0</v>
      </c>
      <c r="P20" s="133">
        <v>0.84</v>
      </c>
      <c r="Q20" s="133">
        <v>6.15</v>
      </c>
    </row>
    <row r="21" spans="1:17" customFormat="1">
      <c r="A21" s="111" t="s">
        <v>1978</v>
      </c>
      <c r="B21" s="133">
        <v>36.11</v>
      </c>
      <c r="C21" s="133">
        <v>23.37</v>
      </c>
      <c r="D21" s="133">
        <v>42.52</v>
      </c>
      <c r="E21" s="133">
        <v>6.95</v>
      </c>
      <c r="F21" s="133">
        <v>3.13</v>
      </c>
      <c r="G21" s="133">
        <v>80.010000000000005</v>
      </c>
      <c r="H21" s="133">
        <v>30.21</v>
      </c>
      <c r="I21" s="133">
        <v>10.199999999999999</v>
      </c>
      <c r="J21" s="133">
        <v>0.22</v>
      </c>
      <c r="K21" s="133">
        <v>36.82</v>
      </c>
      <c r="L21" s="133">
        <v>23.62</v>
      </c>
      <c r="M21" s="133">
        <v>99.18</v>
      </c>
      <c r="N21" s="133">
        <v>0</v>
      </c>
      <c r="O21" s="133">
        <v>0</v>
      </c>
      <c r="P21" s="133">
        <v>0.82</v>
      </c>
      <c r="Q21" s="133">
        <v>6.13</v>
      </c>
    </row>
    <row r="22" spans="1:17" customFormat="1">
      <c r="A22" s="111" t="s">
        <v>1979</v>
      </c>
      <c r="B22" s="133">
        <v>36.020000000000003</v>
      </c>
      <c r="C22" s="133">
        <v>24.1</v>
      </c>
      <c r="D22" s="133">
        <v>42.83</v>
      </c>
      <c r="E22" s="133">
        <v>6.7</v>
      </c>
      <c r="F22" s="133">
        <v>2.65</v>
      </c>
      <c r="G22" s="133">
        <v>85.73</v>
      </c>
      <c r="H22" s="133">
        <v>30.62</v>
      </c>
      <c r="I22" s="133">
        <v>10.11</v>
      </c>
      <c r="J22" s="133">
        <v>0.25</v>
      </c>
      <c r="K22" s="133">
        <v>46.28</v>
      </c>
      <c r="L22" s="133">
        <v>23.6</v>
      </c>
      <c r="M22" s="133">
        <v>96.19</v>
      </c>
      <c r="N22" s="133">
        <v>0</v>
      </c>
      <c r="O22" s="133">
        <v>0</v>
      </c>
      <c r="P22" s="133">
        <v>0.83</v>
      </c>
      <c r="Q22" s="133">
        <v>6.11</v>
      </c>
    </row>
    <row r="23" spans="1:17" customFormat="1">
      <c r="A23" s="111" t="s">
        <v>1980</v>
      </c>
      <c r="B23" s="133">
        <v>35.94</v>
      </c>
      <c r="C23" s="133">
        <v>23.11</v>
      </c>
      <c r="D23" s="133">
        <v>42.25</v>
      </c>
      <c r="E23" s="133">
        <v>7.15</v>
      </c>
      <c r="F23" s="133">
        <v>2.73</v>
      </c>
      <c r="G23" s="133">
        <v>85.73</v>
      </c>
      <c r="H23" s="133">
        <v>30.62</v>
      </c>
      <c r="I23" s="133">
        <v>9.98</v>
      </c>
      <c r="J23" s="133">
        <v>0.14000000000000001</v>
      </c>
      <c r="K23" s="133">
        <v>61.63</v>
      </c>
      <c r="L23" s="133">
        <v>23.6</v>
      </c>
      <c r="M23" s="133">
        <v>95.47</v>
      </c>
      <c r="N23" s="133">
        <v>0</v>
      </c>
      <c r="O23" s="133">
        <v>0</v>
      </c>
      <c r="P23" s="133">
        <v>0.82</v>
      </c>
      <c r="Q23" s="133">
        <v>6.09</v>
      </c>
    </row>
    <row r="24" spans="1:17" customFormat="1">
      <c r="A24" s="111" t="s">
        <v>1981</v>
      </c>
      <c r="B24" s="133">
        <v>35.94</v>
      </c>
      <c r="C24" s="133">
        <v>21.51</v>
      </c>
      <c r="D24" s="133">
        <v>41.41</v>
      </c>
      <c r="E24" s="133">
        <v>6.71</v>
      </c>
      <c r="F24" s="133">
        <v>2.73</v>
      </c>
      <c r="G24" s="133">
        <v>85.73</v>
      </c>
      <c r="H24" s="133">
        <v>30.62</v>
      </c>
      <c r="I24" s="133">
        <v>9.89</v>
      </c>
      <c r="J24" s="133">
        <v>0.21</v>
      </c>
      <c r="K24" s="133">
        <v>48.26</v>
      </c>
      <c r="L24" s="133">
        <v>23.45</v>
      </c>
      <c r="M24" s="133">
        <v>94.92</v>
      </c>
      <c r="N24" s="133">
        <v>0</v>
      </c>
      <c r="O24" s="133">
        <v>0</v>
      </c>
      <c r="P24" s="133">
        <v>0.8</v>
      </c>
      <c r="Q24" s="133">
        <v>6.07</v>
      </c>
    </row>
    <row r="25" spans="1:17" customFormat="1">
      <c r="A25" s="111" t="s">
        <v>1982</v>
      </c>
      <c r="B25" s="133">
        <v>35.869999999999997</v>
      </c>
      <c r="C25" s="133">
        <v>21.05</v>
      </c>
      <c r="D25" s="133">
        <v>41.12</v>
      </c>
      <c r="E25" s="133">
        <v>6.28</v>
      </c>
      <c r="F25" s="133">
        <v>2.66</v>
      </c>
      <c r="G25" s="133">
        <v>87.71</v>
      </c>
      <c r="H25" s="133">
        <v>30.85</v>
      </c>
      <c r="I25" s="133">
        <v>9.74</v>
      </c>
      <c r="J25" s="133">
        <v>0.05</v>
      </c>
      <c r="K25" s="133">
        <v>205.32</v>
      </c>
      <c r="L25" s="133">
        <v>23.37</v>
      </c>
      <c r="M25" s="133">
        <v>95.3</v>
      </c>
      <c r="N25" s="133">
        <v>0</v>
      </c>
      <c r="O25" s="133">
        <v>0</v>
      </c>
      <c r="P25" s="133">
        <v>0.8</v>
      </c>
      <c r="Q25" s="133">
        <v>6.05</v>
      </c>
    </row>
    <row r="26" spans="1:17" customFormat="1">
      <c r="A26" s="111" t="s">
        <v>1983</v>
      </c>
      <c r="B26" s="133">
        <v>35.57</v>
      </c>
      <c r="C26" s="133">
        <v>23.57</v>
      </c>
      <c r="D26" s="133">
        <v>42.19</v>
      </c>
      <c r="E26" s="133">
        <v>6.66</v>
      </c>
      <c r="F26" s="133">
        <v>2.44</v>
      </c>
      <c r="G26" s="133">
        <v>92.58</v>
      </c>
      <c r="H26" s="133">
        <v>31.23</v>
      </c>
      <c r="I26" s="133">
        <v>9.67</v>
      </c>
      <c r="J26" s="133">
        <v>0.11</v>
      </c>
      <c r="K26" s="133">
        <v>224.04</v>
      </c>
      <c r="L26" s="133">
        <v>23.13</v>
      </c>
      <c r="M26" s="133">
        <v>96.48</v>
      </c>
      <c r="N26" s="133">
        <v>0</v>
      </c>
      <c r="O26" s="133">
        <v>0</v>
      </c>
      <c r="P26" s="133">
        <v>0.81</v>
      </c>
      <c r="Q26" s="133">
        <v>5.99</v>
      </c>
    </row>
    <row r="27" spans="1:17" customFormat="1">
      <c r="A27" s="111" t="s">
        <v>1984</v>
      </c>
      <c r="B27" s="133">
        <v>35.380000000000003</v>
      </c>
      <c r="C27" s="133">
        <v>22.58</v>
      </c>
      <c r="D27" s="133">
        <v>41.52</v>
      </c>
      <c r="E27" s="133">
        <v>6.31</v>
      </c>
      <c r="F27" s="133">
        <v>2.64</v>
      </c>
      <c r="G27" s="133">
        <v>92.58</v>
      </c>
      <c r="H27" s="133">
        <v>31.23</v>
      </c>
      <c r="I27" s="133">
        <v>9.56</v>
      </c>
      <c r="J27" s="133">
        <v>0.11</v>
      </c>
      <c r="K27" s="133">
        <v>174.04</v>
      </c>
      <c r="L27" s="133">
        <v>22.97</v>
      </c>
      <c r="M27" s="133">
        <v>98.24</v>
      </c>
      <c r="N27" s="133">
        <v>0</v>
      </c>
      <c r="O27" s="133">
        <v>0</v>
      </c>
      <c r="P27" s="133">
        <v>0.81</v>
      </c>
      <c r="Q27" s="133">
        <v>6.01</v>
      </c>
    </row>
    <row r="28" spans="1:17" customFormat="1">
      <c r="A28" s="111" t="s">
        <v>1985</v>
      </c>
      <c r="B28" s="133">
        <v>35.03</v>
      </c>
      <c r="C28" s="133">
        <v>21.06</v>
      </c>
      <c r="D28" s="133">
        <v>40.450000000000003</v>
      </c>
      <c r="E28" s="133">
        <v>6.18</v>
      </c>
      <c r="F28" s="133">
        <v>2.66</v>
      </c>
      <c r="G28" s="133">
        <v>92.58</v>
      </c>
      <c r="H28" s="133">
        <v>31.23</v>
      </c>
      <c r="I28" s="133">
        <v>9.49</v>
      </c>
      <c r="J28" s="133">
        <v>0.08</v>
      </c>
      <c r="K28" s="133">
        <v>208.56</v>
      </c>
      <c r="L28" s="133">
        <v>22.9</v>
      </c>
      <c r="M28" s="133">
        <v>98.51</v>
      </c>
      <c r="N28" s="133">
        <v>0</v>
      </c>
      <c r="O28" s="133">
        <v>0</v>
      </c>
      <c r="P28" s="133">
        <v>0.81</v>
      </c>
      <c r="Q28" s="133">
        <v>5.99</v>
      </c>
    </row>
    <row r="29" spans="1:17" customFormat="1">
      <c r="A29" s="111" t="s">
        <v>1986</v>
      </c>
      <c r="B29" s="133">
        <v>34.6</v>
      </c>
      <c r="C29" s="133">
        <v>22.09</v>
      </c>
      <c r="D29" s="133">
        <v>40.64</v>
      </c>
      <c r="E29" s="133">
        <v>6.34</v>
      </c>
      <c r="F29" s="133">
        <v>2.4300000000000002</v>
      </c>
      <c r="G29" s="133">
        <v>91.23</v>
      </c>
      <c r="H29" s="133">
        <v>31.49</v>
      </c>
      <c r="I29" s="133">
        <v>9.33</v>
      </c>
      <c r="J29" s="133">
        <v>0.05</v>
      </c>
      <c r="K29" s="133">
        <v>138.05000000000001</v>
      </c>
      <c r="L29" s="133">
        <v>22.88</v>
      </c>
      <c r="M29" s="133">
        <v>99.83</v>
      </c>
      <c r="N29" s="133">
        <v>0</v>
      </c>
      <c r="O29" s="133">
        <v>0</v>
      </c>
      <c r="P29" s="133">
        <v>0.81</v>
      </c>
      <c r="Q29" s="133">
        <v>5.97</v>
      </c>
    </row>
    <row r="30" spans="1:17" customFormat="1">
      <c r="A30" s="111" t="s">
        <v>1987</v>
      </c>
      <c r="B30" s="133">
        <v>34.590000000000003</v>
      </c>
      <c r="C30" s="133">
        <v>21.69</v>
      </c>
      <c r="D30" s="133">
        <v>40.42</v>
      </c>
      <c r="E30" s="133">
        <v>6.55</v>
      </c>
      <c r="F30" s="133">
        <v>2.62</v>
      </c>
      <c r="G30" s="133">
        <v>87.91</v>
      </c>
      <c r="H30" s="133">
        <v>32.450000000000003</v>
      </c>
      <c r="I30" s="133">
        <v>9.17</v>
      </c>
      <c r="J30" s="133">
        <v>7.0000000000000007E-2</v>
      </c>
      <c r="K30" s="133">
        <v>46.26</v>
      </c>
      <c r="L30" s="133">
        <v>22.9</v>
      </c>
      <c r="M30" s="133">
        <v>98.03</v>
      </c>
      <c r="N30" s="133">
        <v>0</v>
      </c>
      <c r="O30" s="133">
        <v>0</v>
      </c>
      <c r="P30" s="133">
        <v>0.81</v>
      </c>
      <c r="Q30" s="133">
        <v>5.97</v>
      </c>
    </row>
    <row r="31" spans="1:17" customFormat="1">
      <c r="A31" s="111" t="s">
        <v>1988</v>
      </c>
      <c r="B31" s="133">
        <v>34.94</v>
      </c>
      <c r="C31" s="133">
        <v>23.05</v>
      </c>
      <c r="D31" s="133">
        <v>41.41</v>
      </c>
      <c r="E31" s="133">
        <v>6.4</v>
      </c>
      <c r="F31" s="133">
        <v>2.38</v>
      </c>
      <c r="G31" s="133">
        <v>87.91</v>
      </c>
      <c r="H31" s="133">
        <v>32.450000000000003</v>
      </c>
      <c r="I31" s="133">
        <v>9.1</v>
      </c>
      <c r="J31" s="133">
        <v>0.14000000000000001</v>
      </c>
      <c r="K31" s="133">
        <v>40.98</v>
      </c>
      <c r="L31" s="133">
        <v>22.9</v>
      </c>
      <c r="M31" s="133">
        <v>96.87</v>
      </c>
      <c r="N31" s="133">
        <v>0</v>
      </c>
      <c r="O31" s="133">
        <v>0</v>
      </c>
      <c r="P31" s="133">
        <v>0.82</v>
      </c>
      <c r="Q31" s="133">
        <v>5.99</v>
      </c>
    </row>
    <row r="32" spans="1:17" customFormat="1">
      <c r="A32" s="111" t="s">
        <v>1989</v>
      </c>
      <c r="B32" s="133">
        <v>35.56</v>
      </c>
      <c r="C32" s="133">
        <v>21.42</v>
      </c>
      <c r="D32" s="133">
        <v>41.06</v>
      </c>
      <c r="E32" s="133">
        <v>6.7</v>
      </c>
      <c r="F32" s="133">
        <v>2.75</v>
      </c>
      <c r="G32" s="133">
        <v>87.91</v>
      </c>
      <c r="H32" s="133">
        <v>32.450000000000003</v>
      </c>
      <c r="I32" s="133">
        <v>8.9600000000000009</v>
      </c>
      <c r="J32" s="133">
        <v>0.27</v>
      </c>
      <c r="K32" s="133">
        <v>22.05</v>
      </c>
      <c r="L32" s="133">
        <v>23</v>
      </c>
      <c r="M32" s="133">
        <v>95.19</v>
      </c>
      <c r="N32" s="133">
        <v>0</v>
      </c>
      <c r="O32" s="133">
        <v>0</v>
      </c>
      <c r="P32" s="133">
        <v>0.8</v>
      </c>
      <c r="Q32" s="133">
        <v>6.03</v>
      </c>
    </row>
    <row r="33" spans="1:17" customFormat="1">
      <c r="A33" s="111" t="s">
        <v>1990</v>
      </c>
      <c r="B33" s="133">
        <v>35.94</v>
      </c>
      <c r="C33" s="133">
        <v>21.46</v>
      </c>
      <c r="D33" s="133">
        <v>41.38</v>
      </c>
      <c r="E33" s="133">
        <v>6.23</v>
      </c>
      <c r="F33" s="133">
        <v>2.75</v>
      </c>
      <c r="G33" s="133">
        <v>87.43</v>
      </c>
      <c r="H33" s="133">
        <v>32.53</v>
      </c>
      <c r="I33" s="133">
        <v>8.8699999999999992</v>
      </c>
      <c r="J33" s="133">
        <v>0.31</v>
      </c>
      <c r="K33" s="133">
        <v>28.72</v>
      </c>
      <c r="L33" s="133">
        <v>23.08</v>
      </c>
      <c r="M33" s="133">
        <v>94.62</v>
      </c>
      <c r="N33" s="133">
        <v>2</v>
      </c>
      <c r="O33" s="133">
        <v>0</v>
      </c>
      <c r="P33" s="133">
        <v>0.81</v>
      </c>
      <c r="Q33" s="133">
        <v>6.03</v>
      </c>
    </row>
    <row r="34" spans="1:17" customFormat="1">
      <c r="A34" s="111" t="s">
        <v>1991</v>
      </c>
      <c r="B34" s="133">
        <v>35.93</v>
      </c>
      <c r="C34" s="133">
        <v>22.91</v>
      </c>
      <c r="D34" s="133">
        <v>42.14</v>
      </c>
      <c r="E34" s="133">
        <v>6.79</v>
      </c>
      <c r="F34" s="133">
        <v>2.5</v>
      </c>
      <c r="G34" s="133">
        <v>86.24</v>
      </c>
      <c r="H34" s="133">
        <v>32.65</v>
      </c>
      <c r="I34" s="133">
        <v>8.77</v>
      </c>
      <c r="J34" s="133">
        <v>0.11</v>
      </c>
      <c r="K34" s="133">
        <v>131.31</v>
      </c>
      <c r="L34" s="133">
        <v>23.36</v>
      </c>
      <c r="M34" s="133">
        <v>94.27</v>
      </c>
      <c r="N34" s="133">
        <v>12.2</v>
      </c>
      <c r="O34" s="133">
        <v>0</v>
      </c>
      <c r="P34" s="133">
        <v>0.82</v>
      </c>
      <c r="Q34" s="133">
        <v>6.03</v>
      </c>
    </row>
    <row r="35" spans="1:17" customFormat="1">
      <c r="A35" s="111" t="s">
        <v>1992</v>
      </c>
      <c r="B35" s="133">
        <v>35.89</v>
      </c>
      <c r="C35" s="133">
        <v>21.39</v>
      </c>
      <c r="D35" s="133">
        <v>41.31</v>
      </c>
      <c r="E35" s="133">
        <v>6.37</v>
      </c>
      <c r="F35" s="133">
        <v>2.81</v>
      </c>
      <c r="G35" s="133">
        <v>86.24</v>
      </c>
      <c r="H35" s="133">
        <v>32.65</v>
      </c>
      <c r="I35" s="133">
        <v>8.69</v>
      </c>
      <c r="J35" s="133">
        <v>0.13</v>
      </c>
      <c r="K35" s="133">
        <v>85.97</v>
      </c>
      <c r="L35" s="133">
        <v>23.59</v>
      </c>
      <c r="M35" s="133">
        <v>93.36</v>
      </c>
      <c r="N35" s="133">
        <v>25.2</v>
      </c>
      <c r="O35" s="133">
        <v>0</v>
      </c>
      <c r="P35" s="133">
        <v>0.81</v>
      </c>
      <c r="Q35" s="133">
        <v>6.03</v>
      </c>
    </row>
    <row r="36" spans="1:17" customFormat="1">
      <c r="A36" s="111" t="s">
        <v>1993</v>
      </c>
      <c r="B36" s="133">
        <v>35.78</v>
      </c>
      <c r="C36" s="133">
        <v>21.61</v>
      </c>
      <c r="D36" s="133">
        <v>41.33</v>
      </c>
      <c r="E36" s="133">
        <v>6.3</v>
      </c>
      <c r="F36" s="133">
        <v>2.63</v>
      </c>
      <c r="G36" s="133">
        <v>86.24</v>
      </c>
      <c r="H36" s="133">
        <v>32.65</v>
      </c>
      <c r="I36" s="133">
        <v>8.66</v>
      </c>
      <c r="J36" s="133">
        <v>0.32</v>
      </c>
      <c r="K36" s="133">
        <v>44.16</v>
      </c>
      <c r="L36" s="133">
        <v>23.92</v>
      </c>
      <c r="M36" s="133">
        <v>90.92</v>
      </c>
      <c r="N36" s="133">
        <v>40.5</v>
      </c>
      <c r="O36" s="133">
        <v>0</v>
      </c>
      <c r="P36" s="133">
        <v>0.81</v>
      </c>
      <c r="Q36" s="133">
        <v>6.03</v>
      </c>
    </row>
    <row r="37" spans="1:17" customFormat="1">
      <c r="A37" s="111" t="s">
        <v>1994</v>
      </c>
      <c r="B37" s="133">
        <v>35.58</v>
      </c>
      <c r="C37" s="133">
        <v>22.98</v>
      </c>
      <c r="D37" s="133">
        <v>41.89</v>
      </c>
      <c r="E37" s="133">
        <v>6.52</v>
      </c>
      <c r="F37" s="133">
        <v>2.57</v>
      </c>
      <c r="G37" s="133">
        <v>84.95</v>
      </c>
      <c r="H37" s="133">
        <v>32.29</v>
      </c>
      <c r="I37" s="133">
        <v>8.58</v>
      </c>
      <c r="J37" s="133">
        <v>0.47</v>
      </c>
      <c r="K37" s="133">
        <v>31.92</v>
      </c>
      <c r="L37" s="133">
        <v>24.12</v>
      </c>
      <c r="M37" s="133">
        <v>89.98</v>
      </c>
      <c r="N37" s="133">
        <v>56</v>
      </c>
      <c r="O37" s="133">
        <v>0</v>
      </c>
      <c r="P37" s="133">
        <v>0.83</v>
      </c>
      <c r="Q37" s="133">
        <v>6.01</v>
      </c>
    </row>
    <row r="38" spans="1:17" customFormat="1">
      <c r="A38" s="111" t="s">
        <v>1995</v>
      </c>
      <c r="B38" s="133">
        <v>35.14</v>
      </c>
      <c r="C38" s="133">
        <v>23.89</v>
      </c>
      <c r="D38" s="133">
        <v>42.01</v>
      </c>
      <c r="E38" s="133">
        <v>6.8</v>
      </c>
      <c r="F38" s="133">
        <v>2.69</v>
      </c>
      <c r="G38" s="133">
        <v>81.77</v>
      </c>
      <c r="H38" s="133">
        <v>31.71</v>
      </c>
      <c r="I38" s="133">
        <v>8.58</v>
      </c>
      <c r="J38" s="133">
        <v>0.57999999999999996</v>
      </c>
      <c r="K38" s="133">
        <v>32.049999999999997</v>
      </c>
      <c r="L38" s="133">
        <v>24.39</v>
      </c>
      <c r="M38" s="133">
        <v>93.85</v>
      </c>
      <c r="N38" s="133">
        <v>79</v>
      </c>
      <c r="O38" s="133">
        <v>0</v>
      </c>
      <c r="P38" s="133">
        <v>0.85</v>
      </c>
      <c r="Q38" s="133">
        <v>6.03</v>
      </c>
    </row>
    <row r="39" spans="1:17" customFormat="1">
      <c r="A39" s="111" t="s">
        <v>1996</v>
      </c>
      <c r="B39" s="133">
        <v>34.21</v>
      </c>
      <c r="C39" s="133">
        <v>24.96</v>
      </c>
      <c r="D39" s="133">
        <v>41.82</v>
      </c>
      <c r="E39" s="133">
        <v>7.34</v>
      </c>
      <c r="F39" s="133">
        <v>2.76</v>
      </c>
      <c r="G39" s="133">
        <v>81.77</v>
      </c>
      <c r="H39" s="133">
        <v>31.71</v>
      </c>
      <c r="I39" s="133">
        <v>8.49</v>
      </c>
      <c r="J39" s="133">
        <v>0.62</v>
      </c>
      <c r="K39" s="133">
        <v>33.15</v>
      </c>
      <c r="L39" s="133">
        <v>24.75</v>
      </c>
      <c r="M39" s="133">
        <v>92.81</v>
      </c>
      <c r="N39" s="133">
        <v>148</v>
      </c>
      <c r="O39" s="133">
        <v>0</v>
      </c>
      <c r="P39" s="133">
        <v>0.86</v>
      </c>
      <c r="Q39" s="133">
        <v>6.01</v>
      </c>
    </row>
    <row r="40" spans="1:17" customFormat="1">
      <c r="A40" s="111" t="s">
        <v>1997</v>
      </c>
      <c r="B40" s="133">
        <v>33.07</v>
      </c>
      <c r="C40" s="133">
        <v>25.47</v>
      </c>
      <c r="D40" s="133">
        <v>41.18</v>
      </c>
      <c r="E40" s="133">
        <v>6.66</v>
      </c>
      <c r="F40" s="133">
        <v>2.91</v>
      </c>
      <c r="G40" s="133">
        <v>81.77</v>
      </c>
      <c r="H40" s="133">
        <v>31.71</v>
      </c>
      <c r="I40" s="133">
        <v>8.4600000000000009</v>
      </c>
      <c r="J40" s="133">
        <v>0.65</v>
      </c>
      <c r="K40" s="133">
        <v>39.130000000000003</v>
      </c>
      <c r="L40" s="133">
        <v>25.29</v>
      </c>
      <c r="M40" s="133">
        <v>89.82</v>
      </c>
      <c r="N40" s="133">
        <v>197.2</v>
      </c>
      <c r="O40" s="133">
        <v>0</v>
      </c>
      <c r="P40" s="133">
        <v>0.86</v>
      </c>
      <c r="Q40" s="133">
        <v>5.97</v>
      </c>
    </row>
    <row r="41" spans="1:17" customFormat="1">
      <c r="A41" s="111" t="s">
        <v>1998</v>
      </c>
      <c r="B41" s="133">
        <v>31.67</v>
      </c>
      <c r="C41" s="133">
        <v>26</v>
      </c>
      <c r="D41" s="133">
        <v>40.340000000000003</v>
      </c>
      <c r="E41" s="133">
        <v>6.87</v>
      </c>
      <c r="F41" s="133">
        <v>3.01</v>
      </c>
      <c r="G41" s="133">
        <v>82.1</v>
      </c>
      <c r="H41" s="133">
        <v>31.36</v>
      </c>
      <c r="I41" s="133">
        <v>8.35</v>
      </c>
      <c r="J41" s="133">
        <v>0.55000000000000004</v>
      </c>
      <c r="K41" s="133">
        <v>35.61</v>
      </c>
      <c r="L41" s="133">
        <v>25.89</v>
      </c>
      <c r="M41" s="133">
        <v>87.03</v>
      </c>
      <c r="N41" s="133">
        <v>237.7</v>
      </c>
      <c r="O41" s="133">
        <v>0</v>
      </c>
      <c r="P41" s="133">
        <v>0.85</v>
      </c>
      <c r="Q41" s="133">
        <v>5.93</v>
      </c>
    </row>
    <row r="42" spans="1:17" customFormat="1">
      <c r="A42" s="111" t="s">
        <v>1999</v>
      </c>
      <c r="B42" s="133">
        <v>30.36</v>
      </c>
      <c r="C42" s="133">
        <v>26.4</v>
      </c>
      <c r="D42" s="133">
        <v>39.49</v>
      </c>
      <c r="E42" s="133">
        <v>7.37</v>
      </c>
      <c r="F42" s="133">
        <v>3</v>
      </c>
      <c r="G42" s="133">
        <v>82.89</v>
      </c>
      <c r="H42" s="133">
        <v>30.78</v>
      </c>
      <c r="I42" s="133">
        <v>8.23</v>
      </c>
      <c r="J42" s="133">
        <v>0.4</v>
      </c>
      <c r="K42" s="133">
        <v>42.47</v>
      </c>
      <c r="L42" s="133">
        <v>26.74</v>
      </c>
      <c r="M42" s="133">
        <v>82.39</v>
      </c>
      <c r="N42" s="133">
        <v>275.7</v>
      </c>
      <c r="O42" s="133">
        <v>0</v>
      </c>
      <c r="P42" s="133">
        <v>0.84</v>
      </c>
      <c r="Q42" s="133">
        <v>5.82</v>
      </c>
    </row>
    <row r="43" spans="1:17" customFormat="1">
      <c r="A43" s="111" t="s">
        <v>2000</v>
      </c>
      <c r="B43" s="133">
        <v>28.94</v>
      </c>
      <c r="C43" s="133">
        <v>26.94</v>
      </c>
      <c r="D43" s="133">
        <v>38.630000000000003</v>
      </c>
      <c r="E43" s="133">
        <v>7.12</v>
      </c>
      <c r="F43" s="133">
        <v>3.02</v>
      </c>
      <c r="G43" s="133">
        <v>82.89</v>
      </c>
      <c r="H43" s="133">
        <v>30.78</v>
      </c>
      <c r="I43" s="133">
        <v>8.1199999999999992</v>
      </c>
      <c r="J43" s="133">
        <v>0.38</v>
      </c>
      <c r="K43" s="133">
        <v>47.85</v>
      </c>
      <c r="L43" s="133">
        <v>27.18</v>
      </c>
      <c r="M43" s="133">
        <v>81.99</v>
      </c>
      <c r="N43" s="133">
        <v>313.10000000000002</v>
      </c>
      <c r="O43" s="133">
        <v>0</v>
      </c>
      <c r="P43" s="133">
        <v>0.85</v>
      </c>
      <c r="Q43" s="133">
        <v>5.79</v>
      </c>
    </row>
    <row r="44" spans="1:17" customFormat="1">
      <c r="A44" s="111" t="s">
        <v>2001</v>
      </c>
      <c r="B44" s="133">
        <v>27.73</v>
      </c>
      <c r="C44" s="133">
        <v>27.15</v>
      </c>
      <c r="D44" s="133">
        <v>37.770000000000003</v>
      </c>
      <c r="E44" s="133">
        <v>7.11</v>
      </c>
      <c r="F44" s="133">
        <v>2.76</v>
      </c>
      <c r="G44" s="133">
        <v>82.89</v>
      </c>
      <c r="H44" s="133">
        <v>30.78</v>
      </c>
      <c r="I44" s="133">
        <v>7.98</v>
      </c>
      <c r="J44" s="133">
        <v>0.43</v>
      </c>
      <c r="K44" s="133">
        <v>45.19</v>
      </c>
      <c r="L44" s="133">
        <v>28.07</v>
      </c>
      <c r="M44" s="133">
        <v>78.61</v>
      </c>
      <c r="N44" s="133">
        <v>351.1</v>
      </c>
      <c r="O44" s="133">
        <v>0</v>
      </c>
      <c r="P44" s="133">
        <v>0.84</v>
      </c>
      <c r="Q44" s="133">
        <v>5.75</v>
      </c>
    </row>
    <row r="45" spans="1:17" customFormat="1">
      <c r="A45" s="111" t="s">
        <v>2002</v>
      </c>
      <c r="B45" s="133">
        <v>26.81</v>
      </c>
      <c r="C45" s="133">
        <v>27.62</v>
      </c>
      <c r="D45" s="133">
        <v>37.28</v>
      </c>
      <c r="E45" s="133">
        <v>7.35</v>
      </c>
      <c r="F45" s="133">
        <v>2.81</v>
      </c>
      <c r="G45" s="133">
        <v>81.97</v>
      </c>
      <c r="H45" s="133">
        <v>31.06</v>
      </c>
      <c r="I45" s="133">
        <v>7.85</v>
      </c>
      <c r="J45" s="133">
        <v>0.56000000000000005</v>
      </c>
      <c r="K45" s="133">
        <v>37.130000000000003</v>
      </c>
      <c r="L45" s="133">
        <v>28.16</v>
      </c>
      <c r="M45" s="133">
        <v>76.97</v>
      </c>
      <c r="N45" s="133">
        <v>378.8</v>
      </c>
      <c r="O45" s="133">
        <v>0</v>
      </c>
      <c r="P45" s="133">
        <v>0.84</v>
      </c>
      <c r="Q45" s="133">
        <v>5.67</v>
      </c>
    </row>
    <row r="46" spans="1:17" customFormat="1">
      <c r="A46" s="111" t="s">
        <v>2003</v>
      </c>
      <c r="B46" s="133">
        <v>26.45</v>
      </c>
      <c r="C46" s="133">
        <v>28.44</v>
      </c>
      <c r="D46" s="133">
        <v>37.42</v>
      </c>
      <c r="E46" s="133">
        <v>7.05</v>
      </c>
      <c r="F46" s="133">
        <v>2.94</v>
      </c>
      <c r="G46" s="133">
        <v>79.680000000000007</v>
      </c>
      <c r="H46" s="133">
        <v>31.51</v>
      </c>
      <c r="I46" s="133">
        <v>7.76</v>
      </c>
      <c r="J46" s="133">
        <v>0.56000000000000005</v>
      </c>
      <c r="K46" s="133">
        <v>35.21</v>
      </c>
      <c r="L46" s="133">
        <v>28.51</v>
      </c>
      <c r="M46" s="133">
        <v>74.540000000000006</v>
      </c>
      <c r="N46" s="133">
        <v>333.8</v>
      </c>
      <c r="O46" s="133">
        <v>0</v>
      </c>
      <c r="P46" s="133">
        <v>0.84</v>
      </c>
      <c r="Q46" s="133">
        <v>5.64</v>
      </c>
    </row>
    <row r="47" spans="1:17" customFormat="1">
      <c r="A47" s="111" t="s">
        <v>2004</v>
      </c>
      <c r="B47" s="133">
        <v>26.47</v>
      </c>
      <c r="C47" s="133">
        <v>28.98</v>
      </c>
      <c r="D47" s="133">
        <v>37.72</v>
      </c>
      <c r="E47" s="133">
        <v>7.01</v>
      </c>
      <c r="F47" s="133">
        <v>3.01</v>
      </c>
      <c r="G47" s="133">
        <v>79.680000000000007</v>
      </c>
      <c r="H47" s="133">
        <v>31.51</v>
      </c>
      <c r="I47" s="133">
        <v>7.65</v>
      </c>
      <c r="J47" s="133">
        <v>0.5</v>
      </c>
      <c r="K47" s="133">
        <v>26.52</v>
      </c>
      <c r="L47" s="133">
        <v>28.9</v>
      </c>
      <c r="M47" s="133">
        <v>71.09</v>
      </c>
      <c r="N47" s="133">
        <v>330.8</v>
      </c>
      <c r="O47" s="133">
        <v>0</v>
      </c>
      <c r="P47" s="133">
        <v>0.83</v>
      </c>
      <c r="Q47" s="133">
        <v>5.64</v>
      </c>
    </row>
    <row r="48" spans="1:17" customFormat="1">
      <c r="A48" s="111" t="s">
        <v>2005</v>
      </c>
      <c r="B48" s="133">
        <v>26.4</v>
      </c>
      <c r="C48" s="133">
        <v>29.57</v>
      </c>
      <c r="D48" s="133">
        <v>37.97</v>
      </c>
      <c r="E48" s="133">
        <v>7.26</v>
      </c>
      <c r="F48" s="133">
        <v>3.02</v>
      </c>
      <c r="G48" s="133">
        <v>79.680000000000007</v>
      </c>
      <c r="H48" s="133">
        <v>31.51</v>
      </c>
      <c r="I48" s="133">
        <v>7.59</v>
      </c>
      <c r="J48" s="133">
        <v>0.36</v>
      </c>
      <c r="K48" s="133">
        <v>41</v>
      </c>
      <c r="L48" s="133">
        <v>29.57</v>
      </c>
      <c r="M48" s="133">
        <v>69.709999999999994</v>
      </c>
      <c r="N48" s="133">
        <v>490.2</v>
      </c>
      <c r="O48" s="133">
        <v>0</v>
      </c>
      <c r="P48" s="133">
        <v>0.84</v>
      </c>
      <c r="Q48" s="133">
        <v>5.66</v>
      </c>
    </row>
    <row r="49" spans="1:17" customFormat="1">
      <c r="A49" s="111" t="s">
        <v>2006</v>
      </c>
      <c r="B49" s="133">
        <v>25.45</v>
      </c>
      <c r="C49" s="133">
        <v>29.63</v>
      </c>
      <c r="D49" s="133">
        <v>37.24</v>
      </c>
      <c r="E49" s="133">
        <v>7.19</v>
      </c>
      <c r="F49" s="133">
        <v>3.18</v>
      </c>
      <c r="G49" s="133">
        <v>79.72</v>
      </c>
      <c r="H49" s="133">
        <v>31.54</v>
      </c>
      <c r="I49" s="133">
        <v>7.48</v>
      </c>
      <c r="J49" s="133">
        <v>0.22</v>
      </c>
      <c r="K49" s="133">
        <v>89.22</v>
      </c>
      <c r="L49" s="133">
        <v>30.23</v>
      </c>
      <c r="M49" s="133">
        <v>67.760000000000005</v>
      </c>
      <c r="N49" s="133">
        <v>525.79999999999995</v>
      </c>
      <c r="O49" s="133">
        <v>0</v>
      </c>
      <c r="P49" s="133">
        <v>0.83</v>
      </c>
      <c r="Q49" s="133">
        <v>5.63</v>
      </c>
    </row>
    <row r="50" spans="1:17" customFormat="1">
      <c r="A50" s="111" t="s">
        <v>2007</v>
      </c>
      <c r="B50" s="133">
        <v>23.88</v>
      </c>
      <c r="C50" s="133">
        <v>29.94</v>
      </c>
      <c r="D50" s="133">
        <v>36.15</v>
      </c>
      <c r="E50" s="133">
        <v>9.5500000000000007</v>
      </c>
      <c r="F50" s="133">
        <v>3.84</v>
      </c>
      <c r="G50" s="133">
        <v>79.83</v>
      </c>
      <c r="H50" s="133">
        <v>31.58</v>
      </c>
      <c r="I50" s="133">
        <v>7.36</v>
      </c>
      <c r="J50" s="133">
        <v>0.25</v>
      </c>
      <c r="K50" s="133">
        <v>97.04</v>
      </c>
      <c r="L50" s="133">
        <v>30.7</v>
      </c>
      <c r="M50" s="133">
        <v>67.02</v>
      </c>
      <c r="N50" s="133">
        <v>544.70000000000005</v>
      </c>
      <c r="O50" s="133">
        <v>0</v>
      </c>
      <c r="P50" s="133">
        <v>0.82</v>
      </c>
      <c r="Q50" s="133">
        <v>5.57</v>
      </c>
    </row>
    <row r="51" spans="1:17" customFormat="1">
      <c r="A51" s="111" t="s">
        <v>2008</v>
      </c>
      <c r="B51" s="133">
        <v>22.04</v>
      </c>
      <c r="C51" s="133">
        <v>30.14</v>
      </c>
      <c r="D51" s="133">
        <v>34.78</v>
      </c>
      <c r="E51" s="133">
        <v>9.52</v>
      </c>
      <c r="F51" s="133">
        <v>4.2699999999999996</v>
      </c>
      <c r="G51" s="133">
        <v>79.83</v>
      </c>
      <c r="H51" s="133">
        <v>31.58</v>
      </c>
      <c r="I51" s="133">
        <v>7.24</v>
      </c>
      <c r="J51" s="133">
        <v>0.28999999999999998</v>
      </c>
      <c r="K51" s="133">
        <v>65.5</v>
      </c>
      <c r="L51" s="133">
        <v>30.78</v>
      </c>
      <c r="M51" s="133">
        <v>64.56</v>
      </c>
      <c r="N51" s="133">
        <v>459.5</v>
      </c>
      <c r="O51" s="133">
        <v>0</v>
      </c>
      <c r="P51" s="133">
        <v>0.81</v>
      </c>
      <c r="Q51" s="133">
        <v>5.48</v>
      </c>
    </row>
    <row r="52" spans="1:17" customFormat="1">
      <c r="A52" s="111" t="s">
        <v>2009</v>
      </c>
      <c r="B52" s="133">
        <v>20.13</v>
      </c>
      <c r="C52" s="133">
        <v>29.8</v>
      </c>
      <c r="D52" s="133">
        <v>33.06</v>
      </c>
      <c r="E52" s="133">
        <v>10.6</v>
      </c>
      <c r="F52" s="133">
        <v>6.69</v>
      </c>
      <c r="G52" s="133">
        <v>79.83</v>
      </c>
      <c r="H52" s="133">
        <v>31.58</v>
      </c>
      <c r="I52" s="133">
        <v>7.06</v>
      </c>
      <c r="J52" s="133">
        <v>0.39</v>
      </c>
      <c r="K52" s="133">
        <v>44.56</v>
      </c>
      <c r="L52" s="133">
        <v>30.76</v>
      </c>
      <c r="M52" s="133">
        <v>64.55</v>
      </c>
      <c r="N52" s="133">
        <v>526.20000000000005</v>
      </c>
      <c r="O52" s="133">
        <v>0</v>
      </c>
      <c r="P52" s="133">
        <v>0.78</v>
      </c>
      <c r="Q52" s="133">
        <v>0.83</v>
      </c>
    </row>
    <row r="53" spans="1:17" customFormat="1">
      <c r="A53" s="111" t="s">
        <v>2010</v>
      </c>
      <c r="B53" s="133">
        <v>16.41</v>
      </c>
      <c r="C53" s="133">
        <v>28.38</v>
      </c>
      <c r="D53" s="133">
        <v>29.34</v>
      </c>
      <c r="E53" s="133">
        <v>2.2400000000000002</v>
      </c>
      <c r="F53" s="133">
        <v>8.92</v>
      </c>
      <c r="G53" s="150" t="s">
        <v>12</v>
      </c>
      <c r="H53" s="150" t="s">
        <v>12</v>
      </c>
      <c r="I53" s="133">
        <v>6.87</v>
      </c>
      <c r="J53" s="133">
        <v>0.53</v>
      </c>
      <c r="K53" s="133">
        <v>33.65</v>
      </c>
      <c r="L53" s="133">
        <v>30.64</v>
      </c>
      <c r="M53" s="133">
        <v>64.489999999999995</v>
      </c>
      <c r="N53" s="133">
        <v>589.79999999999995</v>
      </c>
      <c r="O53" s="133">
        <v>0</v>
      </c>
      <c r="P53" s="133">
        <v>0.76</v>
      </c>
      <c r="Q53" s="133">
        <v>0.14000000000000001</v>
      </c>
    </row>
    <row r="54" spans="1:17" customFormat="1">
      <c r="A54" s="111" t="s">
        <v>2011</v>
      </c>
      <c r="B54" s="133">
        <v>13.5</v>
      </c>
      <c r="C54" s="133">
        <v>29.92</v>
      </c>
      <c r="D54" s="133">
        <v>27.81</v>
      </c>
      <c r="E54" s="133">
        <v>2.48</v>
      </c>
      <c r="F54" s="133">
        <v>10.59</v>
      </c>
      <c r="G54" s="150" t="s">
        <v>12</v>
      </c>
      <c r="H54" s="150" t="s">
        <v>12</v>
      </c>
      <c r="I54" s="133">
        <v>6.41</v>
      </c>
      <c r="J54" s="133">
        <v>0.23</v>
      </c>
      <c r="K54" s="133">
        <v>50.98</v>
      </c>
      <c r="L54" s="133">
        <v>31.33</v>
      </c>
      <c r="M54" s="133">
        <v>63.35</v>
      </c>
      <c r="N54" s="133">
        <v>610.70000000000005</v>
      </c>
      <c r="O54" s="133">
        <v>0</v>
      </c>
      <c r="P54" s="133">
        <v>0.73</v>
      </c>
      <c r="Q54" s="133">
        <v>-0.11</v>
      </c>
    </row>
    <row r="55" spans="1:17" customFormat="1">
      <c r="A55" s="111" t="s">
        <v>2012</v>
      </c>
      <c r="B55" s="133">
        <v>11</v>
      </c>
      <c r="C55" s="133">
        <v>26.76</v>
      </c>
      <c r="D55" s="133">
        <v>24.15</v>
      </c>
      <c r="E55" s="133">
        <v>3.29</v>
      </c>
      <c r="F55" s="133">
        <v>10.75</v>
      </c>
      <c r="G55" s="150" t="s">
        <v>12</v>
      </c>
      <c r="H55" s="150" t="s">
        <v>12</v>
      </c>
      <c r="I55" s="133">
        <v>6.02</v>
      </c>
      <c r="J55" s="133">
        <v>0.24</v>
      </c>
      <c r="K55" s="133">
        <v>72.03</v>
      </c>
      <c r="L55" s="133">
        <v>31.93</v>
      </c>
      <c r="M55" s="133">
        <v>58.1</v>
      </c>
      <c r="N55" s="133">
        <v>625.70000000000005</v>
      </c>
      <c r="O55" s="133">
        <v>0</v>
      </c>
      <c r="P55" s="133">
        <v>0.7</v>
      </c>
      <c r="Q55" s="133">
        <v>-0.26</v>
      </c>
    </row>
    <row r="56" spans="1:17" customFormat="1">
      <c r="A56" s="111" t="s">
        <v>2013</v>
      </c>
      <c r="B56" s="133">
        <v>7.39</v>
      </c>
      <c r="C56" s="133">
        <v>28.88</v>
      </c>
      <c r="D56" s="133">
        <v>22.37</v>
      </c>
      <c r="E56" s="133">
        <v>23.98</v>
      </c>
      <c r="F56" s="133">
        <v>13.65</v>
      </c>
      <c r="G56" s="150" t="s">
        <v>12</v>
      </c>
      <c r="H56" s="150" t="s">
        <v>12</v>
      </c>
      <c r="I56" s="133">
        <v>6.12</v>
      </c>
      <c r="J56" s="133">
        <v>0.19</v>
      </c>
      <c r="K56" s="133">
        <v>78.510000000000005</v>
      </c>
      <c r="L56" s="133">
        <v>32.020000000000003</v>
      </c>
      <c r="M56" s="133">
        <v>55.45</v>
      </c>
      <c r="N56" s="133">
        <v>560.6</v>
      </c>
      <c r="O56" s="133">
        <v>0</v>
      </c>
      <c r="P56" s="133">
        <v>0.66</v>
      </c>
      <c r="Q56" s="133">
        <v>4.49</v>
      </c>
    </row>
    <row r="57" spans="1:17" customFormat="1">
      <c r="A57" s="111" t="s">
        <v>2014</v>
      </c>
      <c r="B57" s="133">
        <v>5.37</v>
      </c>
      <c r="C57" s="133">
        <v>25.75</v>
      </c>
      <c r="D57" s="133">
        <v>19.11</v>
      </c>
      <c r="E57" s="133">
        <v>26.26</v>
      </c>
      <c r="F57" s="133">
        <v>18.98</v>
      </c>
      <c r="G57" s="150" t="s">
        <v>12</v>
      </c>
      <c r="H57" s="150" t="s">
        <v>12</v>
      </c>
      <c r="I57" s="133">
        <v>9.77</v>
      </c>
      <c r="J57" s="133">
        <v>0.47</v>
      </c>
      <c r="K57" s="133">
        <v>44.84</v>
      </c>
      <c r="L57" s="133">
        <v>31.67</v>
      </c>
      <c r="M57" s="133">
        <v>57.74</v>
      </c>
      <c r="N57" s="133">
        <v>548.29999999999995</v>
      </c>
      <c r="O57" s="133">
        <v>0</v>
      </c>
      <c r="P57" s="133">
        <v>0.64</v>
      </c>
      <c r="Q57" s="133">
        <v>4.66</v>
      </c>
    </row>
    <row r="58" spans="1:17" customFormat="1">
      <c r="A58" s="111" t="s">
        <v>2015</v>
      </c>
      <c r="B58" s="133">
        <v>5.0199999999999996</v>
      </c>
      <c r="C58" s="133">
        <v>24.43</v>
      </c>
      <c r="D58" s="133">
        <v>18.14</v>
      </c>
      <c r="E58" s="133">
        <v>20.48</v>
      </c>
      <c r="F58" s="133">
        <v>17.89</v>
      </c>
      <c r="G58" s="150" t="s">
        <v>12</v>
      </c>
      <c r="H58" s="150" t="s">
        <v>12</v>
      </c>
      <c r="I58" s="133">
        <v>8.08</v>
      </c>
      <c r="J58" s="133">
        <v>0.56000000000000005</v>
      </c>
      <c r="K58" s="133">
        <v>19.649999999999999</v>
      </c>
      <c r="L58" s="133">
        <v>31.56</v>
      </c>
      <c r="M58" s="133">
        <v>62.08</v>
      </c>
      <c r="N58" s="133">
        <v>420.7</v>
      </c>
      <c r="O58" s="133">
        <v>0</v>
      </c>
      <c r="P58" s="133">
        <v>0.63</v>
      </c>
      <c r="Q58" s="133">
        <v>4.51</v>
      </c>
    </row>
    <row r="59" spans="1:17" customFormat="1">
      <c r="A59" s="111" t="s">
        <v>2016</v>
      </c>
      <c r="B59" s="133">
        <v>4.42</v>
      </c>
      <c r="C59" s="133">
        <v>25.22</v>
      </c>
      <c r="D59" s="133">
        <v>18.07</v>
      </c>
      <c r="E59" s="133">
        <v>18.89</v>
      </c>
      <c r="F59" s="133">
        <v>17.46</v>
      </c>
      <c r="G59" s="150" t="s">
        <v>12</v>
      </c>
      <c r="H59" s="150" t="s">
        <v>12</v>
      </c>
      <c r="I59" s="133">
        <v>6.84</v>
      </c>
      <c r="J59" s="133">
        <v>0.4</v>
      </c>
      <c r="K59" s="133">
        <v>40.42</v>
      </c>
      <c r="L59" s="133">
        <v>31.53</v>
      </c>
      <c r="M59" s="133">
        <v>59.35</v>
      </c>
      <c r="N59" s="133">
        <v>494.4</v>
      </c>
      <c r="O59" s="133">
        <v>0</v>
      </c>
      <c r="P59" s="133">
        <v>0.63</v>
      </c>
      <c r="Q59" s="133">
        <v>4.46</v>
      </c>
    </row>
    <row r="60" spans="1:17" customFormat="1">
      <c r="A60" s="111" t="s">
        <v>2017</v>
      </c>
      <c r="B60" s="133">
        <v>4.13</v>
      </c>
      <c r="C60" s="133">
        <v>24</v>
      </c>
      <c r="D60" s="133">
        <v>17.2</v>
      </c>
      <c r="E60" s="133">
        <v>13.93</v>
      </c>
      <c r="F60" s="133">
        <v>15.12</v>
      </c>
      <c r="G60" s="133">
        <v>48.63</v>
      </c>
      <c r="H60" s="133">
        <v>17.71</v>
      </c>
      <c r="I60" s="133">
        <v>5.99</v>
      </c>
      <c r="J60" s="133">
        <v>0.48</v>
      </c>
      <c r="K60" s="133">
        <v>39.840000000000003</v>
      </c>
      <c r="L60" s="133">
        <v>31.6</v>
      </c>
      <c r="M60" s="133">
        <v>60.28</v>
      </c>
      <c r="N60" s="133">
        <v>516.5</v>
      </c>
      <c r="O60" s="133">
        <v>0</v>
      </c>
      <c r="P60" s="133">
        <v>0.62</v>
      </c>
      <c r="Q60" s="133">
        <v>4.42</v>
      </c>
    </row>
    <row r="61" spans="1:17" customFormat="1">
      <c r="A61" s="111" t="s">
        <v>2018</v>
      </c>
      <c r="B61" s="133">
        <v>3.73</v>
      </c>
      <c r="C61" s="133">
        <v>22.32</v>
      </c>
      <c r="D61" s="133">
        <v>16</v>
      </c>
      <c r="E61" s="133">
        <v>13.83</v>
      </c>
      <c r="F61" s="133">
        <v>17.87</v>
      </c>
      <c r="G61" s="133">
        <v>48.63</v>
      </c>
      <c r="H61" s="133">
        <v>17.71</v>
      </c>
      <c r="I61" s="133">
        <v>5.59</v>
      </c>
      <c r="J61" s="133">
        <v>0.23</v>
      </c>
      <c r="K61" s="133">
        <v>50.34</v>
      </c>
      <c r="L61" s="133">
        <v>31.53</v>
      </c>
      <c r="M61" s="133">
        <v>58.57</v>
      </c>
      <c r="N61" s="133">
        <v>469.2</v>
      </c>
      <c r="O61" s="133">
        <v>0</v>
      </c>
      <c r="P61" s="133">
        <v>0.61</v>
      </c>
      <c r="Q61" s="133">
        <v>4.38</v>
      </c>
    </row>
    <row r="62" spans="1:17" customFormat="1">
      <c r="A62" s="111" t="s">
        <v>2019</v>
      </c>
      <c r="B62" s="133">
        <v>3.51</v>
      </c>
      <c r="C62" s="133">
        <v>20.43</v>
      </c>
      <c r="D62" s="133">
        <v>14.84</v>
      </c>
      <c r="E62" s="133">
        <v>12.98</v>
      </c>
      <c r="F62" s="133">
        <v>15.45</v>
      </c>
      <c r="G62" s="133">
        <v>48.63</v>
      </c>
      <c r="H62" s="133">
        <v>17.71</v>
      </c>
      <c r="I62" s="133">
        <v>5.0199999999999996</v>
      </c>
      <c r="J62" s="133">
        <v>0.28000000000000003</v>
      </c>
      <c r="K62" s="133">
        <v>36.33</v>
      </c>
      <c r="L62" s="133">
        <v>32.1</v>
      </c>
      <c r="M62" s="133">
        <v>58.37</v>
      </c>
      <c r="N62" s="133">
        <v>477.2</v>
      </c>
      <c r="O62" s="133">
        <v>0</v>
      </c>
      <c r="P62" s="133">
        <v>0.57999999999999996</v>
      </c>
      <c r="Q62" s="133">
        <v>4.3499999999999996</v>
      </c>
    </row>
    <row r="63" spans="1:17" customFormat="1">
      <c r="A63" s="111" t="s">
        <v>2020</v>
      </c>
      <c r="B63" s="133">
        <v>3.49</v>
      </c>
      <c r="C63" s="133">
        <v>20.309999999999999</v>
      </c>
      <c r="D63" s="133">
        <v>14.77</v>
      </c>
      <c r="E63" s="133">
        <v>13.43</v>
      </c>
      <c r="F63" s="133">
        <v>16.100000000000001</v>
      </c>
      <c r="G63" s="133">
        <v>48.87</v>
      </c>
      <c r="H63" s="133">
        <v>17.82</v>
      </c>
      <c r="I63" s="133">
        <v>4.5599999999999996</v>
      </c>
      <c r="J63" s="133">
        <v>0.47</v>
      </c>
      <c r="K63" s="133">
        <v>21.69</v>
      </c>
      <c r="L63" s="133">
        <v>31.53</v>
      </c>
      <c r="M63" s="133">
        <v>58.52</v>
      </c>
      <c r="N63" s="133">
        <v>460.3</v>
      </c>
      <c r="O63" s="133">
        <v>0</v>
      </c>
      <c r="P63" s="133">
        <v>0.57999999999999996</v>
      </c>
      <c r="Q63" s="133">
        <v>4.3600000000000003</v>
      </c>
    </row>
    <row r="64" spans="1:17" customFormat="1">
      <c r="A64" s="111" t="s">
        <v>2021</v>
      </c>
      <c r="B64" s="133">
        <v>3.51</v>
      </c>
      <c r="C64" s="133">
        <v>20.420000000000002</v>
      </c>
      <c r="D64" s="133">
        <v>14.84</v>
      </c>
      <c r="E64" s="133">
        <v>9.7200000000000006</v>
      </c>
      <c r="F64" s="133">
        <v>7.83</v>
      </c>
      <c r="G64" s="133">
        <v>52.91</v>
      </c>
      <c r="H64" s="133">
        <v>20.05</v>
      </c>
      <c r="I64" s="133">
        <v>4.2300000000000004</v>
      </c>
      <c r="J64" s="133">
        <v>0.35</v>
      </c>
      <c r="K64" s="133">
        <v>32.85</v>
      </c>
      <c r="L64" s="133">
        <v>31.95</v>
      </c>
      <c r="M64" s="133">
        <v>57.36</v>
      </c>
      <c r="N64" s="133">
        <v>452.4</v>
      </c>
      <c r="O64" s="133">
        <v>0</v>
      </c>
      <c r="P64" s="133">
        <v>0.57999999999999996</v>
      </c>
      <c r="Q64" s="133">
        <v>4.34</v>
      </c>
    </row>
    <row r="65" spans="1:17" customFormat="1">
      <c r="A65" s="111" t="s">
        <v>2022</v>
      </c>
      <c r="B65" s="133">
        <v>3.8</v>
      </c>
      <c r="C65" s="133">
        <v>19.46</v>
      </c>
      <c r="D65" s="133">
        <v>14.57</v>
      </c>
      <c r="E65" s="133">
        <v>7.6</v>
      </c>
      <c r="F65" s="133">
        <v>5.61</v>
      </c>
      <c r="G65" s="133">
        <v>52.91</v>
      </c>
      <c r="H65" s="133">
        <v>20.05</v>
      </c>
      <c r="I65" s="133">
        <v>3.9</v>
      </c>
      <c r="J65" s="133">
        <v>0.36</v>
      </c>
      <c r="K65" s="133">
        <v>56.2</v>
      </c>
      <c r="L65" s="133">
        <v>31.65</v>
      </c>
      <c r="M65" s="133">
        <v>55.36</v>
      </c>
      <c r="N65" s="133">
        <v>406.8</v>
      </c>
      <c r="O65" s="133">
        <v>0</v>
      </c>
      <c r="P65" s="133">
        <v>0.56000000000000005</v>
      </c>
      <c r="Q65" s="133">
        <v>4.3499999999999996</v>
      </c>
    </row>
    <row r="66" spans="1:17" customFormat="1">
      <c r="A66" s="111" t="s">
        <v>2023</v>
      </c>
      <c r="B66" s="133">
        <v>4.22</v>
      </c>
      <c r="C66" s="133">
        <v>18.850000000000001</v>
      </c>
      <c r="D66" s="133">
        <v>14.59</v>
      </c>
      <c r="E66" s="133">
        <v>8.42</v>
      </c>
      <c r="F66" s="133">
        <v>6.48</v>
      </c>
      <c r="G66" s="133">
        <v>52.91</v>
      </c>
      <c r="H66" s="133">
        <v>20.05</v>
      </c>
      <c r="I66" s="133">
        <v>3.97</v>
      </c>
      <c r="J66" s="133">
        <v>0.61</v>
      </c>
      <c r="K66" s="133">
        <v>41.07</v>
      </c>
      <c r="L66" s="133">
        <v>31.12</v>
      </c>
      <c r="M66" s="133">
        <v>54.09</v>
      </c>
      <c r="N66" s="133">
        <v>273.8</v>
      </c>
      <c r="O66" s="133">
        <v>0</v>
      </c>
      <c r="P66" s="133">
        <v>0.56999999999999995</v>
      </c>
      <c r="Q66" s="133">
        <v>4.37</v>
      </c>
    </row>
    <row r="67" spans="1:17" customFormat="1">
      <c r="A67" s="111" t="s">
        <v>2024</v>
      </c>
      <c r="B67" s="133">
        <v>4.67</v>
      </c>
      <c r="C67" s="133">
        <v>18.47</v>
      </c>
      <c r="D67" s="133">
        <v>14.74</v>
      </c>
      <c r="E67" s="133">
        <v>11.02</v>
      </c>
      <c r="F67" s="133">
        <v>9.59</v>
      </c>
      <c r="G67" s="133">
        <v>53.19</v>
      </c>
      <c r="H67" s="133">
        <v>20.170000000000002</v>
      </c>
      <c r="I67" s="133">
        <v>4</v>
      </c>
      <c r="J67" s="133">
        <v>0.44</v>
      </c>
      <c r="K67" s="133">
        <v>17.21</v>
      </c>
      <c r="L67" s="133">
        <v>30.79</v>
      </c>
      <c r="M67" s="133">
        <v>56.7</v>
      </c>
      <c r="N67" s="133">
        <v>150.69999999999999</v>
      </c>
      <c r="O67" s="133">
        <v>0</v>
      </c>
      <c r="P67" s="133">
        <v>0.56000000000000005</v>
      </c>
      <c r="Q67" s="133">
        <v>4.3600000000000003</v>
      </c>
    </row>
    <row r="68" spans="1:17" customFormat="1">
      <c r="A68" s="111" t="s">
        <v>2025</v>
      </c>
      <c r="B68" s="133">
        <v>5.45</v>
      </c>
      <c r="C68" s="133">
        <v>20.07</v>
      </c>
      <c r="D68" s="133">
        <v>16.21</v>
      </c>
      <c r="E68" s="133">
        <v>16.04</v>
      </c>
      <c r="F68" s="133">
        <v>8.8000000000000007</v>
      </c>
      <c r="G68" s="133">
        <v>59.36</v>
      </c>
      <c r="H68" s="133">
        <v>22.03</v>
      </c>
      <c r="I68" s="133">
        <v>4.22</v>
      </c>
      <c r="J68" s="133">
        <v>0.48</v>
      </c>
      <c r="K68" s="133">
        <v>24.67</v>
      </c>
      <c r="L68" s="133">
        <v>30.53</v>
      </c>
      <c r="M68" s="133">
        <v>58.71</v>
      </c>
      <c r="N68" s="133">
        <v>127.5</v>
      </c>
      <c r="O68" s="133">
        <v>0</v>
      </c>
      <c r="P68" s="133">
        <v>0.55000000000000004</v>
      </c>
      <c r="Q68" s="133">
        <v>4.3600000000000003</v>
      </c>
    </row>
    <row r="69" spans="1:17" customFormat="1">
      <c r="A69" s="111" t="s">
        <v>2026</v>
      </c>
      <c r="B69" s="133">
        <v>5.58</v>
      </c>
      <c r="C69" s="133">
        <v>18.84</v>
      </c>
      <c r="D69" s="133">
        <v>15.67</v>
      </c>
      <c r="E69" s="133">
        <v>15.25</v>
      </c>
      <c r="F69" s="133">
        <v>8.74</v>
      </c>
      <c r="G69" s="133">
        <v>59.36</v>
      </c>
      <c r="H69" s="133">
        <v>22.03</v>
      </c>
      <c r="I69" s="133">
        <v>3.98</v>
      </c>
      <c r="J69" s="133">
        <v>0.4</v>
      </c>
      <c r="K69" s="133">
        <v>50.15</v>
      </c>
      <c r="L69" s="133">
        <v>30.39</v>
      </c>
      <c r="M69" s="133">
        <v>59.63</v>
      </c>
      <c r="N69" s="133">
        <v>111.1</v>
      </c>
      <c r="O69" s="133">
        <v>0</v>
      </c>
      <c r="P69" s="133">
        <v>0.54</v>
      </c>
      <c r="Q69" s="133">
        <v>4.3499999999999996</v>
      </c>
    </row>
    <row r="70" spans="1:17" customFormat="1">
      <c r="A70" s="111" t="s">
        <v>2027</v>
      </c>
      <c r="B70" s="133">
        <v>6.13</v>
      </c>
      <c r="C70" s="133">
        <v>19.39</v>
      </c>
      <c r="D70" s="133">
        <v>16.399999999999999</v>
      </c>
      <c r="E70" s="133">
        <v>12.99</v>
      </c>
      <c r="F70" s="133">
        <v>10.55</v>
      </c>
      <c r="G70" s="133">
        <v>59.36</v>
      </c>
      <c r="H70" s="133">
        <v>22.03</v>
      </c>
      <c r="I70" s="133">
        <v>3.96</v>
      </c>
      <c r="J70" s="133">
        <v>0.54</v>
      </c>
      <c r="K70" s="133">
        <v>24.31</v>
      </c>
      <c r="L70" s="133">
        <v>30.19</v>
      </c>
      <c r="M70" s="133">
        <v>57.2</v>
      </c>
      <c r="N70" s="133">
        <v>82.7</v>
      </c>
      <c r="O70" s="133">
        <v>0</v>
      </c>
      <c r="P70" s="133">
        <v>0.54</v>
      </c>
      <c r="Q70" s="133">
        <v>4.38</v>
      </c>
    </row>
    <row r="71" spans="1:17" customFormat="1">
      <c r="A71" s="111" t="s">
        <v>2028</v>
      </c>
      <c r="B71" s="133">
        <v>6.84</v>
      </c>
      <c r="C71" s="133">
        <v>20.2</v>
      </c>
      <c r="D71" s="133">
        <v>17.39</v>
      </c>
      <c r="E71" s="133">
        <v>16.64</v>
      </c>
      <c r="F71" s="133">
        <v>14.91</v>
      </c>
      <c r="G71" s="133">
        <v>59.44</v>
      </c>
      <c r="H71" s="133">
        <v>22</v>
      </c>
      <c r="I71" s="133">
        <v>3.98</v>
      </c>
      <c r="J71" s="133">
        <v>0.51</v>
      </c>
      <c r="K71" s="133">
        <v>27.83</v>
      </c>
      <c r="L71" s="133">
        <v>30.27</v>
      </c>
      <c r="M71" s="133">
        <v>57.33</v>
      </c>
      <c r="N71" s="133">
        <v>92.3</v>
      </c>
      <c r="O71" s="133">
        <v>0</v>
      </c>
      <c r="P71" s="133">
        <v>0.55000000000000004</v>
      </c>
      <c r="Q71" s="133">
        <v>4.3899999999999997</v>
      </c>
    </row>
    <row r="72" spans="1:17" customFormat="1">
      <c r="A72" s="111" t="s">
        <v>2029</v>
      </c>
      <c r="B72" s="133">
        <v>8.3000000000000007</v>
      </c>
      <c r="C72" s="133">
        <v>22.53</v>
      </c>
      <c r="D72" s="133">
        <v>19.78</v>
      </c>
      <c r="E72" s="133">
        <v>16.36</v>
      </c>
      <c r="F72" s="133">
        <v>11.78</v>
      </c>
      <c r="G72" s="133">
        <v>60.82</v>
      </c>
      <c r="H72" s="133">
        <v>21.5</v>
      </c>
      <c r="I72" s="133">
        <v>4.3099999999999996</v>
      </c>
      <c r="J72" s="133">
        <v>0.56000000000000005</v>
      </c>
      <c r="K72" s="133">
        <v>27.28</v>
      </c>
      <c r="L72" s="133">
        <v>30.21</v>
      </c>
      <c r="M72" s="133">
        <v>57.76</v>
      </c>
      <c r="N72" s="133">
        <v>80.2</v>
      </c>
      <c r="O72" s="133">
        <v>0</v>
      </c>
      <c r="P72" s="133">
        <v>0.55000000000000004</v>
      </c>
      <c r="Q72" s="133">
        <v>4.42</v>
      </c>
    </row>
    <row r="73" spans="1:17" customFormat="1">
      <c r="A73" s="111" t="s">
        <v>2030</v>
      </c>
      <c r="B73" s="133">
        <v>7.42</v>
      </c>
      <c r="C73" s="133">
        <v>20.93</v>
      </c>
      <c r="D73" s="133">
        <v>18.239999999999998</v>
      </c>
      <c r="E73" s="133">
        <v>13.74</v>
      </c>
      <c r="F73" s="133">
        <v>10.26</v>
      </c>
      <c r="G73" s="133">
        <v>60.82</v>
      </c>
      <c r="H73" s="133">
        <v>21.5</v>
      </c>
      <c r="I73" s="133">
        <v>4.18</v>
      </c>
      <c r="J73" s="133">
        <v>0.39</v>
      </c>
      <c r="K73" s="133">
        <v>42.76</v>
      </c>
      <c r="L73" s="133">
        <v>30.01</v>
      </c>
      <c r="M73" s="133">
        <v>57.01</v>
      </c>
      <c r="N73" s="133">
        <v>52.6</v>
      </c>
      <c r="O73" s="133">
        <v>0</v>
      </c>
      <c r="P73" s="133">
        <v>0.56999999999999995</v>
      </c>
      <c r="Q73" s="133">
        <v>4.45</v>
      </c>
    </row>
    <row r="74" spans="1:17" customFormat="1">
      <c r="A74" s="111" t="s">
        <v>2031</v>
      </c>
      <c r="B74" s="133">
        <v>7.34</v>
      </c>
      <c r="C74" s="133">
        <v>20.74</v>
      </c>
      <c r="D74" s="133">
        <v>18.07</v>
      </c>
      <c r="E74" s="133">
        <v>16.059999999999999</v>
      </c>
      <c r="F74" s="133">
        <v>11.83</v>
      </c>
      <c r="G74" s="133">
        <v>60.82</v>
      </c>
      <c r="H74" s="133">
        <v>21.5</v>
      </c>
      <c r="I74" s="133">
        <v>4.3099999999999996</v>
      </c>
      <c r="J74" s="133">
        <v>0.5</v>
      </c>
      <c r="K74" s="133">
        <v>32.5</v>
      </c>
      <c r="L74" s="133">
        <v>29.81</v>
      </c>
      <c r="M74" s="133">
        <v>57.83</v>
      </c>
      <c r="N74" s="133">
        <v>45.5</v>
      </c>
      <c r="O74" s="133">
        <v>0</v>
      </c>
      <c r="P74" s="133">
        <v>0.59</v>
      </c>
      <c r="Q74" s="133">
        <v>4.45</v>
      </c>
    </row>
    <row r="75" spans="1:17" customFormat="1">
      <c r="A75" s="111" t="s">
        <v>2032</v>
      </c>
      <c r="B75" s="133">
        <v>7.7</v>
      </c>
      <c r="C75" s="133">
        <v>20.98</v>
      </c>
      <c r="D75" s="133">
        <v>18.489999999999998</v>
      </c>
      <c r="E75" s="133">
        <v>18.21</v>
      </c>
      <c r="F75" s="133">
        <v>13.29</v>
      </c>
      <c r="G75" s="133">
        <v>61.3</v>
      </c>
      <c r="H75" s="133">
        <v>21.75</v>
      </c>
      <c r="I75" s="133">
        <v>4.5</v>
      </c>
      <c r="J75" s="133">
        <v>0.41</v>
      </c>
      <c r="K75" s="133">
        <v>34.75</v>
      </c>
      <c r="L75" s="133">
        <v>29.58</v>
      </c>
      <c r="M75" s="133">
        <v>58.63</v>
      </c>
      <c r="N75" s="133">
        <v>30.6</v>
      </c>
      <c r="O75" s="133">
        <v>0</v>
      </c>
      <c r="P75" s="133">
        <v>0.6</v>
      </c>
      <c r="Q75" s="133">
        <v>4.47</v>
      </c>
    </row>
    <row r="76" spans="1:17" customFormat="1">
      <c r="A76" s="111" t="s">
        <v>2033</v>
      </c>
      <c r="B76" s="133">
        <v>7.96</v>
      </c>
      <c r="C76" s="133">
        <v>21.65</v>
      </c>
      <c r="D76" s="133">
        <v>19.04</v>
      </c>
      <c r="E76" s="133">
        <v>17.78</v>
      </c>
      <c r="F76" s="133">
        <v>10.17</v>
      </c>
      <c r="G76" s="133">
        <v>69.510000000000005</v>
      </c>
      <c r="H76" s="133">
        <v>25.64</v>
      </c>
      <c r="I76" s="133">
        <v>4.54</v>
      </c>
      <c r="J76" s="133">
        <v>0.41</v>
      </c>
      <c r="K76" s="133">
        <v>29.11</v>
      </c>
      <c r="L76" s="133">
        <v>29.21</v>
      </c>
      <c r="M76" s="133">
        <v>60.21</v>
      </c>
      <c r="N76" s="133">
        <v>14.5</v>
      </c>
      <c r="O76" s="133">
        <v>0</v>
      </c>
      <c r="P76" s="133">
        <v>0.61</v>
      </c>
      <c r="Q76" s="133">
        <v>4.5</v>
      </c>
    </row>
    <row r="77" spans="1:17" customFormat="1">
      <c r="A77" s="111" t="s">
        <v>2034</v>
      </c>
      <c r="B77" s="133">
        <v>7.88</v>
      </c>
      <c r="C77" s="133">
        <v>29.08</v>
      </c>
      <c r="D77" s="133">
        <v>22.86</v>
      </c>
      <c r="E77" s="133">
        <v>10.44</v>
      </c>
      <c r="F77" s="133">
        <v>5.16</v>
      </c>
      <c r="G77" s="133">
        <v>69.510000000000005</v>
      </c>
      <c r="H77" s="133">
        <v>25.64</v>
      </c>
      <c r="I77" s="133">
        <v>4.42</v>
      </c>
      <c r="J77" s="133">
        <v>0.39</v>
      </c>
      <c r="K77" s="133">
        <v>38.450000000000003</v>
      </c>
      <c r="L77" s="133">
        <v>28.72</v>
      </c>
      <c r="M77" s="133">
        <v>61.94</v>
      </c>
      <c r="N77" s="133">
        <v>2</v>
      </c>
      <c r="O77" s="133">
        <v>0</v>
      </c>
      <c r="P77" s="133">
        <v>0.64</v>
      </c>
      <c r="Q77" s="133">
        <v>4.55</v>
      </c>
    </row>
    <row r="78" spans="1:17" customFormat="1">
      <c r="A78" s="111" t="s">
        <v>2035</v>
      </c>
      <c r="B78" s="133">
        <v>8.02</v>
      </c>
      <c r="C78" s="133">
        <v>32.61</v>
      </c>
      <c r="D78" s="133">
        <v>24.82</v>
      </c>
      <c r="E78" s="133">
        <v>10.36</v>
      </c>
      <c r="F78" s="133">
        <v>6.13</v>
      </c>
      <c r="G78" s="133">
        <v>69.510000000000005</v>
      </c>
      <c r="H78" s="133">
        <v>25.64</v>
      </c>
      <c r="I78" s="133">
        <v>4.51</v>
      </c>
      <c r="J78" s="133">
        <v>0.26</v>
      </c>
      <c r="K78" s="133">
        <v>58.22</v>
      </c>
      <c r="L78" s="133">
        <v>28.54</v>
      </c>
      <c r="M78" s="133">
        <v>64.73</v>
      </c>
      <c r="N78" s="133">
        <v>0</v>
      </c>
      <c r="O78" s="133">
        <v>0</v>
      </c>
      <c r="P78" s="133">
        <v>0.69</v>
      </c>
      <c r="Q78" s="133">
        <v>4.6100000000000003</v>
      </c>
    </row>
    <row r="79" spans="1:17" customFormat="1">
      <c r="A79" s="111" t="s">
        <v>2036</v>
      </c>
      <c r="B79" s="133">
        <v>8.49</v>
      </c>
      <c r="C79" s="133">
        <v>32.950000000000003</v>
      </c>
      <c r="D79" s="133">
        <v>25.37</v>
      </c>
      <c r="E79" s="133">
        <v>9.9</v>
      </c>
      <c r="F79" s="133">
        <v>5.19</v>
      </c>
      <c r="G79" s="133">
        <v>70.459999999999994</v>
      </c>
      <c r="H79" s="133">
        <v>25.9</v>
      </c>
      <c r="I79" s="133">
        <v>4.74</v>
      </c>
      <c r="J79" s="133">
        <v>0.25</v>
      </c>
      <c r="K79" s="133">
        <v>47.39</v>
      </c>
      <c r="L79" s="133">
        <v>28.35</v>
      </c>
      <c r="M79" s="133">
        <v>69.92</v>
      </c>
      <c r="N79" s="133">
        <v>0</v>
      </c>
      <c r="O79" s="133">
        <v>0</v>
      </c>
      <c r="P79" s="133">
        <v>0.75</v>
      </c>
      <c r="Q79" s="133">
        <v>4.66</v>
      </c>
    </row>
    <row r="80" spans="1:17" customFormat="1">
      <c r="A80" s="111" t="s">
        <v>2037</v>
      </c>
      <c r="B80" s="133">
        <v>9.61</v>
      </c>
      <c r="C80" s="133">
        <v>33.82</v>
      </c>
      <c r="D80" s="133">
        <v>26.73</v>
      </c>
      <c r="E80" s="133">
        <v>8.8800000000000008</v>
      </c>
      <c r="F80" s="133">
        <v>4</v>
      </c>
      <c r="G80" s="133">
        <v>86.55</v>
      </c>
      <c r="H80" s="133">
        <v>29.91</v>
      </c>
      <c r="I80" s="133">
        <v>5.29</v>
      </c>
      <c r="J80" s="133">
        <v>0.21</v>
      </c>
      <c r="K80" s="133">
        <v>44.86</v>
      </c>
      <c r="L80" s="133">
        <v>28.2</v>
      </c>
      <c r="M80" s="133">
        <v>71.97</v>
      </c>
      <c r="N80" s="133">
        <v>0</v>
      </c>
      <c r="O80" s="133">
        <v>0</v>
      </c>
      <c r="P80" s="133">
        <v>0.72</v>
      </c>
      <c r="Q80" s="133">
        <v>4.7</v>
      </c>
    </row>
    <row r="81" spans="1:17" customFormat="1">
      <c r="A81" s="111" t="s">
        <v>2038</v>
      </c>
      <c r="B81" s="133">
        <v>9.5299999999999994</v>
      </c>
      <c r="C81" s="133">
        <v>31.3</v>
      </c>
      <c r="D81" s="133">
        <v>25.35</v>
      </c>
      <c r="E81" s="133">
        <v>5.16</v>
      </c>
      <c r="F81" s="133">
        <v>3.61</v>
      </c>
      <c r="G81" s="133">
        <v>86.55</v>
      </c>
      <c r="H81" s="133">
        <v>29.91</v>
      </c>
      <c r="I81" s="133">
        <v>5.36</v>
      </c>
      <c r="J81" s="133">
        <v>0.22</v>
      </c>
      <c r="K81" s="133">
        <v>157.71</v>
      </c>
      <c r="L81" s="133">
        <v>27.71</v>
      </c>
      <c r="M81" s="133">
        <v>77.81</v>
      </c>
      <c r="N81" s="133">
        <v>0</v>
      </c>
      <c r="O81" s="133">
        <v>0</v>
      </c>
      <c r="P81" s="133">
        <v>0.74</v>
      </c>
      <c r="Q81" s="133">
        <v>4.78</v>
      </c>
    </row>
    <row r="82" spans="1:17" customFormat="1">
      <c r="A82" s="111" t="s">
        <v>2039</v>
      </c>
      <c r="B82" s="133">
        <v>9.5500000000000007</v>
      </c>
      <c r="C82" s="133">
        <v>30.11</v>
      </c>
      <c r="D82" s="133">
        <v>24.74</v>
      </c>
      <c r="E82" s="133">
        <v>6.08</v>
      </c>
      <c r="F82" s="133">
        <v>3.4</v>
      </c>
      <c r="G82" s="133">
        <v>86.55</v>
      </c>
      <c r="H82" s="133">
        <v>29.91</v>
      </c>
      <c r="I82" s="133">
        <v>5.48</v>
      </c>
      <c r="J82" s="133">
        <v>0.11</v>
      </c>
      <c r="K82" s="133">
        <v>101.61</v>
      </c>
      <c r="L82" s="133">
        <v>27.48</v>
      </c>
      <c r="M82" s="133">
        <v>77.77</v>
      </c>
      <c r="N82" s="133">
        <v>0</v>
      </c>
      <c r="O82" s="133">
        <v>0</v>
      </c>
      <c r="P82" s="133">
        <v>0.76</v>
      </c>
      <c r="Q82" s="133">
        <v>4.83</v>
      </c>
    </row>
    <row r="83" spans="1:17" customFormat="1">
      <c r="A83" s="111" t="s">
        <v>2040</v>
      </c>
      <c r="B83" s="133">
        <v>9.86</v>
      </c>
      <c r="C83" s="133">
        <v>29.47</v>
      </c>
      <c r="D83" s="133">
        <v>24.65</v>
      </c>
      <c r="E83" s="133">
        <v>5.81</v>
      </c>
      <c r="F83" s="133">
        <v>3.46</v>
      </c>
      <c r="G83" s="133">
        <v>87.17</v>
      </c>
      <c r="H83" s="133">
        <v>30.07</v>
      </c>
      <c r="I83" s="133">
        <v>5.62</v>
      </c>
      <c r="J83" s="133">
        <v>0.13</v>
      </c>
      <c r="K83" s="133">
        <v>146.97999999999999</v>
      </c>
      <c r="L83" s="133">
        <v>27.29</v>
      </c>
      <c r="M83" s="133">
        <v>79.430000000000007</v>
      </c>
      <c r="N83" s="133">
        <v>0</v>
      </c>
      <c r="O83" s="133">
        <v>0</v>
      </c>
      <c r="P83" s="133">
        <v>0.78</v>
      </c>
      <c r="Q83" s="133">
        <v>4.88</v>
      </c>
    </row>
    <row r="84" spans="1:17" customFormat="1">
      <c r="A84" s="111" t="s">
        <v>2041</v>
      </c>
      <c r="B84" s="133">
        <v>10.34</v>
      </c>
      <c r="C84" s="133">
        <v>29.53</v>
      </c>
      <c r="D84" s="133">
        <v>25.07</v>
      </c>
      <c r="E84" s="133">
        <v>6.03</v>
      </c>
      <c r="F84" s="133">
        <v>3.56</v>
      </c>
      <c r="G84" s="133">
        <v>97.64</v>
      </c>
      <c r="H84" s="133">
        <v>32.46</v>
      </c>
      <c r="I84" s="133">
        <v>5.84</v>
      </c>
      <c r="J84" s="133">
        <v>0.14000000000000001</v>
      </c>
      <c r="K84" s="133">
        <v>61.19</v>
      </c>
      <c r="L84" s="133">
        <v>27.12</v>
      </c>
      <c r="M84" s="133">
        <v>78.099999999999994</v>
      </c>
      <c r="N84" s="133">
        <v>0</v>
      </c>
      <c r="O84" s="133">
        <v>0</v>
      </c>
      <c r="P84" s="133">
        <v>0.8</v>
      </c>
      <c r="Q84" s="133">
        <v>4.91</v>
      </c>
    </row>
    <row r="85" spans="1:17" customFormat="1">
      <c r="A85" s="111" t="s">
        <v>2042</v>
      </c>
      <c r="B85" s="133">
        <v>10.89</v>
      </c>
      <c r="C85" s="133">
        <v>28.95</v>
      </c>
      <c r="D85" s="133">
        <v>25.21</v>
      </c>
      <c r="E85" s="133">
        <v>5.76</v>
      </c>
      <c r="F85" s="133">
        <v>3.18</v>
      </c>
      <c r="G85" s="133">
        <v>97.64</v>
      </c>
      <c r="H85" s="133">
        <v>32.46</v>
      </c>
      <c r="I85" s="133">
        <v>5.95</v>
      </c>
      <c r="J85" s="133">
        <v>0.11</v>
      </c>
      <c r="K85" s="133">
        <v>158.69999999999999</v>
      </c>
      <c r="L85" s="133">
        <v>26.95</v>
      </c>
      <c r="M85" s="133">
        <v>80.540000000000006</v>
      </c>
      <c r="N85" s="133">
        <v>0</v>
      </c>
      <c r="O85" s="133">
        <v>0</v>
      </c>
      <c r="P85" s="133">
        <v>0.81</v>
      </c>
      <c r="Q85" s="133">
        <v>4.92</v>
      </c>
    </row>
    <row r="86" spans="1:17" customFormat="1">
      <c r="A86" s="111" t="s">
        <v>2043</v>
      </c>
      <c r="B86" s="133">
        <v>11.23</v>
      </c>
      <c r="C86" s="133">
        <v>28.47</v>
      </c>
      <c r="D86" s="133">
        <v>25.23</v>
      </c>
      <c r="E86" s="133">
        <v>5.78</v>
      </c>
      <c r="F86" s="133">
        <v>2.92</v>
      </c>
      <c r="G86" s="133">
        <v>97.64</v>
      </c>
      <c r="H86" s="133">
        <v>32.46</v>
      </c>
      <c r="I86" s="133">
        <v>6.11</v>
      </c>
      <c r="J86" s="133">
        <v>0.17</v>
      </c>
      <c r="K86" s="133">
        <v>162.55000000000001</v>
      </c>
      <c r="L86" s="133">
        <v>26.68</v>
      </c>
      <c r="M86" s="133">
        <v>82.87</v>
      </c>
      <c r="N86" s="133">
        <v>0</v>
      </c>
      <c r="O86" s="133">
        <v>0</v>
      </c>
      <c r="P86" s="133">
        <v>0.82</v>
      </c>
      <c r="Q86" s="133">
        <v>4.95</v>
      </c>
    </row>
    <row r="87" spans="1:17" customFormat="1">
      <c r="A87" s="111" t="s">
        <v>2044</v>
      </c>
      <c r="B87" s="133">
        <v>11.31</v>
      </c>
      <c r="C87" s="133">
        <v>28.52</v>
      </c>
      <c r="D87" s="133">
        <v>25.32</v>
      </c>
      <c r="E87" s="133">
        <v>5.71</v>
      </c>
      <c r="F87" s="133">
        <v>2.79</v>
      </c>
      <c r="G87" s="133">
        <v>98.29</v>
      </c>
      <c r="H87" s="133">
        <v>32.67</v>
      </c>
      <c r="I87" s="133">
        <v>6.26</v>
      </c>
      <c r="J87" s="133">
        <v>0.1</v>
      </c>
      <c r="K87" s="133">
        <v>160.84</v>
      </c>
      <c r="L87" s="133">
        <v>26.42</v>
      </c>
      <c r="M87" s="133">
        <v>82.26</v>
      </c>
      <c r="N87" s="133">
        <v>0</v>
      </c>
      <c r="O87" s="133">
        <v>0</v>
      </c>
      <c r="P87" s="133">
        <v>0.85</v>
      </c>
      <c r="Q87" s="133">
        <v>4.96</v>
      </c>
    </row>
    <row r="88" spans="1:17" customFormat="1">
      <c r="A88" s="111" t="s">
        <v>2045</v>
      </c>
      <c r="B88" s="133">
        <v>11.65</v>
      </c>
      <c r="C88" s="133">
        <v>28.39</v>
      </c>
      <c r="D88" s="133">
        <v>25.53</v>
      </c>
      <c r="E88" s="133">
        <v>5.78</v>
      </c>
      <c r="F88" s="133">
        <v>2.7</v>
      </c>
      <c r="G88" s="133">
        <v>109.35</v>
      </c>
      <c r="H88" s="133">
        <v>35.89</v>
      </c>
      <c r="I88" s="133">
        <v>6.38</v>
      </c>
      <c r="J88" s="133">
        <v>0.13</v>
      </c>
      <c r="K88" s="133">
        <v>142.71</v>
      </c>
      <c r="L88" s="133">
        <v>26.31</v>
      </c>
      <c r="M88" s="133">
        <v>81.900000000000006</v>
      </c>
      <c r="N88" s="133">
        <v>0</v>
      </c>
      <c r="O88" s="133">
        <v>0</v>
      </c>
      <c r="P88" s="133">
        <v>0.86</v>
      </c>
      <c r="Q88" s="133">
        <v>4.9800000000000004</v>
      </c>
    </row>
    <row r="89" spans="1:17" customFormat="1">
      <c r="A89" s="111" t="s">
        <v>2046</v>
      </c>
      <c r="B89" s="133">
        <v>11.92</v>
      </c>
      <c r="C89" s="133">
        <v>27.99</v>
      </c>
      <c r="D89" s="133">
        <v>25.53</v>
      </c>
      <c r="E89" s="133">
        <v>6.05</v>
      </c>
      <c r="F89" s="133">
        <v>2.79</v>
      </c>
      <c r="G89" s="133">
        <v>109.35</v>
      </c>
      <c r="H89" s="133">
        <v>35.89</v>
      </c>
      <c r="I89" s="133">
        <v>6.5</v>
      </c>
      <c r="J89" s="133">
        <v>0.18</v>
      </c>
      <c r="K89" s="133">
        <v>193.44</v>
      </c>
      <c r="L89" s="133">
        <v>25.78</v>
      </c>
      <c r="M89" s="133">
        <v>88.97</v>
      </c>
      <c r="N89" s="133">
        <v>0</v>
      </c>
      <c r="O89" s="133">
        <v>0</v>
      </c>
      <c r="P89" s="133">
        <v>0.86</v>
      </c>
      <c r="Q89" s="133">
        <v>4.99</v>
      </c>
    </row>
    <row r="90" spans="1:17" customFormat="1">
      <c r="A90" s="111" t="s">
        <v>2047</v>
      </c>
      <c r="B90" s="133">
        <v>12.16</v>
      </c>
      <c r="C90" s="133">
        <v>27.19</v>
      </c>
      <c r="D90" s="133">
        <v>25.31</v>
      </c>
      <c r="E90" s="133">
        <v>5.84</v>
      </c>
      <c r="F90" s="133">
        <v>2.72</v>
      </c>
      <c r="G90" s="133">
        <v>109.35</v>
      </c>
      <c r="H90" s="133">
        <v>35.89</v>
      </c>
      <c r="I90" s="133">
        <v>6.58</v>
      </c>
      <c r="J90" s="133">
        <v>0.06</v>
      </c>
      <c r="K90" s="133">
        <v>106.45</v>
      </c>
      <c r="L90" s="133">
        <v>25.42</v>
      </c>
      <c r="M90" s="133">
        <v>89.73</v>
      </c>
      <c r="N90" s="133">
        <v>0</v>
      </c>
      <c r="O90" s="133">
        <v>0</v>
      </c>
      <c r="P90" s="133">
        <v>0.87</v>
      </c>
      <c r="Q90" s="133">
        <v>4.9800000000000004</v>
      </c>
    </row>
    <row r="91" spans="1:17" customFormat="1">
      <c r="A91" s="111" t="s">
        <v>2048</v>
      </c>
      <c r="B91" s="133">
        <v>13.01</v>
      </c>
      <c r="C91" s="133">
        <v>27.15</v>
      </c>
      <c r="D91" s="133">
        <v>25.97</v>
      </c>
      <c r="E91" s="133">
        <v>6.31</v>
      </c>
      <c r="F91" s="133">
        <v>2.71</v>
      </c>
      <c r="G91" s="133">
        <v>108.76</v>
      </c>
      <c r="H91" s="133">
        <v>35.9</v>
      </c>
      <c r="I91" s="133">
        <v>6.6</v>
      </c>
      <c r="J91" s="133">
        <v>0.11</v>
      </c>
      <c r="K91" s="133">
        <v>78.61</v>
      </c>
      <c r="L91" s="133">
        <v>25.73</v>
      </c>
      <c r="M91" s="133">
        <v>83.64</v>
      </c>
      <c r="N91" s="133">
        <v>0</v>
      </c>
      <c r="O91" s="133">
        <v>0</v>
      </c>
      <c r="P91" s="133">
        <v>0.88</v>
      </c>
      <c r="Q91" s="133">
        <v>5.03</v>
      </c>
    </row>
    <row r="92" spans="1:17" customFormat="1">
      <c r="A92" s="111" t="s">
        <v>2049</v>
      </c>
      <c r="B92" s="133">
        <v>14.03</v>
      </c>
      <c r="C92" s="133">
        <v>28.12</v>
      </c>
      <c r="D92" s="133">
        <v>27.29</v>
      </c>
      <c r="E92" s="133">
        <v>5.57</v>
      </c>
      <c r="F92" s="133">
        <v>2.65</v>
      </c>
      <c r="G92" s="133">
        <v>98.63</v>
      </c>
      <c r="H92" s="133">
        <v>36.049999999999997</v>
      </c>
      <c r="I92" s="133">
        <v>6.57</v>
      </c>
      <c r="J92" s="133">
        <v>0.15</v>
      </c>
      <c r="K92" s="133">
        <v>167.07</v>
      </c>
      <c r="L92" s="133">
        <v>25.66</v>
      </c>
      <c r="M92" s="133">
        <v>84.65</v>
      </c>
      <c r="N92" s="133">
        <v>0</v>
      </c>
      <c r="O92" s="133">
        <v>0</v>
      </c>
      <c r="P92" s="133">
        <v>0.9</v>
      </c>
      <c r="Q92" s="133">
        <v>5.04</v>
      </c>
    </row>
    <row r="93" spans="1:17" customFormat="1">
      <c r="A93" s="111" t="s">
        <v>2050</v>
      </c>
      <c r="B93" s="133">
        <v>14.26</v>
      </c>
      <c r="C93" s="133">
        <v>27.98</v>
      </c>
      <c r="D93" s="133">
        <v>27.4</v>
      </c>
      <c r="E93" s="133">
        <v>5.87</v>
      </c>
      <c r="F93" s="133">
        <v>2.74</v>
      </c>
      <c r="G93" s="133">
        <v>98.63</v>
      </c>
      <c r="H93" s="133">
        <v>36.049999999999997</v>
      </c>
      <c r="I93" s="133">
        <v>6.57</v>
      </c>
      <c r="J93" s="133">
        <v>0.08</v>
      </c>
      <c r="K93" s="133">
        <v>122.15</v>
      </c>
      <c r="L93" s="133">
        <v>25.52</v>
      </c>
      <c r="M93" s="133">
        <v>85.39</v>
      </c>
      <c r="N93" s="133">
        <v>0</v>
      </c>
      <c r="O93" s="133">
        <v>0</v>
      </c>
      <c r="P93" s="133">
        <v>0.9</v>
      </c>
      <c r="Q93" s="133">
        <v>5.05</v>
      </c>
    </row>
    <row r="94" spans="1:17" customFormat="1">
      <c r="A94" s="111" t="s">
        <v>2051</v>
      </c>
      <c r="B94" s="133">
        <v>14.45</v>
      </c>
      <c r="C94" s="133">
        <v>27.78</v>
      </c>
      <c r="D94" s="133">
        <v>27.45</v>
      </c>
      <c r="E94" s="133">
        <v>5.75</v>
      </c>
      <c r="F94" s="133">
        <v>2.71</v>
      </c>
      <c r="G94" s="133">
        <v>98.63</v>
      </c>
      <c r="H94" s="133">
        <v>36.049999999999997</v>
      </c>
      <c r="I94" s="133">
        <v>6.62</v>
      </c>
      <c r="J94" s="133">
        <v>0.11</v>
      </c>
      <c r="K94" s="133">
        <v>117.03</v>
      </c>
      <c r="L94" s="133">
        <v>25.55</v>
      </c>
      <c r="M94" s="133">
        <v>81.84</v>
      </c>
      <c r="N94" s="133">
        <v>0</v>
      </c>
      <c r="O94" s="133">
        <v>0</v>
      </c>
      <c r="P94" s="133">
        <v>0.9</v>
      </c>
      <c r="Q94" s="133">
        <v>5.09</v>
      </c>
    </row>
    <row r="95" spans="1:17" customFormat="1">
      <c r="A95" s="111" t="s">
        <v>2052</v>
      </c>
      <c r="B95" s="133">
        <v>14.76</v>
      </c>
      <c r="C95" s="133">
        <v>27.73</v>
      </c>
      <c r="D95" s="133">
        <v>27.68</v>
      </c>
      <c r="E95" s="133">
        <v>6.15</v>
      </c>
      <c r="F95" s="133">
        <v>2.63</v>
      </c>
      <c r="G95" s="133">
        <v>99.07</v>
      </c>
      <c r="H95" s="133">
        <v>36.19</v>
      </c>
      <c r="I95" s="133">
        <v>6.62</v>
      </c>
      <c r="J95" s="133">
        <v>0.13</v>
      </c>
      <c r="K95" s="133">
        <v>168.25</v>
      </c>
      <c r="L95" s="133">
        <v>25.41</v>
      </c>
      <c r="M95" s="133">
        <v>81.98</v>
      </c>
      <c r="N95" s="133">
        <v>0</v>
      </c>
      <c r="O95" s="133">
        <v>0</v>
      </c>
      <c r="P95" s="133">
        <v>0.92</v>
      </c>
      <c r="Q95" s="133">
        <v>5.09</v>
      </c>
    </row>
    <row r="96" spans="1:17" customFormat="1">
      <c r="A96" s="111" t="s">
        <v>2053</v>
      </c>
      <c r="B96" s="133">
        <v>14.84</v>
      </c>
      <c r="C96" s="133">
        <v>28.03</v>
      </c>
      <c r="D96" s="133">
        <v>27.89</v>
      </c>
      <c r="E96" s="133">
        <v>5.88</v>
      </c>
      <c r="F96" s="133">
        <v>2.52</v>
      </c>
      <c r="G96" s="133">
        <v>106.55</v>
      </c>
      <c r="H96" s="133">
        <v>38.42</v>
      </c>
      <c r="I96" s="133">
        <v>6.76</v>
      </c>
      <c r="J96" s="133">
        <v>0.16</v>
      </c>
      <c r="K96" s="133">
        <v>171.6</v>
      </c>
      <c r="L96" s="133">
        <v>25.23</v>
      </c>
      <c r="M96" s="133">
        <v>85.4</v>
      </c>
      <c r="N96" s="133">
        <v>0</v>
      </c>
      <c r="O96" s="133">
        <v>0</v>
      </c>
      <c r="P96" s="133">
        <v>0.91</v>
      </c>
      <c r="Q96" s="133">
        <v>5.08</v>
      </c>
    </row>
    <row r="97" spans="1:22" customFormat="1">
      <c r="A97" s="111" t="s">
        <v>2054</v>
      </c>
      <c r="B97" s="133">
        <v>14.89</v>
      </c>
      <c r="C97" s="133">
        <v>28.4</v>
      </c>
      <c r="D97" s="133">
        <v>28.13</v>
      </c>
      <c r="E97" s="133">
        <v>5.96</v>
      </c>
      <c r="F97" s="133">
        <v>2.52</v>
      </c>
      <c r="G97" s="133">
        <v>106.55</v>
      </c>
      <c r="H97" s="133">
        <v>38.42</v>
      </c>
      <c r="I97" s="133">
        <v>6.91</v>
      </c>
      <c r="J97" s="133">
        <v>0.15</v>
      </c>
      <c r="K97" s="133">
        <v>203.2</v>
      </c>
      <c r="L97" s="133">
        <v>24.75</v>
      </c>
      <c r="M97" s="133">
        <v>92.98</v>
      </c>
      <c r="N97" s="133">
        <v>0</v>
      </c>
      <c r="O97" s="133">
        <v>0</v>
      </c>
      <c r="P97" s="133">
        <v>0.91</v>
      </c>
      <c r="Q97" s="133">
        <v>5.08</v>
      </c>
    </row>
    <row r="98" spans="1:22" customFormat="1">
      <c r="A98" s="111" t="s">
        <v>2055</v>
      </c>
      <c r="B98" s="133">
        <v>15.52</v>
      </c>
      <c r="C98" s="133">
        <v>26.78</v>
      </c>
      <c r="D98" s="133">
        <v>27.79</v>
      </c>
      <c r="E98" s="133">
        <v>5.66</v>
      </c>
      <c r="F98" s="133">
        <v>2.79</v>
      </c>
      <c r="G98" s="133">
        <v>106.55</v>
      </c>
      <c r="H98" s="133">
        <v>38.42</v>
      </c>
      <c r="I98" s="133">
        <v>7.04</v>
      </c>
      <c r="J98" s="133">
        <v>0.16</v>
      </c>
      <c r="K98" s="133">
        <v>206.62</v>
      </c>
      <c r="L98" s="133">
        <v>24.42</v>
      </c>
      <c r="M98" s="133">
        <v>91.05</v>
      </c>
      <c r="N98" s="133">
        <v>0</v>
      </c>
      <c r="O98" s="133">
        <v>0</v>
      </c>
      <c r="P98" s="133">
        <v>0.9</v>
      </c>
      <c r="Q98" s="133">
        <v>5.09</v>
      </c>
    </row>
    <row r="99" spans="1:22" customFormat="1">
      <c r="A99" s="111" t="s">
        <v>2056</v>
      </c>
      <c r="B99" s="133">
        <v>15.95</v>
      </c>
      <c r="C99" s="133">
        <v>22.6</v>
      </c>
      <c r="D99" s="133">
        <v>25.95</v>
      </c>
      <c r="E99" s="133">
        <v>5.01</v>
      </c>
      <c r="F99" s="133">
        <v>3.1</v>
      </c>
      <c r="G99" s="133">
        <v>105.67</v>
      </c>
      <c r="H99" s="133">
        <v>38.19</v>
      </c>
      <c r="I99" s="133">
        <v>7.08</v>
      </c>
      <c r="J99" s="133">
        <v>0.03</v>
      </c>
      <c r="K99" s="133">
        <v>97.27</v>
      </c>
      <c r="L99" s="133">
        <v>24.15</v>
      </c>
      <c r="M99" s="133">
        <v>92</v>
      </c>
      <c r="N99" s="133">
        <v>0</v>
      </c>
      <c r="O99" s="133">
        <v>0</v>
      </c>
      <c r="P99" s="133">
        <v>0.87</v>
      </c>
      <c r="Q99" s="133">
        <v>5.08</v>
      </c>
    </row>
    <row r="100" spans="1:22" customFormat="1">
      <c r="A100" s="111" t="s">
        <v>2057</v>
      </c>
      <c r="B100" s="133">
        <v>16.649999999999999</v>
      </c>
      <c r="C100" s="133">
        <v>20.100000000000001</v>
      </c>
      <c r="D100" s="133">
        <v>25.21</v>
      </c>
      <c r="E100" s="133">
        <v>4.5599999999999996</v>
      </c>
      <c r="F100" s="133">
        <v>3.07</v>
      </c>
      <c r="G100" s="133">
        <v>90.72</v>
      </c>
      <c r="H100" s="133">
        <v>34.57</v>
      </c>
      <c r="I100" s="133">
        <v>7.05</v>
      </c>
      <c r="J100" s="133">
        <v>0.08</v>
      </c>
      <c r="K100" s="133">
        <v>72.13</v>
      </c>
      <c r="L100" s="133">
        <v>24.25</v>
      </c>
      <c r="M100" s="133">
        <v>89.76</v>
      </c>
      <c r="N100" s="133">
        <v>0</v>
      </c>
      <c r="O100" s="133">
        <v>0</v>
      </c>
      <c r="P100" s="133">
        <v>0.85</v>
      </c>
      <c r="Q100" s="133">
        <v>5.09</v>
      </c>
    </row>
    <row r="101" spans="1:22" customFormat="1">
      <c r="A101" s="111" t="s">
        <v>2058</v>
      </c>
      <c r="B101" s="133">
        <v>18.18</v>
      </c>
      <c r="C101" s="133">
        <v>19.21</v>
      </c>
      <c r="D101" s="133">
        <v>25.97</v>
      </c>
      <c r="E101" s="133">
        <v>4.5999999999999996</v>
      </c>
      <c r="F101" s="133">
        <v>2.79</v>
      </c>
      <c r="G101" s="133">
        <v>90.72</v>
      </c>
      <c r="H101" s="133">
        <v>34.57</v>
      </c>
      <c r="I101" s="133">
        <v>7.01</v>
      </c>
      <c r="J101" s="133">
        <v>0.08</v>
      </c>
      <c r="K101" s="133">
        <v>147.80000000000001</v>
      </c>
      <c r="L101" s="133">
        <v>24.39</v>
      </c>
      <c r="M101" s="133">
        <v>87.83</v>
      </c>
      <c r="N101" s="133">
        <v>0</v>
      </c>
      <c r="O101" s="133">
        <v>0</v>
      </c>
      <c r="P101" s="133">
        <v>0.85</v>
      </c>
      <c r="Q101" s="133">
        <v>5.1100000000000003</v>
      </c>
    </row>
    <row r="102" spans="1:22" customFormat="1">
      <c r="A102" s="111" t="s">
        <v>2059</v>
      </c>
      <c r="B102" s="133">
        <v>19.36</v>
      </c>
      <c r="C102" s="133">
        <v>18.8</v>
      </c>
      <c r="D102" s="133">
        <v>26.7</v>
      </c>
      <c r="E102" s="133">
        <v>4.76</v>
      </c>
      <c r="F102" s="133">
        <v>2.73</v>
      </c>
      <c r="G102" s="133">
        <v>90.72</v>
      </c>
      <c r="H102" s="133">
        <v>34.57</v>
      </c>
      <c r="I102" s="133">
        <v>7.03</v>
      </c>
      <c r="J102" s="133">
        <v>0.09</v>
      </c>
      <c r="K102" s="133">
        <v>235.65</v>
      </c>
      <c r="L102" s="133">
        <v>24.29</v>
      </c>
      <c r="M102" s="133">
        <v>87.26</v>
      </c>
      <c r="N102" s="133">
        <v>0</v>
      </c>
      <c r="O102" s="133">
        <v>0</v>
      </c>
      <c r="P102" s="133">
        <v>0.84</v>
      </c>
      <c r="Q102" s="133">
        <v>5.16</v>
      </c>
    </row>
    <row r="103" spans="1:22" customFormat="1">
      <c r="A103" s="111" t="s">
        <v>2060</v>
      </c>
      <c r="B103" s="133">
        <v>20.079999999999998</v>
      </c>
      <c r="C103" s="133">
        <v>20.88</v>
      </c>
      <c r="D103" s="133">
        <v>28.36</v>
      </c>
      <c r="E103" s="133">
        <v>4.43</v>
      </c>
      <c r="F103" s="133">
        <v>2.6</v>
      </c>
      <c r="G103" s="133">
        <v>90.72</v>
      </c>
      <c r="H103" s="133">
        <v>34.6</v>
      </c>
      <c r="I103" s="133">
        <v>7.03</v>
      </c>
      <c r="J103" s="133">
        <v>0.14000000000000001</v>
      </c>
      <c r="K103" s="133">
        <v>181.24</v>
      </c>
      <c r="L103" s="133">
        <v>24.15</v>
      </c>
      <c r="M103" s="133">
        <v>87.86</v>
      </c>
      <c r="N103" s="133">
        <v>0</v>
      </c>
      <c r="O103" s="133">
        <v>0</v>
      </c>
      <c r="P103" s="133">
        <v>0.87</v>
      </c>
      <c r="Q103" s="133">
        <v>5.17</v>
      </c>
    </row>
    <row r="104" spans="1:22" customFormat="1">
      <c r="A104" s="111" t="s">
        <v>2061</v>
      </c>
      <c r="B104" s="133">
        <v>20.75</v>
      </c>
      <c r="C104" s="133">
        <v>20.87</v>
      </c>
      <c r="D104" s="133">
        <v>28.89</v>
      </c>
      <c r="E104" s="133">
        <v>4.78</v>
      </c>
      <c r="F104" s="133">
        <v>2.61</v>
      </c>
      <c r="G104" s="133">
        <v>90.68</v>
      </c>
      <c r="H104" s="133">
        <v>35.07</v>
      </c>
      <c r="I104" s="133">
        <v>7.1</v>
      </c>
      <c r="J104" s="133">
        <v>0.09</v>
      </c>
      <c r="K104" s="133">
        <v>122.09</v>
      </c>
      <c r="L104" s="133">
        <v>24.24</v>
      </c>
      <c r="M104" s="133">
        <v>88.12</v>
      </c>
      <c r="N104" s="133">
        <v>0</v>
      </c>
      <c r="O104" s="133">
        <v>0</v>
      </c>
      <c r="P104" s="133">
        <v>0.87</v>
      </c>
      <c r="Q104" s="133">
        <v>5.22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3.49</v>
      </c>
      <c r="C106" s="183">
        <f>MIN(C9:C104)</f>
        <v>18.47</v>
      </c>
      <c r="D106" s="183">
        <f t="shared" ref="D106:Q106" si="0">MIN(D9:D104)</f>
        <v>14.57</v>
      </c>
      <c r="E106" s="183">
        <f t="shared" si="0"/>
        <v>2.2400000000000002</v>
      </c>
      <c r="F106" s="183">
        <f t="shared" si="0"/>
        <v>2.31</v>
      </c>
      <c r="G106" s="183">
        <f t="shared" si="0"/>
        <v>48.63</v>
      </c>
      <c r="H106" s="183">
        <f t="shared" si="0"/>
        <v>17.71</v>
      </c>
      <c r="I106" s="183">
        <f t="shared" si="0"/>
        <v>3.9</v>
      </c>
      <c r="J106" s="183">
        <f t="shared" si="0"/>
        <v>0.03</v>
      </c>
      <c r="K106" s="183">
        <f t="shared" si="0"/>
        <v>2.21</v>
      </c>
      <c r="L106" s="183">
        <f t="shared" si="0"/>
        <v>22.88</v>
      </c>
      <c r="M106" s="183">
        <f t="shared" si="0"/>
        <v>54.09</v>
      </c>
      <c r="N106" s="183">
        <f t="shared" si="0"/>
        <v>0</v>
      </c>
      <c r="O106" s="183">
        <f t="shared" si="0"/>
        <v>0</v>
      </c>
      <c r="P106" s="183">
        <f t="shared" si="0"/>
        <v>0.54</v>
      </c>
      <c r="Q106" s="183">
        <f t="shared" si="0"/>
        <v>-0.26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37.83</v>
      </c>
      <c r="C107" s="184">
        <f t="shared" ref="C107:Q107" si="1">MAX(C9:C104)</f>
        <v>34.39</v>
      </c>
      <c r="D107" s="184">
        <f t="shared" si="1"/>
        <v>48.6</v>
      </c>
      <c r="E107" s="184">
        <f t="shared" si="1"/>
        <v>26.26</v>
      </c>
      <c r="F107" s="184">
        <f t="shared" si="1"/>
        <v>18.98</v>
      </c>
      <c r="G107" s="184">
        <f t="shared" si="1"/>
        <v>109.35</v>
      </c>
      <c r="H107" s="184">
        <f t="shared" si="1"/>
        <v>38.42</v>
      </c>
      <c r="I107" s="184">
        <f t="shared" si="1"/>
        <v>11.54</v>
      </c>
      <c r="J107" s="184">
        <f t="shared" si="1"/>
        <v>0.65</v>
      </c>
      <c r="K107" s="184">
        <f t="shared" si="1"/>
        <v>235.65</v>
      </c>
      <c r="L107" s="184">
        <f t="shared" si="1"/>
        <v>32.1</v>
      </c>
      <c r="M107" s="184">
        <f t="shared" si="1"/>
        <v>108.27</v>
      </c>
      <c r="N107" s="184">
        <f t="shared" si="1"/>
        <v>625.70000000000005</v>
      </c>
      <c r="O107" s="184">
        <f t="shared" si="1"/>
        <v>0</v>
      </c>
      <c r="P107" s="184">
        <f t="shared" si="1"/>
        <v>0.92</v>
      </c>
      <c r="Q107" s="184">
        <f t="shared" si="1"/>
        <v>6.36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20.653541666666673</v>
      </c>
      <c r="C108" s="183">
        <f t="shared" ref="C108:Q108" si="2">AVERAGE(C9:C104)</f>
        <v>25.710312500000011</v>
      </c>
      <c r="D108" s="183">
        <f t="shared" si="2"/>
        <v>31.346666666666664</v>
      </c>
      <c r="E108" s="183">
        <f t="shared" si="2"/>
        <v>8.7526041666666661</v>
      </c>
      <c r="F108" s="183">
        <f t="shared" si="2"/>
        <v>5.2934375000000014</v>
      </c>
      <c r="G108" s="183">
        <f t="shared" si="2"/>
        <v>82.029101123595524</v>
      </c>
      <c r="H108" s="183">
        <f t="shared" si="2"/>
        <v>29.896179775280917</v>
      </c>
      <c r="I108" s="183">
        <f t="shared" si="2"/>
        <v>7.3793749999999996</v>
      </c>
      <c r="J108" s="183">
        <f t="shared" si="2"/>
        <v>0.26635416666666661</v>
      </c>
      <c r="K108" s="183">
        <f t="shared" si="2"/>
        <v>85.394583333333301</v>
      </c>
      <c r="L108" s="183">
        <f t="shared" si="2"/>
        <v>26.838541666666661</v>
      </c>
      <c r="M108" s="183">
        <f t="shared" si="2"/>
        <v>79.750416666666666</v>
      </c>
      <c r="N108" s="183">
        <f t="shared" si="2"/>
        <v>135.66250000000002</v>
      </c>
      <c r="O108" s="183">
        <f t="shared" si="2"/>
        <v>0</v>
      </c>
      <c r="P108" s="183">
        <f t="shared" si="2"/>
        <v>0.78010416666666682</v>
      </c>
      <c r="Q108" s="183">
        <f t="shared" si="2"/>
        <v>5.1089583333333328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12.424551160307059</v>
      </c>
      <c r="C109" s="183">
        <f t="shared" ref="C109:Q109" si="3">STDEV(C9:C104)</f>
        <v>4.2898076151500826</v>
      </c>
      <c r="D109" s="183">
        <f t="shared" si="3"/>
        <v>10.557291884277175</v>
      </c>
      <c r="E109" s="183">
        <f t="shared" si="3"/>
        <v>4.4357970255854839</v>
      </c>
      <c r="F109" s="183">
        <f t="shared" si="3"/>
        <v>4.4755753121805464</v>
      </c>
      <c r="G109" s="183">
        <f t="shared" si="3"/>
        <v>15.453503915738638</v>
      </c>
      <c r="H109" s="183">
        <f t="shared" si="3"/>
        <v>5.2285667481671458</v>
      </c>
      <c r="I109" s="183">
        <f t="shared" si="3"/>
        <v>2.1720157082401848</v>
      </c>
      <c r="J109" s="183">
        <f t="shared" si="3"/>
        <v>0.17062189525483243</v>
      </c>
      <c r="K109" s="183">
        <f t="shared" si="3"/>
        <v>61.829343040963984</v>
      </c>
      <c r="L109" s="183">
        <f t="shared" si="3"/>
        <v>3.0778594677972571</v>
      </c>
      <c r="M109" s="183">
        <f t="shared" si="3"/>
        <v>15.403502876852224</v>
      </c>
      <c r="N109" s="183">
        <f t="shared" si="3"/>
        <v>203.25747179896061</v>
      </c>
      <c r="O109" s="183">
        <f t="shared" si="3"/>
        <v>0</v>
      </c>
      <c r="P109" s="183">
        <f t="shared" si="3"/>
        <v>0.11549887027624008</v>
      </c>
      <c r="Q109" s="183">
        <f t="shared" si="3"/>
        <v>1.2423174263123364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20/10/2023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2062</v>
      </c>
      <c r="B9" s="133">
        <v>20.54</v>
      </c>
      <c r="C9" s="133">
        <v>19.27</v>
      </c>
      <c r="D9" s="133">
        <v>27.89</v>
      </c>
      <c r="E9" s="133">
        <v>4.55</v>
      </c>
      <c r="F9" s="133">
        <v>2.74</v>
      </c>
      <c r="G9" s="133">
        <v>90.68</v>
      </c>
      <c r="H9" s="133">
        <v>35.07</v>
      </c>
      <c r="I9" s="133">
        <v>7.26</v>
      </c>
      <c r="J9" s="133">
        <v>0.13</v>
      </c>
      <c r="K9" s="133">
        <v>33.03</v>
      </c>
      <c r="L9" s="133">
        <v>24.25</v>
      </c>
      <c r="M9" s="133">
        <v>86.9</v>
      </c>
      <c r="N9" s="133">
        <v>0</v>
      </c>
      <c r="O9" s="133">
        <v>0</v>
      </c>
      <c r="P9" s="133">
        <v>0.86</v>
      </c>
      <c r="Q9" s="133">
        <v>5.25</v>
      </c>
    </row>
    <row r="10" spans="1:21" customFormat="1">
      <c r="A10" s="111" t="s">
        <v>2063</v>
      </c>
      <c r="B10" s="133">
        <v>21.12</v>
      </c>
      <c r="C10" s="133">
        <v>20.95</v>
      </c>
      <c r="D10" s="133">
        <v>29.23</v>
      </c>
      <c r="E10" s="133">
        <v>4.51</v>
      </c>
      <c r="F10" s="133">
        <v>2.48</v>
      </c>
      <c r="G10" s="133">
        <v>90.68</v>
      </c>
      <c r="H10" s="133">
        <v>35.07</v>
      </c>
      <c r="I10" s="133">
        <v>7.33</v>
      </c>
      <c r="J10" s="133">
        <v>0.13</v>
      </c>
      <c r="K10" s="133">
        <v>10.53</v>
      </c>
      <c r="L10" s="133">
        <v>24.35</v>
      </c>
      <c r="M10" s="133">
        <v>86.37</v>
      </c>
      <c r="N10" s="133">
        <v>0</v>
      </c>
      <c r="O10" s="133">
        <v>0</v>
      </c>
      <c r="P10" s="133">
        <v>0.87</v>
      </c>
      <c r="Q10" s="133">
        <v>5.26</v>
      </c>
    </row>
    <row r="11" spans="1:21" customFormat="1">
      <c r="A11" s="111" t="s">
        <v>2064</v>
      </c>
      <c r="B11" s="133">
        <v>21.76</v>
      </c>
      <c r="C11" s="133">
        <v>19.75</v>
      </c>
      <c r="D11" s="133">
        <v>29.12</v>
      </c>
      <c r="E11" s="133">
        <v>4.3</v>
      </c>
      <c r="F11" s="133">
        <v>2.61</v>
      </c>
      <c r="G11" s="133">
        <v>90.37</v>
      </c>
      <c r="H11" s="133">
        <v>35.31</v>
      </c>
      <c r="I11" s="133">
        <v>7.39</v>
      </c>
      <c r="J11" s="133">
        <v>0.11</v>
      </c>
      <c r="K11" s="133">
        <v>60.57</v>
      </c>
      <c r="L11" s="133">
        <v>24.33</v>
      </c>
      <c r="M11" s="133">
        <v>87.44</v>
      </c>
      <c r="N11" s="133">
        <v>0</v>
      </c>
      <c r="O11" s="133">
        <v>0</v>
      </c>
      <c r="P11" s="133">
        <v>0.87</v>
      </c>
      <c r="Q11" s="133">
        <v>5.3</v>
      </c>
    </row>
    <row r="12" spans="1:21" customFormat="1">
      <c r="A12" s="111" t="s">
        <v>2065</v>
      </c>
      <c r="B12" s="133">
        <v>22.1</v>
      </c>
      <c r="C12" s="133">
        <v>19.22</v>
      </c>
      <c r="D12" s="133">
        <v>29.12</v>
      </c>
      <c r="E12" s="133">
        <v>4.37</v>
      </c>
      <c r="F12" s="133">
        <v>2.64</v>
      </c>
      <c r="G12" s="133">
        <v>85.05</v>
      </c>
      <c r="H12" s="133">
        <v>38.94</v>
      </c>
      <c r="I12" s="133">
        <v>7.46</v>
      </c>
      <c r="J12" s="133">
        <v>0.26</v>
      </c>
      <c r="K12" s="133">
        <v>47.11</v>
      </c>
      <c r="L12" s="133">
        <v>24.46</v>
      </c>
      <c r="M12" s="133">
        <v>87.14</v>
      </c>
      <c r="N12" s="133">
        <v>0</v>
      </c>
      <c r="O12" s="133">
        <v>0</v>
      </c>
      <c r="P12" s="133">
        <v>0.87</v>
      </c>
      <c r="Q12" s="133">
        <v>5.33</v>
      </c>
    </row>
    <row r="13" spans="1:21" customFormat="1">
      <c r="A13" s="111" t="s">
        <v>2066</v>
      </c>
      <c r="B13" s="133">
        <v>22.38</v>
      </c>
      <c r="C13" s="133">
        <v>20.43</v>
      </c>
      <c r="D13" s="133">
        <v>29.97</v>
      </c>
      <c r="E13" s="133">
        <v>4.59</v>
      </c>
      <c r="F13" s="133">
        <v>2.38</v>
      </c>
      <c r="G13" s="133">
        <v>85.05</v>
      </c>
      <c r="H13" s="133">
        <v>38.94</v>
      </c>
      <c r="I13" s="133">
        <v>7.47</v>
      </c>
      <c r="J13" s="133">
        <v>0.18</v>
      </c>
      <c r="K13" s="133">
        <v>56.72</v>
      </c>
      <c r="L13" s="133">
        <v>24.55</v>
      </c>
      <c r="M13" s="133">
        <v>86.18</v>
      </c>
      <c r="N13" s="133">
        <v>0</v>
      </c>
      <c r="O13" s="133">
        <v>0</v>
      </c>
      <c r="P13" s="133">
        <v>0.88</v>
      </c>
      <c r="Q13" s="133">
        <v>5.35</v>
      </c>
    </row>
    <row r="14" spans="1:21" customFormat="1">
      <c r="A14" s="111" t="s">
        <v>2067</v>
      </c>
      <c r="B14" s="133">
        <v>22.52</v>
      </c>
      <c r="C14" s="133">
        <v>18.989999999999998</v>
      </c>
      <c r="D14" s="133">
        <v>29.33</v>
      </c>
      <c r="E14" s="133">
        <v>4.33</v>
      </c>
      <c r="F14" s="133">
        <v>2.82</v>
      </c>
      <c r="G14" s="133">
        <v>85.05</v>
      </c>
      <c r="H14" s="133">
        <v>38.94</v>
      </c>
      <c r="I14" s="133">
        <v>7.49</v>
      </c>
      <c r="J14" s="133">
        <v>0.26</v>
      </c>
      <c r="K14" s="133">
        <v>44.46</v>
      </c>
      <c r="L14" s="133">
        <v>24.36</v>
      </c>
      <c r="M14" s="133">
        <v>86.24</v>
      </c>
      <c r="N14" s="133">
        <v>0</v>
      </c>
      <c r="O14" s="133">
        <v>0</v>
      </c>
      <c r="P14" s="133">
        <v>0.86</v>
      </c>
      <c r="Q14" s="133">
        <v>5.36</v>
      </c>
    </row>
    <row r="15" spans="1:21" customFormat="1">
      <c r="A15" s="111" t="s">
        <v>2068</v>
      </c>
      <c r="B15" s="133">
        <v>22.39</v>
      </c>
      <c r="C15" s="133">
        <v>19.05</v>
      </c>
      <c r="D15" s="133">
        <v>29.26</v>
      </c>
      <c r="E15" s="133">
        <v>4.07</v>
      </c>
      <c r="F15" s="133">
        <v>2.76</v>
      </c>
      <c r="G15" s="133">
        <v>85.13</v>
      </c>
      <c r="H15" s="133">
        <v>38.83</v>
      </c>
      <c r="I15" s="133">
        <v>7.75</v>
      </c>
      <c r="J15" s="133">
        <v>0.22</v>
      </c>
      <c r="K15" s="133">
        <v>57.05</v>
      </c>
      <c r="L15" s="133">
        <v>24.13</v>
      </c>
      <c r="M15" s="133">
        <v>86.75</v>
      </c>
      <c r="N15" s="133">
        <v>0</v>
      </c>
      <c r="O15" s="133">
        <v>0</v>
      </c>
      <c r="P15" s="133">
        <v>0.87</v>
      </c>
      <c r="Q15" s="133">
        <v>5.33</v>
      </c>
    </row>
    <row r="16" spans="1:21" customFormat="1">
      <c r="A16" s="111" t="s">
        <v>2069</v>
      </c>
      <c r="B16" s="133">
        <v>22.36</v>
      </c>
      <c r="C16" s="133">
        <v>20.28</v>
      </c>
      <c r="D16" s="133">
        <v>29.88</v>
      </c>
      <c r="E16" s="133">
        <v>4.47</v>
      </c>
      <c r="F16" s="133">
        <v>2.54</v>
      </c>
      <c r="G16" s="133">
        <v>86.91</v>
      </c>
      <c r="H16" s="133">
        <v>37.17</v>
      </c>
      <c r="I16" s="133">
        <v>7.8</v>
      </c>
      <c r="J16" s="133">
        <v>0.35</v>
      </c>
      <c r="K16" s="133">
        <v>35.75</v>
      </c>
      <c r="L16" s="133">
        <v>23.88</v>
      </c>
      <c r="M16" s="133">
        <v>87.06</v>
      </c>
      <c r="N16" s="133">
        <v>0</v>
      </c>
      <c r="O16" s="133">
        <v>0</v>
      </c>
      <c r="P16" s="133">
        <v>0.87</v>
      </c>
      <c r="Q16" s="133">
        <v>5.31</v>
      </c>
    </row>
    <row r="17" spans="1:17" customFormat="1">
      <c r="A17" s="111" t="s">
        <v>2070</v>
      </c>
      <c r="B17" s="133">
        <v>22.54</v>
      </c>
      <c r="C17" s="133">
        <v>18.829999999999998</v>
      </c>
      <c r="D17" s="133">
        <v>29.26</v>
      </c>
      <c r="E17" s="133">
        <v>5.14</v>
      </c>
      <c r="F17" s="133">
        <v>2.73</v>
      </c>
      <c r="G17" s="133">
        <v>86.91</v>
      </c>
      <c r="H17" s="133">
        <v>37.17</v>
      </c>
      <c r="I17" s="133">
        <v>7.74</v>
      </c>
      <c r="J17" s="133">
        <v>0.31</v>
      </c>
      <c r="K17" s="133">
        <v>25.61</v>
      </c>
      <c r="L17" s="133">
        <v>23.75</v>
      </c>
      <c r="M17" s="133">
        <v>87.3</v>
      </c>
      <c r="N17" s="133">
        <v>0</v>
      </c>
      <c r="O17" s="133">
        <v>0</v>
      </c>
      <c r="P17" s="133">
        <v>0.85</v>
      </c>
      <c r="Q17" s="133">
        <v>5.36</v>
      </c>
    </row>
    <row r="18" spans="1:17" customFormat="1">
      <c r="A18" s="111" t="s">
        <v>2071</v>
      </c>
      <c r="B18" s="133">
        <v>22.71</v>
      </c>
      <c r="C18" s="133">
        <v>18.95</v>
      </c>
      <c r="D18" s="133">
        <v>29.46</v>
      </c>
      <c r="E18" s="133">
        <v>6.11</v>
      </c>
      <c r="F18" s="133">
        <v>2.71</v>
      </c>
      <c r="G18" s="133">
        <v>86.91</v>
      </c>
      <c r="H18" s="133">
        <v>37.17</v>
      </c>
      <c r="I18" s="133">
        <v>7.7</v>
      </c>
      <c r="J18" s="133">
        <v>0.41</v>
      </c>
      <c r="K18" s="133">
        <v>37.67</v>
      </c>
      <c r="L18" s="133">
        <v>23.65</v>
      </c>
      <c r="M18" s="133">
        <v>87.2</v>
      </c>
      <c r="N18" s="133">
        <v>0</v>
      </c>
      <c r="O18" s="133">
        <v>0</v>
      </c>
      <c r="P18" s="133">
        <v>0.84</v>
      </c>
      <c r="Q18" s="133">
        <v>5.34</v>
      </c>
    </row>
    <row r="19" spans="1:17" customFormat="1">
      <c r="A19" s="111" t="s">
        <v>2072</v>
      </c>
      <c r="B19" s="133">
        <v>22.66</v>
      </c>
      <c r="C19" s="133">
        <v>19.86</v>
      </c>
      <c r="D19" s="133">
        <v>29.9</v>
      </c>
      <c r="E19" s="133">
        <v>5.74</v>
      </c>
      <c r="F19" s="133">
        <v>2.63</v>
      </c>
      <c r="G19" s="133">
        <v>87.12</v>
      </c>
      <c r="H19" s="133">
        <v>37.1</v>
      </c>
      <c r="I19" s="133">
        <v>7.63</v>
      </c>
      <c r="J19" s="133">
        <v>0.28000000000000003</v>
      </c>
      <c r="K19" s="133">
        <v>42.08</v>
      </c>
      <c r="L19" s="133">
        <v>23.52</v>
      </c>
      <c r="M19" s="133">
        <v>87.62</v>
      </c>
      <c r="N19" s="133">
        <v>0</v>
      </c>
      <c r="O19" s="133">
        <v>0</v>
      </c>
      <c r="P19" s="133">
        <v>0.85</v>
      </c>
      <c r="Q19" s="133">
        <v>5.34</v>
      </c>
    </row>
    <row r="20" spans="1:17" customFormat="1">
      <c r="A20" s="111" t="s">
        <v>2073</v>
      </c>
      <c r="B20" s="133">
        <v>22.76</v>
      </c>
      <c r="C20" s="133">
        <v>18.8</v>
      </c>
      <c r="D20" s="133">
        <v>29.43</v>
      </c>
      <c r="E20" s="133">
        <v>6</v>
      </c>
      <c r="F20" s="133">
        <v>2.74</v>
      </c>
      <c r="G20" s="133">
        <v>91.55</v>
      </c>
      <c r="H20" s="133">
        <v>35.869999999999997</v>
      </c>
      <c r="I20" s="133">
        <v>7.56</v>
      </c>
      <c r="J20" s="133">
        <v>0.28999999999999998</v>
      </c>
      <c r="K20" s="133">
        <v>43.88</v>
      </c>
      <c r="L20" s="133">
        <v>23.35</v>
      </c>
      <c r="M20" s="133">
        <v>88.59</v>
      </c>
      <c r="N20" s="133">
        <v>0</v>
      </c>
      <c r="O20" s="133">
        <v>0</v>
      </c>
      <c r="P20" s="133">
        <v>0.84</v>
      </c>
      <c r="Q20" s="133">
        <v>5.35</v>
      </c>
    </row>
    <row r="21" spans="1:17" customFormat="1">
      <c r="A21" s="111" t="s">
        <v>2074</v>
      </c>
      <c r="B21" s="133">
        <v>22.56</v>
      </c>
      <c r="C21" s="133">
        <v>19.37</v>
      </c>
      <c r="D21" s="133">
        <v>29.57</v>
      </c>
      <c r="E21" s="133">
        <v>5.88</v>
      </c>
      <c r="F21" s="133">
        <v>2.65</v>
      </c>
      <c r="G21" s="133">
        <v>91.55</v>
      </c>
      <c r="H21" s="133">
        <v>35.869999999999997</v>
      </c>
      <c r="I21" s="133">
        <v>7.52</v>
      </c>
      <c r="J21" s="133">
        <v>0.13</v>
      </c>
      <c r="K21" s="133">
        <v>86.57</v>
      </c>
      <c r="L21" s="133">
        <v>23.22</v>
      </c>
      <c r="M21" s="133">
        <v>89.84</v>
      </c>
      <c r="N21" s="133">
        <v>0</v>
      </c>
      <c r="O21" s="133">
        <v>0</v>
      </c>
      <c r="P21" s="133">
        <v>0.86</v>
      </c>
      <c r="Q21" s="133">
        <v>5.33</v>
      </c>
    </row>
    <row r="22" spans="1:17" customFormat="1">
      <c r="A22" s="111" t="s">
        <v>2075</v>
      </c>
      <c r="B22" s="133">
        <v>22.19</v>
      </c>
      <c r="C22" s="133">
        <v>20.18</v>
      </c>
      <c r="D22" s="133">
        <v>29.69</v>
      </c>
      <c r="E22" s="133">
        <v>6.39</v>
      </c>
      <c r="F22" s="133">
        <v>2.86</v>
      </c>
      <c r="G22" s="133">
        <v>91.55</v>
      </c>
      <c r="H22" s="133">
        <v>35.869999999999997</v>
      </c>
      <c r="I22" s="133">
        <v>7.43</v>
      </c>
      <c r="J22" s="133">
        <v>0.11</v>
      </c>
      <c r="K22" s="133">
        <v>159.06</v>
      </c>
      <c r="L22" s="133">
        <v>23.29</v>
      </c>
      <c r="M22" s="133">
        <v>90.16</v>
      </c>
      <c r="N22" s="133">
        <v>0</v>
      </c>
      <c r="O22" s="133">
        <v>0</v>
      </c>
      <c r="P22" s="133">
        <v>0.84</v>
      </c>
      <c r="Q22" s="133">
        <v>5.33</v>
      </c>
    </row>
    <row r="23" spans="1:17" customFormat="1">
      <c r="A23" s="111" t="s">
        <v>2076</v>
      </c>
      <c r="B23" s="133">
        <v>21.53</v>
      </c>
      <c r="C23" s="133">
        <v>20.87</v>
      </c>
      <c r="D23" s="133">
        <v>29.52</v>
      </c>
      <c r="E23" s="133">
        <v>5.82</v>
      </c>
      <c r="F23" s="133">
        <v>2.74</v>
      </c>
      <c r="G23" s="133">
        <v>91.2</v>
      </c>
      <c r="H23" s="133">
        <v>35.89</v>
      </c>
      <c r="I23" s="133">
        <v>7.35</v>
      </c>
      <c r="J23" s="133">
        <v>0.1</v>
      </c>
      <c r="K23" s="133">
        <v>174.99</v>
      </c>
      <c r="L23" s="133">
        <v>23.06</v>
      </c>
      <c r="M23" s="133">
        <v>91.99</v>
      </c>
      <c r="N23" s="133">
        <v>0</v>
      </c>
      <c r="O23" s="133">
        <v>0</v>
      </c>
      <c r="P23" s="133">
        <v>0.85</v>
      </c>
      <c r="Q23" s="133">
        <v>5.33</v>
      </c>
    </row>
    <row r="24" spans="1:17" customFormat="1">
      <c r="A24" s="111" t="s">
        <v>2077</v>
      </c>
      <c r="B24" s="133">
        <v>21.06</v>
      </c>
      <c r="C24" s="133">
        <v>21.19</v>
      </c>
      <c r="D24" s="133">
        <v>29.31</v>
      </c>
      <c r="E24" s="133">
        <v>6.32</v>
      </c>
      <c r="F24" s="133">
        <v>2.75</v>
      </c>
      <c r="G24" s="133">
        <v>83.57</v>
      </c>
      <c r="H24" s="133">
        <v>36.22</v>
      </c>
      <c r="I24" s="133">
        <v>7.26</v>
      </c>
      <c r="J24" s="133">
        <v>0.1</v>
      </c>
      <c r="K24" s="133">
        <v>216.92</v>
      </c>
      <c r="L24" s="133">
        <v>22.83</v>
      </c>
      <c r="M24" s="133">
        <v>95.46</v>
      </c>
      <c r="N24" s="133">
        <v>0</v>
      </c>
      <c r="O24" s="133">
        <v>0</v>
      </c>
      <c r="P24" s="133">
        <v>0.84</v>
      </c>
      <c r="Q24" s="133">
        <v>5.29</v>
      </c>
    </row>
    <row r="25" spans="1:17" customFormat="1">
      <c r="A25" s="111" t="s">
        <v>2078</v>
      </c>
      <c r="B25" s="133">
        <v>21.08</v>
      </c>
      <c r="C25" s="133">
        <v>21.48</v>
      </c>
      <c r="D25" s="133">
        <v>29.48</v>
      </c>
      <c r="E25" s="133">
        <v>6.61</v>
      </c>
      <c r="F25" s="133">
        <v>2.81</v>
      </c>
      <c r="G25" s="133">
        <v>83.57</v>
      </c>
      <c r="H25" s="133">
        <v>36.22</v>
      </c>
      <c r="I25" s="133">
        <v>7.15</v>
      </c>
      <c r="J25" s="133">
        <v>0.12</v>
      </c>
      <c r="K25" s="133">
        <v>190.49</v>
      </c>
      <c r="L25" s="133">
        <v>22.7</v>
      </c>
      <c r="M25" s="133">
        <v>100.42</v>
      </c>
      <c r="N25" s="133">
        <v>0</v>
      </c>
      <c r="O25" s="133">
        <v>0</v>
      </c>
      <c r="P25" s="133">
        <v>0.83</v>
      </c>
      <c r="Q25" s="133">
        <v>5.3</v>
      </c>
    </row>
    <row r="26" spans="1:17" customFormat="1">
      <c r="A26" s="111" t="s">
        <v>2079</v>
      </c>
      <c r="B26" s="133">
        <v>21.62</v>
      </c>
      <c r="C26" s="133">
        <v>22.24</v>
      </c>
      <c r="D26" s="133">
        <v>30.31</v>
      </c>
      <c r="E26" s="133">
        <v>6</v>
      </c>
      <c r="F26" s="133">
        <v>2.75</v>
      </c>
      <c r="G26" s="133">
        <v>83.57</v>
      </c>
      <c r="H26" s="133">
        <v>36.22</v>
      </c>
      <c r="I26" s="133">
        <v>7.08</v>
      </c>
      <c r="J26" s="133">
        <v>0.15</v>
      </c>
      <c r="K26" s="133">
        <v>192.81</v>
      </c>
      <c r="L26" s="133">
        <v>22.65</v>
      </c>
      <c r="M26" s="133">
        <v>99.21</v>
      </c>
      <c r="N26" s="133">
        <v>0</v>
      </c>
      <c r="O26" s="133">
        <v>0</v>
      </c>
      <c r="P26" s="133">
        <v>0.83</v>
      </c>
      <c r="Q26" s="133">
        <v>5.31</v>
      </c>
    </row>
    <row r="27" spans="1:17" customFormat="1">
      <c r="A27" s="111" t="s">
        <v>2080</v>
      </c>
      <c r="B27" s="133">
        <v>21.54</v>
      </c>
      <c r="C27" s="133">
        <v>22.01</v>
      </c>
      <c r="D27" s="133">
        <v>30.12</v>
      </c>
      <c r="E27" s="133">
        <v>5.76</v>
      </c>
      <c r="F27" s="133">
        <v>2.69</v>
      </c>
      <c r="G27" s="133">
        <v>82.96</v>
      </c>
      <c r="H27" s="133">
        <v>36.130000000000003</v>
      </c>
      <c r="I27" s="133">
        <v>6.98</v>
      </c>
      <c r="J27" s="133">
        <v>0.1</v>
      </c>
      <c r="K27" s="133">
        <v>216.87</v>
      </c>
      <c r="L27" s="133">
        <v>22.48</v>
      </c>
      <c r="M27" s="133">
        <v>100.63</v>
      </c>
      <c r="N27" s="133">
        <v>0</v>
      </c>
      <c r="O27" s="133">
        <v>0</v>
      </c>
      <c r="P27" s="133">
        <v>0.82</v>
      </c>
      <c r="Q27" s="133">
        <v>5.34</v>
      </c>
    </row>
    <row r="28" spans="1:17" customFormat="1">
      <c r="A28" s="111" t="s">
        <v>2081</v>
      </c>
      <c r="B28" s="133">
        <v>21.2</v>
      </c>
      <c r="C28" s="133">
        <v>22.02</v>
      </c>
      <c r="D28" s="133">
        <v>29.86</v>
      </c>
      <c r="E28" s="133">
        <v>5.97</v>
      </c>
      <c r="F28" s="133">
        <v>2.4900000000000002</v>
      </c>
      <c r="G28" s="133">
        <v>69.92</v>
      </c>
      <c r="H28" s="133">
        <v>34.29</v>
      </c>
      <c r="I28" s="133">
        <v>6.91</v>
      </c>
      <c r="J28" s="133">
        <v>0.16</v>
      </c>
      <c r="K28" s="133">
        <v>168.72</v>
      </c>
      <c r="L28" s="133">
        <v>22.46</v>
      </c>
      <c r="M28" s="133">
        <v>100.97</v>
      </c>
      <c r="N28" s="133">
        <v>0</v>
      </c>
      <c r="O28" s="133">
        <v>0</v>
      </c>
      <c r="P28" s="133">
        <v>0.82</v>
      </c>
      <c r="Q28" s="133">
        <v>5.33</v>
      </c>
    </row>
    <row r="29" spans="1:17" customFormat="1">
      <c r="A29" s="111" t="s">
        <v>2082</v>
      </c>
      <c r="B29" s="133">
        <v>20.85</v>
      </c>
      <c r="C29" s="133">
        <v>21.78</v>
      </c>
      <c r="D29" s="133">
        <v>29.45</v>
      </c>
      <c r="E29" s="133">
        <v>6.35</v>
      </c>
      <c r="F29" s="133">
        <v>2.64</v>
      </c>
      <c r="G29" s="133">
        <v>69.92</v>
      </c>
      <c r="H29" s="133">
        <v>34.29</v>
      </c>
      <c r="I29" s="133">
        <v>6.84</v>
      </c>
      <c r="J29" s="133">
        <v>0.09</v>
      </c>
      <c r="K29" s="133">
        <v>203.18</v>
      </c>
      <c r="L29" s="133">
        <v>22.29</v>
      </c>
      <c r="M29" s="133">
        <v>102.31</v>
      </c>
      <c r="N29" s="133">
        <v>0</v>
      </c>
      <c r="O29" s="133">
        <v>0</v>
      </c>
      <c r="P29" s="133">
        <v>0.81</v>
      </c>
      <c r="Q29" s="133">
        <v>5.31</v>
      </c>
    </row>
    <row r="30" spans="1:17" customFormat="1">
      <c r="A30" s="111" t="s">
        <v>2083</v>
      </c>
      <c r="B30" s="133">
        <v>20.79</v>
      </c>
      <c r="C30" s="133">
        <v>21.74</v>
      </c>
      <c r="D30" s="133">
        <v>29.38</v>
      </c>
      <c r="E30" s="133">
        <v>6.45</v>
      </c>
      <c r="F30" s="133">
        <v>2.4900000000000002</v>
      </c>
      <c r="G30" s="133">
        <v>69.92</v>
      </c>
      <c r="H30" s="133">
        <v>34.29</v>
      </c>
      <c r="I30" s="133">
        <v>6.76</v>
      </c>
      <c r="J30" s="133">
        <v>0.12</v>
      </c>
      <c r="K30" s="133">
        <v>166.68</v>
      </c>
      <c r="L30" s="133">
        <v>22.31</v>
      </c>
      <c r="M30" s="133">
        <v>101.81</v>
      </c>
      <c r="N30" s="133">
        <v>0</v>
      </c>
      <c r="O30" s="133">
        <v>0</v>
      </c>
      <c r="P30" s="133">
        <v>0.8</v>
      </c>
      <c r="Q30" s="133">
        <v>5.31</v>
      </c>
    </row>
    <row r="31" spans="1:17" customFormat="1">
      <c r="A31" s="111" t="s">
        <v>2084</v>
      </c>
      <c r="B31" s="133">
        <v>21.27</v>
      </c>
      <c r="C31" s="133">
        <v>22.08</v>
      </c>
      <c r="D31" s="133">
        <v>29.94</v>
      </c>
      <c r="E31" s="133">
        <v>6.19</v>
      </c>
      <c r="F31" s="133">
        <v>2.5099999999999998</v>
      </c>
      <c r="G31" s="133">
        <v>69.64</v>
      </c>
      <c r="H31" s="133">
        <v>34.04</v>
      </c>
      <c r="I31" s="133">
        <v>6.69</v>
      </c>
      <c r="J31" s="133">
        <v>0.16</v>
      </c>
      <c r="K31" s="133">
        <v>213.14</v>
      </c>
      <c r="L31" s="133">
        <v>22.27</v>
      </c>
      <c r="M31" s="133">
        <v>99.62</v>
      </c>
      <c r="N31" s="133">
        <v>0</v>
      </c>
      <c r="O31" s="133">
        <v>0</v>
      </c>
      <c r="P31" s="133">
        <v>0.8</v>
      </c>
      <c r="Q31" s="133">
        <v>5.36</v>
      </c>
    </row>
    <row r="32" spans="1:17" customFormat="1">
      <c r="A32" s="111" t="s">
        <v>2085</v>
      </c>
      <c r="B32" s="133">
        <v>21.13</v>
      </c>
      <c r="C32" s="133">
        <v>22.38</v>
      </c>
      <c r="D32" s="133">
        <v>29.99</v>
      </c>
      <c r="E32" s="133">
        <v>6.81</v>
      </c>
      <c r="F32" s="133">
        <v>2.54</v>
      </c>
      <c r="G32" s="133">
        <v>63.54</v>
      </c>
      <c r="H32" s="133">
        <v>30.26</v>
      </c>
      <c r="I32" s="133">
        <v>6.6</v>
      </c>
      <c r="J32" s="133">
        <v>0.12</v>
      </c>
      <c r="K32" s="133">
        <v>226.66</v>
      </c>
      <c r="L32" s="133">
        <v>22.09</v>
      </c>
      <c r="M32" s="133">
        <v>100.67</v>
      </c>
      <c r="N32" s="133">
        <v>0</v>
      </c>
      <c r="O32" s="133">
        <v>0</v>
      </c>
      <c r="P32" s="133">
        <v>0.79</v>
      </c>
      <c r="Q32" s="133">
        <v>5.35</v>
      </c>
    </row>
    <row r="33" spans="1:17" customFormat="1">
      <c r="A33" s="111" t="s">
        <v>2086</v>
      </c>
      <c r="B33" s="133">
        <v>20.85</v>
      </c>
      <c r="C33" s="133">
        <v>22.27</v>
      </c>
      <c r="D33" s="133">
        <v>29.71</v>
      </c>
      <c r="E33" s="133">
        <v>7.3</v>
      </c>
      <c r="F33" s="133">
        <v>2.59</v>
      </c>
      <c r="G33" s="133">
        <v>63.54</v>
      </c>
      <c r="H33" s="133">
        <v>30.26</v>
      </c>
      <c r="I33" s="133">
        <v>6.55</v>
      </c>
      <c r="J33" s="133">
        <v>0.11</v>
      </c>
      <c r="K33" s="133">
        <v>231.29</v>
      </c>
      <c r="L33" s="133">
        <v>22.07</v>
      </c>
      <c r="M33" s="133">
        <v>101.23</v>
      </c>
      <c r="N33" s="133">
        <v>1.8</v>
      </c>
      <c r="O33" s="133">
        <v>0</v>
      </c>
      <c r="P33" s="133">
        <v>0.79</v>
      </c>
      <c r="Q33" s="133">
        <v>5.33</v>
      </c>
    </row>
    <row r="34" spans="1:17" customFormat="1">
      <c r="A34" s="111" t="s">
        <v>2087</v>
      </c>
      <c r="B34" s="133">
        <v>20.67</v>
      </c>
      <c r="C34" s="133">
        <v>21.8</v>
      </c>
      <c r="D34" s="133">
        <v>29.32</v>
      </c>
      <c r="E34" s="133">
        <v>6.8</v>
      </c>
      <c r="F34" s="133">
        <v>2.61</v>
      </c>
      <c r="G34" s="133">
        <v>63.54</v>
      </c>
      <c r="H34" s="133">
        <v>30.26</v>
      </c>
      <c r="I34" s="133">
        <v>6.5</v>
      </c>
      <c r="J34" s="133">
        <v>0.04</v>
      </c>
      <c r="K34" s="133">
        <v>131.74</v>
      </c>
      <c r="L34" s="133">
        <v>22.35</v>
      </c>
      <c r="M34" s="133">
        <v>101.88</v>
      </c>
      <c r="N34" s="133">
        <v>11.6</v>
      </c>
      <c r="O34" s="133">
        <v>0</v>
      </c>
      <c r="P34" s="133">
        <v>0.78</v>
      </c>
      <c r="Q34" s="133">
        <v>5.33</v>
      </c>
    </row>
    <row r="35" spans="1:17" customFormat="1">
      <c r="A35" s="111" t="s">
        <v>2088</v>
      </c>
      <c r="B35" s="133">
        <v>21.67</v>
      </c>
      <c r="C35" s="133">
        <v>22.08</v>
      </c>
      <c r="D35" s="133">
        <v>30.26</v>
      </c>
      <c r="E35" s="133">
        <v>6.76</v>
      </c>
      <c r="F35" s="133">
        <v>2.57</v>
      </c>
      <c r="G35" s="133">
        <v>63.36</v>
      </c>
      <c r="H35" s="133">
        <v>30.17</v>
      </c>
      <c r="I35" s="133">
        <v>6.48</v>
      </c>
      <c r="J35" s="133">
        <v>0.19</v>
      </c>
      <c r="K35" s="133">
        <v>27.41</v>
      </c>
      <c r="L35" s="133">
        <v>22.65</v>
      </c>
      <c r="M35" s="133">
        <v>97.35</v>
      </c>
      <c r="N35" s="133">
        <v>24.3</v>
      </c>
      <c r="O35" s="133">
        <v>0</v>
      </c>
      <c r="P35" s="133">
        <v>0.79</v>
      </c>
      <c r="Q35" s="133">
        <v>5.4</v>
      </c>
    </row>
    <row r="36" spans="1:17" customFormat="1">
      <c r="A36" s="111" t="s">
        <v>2089</v>
      </c>
      <c r="B36" s="133">
        <v>23.27</v>
      </c>
      <c r="C36" s="133">
        <v>22.98</v>
      </c>
      <c r="D36" s="133">
        <v>32.020000000000003</v>
      </c>
      <c r="E36" s="133">
        <v>7.31</v>
      </c>
      <c r="F36" s="133">
        <v>2.4700000000000002</v>
      </c>
      <c r="G36" s="133">
        <v>59.42</v>
      </c>
      <c r="H36" s="133">
        <v>28.72</v>
      </c>
      <c r="I36" s="133">
        <v>6.43</v>
      </c>
      <c r="J36" s="133">
        <v>0.28000000000000003</v>
      </c>
      <c r="K36" s="133">
        <v>35.14</v>
      </c>
      <c r="L36" s="133">
        <v>23.12</v>
      </c>
      <c r="M36" s="133">
        <v>93.66</v>
      </c>
      <c r="N36" s="133">
        <v>38.4</v>
      </c>
      <c r="O36" s="133">
        <v>0</v>
      </c>
      <c r="P36" s="133">
        <v>0.81</v>
      </c>
      <c r="Q36" s="133">
        <v>5.45</v>
      </c>
    </row>
    <row r="37" spans="1:17" customFormat="1">
      <c r="A37" s="111" t="s">
        <v>2090</v>
      </c>
      <c r="B37" s="133">
        <v>24.11</v>
      </c>
      <c r="C37" s="133">
        <v>23.29</v>
      </c>
      <c r="D37" s="133">
        <v>32.85</v>
      </c>
      <c r="E37" s="133">
        <v>6.98</v>
      </c>
      <c r="F37" s="133">
        <v>2.48</v>
      </c>
      <c r="G37" s="133">
        <v>59.42</v>
      </c>
      <c r="H37" s="133">
        <v>28.72</v>
      </c>
      <c r="I37" s="133">
        <v>6.48</v>
      </c>
      <c r="J37" s="133">
        <v>0.27</v>
      </c>
      <c r="K37" s="133">
        <v>38.21</v>
      </c>
      <c r="L37" s="133">
        <v>23.62</v>
      </c>
      <c r="M37" s="133">
        <v>92.16</v>
      </c>
      <c r="N37" s="133">
        <v>54.1</v>
      </c>
      <c r="O37" s="133">
        <v>0</v>
      </c>
      <c r="P37" s="133">
        <v>0.81</v>
      </c>
      <c r="Q37" s="133">
        <v>5.46</v>
      </c>
    </row>
    <row r="38" spans="1:17" customFormat="1">
      <c r="A38" s="111" t="s">
        <v>2091</v>
      </c>
      <c r="B38" s="133">
        <v>23.94</v>
      </c>
      <c r="C38" s="133">
        <v>23.35</v>
      </c>
      <c r="D38" s="133">
        <v>32.75</v>
      </c>
      <c r="E38" s="133">
        <v>7.42</v>
      </c>
      <c r="F38" s="133">
        <v>2.58</v>
      </c>
      <c r="G38" s="133">
        <v>59.42</v>
      </c>
      <c r="H38" s="133">
        <v>28.72</v>
      </c>
      <c r="I38" s="133">
        <v>6.53</v>
      </c>
      <c r="J38" s="133">
        <v>0.43</v>
      </c>
      <c r="K38" s="133">
        <v>26.56</v>
      </c>
      <c r="L38" s="133">
        <v>23.98</v>
      </c>
      <c r="M38" s="133">
        <v>92.08</v>
      </c>
      <c r="N38" s="133">
        <v>78.900000000000006</v>
      </c>
      <c r="O38" s="133">
        <v>0</v>
      </c>
      <c r="P38" s="133">
        <v>0.82</v>
      </c>
      <c r="Q38" s="133">
        <v>5.47</v>
      </c>
    </row>
    <row r="39" spans="1:17" customFormat="1">
      <c r="A39" s="111" t="s">
        <v>2092</v>
      </c>
      <c r="B39" s="133">
        <v>23.75</v>
      </c>
      <c r="C39" s="133">
        <v>23.52</v>
      </c>
      <c r="D39" s="133">
        <v>32.68</v>
      </c>
      <c r="E39" s="133">
        <v>7.32</v>
      </c>
      <c r="F39" s="133">
        <v>2.62</v>
      </c>
      <c r="G39" s="133">
        <v>59.96</v>
      </c>
      <c r="H39" s="133">
        <v>28.7</v>
      </c>
      <c r="I39" s="133">
        <v>6.56</v>
      </c>
      <c r="J39" s="133">
        <v>0.45</v>
      </c>
      <c r="K39" s="133">
        <v>26.5</v>
      </c>
      <c r="L39" s="133">
        <v>24.4</v>
      </c>
      <c r="M39" s="133">
        <v>88.93</v>
      </c>
      <c r="N39" s="133">
        <v>149.9</v>
      </c>
      <c r="O39" s="133">
        <v>0</v>
      </c>
      <c r="P39" s="133">
        <v>0.82</v>
      </c>
      <c r="Q39" s="133">
        <v>5.53</v>
      </c>
    </row>
    <row r="40" spans="1:17" customFormat="1">
      <c r="A40" s="111" t="s">
        <v>2093</v>
      </c>
      <c r="B40" s="133">
        <v>23.74</v>
      </c>
      <c r="C40" s="133">
        <v>24.19</v>
      </c>
      <c r="D40" s="133">
        <v>33.03</v>
      </c>
      <c r="E40" s="133">
        <v>7.34</v>
      </c>
      <c r="F40" s="133">
        <v>2.5</v>
      </c>
      <c r="G40" s="133">
        <v>71.45</v>
      </c>
      <c r="H40" s="133">
        <v>28.4</v>
      </c>
      <c r="I40" s="133">
        <v>6.61</v>
      </c>
      <c r="J40" s="133">
        <v>0.55000000000000004</v>
      </c>
      <c r="K40" s="133">
        <v>43.78</v>
      </c>
      <c r="L40" s="133">
        <v>24.88</v>
      </c>
      <c r="M40" s="133">
        <v>86.4</v>
      </c>
      <c r="N40" s="133">
        <v>201.1</v>
      </c>
      <c r="O40" s="133">
        <v>0</v>
      </c>
      <c r="P40" s="133">
        <v>0.82</v>
      </c>
      <c r="Q40" s="133">
        <v>5.51</v>
      </c>
    </row>
    <row r="41" spans="1:17" customFormat="1">
      <c r="A41" s="111" t="s">
        <v>2094</v>
      </c>
      <c r="B41" s="133">
        <v>23.83</v>
      </c>
      <c r="C41" s="133">
        <v>24.08</v>
      </c>
      <c r="D41" s="133">
        <v>33.04</v>
      </c>
      <c r="E41" s="133">
        <v>7.19</v>
      </c>
      <c r="F41" s="133">
        <v>2.5099999999999998</v>
      </c>
      <c r="G41" s="133">
        <v>71.45</v>
      </c>
      <c r="H41" s="133">
        <v>28.4</v>
      </c>
      <c r="I41" s="133">
        <v>6.65</v>
      </c>
      <c r="J41" s="133">
        <v>0.45</v>
      </c>
      <c r="K41" s="133">
        <v>43.13</v>
      </c>
      <c r="L41" s="133">
        <v>25.54</v>
      </c>
      <c r="M41" s="133">
        <v>82.6</v>
      </c>
      <c r="N41" s="133">
        <v>240.8</v>
      </c>
      <c r="O41" s="133">
        <v>0</v>
      </c>
      <c r="P41" s="133">
        <v>0.81</v>
      </c>
      <c r="Q41" s="133">
        <v>5.51</v>
      </c>
    </row>
    <row r="42" spans="1:17" customFormat="1">
      <c r="A42" s="111" t="s">
        <v>2095</v>
      </c>
      <c r="B42" s="133">
        <v>24.07</v>
      </c>
      <c r="C42" s="133">
        <v>22.29</v>
      </c>
      <c r="D42" s="133">
        <v>32.299999999999997</v>
      </c>
      <c r="E42" s="133">
        <v>7.02</v>
      </c>
      <c r="F42" s="133">
        <v>2.83</v>
      </c>
      <c r="G42" s="133">
        <v>71.45</v>
      </c>
      <c r="H42" s="133">
        <v>28.4</v>
      </c>
      <c r="I42" s="133">
        <v>6.67</v>
      </c>
      <c r="J42" s="133">
        <v>0.59</v>
      </c>
      <c r="K42" s="133">
        <v>37.07</v>
      </c>
      <c r="L42" s="133">
        <v>26.16</v>
      </c>
      <c r="M42" s="133">
        <v>79.09</v>
      </c>
      <c r="N42" s="133">
        <v>283.8</v>
      </c>
      <c r="O42" s="133">
        <v>0</v>
      </c>
      <c r="P42" s="133">
        <v>0.79</v>
      </c>
      <c r="Q42" s="133">
        <v>5.48</v>
      </c>
    </row>
    <row r="43" spans="1:17" customFormat="1">
      <c r="A43" s="111" t="s">
        <v>2096</v>
      </c>
      <c r="B43" s="133">
        <v>24.42</v>
      </c>
      <c r="C43" s="133">
        <v>20.9</v>
      </c>
      <c r="D43" s="133">
        <v>31.85</v>
      </c>
      <c r="E43" s="133">
        <v>7.17</v>
      </c>
      <c r="F43" s="133">
        <v>3.02</v>
      </c>
      <c r="G43" s="133">
        <v>71.63</v>
      </c>
      <c r="H43" s="133">
        <v>28.42</v>
      </c>
      <c r="I43" s="133">
        <v>6.66</v>
      </c>
      <c r="J43" s="133">
        <v>0.69</v>
      </c>
      <c r="K43" s="133">
        <v>36.54</v>
      </c>
      <c r="L43" s="133">
        <v>26.72</v>
      </c>
      <c r="M43" s="133">
        <v>74.739999999999995</v>
      </c>
      <c r="N43" s="133">
        <v>327.3</v>
      </c>
      <c r="O43" s="133">
        <v>0</v>
      </c>
      <c r="P43" s="133">
        <v>0.78</v>
      </c>
      <c r="Q43" s="133">
        <v>5.49</v>
      </c>
    </row>
    <row r="44" spans="1:17" customFormat="1">
      <c r="A44" s="111" t="s">
        <v>2097</v>
      </c>
      <c r="B44" s="133">
        <v>24.65</v>
      </c>
      <c r="C44" s="133">
        <v>20.12</v>
      </c>
      <c r="D44" s="133">
        <v>31.63</v>
      </c>
      <c r="E44" s="133">
        <v>6.87</v>
      </c>
      <c r="F44" s="133">
        <v>2.97</v>
      </c>
      <c r="G44" s="133">
        <v>75.489999999999995</v>
      </c>
      <c r="H44" s="133">
        <v>28.7</v>
      </c>
      <c r="I44" s="133">
        <v>6.66</v>
      </c>
      <c r="J44" s="133">
        <v>0.61</v>
      </c>
      <c r="K44" s="133">
        <v>38.93</v>
      </c>
      <c r="L44" s="133">
        <v>27.08</v>
      </c>
      <c r="M44" s="133">
        <v>73.569999999999993</v>
      </c>
      <c r="N44" s="133">
        <v>363.2</v>
      </c>
      <c r="O44" s="133">
        <v>0</v>
      </c>
      <c r="P44" s="133">
        <v>0.77</v>
      </c>
      <c r="Q44" s="133">
        <v>5.45</v>
      </c>
    </row>
    <row r="45" spans="1:17" customFormat="1">
      <c r="A45" s="111" t="s">
        <v>2098</v>
      </c>
      <c r="B45" s="133">
        <v>24.59</v>
      </c>
      <c r="C45" s="133">
        <v>20.059999999999999</v>
      </c>
      <c r="D45" s="133">
        <v>31.56</v>
      </c>
      <c r="E45" s="133">
        <v>6.86</v>
      </c>
      <c r="F45" s="133">
        <v>3.09</v>
      </c>
      <c r="G45" s="133">
        <v>75.489999999999995</v>
      </c>
      <c r="H45" s="133">
        <v>28.7</v>
      </c>
      <c r="I45" s="133">
        <v>6.64</v>
      </c>
      <c r="J45" s="133">
        <v>0.68</v>
      </c>
      <c r="K45" s="133">
        <v>27.46</v>
      </c>
      <c r="L45" s="133">
        <v>27.74</v>
      </c>
      <c r="M45" s="133">
        <v>73.16</v>
      </c>
      <c r="N45" s="133">
        <v>396.1</v>
      </c>
      <c r="O45" s="133">
        <v>0</v>
      </c>
      <c r="P45" s="133">
        <v>0.77</v>
      </c>
      <c r="Q45" s="133">
        <v>5.45</v>
      </c>
    </row>
    <row r="46" spans="1:17" customFormat="1">
      <c r="A46" s="111" t="s">
        <v>2099</v>
      </c>
      <c r="B46" s="133">
        <v>24.61</v>
      </c>
      <c r="C46" s="133">
        <v>20.100000000000001</v>
      </c>
      <c r="D46" s="133">
        <v>31.59</v>
      </c>
      <c r="E46" s="133">
        <v>6.74</v>
      </c>
      <c r="F46" s="133">
        <v>3.12</v>
      </c>
      <c r="G46" s="133">
        <v>75.489999999999995</v>
      </c>
      <c r="H46" s="133">
        <v>28.7</v>
      </c>
      <c r="I46" s="133">
        <v>6.62</v>
      </c>
      <c r="J46" s="133">
        <v>0.56999999999999995</v>
      </c>
      <c r="K46" s="133">
        <v>35.14</v>
      </c>
      <c r="L46" s="133">
        <v>28.12</v>
      </c>
      <c r="M46" s="133">
        <v>71.7</v>
      </c>
      <c r="N46" s="133">
        <v>338.8</v>
      </c>
      <c r="O46" s="133">
        <v>0</v>
      </c>
      <c r="P46" s="133">
        <v>0.77</v>
      </c>
      <c r="Q46" s="133">
        <v>5.44</v>
      </c>
    </row>
    <row r="47" spans="1:17" customFormat="1">
      <c r="A47" s="111" t="s">
        <v>2100</v>
      </c>
      <c r="B47" s="133">
        <v>24.55</v>
      </c>
      <c r="C47" s="133">
        <v>20.11</v>
      </c>
      <c r="D47" s="133">
        <v>31.55</v>
      </c>
      <c r="E47" s="133">
        <v>6.47</v>
      </c>
      <c r="F47" s="133">
        <v>3.12</v>
      </c>
      <c r="G47" s="133">
        <v>75.540000000000006</v>
      </c>
      <c r="H47" s="133">
        <v>28.64</v>
      </c>
      <c r="I47" s="133">
        <v>6.59</v>
      </c>
      <c r="J47" s="133">
        <v>0.56999999999999995</v>
      </c>
      <c r="K47" s="133">
        <v>39.950000000000003</v>
      </c>
      <c r="L47" s="133">
        <v>28.29</v>
      </c>
      <c r="M47" s="133">
        <v>68.64</v>
      </c>
      <c r="N47" s="133">
        <v>334.1</v>
      </c>
      <c r="O47" s="133">
        <v>0</v>
      </c>
      <c r="P47" s="133">
        <v>0.78</v>
      </c>
      <c r="Q47" s="133">
        <v>5.43</v>
      </c>
    </row>
    <row r="48" spans="1:17" customFormat="1">
      <c r="A48" s="111" t="s">
        <v>2101</v>
      </c>
      <c r="B48" s="133">
        <v>24.22</v>
      </c>
      <c r="C48" s="133">
        <v>20.36</v>
      </c>
      <c r="D48" s="133">
        <v>31.41</v>
      </c>
      <c r="E48" s="133">
        <v>7.14</v>
      </c>
      <c r="F48" s="133">
        <v>3.37</v>
      </c>
      <c r="G48" s="133">
        <v>76.73</v>
      </c>
      <c r="H48" s="133">
        <v>27.63</v>
      </c>
      <c r="I48" s="133">
        <v>6.6</v>
      </c>
      <c r="J48" s="133">
        <v>0.64</v>
      </c>
      <c r="K48" s="133">
        <v>30.46</v>
      </c>
      <c r="L48" s="133">
        <v>28.66</v>
      </c>
      <c r="M48" s="133">
        <v>66.53</v>
      </c>
      <c r="N48" s="133">
        <v>501.4</v>
      </c>
      <c r="O48" s="133">
        <v>0</v>
      </c>
      <c r="P48" s="133">
        <v>0.77</v>
      </c>
      <c r="Q48" s="133">
        <v>5.41</v>
      </c>
    </row>
    <row r="49" spans="1:17" customFormat="1">
      <c r="A49" s="111" t="s">
        <v>2102</v>
      </c>
      <c r="B49" s="133">
        <v>23.97</v>
      </c>
      <c r="C49" s="133">
        <v>20.66</v>
      </c>
      <c r="D49" s="133">
        <v>31.36</v>
      </c>
      <c r="E49" s="133">
        <v>4.8600000000000003</v>
      </c>
      <c r="F49" s="133">
        <v>3.29</v>
      </c>
      <c r="G49" s="133">
        <v>76.73</v>
      </c>
      <c r="H49" s="133">
        <v>27.63</v>
      </c>
      <c r="I49" s="133">
        <v>6.53</v>
      </c>
      <c r="J49" s="133">
        <v>0.52</v>
      </c>
      <c r="K49" s="133">
        <v>34.28</v>
      </c>
      <c r="L49" s="133">
        <v>28.92</v>
      </c>
      <c r="M49" s="133">
        <v>65.239999999999995</v>
      </c>
      <c r="N49" s="133">
        <v>523.5</v>
      </c>
      <c r="O49" s="133">
        <v>0</v>
      </c>
      <c r="P49" s="133">
        <v>0.77</v>
      </c>
      <c r="Q49" s="133">
        <v>5.4</v>
      </c>
    </row>
    <row r="50" spans="1:17" customFormat="1">
      <c r="A50" s="111" t="s">
        <v>2103</v>
      </c>
      <c r="B50" s="133">
        <v>23.45</v>
      </c>
      <c r="C50" s="133">
        <v>20.56</v>
      </c>
      <c r="D50" s="133">
        <v>30.9</v>
      </c>
      <c r="E50" s="133">
        <v>6.06</v>
      </c>
      <c r="F50" s="133">
        <v>3.39</v>
      </c>
      <c r="G50" s="133">
        <v>76.73</v>
      </c>
      <c r="H50" s="133">
        <v>27.63</v>
      </c>
      <c r="I50" s="133">
        <v>6.53</v>
      </c>
      <c r="J50" s="133">
        <v>0.61</v>
      </c>
      <c r="K50" s="133">
        <v>34.07</v>
      </c>
      <c r="L50" s="133">
        <v>29.59</v>
      </c>
      <c r="M50" s="133">
        <v>65.319999999999993</v>
      </c>
      <c r="N50" s="133">
        <v>546.1</v>
      </c>
      <c r="O50" s="133">
        <v>0</v>
      </c>
      <c r="P50" s="133">
        <v>0.77</v>
      </c>
      <c r="Q50" s="133">
        <v>5.39</v>
      </c>
    </row>
    <row r="51" spans="1:17" customFormat="1">
      <c r="A51" s="111" t="s">
        <v>2104</v>
      </c>
      <c r="B51" s="133">
        <v>22.88</v>
      </c>
      <c r="C51" s="133">
        <v>20.57</v>
      </c>
      <c r="D51" s="133">
        <v>30.45</v>
      </c>
      <c r="E51" s="133">
        <v>6.77</v>
      </c>
      <c r="F51" s="133">
        <v>3.7</v>
      </c>
      <c r="G51" s="133">
        <v>76.62</v>
      </c>
      <c r="H51" s="133">
        <v>27.52</v>
      </c>
      <c r="I51" s="133">
        <v>6.49</v>
      </c>
      <c r="J51" s="133">
        <v>0.56999999999999995</v>
      </c>
      <c r="K51" s="133">
        <v>36.119999999999997</v>
      </c>
      <c r="L51" s="133">
        <v>29.83</v>
      </c>
      <c r="M51" s="133">
        <v>64.03</v>
      </c>
      <c r="N51" s="133">
        <v>565.29999999999995</v>
      </c>
      <c r="O51" s="133">
        <v>0</v>
      </c>
      <c r="P51" s="133">
        <v>0.77</v>
      </c>
      <c r="Q51" s="133">
        <v>5.36</v>
      </c>
    </row>
    <row r="52" spans="1:17" customFormat="1">
      <c r="A52" s="111" t="s">
        <v>2105</v>
      </c>
      <c r="B52" s="133">
        <v>22.27</v>
      </c>
      <c r="C52" s="133">
        <v>20.48</v>
      </c>
      <c r="D52" s="133">
        <v>29.91</v>
      </c>
      <c r="E52" s="133">
        <v>6.83</v>
      </c>
      <c r="F52" s="133">
        <v>4.29</v>
      </c>
      <c r="G52" s="133">
        <v>74.77</v>
      </c>
      <c r="H52" s="133">
        <v>25.83</v>
      </c>
      <c r="I52" s="133">
        <v>6.45</v>
      </c>
      <c r="J52" s="133">
        <v>0.62</v>
      </c>
      <c r="K52" s="133">
        <v>34.450000000000003</v>
      </c>
      <c r="L52" s="133">
        <v>29.93</v>
      </c>
      <c r="M52" s="133">
        <v>60.17</v>
      </c>
      <c r="N52" s="133">
        <v>547.4</v>
      </c>
      <c r="O52" s="133">
        <v>0</v>
      </c>
      <c r="P52" s="133">
        <v>0.76</v>
      </c>
      <c r="Q52" s="133">
        <v>5.34</v>
      </c>
    </row>
    <row r="53" spans="1:17" customFormat="1">
      <c r="A53" s="111" t="s">
        <v>2106</v>
      </c>
      <c r="B53" s="133">
        <v>21.66</v>
      </c>
      <c r="C53" s="133">
        <v>20.41</v>
      </c>
      <c r="D53" s="133">
        <v>29.38</v>
      </c>
      <c r="E53" s="133">
        <v>6.7</v>
      </c>
      <c r="F53" s="133">
        <v>4.67</v>
      </c>
      <c r="G53" s="133">
        <v>74.77</v>
      </c>
      <c r="H53" s="133">
        <v>25.83</v>
      </c>
      <c r="I53" s="133">
        <v>6.38</v>
      </c>
      <c r="J53" s="133">
        <v>0.59</v>
      </c>
      <c r="K53" s="133">
        <v>31.81</v>
      </c>
      <c r="L53" s="133">
        <v>30.21</v>
      </c>
      <c r="M53" s="133">
        <v>59.11</v>
      </c>
      <c r="N53" s="133">
        <v>603.70000000000005</v>
      </c>
      <c r="O53" s="133">
        <v>0</v>
      </c>
      <c r="P53" s="133">
        <v>0.75</v>
      </c>
      <c r="Q53" s="133">
        <v>5.27</v>
      </c>
    </row>
    <row r="54" spans="1:17" customFormat="1">
      <c r="A54" s="111" t="s">
        <v>2107</v>
      </c>
      <c r="B54" s="133">
        <v>20.9</v>
      </c>
      <c r="C54" s="133">
        <v>20.53</v>
      </c>
      <c r="D54" s="133">
        <v>28.84</v>
      </c>
      <c r="E54" s="133">
        <v>7.33</v>
      </c>
      <c r="F54" s="133">
        <v>4.68</v>
      </c>
      <c r="G54" s="133">
        <v>74.77</v>
      </c>
      <c r="H54" s="133">
        <v>25.83</v>
      </c>
      <c r="I54" s="133">
        <v>6.37</v>
      </c>
      <c r="J54" s="133">
        <v>0.59</v>
      </c>
      <c r="K54" s="133">
        <v>29.01</v>
      </c>
      <c r="L54" s="133">
        <v>30.5</v>
      </c>
      <c r="M54" s="133">
        <v>57.74</v>
      </c>
      <c r="N54" s="133">
        <v>617.70000000000005</v>
      </c>
      <c r="O54" s="133">
        <v>0</v>
      </c>
      <c r="P54" s="133">
        <v>0.75</v>
      </c>
      <c r="Q54" s="133">
        <v>5.2</v>
      </c>
    </row>
    <row r="55" spans="1:17" customFormat="1">
      <c r="A55" s="111" t="s">
        <v>2108</v>
      </c>
      <c r="B55" s="133">
        <v>19.98</v>
      </c>
      <c r="C55" s="133">
        <v>20.91</v>
      </c>
      <c r="D55" s="133">
        <v>28.3</v>
      </c>
      <c r="E55" s="133">
        <v>8.1199999999999992</v>
      </c>
      <c r="F55" s="133">
        <v>4.8600000000000003</v>
      </c>
      <c r="G55" s="133">
        <v>74.92</v>
      </c>
      <c r="H55" s="133">
        <v>25.84</v>
      </c>
      <c r="I55" s="133">
        <v>6.24</v>
      </c>
      <c r="J55" s="133">
        <v>0.71</v>
      </c>
      <c r="K55" s="133">
        <v>25.23</v>
      </c>
      <c r="L55" s="133">
        <v>30.52</v>
      </c>
      <c r="M55" s="133">
        <v>56.85</v>
      </c>
      <c r="N55" s="133">
        <v>616.9</v>
      </c>
      <c r="O55" s="133">
        <v>0</v>
      </c>
      <c r="P55" s="133">
        <v>0.74</v>
      </c>
      <c r="Q55" s="133">
        <v>5.18</v>
      </c>
    </row>
    <row r="56" spans="1:17" customFormat="1">
      <c r="A56" s="111" t="s">
        <v>2109</v>
      </c>
      <c r="B56" s="133">
        <v>19.22</v>
      </c>
      <c r="C56" s="133">
        <v>20.53</v>
      </c>
      <c r="D56" s="133">
        <v>27.5</v>
      </c>
      <c r="E56" s="133">
        <v>8.25</v>
      </c>
      <c r="F56" s="133">
        <v>5.39</v>
      </c>
      <c r="G56" s="133">
        <v>78.12</v>
      </c>
      <c r="H56" s="133">
        <v>26.02</v>
      </c>
      <c r="I56" s="133">
        <v>6.18</v>
      </c>
      <c r="J56" s="133">
        <v>0.62</v>
      </c>
      <c r="K56" s="133">
        <v>35.56</v>
      </c>
      <c r="L56" s="133">
        <v>30.68</v>
      </c>
      <c r="M56" s="133">
        <v>55.92</v>
      </c>
      <c r="N56" s="133">
        <v>618.1</v>
      </c>
      <c r="O56" s="133">
        <v>0</v>
      </c>
      <c r="P56" s="133">
        <v>0.73</v>
      </c>
      <c r="Q56" s="133">
        <v>5.16</v>
      </c>
    </row>
    <row r="57" spans="1:17" customFormat="1">
      <c r="A57" s="111" t="s">
        <v>2110</v>
      </c>
      <c r="B57" s="133">
        <v>18.37</v>
      </c>
      <c r="C57" s="133">
        <v>20.58</v>
      </c>
      <c r="D57" s="133">
        <v>26.84</v>
      </c>
      <c r="E57" s="133">
        <v>8.17</v>
      </c>
      <c r="F57" s="133">
        <v>6.51</v>
      </c>
      <c r="G57" s="133">
        <v>78.12</v>
      </c>
      <c r="H57" s="133">
        <v>26.02</v>
      </c>
      <c r="I57" s="133">
        <v>6.05</v>
      </c>
      <c r="J57" s="133">
        <v>0.72</v>
      </c>
      <c r="K57" s="133">
        <v>26.56</v>
      </c>
      <c r="L57" s="133">
        <v>31.03</v>
      </c>
      <c r="M57" s="133">
        <v>56.03</v>
      </c>
      <c r="N57" s="133">
        <v>612.6</v>
      </c>
      <c r="O57" s="133">
        <v>0</v>
      </c>
      <c r="P57" s="133">
        <v>0.72</v>
      </c>
      <c r="Q57" s="133">
        <v>5.09</v>
      </c>
    </row>
    <row r="58" spans="1:17" customFormat="1">
      <c r="A58" s="111" t="s">
        <v>2111</v>
      </c>
      <c r="B58" s="133">
        <v>17.18</v>
      </c>
      <c r="C58" s="133">
        <v>20.77</v>
      </c>
      <c r="D58" s="133">
        <v>25.98</v>
      </c>
      <c r="E58" s="133">
        <v>9.5500000000000007</v>
      </c>
      <c r="F58" s="133">
        <v>5.83</v>
      </c>
      <c r="G58" s="133">
        <v>78.12</v>
      </c>
      <c r="H58" s="133">
        <v>26.02</v>
      </c>
      <c r="I58" s="133">
        <v>6.02</v>
      </c>
      <c r="J58" s="133">
        <v>0.73</v>
      </c>
      <c r="K58" s="133">
        <v>32.409999999999997</v>
      </c>
      <c r="L58" s="133">
        <v>31</v>
      </c>
      <c r="M58" s="133">
        <v>52.54</v>
      </c>
      <c r="N58" s="133">
        <v>617.9</v>
      </c>
      <c r="O58" s="133">
        <v>0</v>
      </c>
      <c r="P58" s="133">
        <v>0.71</v>
      </c>
      <c r="Q58" s="133">
        <v>5.04</v>
      </c>
    </row>
    <row r="59" spans="1:17" customFormat="1">
      <c r="A59" s="111" t="s">
        <v>2112</v>
      </c>
      <c r="B59" s="133">
        <v>16.329999999999998</v>
      </c>
      <c r="C59" s="133">
        <v>21.25</v>
      </c>
      <c r="D59" s="133">
        <v>25.55</v>
      </c>
      <c r="E59" s="133">
        <v>9.9700000000000006</v>
      </c>
      <c r="F59" s="133">
        <v>5.26</v>
      </c>
      <c r="G59" s="133">
        <v>77.92</v>
      </c>
      <c r="H59" s="133">
        <v>25.88</v>
      </c>
      <c r="I59" s="133">
        <v>5.94</v>
      </c>
      <c r="J59" s="133">
        <v>0.33</v>
      </c>
      <c r="K59" s="133">
        <v>81.14</v>
      </c>
      <c r="L59" s="133">
        <v>31.48</v>
      </c>
      <c r="M59" s="133">
        <v>52.46</v>
      </c>
      <c r="N59" s="133">
        <v>603.9</v>
      </c>
      <c r="O59" s="133">
        <v>0</v>
      </c>
      <c r="P59" s="133">
        <v>0.71</v>
      </c>
      <c r="Q59" s="133">
        <v>5.01</v>
      </c>
    </row>
    <row r="60" spans="1:17" customFormat="1">
      <c r="A60" s="111" t="s">
        <v>2113</v>
      </c>
      <c r="B60" s="133">
        <v>15.66</v>
      </c>
      <c r="C60" s="133">
        <v>22.27</v>
      </c>
      <c r="D60" s="133">
        <v>25.54</v>
      </c>
      <c r="E60" s="133">
        <v>11.84</v>
      </c>
      <c r="F60" s="133">
        <v>5.82</v>
      </c>
      <c r="G60" s="133">
        <v>74.58</v>
      </c>
      <c r="H60" s="133">
        <v>23.6</v>
      </c>
      <c r="I60" s="133">
        <v>5.84</v>
      </c>
      <c r="J60" s="133">
        <v>0.89</v>
      </c>
      <c r="K60" s="133">
        <v>25.88</v>
      </c>
      <c r="L60" s="133">
        <v>31.17</v>
      </c>
      <c r="M60" s="133">
        <v>57.24</v>
      </c>
      <c r="N60" s="133">
        <v>497.5</v>
      </c>
      <c r="O60" s="133">
        <v>0</v>
      </c>
      <c r="P60" s="133">
        <v>0.7</v>
      </c>
      <c r="Q60" s="133">
        <v>4.99</v>
      </c>
    </row>
    <row r="61" spans="1:17" customFormat="1">
      <c r="A61" s="111" t="s">
        <v>2114</v>
      </c>
      <c r="B61" s="133">
        <v>15.45</v>
      </c>
      <c r="C61" s="133">
        <v>23.65</v>
      </c>
      <c r="D61" s="133">
        <v>26.1</v>
      </c>
      <c r="E61" s="133">
        <v>11.58</v>
      </c>
      <c r="F61" s="133">
        <v>4.83</v>
      </c>
      <c r="G61" s="133">
        <v>74.58</v>
      </c>
      <c r="H61" s="133">
        <v>23.6</v>
      </c>
      <c r="I61" s="133">
        <v>5.77</v>
      </c>
      <c r="J61" s="133">
        <v>0.76</v>
      </c>
      <c r="K61" s="133">
        <v>31.93</v>
      </c>
      <c r="L61" s="133">
        <v>31.04</v>
      </c>
      <c r="M61" s="133">
        <v>56.05</v>
      </c>
      <c r="N61" s="133">
        <v>493.7</v>
      </c>
      <c r="O61" s="133">
        <v>0</v>
      </c>
      <c r="P61" s="133">
        <v>0.7</v>
      </c>
      <c r="Q61" s="133">
        <v>4.95</v>
      </c>
    </row>
    <row r="62" spans="1:17" customFormat="1">
      <c r="A62" s="111" t="s">
        <v>2115</v>
      </c>
      <c r="B62" s="133">
        <v>15.51</v>
      </c>
      <c r="C62" s="133">
        <v>24.78</v>
      </c>
      <c r="D62" s="133">
        <v>26.73</v>
      </c>
      <c r="E62" s="133">
        <v>17.07</v>
      </c>
      <c r="F62" s="133">
        <v>4.96</v>
      </c>
      <c r="G62" s="133">
        <v>74.58</v>
      </c>
      <c r="H62" s="133">
        <v>23.6</v>
      </c>
      <c r="I62" s="133">
        <v>5.63</v>
      </c>
      <c r="J62" s="133">
        <v>0.89</v>
      </c>
      <c r="K62" s="133">
        <v>22.44</v>
      </c>
      <c r="L62" s="133">
        <v>31.05</v>
      </c>
      <c r="M62" s="133">
        <v>55.53</v>
      </c>
      <c r="N62" s="133">
        <v>503.1</v>
      </c>
      <c r="O62" s="133">
        <v>0</v>
      </c>
      <c r="P62" s="133">
        <v>0.69</v>
      </c>
      <c r="Q62" s="133">
        <v>4.96</v>
      </c>
    </row>
    <row r="63" spans="1:17" customFormat="1">
      <c r="A63" s="111" t="s">
        <v>2116</v>
      </c>
      <c r="B63" s="133">
        <v>16.84</v>
      </c>
      <c r="C63" s="133">
        <v>27.09</v>
      </c>
      <c r="D63" s="133">
        <v>29.01</v>
      </c>
      <c r="E63" s="133">
        <v>24.05</v>
      </c>
      <c r="F63" s="133">
        <v>6.34</v>
      </c>
      <c r="G63" s="133">
        <v>74.69</v>
      </c>
      <c r="H63" s="133">
        <v>23.69</v>
      </c>
      <c r="I63" s="133">
        <v>5.56</v>
      </c>
      <c r="J63" s="133">
        <v>0.85</v>
      </c>
      <c r="K63" s="133">
        <v>23.13</v>
      </c>
      <c r="L63" s="133">
        <v>31.09</v>
      </c>
      <c r="M63" s="133">
        <v>53.03</v>
      </c>
      <c r="N63" s="133">
        <v>504.7</v>
      </c>
      <c r="O63" s="133">
        <v>0</v>
      </c>
      <c r="P63" s="133">
        <v>0.69</v>
      </c>
      <c r="Q63" s="133">
        <v>4.99</v>
      </c>
    </row>
    <row r="64" spans="1:17" customFormat="1">
      <c r="A64" s="111" t="s">
        <v>2117</v>
      </c>
      <c r="B64" s="133">
        <v>16.489999999999998</v>
      </c>
      <c r="C64" s="133">
        <v>27.79</v>
      </c>
      <c r="D64" s="133">
        <v>29.09</v>
      </c>
      <c r="E64" s="133">
        <v>22.15</v>
      </c>
      <c r="F64" s="133">
        <v>7.31</v>
      </c>
      <c r="G64" s="133">
        <v>76.709999999999994</v>
      </c>
      <c r="H64" s="133">
        <v>25.16</v>
      </c>
      <c r="I64" s="133">
        <v>5.4</v>
      </c>
      <c r="J64" s="133">
        <v>0.81</v>
      </c>
      <c r="K64" s="133">
        <v>21.27</v>
      </c>
      <c r="L64" s="133">
        <v>31.11</v>
      </c>
      <c r="M64" s="133">
        <v>51.59</v>
      </c>
      <c r="N64" s="133">
        <v>498.4</v>
      </c>
      <c r="O64" s="133">
        <v>0</v>
      </c>
      <c r="P64" s="133">
        <v>0.67</v>
      </c>
      <c r="Q64" s="133">
        <v>5.01</v>
      </c>
    </row>
    <row r="65" spans="1:17" customFormat="1">
      <c r="A65" s="111" t="s">
        <v>2118</v>
      </c>
      <c r="B65" s="133">
        <v>15.54</v>
      </c>
      <c r="C65" s="133">
        <v>27.52</v>
      </c>
      <c r="D65" s="133">
        <v>28.19</v>
      </c>
      <c r="E65" s="133">
        <v>16.23</v>
      </c>
      <c r="F65" s="133">
        <v>5.89</v>
      </c>
      <c r="G65" s="133">
        <v>76.709999999999994</v>
      </c>
      <c r="H65" s="133">
        <v>25.16</v>
      </c>
      <c r="I65" s="133">
        <v>5.21</v>
      </c>
      <c r="J65" s="133">
        <v>0.75</v>
      </c>
      <c r="K65" s="133">
        <v>29.95</v>
      </c>
      <c r="L65" s="133">
        <v>31.08</v>
      </c>
      <c r="M65" s="133">
        <v>50.5</v>
      </c>
      <c r="N65" s="133">
        <v>464.1</v>
      </c>
      <c r="O65" s="133">
        <v>0</v>
      </c>
      <c r="P65" s="133">
        <v>0.66</v>
      </c>
      <c r="Q65" s="133">
        <v>5.01</v>
      </c>
    </row>
    <row r="66" spans="1:17" customFormat="1">
      <c r="A66" s="111" t="s">
        <v>2119</v>
      </c>
      <c r="B66" s="133">
        <v>14.85</v>
      </c>
      <c r="C66" s="133">
        <v>27.37</v>
      </c>
      <c r="D66" s="133">
        <v>27.56</v>
      </c>
      <c r="E66" s="133">
        <v>13.27</v>
      </c>
      <c r="F66" s="133">
        <v>6.59</v>
      </c>
      <c r="G66" s="133">
        <v>76.709999999999994</v>
      </c>
      <c r="H66" s="133">
        <v>25.16</v>
      </c>
      <c r="I66" s="133">
        <v>5.18</v>
      </c>
      <c r="J66" s="133">
        <v>0.56999999999999995</v>
      </c>
      <c r="K66" s="133">
        <v>46.88</v>
      </c>
      <c r="L66" s="133">
        <v>31.02</v>
      </c>
      <c r="M66" s="133">
        <v>52</v>
      </c>
      <c r="N66" s="133">
        <v>317.10000000000002</v>
      </c>
      <c r="O66" s="133">
        <v>0</v>
      </c>
      <c r="P66" s="133">
        <v>0.66</v>
      </c>
      <c r="Q66" s="133">
        <v>4.9800000000000004</v>
      </c>
    </row>
    <row r="67" spans="1:17" customFormat="1">
      <c r="A67" s="111" t="s">
        <v>2120</v>
      </c>
      <c r="B67" s="133">
        <v>13.88</v>
      </c>
      <c r="C67" s="133">
        <v>27.54</v>
      </c>
      <c r="D67" s="133">
        <v>26.87</v>
      </c>
      <c r="E67" s="133">
        <v>12.35</v>
      </c>
      <c r="F67" s="133">
        <v>7.89</v>
      </c>
      <c r="G67" s="133">
        <v>76.760000000000005</v>
      </c>
      <c r="H67" s="133">
        <v>25.27</v>
      </c>
      <c r="I67" s="133">
        <v>5.09</v>
      </c>
      <c r="J67" s="133">
        <v>0.74</v>
      </c>
      <c r="K67" s="133">
        <v>30.68</v>
      </c>
      <c r="L67" s="133">
        <v>30.49</v>
      </c>
      <c r="M67" s="133">
        <v>51.57</v>
      </c>
      <c r="N67" s="133">
        <v>125.1</v>
      </c>
      <c r="O67" s="133">
        <v>0</v>
      </c>
      <c r="P67" s="133">
        <v>0.66</v>
      </c>
      <c r="Q67" s="133">
        <v>4.95</v>
      </c>
    </row>
    <row r="68" spans="1:17" customFormat="1">
      <c r="A68" s="111" t="s">
        <v>2121</v>
      </c>
      <c r="B68" s="133">
        <v>12.78</v>
      </c>
      <c r="C68" s="133">
        <v>27.1</v>
      </c>
      <c r="D68" s="133">
        <v>25.76</v>
      </c>
      <c r="E68" s="133">
        <v>11.51</v>
      </c>
      <c r="F68" s="133">
        <v>8.76</v>
      </c>
      <c r="G68" s="133">
        <v>77.67</v>
      </c>
      <c r="H68" s="133">
        <v>27.1</v>
      </c>
      <c r="I68" s="133">
        <v>5.03</v>
      </c>
      <c r="J68" s="133">
        <v>0.76</v>
      </c>
      <c r="K68" s="133">
        <v>38.520000000000003</v>
      </c>
      <c r="L68" s="133">
        <v>30.25</v>
      </c>
      <c r="M68" s="133">
        <v>55.77</v>
      </c>
      <c r="N68" s="133">
        <v>106.8</v>
      </c>
      <c r="O68" s="133">
        <v>0</v>
      </c>
      <c r="P68" s="133">
        <v>0.66</v>
      </c>
      <c r="Q68" s="133">
        <v>4.93</v>
      </c>
    </row>
    <row r="69" spans="1:17" customFormat="1">
      <c r="A69" s="111" t="s">
        <v>2122</v>
      </c>
      <c r="B69" s="133">
        <v>11.59</v>
      </c>
      <c r="C69" s="133">
        <v>26.56</v>
      </c>
      <c r="D69" s="133">
        <v>24.52</v>
      </c>
      <c r="E69" s="133">
        <v>11.23</v>
      </c>
      <c r="F69" s="133">
        <v>9.2799999999999994</v>
      </c>
      <c r="G69" s="133">
        <v>77.67</v>
      </c>
      <c r="H69" s="133">
        <v>27.1</v>
      </c>
      <c r="I69" s="133">
        <v>4.88</v>
      </c>
      <c r="J69" s="133">
        <v>0.77</v>
      </c>
      <c r="K69" s="133">
        <v>22.45</v>
      </c>
      <c r="L69" s="133">
        <v>30.03</v>
      </c>
      <c r="M69" s="133">
        <v>55.64</v>
      </c>
      <c r="N69" s="133">
        <v>89.8</v>
      </c>
      <c r="O69" s="133">
        <v>0</v>
      </c>
      <c r="P69" s="133">
        <v>0.64</v>
      </c>
      <c r="Q69" s="133">
        <v>4.87</v>
      </c>
    </row>
    <row r="70" spans="1:17" customFormat="1">
      <c r="A70" s="111" t="s">
        <v>2123</v>
      </c>
      <c r="B70" s="133">
        <v>10.54</v>
      </c>
      <c r="C70" s="133">
        <v>26.8</v>
      </c>
      <c r="D70" s="133">
        <v>23.81</v>
      </c>
      <c r="E70" s="133">
        <v>11.05</v>
      </c>
      <c r="F70" s="133">
        <v>8.1999999999999993</v>
      </c>
      <c r="G70" s="133">
        <v>77.67</v>
      </c>
      <c r="H70" s="133">
        <v>27.1</v>
      </c>
      <c r="I70" s="133">
        <v>4.82</v>
      </c>
      <c r="J70" s="133">
        <v>0.67</v>
      </c>
      <c r="K70" s="133">
        <v>28.16</v>
      </c>
      <c r="L70" s="133">
        <v>29.83</v>
      </c>
      <c r="M70" s="133">
        <v>54.41</v>
      </c>
      <c r="N70" s="133">
        <v>77.599999999999994</v>
      </c>
      <c r="O70" s="133">
        <v>0</v>
      </c>
      <c r="P70" s="133">
        <v>0.64</v>
      </c>
      <c r="Q70" s="133">
        <v>4.78</v>
      </c>
    </row>
    <row r="71" spans="1:17" customFormat="1">
      <c r="A71" s="111" t="s">
        <v>2124</v>
      </c>
      <c r="B71" s="133">
        <v>9.8000000000000007</v>
      </c>
      <c r="C71" s="133">
        <v>26.36</v>
      </c>
      <c r="D71" s="133">
        <v>22.98</v>
      </c>
      <c r="E71" s="133">
        <v>12.52</v>
      </c>
      <c r="F71" s="133">
        <v>9.75</v>
      </c>
      <c r="G71" s="133">
        <v>77.510000000000005</v>
      </c>
      <c r="H71" s="133">
        <v>26.92</v>
      </c>
      <c r="I71" s="133">
        <v>4.68</v>
      </c>
      <c r="J71" s="133">
        <v>0.8</v>
      </c>
      <c r="K71" s="133">
        <v>20.89</v>
      </c>
      <c r="L71" s="133">
        <v>29.75</v>
      </c>
      <c r="M71" s="133">
        <v>52.39</v>
      </c>
      <c r="N71" s="133">
        <v>86.1</v>
      </c>
      <c r="O71" s="133">
        <v>0</v>
      </c>
      <c r="P71" s="133">
        <v>0.64</v>
      </c>
      <c r="Q71" s="133">
        <v>4.7300000000000004</v>
      </c>
    </row>
    <row r="72" spans="1:17" customFormat="1">
      <c r="A72" s="111" t="s">
        <v>2125</v>
      </c>
      <c r="B72" s="133">
        <v>9.26</v>
      </c>
      <c r="C72" s="133">
        <v>26.73</v>
      </c>
      <c r="D72" s="133">
        <v>22.75</v>
      </c>
      <c r="E72" s="133">
        <v>11.1</v>
      </c>
      <c r="F72" s="133">
        <v>8.4600000000000009</v>
      </c>
      <c r="G72" s="133">
        <v>74.23</v>
      </c>
      <c r="H72" s="133">
        <v>24.21</v>
      </c>
      <c r="I72" s="133">
        <v>4.6399999999999997</v>
      </c>
      <c r="J72" s="133">
        <v>0.54</v>
      </c>
      <c r="K72" s="133">
        <v>35.700000000000003</v>
      </c>
      <c r="L72" s="133">
        <v>29.69</v>
      </c>
      <c r="M72" s="133">
        <v>53.26</v>
      </c>
      <c r="N72" s="133">
        <v>53</v>
      </c>
      <c r="O72" s="133">
        <v>0</v>
      </c>
      <c r="P72" s="133">
        <v>0.64</v>
      </c>
      <c r="Q72" s="133">
        <v>4.6900000000000004</v>
      </c>
    </row>
    <row r="73" spans="1:17" customFormat="1">
      <c r="A73" s="111" t="s">
        <v>2126</v>
      </c>
      <c r="B73" s="133">
        <v>8.7100000000000009</v>
      </c>
      <c r="C73" s="133">
        <v>26.67</v>
      </c>
      <c r="D73" s="133">
        <v>22.27</v>
      </c>
      <c r="E73" s="133">
        <v>9.75</v>
      </c>
      <c r="F73" s="133">
        <v>7.73</v>
      </c>
      <c r="G73" s="133">
        <v>74.23</v>
      </c>
      <c r="H73" s="133">
        <v>24.21</v>
      </c>
      <c r="I73" s="133">
        <v>4.47</v>
      </c>
      <c r="J73" s="133">
        <v>0.53</v>
      </c>
      <c r="K73" s="133">
        <v>33.04</v>
      </c>
      <c r="L73" s="133">
        <v>29.53</v>
      </c>
      <c r="M73" s="133">
        <v>54.72</v>
      </c>
      <c r="N73" s="133">
        <v>44.1</v>
      </c>
      <c r="O73" s="133">
        <v>0</v>
      </c>
      <c r="P73" s="133">
        <v>0.64</v>
      </c>
      <c r="Q73" s="133">
        <v>4.66</v>
      </c>
    </row>
    <row r="74" spans="1:17" customFormat="1">
      <c r="A74" s="111" t="s">
        <v>2127</v>
      </c>
      <c r="B74" s="133">
        <v>8.27</v>
      </c>
      <c r="C74" s="133">
        <v>26.42</v>
      </c>
      <c r="D74" s="133">
        <v>21.79</v>
      </c>
      <c r="E74" s="133">
        <v>9.2899999999999991</v>
      </c>
      <c r="F74" s="133">
        <v>6.14</v>
      </c>
      <c r="G74" s="133">
        <v>74.23</v>
      </c>
      <c r="H74" s="133">
        <v>24.21</v>
      </c>
      <c r="I74" s="133">
        <v>4.4800000000000004</v>
      </c>
      <c r="J74" s="133">
        <v>0.56999999999999995</v>
      </c>
      <c r="K74" s="133">
        <v>43.63</v>
      </c>
      <c r="L74" s="133">
        <v>29.25</v>
      </c>
      <c r="M74" s="133">
        <v>55.28</v>
      </c>
      <c r="N74" s="133">
        <v>47.3</v>
      </c>
      <c r="O74" s="133">
        <v>0</v>
      </c>
      <c r="P74" s="133">
        <v>0.64</v>
      </c>
      <c r="Q74" s="133">
        <v>4.6500000000000004</v>
      </c>
    </row>
    <row r="75" spans="1:17" customFormat="1">
      <c r="A75" s="111" t="s">
        <v>2128</v>
      </c>
      <c r="B75" s="133">
        <v>7.99</v>
      </c>
      <c r="C75" s="133">
        <v>26.3</v>
      </c>
      <c r="D75" s="133">
        <v>21.5</v>
      </c>
      <c r="E75" s="133">
        <v>9.89</v>
      </c>
      <c r="F75" s="133">
        <v>7.67</v>
      </c>
      <c r="G75" s="133">
        <v>74.400000000000006</v>
      </c>
      <c r="H75" s="133">
        <v>24.39</v>
      </c>
      <c r="I75" s="133">
        <v>4.4400000000000004</v>
      </c>
      <c r="J75" s="133">
        <v>0.49</v>
      </c>
      <c r="K75" s="133">
        <v>35.44</v>
      </c>
      <c r="L75" s="133">
        <v>29.01</v>
      </c>
      <c r="M75" s="133">
        <v>55.49</v>
      </c>
      <c r="N75" s="133">
        <v>23.1</v>
      </c>
      <c r="O75" s="133">
        <v>0</v>
      </c>
      <c r="P75" s="133">
        <v>0.64</v>
      </c>
      <c r="Q75" s="133">
        <v>4.5999999999999996</v>
      </c>
    </row>
    <row r="76" spans="1:17" customFormat="1">
      <c r="A76" s="111" t="s">
        <v>2129</v>
      </c>
      <c r="B76" s="133">
        <v>7.88</v>
      </c>
      <c r="C76" s="133">
        <v>27.1</v>
      </c>
      <c r="D76" s="133">
        <v>21.83</v>
      </c>
      <c r="E76" s="133">
        <v>10.79</v>
      </c>
      <c r="F76" s="133">
        <v>7.7</v>
      </c>
      <c r="G76" s="133">
        <v>77.39</v>
      </c>
      <c r="H76" s="133">
        <v>27.33</v>
      </c>
      <c r="I76" s="133">
        <v>4.43</v>
      </c>
      <c r="J76" s="133">
        <v>0.34</v>
      </c>
      <c r="K76" s="133">
        <v>46.95</v>
      </c>
      <c r="L76" s="133">
        <v>28.75</v>
      </c>
      <c r="M76" s="133">
        <v>58.05</v>
      </c>
      <c r="N76" s="133">
        <v>11.9</v>
      </c>
      <c r="O76" s="133">
        <v>0</v>
      </c>
      <c r="P76" s="133">
        <v>0.64</v>
      </c>
      <c r="Q76" s="133">
        <v>4.62</v>
      </c>
    </row>
    <row r="77" spans="1:17" customFormat="1">
      <c r="A77" s="111" t="s">
        <v>2130</v>
      </c>
      <c r="B77" s="133">
        <v>7.98</v>
      </c>
      <c r="C77" s="133">
        <v>27.06</v>
      </c>
      <c r="D77" s="133">
        <v>21.89</v>
      </c>
      <c r="E77" s="133">
        <v>9.1</v>
      </c>
      <c r="F77" s="133">
        <v>5.81</v>
      </c>
      <c r="G77" s="133">
        <v>77.39</v>
      </c>
      <c r="H77" s="133">
        <v>27.33</v>
      </c>
      <c r="I77" s="133">
        <v>4.37</v>
      </c>
      <c r="J77" s="133">
        <v>0.28000000000000003</v>
      </c>
      <c r="K77" s="133">
        <v>50.79</v>
      </c>
      <c r="L77" s="133">
        <v>28.41</v>
      </c>
      <c r="M77" s="133">
        <v>60.3</v>
      </c>
      <c r="N77" s="133">
        <v>2</v>
      </c>
      <c r="O77" s="133">
        <v>0</v>
      </c>
      <c r="P77" s="133">
        <v>0.65</v>
      </c>
      <c r="Q77" s="133">
        <v>4.6100000000000003</v>
      </c>
    </row>
    <row r="78" spans="1:17" customFormat="1">
      <c r="A78" s="111" t="s">
        <v>2131</v>
      </c>
      <c r="B78" s="133">
        <v>8.09</v>
      </c>
      <c r="C78" s="133">
        <v>27.73</v>
      </c>
      <c r="D78" s="133">
        <v>22.33</v>
      </c>
      <c r="E78" s="133">
        <v>8.2200000000000006</v>
      </c>
      <c r="F78" s="133">
        <v>5.17</v>
      </c>
      <c r="G78" s="133">
        <v>77.39</v>
      </c>
      <c r="H78" s="133">
        <v>27.33</v>
      </c>
      <c r="I78" s="133">
        <v>4.3899999999999997</v>
      </c>
      <c r="J78" s="133">
        <v>0.21</v>
      </c>
      <c r="K78" s="133">
        <v>68.290000000000006</v>
      </c>
      <c r="L78" s="133">
        <v>28.01</v>
      </c>
      <c r="M78" s="133">
        <v>62.79</v>
      </c>
      <c r="N78" s="133">
        <v>0</v>
      </c>
      <c r="O78" s="133">
        <v>0</v>
      </c>
      <c r="P78" s="133">
        <v>0.68</v>
      </c>
      <c r="Q78" s="133">
        <v>4.5999999999999996</v>
      </c>
    </row>
    <row r="79" spans="1:17" customFormat="1">
      <c r="A79" s="111" t="s">
        <v>2132</v>
      </c>
      <c r="B79" s="133">
        <v>8.1</v>
      </c>
      <c r="C79" s="133">
        <v>27.3</v>
      </c>
      <c r="D79" s="133">
        <v>22.11</v>
      </c>
      <c r="E79" s="133">
        <v>8.33</v>
      </c>
      <c r="F79" s="133">
        <v>5.56</v>
      </c>
      <c r="G79" s="133">
        <v>77.84</v>
      </c>
      <c r="H79" s="133">
        <v>27.5</v>
      </c>
      <c r="I79" s="133">
        <v>4.45</v>
      </c>
      <c r="J79" s="133">
        <v>0.13</v>
      </c>
      <c r="K79" s="133">
        <v>133.22999999999999</v>
      </c>
      <c r="L79" s="133">
        <v>27.45</v>
      </c>
      <c r="M79" s="133">
        <v>68.62</v>
      </c>
      <c r="N79" s="133">
        <v>0</v>
      </c>
      <c r="O79" s="133">
        <v>0</v>
      </c>
      <c r="P79" s="133">
        <v>0.68</v>
      </c>
      <c r="Q79" s="133">
        <v>4.62</v>
      </c>
    </row>
    <row r="80" spans="1:17" customFormat="1">
      <c r="A80" s="111" t="s">
        <v>2133</v>
      </c>
      <c r="B80" s="133">
        <v>8.1300000000000008</v>
      </c>
      <c r="C80" s="133">
        <v>26.09</v>
      </c>
      <c r="D80" s="133">
        <v>21.5</v>
      </c>
      <c r="E80" s="133">
        <v>7.02</v>
      </c>
      <c r="F80" s="133">
        <v>4.24</v>
      </c>
      <c r="G80" s="133">
        <v>87.47</v>
      </c>
      <c r="H80" s="133">
        <v>30.14</v>
      </c>
      <c r="I80" s="133">
        <v>4.5199999999999996</v>
      </c>
      <c r="J80" s="133">
        <v>0.18</v>
      </c>
      <c r="K80" s="133">
        <v>166.45</v>
      </c>
      <c r="L80" s="133">
        <v>26.81</v>
      </c>
      <c r="M80" s="133">
        <v>72.41</v>
      </c>
      <c r="N80" s="133">
        <v>0</v>
      </c>
      <c r="O80" s="133">
        <v>0</v>
      </c>
      <c r="P80" s="133">
        <v>0.68</v>
      </c>
      <c r="Q80" s="133">
        <v>4.5999999999999996</v>
      </c>
    </row>
    <row r="81" spans="1:17" customFormat="1">
      <c r="A81" s="111" t="s">
        <v>2134</v>
      </c>
      <c r="B81" s="133">
        <v>8.49</v>
      </c>
      <c r="C81" s="133">
        <v>24.15</v>
      </c>
      <c r="D81" s="133">
        <v>20.78</v>
      </c>
      <c r="E81" s="133">
        <v>5.56</v>
      </c>
      <c r="F81" s="133">
        <v>3.29</v>
      </c>
      <c r="G81" s="133">
        <v>87.47</v>
      </c>
      <c r="H81" s="133">
        <v>30.14</v>
      </c>
      <c r="I81" s="133">
        <v>4.5</v>
      </c>
      <c r="J81" s="133">
        <v>0.2</v>
      </c>
      <c r="K81" s="133">
        <v>164.3</v>
      </c>
      <c r="L81" s="133">
        <v>26.28</v>
      </c>
      <c r="M81" s="133">
        <v>75.09</v>
      </c>
      <c r="N81" s="133">
        <v>0</v>
      </c>
      <c r="O81" s="133">
        <v>0</v>
      </c>
      <c r="P81" s="133">
        <v>0.67</v>
      </c>
      <c r="Q81" s="133">
        <v>4.58</v>
      </c>
    </row>
    <row r="82" spans="1:17" customFormat="1">
      <c r="A82" s="111" t="s">
        <v>2135</v>
      </c>
      <c r="B82" s="133">
        <v>8.9499999999999993</v>
      </c>
      <c r="C82" s="133">
        <v>21.96</v>
      </c>
      <c r="D82" s="133">
        <v>20</v>
      </c>
      <c r="E82" s="133">
        <v>6.14</v>
      </c>
      <c r="F82" s="133">
        <v>3.06</v>
      </c>
      <c r="G82" s="133">
        <v>87.47</v>
      </c>
      <c r="H82" s="133">
        <v>30.14</v>
      </c>
      <c r="I82" s="133">
        <v>4.57</v>
      </c>
      <c r="J82" s="133">
        <v>0.19</v>
      </c>
      <c r="K82" s="133">
        <v>162.68</v>
      </c>
      <c r="L82" s="133">
        <v>25.94</v>
      </c>
      <c r="M82" s="133">
        <v>75.77</v>
      </c>
      <c r="N82" s="133">
        <v>0</v>
      </c>
      <c r="O82" s="133">
        <v>0</v>
      </c>
      <c r="P82" s="133">
        <v>0.67</v>
      </c>
      <c r="Q82" s="133">
        <v>4.62</v>
      </c>
    </row>
    <row r="83" spans="1:17" customFormat="1">
      <c r="A83" s="111" t="s">
        <v>2136</v>
      </c>
      <c r="B83" s="133">
        <v>9.25</v>
      </c>
      <c r="C83" s="133">
        <v>20.77</v>
      </c>
      <c r="D83" s="133">
        <v>19.62</v>
      </c>
      <c r="E83" s="133">
        <v>6.36</v>
      </c>
      <c r="F83" s="133">
        <v>3.24</v>
      </c>
      <c r="G83" s="133">
        <v>87.86</v>
      </c>
      <c r="H83" s="133">
        <v>30.31</v>
      </c>
      <c r="I83" s="133">
        <v>4.63</v>
      </c>
      <c r="J83" s="133">
        <v>0.17</v>
      </c>
      <c r="K83" s="133">
        <v>150.34</v>
      </c>
      <c r="L83" s="133">
        <v>26.08</v>
      </c>
      <c r="M83" s="133">
        <v>73.989999999999995</v>
      </c>
      <c r="N83" s="133">
        <v>0</v>
      </c>
      <c r="O83" s="133">
        <v>0</v>
      </c>
      <c r="P83" s="133">
        <v>0.67</v>
      </c>
      <c r="Q83" s="133">
        <v>4.6100000000000003</v>
      </c>
    </row>
    <row r="84" spans="1:17" customFormat="1">
      <c r="A84" s="111" t="s">
        <v>2137</v>
      </c>
      <c r="B84" s="133">
        <v>9.4700000000000006</v>
      </c>
      <c r="C84" s="133">
        <v>19.920000000000002</v>
      </c>
      <c r="D84" s="133">
        <v>19.350000000000001</v>
      </c>
      <c r="E84" s="133">
        <v>5.48</v>
      </c>
      <c r="F84" s="133">
        <v>3.42</v>
      </c>
      <c r="G84" s="133">
        <v>94.5</v>
      </c>
      <c r="H84" s="133">
        <v>32.880000000000003</v>
      </c>
      <c r="I84" s="133">
        <v>4.72</v>
      </c>
      <c r="J84" s="133">
        <v>0.13</v>
      </c>
      <c r="K84" s="133">
        <v>163.68</v>
      </c>
      <c r="L84" s="133">
        <v>25.94</v>
      </c>
      <c r="M84" s="133">
        <v>73.52</v>
      </c>
      <c r="N84" s="133">
        <v>0</v>
      </c>
      <c r="O84" s="133">
        <v>0</v>
      </c>
      <c r="P84" s="133">
        <v>0.66</v>
      </c>
      <c r="Q84" s="133">
        <v>4.62</v>
      </c>
    </row>
    <row r="85" spans="1:17" customFormat="1">
      <c r="A85" s="111" t="s">
        <v>2138</v>
      </c>
      <c r="B85" s="133">
        <v>9.5500000000000007</v>
      </c>
      <c r="C85" s="133">
        <v>18.87</v>
      </c>
      <c r="D85" s="133">
        <v>18.87</v>
      </c>
      <c r="E85" s="133">
        <v>4.87</v>
      </c>
      <c r="F85" s="133">
        <v>3.13</v>
      </c>
      <c r="G85" s="133">
        <v>94.5</v>
      </c>
      <c r="H85" s="133">
        <v>32.880000000000003</v>
      </c>
      <c r="I85" s="133">
        <v>4.7699999999999996</v>
      </c>
      <c r="J85" s="133">
        <v>0.1</v>
      </c>
      <c r="K85" s="133">
        <v>189.51</v>
      </c>
      <c r="L85" s="133">
        <v>25.33</v>
      </c>
      <c r="M85" s="133">
        <v>77.760000000000005</v>
      </c>
      <c r="N85" s="133">
        <v>0</v>
      </c>
      <c r="O85" s="133">
        <v>0</v>
      </c>
      <c r="P85" s="133">
        <v>0.65</v>
      </c>
      <c r="Q85" s="133">
        <v>4.5999999999999996</v>
      </c>
    </row>
    <row r="86" spans="1:17" customFormat="1">
      <c r="A86" s="111" t="s">
        <v>2139</v>
      </c>
      <c r="B86" s="133">
        <v>9.81</v>
      </c>
      <c r="C86" s="133">
        <v>18.53</v>
      </c>
      <c r="D86" s="133">
        <v>18.899999999999999</v>
      </c>
      <c r="E86" s="133">
        <v>5.08</v>
      </c>
      <c r="F86" s="133">
        <v>2.89</v>
      </c>
      <c r="G86" s="133">
        <v>94.5</v>
      </c>
      <c r="H86" s="133">
        <v>32.880000000000003</v>
      </c>
      <c r="I86" s="133">
        <v>4.84</v>
      </c>
      <c r="J86" s="133">
        <v>0.11</v>
      </c>
      <c r="K86" s="133">
        <v>94.94</v>
      </c>
      <c r="L86" s="133">
        <v>25.28</v>
      </c>
      <c r="M86" s="133">
        <v>76.87</v>
      </c>
      <c r="N86" s="133">
        <v>0</v>
      </c>
      <c r="O86" s="133">
        <v>0</v>
      </c>
      <c r="P86" s="133">
        <v>0.66</v>
      </c>
      <c r="Q86" s="133">
        <v>4.58</v>
      </c>
    </row>
    <row r="87" spans="1:17" customFormat="1">
      <c r="A87" s="111" t="s">
        <v>2140</v>
      </c>
      <c r="B87" s="133">
        <v>10.119999999999999</v>
      </c>
      <c r="C87" s="133">
        <v>18.91</v>
      </c>
      <c r="D87" s="133">
        <v>19.350000000000001</v>
      </c>
      <c r="E87" s="133">
        <v>5.14</v>
      </c>
      <c r="F87" s="133">
        <v>2.88</v>
      </c>
      <c r="G87" s="133">
        <v>94.81</v>
      </c>
      <c r="H87" s="133">
        <v>32.93</v>
      </c>
      <c r="I87" s="133">
        <v>4.88</v>
      </c>
      <c r="J87" s="133">
        <v>0.11</v>
      </c>
      <c r="K87" s="133">
        <v>151.91999999999999</v>
      </c>
      <c r="L87" s="133">
        <v>25.35</v>
      </c>
      <c r="M87" s="133">
        <v>76.37</v>
      </c>
      <c r="N87" s="133">
        <v>0</v>
      </c>
      <c r="O87" s="133">
        <v>0</v>
      </c>
      <c r="P87" s="133">
        <v>0.66</v>
      </c>
      <c r="Q87" s="133">
        <v>4.59</v>
      </c>
    </row>
    <row r="88" spans="1:17" customFormat="1">
      <c r="A88" s="111" t="s">
        <v>2141</v>
      </c>
      <c r="B88" s="133">
        <v>10.48</v>
      </c>
      <c r="C88" s="133">
        <v>21.21</v>
      </c>
      <c r="D88" s="133">
        <v>20.84</v>
      </c>
      <c r="E88" s="133">
        <v>5.25</v>
      </c>
      <c r="F88" s="133">
        <v>2.59</v>
      </c>
      <c r="G88" s="133">
        <v>100.09</v>
      </c>
      <c r="H88" s="133">
        <v>33.76</v>
      </c>
      <c r="I88" s="133">
        <v>4.9800000000000004</v>
      </c>
      <c r="J88" s="133">
        <v>0.15</v>
      </c>
      <c r="K88" s="133">
        <v>175.9</v>
      </c>
      <c r="L88" s="133">
        <v>25.06</v>
      </c>
      <c r="M88" s="133">
        <v>79.41</v>
      </c>
      <c r="N88" s="133">
        <v>0</v>
      </c>
      <c r="O88" s="133">
        <v>0</v>
      </c>
      <c r="P88" s="133">
        <v>0.7</v>
      </c>
      <c r="Q88" s="133">
        <v>4.6100000000000003</v>
      </c>
    </row>
    <row r="89" spans="1:17" customFormat="1">
      <c r="A89" s="111" t="s">
        <v>2142</v>
      </c>
      <c r="B89" s="133">
        <v>10.85</v>
      </c>
      <c r="C89" s="133">
        <v>20.41</v>
      </c>
      <c r="D89" s="133">
        <v>20.72</v>
      </c>
      <c r="E89" s="133">
        <v>5.76</v>
      </c>
      <c r="F89" s="133">
        <v>2.73</v>
      </c>
      <c r="G89" s="133">
        <v>100.09</v>
      </c>
      <c r="H89" s="133">
        <v>33.76</v>
      </c>
      <c r="I89" s="133">
        <v>5.03</v>
      </c>
      <c r="J89" s="133">
        <v>0.13</v>
      </c>
      <c r="K89" s="133">
        <v>177.46</v>
      </c>
      <c r="L89" s="133">
        <v>24.62</v>
      </c>
      <c r="M89" s="133">
        <v>85.87</v>
      </c>
      <c r="N89" s="133">
        <v>0</v>
      </c>
      <c r="O89" s="133">
        <v>0</v>
      </c>
      <c r="P89" s="133">
        <v>0.7</v>
      </c>
      <c r="Q89" s="133">
        <v>4.6399999999999997</v>
      </c>
    </row>
    <row r="90" spans="1:17" customFormat="1">
      <c r="A90" s="111" t="s">
        <v>2143</v>
      </c>
      <c r="B90" s="133">
        <v>11.16</v>
      </c>
      <c r="C90" s="133">
        <v>18.73</v>
      </c>
      <c r="D90" s="133">
        <v>20.09</v>
      </c>
      <c r="E90" s="133">
        <v>4.5999999999999996</v>
      </c>
      <c r="F90" s="133">
        <v>2.95</v>
      </c>
      <c r="G90" s="133">
        <v>100.09</v>
      </c>
      <c r="H90" s="133">
        <v>33.76</v>
      </c>
      <c r="I90" s="133">
        <v>5.14</v>
      </c>
      <c r="J90" s="133">
        <v>0.1</v>
      </c>
      <c r="K90" s="133">
        <v>133.51</v>
      </c>
      <c r="L90" s="133">
        <v>24.51</v>
      </c>
      <c r="M90" s="133">
        <v>84.71</v>
      </c>
      <c r="N90" s="133">
        <v>0</v>
      </c>
      <c r="O90" s="133">
        <v>0</v>
      </c>
      <c r="P90" s="133">
        <v>0.71</v>
      </c>
      <c r="Q90" s="133">
        <v>4.68</v>
      </c>
    </row>
    <row r="91" spans="1:17" customFormat="1">
      <c r="A91" s="111" t="s">
        <v>2144</v>
      </c>
      <c r="B91" s="133">
        <v>11.48</v>
      </c>
      <c r="C91" s="133">
        <v>18.04</v>
      </c>
      <c r="D91" s="133">
        <v>19.989999999999998</v>
      </c>
      <c r="E91" s="133">
        <v>4.8899999999999997</v>
      </c>
      <c r="F91" s="133">
        <v>2.94</v>
      </c>
      <c r="G91" s="133">
        <v>99.97</v>
      </c>
      <c r="H91" s="133">
        <v>33.880000000000003</v>
      </c>
      <c r="I91" s="133">
        <v>5.2</v>
      </c>
      <c r="J91" s="133">
        <v>0.09</v>
      </c>
      <c r="K91" s="133">
        <v>133.41</v>
      </c>
      <c r="L91" s="133">
        <v>24.66</v>
      </c>
      <c r="M91" s="133">
        <v>82.95</v>
      </c>
      <c r="N91" s="133">
        <v>0</v>
      </c>
      <c r="O91" s="133">
        <v>0</v>
      </c>
      <c r="P91" s="133">
        <v>0.7</v>
      </c>
      <c r="Q91" s="133">
        <v>4.6900000000000004</v>
      </c>
    </row>
    <row r="92" spans="1:17" customFormat="1">
      <c r="A92" s="111" t="s">
        <v>2145</v>
      </c>
      <c r="B92" s="133">
        <v>11.84</v>
      </c>
      <c r="C92" s="133">
        <v>19.899999999999999</v>
      </c>
      <c r="D92" s="133">
        <v>21.24</v>
      </c>
      <c r="E92" s="133">
        <v>4.76</v>
      </c>
      <c r="F92" s="133">
        <v>2.5499999999999998</v>
      </c>
      <c r="G92" s="133">
        <v>97.92</v>
      </c>
      <c r="H92" s="133">
        <v>35.630000000000003</v>
      </c>
      <c r="I92" s="133">
        <v>5.26</v>
      </c>
      <c r="J92" s="133">
        <v>0.08</v>
      </c>
      <c r="K92" s="133">
        <v>128.13</v>
      </c>
      <c r="L92" s="133">
        <v>24.59</v>
      </c>
      <c r="M92" s="133">
        <v>84.12</v>
      </c>
      <c r="N92" s="133">
        <v>0</v>
      </c>
      <c r="O92" s="133">
        <v>0</v>
      </c>
      <c r="P92" s="133">
        <v>0.73</v>
      </c>
      <c r="Q92" s="133">
        <v>4.6900000000000004</v>
      </c>
    </row>
    <row r="93" spans="1:17" customFormat="1">
      <c r="A93" s="111" t="s">
        <v>2146</v>
      </c>
      <c r="B93" s="133">
        <v>12.23</v>
      </c>
      <c r="C93" s="133">
        <v>20.09</v>
      </c>
      <c r="D93" s="133">
        <v>21.66</v>
      </c>
      <c r="E93" s="133">
        <v>4.93</v>
      </c>
      <c r="F93" s="133">
        <v>2.63</v>
      </c>
      <c r="G93" s="133">
        <v>97.92</v>
      </c>
      <c r="H93" s="133">
        <v>35.630000000000003</v>
      </c>
      <c r="I93" s="133">
        <v>5.3</v>
      </c>
      <c r="J93" s="133">
        <v>0.1</v>
      </c>
      <c r="K93" s="133">
        <v>174.07</v>
      </c>
      <c r="L93" s="133">
        <v>24.39</v>
      </c>
      <c r="M93" s="133">
        <v>84.15</v>
      </c>
      <c r="N93" s="133">
        <v>0</v>
      </c>
      <c r="O93" s="133">
        <v>0</v>
      </c>
      <c r="P93" s="133">
        <v>0.73</v>
      </c>
      <c r="Q93" s="133">
        <v>4.72</v>
      </c>
    </row>
    <row r="94" spans="1:17" customFormat="1">
      <c r="A94" s="111" t="s">
        <v>2147</v>
      </c>
      <c r="B94" s="133">
        <v>12.58</v>
      </c>
      <c r="C94" s="133">
        <v>18.59</v>
      </c>
      <c r="D94" s="133">
        <v>21.15</v>
      </c>
      <c r="E94" s="133">
        <v>4.5999999999999996</v>
      </c>
      <c r="F94" s="133">
        <v>2.77</v>
      </c>
      <c r="G94" s="133">
        <v>97.92</v>
      </c>
      <c r="H94" s="133">
        <v>35.630000000000003</v>
      </c>
      <c r="I94" s="133">
        <v>5.4</v>
      </c>
      <c r="J94" s="133">
        <v>0.11</v>
      </c>
      <c r="K94" s="133">
        <v>195.93</v>
      </c>
      <c r="L94" s="133">
        <v>23.96</v>
      </c>
      <c r="M94" s="133">
        <v>89.24</v>
      </c>
      <c r="N94" s="133">
        <v>0</v>
      </c>
      <c r="O94" s="133">
        <v>0</v>
      </c>
      <c r="P94" s="133">
        <v>0.73</v>
      </c>
      <c r="Q94" s="133">
        <v>4.74</v>
      </c>
    </row>
    <row r="95" spans="1:17" customFormat="1">
      <c r="A95" s="111" t="s">
        <v>2148</v>
      </c>
      <c r="B95" s="133">
        <v>12.78</v>
      </c>
      <c r="C95" s="133">
        <v>19.399999999999999</v>
      </c>
      <c r="D95" s="133">
        <v>21.74</v>
      </c>
      <c r="E95" s="133">
        <v>4.8</v>
      </c>
      <c r="F95" s="133">
        <v>2.4900000000000002</v>
      </c>
      <c r="G95" s="133">
        <v>97.61</v>
      </c>
      <c r="H95" s="133">
        <v>35.78</v>
      </c>
      <c r="I95" s="133">
        <v>5.4</v>
      </c>
      <c r="J95" s="133">
        <v>0.14000000000000001</v>
      </c>
      <c r="K95" s="133">
        <v>177.39</v>
      </c>
      <c r="L95" s="133">
        <v>23.69</v>
      </c>
      <c r="M95" s="133">
        <v>91.97</v>
      </c>
      <c r="N95" s="133">
        <v>0</v>
      </c>
      <c r="O95" s="133">
        <v>0</v>
      </c>
      <c r="P95" s="133">
        <v>0.75</v>
      </c>
      <c r="Q95" s="133">
        <v>4.75</v>
      </c>
    </row>
    <row r="96" spans="1:17" customFormat="1">
      <c r="A96" s="111" t="s">
        <v>2149</v>
      </c>
      <c r="B96" s="133">
        <v>13</v>
      </c>
      <c r="C96" s="133">
        <v>18.57</v>
      </c>
      <c r="D96" s="133">
        <v>21.48</v>
      </c>
      <c r="E96" s="133">
        <v>4.9800000000000004</v>
      </c>
      <c r="F96" s="133">
        <v>2.67</v>
      </c>
      <c r="G96" s="133">
        <v>92.44</v>
      </c>
      <c r="H96" s="133">
        <v>38.200000000000003</v>
      </c>
      <c r="I96" s="133">
        <v>5.42</v>
      </c>
      <c r="J96" s="133">
        <v>0.22</v>
      </c>
      <c r="K96" s="133">
        <v>213.91</v>
      </c>
      <c r="L96" s="133">
        <v>23.4</v>
      </c>
      <c r="M96" s="133">
        <v>94.73</v>
      </c>
      <c r="N96" s="133">
        <v>0</v>
      </c>
      <c r="O96" s="133">
        <v>0</v>
      </c>
      <c r="P96" s="133">
        <v>0.75</v>
      </c>
      <c r="Q96" s="133">
        <v>4.7699999999999996</v>
      </c>
    </row>
    <row r="97" spans="1:22" customFormat="1">
      <c r="A97" s="111" t="s">
        <v>2150</v>
      </c>
      <c r="B97" s="133">
        <v>13.22</v>
      </c>
      <c r="C97" s="133">
        <v>17.53</v>
      </c>
      <c r="D97" s="133">
        <v>21.11</v>
      </c>
      <c r="E97" s="133">
        <v>4.78</v>
      </c>
      <c r="F97" s="133">
        <v>2.77</v>
      </c>
      <c r="G97" s="133">
        <v>92.44</v>
      </c>
      <c r="H97" s="133">
        <v>38.200000000000003</v>
      </c>
      <c r="I97" s="133">
        <v>5.49</v>
      </c>
      <c r="J97" s="133">
        <v>0.12</v>
      </c>
      <c r="K97" s="133">
        <v>164.25</v>
      </c>
      <c r="L97" s="133">
        <v>23.06</v>
      </c>
      <c r="M97" s="133">
        <v>94.76</v>
      </c>
      <c r="N97" s="133">
        <v>0</v>
      </c>
      <c r="O97" s="133">
        <v>0</v>
      </c>
      <c r="P97" s="133">
        <v>0.73</v>
      </c>
      <c r="Q97" s="133">
        <v>4.79</v>
      </c>
    </row>
    <row r="98" spans="1:22" customFormat="1">
      <c r="A98" s="111" t="s">
        <v>2151</v>
      </c>
      <c r="B98" s="133">
        <v>13.39</v>
      </c>
      <c r="C98" s="133">
        <v>18.8</v>
      </c>
      <c r="D98" s="133">
        <v>21.92</v>
      </c>
      <c r="E98" s="133">
        <v>4.92</v>
      </c>
      <c r="F98" s="133">
        <v>2.4</v>
      </c>
      <c r="G98" s="133">
        <v>92.44</v>
      </c>
      <c r="H98" s="133">
        <v>38.200000000000003</v>
      </c>
      <c r="I98" s="133">
        <v>5.5</v>
      </c>
      <c r="J98" s="133">
        <v>0.12</v>
      </c>
      <c r="K98" s="133">
        <v>191.45</v>
      </c>
      <c r="L98" s="133">
        <v>23.11</v>
      </c>
      <c r="M98" s="133">
        <v>92.66</v>
      </c>
      <c r="N98" s="133">
        <v>0</v>
      </c>
      <c r="O98" s="133">
        <v>0</v>
      </c>
      <c r="P98" s="133">
        <v>0.76</v>
      </c>
      <c r="Q98" s="133">
        <v>4.78</v>
      </c>
    </row>
    <row r="99" spans="1:22" customFormat="1">
      <c r="A99" s="111" t="s">
        <v>2152</v>
      </c>
      <c r="B99" s="133">
        <v>13.43</v>
      </c>
      <c r="C99" s="133">
        <v>18.28</v>
      </c>
      <c r="D99" s="133">
        <v>21.67</v>
      </c>
      <c r="E99" s="133">
        <v>5.27</v>
      </c>
      <c r="F99" s="133">
        <v>2.67</v>
      </c>
      <c r="G99" s="133">
        <v>91.64</v>
      </c>
      <c r="H99" s="133">
        <v>37.96</v>
      </c>
      <c r="I99" s="133">
        <v>5.47</v>
      </c>
      <c r="J99" s="133">
        <v>0.1</v>
      </c>
      <c r="K99" s="133">
        <v>191.85</v>
      </c>
      <c r="L99" s="133">
        <v>23.03</v>
      </c>
      <c r="M99" s="133">
        <v>92.12</v>
      </c>
      <c r="N99" s="133">
        <v>0</v>
      </c>
      <c r="O99" s="133">
        <v>0</v>
      </c>
      <c r="P99" s="133">
        <v>0.75</v>
      </c>
      <c r="Q99" s="133">
        <v>4.8099999999999996</v>
      </c>
    </row>
    <row r="100" spans="1:22" customFormat="1">
      <c r="A100" s="111" t="s">
        <v>2153</v>
      </c>
      <c r="B100" s="133">
        <v>13.44</v>
      </c>
      <c r="C100" s="133">
        <v>18.54</v>
      </c>
      <c r="D100" s="133">
        <v>21.82</v>
      </c>
      <c r="E100" s="133">
        <v>5.62</v>
      </c>
      <c r="F100" s="133">
        <v>2.82</v>
      </c>
      <c r="G100" s="133">
        <v>78.13</v>
      </c>
      <c r="H100" s="133">
        <v>34.28</v>
      </c>
      <c r="I100" s="133">
        <v>5.49</v>
      </c>
      <c r="J100" s="133">
        <v>0.15</v>
      </c>
      <c r="K100" s="133">
        <v>229.8</v>
      </c>
      <c r="L100" s="133">
        <v>22.86</v>
      </c>
      <c r="M100" s="133">
        <v>94.87</v>
      </c>
      <c r="N100" s="133">
        <v>0</v>
      </c>
      <c r="O100" s="133">
        <v>0</v>
      </c>
      <c r="P100" s="133">
        <v>0.78</v>
      </c>
      <c r="Q100" s="133">
        <v>4.83</v>
      </c>
    </row>
    <row r="101" spans="1:22" customFormat="1">
      <c r="A101" s="111" t="s">
        <v>2154</v>
      </c>
      <c r="B101" s="133">
        <v>13.63</v>
      </c>
      <c r="C101" s="133">
        <v>19.53</v>
      </c>
      <c r="D101" s="133">
        <v>22.48</v>
      </c>
      <c r="E101" s="133">
        <v>5.26</v>
      </c>
      <c r="F101" s="133">
        <v>2.78</v>
      </c>
      <c r="G101" s="133">
        <v>78.13</v>
      </c>
      <c r="H101" s="133">
        <v>34.28</v>
      </c>
      <c r="I101" s="133">
        <v>5.46</v>
      </c>
      <c r="J101" s="133">
        <v>0.12</v>
      </c>
      <c r="K101" s="133">
        <v>229.92</v>
      </c>
      <c r="L101" s="133">
        <v>22.71</v>
      </c>
      <c r="M101" s="133">
        <v>95.81</v>
      </c>
      <c r="N101" s="133">
        <v>0</v>
      </c>
      <c r="O101" s="133">
        <v>0</v>
      </c>
      <c r="P101" s="133">
        <v>0.79</v>
      </c>
      <c r="Q101" s="133">
        <v>4.8499999999999996</v>
      </c>
    </row>
    <row r="102" spans="1:22" customFormat="1">
      <c r="A102" s="111" t="s">
        <v>2155</v>
      </c>
      <c r="B102" s="133">
        <v>14.83</v>
      </c>
      <c r="C102" s="133">
        <v>20.52</v>
      </c>
      <c r="D102" s="133">
        <v>23.97</v>
      </c>
      <c r="E102" s="133">
        <v>5.7</v>
      </c>
      <c r="F102" s="133">
        <v>2.71</v>
      </c>
      <c r="G102" s="133">
        <v>78.13</v>
      </c>
      <c r="H102" s="133">
        <v>34.28</v>
      </c>
      <c r="I102" s="133">
        <v>5.47</v>
      </c>
      <c r="J102" s="133">
        <v>0.17</v>
      </c>
      <c r="K102" s="133">
        <v>214.72</v>
      </c>
      <c r="L102" s="133">
        <v>22.7</v>
      </c>
      <c r="M102" s="133">
        <v>95.04</v>
      </c>
      <c r="N102" s="133">
        <v>0</v>
      </c>
      <c r="O102" s="133">
        <v>0</v>
      </c>
      <c r="P102" s="133">
        <v>0.8</v>
      </c>
      <c r="Q102" s="133">
        <v>4.9000000000000004</v>
      </c>
    </row>
    <row r="103" spans="1:22" customFormat="1">
      <c r="A103" s="111" t="s">
        <v>2156</v>
      </c>
      <c r="B103" s="133">
        <v>15.62</v>
      </c>
      <c r="C103" s="133">
        <v>21.19</v>
      </c>
      <c r="D103" s="133">
        <v>24.94</v>
      </c>
      <c r="E103" s="133">
        <v>5.24</v>
      </c>
      <c r="F103" s="133">
        <v>2.78</v>
      </c>
      <c r="G103" s="133">
        <v>78.16</v>
      </c>
      <c r="H103" s="133">
        <v>34.19</v>
      </c>
      <c r="I103" s="133">
        <v>5.44</v>
      </c>
      <c r="J103" s="133">
        <v>0.14000000000000001</v>
      </c>
      <c r="K103" s="133">
        <v>194.24</v>
      </c>
      <c r="L103" s="133">
        <v>22.46</v>
      </c>
      <c r="M103" s="133">
        <v>95.85</v>
      </c>
      <c r="N103" s="133">
        <v>0</v>
      </c>
      <c r="O103" s="133">
        <v>0</v>
      </c>
      <c r="P103" s="133">
        <v>0.8</v>
      </c>
      <c r="Q103" s="133">
        <v>4.97</v>
      </c>
    </row>
    <row r="104" spans="1:22" customFormat="1">
      <c r="A104" s="111" t="s">
        <v>2157</v>
      </c>
      <c r="B104" s="133">
        <v>15.72</v>
      </c>
      <c r="C104" s="133">
        <v>21.38</v>
      </c>
      <c r="D104" s="133">
        <v>25.13</v>
      </c>
      <c r="E104" s="133">
        <v>5.62</v>
      </c>
      <c r="F104" s="133">
        <v>2.68</v>
      </c>
      <c r="G104" s="133">
        <v>78.69</v>
      </c>
      <c r="H104" s="133">
        <v>32.93</v>
      </c>
      <c r="I104" s="133">
        <v>5.47</v>
      </c>
      <c r="J104" s="133">
        <v>0.15</v>
      </c>
      <c r="K104" s="133">
        <v>212.29</v>
      </c>
      <c r="L104" s="133">
        <v>22.26</v>
      </c>
      <c r="M104" s="133">
        <v>95.76</v>
      </c>
      <c r="N104" s="133">
        <v>0</v>
      </c>
      <c r="O104" s="133">
        <v>0</v>
      </c>
      <c r="P104" s="133">
        <v>0.79</v>
      </c>
      <c r="Q104" s="133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7.88</v>
      </c>
      <c r="C106" s="183">
        <f>MIN(C9:C104)</f>
        <v>17.53</v>
      </c>
      <c r="D106" s="183">
        <f t="shared" ref="D106:Q106" si="0">MIN(D9:D104)</f>
        <v>18.87</v>
      </c>
      <c r="E106" s="183">
        <f t="shared" si="0"/>
        <v>4.07</v>
      </c>
      <c r="F106" s="183">
        <f t="shared" si="0"/>
        <v>2.38</v>
      </c>
      <c r="G106" s="183">
        <f t="shared" si="0"/>
        <v>59.42</v>
      </c>
      <c r="H106" s="183">
        <f t="shared" si="0"/>
        <v>23.6</v>
      </c>
      <c r="I106" s="183">
        <f t="shared" si="0"/>
        <v>4.37</v>
      </c>
      <c r="J106" s="183">
        <f t="shared" si="0"/>
        <v>0.04</v>
      </c>
      <c r="K106" s="183">
        <f t="shared" si="0"/>
        <v>10.53</v>
      </c>
      <c r="L106" s="183">
        <f t="shared" si="0"/>
        <v>22.07</v>
      </c>
      <c r="M106" s="183">
        <f t="shared" si="0"/>
        <v>50.5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4.58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24.65</v>
      </c>
      <c r="C107" s="184">
        <f t="shared" ref="C107:Q107" si="1">MAX(C9:C104)</f>
        <v>27.79</v>
      </c>
      <c r="D107" s="184">
        <f t="shared" si="1"/>
        <v>33.04</v>
      </c>
      <c r="E107" s="184">
        <f t="shared" si="1"/>
        <v>24.05</v>
      </c>
      <c r="F107" s="184">
        <f t="shared" si="1"/>
        <v>9.75</v>
      </c>
      <c r="G107" s="184">
        <f t="shared" si="1"/>
        <v>100.09</v>
      </c>
      <c r="H107" s="184">
        <f t="shared" si="1"/>
        <v>38.94</v>
      </c>
      <c r="I107" s="184">
        <f t="shared" si="1"/>
        <v>7.8</v>
      </c>
      <c r="J107" s="184">
        <f t="shared" si="1"/>
        <v>0.89</v>
      </c>
      <c r="K107" s="184">
        <f t="shared" si="1"/>
        <v>231.29</v>
      </c>
      <c r="L107" s="184">
        <f t="shared" si="1"/>
        <v>31.48</v>
      </c>
      <c r="M107" s="184">
        <f t="shared" si="1"/>
        <v>102.31</v>
      </c>
      <c r="N107" s="184">
        <f t="shared" si="1"/>
        <v>618.1</v>
      </c>
      <c r="O107" s="184">
        <f t="shared" si="1"/>
        <v>0</v>
      </c>
      <c r="P107" s="184">
        <f t="shared" si="1"/>
        <v>0.88</v>
      </c>
      <c r="Q107" s="184">
        <f t="shared" si="1"/>
        <v>5.53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17.2340625</v>
      </c>
      <c r="C108" s="183">
        <f t="shared" ref="C108:Q108" si="2">AVERAGE(C9:C104)</f>
        <v>21.880416666666662</v>
      </c>
      <c r="D108" s="183">
        <f t="shared" si="2"/>
        <v>26.603958333333324</v>
      </c>
      <c r="E108" s="183">
        <f t="shared" si="2"/>
        <v>7.4164583333333312</v>
      </c>
      <c r="F108" s="183">
        <f t="shared" si="2"/>
        <v>3.8745833333333333</v>
      </c>
      <c r="G108" s="183">
        <f t="shared" si="2"/>
        <v>80.631458333333327</v>
      </c>
      <c r="H108" s="183">
        <f t="shared" si="2"/>
        <v>31.035208333333347</v>
      </c>
      <c r="I108" s="183">
        <f t="shared" si="2"/>
        <v>6.0069791666666648</v>
      </c>
      <c r="J108" s="183">
        <f t="shared" si="2"/>
        <v>0.35260416666666661</v>
      </c>
      <c r="K108" s="183">
        <f t="shared" si="2"/>
        <v>95.122916666666654</v>
      </c>
      <c r="L108" s="183">
        <f t="shared" si="2"/>
        <v>26.097812500000003</v>
      </c>
      <c r="M108" s="183">
        <f t="shared" si="2"/>
        <v>77.677499999999995</v>
      </c>
      <c r="N108" s="183">
        <f t="shared" si="2"/>
        <v>143.37604166666668</v>
      </c>
      <c r="O108" s="183">
        <f t="shared" si="2"/>
        <v>0</v>
      </c>
      <c r="P108" s="183">
        <f t="shared" si="2"/>
        <v>0.75333333333333341</v>
      </c>
      <c r="Q108" s="183">
        <f t="shared" si="2"/>
        <v>5.0681250000000011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5.6698394255782985</v>
      </c>
      <c r="C109" s="183">
        <f t="shared" ref="C109:Q109" si="3">STDEV(C9:C104)</f>
        <v>2.8656513603888389</v>
      </c>
      <c r="D109" s="183">
        <f t="shared" si="3"/>
        <v>4.271734635747614</v>
      </c>
      <c r="E109" s="183">
        <f t="shared" si="3"/>
        <v>3.4392805181398258</v>
      </c>
      <c r="F109" s="183">
        <f t="shared" si="3"/>
        <v>1.8878625711950801</v>
      </c>
      <c r="G109" s="183">
        <f t="shared" si="3"/>
        <v>10.153173211953463</v>
      </c>
      <c r="H109" s="183">
        <f t="shared" si="3"/>
        <v>4.655222755519647</v>
      </c>
      <c r="I109" s="183">
        <f t="shared" si="3"/>
        <v>1.0214645005467538</v>
      </c>
      <c r="J109" s="183">
        <f t="shared" si="3"/>
        <v>0.25307059465136023</v>
      </c>
      <c r="K109" s="183">
        <f t="shared" si="3"/>
        <v>74.091158431484288</v>
      </c>
      <c r="L109" s="183">
        <f t="shared" si="3"/>
        <v>3.1161370158122716</v>
      </c>
      <c r="M109" s="183">
        <f t="shared" si="3"/>
        <v>16.63110547960305</v>
      </c>
      <c r="N109" s="183">
        <f t="shared" si="3"/>
        <v>218.95988180716753</v>
      </c>
      <c r="O109" s="183">
        <f t="shared" si="3"/>
        <v>0</v>
      </c>
      <c r="P109" s="183">
        <f t="shared" si="3"/>
        <v>7.296237915480594E-2</v>
      </c>
      <c r="Q109" s="183">
        <f t="shared" si="3"/>
        <v>0.31822637589580821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21/10/2023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2158</v>
      </c>
      <c r="B9" s="133">
        <v>15.01</v>
      </c>
      <c r="C9" s="133">
        <v>21.57</v>
      </c>
      <c r="D9" s="133">
        <v>24.66</v>
      </c>
      <c r="E9" s="133">
        <v>5.93</v>
      </c>
      <c r="F9" s="133">
        <v>2.7</v>
      </c>
      <c r="G9" s="133">
        <v>78.69</v>
      </c>
      <c r="H9" s="133">
        <v>32.93</v>
      </c>
      <c r="I9" s="133">
        <v>5.46</v>
      </c>
      <c r="J9" s="133">
        <v>0.09</v>
      </c>
      <c r="K9" s="133">
        <v>213.12</v>
      </c>
      <c r="L9" s="133">
        <v>22.06</v>
      </c>
      <c r="M9" s="133">
        <v>97.48</v>
      </c>
      <c r="N9" s="133">
        <v>0</v>
      </c>
      <c r="O9" s="133">
        <v>0</v>
      </c>
      <c r="P9" s="133">
        <v>0.79</v>
      </c>
      <c r="Q9" s="133">
        <v>4.99</v>
      </c>
    </row>
    <row r="10" spans="1:21" customFormat="1">
      <c r="A10" s="111" t="s">
        <v>2159</v>
      </c>
      <c r="B10" s="133">
        <v>14.65</v>
      </c>
      <c r="C10" s="133">
        <v>21.24</v>
      </c>
      <c r="D10" s="133">
        <v>24.2</v>
      </c>
      <c r="E10" s="133">
        <v>5.88</v>
      </c>
      <c r="F10" s="133">
        <v>2.64</v>
      </c>
      <c r="G10" s="133">
        <v>78.69</v>
      </c>
      <c r="H10" s="133">
        <v>32.93</v>
      </c>
      <c r="I10" s="133">
        <v>5.51</v>
      </c>
      <c r="J10" s="133">
        <v>0.09</v>
      </c>
      <c r="K10" s="133">
        <v>209.66</v>
      </c>
      <c r="L10" s="133">
        <v>21.97</v>
      </c>
      <c r="M10" s="133">
        <v>97.04</v>
      </c>
      <c r="N10" s="133">
        <v>0</v>
      </c>
      <c r="O10" s="133">
        <v>0</v>
      </c>
      <c r="P10" s="133">
        <v>0.78</v>
      </c>
      <c r="Q10" s="133">
        <v>5</v>
      </c>
    </row>
    <row r="11" spans="1:21" customFormat="1">
      <c r="A11" s="111" t="s">
        <v>2160</v>
      </c>
      <c r="B11" s="133">
        <v>14.38</v>
      </c>
      <c r="C11" s="133">
        <v>21.35</v>
      </c>
      <c r="D11" s="133">
        <v>24.04</v>
      </c>
      <c r="E11" s="133">
        <v>5.9</v>
      </c>
      <c r="F11" s="133">
        <v>2.56</v>
      </c>
      <c r="G11" s="133">
        <v>78.39</v>
      </c>
      <c r="H11" s="133">
        <v>32.92</v>
      </c>
      <c r="I11" s="133">
        <v>5.59</v>
      </c>
      <c r="J11" s="133">
        <v>0.11</v>
      </c>
      <c r="K11" s="133">
        <v>203.78</v>
      </c>
      <c r="L11" s="133">
        <v>21.96</v>
      </c>
      <c r="M11" s="133">
        <v>99.49</v>
      </c>
      <c r="N11" s="133">
        <v>0</v>
      </c>
      <c r="O11" s="133">
        <v>0</v>
      </c>
      <c r="P11" s="133">
        <v>0.8</v>
      </c>
      <c r="Q11" s="133">
        <v>4.96</v>
      </c>
    </row>
    <row r="12" spans="1:21" customFormat="1">
      <c r="A12" s="111" t="s">
        <v>2161</v>
      </c>
      <c r="B12" s="133">
        <v>14.26</v>
      </c>
      <c r="C12" s="133">
        <v>21.02</v>
      </c>
      <c r="D12" s="133">
        <v>23.77</v>
      </c>
      <c r="E12" s="133">
        <v>6.43</v>
      </c>
      <c r="F12" s="133">
        <v>2.35</v>
      </c>
      <c r="G12" s="133">
        <v>73.239999999999995</v>
      </c>
      <c r="H12" s="133">
        <v>32.909999999999997</v>
      </c>
      <c r="I12" s="133">
        <v>5.76</v>
      </c>
      <c r="J12" s="133">
        <v>0.12</v>
      </c>
      <c r="K12" s="133">
        <v>136.6</v>
      </c>
      <c r="L12" s="133">
        <v>21.99</v>
      </c>
      <c r="M12" s="133">
        <v>97.04</v>
      </c>
      <c r="N12" s="133">
        <v>0</v>
      </c>
      <c r="O12" s="133">
        <v>0</v>
      </c>
      <c r="P12" s="133">
        <v>0.78</v>
      </c>
      <c r="Q12" s="133">
        <v>4.9400000000000004</v>
      </c>
    </row>
    <row r="13" spans="1:21" customFormat="1">
      <c r="A13" s="111" t="s">
        <v>2162</v>
      </c>
      <c r="B13" s="133">
        <v>14.82</v>
      </c>
      <c r="C13" s="133">
        <v>21.06</v>
      </c>
      <c r="D13" s="133">
        <v>24.24</v>
      </c>
      <c r="E13" s="133">
        <v>5.93</v>
      </c>
      <c r="F13" s="133">
        <v>2.39</v>
      </c>
      <c r="G13" s="133">
        <v>73.239999999999995</v>
      </c>
      <c r="H13" s="133">
        <v>32.909999999999997</v>
      </c>
      <c r="I13" s="133">
        <v>6.13</v>
      </c>
      <c r="J13" s="133">
        <v>0.03</v>
      </c>
      <c r="K13" s="133">
        <v>117.85</v>
      </c>
      <c r="L13" s="133">
        <v>22.05</v>
      </c>
      <c r="M13" s="133">
        <v>98.84</v>
      </c>
      <c r="N13" s="133">
        <v>0</v>
      </c>
      <c r="O13" s="133">
        <v>0</v>
      </c>
      <c r="P13" s="133">
        <v>0.79</v>
      </c>
      <c r="Q13" s="133">
        <v>5</v>
      </c>
    </row>
    <row r="14" spans="1:21" customFormat="1">
      <c r="A14" s="111" t="s">
        <v>2163</v>
      </c>
      <c r="B14" s="133">
        <v>17.329999999999998</v>
      </c>
      <c r="C14" s="133">
        <v>22.3</v>
      </c>
      <c r="D14" s="133">
        <v>26.9</v>
      </c>
      <c r="E14" s="133">
        <v>6.16</v>
      </c>
      <c r="F14" s="133">
        <v>2.58</v>
      </c>
      <c r="G14" s="133">
        <v>73.239999999999995</v>
      </c>
      <c r="H14" s="133">
        <v>32.909999999999997</v>
      </c>
      <c r="I14" s="133">
        <v>6.51</v>
      </c>
      <c r="J14" s="133">
        <v>0.13</v>
      </c>
      <c r="K14" s="133">
        <v>164.34</v>
      </c>
      <c r="L14" s="133">
        <v>22</v>
      </c>
      <c r="M14" s="133">
        <v>99.74</v>
      </c>
      <c r="N14" s="133">
        <v>0</v>
      </c>
      <c r="O14" s="133">
        <v>0</v>
      </c>
      <c r="P14" s="133">
        <v>0.79</v>
      </c>
      <c r="Q14" s="133">
        <v>5.1100000000000003</v>
      </c>
    </row>
    <row r="15" spans="1:21" customFormat="1">
      <c r="A15" s="111" t="s">
        <v>2164</v>
      </c>
      <c r="B15" s="133">
        <v>19.27</v>
      </c>
      <c r="C15" s="133">
        <v>23.02</v>
      </c>
      <c r="D15" s="133">
        <v>28.84</v>
      </c>
      <c r="E15" s="133">
        <v>6.19</v>
      </c>
      <c r="F15" s="133">
        <v>2.52</v>
      </c>
      <c r="G15" s="133">
        <v>73.2</v>
      </c>
      <c r="H15" s="133">
        <v>32.9</v>
      </c>
      <c r="I15" s="133">
        <v>6.79</v>
      </c>
      <c r="J15" s="133">
        <v>0.11</v>
      </c>
      <c r="K15" s="133">
        <v>215.85</v>
      </c>
      <c r="L15" s="133">
        <v>21.79</v>
      </c>
      <c r="M15" s="133">
        <v>100.98</v>
      </c>
      <c r="N15" s="133">
        <v>0</v>
      </c>
      <c r="O15" s="133">
        <v>0</v>
      </c>
      <c r="P15" s="133">
        <v>0.8</v>
      </c>
      <c r="Q15" s="133">
        <v>5.24</v>
      </c>
    </row>
    <row r="16" spans="1:21" customFormat="1">
      <c r="A16" s="111" t="s">
        <v>2165</v>
      </c>
      <c r="B16" s="133">
        <v>20.79</v>
      </c>
      <c r="C16" s="133">
        <v>23.52</v>
      </c>
      <c r="D16" s="133">
        <v>30.31</v>
      </c>
      <c r="E16" s="133">
        <v>6.23</v>
      </c>
      <c r="F16" s="133">
        <v>2.5099999999999998</v>
      </c>
      <c r="G16" s="133">
        <v>72.38</v>
      </c>
      <c r="H16" s="133">
        <v>32.64</v>
      </c>
      <c r="I16" s="133">
        <v>6.99</v>
      </c>
      <c r="J16" s="133">
        <v>0.06</v>
      </c>
      <c r="K16" s="133">
        <v>88.25</v>
      </c>
      <c r="L16" s="133">
        <v>21.72</v>
      </c>
      <c r="M16" s="133">
        <v>100.26</v>
      </c>
      <c r="N16" s="133">
        <v>0</v>
      </c>
      <c r="O16" s="133">
        <v>0</v>
      </c>
      <c r="P16" s="133">
        <v>0.8</v>
      </c>
      <c r="Q16" s="133">
        <v>5.33</v>
      </c>
    </row>
    <row r="17" spans="1:17" customFormat="1">
      <c r="A17" s="111" t="s">
        <v>2166</v>
      </c>
      <c r="B17" s="133">
        <v>22.7</v>
      </c>
      <c r="C17" s="133">
        <v>23.93</v>
      </c>
      <c r="D17" s="133">
        <v>32.06</v>
      </c>
      <c r="E17" s="133">
        <v>5.78</v>
      </c>
      <c r="F17" s="133">
        <v>2.54</v>
      </c>
      <c r="G17" s="133">
        <v>72.38</v>
      </c>
      <c r="H17" s="133">
        <v>32.64</v>
      </c>
      <c r="I17" s="133">
        <v>7.11</v>
      </c>
      <c r="J17" s="133">
        <v>0.18</v>
      </c>
      <c r="K17" s="133">
        <v>33.96</v>
      </c>
      <c r="L17" s="133">
        <v>21.87</v>
      </c>
      <c r="M17" s="133">
        <v>101.81</v>
      </c>
      <c r="N17" s="133">
        <v>0</v>
      </c>
      <c r="O17" s="133">
        <v>0</v>
      </c>
      <c r="P17" s="133">
        <v>0.79</v>
      </c>
      <c r="Q17" s="133">
        <v>5.43</v>
      </c>
    </row>
    <row r="18" spans="1:17" customFormat="1">
      <c r="A18" s="111" t="s">
        <v>2167</v>
      </c>
      <c r="B18" s="133">
        <v>23.34</v>
      </c>
      <c r="C18" s="133">
        <v>24.26</v>
      </c>
      <c r="D18" s="133">
        <v>32.75</v>
      </c>
      <c r="E18" s="133">
        <v>6.82</v>
      </c>
      <c r="F18" s="133">
        <v>2.54</v>
      </c>
      <c r="G18" s="133">
        <v>72.38</v>
      </c>
      <c r="H18" s="133">
        <v>32.64</v>
      </c>
      <c r="I18" s="133">
        <v>7.13</v>
      </c>
      <c r="J18" s="133">
        <v>0.31</v>
      </c>
      <c r="K18" s="133">
        <v>32.43</v>
      </c>
      <c r="L18" s="133">
        <v>21.79</v>
      </c>
      <c r="M18" s="133">
        <v>100.17</v>
      </c>
      <c r="N18" s="133">
        <v>0</v>
      </c>
      <c r="O18" s="133">
        <v>0</v>
      </c>
      <c r="P18" s="133">
        <v>0.8</v>
      </c>
      <c r="Q18" s="133">
        <v>5.49</v>
      </c>
    </row>
    <row r="19" spans="1:17" customFormat="1">
      <c r="A19" s="111" t="s">
        <v>2168</v>
      </c>
      <c r="B19" s="133">
        <v>23.56</v>
      </c>
      <c r="C19" s="133">
        <v>24.42</v>
      </c>
      <c r="D19" s="133">
        <v>33</v>
      </c>
      <c r="E19" s="133">
        <v>7.06</v>
      </c>
      <c r="F19" s="133">
        <v>2.69</v>
      </c>
      <c r="G19" s="133">
        <v>73.11</v>
      </c>
      <c r="H19" s="133">
        <v>32.86</v>
      </c>
      <c r="I19" s="133">
        <v>7.14</v>
      </c>
      <c r="J19" s="133">
        <v>0.16</v>
      </c>
      <c r="K19" s="133">
        <v>21.31</v>
      </c>
      <c r="L19" s="133">
        <v>21.68</v>
      </c>
      <c r="M19" s="133">
        <v>99.06</v>
      </c>
      <c r="N19" s="133">
        <v>0</v>
      </c>
      <c r="O19" s="133">
        <v>0</v>
      </c>
      <c r="P19" s="133">
        <v>0.81</v>
      </c>
      <c r="Q19" s="133">
        <v>5.51</v>
      </c>
    </row>
    <row r="20" spans="1:17" customFormat="1">
      <c r="A20" s="111" t="s">
        <v>2169</v>
      </c>
      <c r="B20" s="133">
        <v>23.6</v>
      </c>
      <c r="C20" s="133">
        <v>24.71</v>
      </c>
      <c r="D20" s="133">
        <v>33.19</v>
      </c>
      <c r="E20" s="133">
        <v>6.69</v>
      </c>
      <c r="F20" s="133">
        <v>2.5299999999999998</v>
      </c>
      <c r="G20" s="133">
        <v>88.74</v>
      </c>
      <c r="H20" s="133">
        <v>36.26</v>
      </c>
      <c r="I20" s="133">
        <v>7.18</v>
      </c>
      <c r="J20" s="133">
        <v>0.09</v>
      </c>
      <c r="K20" s="133">
        <v>56.31</v>
      </c>
      <c r="L20" s="133">
        <v>21.59</v>
      </c>
      <c r="M20" s="133">
        <v>96.54</v>
      </c>
      <c r="N20" s="133">
        <v>0</v>
      </c>
      <c r="O20" s="133">
        <v>0</v>
      </c>
      <c r="P20" s="133">
        <v>0.8</v>
      </c>
      <c r="Q20" s="133">
        <v>5.53</v>
      </c>
    </row>
    <row r="21" spans="1:17" customFormat="1">
      <c r="A21" s="111" t="s">
        <v>2170</v>
      </c>
      <c r="B21" s="133">
        <v>23.58</v>
      </c>
      <c r="C21" s="133">
        <v>25</v>
      </c>
      <c r="D21" s="133">
        <v>33.32</v>
      </c>
      <c r="E21" s="133">
        <v>6.72</v>
      </c>
      <c r="F21" s="133">
        <v>2.5299999999999998</v>
      </c>
      <c r="G21" s="133">
        <v>88.74</v>
      </c>
      <c r="H21" s="133">
        <v>36.26</v>
      </c>
      <c r="I21" s="133">
        <v>7.15</v>
      </c>
      <c r="J21" s="133">
        <v>0.09</v>
      </c>
      <c r="K21" s="133">
        <v>52.22</v>
      </c>
      <c r="L21" s="133">
        <v>21.5</v>
      </c>
      <c r="M21" s="133">
        <v>96.88</v>
      </c>
      <c r="N21" s="133">
        <v>0</v>
      </c>
      <c r="O21" s="133">
        <v>0</v>
      </c>
      <c r="P21" s="133">
        <v>0.79</v>
      </c>
      <c r="Q21" s="133">
        <v>5.51</v>
      </c>
    </row>
    <row r="22" spans="1:17" customFormat="1">
      <c r="A22" s="111" t="s">
        <v>2171</v>
      </c>
      <c r="B22" s="133">
        <v>23.42</v>
      </c>
      <c r="C22" s="133">
        <v>25.33</v>
      </c>
      <c r="D22" s="133">
        <v>33.369999999999997</v>
      </c>
      <c r="E22" s="133">
        <v>6.22</v>
      </c>
      <c r="F22" s="133">
        <v>2.2999999999999998</v>
      </c>
      <c r="G22" s="133">
        <v>88.74</v>
      </c>
      <c r="H22" s="133">
        <v>36.26</v>
      </c>
      <c r="I22" s="133">
        <v>7.09</v>
      </c>
      <c r="J22" s="133">
        <v>0.12</v>
      </c>
      <c r="K22" s="133">
        <v>58.38</v>
      </c>
      <c r="L22" s="133">
        <v>21.46</v>
      </c>
      <c r="M22" s="133">
        <v>97.13</v>
      </c>
      <c r="N22" s="133">
        <v>0</v>
      </c>
      <c r="O22" s="133">
        <v>0</v>
      </c>
      <c r="P22" s="133">
        <v>0.79</v>
      </c>
      <c r="Q22" s="133">
        <v>5.51</v>
      </c>
    </row>
    <row r="23" spans="1:17" customFormat="1">
      <c r="A23" s="111" t="s">
        <v>2172</v>
      </c>
      <c r="B23" s="133">
        <v>23.34</v>
      </c>
      <c r="C23" s="133">
        <v>25.24</v>
      </c>
      <c r="D23" s="133">
        <v>33.26</v>
      </c>
      <c r="E23" s="133">
        <v>6.91</v>
      </c>
      <c r="F23" s="133">
        <v>2.35</v>
      </c>
      <c r="G23" s="133">
        <v>88.73</v>
      </c>
      <c r="H23" s="133">
        <v>36.06</v>
      </c>
      <c r="I23" s="133">
        <v>7.01</v>
      </c>
      <c r="J23" s="133">
        <v>0.22</v>
      </c>
      <c r="K23" s="133">
        <v>52.85</v>
      </c>
      <c r="L23" s="133">
        <v>21.44</v>
      </c>
      <c r="M23" s="133">
        <v>95.91</v>
      </c>
      <c r="N23" s="133">
        <v>0</v>
      </c>
      <c r="O23" s="133">
        <v>0</v>
      </c>
      <c r="P23" s="133">
        <v>0.78</v>
      </c>
      <c r="Q23" s="133">
        <v>5.52</v>
      </c>
    </row>
    <row r="24" spans="1:17" customFormat="1">
      <c r="A24" s="111" t="s">
        <v>2173</v>
      </c>
      <c r="B24" s="133">
        <v>23.58</v>
      </c>
      <c r="C24" s="133">
        <v>25.78</v>
      </c>
      <c r="D24" s="133">
        <v>33.729999999999997</v>
      </c>
      <c r="E24" s="133">
        <v>6.78</v>
      </c>
      <c r="F24" s="133">
        <v>2.44</v>
      </c>
      <c r="G24" s="133">
        <v>88.49</v>
      </c>
      <c r="H24" s="133">
        <v>32.869999999999997</v>
      </c>
      <c r="I24" s="133">
        <v>6.9</v>
      </c>
      <c r="J24" s="133">
        <v>0.4</v>
      </c>
      <c r="K24" s="133">
        <v>41.95</v>
      </c>
      <c r="L24" s="133">
        <v>21.41</v>
      </c>
      <c r="M24" s="133">
        <v>89.13</v>
      </c>
      <c r="N24" s="133">
        <v>0</v>
      </c>
      <c r="O24" s="133">
        <v>0</v>
      </c>
      <c r="P24" s="133">
        <v>0.77</v>
      </c>
      <c r="Q24" s="133">
        <v>5.51</v>
      </c>
    </row>
    <row r="25" spans="1:17" customFormat="1">
      <c r="A25" s="111" t="s">
        <v>2174</v>
      </c>
      <c r="B25" s="133">
        <v>24.03</v>
      </c>
      <c r="C25" s="133">
        <v>23.66</v>
      </c>
      <c r="D25" s="133">
        <v>32.979999999999997</v>
      </c>
      <c r="E25" s="133">
        <v>7.13</v>
      </c>
      <c r="F25" s="133">
        <v>2.83</v>
      </c>
      <c r="G25" s="133">
        <v>88.49</v>
      </c>
      <c r="H25" s="133">
        <v>32.869999999999997</v>
      </c>
      <c r="I25" s="133">
        <v>6.8</v>
      </c>
      <c r="J25" s="133">
        <v>0.34</v>
      </c>
      <c r="K25" s="133">
        <v>39.06</v>
      </c>
      <c r="L25" s="133">
        <v>21.3</v>
      </c>
      <c r="M25" s="133">
        <v>85.62</v>
      </c>
      <c r="N25" s="133">
        <v>0</v>
      </c>
      <c r="O25" s="133">
        <v>0</v>
      </c>
      <c r="P25" s="133">
        <v>0.73</v>
      </c>
      <c r="Q25" s="133">
        <v>5.5</v>
      </c>
    </row>
    <row r="26" spans="1:17" customFormat="1">
      <c r="A26" s="111" t="s">
        <v>2175</v>
      </c>
      <c r="B26" s="133">
        <v>24.2</v>
      </c>
      <c r="C26" s="133">
        <v>21.53</v>
      </c>
      <c r="D26" s="133">
        <v>32.01</v>
      </c>
      <c r="E26" s="133">
        <v>6.21</v>
      </c>
      <c r="F26" s="133">
        <v>2.85</v>
      </c>
      <c r="G26" s="133">
        <v>88.49</v>
      </c>
      <c r="H26" s="133">
        <v>32.869999999999997</v>
      </c>
      <c r="I26" s="133">
        <v>6.76</v>
      </c>
      <c r="J26" s="133">
        <v>0.23</v>
      </c>
      <c r="K26" s="133">
        <v>49.8</v>
      </c>
      <c r="L26" s="133">
        <v>21.14</v>
      </c>
      <c r="M26" s="133">
        <v>84.54</v>
      </c>
      <c r="N26" s="133">
        <v>0</v>
      </c>
      <c r="O26" s="133">
        <v>0</v>
      </c>
      <c r="P26" s="133">
        <v>0.71</v>
      </c>
      <c r="Q26" s="133">
        <v>5.5</v>
      </c>
    </row>
    <row r="27" spans="1:17" customFormat="1">
      <c r="A27" s="111" t="s">
        <v>2176</v>
      </c>
      <c r="B27" s="133">
        <v>24.28</v>
      </c>
      <c r="C27" s="133">
        <v>20.399999999999999</v>
      </c>
      <c r="D27" s="133">
        <v>31.48</v>
      </c>
      <c r="E27" s="133">
        <v>5.49</v>
      </c>
      <c r="F27" s="133">
        <v>2.7</v>
      </c>
      <c r="G27" s="133">
        <v>88.2</v>
      </c>
      <c r="H27" s="133">
        <v>32.67</v>
      </c>
      <c r="I27" s="133">
        <v>6.71</v>
      </c>
      <c r="J27" s="133">
        <v>0.13</v>
      </c>
      <c r="K27" s="133">
        <v>84.92</v>
      </c>
      <c r="L27" s="133">
        <v>20.92</v>
      </c>
      <c r="M27" s="133">
        <v>84.62</v>
      </c>
      <c r="N27" s="133">
        <v>0</v>
      </c>
      <c r="O27" s="133">
        <v>0</v>
      </c>
      <c r="P27" s="133">
        <v>0.69</v>
      </c>
      <c r="Q27" s="133">
        <v>5.48</v>
      </c>
    </row>
    <row r="28" spans="1:17" customFormat="1">
      <c r="A28" s="111" t="s">
        <v>2177</v>
      </c>
      <c r="B28" s="133">
        <v>24.07</v>
      </c>
      <c r="C28" s="133">
        <v>21.87</v>
      </c>
      <c r="D28" s="133">
        <v>32.08</v>
      </c>
      <c r="E28" s="133">
        <v>5.7</v>
      </c>
      <c r="F28" s="133">
        <v>2.5499999999999998</v>
      </c>
      <c r="G28" s="133">
        <v>81.99</v>
      </c>
      <c r="H28" s="133">
        <v>29.23</v>
      </c>
      <c r="I28" s="133">
        <v>6.64</v>
      </c>
      <c r="J28" s="133">
        <v>0.16</v>
      </c>
      <c r="K28" s="133">
        <v>64.16</v>
      </c>
      <c r="L28" s="133">
        <v>20.73</v>
      </c>
      <c r="M28" s="133">
        <v>84.19</v>
      </c>
      <c r="N28" s="133">
        <v>0</v>
      </c>
      <c r="O28" s="133">
        <v>0</v>
      </c>
      <c r="P28" s="133">
        <v>0.71</v>
      </c>
      <c r="Q28" s="133">
        <v>5.42</v>
      </c>
    </row>
    <row r="29" spans="1:17" customFormat="1">
      <c r="A29" s="111" t="s">
        <v>2178</v>
      </c>
      <c r="B29" s="133">
        <v>24.17</v>
      </c>
      <c r="C29" s="133">
        <v>22.82</v>
      </c>
      <c r="D29" s="133">
        <v>32.65</v>
      </c>
      <c r="E29" s="133">
        <v>5.88</v>
      </c>
      <c r="F29" s="133">
        <v>2.4500000000000002</v>
      </c>
      <c r="G29" s="133">
        <v>81.99</v>
      </c>
      <c r="H29" s="133">
        <v>29.23</v>
      </c>
      <c r="I29" s="133">
        <v>6.68</v>
      </c>
      <c r="J29" s="133">
        <v>0.17</v>
      </c>
      <c r="K29" s="133">
        <v>41.48</v>
      </c>
      <c r="L29" s="133">
        <v>20.58</v>
      </c>
      <c r="M29" s="133">
        <v>84.47</v>
      </c>
      <c r="N29" s="133">
        <v>0</v>
      </c>
      <c r="O29" s="133">
        <v>0</v>
      </c>
      <c r="P29" s="133">
        <v>0.72</v>
      </c>
      <c r="Q29" s="133">
        <v>5.42</v>
      </c>
    </row>
    <row r="30" spans="1:17" customFormat="1">
      <c r="A30" s="111" t="s">
        <v>2179</v>
      </c>
      <c r="B30" s="133">
        <v>24.66</v>
      </c>
      <c r="C30" s="133">
        <v>21.17</v>
      </c>
      <c r="D30" s="133">
        <v>32.18</v>
      </c>
      <c r="E30" s="133">
        <v>5.77</v>
      </c>
      <c r="F30" s="133">
        <v>2.71</v>
      </c>
      <c r="G30" s="133">
        <v>81.99</v>
      </c>
      <c r="H30" s="133">
        <v>29.23</v>
      </c>
      <c r="I30" s="133">
        <v>6.64</v>
      </c>
      <c r="J30" s="133">
        <v>0.19</v>
      </c>
      <c r="K30" s="133">
        <v>45.55</v>
      </c>
      <c r="L30" s="133">
        <v>20.28</v>
      </c>
      <c r="M30" s="133">
        <v>84.33</v>
      </c>
      <c r="N30" s="133">
        <v>0</v>
      </c>
      <c r="O30" s="133">
        <v>0</v>
      </c>
      <c r="P30" s="133">
        <v>0.69</v>
      </c>
      <c r="Q30" s="133">
        <v>5.46</v>
      </c>
    </row>
    <row r="31" spans="1:17" customFormat="1">
      <c r="A31" s="111" t="s">
        <v>2180</v>
      </c>
      <c r="B31" s="133">
        <v>25.12</v>
      </c>
      <c r="C31" s="133">
        <v>22.24</v>
      </c>
      <c r="D31" s="133">
        <v>33.11</v>
      </c>
      <c r="E31" s="133">
        <v>5.72</v>
      </c>
      <c r="F31" s="133">
        <v>2.6</v>
      </c>
      <c r="G31" s="133">
        <v>81.72</v>
      </c>
      <c r="H31" s="133">
        <v>29.08</v>
      </c>
      <c r="I31" s="133">
        <v>6.6</v>
      </c>
      <c r="J31" s="133">
        <v>0.21</v>
      </c>
      <c r="K31" s="133">
        <v>40.770000000000003</v>
      </c>
      <c r="L31" s="133">
        <v>20.29</v>
      </c>
      <c r="M31" s="133">
        <v>84.76</v>
      </c>
      <c r="N31" s="133">
        <v>0</v>
      </c>
      <c r="O31" s="133">
        <v>0</v>
      </c>
      <c r="P31" s="133">
        <v>0.69</v>
      </c>
      <c r="Q31" s="133">
        <v>5.48</v>
      </c>
    </row>
    <row r="32" spans="1:17" customFormat="1">
      <c r="A32" s="111" t="s">
        <v>2181</v>
      </c>
      <c r="B32" s="133">
        <v>25.49</v>
      </c>
      <c r="C32" s="133">
        <v>22.92</v>
      </c>
      <c r="D32" s="133">
        <v>33.76</v>
      </c>
      <c r="E32" s="133">
        <v>5.99</v>
      </c>
      <c r="F32" s="133">
        <v>2.5299999999999998</v>
      </c>
      <c r="G32" s="133">
        <v>75.91</v>
      </c>
      <c r="H32" s="133">
        <v>26.72</v>
      </c>
      <c r="I32" s="133">
        <v>6.51</v>
      </c>
      <c r="J32" s="133">
        <v>0.14000000000000001</v>
      </c>
      <c r="K32" s="133">
        <v>65.239999999999995</v>
      </c>
      <c r="L32" s="133">
        <v>20.29</v>
      </c>
      <c r="M32" s="133">
        <v>85.13</v>
      </c>
      <c r="N32" s="133">
        <v>0</v>
      </c>
      <c r="O32" s="133">
        <v>0</v>
      </c>
      <c r="P32" s="133">
        <v>0.7</v>
      </c>
      <c r="Q32" s="133">
        <v>5.5</v>
      </c>
    </row>
    <row r="33" spans="1:17" customFormat="1">
      <c r="A33" s="111" t="s">
        <v>2182</v>
      </c>
      <c r="B33" s="133">
        <v>25.88</v>
      </c>
      <c r="C33" s="133">
        <v>23.29</v>
      </c>
      <c r="D33" s="133">
        <v>34.270000000000003</v>
      </c>
      <c r="E33" s="133">
        <v>5.75</v>
      </c>
      <c r="F33" s="133">
        <v>2.38</v>
      </c>
      <c r="G33" s="133">
        <v>75.91</v>
      </c>
      <c r="H33" s="133">
        <v>26.72</v>
      </c>
      <c r="I33" s="133">
        <v>6.53</v>
      </c>
      <c r="J33" s="133">
        <v>0.13</v>
      </c>
      <c r="K33" s="133">
        <v>45.9</v>
      </c>
      <c r="L33" s="133">
        <v>20.21</v>
      </c>
      <c r="M33" s="133">
        <v>86.96</v>
      </c>
      <c r="N33" s="133">
        <v>1</v>
      </c>
      <c r="O33" s="133">
        <v>0</v>
      </c>
      <c r="P33" s="133">
        <v>0.7</v>
      </c>
      <c r="Q33" s="133">
        <v>5.51</v>
      </c>
    </row>
    <row r="34" spans="1:17" customFormat="1">
      <c r="A34" s="111" t="s">
        <v>2183</v>
      </c>
      <c r="B34" s="133">
        <v>26.72</v>
      </c>
      <c r="C34" s="133">
        <v>21.9</v>
      </c>
      <c r="D34" s="133">
        <v>34.22</v>
      </c>
      <c r="E34" s="133">
        <v>5.41</v>
      </c>
      <c r="F34" s="133">
        <v>2.83</v>
      </c>
      <c r="G34" s="133">
        <v>75.91</v>
      </c>
      <c r="H34" s="133">
        <v>26.72</v>
      </c>
      <c r="I34" s="133">
        <v>6.53</v>
      </c>
      <c r="J34" s="133">
        <v>0.2</v>
      </c>
      <c r="K34" s="133">
        <v>42.9</v>
      </c>
      <c r="L34" s="133">
        <v>20.34</v>
      </c>
      <c r="M34" s="133">
        <v>85.81</v>
      </c>
      <c r="N34" s="133">
        <v>9.5</v>
      </c>
      <c r="O34" s="133">
        <v>0</v>
      </c>
      <c r="P34" s="133">
        <v>0.69</v>
      </c>
      <c r="Q34" s="133">
        <v>5.56</v>
      </c>
    </row>
    <row r="35" spans="1:17" customFormat="1">
      <c r="A35" s="111" t="s">
        <v>2184</v>
      </c>
      <c r="B35" s="133">
        <v>27.15</v>
      </c>
      <c r="C35" s="133">
        <v>22.88</v>
      </c>
      <c r="D35" s="133">
        <v>35.08</v>
      </c>
      <c r="E35" s="133">
        <v>5.51</v>
      </c>
      <c r="F35" s="133">
        <v>2.4500000000000002</v>
      </c>
      <c r="G35" s="133">
        <v>75.7</v>
      </c>
      <c r="H35" s="133">
        <v>26.63</v>
      </c>
      <c r="I35" s="133">
        <v>6.53</v>
      </c>
      <c r="J35" s="133">
        <v>0.23</v>
      </c>
      <c r="K35" s="133">
        <v>36.81</v>
      </c>
      <c r="L35" s="133">
        <v>20.66</v>
      </c>
      <c r="M35" s="133">
        <v>83.49</v>
      </c>
      <c r="N35" s="133">
        <v>21.8</v>
      </c>
      <c r="O35" s="133">
        <v>0</v>
      </c>
      <c r="P35" s="133">
        <v>0.7</v>
      </c>
      <c r="Q35" s="133">
        <v>5.59</v>
      </c>
    </row>
    <row r="36" spans="1:17" customFormat="1">
      <c r="A36" s="111" t="s">
        <v>2185</v>
      </c>
      <c r="B36" s="133">
        <v>27.64</v>
      </c>
      <c r="C36" s="133">
        <v>22.18</v>
      </c>
      <c r="D36" s="133">
        <v>35.1</v>
      </c>
      <c r="E36" s="133">
        <v>5.39</v>
      </c>
      <c r="F36" s="133">
        <v>2.61</v>
      </c>
      <c r="G36" s="133">
        <v>72.12</v>
      </c>
      <c r="H36" s="133">
        <v>25.02</v>
      </c>
      <c r="I36" s="133">
        <v>6.49</v>
      </c>
      <c r="J36" s="133">
        <v>0.38</v>
      </c>
      <c r="K36" s="133">
        <v>36.880000000000003</v>
      </c>
      <c r="L36" s="133">
        <v>21.06</v>
      </c>
      <c r="M36" s="133">
        <v>81.400000000000006</v>
      </c>
      <c r="N36" s="133">
        <v>34.299999999999997</v>
      </c>
      <c r="O36" s="133">
        <v>0</v>
      </c>
      <c r="P36" s="133">
        <v>0.7</v>
      </c>
      <c r="Q36" s="133">
        <v>5.61</v>
      </c>
    </row>
    <row r="37" spans="1:17" customFormat="1">
      <c r="A37" s="111" t="s">
        <v>2186</v>
      </c>
      <c r="B37" s="133">
        <v>27.69</v>
      </c>
      <c r="C37" s="133">
        <v>23.09</v>
      </c>
      <c r="D37" s="133">
        <v>35.619999999999997</v>
      </c>
      <c r="E37" s="133">
        <v>5.54</v>
      </c>
      <c r="F37" s="133">
        <v>2.4300000000000002</v>
      </c>
      <c r="G37" s="133">
        <v>72.12</v>
      </c>
      <c r="H37" s="133">
        <v>25.02</v>
      </c>
      <c r="I37" s="133">
        <v>6.55</v>
      </c>
      <c r="J37" s="133">
        <v>0.41</v>
      </c>
      <c r="K37" s="133">
        <v>36.1</v>
      </c>
      <c r="L37" s="133">
        <v>21.48</v>
      </c>
      <c r="M37" s="133">
        <v>79.62</v>
      </c>
      <c r="N37" s="133">
        <v>46.5</v>
      </c>
      <c r="O37" s="133">
        <v>0</v>
      </c>
      <c r="P37" s="133">
        <v>0.72</v>
      </c>
      <c r="Q37" s="133">
        <v>5.6</v>
      </c>
    </row>
    <row r="38" spans="1:17" customFormat="1">
      <c r="A38" s="111" t="s">
        <v>2187</v>
      </c>
      <c r="B38" s="133">
        <v>27.83</v>
      </c>
      <c r="C38" s="133">
        <v>22.29</v>
      </c>
      <c r="D38" s="133">
        <v>35.32</v>
      </c>
      <c r="E38" s="133">
        <v>5.81</v>
      </c>
      <c r="F38" s="133">
        <v>2.74</v>
      </c>
      <c r="G38" s="133">
        <v>72.12</v>
      </c>
      <c r="H38" s="133">
        <v>25.02</v>
      </c>
      <c r="I38" s="133">
        <v>6.55</v>
      </c>
      <c r="J38" s="133">
        <v>0.54</v>
      </c>
      <c r="K38" s="133">
        <v>16.89</v>
      </c>
      <c r="L38" s="133">
        <v>22.01</v>
      </c>
      <c r="M38" s="133">
        <v>77.39</v>
      </c>
      <c r="N38" s="133">
        <v>77.5</v>
      </c>
      <c r="O38" s="133">
        <v>0</v>
      </c>
      <c r="P38" s="133">
        <v>0.71</v>
      </c>
      <c r="Q38" s="133">
        <v>5.6</v>
      </c>
    </row>
    <row r="39" spans="1:17" customFormat="1">
      <c r="A39" s="111" t="s">
        <v>2188</v>
      </c>
      <c r="B39" s="133">
        <v>28.05</v>
      </c>
      <c r="C39" s="133">
        <v>21.33</v>
      </c>
      <c r="D39" s="133">
        <v>34.99</v>
      </c>
      <c r="E39" s="133">
        <v>5.35</v>
      </c>
      <c r="F39" s="133">
        <v>2.8</v>
      </c>
      <c r="G39" s="133">
        <v>72.010000000000005</v>
      </c>
      <c r="H39" s="133">
        <v>24.94</v>
      </c>
      <c r="I39" s="133">
        <v>6.64</v>
      </c>
      <c r="J39" s="133">
        <v>0.61</v>
      </c>
      <c r="K39" s="133">
        <v>21.81</v>
      </c>
      <c r="L39" s="133">
        <v>22.61</v>
      </c>
      <c r="M39" s="133">
        <v>75.12</v>
      </c>
      <c r="N39" s="133">
        <v>205</v>
      </c>
      <c r="O39" s="133">
        <v>0</v>
      </c>
      <c r="P39" s="133">
        <v>0.71</v>
      </c>
      <c r="Q39" s="133">
        <v>5.6</v>
      </c>
    </row>
    <row r="40" spans="1:17" customFormat="1">
      <c r="A40" s="111" t="s">
        <v>2189</v>
      </c>
      <c r="B40" s="133">
        <v>27.84</v>
      </c>
      <c r="C40" s="133">
        <v>23.21</v>
      </c>
      <c r="D40" s="133">
        <v>35.81</v>
      </c>
      <c r="E40" s="133">
        <v>5.74</v>
      </c>
      <c r="F40" s="133">
        <v>2.46</v>
      </c>
      <c r="G40" s="133">
        <v>70.13</v>
      </c>
      <c r="H40" s="133">
        <v>23.62</v>
      </c>
      <c r="I40" s="133">
        <v>6.69</v>
      </c>
      <c r="J40" s="133">
        <v>0.67</v>
      </c>
      <c r="K40" s="133">
        <v>39.369999999999997</v>
      </c>
      <c r="L40" s="133">
        <v>23.29</v>
      </c>
      <c r="M40" s="133">
        <v>70.55</v>
      </c>
      <c r="N40" s="133">
        <v>263.60000000000002</v>
      </c>
      <c r="O40" s="133">
        <v>0</v>
      </c>
      <c r="P40" s="133">
        <v>0.73</v>
      </c>
      <c r="Q40" s="133">
        <v>5.62</v>
      </c>
    </row>
    <row r="41" spans="1:17" customFormat="1">
      <c r="A41" s="111" t="s">
        <v>2190</v>
      </c>
      <c r="B41" s="133">
        <v>27.61</v>
      </c>
      <c r="C41" s="133">
        <v>21.97</v>
      </c>
      <c r="D41" s="133">
        <v>34.979999999999997</v>
      </c>
      <c r="E41" s="133">
        <v>5.42</v>
      </c>
      <c r="F41" s="133">
        <v>2.86</v>
      </c>
      <c r="G41" s="133">
        <v>70.13</v>
      </c>
      <c r="H41" s="133">
        <v>23.62</v>
      </c>
      <c r="I41" s="133">
        <v>6.69</v>
      </c>
      <c r="J41" s="133">
        <v>0.67</v>
      </c>
      <c r="K41" s="133">
        <v>37.21</v>
      </c>
      <c r="L41" s="133">
        <v>24.03</v>
      </c>
      <c r="M41" s="133">
        <v>67.37</v>
      </c>
      <c r="N41" s="133">
        <v>312.7</v>
      </c>
      <c r="O41" s="133">
        <v>0</v>
      </c>
      <c r="P41" s="133">
        <v>0.72</v>
      </c>
      <c r="Q41" s="133">
        <v>5.6</v>
      </c>
    </row>
    <row r="42" spans="1:17" customFormat="1">
      <c r="A42" s="111" t="s">
        <v>2191</v>
      </c>
      <c r="B42" s="133">
        <v>27.12</v>
      </c>
      <c r="C42" s="133">
        <v>21.49</v>
      </c>
      <c r="D42" s="133">
        <v>34.32</v>
      </c>
      <c r="E42" s="133">
        <v>5.67</v>
      </c>
      <c r="F42" s="133">
        <v>3.1</v>
      </c>
      <c r="G42" s="133">
        <v>70.13</v>
      </c>
      <c r="H42" s="133">
        <v>23.62</v>
      </c>
      <c r="I42" s="133">
        <v>6.74</v>
      </c>
      <c r="J42" s="133">
        <v>0.73</v>
      </c>
      <c r="K42" s="133">
        <v>39.33</v>
      </c>
      <c r="L42" s="133">
        <v>24.92</v>
      </c>
      <c r="M42" s="133">
        <v>63.6</v>
      </c>
      <c r="N42" s="133">
        <v>357.7</v>
      </c>
      <c r="O42" s="133">
        <v>0</v>
      </c>
      <c r="P42" s="133">
        <v>0.71</v>
      </c>
      <c r="Q42" s="133">
        <v>5.59</v>
      </c>
    </row>
    <row r="43" spans="1:17" customFormat="1">
      <c r="A43" s="111" t="s">
        <v>2192</v>
      </c>
      <c r="B43" s="133">
        <v>25.7</v>
      </c>
      <c r="C43" s="133">
        <v>22.7</v>
      </c>
      <c r="D43" s="133">
        <v>33.82</v>
      </c>
      <c r="E43" s="133">
        <v>5.49</v>
      </c>
      <c r="F43" s="133">
        <v>2.96</v>
      </c>
      <c r="G43" s="133">
        <v>70.22</v>
      </c>
      <c r="H43" s="133">
        <v>23.6</v>
      </c>
      <c r="I43" s="133">
        <v>6.72</v>
      </c>
      <c r="J43" s="133">
        <v>0.85</v>
      </c>
      <c r="K43" s="133">
        <v>29.52</v>
      </c>
      <c r="L43" s="133">
        <v>25.52</v>
      </c>
      <c r="M43" s="133">
        <v>61.28</v>
      </c>
      <c r="N43" s="133">
        <v>399.3</v>
      </c>
      <c r="O43" s="133">
        <v>0</v>
      </c>
      <c r="P43" s="133">
        <v>0.74</v>
      </c>
      <c r="Q43" s="133">
        <v>5.51</v>
      </c>
    </row>
    <row r="44" spans="1:17" customFormat="1">
      <c r="A44" s="111" t="s">
        <v>2193</v>
      </c>
      <c r="B44" s="133">
        <v>23.96</v>
      </c>
      <c r="C44" s="133">
        <v>23.62</v>
      </c>
      <c r="D44" s="133">
        <v>32.9</v>
      </c>
      <c r="E44" s="133">
        <v>5.88</v>
      </c>
      <c r="F44" s="133">
        <v>3.65</v>
      </c>
      <c r="G44" s="133">
        <v>71.62</v>
      </c>
      <c r="H44" s="133">
        <v>23.28</v>
      </c>
      <c r="I44" s="133">
        <v>6.68</v>
      </c>
      <c r="J44" s="133">
        <v>0.79</v>
      </c>
      <c r="K44" s="133">
        <v>38.409999999999997</v>
      </c>
      <c r="L44" s="133">
        <v>26.03</v>
      </c>
      <c r="M44" s="133">
        <v>59.09</v>
      </c>
      <c r="N44" s="133">
        <v>434.3</v>
      </c>
      <c r="O44" s="133">
        <v>0</v>
      </c>
      <c r="P44" s="133">
        <v>0.75</v>
      </c>
      <c r="Q44" s="133">
        <v>5.45</v>
      </c>
    </row>
    <row r="45" spans="1:17" customFormat="1">
      <c r="A45" s="111" t="s">
        <v>2194</v>
      </c>
      <c r="B45" s="133">
        <v>22.26</v>
      </c>
      <c r="C45" s="133">
        <v>24.35</v>
      </c>
      <c r="D45" s="133">
        <v>31.93</v>
      </c>
      <c r="E45" s="133">
        <v>5.78</v>
      </c>
      <c r="F45" s="133">
        <v>3.63</v>
      </c>
      <c r="G45" s="133">
        <v>71.62</v>
      </c>
      <c r="H45" s="133">
        <v>23.28</v>
      </c>
      <c r="I45" s="133">
        <v>6.61</v>
      </c>
      <c r="J45" s="133">
        <v>0.56000000000000005</v>
      </c>
      <c r="K45" s="133">
        <v>42.64</v>
      </c>
      <c r="L45" s="133">
        <v>26.86</v>
      </c>
      <c r="M45" s="133">
        <v>58.66</v>
      </c>
      <c r="N45" s="133">
        <v>464.4</v>
      </c>
      <c r="O45" s="133">
        <v>0</v>
      </c>
      <c r="P45" s="133">
        <v>0.75</v>
      </c>
      <c r="Q45" s="133">
        <v>5.37</v>
      </c>
    </row>
    <row r="46" spans="1:17" customFormat="1">
      <c r="A46" s="111" t="s">
        <v>2195</v>
      </c>
      <c r="B46" s="133">
        <v>20.86</v>
      </c>
      <c r="C46" s="133">
        <v>24.87</v>
      </c>
      <c r="D46" s="133">
        <v>31.07</v>
      </c>
      <c r="E46" s="133">
        <v>5</v>
      </c>
      <c r="F46" s="133">
        <v>3.26</v>
      </c>
      <c r="G46" s="133">
        <v>71.62</v>
      </c>
      <c r="H46" s="133">
        <v>23.28</v>
      </c>
      <c r="I46" s="133">
        <v>6.58</v>
      </c>
      <c r="J46" s="133">
        <v>0.51</v>
      </c>
      <c r="K46" s="133">
        <v>43.1</v>
      </c>
      <c r="L46" s="133">
        <v>27.54</v>
      </c>
      <c r="M46" s="133">
        <v>57.02</v>
      </c>
      <c r="N46" s="133">
        <v>357.9</v>
      </c>
      <c r="O46" s="133">
        <v>0</v>
      </c>
      <c r="P46" s="133">
        <v>0.76</v>
      </c>
      <c r="Q46" s="133">
        <v>5.31</v>
      </c>
    </row>
    <row r="47" spans="1:17" customFormat="1">
      <c r="A47" s="111" t="s">
        <v>2196</v>
      </c>
      <c r="B47" s="133">
        <v>19.190000000000001</v>
      </c>
      <c r="C47" s="133">
        <v>25.14</v>
      </c>
      <c r="D47" s="133">
        <v>29.88</v>
      </c>
      <c r="E47" s="133">
        <v>5.74</v>
      </c>
      <c r="F47" s="133">
        <v>3.88</v>
      </c>
      <c r="G47" s="133">
        <v>71.8</v>
      </c>
      <c r="H47" s="133">
        <v>23.25</v>
      </c>
      <c r="I47" s="133">
        <v>6.56</v>
      </c>
      <c r="J47" s="133">
        <v>0.64</v>
      </c>
      <c r="K47" s="133">
        <v>34.75</v>
      </c>
      <c r="L47" s="133">
        <v>27.99</v>
      </c>
      <c r="M47" s="133">
        <v>54.39</v>
      </c>
      <c r="N47" s="133">
        <v>346.4</v>
      </c>
      <c r="O47" s="133">
        <v>0</v>
      </c>
      <c r="P47" s="133">
        <v>0.76</v>
      </c>
      <c r="Q47" s="133">
        <v>5.24</v>
      </c>
    </row>
    <row r="48" spans="1:17" customFormat="1">
      <c r="A48" s="111" t="s">
        <v>2197</v>
      </c>
      <c r="B48" s="133">
        <v>17.77</v>
      </c>
      <c r="C48" s="133">
        <v>25.61</v>
      </c>
      <c r="D48" s="133">
        <v>28.98</v>
      </c>
      <c r="E48" s="133">
        <v>5.94</v>
      </c>
      <c r="F48" s="133">
        <v>3.84</v>
      </c>
      <c r="G48" s="133">
        <v>75.72</v>
      </c>
      <c r="H48" s="133">
        <v>22.87</v>
      </c>
      <c r="I48" s="133">
        <v>6.54</v>
      </c>
      <c r="J48" s="133">
        <v>0.6</v>
      </c>
      <c r="K48" s="133">
        <v>34.26</v>
      </c>
      <c r="L48" s="133">
        <v>28.32</v>
      </c>
      <c r="M48" s="133">
        <v>51.97</v>
      </c>
      <c r="N48" s="133">
        <v>551.79999999999995</v>
      </c>
      <c r="O48" s="133">
        <v>0</v>
      </c>
      <c r="P48" s="133">
        <v>0.76</v>
      </c>
      <c r="Q48" s="133">
        <v>5.17</v>
      </c>
    </row>
    <row r="49" spans="1:17" customFormat="1">
      <c r="A49" s="111" t="s">
        <v>2198</v>
      </c>
      <c r="B49" s="133">
        <v>16.32</v>
      </c>
      <c r="C49" s="133">
        <v>25.83</v>
      </c>
      <c r="D49" s="133">
        <v>27.93</v>
      </c>
      <c r="E49" s="133">
        <v>5.96</v>
      </c>
      <c r="F49" s="133">
        <v>4.3899999999999997</v>
      </c>
      <c r="G49" s="133">
        <v>75.72</v>
      </c>
      <c r="H49" s="133">
        <v>22.87</v>
      </c>
      <c r="I49" s="133">
        <v>6.45</v>
      </c>
      <c r="J49" s="133">
        <v>0.42</v>
      </c>
      <c r="K49" s="133">
        <v>63.31</v>
      </c>
      <c r="L49" s="133">
        <v>28.94</v>
      </c>
      <c r="M49" s="133">
        <v>48.3</v>
      </c>
      <c r="N49" s="133">
        <v>588.5</v>
      </c>
      <c r="O49" s="133">
        <v>0</v>
      </c>
      <c r="P49" s="133">
        <v>0.75</v>
      </c>
      <c r="Q49" s="133">
        <v>5.1100000000000003</v>
      </c>
    </row>
    <row r="50" spans="1:17" customFormat="1">
      <c r="A50" s="111" t="s">
        <v>2199</v>
      </c>
      <c r="B50" s="133">
        <v>14.7</v>
      </c>
      <c r="C50" s="133">
        <v>26.16</v>
      </c>
      <c r="D50" s="133">
        <v>26.81</v>
      </c>
      <c r="E50" s="133">
        <v>6.54</v>
      </c>
      <c r="F50" s="133">
        <v>4.05</v>
      </c>
      <c r="G50" s="133">
        <v>75.72</v>
      </c>
      <c r="H50" s="133">
        <v>22.87</v>
      </c>
      <c r="I50" s="133">
        <v>6.44</v>
      </c>
      <c r="J50" s="133">
        <v>0.25</v>
      </c>
      <c r="K50" s="133">
        <v>116.64</v>
      </c>
      <c r="L50" s="133">
        <v>30.13</v>
      </c>
      <c r="M50" s="133">
        <v>45.17</v>
      </c>
      <c r="N50" s="133">
        <v>618.9</v>
      </c>
      <c r="O50" s="133">
        <v>0</v>
      </c>
      <c r="P50" s="133">
        <v>0.74</v>
      </c>
      <c r="Q50" s="133">
        <v>5.03</v>
      </c>
    </row>
    <row r="51" spans="1:17" customFormat="1">
      <c r="A51" s="111" t="s">
        <v>2200</v>
      </c>
      <c r="B51" s="133">
        <v>13</v>
      </c>
      <c r="C51" s="133">
        <v>25.92</v>
      </c>
      <c r="D51" s="133">
        <v>25.32</v>
      </c>
      <c r="E51" s="133">
        <v>7.98</v>
      </c>
      <c r="F51" s="133">
        <v>6.87</v>
      </c>
      <c r="G51" s="133">
        <v>75.790000000000006</v>
      </c>
      <c r="H51" s="133">
        <v>22.95</v>
      </c>
      <c r="I51" s="133">
        <v>6.37</v>
      </c>
      <c r="J51" s="133">
        <v>0.4</v>
      </c>
      <c r="K51" s="133">
        <v>49.18</v>
      </c>
      <c r="L51" s="133">
        <v>30.18</v>
      </c>
      <c r="M51" s="133">
        <v>44.14</v>
      </c>
      <c r="N51" s="133">
        <v>638.1</v>
      </c>
      <c r="O51" s="133">
        <v>0</v>
      </c>
      <c r="P51" s="133">
        <v>0.72</v>
      </c>
      <c r="Q51" s="133">
        <v>4.93</v>
      </c>
    </row>
    <row r="52" spans="1:17" customFormat="1">
      <c r="A52" s="111" t="s">
        <v>2201</v>
      </c>
      <c r="B52" s="133">
        <v>11.62</v>
      </c>
      <c r="C52" s="133">
        <v>25.7</v>
      </c>
      <c r="D52" s="133">
        <v>24.1</v>
      </c>
      <c r="E52" s="133">
        <v>8.17</v>
      </c>
      <c r="F52" s="133">
        <v>5.34</v>
      </c>
      <c r="G52" s="133">
        <v>77.11</v>
      </c>
      <c r="H52" s="133">
        <v>24.25</v>
      </c>
      <c r="I52" s="133">
        <v>6.29</v>
      </c>
      <c r="J52" s="133">
        <v>0.41</v>
      </c>
      <c r="K52" s="133">
        <v>47.2</v>
      </c>
      <c r="L52" s="133">
        <v>30.12</v>
      </c>
      <c r="M52" s="133">
        <v>44.39</v>
      </c>
      <c r="N52" s="133">
        <v>609.29999999999995</v>
      </c>
      <c r="O52" s="133">
        <v>0</v>
      </c>
      <c r="P52" s="133">
        <v>0.72</v>
      </c>
      <c r="Q52" s="133">
        <v>4.87</v>
      </c>
    </row>
    <row r="53" spans="1:17" customFormat="1">
      <c r="A53" s="111" t="s">
        <v>2202</v>
      </c>
      <c r="B53" s="133">
        <v>10.4</v>
      </c>
      <c r="C53" s="133">
        <v>25.74</v>
      </c>
      <c r="D53" s="133">
        <v>23.14</v>
      </c>
      <c r="E53" s="133">
        <v>7.84</v>
      </c>
      <c r="F53" s="133">
        <v>5.58</v>
      </c>
      <c r="G53" s="133">
        <v>77.11</v>
      </c>
      <c r="H53" s="133">
        <v>24.25</v>
      </c>
      <c r="I53" s="133">
        <v>6.05</v>
      </c>
      <c r="J53" s="133">
        <v>0.23</v>
      </c>
      <c r="K53" s="133">
        <v>35.76</v>
      </c>
      <c r="L53" s="133">
        <v>30.65</v>
      </c>
      <c r="M53" s="133">
        <v>42.47</v>
      </c>
      <c r="N53" s="133">
        <v>681.8</v>
      </c>
      <c r="O53" s="133">
        <v>0</v>
      </c>
      <c r="P53" s="133">
        <v>0.7</v>
      </c>
      <c r="Q53" s="133">
        <v>4.78</v>
      </c>
    </row>
    <row r="54" spans="1:17" customFormat="1">
      <c r="A54" s="111" t="s">
        <v>2203</v>
      </c>
      <c r="B54" s="133">
        <v>9.31</v>
      </c>
      <c r="C54" s="133">
        <v>25.3</v>
      </c>
      <c r="D54" s="133">
        <v>22.03</v>
      </c>
      <c r="E54" s="133">
        <v>7.94</v>
      </c>
      <c r="F54" s="133">
        <v>6.9</v>
      </c>
      <c r="G54" s="133">
        <v>77.11</v>
      </c>
      <c r="H54" s="133">
        <v>24.25</v>
      </c>
      <c r="I54" s="133">
        <v>6.02</v>
      </c>
      <c r="J54" s="133">
        <v>0.66</v>
      </c>
      <c r="K54" s="133">
        <v>32.15</v>
      </c>
      <c r="L54" s="133">
        <v>30.32</v>
      </c>
      <c r="M54" s="133">
        <v>43.82</v>
      </c>
      <c r="N54" s="133">
        <v>686.1</v>
      </c>
      <c r="O54" s="133">
        <v>0</v>
      </c>
      <c r="P54" s="133">
        <v>0.7</v>
      </c>
      <c r="Q54" s="133">
        <v>4.74</v>
      </c>
    </row>
    <row r="55" spans="1:17" customFormat="1">
      <c r="A55" s="111" t="s">
        <v>2204</v>
      </c>
      <c r="B55" s="133">
        <v>8.34</v>
      </c>
      <c r="C55" s="133">
        <v>25.25</v>
      </c>
      <c r="D55" s="133">
        <v>21.23</v>
      </c>
      <c r="E55" s="133">
        <v>8.17</v>
      </c>
      <c r="F55" s="133">
        <v>7.85</v>
      </c>
      <c r="G55" s="133">
        <v>76.77</v>
      </c>
      <c r="H55" s="133">
        <v>24.01</v>
      </c>
      <c r="I55" s="133">
        <v>5.85</v>
      </c>
      <c r="J55" s="133">
        <v>0.64</v>
      </c>
      <c r="K55" s="133">
        <v>37.42</v>
      </c>
      <c r="L55" s="133">
        <v>30.29</v>
      </c>
      <c r="M55" s="133">
        <v>42.02</v>
      </c>
      <c r="N55" s="133">
        <v>693.7</v>
      </c>
      <c r="O55" s="133">
        <v>0</v>
      </c>
      <c r="P55" s="133">
        <v>0.68</v>
      </c>
      <c r="Q55" s="133">
        <v>4.7</v>
      </c>
    </row>
    <row r="56" spans="1:17" customFormat="1">
      <c r="A56" s="111" t="s">
        <v>2205</v>
      </c>
      <c r="B56" s="133">
        <v>7.43</v>
      </c>
      <c r="C56" s="133">
        <v>25.03</v>
      </c>
      <c r="D56" s="133">
        <v>20.38</v>
      </c>
      <c r="E56" s="133">
        <v>7.88</v>
      </c>
      <c r="F56" s="133">
        <v>6.53</v>
      </c>
      <c r="G56" s="133">
        <v>71.040000000000006</v>
      </c>
      <c r="H56" s="133">
        <v>20.23</v>
      </c>
      <c r="I56" s="133">
        <v>5.75</v>
      </c>
      <c r="J56" s="133">
        <v>0.37</v>
      </c>
      <c r="K56" s="133">
        <v>58.84</v>
      </c>
      <c r="L56" s="133">
        <v>31</v>
      </c>
      <c r="M56" s="133">
        <v>41.38</v>
      </c>
      <c r="N56" s="133">
        <v>691.7</v>
      </c>
      <c r="O56" s="133">
        <v>0</v>
      </c>
      <c r="P56" s="133">
        <v>0.67</v>
      </c>
      <c r="Q56" s="133">
        <v>4.63</v>
      </c>
    </row>
    <row r="57" spans="1:17" customFormat="1">
      <c r="A57" s="111" t="s">
        <v>2206</v>
      </c>
      <c r="B57" s="133">
        <v>6.75</v>
      </c>
      <c r="C57" s="133">
        <v>24.58</v>
      </c>
      <c r="D57" s="133">
        <v>19.61</v>
      </c>
      <c r="E57" s="133">
        <v>8.0399999999999991</v>
      </c>
      <c r="F57" s="133">
        <v>6.53</v>
      </c>
      <c r="G57" s="133">
        <v>71.040000000000006</v>
      </c>
      <c r="H57" s="133">
        <v>20.23</v>
      </c>
      <c r="I57" s="133">
        <v>5.56</v>
      </c>
      <c r="J57" s="133">
        <v>0.21</v>
      </c>
      <c r="K57" s="133">
        <v>74.73</v>
      </c>
      <c r="L57" s="133">
        <v>31.27</v>
      </c>
      <c r="M57" s="133">
        <v>41.79</v>
      </c>
      <c r="N57" s="133">
        <v>695.5</v>
      </c>
      <c r="O57" s="133">
        <v>0</v>
      </c>
      <c r="P57" s="133">
        <v>0.67</v>
      </c>
      <c r="Q57" s="133">
        <v>4.5599999999999996</v>
      </c>
    </row>
    <row r="58" spans="1:17" customFormat="1">
      <c r="A58" s="111" t="s">
        <v>2207</v>
      </c>
      <c r="B58" s="133">
        <v>5.93</v>
      </c>
      <c r="C58" s="133">
        <v>24.14</v>
      </c>
      <c r="D58" s="133">
        <v>18.72</v>
      </c>
      <c r="E58" s="133">
        <v>8.09</v>
      </c>
      <c r="F58" s="133">
        <v>6.18</v>
      </c>
      <c r="G58" s="133">
        <v>71.040000000000006</v>
      </c>
      <c r="H58" s="133">
        <v>20.23</v>
      </c>
      <c r="I58" s="133">
        <v>5.48</v>
      </c>
      <c r="J58" s="133">
        <v>0.28000000000000003</v>
      </c>
      <c r="K58" s="133">
        <v>72.87</v>
      </c>
      <c r="L58" s="133">
        <v>31.51</v>
      </c>
      <c r="M58" s="133">
        <v>41.13</v>
      </c>
      <c r="N58" s="133">
        <v>689.9</v>
      </c>
      <c r="O58" s="133">
        <v>0</v>
      </c>
      <c r="P58" s="133">
        <v>0.65</v>
      </c>
      <c r="Q58" s="133">
        <v>4.5</v>
      </c>
    </row>
    <row r="59" spans="1:17" customFormat="1">
      <c r="A59" s="111" t="s">
        <v>2208</v>
      </c>
      <c r="B59" s="133">
        <v>5.43</v>
      </c>
      <c r="C59" s="133">
        <v>23.52</v>
      </c>
      <c r="D59" s="133">
        <v>17.989999999999998</v>
      </c>
      <c r="E59" s="133">
        <v>7.28</v>
      </c>
      <c r="F59" s="133">
        <v>5.12</v>
      </c>
      <c r="G59" s="133">
        <v>70.8</v>
      </c>
      <c r="H59" s="133">
        <v>20.2</v>
      </c>
      <c r="I59" s="133">
        <v>5.41</v>
      </c>
      <c r="J59" s="133">
        <v>0.45</v>
      </c>
      <c r="K59" s="133">
        <v>55.23</v>
      </c>
      <c r="L59" s="133">
        <v>31.65</v>
      </c>
      <c r="M59" s="133">
        <v>40.43</v>
      </c>
      <c r="N59" s="133">
        <v>673</v>
      </c>
      <c r="O59" s="133">
        <v>0</v>
      </c>
      <c r="P59" s="133">
        <v>0.64</v>
      </c>
      <c r="Q59" s="133">
        <v>4.4800000000000004</v>
      </c>
    </row>
    <row r="60" spans="1:17" customFormat="1">
      <c r="A60" s="111" t="s">
        <v>2209</v>
      </c>
      <c r="B60" s="133">
        <v>5.14</v>
      </c>
      <c r="C60" s="133">
        <v>23.14</v>
      </c>
      <c r="D60" s="133">
        <v>17.559999999999999</v>
      </c>
      <c r="E60" s="133">
        <v>7.9</v>
      </c>
      <c r="F60" s="133">
        <v>7.35</v>
      </c>
      <c r="G60" s="133">
        <v>66.650000000000006</v>
      </c>
      <c r="H60" s="133">
        <v>19.739999999999998</v>
      </c>
      <c r="I60" s="133">
        <v>5.31</v>
      </c>
      <c r="J60" s="133">
        <v>0.28000000000000003</v>
      </c>
      <c r="K60" s="133">
        <v>69.06</v>
      </c>
      <c r="L60" s="133">
        <v>31.57</v>
      </c>
      <c r="M60" s="133">
        <v>38.96</v>
      </c>
      <c r="N60" s="133">
        <v>641.70000000000005</v>
      </c>
      <c r="O60" s="133">
        <v>0</v>
      </c>
      <c r="P60" s="133">
        <v>0.63</v>
      </c>
      <c r="Q60" s="133">
        <v>4.45</v>
      </c>
    </row>
    <row r="61" spans="1:17" customFormat="1">
      <c r="A61" s="111" t="s">
        <v>2210</v>
      </c>
      <c r="B61" s="133">
        <v>4.76</v>
      </c>
      <c r="C61" s="133">
        <v>22.83</v>
      </c>
      <c r="D61" s="133">
        <v>17.100000000000001</v>
      </c>
      <c r="E61" s="133">
        <v>7.63</v>
      </c>
      <c r="F61" s="133">
        <v>6.08</v>
      </c>
      <c r="G61" s="133">
        <v>66.650000000000006</v>
      </c>
      <c r="H61" s="133">
        <v>19.739999999999998</v>
      </c>
      <c r="I61" s="133">
        <v>5.23</v>
      </c>
      <c r="J61" s="133">
        <v>0.27</v>
      </c>
      <c r="K61" s="133">
        <v>86.33</v>
      </c>
      <c r="L61" s="133">
        <v>31.97</v>
      </c>
      <c r="M61" s="133">
        <v>36.89</v>
      </c>
      <c r="N61" s="133">
        <v>613.6</v>
      </c>
      <c r="O61" s="133">
        <v>0</v>
      </c>
      <c r="P61" s="133">
        <v>0.62</v>
      </c>
      <c r="Q61" s="133">
        <v>4.4400000000000004</v>
      </c>
    </row>
    <row r="62" spans="1:17" customFormat="1">
      <c r="A62" s="111" t="s">
        <v>2211</v>
      </c>
      <c r="B62" s="133">
        <v>4.6399999999999997</v>
      </c>
      <c r="C62" s="133">
        <v>21.73</v>
      </c>
      <c r="D62" s="133">
        <v>16.43</v>
      </c>
      <c r="E62" s="133">
        <v>7.98</v>
      </c>
      <c r="F62" s="133">
        <v>8.02</v>
      </c>
      <c r="G62" s="133">
        <v>66.650000000000006</v>
      </c>
      <c r="H62" s="133">
        <v>19.739999999999998</v>
      </c>
      <c r="I62" s="133">
        <v>5.13</v>
      </c>
      <c r="J62" s="133">
        <v>0.44</v>
      </c>
      <c r="K62" s="133">
        <v>42.94</v>
      </c>
      <c r="L62" s="133">
        <v>31.25</v>
      </c>
      <c r="M62" s="133">
        <v>38.229999999999997</v>
      </c>
      <c r="N62" s="133">
        <v>599</v>
      </c>
      <c r="O62" s="133">
        <v>0</v>
      </c>
      <c r="P62" s="133">
        <v>0.61</v>
      </c>
      <c r="Q62" s="133">
        <v>4.41</v>
      </c>
    </row>
    <row r="63" spans="1:17" customFormat="1">
      <c r="A63" s="111" t="s">
        <v>2212</v>
      </c>
      <c r="B63" s="133">
        <v>4.4800000000000004</v>
      </c>
      <c r="C63" s="133">
        <v>20.69</v>
      </c>
      <c r="D63" s="133">
        <v>15.75</v>
      </c>
      <c r="E63" s="133">
        <v>6.78</v>
      </c>
      <c r="F63" s="133">
        <v>5.54</v>
      </c>
      <c r="G63" s="133">
        <v>66.48</v>
      </c>
      <c r="H63" s="133">
        <v>19.600000000000001</v>
      </c>
      <c r="I63" s="133">
        <v>5.03</v>
      </c>
      <c r="J63" s="133">
        <v>0.45</v>
      </c>
      <c r="K63" s="133">
        <v>40.15</v>
      </c>
      <c r="L63" s="133">
        <v>31.41</v>
      </c>
      <c r="M63" s="133">
        <v>38.450000000000003</v>
      </c>
      <c r="N63" s="133">
        <v>588.79999999999995</v>
      </c>
      <c r="O63" s="133">
        <v>0</v>
      </c>
      <c r="P63" s="133">
        <v>0.6</v>
      </c>
      <c r="Q63" s="133">
        <v>4.38</v>
      </c>
    </row>
    <row r="64" spans="1:17" customFormat="1">
      <c r="A64" s="111" t="s">
        <v>2213</v>
      </c>
      <c r="B64" s="133">
        <v>4.79</v>
      </c>
      <c r="C64" s="133">
        <v>20.04</v>
      </c>
      <c r="D64" s="133">
        <v>15.67</v>
      </c>
      <c r="E64" s="133">
        <v>6.52</v>
      </c>
      <c r="F64" s="133">
        <v>4.68</v>
      </c>
      <c r="G64" s="133">
        <v>63.53</v>
      </c>
      <c r="H64" s="133">
        <v>17.420000000000002</v>
      </c>
      <c r="I64" s="133">
        <v>4.8899999999999997</v>
      </c>
      <c r="J64" s="133">
        <v>0.53</v>
      </c>
      <c r="K64" s="133">
        <v>36.520000000000003</v>
      </c>
      <c r="L64" s="133">
        <v>31.49</v>
      </c>
      <c r="M64" s="133">
        <v>37.549999999999997</v>
      </c>
      <c r="N64" s="133">
        <v>574.79999999999995</v>
      </c>
      <c r="O64" s="133">
        <v>0</v>
      </c>
      <c r="P64" s="133">
        <v>0.6</v>
      </c>
      <c r="Q64" s="133">
        <v>4.3499999999999996</v>
      </c>
    </row>
    <row r="65" spans="1:17" customFormat="1">
      <c r="A65" s="111" t="s">
        <v>2214</v>
      </c>
      <c r="B65" s="133">
        <v>5.05</v>
      </c>
      <c r="C65" s="133">
        <v>19.64</v>
      </c>
      <c r="D65" s="133">
        <v>15.66</v>
      </c>
      <c r="E65" s="133">
        <v>6.91</v>
      </c>
      <c r="F65" s="133">
        <v>4.3600000000000003</v>
      </c>
      <c r="G65" s="133">
        <v>63.53</v>
      </c>
      <c r="H65" s="133">
        <v>17.420000000000002</v>
      </c>
      <c r="I65" s="133">
        <v>4.8600000000000003</v>
      </c>
      <c r="J65" s="133">
        <v>0.66</v>
      </c>
      <c r="K65" s="133">
        <v>34.56</v>
      </c>
      <c r="L65" s="133">
        <v>31.35</v>
      </c>
      <c r="M65" s="133">
        <v>37.29</v>
      </c>
      <c r="N65" s="133">
        <v>566.29999999999995</v>
      </c>
      <c r="O65" s="133">
        <v>0</v>
      </c>
      <c r="P65" s="133">
        <v>0.56999999999999995</v>
      </c>
      <c r="Q65" s="133">
        <v>4.32</v>
      </c>
    </row>
    <row r="66" spans="1:17" customFormat="1">
      <c r="A66" s="111" t="s">
        <v>2215</v>
      </c>
      <c r="B66" s="133">
        <v>5.17</v>
      </c>
      <c r="C66" s="133">
        <v>19.36</v>
      </c>
      <c r="D66" s="133">
        <v>15.62</v>
      </c>
      <c r="E66" s="133">
        <v>6.38</v>
      </c>
      <c r="F66" s="133">
        <v>4.25</v>
      </c>
      <c r="G66" s="133">
        <v>63.53</v>
      </c>
      <c r="H66" s="133">
        <v>17.420000000000002</v>
      </c>
      <c r="I66" s="133">
        <v>4.8600000000000003</v>
      </c>
      <c r="J66" s="133">
        <v>0.54</v>
      </c>
      <c r="K66" s="133">
        <v>36.130000000000003</v>
      </c>
      <c r="L66" s="133">
        <v>31.14</v>
      </c>
      <c r="M66" s="133">
        <v>35.76</v>
      </c>
      <c r="N66" s="133">
        <v>311.3</v>
      </c>
      <c r="O66" s="133">
        <v>0</v>
      </c>
      <c r="P66" s="133">
        <v>0.57999999999999996</v>
      </c>
      <c r="Q66" s="133">
        <v>4.3499999999999996</v>
      </c>
    </row>
    <row r="67" spans="1:17" customFormat="1">
      <c r="A67" s="111" t="s">
        <v>2216</v>
      </c>
      <c r="B67" s="133">
        <v>5.38</v>
      </c>
      <c r="C67" s="133">
        <v>18.93</v>
      </c>
      <c r="D67" s="133">
        <v>15.55</v>
      </c>
      <c r="E67" s="133">
        <v>6.93</v>
      </c>
      <c r="F67" s="133">
        <v>5.14</v>
      </c>
      <c r="G67" s="133">
        <v>63.22</v>
      </c>
      <c r="H67" s="133">
        <v>17.25</v>
      </c>
      <c r="I67" s="133">
        <v>4.83</v>
      </c>
      <c r="J67" s="133">
        <v>0.51</v>
      </c>
      <c r="K67" s="133">
        <v>46.77</v>
      </c>
      <c r="L67" s="133">
        <v>30.52</v>
      </c>
      <c r="M67" s="133">
        <v>36.659999999999997</v>
      </c>
      <c r="N67" s="133">
        <v>74.5</v>
      </c>
      <c r="O67" s="133">
        <v>0</v>
      </c>
      <c r="P67" s="133">
        <v>0.57999999999999996</v>
      </c>
      <c r="Q67" s="133">
        <v>4.37</v>
      </c>
    </row>
    <row r="68" spans="1:17" customFormat="1">
      <c r="A68" s="111" t="s">
        <v>2217</v>
      </c>
      <c r="B68" s="133">
        <v>5.5</v>
      </c>
      <c r="C68" s="133">
        <v>18.440000000000001</v>
      </c>
      <c r="D68" s="133">
        <v>15.39</v>
      </c>
      <c r="E68" s="133">
        <v>6.79</v>
      </c>
      <c r="F68" s="133">
        <v>5.62</v>
      </c>
      <c r="G68" s="133">
        <v>57.9</v>
      </c>
      <c r="H68" s="133">
        <v>14.62</v>
      </c>
      <c r="I68" s="133">
        <v>4.79</v>
      </c>
      <c r="J68" s="133">
        <v>0.35</v>
      </c>
      <c r="K68" s="133">
        <v>42.32</v>
      </c>
      <c r="L68" s="133">
        <v>29.95</v>
      </c>
      <c r="M68" s="133">
        <v>36.51</v>
      </c>
      <c r="N68" s="133">
        <v>60.5</v>
      </c>
      <c r="O68" s="133">
        <v>0</v>
      </c>
      <c r="P68" s="133">
        <v>0.56000000000000005</v>
      </c>
      <c r="Q68" s="133">
        <v>4.3499999999999996</v>
      </c>
    </row>
    <row r="69" spans="1:17" customFormat="1">
      <c r="A69" s="111" t="s">
        <v>2218</v>
      </c>
      <c r="B69" s="133">
        <v>5.53</v>
      </c>
      <c r="C69" s="133">
        <v>18.62</v>
      </c>
      <c r="D69" s="133">
        <v>15.51</v>
      </c>
      <c r="E69" s="133">
        <v>6.75</v>
      </c>
      <c r="F69" s="133">
        <v>4.68</v>
      </c>
      <c r="G69" s="133">
        <v>57.9</v>
      </c>
      <c r="H69" s="133">
        <v>14.62</v>
      </c>
      <c r="I69" s="133">
        <v>4.7</v>
      </c>
      <c r="J69" s="133">
        <v>0.2</v>
      </c>
      <c r="K69" s="133">
        <v>51.78</v>
      </c>
      <c r="L69" s="133">
        <v>29.82</v>
      </c>
      <c r="M69" s="133">
        <v>36.97</v>
      </c>
      <c r="N69" s="133">
        <v>54.6</v>
      </c>
      <c r="O69" s="133">
        <v>0</v>
      </c>
      <c r="P69" s="133">
        <v>0.55000000000000004</v>
      </c>
      <c r="Q69" s="133">
        <v>4.38</v>
      </c>
    </row>
    <row r="70" spans="1:17" customFormat="1">
      <c r="A70" s="111" t="s">
        <v>2219</v>
      </c>
      <c r="B70" s="133">
        <v>5.67</v>
      </c>
      <c r="C70" s="133">
        <v>18.57</v>
      </c>
      <c r="D70" s="133">
        <v>15.6</v>
      </c>
      <c r="E70" s="133">
        <v>7.2</v>
      </c>
      <c r="F70" s="133">
        <v>4.4800000000000004</v>
      </c>
      <c r="G70" s="133">
        <v>57.9</v>
      </c>
      <c r="H70" s="133">
        <v>14.62</v>
      </c>
      <c r="I70" s="133">
        <v>4.6900000000000004</v>
      </c>
      <c r="J70" s="133">
        <v>0.52</v>
      </c>
      <c r="K70" s="133">
        <v>46.95</v>
      </c>
      <c r="L70" s="133">
        <v>29.64</v>
      </c>
      <c r="M70" s="133">
        <v>35.979999999999997</v>
      </c>
      <c r="N70" s="133">
        <v>50.3</v>
      </c>
      <c r="O70" s="133">
        <v>0</v>
      </c>
      <c r="P70" s="133">
        <v>0.56000000000000005</v>
      </c>
      <c r="Q70" s="133">
        <v>4.37</v>
      </c>
    </row>
    <row r="71" spans="1:17" customFormat="1">
      <c r="A71" s="111" t="s">
        <v>2220</v>
      </c>
      <c r="B71" s="133">
        <v>5.73</v>
      </c>
      <c r="C71" s="133">
        <v>18.350000000000001</v>
      </c>
      <c r="D71" s="133">
        <v>15.53</v>
      </c>
      <c r="E71" s="133">
        <v>7.15</v>
      </c>
      <c r="F71" s="133">
        <v>5.52</v>
      </c>
      <c r="G71" s="133">
        <v>57.76</v>
      </c>
      <c r="H71" s="133">
        <v>14.57</v>
      </c>
      <c r="I71" s="133">
        <v>4.71</v>
      </c>
      <c r="J71" s="133">
        <v>0.23</v>
      </c>
      <c r="K71" s="133">
        <v>127.31</v>
      </c>
      <c r="L71" s="133">
        <v>29.46</v>
      </c>
      <c r="M71" s="133">
        <v>37.770000000000003</v>
      </c>
      <c r="N71" s="133">
        <v>79</v>
      </c>
      <c r="O71" s="133">
        <v>0</v>
      </c>
      <c r="P71" s="133">
        <v>0.55000000000000004</v>
      </c>
      <c r="Q71" s="133">
        <v>4.3499999999999996</v>
      </c>
    </row>
    <row r="72" spans="1:17" customFormat="1">
      <c r="A72" s="111" t="s">
        <v>2221</v>
      </c>
      <c r="B72" s="133">
        <v>5.68</v>
      </c>
      <c r="C72" s="133">
        <v>18</v>
      </c>
      <c r="D72" s="133">
        <v>15.3</v>
      </c>
      <c r="E72" s="133">
        <v>6.96</v>
      </c>
      <c r="F72" s="133">
        <v>6.06</v>
      </c>
      <c r="G72" s="133">
        <v>55.47</v>
      </c>
      <c r="H72" s="133">
        <v>13.85</v>
      </c>
      <c r="I72" s="133">
        <v>4.6100000000000003</v>
      </c>
      <c r="J72" s="133">
        <v>0.23</v>
      </c>
      <c r="K72" s="133">
        <v>110.79</v>
      </c>
      <c r="L72" s="133">
        <v>29.27</v>
      </c>
      <c r="M72" s="133">
        <v>37.729999999999997</v>
      </c>
      <c r="N72" s="133">
        <v>42.3</v>
      </c>
      <c r="O72" s="133">
        <v>0</v>
      </c>
      <c r="P72" s="133">
        <v>0.54</v>
      </c>
      <c r="Q72" s="133">
        <v>4.3600000000000003</v>
      </c>
    </row>
    <row r="73" spans="1:17" customFormat="1">
      <c r="A73" s="111" t="s">
        <v>2222</v>
      </c>
      <c r="B73" s="133">
        <v>5.55</v>
      </c>
      <c r="C73" s="133">
        <v>17.940000000000001</v>
      </c>
      <c r="D73" s="133">
        <v>15.17</v>
      </c>
      <c r="E73" s="133">
        <v>6.52</v>
      </c>
      <c r="F73" s="133">
        <v>5.23</v>
      </c>
      <c r="G73" s="133">
        <v>55.47</v>
      </c>
      <c r="H73" s="133">
        <v>13.85</v>
      </c>
      <c r="I73" s="133">
        <v>4.5199999999999996</v>
      </c>
      <c r="J73" s="133">
        <v>0.28000000000000003</v>
      </c>
      <c r="K73" s="133">
        <v>59.15</v>
      </c>
      <c r="L73" s="133">
        <v>28.92</v>
      </c>
      <c r="M73" s="133">
        <v>39.1</v>
      </c>
      <c r="N73" s="133">
        <v>40.6</v>
      </c>
      <c r="O73" s="133">
        <v>0</v>
      </c>
      <c r="P73" s="133">
        <v>0.53</v>
      </c>
      <c r="Q73" s="133">
        <v>4.3499999999999996</v>
      </c>
    </row>
    <row r="74" spans="1:17" customFormat="1">
      <c r="A74" s="111" t="s">
        <v>2223</v>
      </c>
      <c r="B74" s="133">
        <v>5.51</v>
      </c>
      <c r="C74" s="133">
        <v>17.57</v>
      </c>
      <c r="D74" s="133">
        <v>14.95</v>
      </c>
      <c r="E74" s="133">
        <v>5.75</v>
      </c>
      <c r="F74" s="133">
        <v>4.75</v>
      </c>
      <c r="G74" s="133">
        <v>55.47</v>
      </c>
      <c r="H74" s="133">
        <v>13.85</v>
      </c>
      <c r="I74" s="133">
        <v>4.5</v>
      </c>
      <c r="J74" s="133">
        <v>0.25</v>
      </c>
      <c r="K74" s="133">
        <v>156.47</v>
      </c>
      <c r="L74" s="133">
        <v>28.56</v>
      </c>
      <c r="M74" s="133">
        <v>39.69</v>
      </c>
      <c r="N74" s="133">
        <v>65</v>
      </c>
      <c r="O74" s="133">
        <v>0</v>
      </c>
      <c r="P74" s="133">
        <v>0.51</v>
      </c>
      <c r="Q74" s="133">
        <v>4.34</v>
      </c>
    </row>
    <row r="75" spans="1:17" customFormat="1">
      <c r="A75" s="111" t="s">
        <v>2224</v>
      </c>
      <c r="B75" s="133">
        <v>5.5</v>
      </c>
      <c r="C75" s="133">
        <v>17.16</v>
      </c>
      <c r="D75" s="133">
        <v>14.73</v>
      </c>
      <c r="E75" s="133">
        <v>5.77</v>
      </c>
      <c r="F75" s="133">
        <v>4.42</v>
      </c>
      <c r="G75" s="133">
        <v>54.94</v>
      </c>
      <c r="H75" s="133">
        <v>13.94</v>
      </c>
      <c r="I75" s="133">
        <v>4.4000000000000004</v>
      </c>
      <c r="J75" s="133">
        <v>0.34</v>
      </c>
      <c r="K75" s="133">
        <v>163.79</v>
      </c>
      <c r="L75" s="133">
        <v>28.21</v>
      </c>
      <c r="M75" s="133">
        <v>38.1</v>
      </c>
      <c r="N75" s="133">
        <v>15.6</v>
      </c>
      <c r="O75" s="133">
        <v>0</v>
      </c>
      <c r="P75" s="133">
        <v>0.51</v>
      </c>
      <c r="Q75" s="133">
        <v>4.3499999999999996</v>
      </c>
    </row>
    <row r="76" spans="1:17" customFormat="1">
      <c r="A76" s="111" t="s">
        <v>2225</v>
      </c>
      <c r="B76" s="133">
        <v>5.55</v>
      </c>
      <c r="C76" s="133">
        <v>16.760000000000002</v>
      </c>
      <c r="D76" s="133">
        <v>14.56</v>
      </c>
      <c r="E76" s="133">
        <v>5.58</v>
      </c>
      <c r="F76" s="133">
        <v>4.03</v>
      </c>
      <c r="G76" s="133">
        <v>45.85</v>
      </c>
      <c r="H76" s="133">
        <v>15.26</v>
      </c>
      <c r="I76" s="133">
        <v>4.38</v>
      </c>
      <c r="J76" s="133">
        <v>0.23</v>
      </c>
      <c r="K76" s="133">
        <v>173.29</v>
      </c>
      <c r="L76" s="133">
        <v>27.63</v>
      </c>
      <c r="M76" s="133">
        <v>41.04</v>
      </c>
      <c r="N76" s="133">
        <v>7.6</v>
      </c>
      <c r="O76" s="133">
        <v>0</v>
      </c>
      <c r="P76" s="133">
        <v>0.51</v>
      </c>
      <c r="Q76" s="133">
        <v>4.32</v>
      </c>
    </row>
    <row r="77" spans="1:17" customFormat="1">
      <c r="A77" s="111" t="s">
        <v>2226</v>
      </c>
      <c r="B77" s="133">
        <v>5.65</v>
      </c>
      <c r="C77" s="133">
        <v>16.600000000000001</v>
      </c>
      <c r="D77" s="133">
        <v>14.55</v>
      </c>
      <c r="E77" s="133">
        <v>5.54</v>
      </c>
      <c r="F77" s="133">
        <v>3.75</v>
      </c>
      <c r="G77" s="133">
        <v>45.85</v>
      </c>
      <c r="H77" s="133">
        <v>15.26</v>
      </c>
      <c r="I77" s="133">
        <v>4.32</v>
      </c>
      <c r="J77" s="133">
        <v>0.21</v>
      </c>
      <c r="K77" s="133">
        <v>175.27</v>
      </c>
      <c r="L77" s="133">
        <v>26.85</v>
      </c>
      <c r="M77" s="133">
        <v>44.59</v>
      </c>
      <c r="N77" s="133">
        <v>1</v>
      </c>
      <c r="O77" s="133">
        <v>0</v>
      </c>
      <c r="P77" s="133">
        <v>0.5</v>
      </c>
      <c r="Q77" s="133">
        <v>4.34</v>
      </c>
    </row>
    <row r="78" spans="1:17" customFormat="1">
      <c r="A78" s="111" t="s">
        <v>2227</v>
      </c>
      <c r="B78" s="133">
        <v>5.95</v>
      </c>
      <c r="C78" s="133">
        <v>16.29</v>
      </c>
      <c r="D78" s="133">
        <v>14.64</v>
      </c>
      <c r="E78" s="133">
        <v>5.04</v>
      </c>
      <c r="F78" s="133">
        <v>3.19</v>
      </c>
      <c r="G78" s="133">
        <v>45.85</v>
      </c>
      <c r="H78" s="133">
        <v>15.26</v>
      </c>
      <c r="I78" s="133">
        <v>4.28</v>
      </c>
      <c r="J78" s="133">
        <v>0.21</v>
      </c>
      <c r="K78" s="133">
        <v>189.48</v>
      </c>
      <c r="L78" s="133">
        <v>25.93</v>
      </c>
      <c r="M78" s="133">
        <v>50.03</v>
      </c>
      <c r="N78" s="133">
        <v>0</v>
      </c>
      <c r="O78" s="133">
        <v>0</v>
      </c>
      <c r="P78" s="133">
        <v>0.49</v>
      </c>
      <c r="Q78" s="133">
        <v>4.3499999999999996</v>
      </c>
    </row>
    <row r="79" spans="1:17" customFormat="1">
      <c r="A79" s="111" t="s">
        <v>2228</v>
      </c>
      <c r="B79" s="133">
        <v>6.19</v>
      </c>
      <c r="C79" s="133">
        <v>16.04</v>
      </c>
      <c r="D79" s="133">
        <v>14.7</v>
      </c>
      <c r="E79" s="133">
        <v>4.97</v>
      </c>
      <c r="F79" s="133">
        <v>3.01</v>
      </c>
      <c r="G79" s="133">
        <v>46.01</v>
      </c>
      <c r="H79" s="133">
        <v>15.27</v>
      </c>
      <c r="I79" s="133">
        <v>4.29</v>
      </c>
      <c r="J79" s="133">
        <v>0.19</v>
      </c>
      <c r="K79" s="133">
        <v>168.31</v>
      </c>
      <c r="L79" s="133">
        <v>25.13</v>
      </c>
      <c r="M79" s="133">
        <v>56.21</v>
      </c>
      <c r="N79" s="133">
        <v>0</v>
      </c>
      <c r="O79" s="133">
        <v>0</v>
      </c>
      <c r="P79" s="133">
        <v>0.49</v>
      </c>
      <c r="Q79" s="133">
        <v>4.3499999999999996</v>
      </c>
    </row>
    <row r="80" spans="1:17" customFormat="1">
      <c r="A80" s="111" t="s">
        <v>2229</v>
      </c>
      <c r="B80" s="133">
        <v>6.47</v>
      </c>
      <c r="C80" s="133">
        <v>17.93</v>
      </c>
      <c r="D80" s="133">
        <v>15.91</v>
      </c>
      <c r="E80" s="133">
        <v>5.52</v>
      </c>
      <c r="F80" s="133">
        <v>2.52</v>
      </c>
      <c r="G80" s="133">
        <v>48.62</v>
      </c>
      <c r="H80" s="133">
        <v>15.42</v>
      </c>
      <c r="I80" s="133">
        <v>4.3</v>
      </c>
      <c r="J80" s="133">
        <v>0.12</v>
      </c>
      <c r="K80" s="133">
        <v>123.56</v>
      </c>
      <c r="L80" s="133">
        <v>25.23</v>
      </c>
      <c r="M80" s="133">
        <v>52.89</v>
      </c>
      <c r="N80" s="133">
        <v>0</v>
      </c>
      <c r="O80" s="133">
        <v>0</v>
      </c>
      <c r="P80" s="133">
        <v>0.52</v>
      </c>
      <c r="Q80" s="133">
        <v>4.37</v>
      </c>
    </row>
    <row r="81" spans="1:17" customFormat="1">
      <c r="A81" s="111" t="s">
        <v>2230</v>
      </c>
      <c r="B81" s="133">
        <v>7.12</v>
      </c>
      <c r="C81" s="133">
        <v>18.8</v>
      </c>
      <c r="D81" s="133">
        <v>16.88</v>
      </c>
      <c r="E81" s="133">
        <v>3.86</v>
      </c>
      <c r="F81" s="133">
        <v>2.5099999999999998</v>
      </c>
      <c r="G81" s="133">
        <v>48.62</v>
      </c>
      <c r="H81" s="133">
        <v>15.42</v>
      </c>
      <c r="I81" s="133">
        <v>4.3499999999999996</v>
      </c>
      <c r="J81" s="133">
        <v>0.13</v>
      </c>
      <c r="K81" s="133">
        <v>127.27</v>
      </c>
      <c r="L81" s="133">
        <v>25.41</v>
      </c>
      <c r="M81" s="133">
        <v>54.4</v>
      </c>
      <c r="N81" s="133">
        <v>0</v>
      </c>
      <c r="O81" s="133">
        <v>0</v>
      </c>
      <c r="P81" s="133">
        <v>0.53</v>
      </c>
      <c r="Q81" s="133">
        <v>4.41</v>
      </c>
    </row>
    <row r="82" spans="1:17" customFormat="1">
      <c r="A82" s="111" t="s">
        <v>2231</v>
      </c>
      <c r="B82" s="133">
        <v>7.62</v>
      </c>
      <c r="C82" s="133">
        <v>18.440000000000001</v>
      </c>
      <c r="D82" s="133">
        <v>17.100000000000001</v>
      </c>
      <c r="E82" s="133">
        <v>5.44</v>
      </c>
      <c r="F82" s="133">
        <v>2.76</v>
      </c>
      <c r="G82" s="133">
        <v>48.62</v>
      </c>
      <c r="H82" s="133">
        <v>15.42</v>
      </c>
      <c r="I82" s="133">
        <v>4.45</v>
      </c>
      <c r="J82" s="133">
        <v>0.12</v>
      </c>
      <c r="K82" s="133">
        <v>159.22</v>
      </c>
      <c r="L82" s="133">
        <v>25.11</v>
      </c>
      <c r="M82" s="133">
        <v>59.44</v>
      </c>
      <c r="N82" s="133">
        <v>0</v>
      </c>
      <c r="O82" s="133">
        <v>0</v>
      </c>
      <c r="P82" s="133">
        <v>0.56000000000000005</v>
      </c>
      <c r="Q82" s="133">
        <v>4.4400000000000004</v>
      </c>
    </row>
    <row r="83" spans="1:17" customFormat="1">
      <c r="A83" s="111" t="s">
        <v>2232</v>
      </c>
      <c r="B83" s="133">
        <v>7.83</v>
      </c>
      <c r="C83" s="133">
        <v>19.34</v>
      </c>
      <c r="D83" s="133">
        <v>17.739999999999998</v>
      </c>
      <c r="E83" s="133">
        <v>5.12</v>
      </c>
      <c r="F83" s="133">
        <v>2.8</v>
      </c>
      <c r="G83" s="133">
        <v>49.82</v>
      </c>
      <c r="H83" s="133">
        <v>15.58</v>
      </c>
      <c r="I83" s="133">
        <v>4.58</v>
      </c>
      <c r="J83" s="133">
        <v>0.21</v>
      </c>
      <c r="K83" s="133">
        <v>168.44</v>
      </c>
      <c r="L83" s="133">
        <v>24.6</v>
      </c>
      <c r="M83" s="133">
        <v>65.489999999999995</v>
      </c>
      <c r="N83" s="133">
        <v>0</v>
      </c>
      <c r="O83" s="133">
        <v>0</v>
      </c>
      <c r="P83" s="133">
        <v>0.59</v>
      </c>
      <c r="Q83" s="133">
        <v>4.5</v>
      </c>
    </row>
    <row r="84" spans="1:17" customFormat="1">
      <c r="A84" s="111" t="s">
        <v>2233</v>
      </c>
      <c r="B84" s="133">
        <v>7.93</v>
      </c>
      <c r="C84" s="133">
        <v>19.96</v>
      </c>
      <c r="D84" s="133">
        <v>18.14</v>
      </c>
      <c r="E84" s="133">
        <v>4.76</v>
      </c>
      <c r="F84" s="133">
        <v>2.97</v>
      </c>
      <c r="G84" s="133">
        <v>70.209999999999994</v>
      </c>
      <c r="H84" s="133">
        <v>18.11</v>
      </c>
      <c r="I84" s="133">
        <v>4.7699999999999996</v>
      </c>
      <c r="J84" s="133">
        <v>0.17</v>
      </c>
      <c r="K84" s="133">
        <v>169.09</v>
      </c>
      <c r="L84" s="133">
        <v>24.28</v>
      </c>
      <c r="M84" s="133">
        <v>69.89</v>
      </c>
      <c r="N84" s="133">
        <v>0</v>
      </c>
      <c r="O84" s="133">
        <v>0</v>
      </c>
      <c r="P84" s="133">
        <v>0.62</v>
      </c>
      <c r="Q84" s="133">
        <v>4.53</v>
      </c>
    </row>
    <row r="85" spans="1:17" customFormat="1">
      <c r="A85" s="111" t="s">
        <v>2234</v>
      </c>
      <c r="B85" s="133">
        <v>8.01</v>
      </c>
      <c r="C85" s="133">
        <v>20.14</v>
      </c>
      <c r="D85" s="133">
        <v>18.3</v>
      </c>
      <c r="E85" s="133">
        <v>4.8</v>
      </c>
      <c r="F85" s="133">
        <v>2.99</v>
      </c>
      <c r="G85" s="133">
        <v>70.209999999999994</v>
      </c>
      <c r="H85" s="133">
        <v>18.11</v>
      </c>
      <c r="I85" s="133">
        <v>4.9400000000000004</v>
      </c>
      <c r="J85" s="133">
        <v>0.21</v>
      </c>
      <c r="K85" s="133">
        <v>193.29</v>
      </c>
      <c r="L85" s="133">
        <v>23.83</v>
      </c>
      <c r="M85" s="133">
        <v>74.010000000000005</v>
      </c>
      <c r="N85" s="133">
        <v>0</v>
      </c>
      <c r="O85" s="133">
        <v>0</v>
      </c>
      <c r="P85" s="133">
        <v>0.63</v>
      </c>
      <c r="Q85" s="133">
        <v>4.53</v>
      </c>
    </row>
    <row r="86" spans="1:17" customFormat="1">
      <c r="A86" s="111" t="s">
        <v>2235</v>
      </c>
      <c r="B86" s="133">
        <v>8.0399999999999991</v>
      </c>
      <c r="C86" s="133">
        <v>20.55</v>
      </c>
      <c r="D86" s="133">
        <v>18.53</v>
      </c>
      <c r="E86" s="133">
        <v>4.87</v>
      </c>
      <c r="F86" s="133">
        <v>2.89</v>
      </c>
      <c r="G86" s="133">
        <v>70.209999999999994</v>
      </c>
      <c r="H86" s="133">
        <v>18.11</v>
      </c>
      <c r="I86" s="133">
        <v>5.0599999999999996</v>
      </c>
      <c r="J86" s="133">
        <v>0.15</v>
      </c>
      <c r="K86" s="133">
        <v>202.32</v>
      </c>
      <c r="L86" s="133">
        <v>23.31</v>
      </c>
      <c r="M86" s="133">
        <v>75</v>
      </c>
      <c r="N86" s="133">
        <v>0</v>
      </c>
      <c r="O86" s="133">
        <v>0</v>
      </c>
      <c r="P86" s="133">
        <v>0.64</v>
      </c>
      <c r="Q86" s="133">
        <v>4.53</v>
      </c>
    </row>
    <row r="87" spans="1:17" customFormat="1">
      <c r="A87" s="111" t="s">
        <v>2236</v>
      </c>
      <c r="B87" s="133">
        <v>8.08</v>
      </c>
      <c r="C87" s="133">
        <v>20.75</v>
      </c>
      <c r="D87" s="133">
        <v>18.670000000000002</v>
      </c>
      <c r="E87" s="133">
        <v>4.7699999999999996</v>
      </c>
      <c r="F87" s="133">
        <v>2.73</v>
      </c>
      <c r="G87" s="133">
        <v>70.349999999999994</v>
      </c>
      <c r="H87" s="133">
        <v>18.5</v>
      </c>
      <c r="I87" s="133">
        <v>5.18</v>
      </c>
      <c r="J87" s="133">
        <v>0.19</v>
      </c>
      <c r="K87" s="133">
        <v>211.43</v>
      </c>
      <c r="L87" s="133">
        <v>23.22</v>
      </c>
      <c r="M87" s="133">
        <v>75.03</v>
      </c>
      <c r="N87" s="133">
        <v>0</v>
      </c>
      <c r="O87" s="133">
        <v>0</v>
      </c>
      <c r="P87" s="133">
        <v>0.65</v>
      </c>
      <c r="Q87" s="133">
        <v>4.53</v>
      </c>
    </row>
    <row r="88" spans="1:17" customFormat="1">
      <c r="A88" s="111" t="s">
        <v>2237</v>
      </c>
      <c r="B88" s="133">
        <v>8.1999999999999993</v>
      </c>
      <c r="C88" s="133">
        <v>21.02</v>
      </c>
      <c r="D88" s="133">
        <v>18.91</v>
      </c>
      <c r="E88" s="133">
        <v>5.0999999999999996</v>
      </c>
      <c r="F88" s="133">
        <v>2.56</v>
      </c>
      <c r="G88" s="133">
        <v>72.8</v>
      </c>
      <c r="H88" s="133">
        <v>24.58</v>
      </c>
      <c r="I88" s="133">
        <v>5.33</v>
      </c>
      <c r="J88" s="133">
        <v>0.14000000000000001</v>
      </c>
      <c r="K88" s="133">
        <v>200.95</v>
      </c>
      <c r="L88" s="133">
        <v>23</v>
      </c>
      <c r="M88" s="133">
        <v>76.58</v>
      </c>
      <c r="N88" s="133">
        <v>0</v>
      </c>
      <c r="O88" s="133">
        <v>0</v>
      </c>
      <c r="P88" s="133">
        <v>0.66</v>
      </c>
      <c r="Q88" s="133">
        <v>4.5599999999999996</v>
      </c>
    </row>
    <row r="89" spans="1:17" customFormat="1">
      <c r="A89" s="111" t="s">
        <v>2238</v>
      </c>
      <c r="B89" s="133">
        <v>8.33</v>
      </c>
      <c r="C89" s="133">
        <v>21.5</v>
      </c>
      <c r="D89" s="133">
        <v>19.260000000000002</v>
      </c>
      <c r="E89" s="133">
        <v>4.95</v>
      </c>
      <c r="F89" s="133">
        <v>2.65</v>
      </c>
      <c r="G89" s="133">
        <v>72.8</v>
      </c>
      <c r="H89" s="133">
        <v>24.58</v>
      </c>
      <c r="I89" s="133">
        <v>5.43</v>
      </c>
      <c r="J89" s="133">
        <v>0.12</v>
      </c>
      <c r="K89" s="133">
        <v>187.47</v>
      </c>
      <c r="L89" s="133">
        <v>23.01</v>
      </c>
      <c r="M89" s="133">
        <v>76</v>
      </c>
      <c r="N89" s="133">
        <v>0</v>
      </c>
      <c r="O89" s="133">
        <v>0</v>
      </c>
      <c r="P89" s="133">
        <v>0.67</v>
      </c>
      <c r="Q89" s="133">
        <v>4.58</v>
      </c>
    </row>
    <row r="90" spans="1:17" customFormat="1">
      <c r="A90" s="111" t="s">
        <v>2239</v>
      </c>
      <c r="B90" s="133">
        <v>8.73</v>
      </c>
      <c r="C90" s="133">
        <v>21.91</v>
      </c>
      <c r="D90" s="133">
        <v>19.8</v>
      </c>
      <c r="E90" s="133">
        <v>5.49</v>
      </c>
      <c r="F90" s="133">
        <v>2.86</v>
      </c>
      <c r="G90" s="133">
        <v>72.8</v>
      </c>
      <c r="H90" s="133">
        <v>24.58</v>
      </c>
      <c r="I90" s="133">
        <v>5.5</v>
      </c>
      <c r="J90" s="133">
        <v>0.11</v>
      </c>
      <c r="K90" s="133">
        <v>177.82</v>
      </c>
      <c r="L90" s="133">
        <v>22.96</v>
      </c>
      <c r="M90" s="133">
        <v>75.7</v>
      </c>
      <c r="N90" s="133">
        <v>0</v>
      </c>
      <c r="O90" s="133">
        <v>0</v>
      </c>
      <c r="P90" s="133">
        <v>0.68</v>
      </c>
      <c r="Q90" s="133">
        <v>4.63</v>
      </c>
    </row>
    <row r="91" spans="1:17" customFormat="1">
      <c r="A91" s="111" t="s">
        <v>2240</v>
      </c>
      <c r="B91" s="133">
        <v>9.49</v>
      </c>
      <c r="C91" s="133">
        <v>22.65</v>
      </c>
      <c r="D91" s="133">
        <v>20.79</v>
      </c>
      <c r="E91" s="133">
        <v>5.2</v>
      </c>
      <c r="F91" s="133">
        <v>2.88</v>
      </c>
      <c r="G91" s="133">
        <v>73.260000000000005</v>
      </c>
      <c r="H91" s="133">
        <v>24.46</v>
      </c>
      <c r="I91" s="133">
        <v>5.59</v>
      </c>
      <c r="J91" s="133">
        <v>0.18</v>
      </c>
      <c r="K91" s="133">
        <v>212.21</v>
      </c>
      <c r="L91" s="133">
        <v>22.95</v>
      </c>
      <c r="M91" s="133">
        <v>76.91</v>
      </c>
      <c r="N91" s="133">
        <v>0</v>
      </c>
      <c r="O91" s="133">
        <v>0</v>
      </c>
      <c r="P91" s="133">
        <v>0.71</v>
      </c>
      <c r="Q91" s="133">
        <v>4.67</v>
      </c>
    </row>
    <row r="92" spans="1:17" customFormat="1">
      <c r="A92" s="111" t="s">
        <v>2241</v>
      </c>
      <c r="B92" s="133">
        <v>9.9700000000000006</v>
      </c>
      <c r="C92" s="133">
        <v>22.91</v>
      </c>
      <c r="D92" s="133">
        <v>21.31</v>
      </c>
      <c r="E92" s="133">
        <v>5.46</v>
      </c>
      <c r="F92" s="133">
        <v>2.69</v>
      </c>
      <c r="G92" s="133">
        <v>81.11</v>
      </c>
      <c r="H92" s="133">
        <v>22.7</v>
      </c>
      <c r="I92" s="133">
        <v>5.66</v>
      </c>
      <c r="J92" s="133">
        <v>0.12</v>
      </c>
      <c r="K92" s="133">
        <v>231.08</v>
      </c>
      <c r="L92" s="133">
        <v>22.61</v>
      </c>
      <c r="M92" s="133">
        <v>78.78</v>
      </c>
      <c r="N92" s="133">
        <v>0</v>
      </c>
      <c r="O92" s="133">
        <v>0</v>
      </c>
      <c r="P92" s="133">
        <v>0.72</v>
      </c>
      <c r="Q92" s="133">
        <v>4.7</v>
      </c>
    </row>
    <row r="93" spans="1:17" customFormat="1">
      <c r="A93" s="111" t="s">
        <v>2242</v>
      </c>
      <c r="B93" s="133">
        <v>10.85</v>
      </c>
      <c r="C93" s="133">
        <v>23.37</v>
      </c>
      <c r="D93" s="133">
        <v>22.26</v>
      </c>
      <c r="E93" s="133">
        <v>5.47</v>
      </c>
      <c r="F93" s="133">
        <v>2.52</v>
      </c>
      <c r="G93" s="133">
        <v>81.11</v>
      </c>
      <c r="H93" s="133">
        <v>22.7</v>
      </c>
      <c r="I93" s="133">
        <v>5.77</v>
      </c>
      <c r="J93" s="133">
        <v>0.15</v>
      </c>
      <c r="K93" s="133">
        <v>183.03</v>
      </c>
      <c r="L93" s="133">
        <v>22.58</v>
      </c>
      <c r="M93" s="133">
        <v>78.05</v>
      </c>
      <c r="N93" s="133">
        <v>0</v>
      </c>
      <c r="O93" s="133">
        <v>0</v>
      </c>
      <c r="P93" s="133">
        <v>0.74</v>
      </c>
      <c r="Q93" s="133">
        <v>4.74</v>
      </c>
    </row>
    <row r="94" spans="1:17" customFormat="1">
      <c r="A94" s="111" t="s">
        <v>2243</v>
      </c>
      <c r="B94" s="133">
        <v>12.79</v>
      </c>
      <c r="C94" s="133">
        <v>24.54</v>
      </c>
      <c r="D94" s="133">
        <v>24.43</v>
      </c>
      <c r="E94" s="133">
        <v>5.47</v>
      </c>
      <c r="F94" s="133">
        <v>2.54</v>
      </c>
      <c r="G94" s="133">
        <v>81.11</v>
      </c>
      <c r="H94" s="133">
        <v>22.7</v>
      </c>
      <c r="I94" s="133">
        <v>5.86</v>
      </c>
      <c r="J94" s="133">
        <v>0.14000000000000001</v>
      </c>
      <c r="K94" s="133">
        <v>168.56</v>
      </c>
      <c r="L94" s="133">
        <v>22.58</v>
      </c>
      <c r="M94" s="133">
        <v>82</v>
      </c>
      <c r="N94" s="133">
        <v>0</v>
      </c>
      <c r="O94" s="133">
        <v>0</v>
      </c>
      <c r="P94" s="133">
        <v>0.77</v>
      </c>
      <c r="Q94" s="133">
        <v>4.8499999999999996</v>
      </c>
    </row>
    <row r="95" spans="1:17" customFormat="1">
      <c r="A95" s="111" t="s">
        <v>2244</v>
      </c>
      <c r="B95" s="133">
        <v>13.87</v>
      </c>
      <c r="C95" s="133">
        <v>24.83</v>
      </c>
      <c r="D95" s="133">
        <v>25.45</v>
      </c>
      <c r="E95" s="133">
        <v>5.1100000000000003</v>
      </c>
      <c r="F95" s="133">
        <v>2.57</v>
      </c>
      <c r="G95" s="133">
        <v>81.349999999999994</v>
      </c>
      <c r="H95" s="133">
        <v>22.93</v>
      </c>
      <c r="I95" s="133">
        <v>6</v>
      </c>
      <c r="J95" s="133">
        <v>0.16</v>
      </c>
      <c r="K95" s="133">
        <v>209.43</v>
      </c>
      <c r="L95" s="133">
        <v>22.43</v>
      </c>
      <c r="M95" s="133">
        <v>82.97</v>
      </c>
      <c r="N95" s="133">
        <v>0</v>
      </c>
      <c r="O95" s="133">
        <v>0</v>
      </c>
      <c r="P95" s="133">
        <v>0.79</v>
      </c>
      <c r="Q95" s="133">
        <v>4.9400000000000004</v>
      </c>
    </row>
    <row r="96" spans="1:17" customFormat="1">
      <c r="A96" s="111" t="s">
        <v>2245</v>
      </c>
      <c r="B96" s="133">
        <v>14.21</v>
      </c>
      <c r="C96" s="133">
        <v>25.05</v>
      </c>
      <c r="D96" s="133">
        <v>25.84</v>
      </c>
      <c r="E96" s="133">
        <v>5.87</v>
      </c>
      <c r="F96" s="133">
        <v>2.5</v>
      </c>
      <c r="G96" s="133">
        <v>85.38</v>
      </c>
      <c r="H96" s="133">
        <v>26.4</v>
      </c>
      <c r="I96" s="133">
        <v>6.12</v>
      </c>
      <c r="J96" s="133">
        <v>0.22</v>
      </c>
      <c r="K96" s="133">
        <v>229.41</v>
      </c>
      <c r="L96" s="133">
        <v>22.05</v>
      </c>
      <c r="M96" s="133">
        <v>86.6</v>
      </c>
      <c r="N96" s="133">
        <v>0</v>
      </c>
      <c r="O96" s="133">
        <v>0</v>
      </c>
      <c r="P96" s="133">
        <v>0.79</v>
      </c>
      <c r="Q96" s="133">
        <v>4.97</v>
      </c>
    </row>
    <row r="97" spans="1:22" customFormat="1">
      <c r="A97" s="111" t="s">
        <v>2246</v>
      </c>
      <c r="B97" s="133">
        <v>14.34</v>
      </c>
      <c r="C97" s="133">
        <v>24.97</v>
      </c>
      <c r="D97" s="133">
        <v>25.9</v>
      </c>
      <c r="E97" s="133">
        <v>5.52</v>
      </c>
      <c r="F97" s="133">
        <v>2.4700000000000002</v>
      </c>
      <c r="G97" s="133">
        <v>85.38</v>
      </c>
      <c r="H97" s="133">
        <v>26.4</v>
      </c>
      <c r="I97" s="133">
        <v>6.2</v>
      </c>
      <c r="J97" s="133">
        <v>0.17</v>
      </c>
      <c r="K97" s="133">
        <v>241.13</v>
      </c>
      <c r="L97" s="133">
        <v>21.58</v>
      </c>
      <c r="M97" s="133">
        <v>86.94</v>
      </c>
      <c r="N97" s="133">
        <v>0</v>
      </c>
      <c r="O97" s="133">
        <v>0</v>
      </c>
      <c r="P97" s="133">
        <v>0.81</v>
      </c>
      <c r="Q97" s="133">
        <v>4.99</v>
      </c>
    </row>
    <row r="98" spans="1:22" customFormat="1">
      <c r="A98" s="111" t="s">
        <v>2247</v>
      </c>
      <c r="B98" s="133">
        <v>14.52</v>
      </c>
      <c r="C98" s="133">
        <v>24.59</v>
      </c>
      <c r="D98" s="133">
        <v>25.84</v>
      </c>
      <c r="E98" s="133">
        <v>5.9</v>
      </c>
      <c r="F98" s="133">
        <v>2.54</v>
      </c>
      <c r="G98" s="133">
        <v>85.38</v>
      </c>
      <c r="H98" s="133">
        <v>26.4</v>
      </c>
      <c r="I98" s="133">
        <v>6.27</v>
      </c>
      <c r="J98" s="133">
        <v>0.11</v>
      </c>
      <c r="K98" s="133">
        <v>221.79</v>
      </c>
      <c r="L98" s="133">
        <v>21.4</v>
      </c>
      <c r="M98" s="133">
        <v>86.73</v>
      </c>
      <c r="N98" s="133">
        <v>0</v>
      </c>
      <c r="O98" s="133">
        <v>0</v>
      </c>
      <c r="P98" s="133">
        <v>0.82</v>
      </c>
      <c r="Q98" s="133">
        <v>5</v>
      </c>
    </row>
    <row r="99" spans="1:22" customFormat="1">
      <c r="A99" s="111" t="s">
        <v>2248</v>
      </c>
      <c r="B99" s="133">
        <v>14.99</v>
      </c>
      <c r="C99" s="133">
        <v>24.75</v>
      </c>
      <c r="D99" s="133">
        <v>26.3</v>
      </c>
      <c r="E99" s="133">
        <v>6.23</v>
      </c>
      <c r="F99" s="133">
        <v>2.5099999999999998</v>
      </c>
      <c r="G99" s="133">
        <v>85.44</v>
      </c>
      <c r="H99" s="133">
        <v>26.46</v>
      </c>
      <c r="I99" s="133">
        <v>6.38</v>
      </c>
      <c r="J99" s="133">
        <v>0.15</v>
      </c>
      <c r="K99" s="133">
        <v>222.63</v>
      </c>
      <c r="L99" s="133">
        <v>21.56</v>
      </c>
      <c r="M99" s="133">
        <v>84.39</v>
      </c>
      <c r="N99" s="133">
        <v>0</v>
      </c>
      <c r="O99" s="133">
        <v>0</v>
      </c>
      <c r="P99" s="133">
        <v>0.85</v>
      </c>
      <c r="Q99" s="133">
        <v>5.05</v>
      </c>
    </row>
    <row r="100" spans="1:22" customFormat="1">
      <c r="A100" s="111" t="s">
        <v>2249</v>
      </c>
      <c r="B100" s="133">
        <v>18.079999999999998</v>
      </c>
      <c r="C100" s="133">
        <v>25.81</v>
      </c>
      <c r="D100" s="133">
        <v>29.33</v>
      </c>
      <c r="E100" s="133">
        <v>6.47</v>
      </c>
      <c r="F100" s="133">
        <v>2.52</v>
      </c>
      <c r="G100" s="133">
        <v>86.41</v>
      </c>
      <c r="H100" s="133">
        <v>27.51</v>
      </c>
      <c r="I100" s="133">
        <v>6.62</v>
      </c>
      <c r="J100" s="133">
        <v>0.15</v>
      </c>
      <c r="K100" s="133">
        <v>178.37</v>
      </c>
      <c r="L100" s="133">
        <v>21.93</v>
      </c>
      <c r="M100" s="133">
        <v>81.96</v>
      </c>
      <c r="N100" s="133">
        <v>0</v>
      </c>
      <c r="O100" s="133">
        <v>0</v>
      </c>
      <c r="P100" s="133">
        <v>0.88</v>
      </c>
      <c r="Q100" s="133">
        <v>5.19</v>
      </c>
    </row>
    <row r="101" spans="1:22" customFormat="1">
      <c r="A101" s="111" t="s">
        <v>2250</v>
      </c>
      <c r="B101" s="133">
        <v>22.99</v>
      </c>
      <c r="C101" s="133">
        <v>26.91</v>
      </c>
      <c r="D101" s="133">
        <v>33.840000000000003</v>
      </c>
      <c r="E101" s="133">
        <v>6.14</v>
      </c>
      <c r="F101" s="133">
        <v>2.46</v>
      </c>
      <c r="G101" s="133">
        <v>86.41</v>
      </c>
      <c r="H101" s="133">
        <v>27.51</v>
      </c>
      <c r="I101" s="133">
        <v>6.96</v>
      </c>
      <c r="J101" s="133">
        <v>0.15</v>
      </c>
      <c r="K101" s="133">
        <v>165.37</v>
      </c>
      <c r="L101" s="133">
        <v>21.83</v>
      </c>
      <c r="M101" s="133">
        <v>86.72</v>
      </c>
      <c r="N101" s="133">
        <v>0</v>
      </c>
      <c r="O101" s="133">
        <v>0</v>
      </c>
      <c r="P101" s="133">
        <v>0.92</v>
      </c>
      <c r="Q101" s="133">
        <v>5.43</v>
      </c>
    </row>
    <row r="102" spans="1:22" customFormat="1">
      <c r="A102" s="111" t="s">
        <v>2251</v>
      </c>
      <c r="B102" s="133">
        <v>25.88</v>
      </c>
      <c r="C102" s="133">
        <v>27.5</v>
      </c>
      <c r="D102" s="133">
        <v>36.47</v>
      </c>
      <c r="E102" s="133">
        <v>6.33</v>
      </c>
      <c r="F102" s="133">
        <v>2.4900000000000002</v>
      </c>
      <c r="G102" s="133">
        <v>86.41</v>
      </c>
      <c r="H102" s="133">
        <v>27.51</v>
      </c>
      <c r="I102" s="133">
        <v>7.28</v>
      </c>
      <c r="J102" s="133">
        <v>0.17</v>
      </c>
      <c r="K102" s="133">
        <v>156.52000000000001</v>
      </c>
      <c r="L102" s="133">
        <v>21.7</v>
      </c>
      <c r="M102" s="133">
        <v>94.56</v>
      </c>
      <c r="N102" s="133">
        <v>0</v>
      </c>
      <c r="O102" s="133">
        <v>0</v>
      </c>
      <c r="P102" s="133">
        <v>0.94</v>
      </c>
      <c r="Q102" s="133">
        <v>5.59</v>
      </c>
    </row>
    <row r="103" spans="1:22" customFormat="1">
      <c r="A103" s="111" t="s">
        <v>2252</v>
      </c>
      <c r="B103" s="133">
        <v>28.09</v>
      </c>
      <c r="C103" s="133">
        <v>27.32</v>
      </c>
      <c r="D103" s="133">
        <v>38.15</v>
      </c>
      <c r="E103" s="133">
        <v>6.24</v>
      </c>
      <c r="F103" s="133">
        <v>2.67</v>
      </c>
      <c r="G103" s="133">
        <v>86.9</v>
      </c>
      <c r="H103" s="133">
        <v>27.49</v>
      </c>
      <c r="I103" s="133">
        <v>7.49</v>
      </c>
      <c r="J103" s="133">
        <v>0.1</v>
      </c>
      <c r="K103" s="133">
        <v>130.88999999999999</v>
      </c>
      <c r="L103" s="133">
        <v>21.79</v>
      </c>
      <c r="M103" s="133">
        <v>87.36</v>
      </c>
      <c r="N103" s="133">
        <v>0</v>
      </c>
      <c r="O103" s="133">
        <v>0</v>
      </c>
      <c r="P103" s="133">
        <v>0.95</v>
      </c>
      <c r="Q103" s="133">
        <v>5.66</v>
      </c>
    </row>
    <row r="104" spans="1:22" customFormat="1">
      <c r="A104" s="111" t="s">
        <v>2253</v>
      </c>
      <c r="B104" s="133">
        <v>31.4</v>
      </c>
      <c r="C104" s="133">
        <v>24.98</v>
      </c>
      <c r="D104" s="133">
        <v>39.58</v>
      </c>
      <c r="E104" s="133">
        <v>5.97</v>
      </c>
      <c r="F104" s="133">
        <v>2.83</v>
      </c>
      <c r="G104" s="133">
        <v>95.13</v>
      </c>
      <c r="H104" s="133">
        <v>27.14</v>
      </c>
      <c r="I104" s="133">
        <v>7.66</v>
      </c>
      <c r="J104" s="133">
        <v>0.08</v>
      </c>
      <c r="K104" s="133">
        <v>181.17</v>
      </c>
      <c r="L104" s="133">
        <v>21.82</v>
      </c>
      <c r="M104" s="133">
        <v>84.22</v>
      </c>
      <c r="N104" s="133">
        <v>0</v>
      </c>
      <c r="O104" s="133">
        <v>0</v>
      </c>
      <c r="P104" s="133">
        <v>0.95</v>
      </c>
      <c r="Q104" s="133">
        <v>5.79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4.4800000000000004</v>
      </c>
      <c r="C106" s="183">
        <f>MIN(C9:C104)</f>
        <v>16.04</v>
      </c>
      <c r="D106" s="183">
        <f t="shared" ref="D106:Q106" si="0">MIN(D9:D104)</f>
        <v>14.55</v>
      </c>
      <c r="E106" s="183">
        <f t="shared" si="0"/>
        <v>3.86</v>
      </c>
      <c r="F106" s="183">
        <f t="shared" si="0"/>
        <v>2.2999999999999998</v>
      </c>
      <c r="G106" s="183">
        <f t="shared" si="0"/>
        <v>45.85</v>
      </c>
      <c r="H106" s="183">
        <f t="shared" si="0"/>
        <v>13.85</v>
      </c>
      <c r="I106" s="183">
        <f t="shared" si="0"/>
        <v>4.28</v>
      </c>
      <c r="J106" s="183">
        <f t="shared" si="0"/>
        <v>0.03</v>
      </c>
      <c r="K106" s="183">
        <f t="shared" si="0"/>
        <v>16.89</v>
      </c>
      <c r="L106" s="183">
        <f t="shared" si="0"/>
        <v>20.21</v>
      </c>
      <c r="M106" s="183">
        <f t="shared" si="0"/>
        <v>35.76</v>
      </c>
      <c r="N106" s="183">
        <f t="shared" si="0"/>
        <v>0</v>
      </c>
      <c r="O106" s="183">
        <f t="shared" si="0"/>
        <v>0</v>
      </c>
      <c r="P106" s="183">
        <f t="shared" si="0"/>
        <v>0.49</v>
      </c>
      <c r="Q106" s="183">
        <f t="shared" si="0"/>
        <v>4.32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31.4</v>
      </c>
      <c r="C107" s="184">
        <f t="shared" ref="C107:Q107" si="1">MAX(C9:C104)</f>
        <v>27.5</v>
      </c>
      <c r="D107" s="184">
        <f t="shared" si="1"/>
        <v>39.58</v>
      </c>
      <c r="E107" s="184">
        <f t="shared" si="1"/>
        <v>8.17</v>
      </c>
      <c r="F107" s="184">
        <f t="shared" si="1"/>
        <v>8.02</v>
      </c>
      <c r="G107" s="184">
        <f t="shared" si="1"/>
        <v>95.13</v>
      </c>
      <c r="H107" s="184">
        <f t="shared" si="1"/>
        <v>36.26</v>
      </c>
      <c r="I107" s="184">
        <f t="shared" si="1"/>
        <v>7.66</v>
      </c>
      <c r="J107" s="184">
        <f t="shared" si="1"/>
        <v>0.85</v>
      </c>
      <c r="K107" s="184">
        <f t="shared" si="1"/>
        <v>241.13</v>
      </c>
      <c r="L107" s="184">
        <f t="shared" si="1"/>
        <v>31.97</v>
      </c>
      <c r="M107" s="184">
        <f t="shared" si="1"/>
        <v>101.81</v>
      </c>
      <c r="N107" s="184">
        <f t="shared" si="1"/>
        <v>695.5</v>
      </c>
      <c r="O107" s="184">
        <f t="shared" si="1"/>
        <v>0</v>
      </c>
      <c r="P107" s="184">
        <f t="shared" si="1"/>
        <v>0.95</v>
      </c>
      <c r="Q107" s="184">
        <f t="shared" si="1"/>
        <v>5.79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15.222916666666668</v>
      </c>
      <c r="C108" s="183">
        <f t="shared" ref="C108:Q108" si="2">AVERAGE(C9:C104)</f>
        <v>22.3403125</v>
      </c>
      <c r="D108" s="183">
        <f t="shared" si="2"/>
        <v>25.230625000000007</v>
      </c>
      <c r="E108" s="183">
        <f t="shared" si="2"/>
        <v>6.1452083333333336</v>
      </c>
      <c r="F108" s="183">
        <f t="shared" si="2"/>
        <v>3.5541666666666667</v>
      </c>
      <c r="G108" s="183">
        <f t="shared" si="2"/>
        <v>72.309791666666655</v>
      </c>
      <c r="H108" s="183">
        <f t="shared" si="2"/>
        <v>24.038020833333331</v>
      </c>
      <c r="I108" s="183">
        <f t="shared" si="2"/>
        <v>5.9184375000000005</v>
      </c>
      <c r="J108" s="183">
        <f t="shared" si="2"/>
        <v>0.28500000000000014</v>
      </c>
      <c r="K108" s="183">
        <f t="shared" si="2"/>
        <v>102.69656250000003</v>
      </c>
      <c r="L108" s="183">
        <f t="shared" si="2"/>
        <v>24.953958333333333</v>
      </c>
      <c r="M108" s="183">
        <f t="shared" si="2"/>
        <v>68.333854166666654</v>
      </c>
      <c r="N108" s="183">
        <f t="shared" si="2"/>
        <v>161.84062500000002</v>
      </c>
      <c r="O108" s="183">
        <f t="shared" si="2"/>
        <v>0</v>
      </c>
      <c r="P108" s="183">
        <f t="shared" si="2"/>
        <v>0.69822916666666679</v>
      </c>
      <c r="Q108" s="183">
        <f t="shared" si="2"/>
        <v>4.9693750000000021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8.4163770073485065</v>
      </c>
      <c r="C109" s="183">
        <f t="shared" ref="C109:Q109" si="3">STDEV(C9:C104)</f>
        <v>2.7703564099512419</v>
      </c>
      <c r="D109" s="183">
        <f t="shared" si="3"/>
        <v>7.5928296940704207</v>
      </c>
      <c r="E109" s="183">
        <f t="shared" si="3"/>
        <v>0.91712018286839958</v>
      </c>
      <c r="F109" s="183">
        <f t="shared" si="3"/>
        <v>1.4577334004085467</v>
      </c>
      <c r="G109" s="183">
        <f t="shared" si="3"/>
        <v>11.509127908721029</v>
      </c>
      <c r="H109" s="183">
        <f t="shared" si="3"/>
        <v>6.3293943536307147</v>
      </c>
      <c r="I109" s="183">
        <f t="shared" si="3"/>
        <v>0.92413638561119316</v>
      </c>
      <c r="J109" s="183">
        <f t="shared" si="3"/>
        <v>0.19241402728163265</v>
      </c>
      <c r="K109" s="183">
        <f t="shared" si="3"/>
        <v>70.100687688317251</v>
      </c>
      <c r="L109" s="183">
        <f t="shared" si="3"/>
        <v>3.8766223711850136</v>
      </c>
      <c r="M109" s="183">
        <f t="shared" si="3"/>
        <v>22.246646742932448</v>
      </c>
      <c r="N109" s="183">
        <f t="shared" si="3"/>
        <v>252.05103517390441</v>
      </c>
      <c r="O109" s="183">
        <f t="shared" si="3"/>
        <v>0</v>
      </c>
      <c r="P109" s="183">
        <f t="shared" si="3"/>
        <v>0.10653385715019603</v>
      </c>
      <c r="Q109" s="183">
        <f t="shared" si="3"/>
        <v>0.48081468691987816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22/10/2023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2254</v>
      </c>
      <c r="B9" s="133">
        <v>35.06</v>
      </c>
      <c r="C9" s="133">
        <v>23.72</v>
      </c>
      <c r="D9" s="133">
        <v>41.86</v>
      </c>
      <c r="E9" s="133">
        <v>6.04</v>
      </c>
      <c r="F9" s="133">
        <v>2.77</v>
      </c>
      <c r="G9" s="133">
        <v>95.13</v>
      </c>
      <c r="H9" s="133">
        <v>27.14</v>
      </c>
      <c r="I9" s="133">
        <v>7.81</v>
      </c>
      <c r="J9" s="133">
        <v>0.1</v>
      </c>
      <c r="K9" s="133">
        <v>194.42</v>
      </c>
      <c r="L9" s="133">
        <v>21.71</v>
      </c>
      <c r="M9" s="133">
        <v>83.86</v>
      </c>
      <c r="N9" s="133">
        <v>0</v>
      </c>
      <c r="O9" s="133">
        <v>0</v>
      </c>
      <c r="P9" s="133">
        <v>0.95</v>
      </c>
      <c r="Q9" s="133">
        <v>5.89</v>
      </c>
    </row>
    <row r="10" spans="1:21" customFormat="1">
      <c r="A10" s="111" t="s">
        <v>2255</v>
      </c>
      <c r="B10" s="133">
        <v>35.06</v>
      </c>
      <c r="C10" s="133">
        <v>23.72</v>
      </c>
      <c r="D10" s="133">
        <v>41.86</v>
      </c>
      <c r="E10" s="133">
        <v>6.04</v>
      </c>
      <c r="F10" s="133">
        <v>2.77</v>
      </c>
      <c r="G10" s="133">
        <v>95.13</v>
      </c>
      <c r="H10" s="133">
        <v>27.14</v>
      </c>
      <c r="I10" s="133">
        <v>7.81</v>
      </c>
      <c r="J10" s="133">
        <v>0.1</v>
      </c>
      <c r="K10" s="133">
        <v>194.42</v>
      </c>
      <c r="L10" s="133">
        <v>21.71</v>
      </c>
      <c r="M10" s="133">
        <v>83.86</v>
      </c>
      <c r="N10" s="133">
        <v>0</v>
      </c>
      <c r="O10" s="133">
        <v>0</v>
      </c>
      <c r="P10" s="133">
        <v>0.95</v>
      </c>
      <c r="Q10" s="133">
        <v>5.89</v>
      </c>
    </row>
    <row r="11" spans="1:21" customFormat="1">
      <c r="A11" s="111" t="s">
        <v>2256</v>
      </c>
      <c r="B11" s="133">
        <v>36.799999999999997</v>
      </c>
      <c r="C11" s="133">
        <v>24.07</v>
      </c>
      <c r="D11" s="133">
        <v>43.43</v>
      </c>
      <c r="E11" s="133">
        <v>5.55</v>
      </c>
      <c r="F11" s="133">
        <v>2.5499999999999998</v>
      </c>
      <c r="G11" s="133">
        <v>95.07</v>
      </c>
      <c r="H11" s="133">
        <v>27.16</v>
      </c>
      <c r="I11" s="133">
        <v>8.07</v>
      </c>
      <c r="J11" s="133">
        <v>0.18</v>
      </c>
      <c r="K11" s="133">
        <v>173.92</v>
      </c>
      <c r="L11" s="133">
        <v>21.33</v>
      </c>
      <c r="M11" s="133">
        <v>89.97</v>
      </c>
      <c r="N11" s="133">
        <v>0</v>
      </c>
      <c r="O11" s="133">
        <v>0</v>
      </c>
      <c r="P11" s="133">
        <v>0.96</v>
      </c>
      <c r="Q11" s="133">
        <v>6</v>
      </c>
    </row>
    <row r="12" spans="1:21" customFormat="1">
      <c r="A12" s="111" t="s">
        <v>2257</v>
      </c>
      <c r="B12" s="133">
        <v>37.49</v>
      </c>
      <c r="C12" s="133">
        <v>25.07</v>
      </c>
      <c r="D12" s="133">
        <v>44.51</v>
      </c>
      <c r="E12" s="133">
        <v>6.01</v>
      </c>
      <c r="F12" s="133">
        <v>2.4300000000000002</v>
      </c>
      <c r="G12" s="133">
        <v>92.94</v>
      </c>
      <c r="H12" s="133">
        <v>27.84</v>
      </c>
      <c r="I12" s="133">
        <v>8.51</v>
      </c>
      <c r="J12" s="133">
        <v>0.12</v>
      </c>
      <c r="K12" s="133">
        <v>221.63</v>
      </c>
      <c r="L12" s="133">
        <v>21.03</v>
      </c>
      <c r="M12" s="133">
        <v>92.48</v>
      </c>
      <c r="N12" s="133">
        <v>0</v>
      </c>
      <c r="O12" s="133">
        <v>0</v>
      </c>
      <c r="P12" s="133">
        <v>0.98</v>
      </c>
      <c r="Q12" s="133">
        <v>6.05</v>
      </c>
    </row>
    <row r="13" spans="1:21" customFormat="1">
      <c r="A13" s="111" t="s">
        <v>2258</v>
      </c>
      <c r="B13" s="133">
        <v>38.08</v>
      </c>
      <c r="C13" s="133">
        <v>25.93</v>
      </c>
      <c r="D13" s="133">
        <v>45.44</v>
      </c>
      <c r="E13" s="133">
        <v>5.78</v>
      </c>
      <c r="F13" s="133">
        <v>2.41</v>
      </c>
      <c r="G13" s="133">
        <v>92.94</v>
      </c>
      <c r="H13" s="133">
        <v>27.84</v>
      </c>
      <c r="I13" s="133">
        <v>8.66</v>
      </c>
      <c r="J13" s="133">
        <v>0.12</v>
      </c>
      <c r="K13" s="133">
        <v>200.31</v>
      </c>
      <c r="L13" s="133">
        <v>20.96</v>
      </c>
      <c r="M13" s="133">
        <v>94.21</v>
      </c>
      <c r="N13" s="133">
        <v>0</v>
      </c>
      <c r="O13" s="133">
        <v>0</v>
      </c>
      <c r="P13" s="133">
        <v>1</v>
      </c>
      <c r="Q13" s="133">
        <v>6.08</v>
      </c>
    </row>
    <row r="14" spans="1:21" customFormat="1">
      <c r="A14" s="111" t="s">
        <v>2259</v>
      </c>
      <c r="B14" s="133">
        <v>40.090000000000003</v>
      </c>
      <c r="C14" s="133">
        <v>23.96</v>
      </c>
      <c r="D14" s="133">
        <v>46.02</v>
      </c>
      <c r="E14" s="133">
        <v>5.87</v>
      </c>
      <c r="F14" s="133">
        <v>2.71</v>
      </c>
      <c r="G14" s="133">
        <v>92.94</v>
      </c>
      <c r="H14" s="133">
        <v>27.84</v>
      </c>
      <c r="I14" s="133">
        <v>8.77</v>
      </c>
      <c r="J14" s="133">
        <v>0.11</v>
      </c>
      <c r="K14" s="133">
        <v>98.48</v>
      </c>
      <c r="L14" s="133">
        <v>21.16</v>
      </c>
      <c r="M14" s="133">
        <v>88.3</v>
      </c>
      <c r="N14" s="133">
        <v>0</v>
      </c>
      <c r="O14" s="133">
        <v>0</v>
      </c>
      <c r="P14" s="133">
        <v>1.01</v>
      </c>
      <c r="Q14" s="133">
        <v>6.17</v>
      </c>
    </row>
    <row r="15" spans="1:21" customFormat="1">
      <c r="A15" s="111" t="s">
        <v>2260</v>
      </c>
      <c r="B15" s="133">
        <v>42.24</v>
      </c>
      <c r="C15" s="133">
        <v>23.13</v>
      </c>
      <c r="D15" s="133">
        <v>47.31</v>
      </c>
      <c r="E15" s="133">
        <v>5.81</v>
      </c>
      <c r="F15" s="133">
        <v>2.71</v>
      </c>
      <c r="G15" s="133">
        <v>92.99</v>
      </c>
      <c r="H15" s="133">
        <v>27.78</v>
      </c>
      <c r="I15" s="133">
        <v>8.9700000000000006</v>
      </c>
      <c r="J15" s="133">
        <v>0.17</v>
      </c>
      <c r="K15" s="133">
        <v>141.74</v>
      </c>
      <c r="L15" s="133">
        <v>21.48</v>
      </c>
      <c r="M15" s="133">
        <v>87.31</v>
      </c>
      <c r="N15" s="133">
        <v>0</v>
      </c>
      <c r="O15" s="133">
        <v>0</v>
      </c>
      <c r="P15" s="133">
        <v>1.01</v>
      </c>
      <c r="Q15" s="133">
        <v>6.25</v>
      </c>
    </row>
    <row r="16" spans="1:21" customFormat="1">
      <c r="A16" s="111" t="s">
        <v>2261</v>
      </c>
      <c r="B16" s="133">
        <v>42.53</v>
      </c>
      <c r="C16" s="133">
        <v>24.92</v>
      </c>
      <c r="D16" s="133">
        <v>48.47</v>
      </c>
      <c r="E16" s="133">
        <v>5.62</v>
      </c>
      <c r="F16" s="133">
        <v>2.44</v>
      </c>
      <c r="G16" s="133">
        <v>94.13</v>
      </c>
      <c r="H16" s="133">
        <v>26.9</v>
      </c>
      <c r="I16" s="133">
        <v>9.07</v>
      </c>
      <c r="J16" s="133">
        <v>0.09</v>
      </c>
      <c r="K16" s="133">
        <v>113.84</v>
      </c>
      <c r="L16" s="133">
        <v>21.4</v>
      </c>
      <c r="M16" s="133">
        <v>85.97</v>
      </c>
      <c r="N16" s="133">
        <v>0</v>
      </c>
      <c r="O16" s="133">
        <v>0</v>
      </c>
      <c r="P16" s="133">
        <v>1.02</v>
      </c>
      <c r="Q16" s="133">
        <v>6.29</v>
      </c>
    </row>
    <row r="17" spans="1:17" customFormat="1">
      <c r="A17" s="111" t="s">
        <v>2262</v>
      </c>
      <c r="B17" s="133">
        <v>42.45</v>
      </c>
      <c r="C17" s="133">
        <v>25.57</v>
      </c>
      <c r="D17" s="133">
        <v>48.75</v>
      </c>
      <c r="E17" s="133">
        <v>3.4</v>
      </c>
      <c r="F17" s="133">
        <v>2.35</v>
      </c>
      <c r="G17" s="133">
        <v>94.13</v>
      </c>
      <c r="H17" s="133">
        <v>26.9</v>
      </c>
      <c r="I17" s="133">
        <v>9.18</v>
      </c>
      <c r="J17" s="133">
        <v>0.12</v>
      </c>
      <c r="K17" s="133">
        <v>29.97</v>
      </c>
      <c r="L17" s="133">
        <v>21.24</v>
      </c>
      <c r="M17" s="133">
        <v>86.3</v>
      </c>
      <c r="N17" s="133">
        <v>0</v>
      </c>
      <c r="O17" s="133">
        <v>0</v>
      </c>
      <c r="P17" s="133">
        <v>1.03</v>
      </c>
      <c r="Q17" s="133">
        <v>6.31</v>
      </c>
    </row>
    <row r="18" spans="1:17" customFormat="1">
      <c r="A18" s="111" t="s">
        <v>2263</v>
      </c>
      <c r="B18" s="133">
        <v>42.59</v>
      </c>
      <c r="C18" s="133">
        <v>23.88</v>
      </c>
      <c r="D18" s="133">
        <v>47.99</v>
      </c>
      <c r="E18" s="133">
        <v>4.26</v>
      </c>
      <c r="F18" s="133">
        <v>2.66</v>
      </c>
      <c r="G18" s="133">
        <v>94.13</v>
      </c>
      <c r="H18" s="133">
        <v>26.9</v>
      </c>
      <c r="I18" s="133">
        <v>9.2100000000000009</v>
      </c>
      <c r="J18" s="133">
        <v>0.15</v>
      </c>
      <c r="K18" s="133">
        <v>60.69</v>
      </c>
      <c r="L18" s="133">
        <v>21.17</v>
      </c>
      <c r="M18" s="133">
        <v>84.71</v>
      </c>
      <c r="N18" s="133">
        <v>0</v>
      </c>
      <c r="O18" s="133">
        <v>0</v>
      </c>
      <c r="P18" s="133">
        <v>1</v>
      </c>
      <c r="Q18" s="133">
        <v>6.3</v>
      </c>
    </row>
    <row r="19" spans="1:17" customFormat="1">
      <c r="A19" s="111" t="s">
        <v>2264</v>
      </c>
      <c r="B19" s="133">
        <v>42.28</v>
      </c>
      <c r="C19" s="133">
        <v>22.91</v>
      </c>
      <c r="D19" s="133">
        <v>47.22</v>
      </c>
      <c r="E19" s="133">
        <v>4.16</v>
      </c>
      <c r="F19" s="133">
        <v>2.63</v>
      </c>
      <c r="G19" s="133">
        <v>94.19</v>
      </c>
      <c r="H19" s="133">
        <v>26.96</v>
      </c>
      <c r="I19" s="133">
        <v>9.15</v>
      </c>
      <c r="J19" s="133">
        <v>0.08</v>
      </c>
      <c r="K19" s="133">
        <v>148.69999999999999</v>
      </c>
      <c r="L19" s="133">
        <v>21.22</v>
      </c>
      <c r="M19" s="133">
        <v>85.07</v>
      </c>
      <c r="N19" s="133">
        <v>0</v>
      </c>
      <c r="O19" s="133">
        <v>0</v>
      </c>
      <c r="P19" s="133">
        <v>0.98</v>
      </c>
      <c r="Q19" s="133">
        <v>6.29</v>
      </c>
    </row>
    <row r="20" spans="1:17" customFormat="1">
      <c r="A20" s="111" t="s">
        <v>2265</v>
      </c>
      <c r="B20" s="133">
        <v>41.1</v>
      </c>
      <c r="C20" s="133">
        <v>24.53</v>
      </c>
      <c r="D20" s="133">
        <v>47.13</v>
      </c>
      <c r="E20" s="133">
        <v>3.87</v>
      </c>
      <c r="F20" s="133">
        <v>2.42</v>
      </c>
      <c r="G20" s="133">
        <v>95.45</v>
      </c>
      <c r="H20" s="133">
        <v>28.3</v>
      </c>
      <c r="I20" s="133">
        <v>9.09</v>
      </c>
      <c r="J20" s="133">
        <v>0.09</v>
      </c>
      <c r="K20" s="133">
        <v>164.85</v>
      </c>
      <c r="L20" s="133">
        <v>20.92</v>
      </c>
      <c r="M20" s="133">
        <v>89.13</v>
      </c>
      <c r="N20" s="133">
        <v>0</v>
      </c>
      <c r="O20" s="133">
        <v>0</v>
      </c>
      <c r="P20" s="133">
        <v>0.99</v>
      </c>
      <c r="Q20" s="133">
        <v>6.21</v>
      </c>
    </row>
    <row r="21" spans="1:17" customFormat="1">
      <c r="A21" s="111" t="s">
        <v>2266</v>
      </c>
      <c r="B21" s="133">
        <v>40.020000000000003</v>
      </c>
      <c r="C21" s="133">
        <v>25.15</v>
      </c>
      <c r="D21" s="133">
        <v>46.59</v>
      </c>
      <c r="E21" s="133">
        <v>4.32</v>
      </c>
      <c r="F21" s="133">
        <v>2.4900000000000002</v>
      </c>
      <c r="G21" s="133">
        <v>95.45</v>
      </c>
      <c r="H21" s="133">
        <v>28.3</v>
      </c>
      <c r="I21" s="133">
        <v>9.01</v>
      </c>
      <c r="J21" s="133">
        <v>0.15</v>
      </c>
      <c r="K21" s="133">
        <v>209.9</v>
      </c>
      <c r="L21" s="133">
        <v>20.62</v>
      </c>
      <c r="M21" s="133">
        <v>91.12</v>
      </c>
      <c r="N21" s="133">
        <v>0</v>
      </c>
      <c r="O21" s="133">
        <v>0</v>
      </c>
      <c r="P21" s="133">
        <v>1</v>
      </c>
      <c r="Q21" s="133">
        <v>6.16</v>
      </c>
    </row>
    <row r="22" spans="1:17" customFormat="1">
      <c r="A22" s="111" t="s">
        <v>2267</v>
      </c>
      <c r="B22" s="133">
        <v>39.01</v>
      </c>
      <c r="C22" s="133">
        <v>23.38</v>
      </c>
      <c r="D22" s="133">
        <v>44.85</v>
      </c>
      <c r="E22" s="133">
        <v>3.84</v>
      </c>
      <c r="F22" s="133">
        <v>2.67</v>
      </c>
      <c r="G22" s="133">
        <v>95.45</v>
      </c>
      <c r="H22" s="133">
        <v>28.3</v>
      </c>
      <c r="I22" s="133">
        <v>8.94</v>
      </c>
      <c r="J22" s="133">
        <v>7.0000000000000007E-2</v>
      </c>
      <c r="K22" s="133">
        <v>215.33</v>
      </c>
      <c r="L22" s="133">
        <v>20.39</v>
      </c>
      <c r="M22" s="133">
        <v>92.9</v>
      </c>
      <c r="N22" s="133">
        <v>0</v>
      </c>
      <c r="O22" s="133">
        <v>0</v>
      </c>
      <c r="P22" s="133">
        <v>0.97</v>
      </c>
      <c r="Q22" s="133">
        <v>6.12</v>
      </c>
    </row>
    <row r="23" spans="1:17" customFormat="1">
      <c r="A23" s="111" t="s">
        <v>2268</v>
      </c>
      <c r="B23" s="133">
        <v>37.68</v>
      </c>
      <c r="C23" s="133">
        <v>23.99</v>
      </c>
      <c r="D23" s="133">
        <v>44.1</v>
      </c>
      <c r="E23" s="133">
        <v>4.1900000000000004</v>
      </c>
      <c r="F23" s="133">
        <v>2.5099999999999998</v>
      </c>
      <c r="G23" s="133">
        <v>95.17</v>
      </c>
      <c r="H23" s="133">
        <v>28.47</v>
      </c>
      <c r="I23" s="133">
        <v>8.86</v>
      </c>
      <c r="J23" s="133">
        <v>0.11</v>
      </c>
      <c r="K23" s="133">
        <v>181.06</v>
      </c>
      <c r="L23" s="133">
        <v>20.329999999999998</v>
      </c>
      <c r="M23" s="133">
        <v>92.83</v>
      </c>
      <c r="N23" s="133">
        <v>0</v>
      </c>
      <c r="O23" s="133">
        <v>0</v>
      </c>
      <c r="P23" s="133">
        <v>0.96</v>
      </c>
      <c r="Q23" s="133">
        <v>6.07</v>
      </c>
    </row>
    <row r="24" spans="1:17" customFormat="1">
      <c r="A24" s="111" t="s">
        <v>2269</v>
      </c>
      <c r="B24" s="133">
        <v>36.75</v>
      </c>
      <c r="C24" s="133">
        <v>22.85</v>
      </c>
      <c r="D24" s="133">
        <v>42.76</v>
      </c>
      <c r="E24" s="133">
        <v>3.69</v>
      </c>
      <c r="F24" s="133">
        <v>2.68</v>
      </c>
      <c r="G24" s="133">
        <v>89.14</v>
      </c>
      <c r="H24" s="133">
        <v>31.22</v>
      </c>
      <c r="I24" s="133">
        <v>8.73</v>
      </c>
      <c r="J24" s="133">
        <v>0.13</v>
      </c>
      <c r="K24" s="133">
        <v>229.92</v>
      </c>
      <c r="L24" s="133">
        <v>20.260000000000002</v>
      </c>
      <c r="M24" s="133">
        <v>92.93</v>
      </c>
      <c r="N24" s="133">
        <v>0</v>
      </c>
      <c r="O24" s="133">
        <v>0</v>
      </c>
      <c r="P24" s="133">
        <v>0.94</v>
      </c>
      <c r="Q24" s="133">
        <v>6.03</v>
      </c>
    </row>
    <row r="25" spans="1:17" customFormat="1">
      <c r="A25" s="111" t="s">
        <v>2270</v>
      </c>
      <c r="B25" s="133">
        <v>35.799999999999997</v>
      </c>
      <c r="C25" s="133">
        <v>24.34</v>
      </c>
      <c r="D25" s="133">
        <v>42.77</v>
      </c>
      <c r="E25" s="133">
        <v>3.47</v>
      </c>
      <c r="F25" s="133">
        <v>2.27</v>
      </c>
      <c r="G25" s="133">
        <v>89.14</v>
      </c>
      <c r="H25" s="133">
        <v>31.22</v>
      </c>
      <c r="I25" s="133">
        <v>8.67</v>
      </c>
      <c r="J25" s="133">
        <v>0.1</v>
      </c>
      <c r="K25" s="133">
        <v>222.41</v>
      </c>
      <c r="L25" s="133">
        <v>20.18</v>
      </c>
      <c r="M25" s="133">
        <v>92.62</v>
      </c>
      <c r="N25" s="133">
        <v>0</v>
      </c>
      <c r="O25" s="133">
        <v>0</v>
      </c>
      <c r="P25" s="133">
        <v>0.95</v>
      </c>
      <c r="Q25" s="133">
        <v>5.98</v>
      </c>
    </row>
    <row r="26" spans="1:17" customFormat="1">
      <c r="A26" s="111" t="s">
        <v>2271</v>
      </c>
      <c r="B26" s="133">
        <v>34.909999999999997</v>
      </c>
      <c r="C26" s="133">
        <v>25.42</v>
      </c>
      <c r="D26" s="133">
        <v>42.63</v>
      </c>
      <c r="E26" s="133">
        <v>4.43</v>
      </c>
      <c r="F26" s="133">
        <v>2.2799999999999998</v>
      </c>
      <c r="G26" s="133">
        <v>89.14</v>
      </c>
      <c r="H26" s="133">
        <v>31.22</v>
      </c>
      <c r="I26" s="133">
        <v>8.58</v>
      </c>
      <c r="J26" s="133">
        <v>0.09</v>
      </c>
      <c r="K26" s="133">
        <v>257.26</v>
      </c>
      <c r="L26" s="133">
        <v>20.13</v>
      </c>
      <c r="M26" s="133">
        <v>92.84</v>
      </c>
      <c r="N26" s="133">
        <v>0</v>
      </c>
      <c r="O26" s="133">
        <v>0</v>
      </c>
      <c r="P26" s="133">
        <v>0.95</v>
      </c>
      <c r="Q26" s="133">
        <v>5.96</v>
      </c>
    </row>
    <row r="27" spans="1:17" customFormat="1">
      <c r="A27" s="111" t="s">
        <v>2272</v>
      </c>
      <c r="B27" s="133">
        <v>35.11</v>
      </c>
      <c r="C27" s="133">
        <v>25.84</v>
      </c>
      <c r="D27" s="133">
        <v>43.01</v>
      </c>
      <c r="E27" s="133">
        <v>4.3600000000000003</v>
      </c>
      <c r="F27" s="133">
        <v>2.44</v>
      </c>
      <c r="G27" s="133">
        <v>88.86</v>
      </c>
      <c r="H27" s="133">
        <v>31.16</v>
      </c>
      <c r="I27" s="133">
        <v>8.5399999999999991</v>
      </c>
      <c r="J27" s="133">
        <v>7.0000000000000007E-2</v>
      </c>
      <c r="K27" s="133">
        <v>197.39</v>
      </c>
      <c r="L27" s="133">
        <v>20.059999999999999</v>
      </c>
      <c r="M27" s="133">
        <v>95.76</v>
      </c>
      <c r="N27" s="133">
        <v>0</v>
      </c>
      <c r="O27" s="133">
        <v>0</v>
      </c>
      <c r="P27" s="133">
        <v>0.95</v>
      </c>
      <c r="Q27" s="133">
        <v>5.97</v>
      </c>
    </row>
    <row r="28" spans="1:17" customFormat="1">
      <c r="A28" s="111" t="s">
        <v>2273</v>
      </c>
      <c r="B28" s="133">
        <v>36.020000000000003</v>
      </c>
      <c r="C28" s="133">
        <v>26.18</v>
      </c>
      <c r="D28" s="133">
        <v>43.92</v>
      </c>
      <c r="E28" s="133">
        <v>4.3600000000000003</v>
      </c>
      <c r="F28" s="133">
        <v>2.5499999999999998</v>
      </c>
      <c r="G28" s="133">
        <v>82.74</v>
      </c>
      <c r="H28" s="133">
        <v>29.91</v>
      </c>
      <c r="I28" s="133">
        <v>8.4700000000000006</v>
      </c>
      <c r="J28" s="133">
        <v>0.16</v>
      </c>
      <c r="K28" s="133">
        <v>255.06</v>
      </c>
      <c r="L28" s="133">
        <v>20.059999999999999</v>
      </c>
      <c r="M28" s="133">
        <v>96.81</v>
      </c>
      <c r="N28" s="133">
        <v>0</v>
      </c>
      <c r="O28" s="133">
        <v>0</v>
      </c>
      <c r="P28" s="133">
        <v>0.95</v>
      </c>
      <c r="Q28" s="133">
        <v>6.02</v>
      </c>
    </row>
    <row r="29" spans="1:17" customFormat="1">
      <c r="A29" s="111" t="s">
        <v>2274</v>
      </c>
      <c r="B29" s="133">
        <v>38.36</v>
      </c>
      <c r="C29" s="133">
        <v>26.74</v>
      </c>
      <c r="D29" s="133">
        <v>46.08</v>
      </c>
      <c r="E29" s="133">
        <v>4.32</v>
      </c>
      <c r="F29" s="133">
        <v>2.64</v>
      </c>
      <c r="G29" s="133">
        <v>82.74</v>
      </c>
      <c r="H29" s="133">
        <v>29.91</v>
      </c>
      <c r="I29" s="133">
        <v>8.36</v>
      </c>
      <c r="J29" s="133">
        <v>0.16</v>
      </c>
      <c r="K29" s="133">
        <v>155.94999999999999</v>
      </c>
      <c r="L29" s="133">
        <v>20.22</v>
      </c>
      <c r="M29" s="133">
        <v>96.27</v>
      </c>
      <c r="N29" s="133">
        <v>0</v>
      </c>
      <c r="O29" s="133">
        <v>0</v>
      </c>
      <c r="P29" s="133">
        <v>0.94</v>
      </c>
      <c r="Q29" s="133">
        <v>6.13</v>
      </c>
    </row>
    <row r="30" spans="1:17" customFormat="1">
      <c r="A30" s="111" t="s">
        <v>2275</v>
      </c>
      <c r="B30" s="133">
        <v>40.25</v>
      </c>
      <c r="C30" s="133">
        <v>26.83</v>
      </c>
      <c r="D30" s="133">
        <v>47.65</v>
      </c>
      <c r="E30" s="133">
        <v>4.1399999999999997</v>
      </c>
      <c r="F30" s="133">
        <v>2.71</v>
      </c>
      <c r="G30" s="133">
        <v>82.74</v>
      </c>
      <c r="H30" s="133">
        <v>29.91</v>
      </c>
      <c r="I30" s="133">
        <v>8.2899999999999991</v>
      </c>
      <c r="J30" s="133">
        <v>0.14000000000000001</v>
      </c>
      <c r="K30" s="133">
        <v>156.91999999999999</v>
      </c>
      <c r="L30" s="133">
        <v>20.13</v>
      </c>
      <c r="M30" s="133">
        <v>96.07</v>
      </c>
      <c r="N30" s="133">
        <v>0</v>
      </c>
      <c r="O30" s="133">
        <v>0</v>
      </c>
      <c r="P30" s="133">
        <v>0.94</v>
      </c>
      <c r="Q30" s="133">
        <v>6.24</v>
      </c>
    </row>
    <row r="31" spans="1:17" customFormat="1">
      <c r="A31" s="111" t="s">
        <v>2276</v>
      </c>
      <c r="B31" s="133">
        <v>40.82</v>
      </c>
      <c r="C31" s="133">
        <v>27.04</v>
      </c>
      <c r="D31" s="133">
        <v>48.21</v>
      </c>
      <c r="E31" s="133">
        <v>4.1900000000000004</v>
      </c>
      <c r="F31" s="133">
        <v>2.56</v>
      </c>
      <c r="G31" s="133">
        <v>83.04</v>
      </c>
      <c r="H31" s="133">
        <v>30.02</v>
      </c>
      <c r="I31" s="133">
        <v>8.39</v>
      </c>
      <c r="J31" s="133">
        <v>0.28000000000000003</v>
      </c>
      <c r="K31" s="133">
        <v>169.87</v>
      </c>
      <c r="L31" s="133">
        <v>20.14</v>
      </c>
      <c r="M31" s="133">
        <v>94.89</v>
      </c>
      <c r="N31" s="133">
        <v>0</v>
      </c>
      <c r="O31" s="133">
        <v>0</v>
      </c>
      <c r="P31" s="133">
        <v>0.93</v>
      </c>
      <c r="Q31" s="133">
        <v>6.28</v>
      </c>
    </row>
    <row r="32" spans="1:17" customFormat="1">
      <c r="A32" s="111" t="s">
        <v>2277</v>
      </c>
      <c r="B32" s="133">
        <v>40.32</v>
      </c>
      <c r="C32" s="133">
        <v>27.08</v>
      </c>
      <c r="D32" s="133">
        <v>47.83</v>
      </c>
      <c r="E32" s="133">
        <v>4.5999999999999996</v>
      </c>
      <c r="F32" s="133">
        <v>2.54</v>
      </c>
      <c r="G32" s="133">
        <v>89.44</v>
      </c>
      <c r="H32" s="133">
        <v>31.9</v>
      </c>
      <c r="I32" s="133">
        <v>8.39</v>
      </c>
      <c r="J32" s="133">
        <v>0.26</v>
      </c>
      <c r="K32" s="133">
        <v>174.89</v>
      </c>
      <c r="L32" s="133">
        <v>19.920000000000002</v>
      </c>
      <c r="M32" s="133">
        <v>95.96</v>
      </c>
      <c r="N32" s="133">
        <v>0</v>
      </c>
      <c r="O32" s="133">
        <v>0</v>
      </c>
      <c r="P32" s="133">
        <v>0.92</v>
      </c>
      <c r="Q32" s="133">
        <v>6.26</v>
      </c>
    </row>
    <row r="33" spans="1:17" customFormat="1">
      <c r="A33" s="111" t="s">
        <v>2278</v>
      </c>
      <c r="B33" s="133">
        <v>39.049999999999997</v>
      </c>
      <c r="C33" s="133">
        <v>27.17</v>
      </c>
      <c r="D33" s="133">
        <v>46.86</v>
      </c>
      <c r="E33" s="133">
        <v>4.72</v>
      </c>
      <c r="F33" s="133">
        <v>2.5499999999999998</v>
      </c>
      <c r="G33" s="133">
        <v>89.44</v>
      </c>
      <c r="H33" s="133">
        <v>31.9</v>
      </c>
      <c r="I33" s="133">
        <v>8.36</v>
      </c>
      <c r="J33" s="133">
        <v>0.12</v>
      </c>
      <c r="K33" s="133">
        <v>177.2</v>
      </c>
      <c r="L33" s="133">
        <v>19.739999999999998</v>
      </c>
      <c r="M33" s="133">
        <v>97.45</v>
      </c>
      <c r="N33" s="133">
        <v>0.1</v>
      </c>
      <c r="O33" s="133">
        <v>0</v>
      </c>
      <c r="P33" s="133">
        <v>0.91</v>
      </c>
      <c r="Q33" s="133">
        <v>6.21</v>
      </c>
    </row>
    <row r="34" spans="1:17" customFormat="1">
      <c r="A34" s="111" t="s">
        <v>2279</v>
      </c>
      <c r="B34" s="133">
        <v>37.72</v>
      </c>
      <c r="C34" s="133">
        <v>26.66</v>
      </c>
      <c r="D34" s="133">
        <v>45.53</v>
      </c>
      <c r="E34" s="133">
        <v>4.3600000000000003</v>
      </c>
      <c r="F34" s="133">
        <v>2.5099999999999998</v>
      </c>
      <c r="G34" s="133">
        <v>89.44</v>
      </c>
      <c r="H34" s="133">
        <v>31.9</v>
      </c>
      <c r="I34" s="133">
        <v>8.33</v>
      </c>
      <c r="J34" s="133">
        <v>0.11</v>
      </c>
      <c r="K34" s="133">
        <v>157.19</v>
      </c>
      <c r="L34" s="133">
        <v>19.899999999999999</v>
      </c>
      <c r="M34" s="133">
        <v>97.66</v>
      </c>
      <c r="N34" s="133">
        <v>8.5</v>
      </c>
      <c r="O34" s="133">
        <v>0</v>
      </c>
      <c r="P34" s="133">
        <v>0.89</v>
      </c>
      <c r="Q34" s="133">
        <v>6.16</v>
      </c>
    </row>
    <row r="35" spans="1:17" customFormat="1">
      <c r="A35" s="111" t="s">
        <v>2280</v>
      </c>
      <c r="B35" s="133">
        <v>36.29</v>
      </c>
      <c r="C35" s="133">
        <v>26.33</v>
      </c>
      <c r="D35" s="133">
        <v>44.21</v>
      </c>
      <c r="E35" s="133">
        <v>4.1900000000000004</v>
      </c>
      <c r="F35" s="133">
        <v>2.42</v>
      </c>
      <c r="G35" s="133">
        <v>89.29</v>
      </c>
      <c r="H35" s="133">
        <v>31.66</v>
      </c>
      <c r="I35" s="133">
        <v>8.3000000000000007</v>
      </c>
      <c r="J35" s="133">
        <v>0.09</v>
      </c>
      <c r="K35" s="133">
        <v>132.01</v>
      </c>
      <c r="L35" s="133">
        <v>20.18</v>
      </c>
      <c r="M35" s="133">
        <v>97.03</v>
      </c>
      <c r="N35" s="133">
        <v>21.9</v>
      </c>
      <c r="O35" s="133">
        <v>0</v>
      </c>
      <c r="P35" s="133">
        <v>0.89</v>
      </c>
      <c r="Q35" s="133">
        <v>6.1</v>
      </c>
    </row>
    <row r="36" spans="1:17" customFormat="1">
      <c r="A36" s="111" t="s">
        <v>2281</v>
      </c>
      <c r="B36" s="133">
        <v>34.96</v>
      </c>
      <c r="C36" s="133">
        <v>26.02</v>
      </c>
      <c r="D36" s="133">
        <v>42.98</v>
      </c>
      <c r="E36" s="133">
        <v>4.8600000000000003</v>
      </c>
      <c r="F36" s="133">
        <v>2.66</v>
      </c>
      <c r="G36" s="133">
        <v>85.96</v>
      </c>
      <c r="H36" s="133">
        <v>27.98</v>
      </c>
      <c r="I36" s="133">
        <v>8.24</v>
      </c>
      <c r="J36" s="133">
        <v>0.11</v>
      </c>
      <c r="K36" s="133">
        <v>153.88</v>
      </c>
      <c r="L36" s="133">
        <v>20.99</v>
      </c>
      <c r="M36" s="133">
        <v>89.59</v>
      </c>
      <c r="N36" s="133">
        <v>34.200000000000003</v>
      </c>
      <c r="O36" s="133">
        <v>0</v>
      </c>
      <c r="P36" s="133">
        <v>0.88</v>
      </c>
      <c r="Q36" s="133">
        <v>6.03</v>
      </c>
    </row>
    <row r="37" spans="1:17" customFormat="1">
      <c r="A37" s="111" t="s">
        <v>2282</v>
      </c>
      <c r="B37" s="133">
        <v>33.46</v>
      </c>
      <c r="C37" s="133">
        <v>26</v>
      </c>
      <c r="D37" s="133">
        <v>41.76</v>
      </c>
      <c r="E37" s="133">
        <v>4.5</v>
      </c>
      <c r="F37" s="133">
        <v>2.65</v>
      </c>
      <c r="G37" s="133">
        <v>85.96</v>
      </c>
      <c r="H37" s="133">
        <v>27.98</v>
      </c>
      <c r="I37" s="133">
        <v>8.16</v>
      </c>
      <c r="J37" s="133">
        <v>0.09</v>
      </c>
      <c r="K37" s="133">
        <v>205.6</v>
      </c>
      <c r="L37" s="133">
        <v>21.66</v>
      </c>
      <c r="M37" s="133">
        <v>87.74</v>
      </c>
      <c r="N37" s="133">
        <v>46.9</v>
      </c>
      <c r="O37" s="133">
        <v>0</v>
      </c>
      <c r="P37" s="133">
        <v>0.87</v>
      </c>
      <c r="Q37" s="133">
        <v>5.97</v>
      </c>
    </row>
    <row r="38" spans="1:17" customFormat="1">
      <c r="A38" s="111" t="s">
        <v>2283</v>
      </c>
      <c r="B38" s="133">
        <v>31.9</v>
      </c>
      <c r="C38" s="133">
        <v>25.74</v>
      </c>
      <c r="D38" s="133">
        <v>40.380000000000003</v>
      </c>
      <c r="E38" s="133">
        <v>4.4000000000000004</v>
      </c>
      <c r="F38" s="133">
        <v>2.5</v>
      </c>
      <c r="G38" s="133">
        <v>85.96</v>
      </c>
      <c r="H38" s="133">
        <v>27.98</v>
      </c>
      <c r="I38" s="133">
        <v>8.1</v>
      </c>
      <c r="J38" s="133">
        <v>0.09</v>
      </c>
      <c r="K38" s="133">
        <v>192</v>
      </c>
      <c r="L38" s="133">
        <v>22.26</v>
      </c>
      <c r="M38" s="133">
        <v>85.39</v>
      </c>
      <c r="N38" s="133">
        <v>76.8</v>
      </c>
      <c r="O38" s="133">
        <v>0</v>
      </c>
      <c r="P38" s="133">
        <v>0.86</v>
      </c>
      <c r="Q38" s="133">
        <v>5.91</v>
      </c>
    </row>
    <row r="39" spans="1:17" customFormat="1">
      <c r="A39" s="111" t="s">
        <v>2284</v>
      </c>
      <c r="B39" s="133">
        <v>30.12</v>
      </c>
      <c r="C39" s="133">
        <v>25.89</v>
      </c>
      <c r="D39" s="133">
        <v>39.03</v>
      </c>
      <c r="E39" s="133">
        <v>4.57</v>
      </c>
      <c r="F39" s="133">
        <v>2.57</v>
      </c>
      <c r="G39" s="133">
        <v>85.7</v>
      </c>
      <c r="H39" s="133">
        <v>27.85</v>
      </c>
      <c r="I39" s="133">
        <v>8.01</v>
      </c>
      <c r="J39" s="133">
        <v>0.13</v>
      </c>
      <c r="K39" s="133">
        <v>126.67</v>
      </c>
      <c r="L39" s="133">
        <v>23.34</v>
      </c>
      <c r="M39" s="133">
        <v>78.19</v>
      </c>
      <c r="N39" s="133">
        <v>194.8</v>
      </c>
      <c r="O39" s="133">
        <v>0</v>
      </c>
      <c r="P39" s="133">
        <v>0.85</v>
      </c>
      <c r="Q39" s="133">
        <v>5.82</v>
      </c>
    </row>
    <row r="40" spans="1:17" customFormat="1">
      <c r="A40" s="111" t="s">
        <v>2285</v>
      </c>
      <c r="B40" s="133">
        <v>28.62</v>
      </c>
      <c r="C40" s="133">
        <v>26.24</v>
      </c>
      <c r="D40" s="133">
        <v>38.020000000000003</v>
      </c>
      <c r="E40" s="133">
        <v>4.3600000000000003</v>
      </c>
      <c r="F40" s="133">
        <v>2.63</v>
      </c>
      <c r="G40" s="133">
        <v>80.27</v>
      </c>
      <c r="H40" s="133">
        <v>25.88</v>
      </c>
      <c r="I40" s="133">
        <v>7.92</v>
      </c>
      <c r="J40" s="133">
        <v>0.03</v>
      </c>
      <c r="K40" s="133">
        <v>20.89</v>
      </c>
      <c r="L40" s="133">
        <v>24.31</v>
      </c>
      <c r="M40" s="133">
        <v>71.44</v>
      </c>
      <c r="N40" s="133">
        <v>248.2</v>
      </c>
      <c r="O40" s="133">
        <v>0</v>
      </c>
      <c r="P40" s="133">
        <v>0.83</v>
      </c>
      <c r="Q40" s="133">
        <v>5.78</v>
      </c>
    </row>
    <row r="41" spans="1:17" customFormat="1">
      <c r="A41" s="111" t="s">
        <v>2286</v>
      </c>
      <c r="B41" s="133">
        <v>27.26</v>
      </c>
      <c r="C41" s="133">
        <v>26.56</v>
      </c>
      <c r="D41" s="133">
        <v>37.08</v>
      </c>
      <c r="E41" s="133">
        <v>4.88</v>
      </c>
      <c r="F41" s="133">
        <v>2.61</v>
      </c>
      <c r="G41" s="133">
        <v>80.27</v>
      </c>
      <c r="H41" s="133">
        <v>25.88</v>
      </c>
      <c r="I41" s="133">
        <v>7.79</v>
      </c>
      <c r="J41" s="133">
        <v>0.28999999999999998</v>
      </c>
      <c r="K41" s="133">
        <v>62.48</v>
      </c>
      <c r="L41" s="133">
        <v>25.12</v>
      </c>
      <c r="M41" s="133">
        <v>66.930000000000007</v>
      </c>
      <c r="N41" s="133">
        <v>293.89999999999998</v>
      </c>
      <c r="O41" s="133">
        <v>0</v>
      </c>
      <c r="P41" s="133">
        <v>0.83</v>
      </c>
      <c r="Q41" s="133">
        <v>5.69</v>
      </c>
    </row>
    <row r="42" spans="1:17" customFormat="1">
      <c r="A42" s="111" t="s">
        <v>2287</v>
      </c>
      <c r="B42" s="133">
        <v>25.79</v>
      </c>
      <c r="C42" s="133">
        <v>27.08</v>
      </c>
      <c r="D42" s="133">
        <v>36.18</v>
      </c>
      <c r="E42" s="133">
        <v>4.66</v>
      </c>
      <c r="F42" s="133">
        <v>2.67</v>
      </c>
      <c r="G42" s="133">
        <v>80.27</v>
      </c>
      <c r="H42" s="133">
        <v>25.88</v>
      </c>
      <c r="I42" s="133">
        <v>7.74</v>
      </c>
      <c r="J42" s="133">
        <v>0.27</v>
      </c>
      <c r="K42" s="133">
        <v>28.04</v>
      </c>
      <c r="L42" s="133">
        <v>25.97</v>
      </c>
      <c r="M42" s="133">
        <v>65.7</v>
      </c>
      <c r="N42" s="133">
        <v>341.6</v>
      </c>
      <c r="O42" s="133">
        <v>0</v>
      </c>
      <c r="P42" s="133">
        <v>0.82</v>
      </c>
      <c r="Q42" s="133">
        <v>5.6</v>
      </c>
    </row>
    <row r="43" spans="1:17" customFormat="1">
      <c r="A43" s="111" t="s">
        <v>2288</v>
      </c>
      <c r="B43" s="133">
        <v>23.92</v>
      </c>
      <c r="C43" s="133">
        <v>27.65</v>
      </c>
      <c r="D43" s="133">
        <v>34.979999999999997</v>
      </c>
      <c r="E43" s="133">
        <v>4.74</v>
      </c>
      <c r="F43" s="133">
        <v>2.68</v>
      </c>
      <c r="G43" s="133">
        <v>80.2</v>
      </c>
      <c r="H43" s="133">
        <v>26.06</v>
      </c>
      <c r="I43" s="133">
        <v>7.66</v>
      </c>
      <c r="J43" s="133">
        <v>0.22</v>
      </c>
      <c r="K43" s="133">
        <v>50.11</v>
      </c>
      <c r="L43" s="133">
        <v>26.83</v>
      </c>
      <c r="M43" s="133">
        <v>62.13</v>
      </c>
      <c r="N43" s="133">
        <v>387.2</v>
      </c>
      <c r="O43" s="133">
        <v>0</v>
      </c>
      <c r="P43" s="133">
        <v>0.82</v>
      </c>
      <c r="Q43" s="133">
        <v>5.54</v>
      </c>
    </row>
    <row r="44" spans="1:17" customFormat="1">
      <c r="A44" s="111" t="s">
        <v>2289</v>
      </c>
      <c r="B44" s="133">
        <v>22.02</v>
      </c>
      <c r="C44" s="133">
        <v>28.28</v>
      </c>
      <c r="D44" s="133">
        <v>33.78</v>
      </c>
      <c r="E44" s="133">
        <v>4.95</v>
      </c>
      <c r="F44" s="133">
        <v>2.73</v>
      </c>
      <c r="G44" s="133">
        <v>78.8</v>
      </c>
      <c r="H44" s="133">
        <v>28.85</v>
      </c>
      <c r="I44" s="133">
        <v>7.58</v>
      </c>
      <c r="J44" s="133">
        <v>0.54</v>
      </c>
      <c r="K44" s="133">
        <v>27.44</v>
      </c>
      <c r="L44" s="133">
        <v>27.09</v>
      </c>
      <c r="M44" s="133">
        <v>62.53</v>
      </c>
      <c r="N44" s="133">
        <v>429</v>
      </c>
      <c r="O44" s="133">
        <v>0</v>
      </c>
      <c r="P44" s="133">
        <v>0.81</v>
      </c>
      <c r="Q44" s="133">
        <v>5.47</v>
      </c>
    </row>
    <row r="45" spans="1:17" customFormat="1">
      <c r="A45" s="111" t="s">
        <v>2290</v>
      </c>
      <c r="B45" s="133">
        <v>20.18</v>
      </c>
      <c r="C45" s="133">
        <v>28.42</v>
      </c>
      <c r="D45" s="133">
        <v>32.39</v>
      </c>
      <c r="E45" s="133">
        <v>5.01</v>
      </c>
      <c r="F45" s="133">
        <v>2.95</v>
      </c>
      <c r="G45" s="133">
        <v>78.8</v>
      </c>
      <c r="H45" s="133">
        <v>28.85</v>
      </c>
      <c r="I45" s="133">
        <v>7.48</v>
      </c>
      <c r="J45" s="133">
        <v>0.48</v>
      </c>
      <c r="K45" s="133">
        <v>28.91</v>
      </c>
      <c r="L45" s="133">
        <v>27.45</v>
      </c>
      <c r="M45" s="133">
        <v>60</v>
      </c>
      <c r="N45" s="133">
        <v>454.9</v>
      </c>
      <c r="O45" s="133">
        <v>0</v>
      </c>
      <c r="P45" s="133">
        <v>0.82</v>
      </c>
      <c r="Q45" s="133">
        <v>5.37</v>
      </c>
    </row>
    <row r="46" spans="1:17" customFormat="1">
      <c r="A46" s="111" t="s">
        <v>2291</v>
      </c>
      <c r="B46" s="133">
        <v>18.54</v>
      </c>
      <c r="C46" s="133">
        <v>29.55</v>
      </c>
      <c r="D46" s="133">
        <v>31.65</v>
      </c>
      <c r="E46" s="133">
        <v>4.8</v>
      </c>
      <c r="F46" s="133">
        <v>3.01</v>
      </c>
      <c r="G46" s="133">
        <v>78.8</v>
      </c>
      <c r="H46" s="133">
        <v>28.85</v>
      </c>
      <c r="I46" s="133">
        <v>7.4</v>
      </c>
      <c r="J46" s="133">
        <v>0.44</v>
      </c>
      <c r="K46" s="133">
        <v>19.420000000000002</v>
      </c>
      <c r="L46" s="133">
        <v>27.78</v>
      </c>
      <c r="M46" s="133">
        <v>54.15</v>
      </c>
      <c r="N46" s="133">
        <v>351.4</v>
      </c>
      <c r="O46" s="133">
        <v>0</v>
      </c>
      <c r="P46" s="133">
        <v>0.82</v>
      </c>
      <c r="Q46" s="133">
        <v>5.22</v>
      </c>
    </row>
    <row r="47" spans="1:17" customFormat="1">
      <c r="A47" s="111" t="s">
        <v>2292</v>
      </c>
      <c r="B47" s="133">
        <v>17.600000000000001</v>
      </c>
      <c r="C47" s="133">
        <v>28.38</v>
      </c>
      <c r="D47" s="133">
        <v>30.29</v>
      </c>
      <c r="E47" s="133">
        <v>4.7</v>
      </c>
      <c r="F47" s="133">
        <v>3.14</v>
      </c>
      <c r="G47" s="133">
        <v>78.75</v>
      </c>
      <c r="H47" s="133">
        <v>29.01</v>
      </c>
      <c r="I47" s="133">
        <v>7.32</v>
      </c>
      <c r="J47" s="133">
        <v>0.26</v>
      </c>
      <c r="K47" s="133">
        <v>70.73</v>
      </c>
      <c r="L47" s="133">
        <v>28.46</v>
      </c>
      <c r="M47" s="133">
        <v>52.58</v>
      </c>
      <c r="N47" s="133">
        <v>347</v>
      </c>
      <c r="O47" s="133">
        <v>0</v>
      </c>
      <c r="P47" s="133">
        <v>0.8</v>
      </c>
      <c r="Q47" s="133">
        <v>5.17</v>
      </c>
    </row>
    <row r="48" spans="1:17" customFormat="1">
      <c r="A48" s="111" t="s">
        <v>2293</v>
      </c>
      <c r="B48" s="133">
        <v>16.829999999999998</v>
      </c>
      <c r="C48" s="133">
        <v>26.81</v>
      </c>
      <c r="D48" s="133">
        <v>28.85</v>
      </c>
      <c r="E48" s="133">
        <v>5.31</v>
      </c>
      <c r="F48" s="133">
        <v>3.19</v>
      </c>
      <c r="G48" s="133">
        <v>77.59</v>
      </c>
      <c r="H48" s="133">
        <v>31.48</v>
      </c>
      <c r="I48" s="133">
        <v>7.32</v>
      </c>
      <c r="J48" s="133">
        <v>0.46</v>
      </c>
      <c r="K48" s="133">
        <v>34.89</v>
      </c>
      <c r="L48" s="133">
        <v>28.92</v>
      </c>
      <c r="M48" s="133">
        <v>52.05</v>
      </c>
      <c r="N48" s="133">
        <v>549.20000000000005</v>
      </c>
      <c r="O48" s="133">
        <v>0</v>
      </c>
      <c r="P48" s="133">
        <v>0.8</v>
      </c>
      <c r="Q48" s="133">
        <v>5.12</v>
      </c>
    </row>
    <row r="49" spans="1:17" customFormat="1">
      <c r="A49" s="111" t="s">
        <v>2294</v>
      </c>
      <c r="B49" s="133">
        <v>16.239999999999998</v>
      </c>
      <c r="C49" s="133">
        <v>26.17</v>
      </c>
      <c r="D49" s="133">
        <v>28.05</v>
      </c>
      <c r="E49" s="133">
        <v>5.0599999999999996</v>
      </c>
      <c r="F49" s="133">
        <v>3.21</v>
      </c>
      <c r="G49" s="133">
        <v>77.59</v>
      </c>
      <c r="H49" s="133">
        <v>31.48</v>
      </c>
      <c r="I49" s="133">
        <v>7.27</v>
      </c>
      <c r="J49" s="133">
        <v>0.43</v>
      </c>
      <c r="K49" s="133">
        <v>9.5299999999999994</v>
      </c>
      <c r="L49" s="133">
        <v>29.25</v>
      </c>
      <c r="M49" s="133">
        <v>50.9</v>
      </c>
      <c r="N49" s="133">
        <v>562.9</v>
      </c>
      <c r="O49" s="133">
        <v>0</v>
      </c>
      <c r="P49" s="133">
        <v>0.79</v>
      </c>
      <c r="Q49" s="133">
        <v>5.03</v>
      </c>
    </row>
    <row r="50" spans="1:17" customFormat="1">
      <c r="A50" s="111" t="s">
        <v>2295</v>
      </c>
      <c r="B50" s="133">
        <v>15.78</v>
      </c>
      <c r="C50" s="133">
        <v>25.59</v>
      </c>
      <c r="D50" s="133">
        <v>27.37</v>
      </c>
      <c r="E50" s="133">
        <v>6.76</v>
      </c>
      <c r="F50" s="133">
        <v>3.32</v>
      </c>
      <c r="G50" s="133">
        <v>77.59</v>
      </c>
      <c r="H50" s="133">
        <v>31.48</v>
      </c>
      <c r="I50" s="133">
        <v>7.25</v>
      </c>
      <c r="J50" s="133">
        <v>0.31</v>
      </c>
      <c r="K50" s="133">
        <v>2.25</v>
      </c>
      <c r="L50" s="133">
        <v>29.67</v>
      </c>
      <c r="M50" s="133">
        <v>48.87</v>
      </c>
      <c r="N50" s="133">
        <v>583.1</v>
      </c>
      <c r="O50" s="133">
        <v>0</v>
      </c>
      <c r="P50" s="133">
        <v>0.78</v>
      </c>
      <c r="Q50" s="133">
        <v>5</v>
      </c>
    </row>
    <row r="51" spans="1:17" customFormat="1">
      <c r="A51" s="111" t="s">
        <v>2296</v>
      </c>
      <c r="B51" s="133">
        <v>15.18</v>
      </c>
      <c r="C51" s="133">
        <v>25.51</v>
      </c>
      <c r="D51" s="133">
        <v>26.85</v>
      </c>
      <c r="E51" s="133">
        <v>6.55</v>
      </c>
      <c r="F51" s="133">
        <v>3.29</v>
      </c>
      <c r="G51" s="133">
        <v>77.819999999999993</v>
      </c>
      <c r="H51" s="133">
        <v>31.42</v>
      </c>
      <c r="I51" s="133">
        <v>7.2</v>
      </c>
      <c r="J51" s="133">
        <v>0.3</v>
      </c>
      <c r="K51" s="133">
        <v>72.45</v>
      </c>
      <c r="L51" s="133">
        <v>30.17</v>
      </c>
      <c r="M51" s="133">
        <v>46.39</v>
      </c>
      <c r="N51" s="133">
        <v>614</v>
      </c>
      <c r="O51" s="133">
        <v>0</v>
      </c>
      <c r="P51" s="133">
        <v>0.78</v>
      </c>
      <c r="Q51" s="133">
        <v>4.9800000000000004</v>
      </c>
    </row>
    <row r="52" spans="1:17" customFormat="1">
      <c r="A52" s="111" t="s">
        <v>2297</v>
      </c>
      <c r="B52" s="133">
        <v>14.26</v>
      </c>
      <c r="C52" s="133">
        <v>25.1</v>
      </c>
      <c r="D52" s="133">
        <v>25.9</v>
      </c>
      <c r="E52" s="133">
        <v>7.26</v>
      </c>
      <c r="F52" s="133">
        <v>4.01</v>
      </c>
      <c r="G52" s="133">
        <v>82.78</v>
      </c>
      <c r="H52" s="133">
        <v>30.34</v>
      </c>
      <c r="I52" s="133">
        <v>7.13</v>
      </c>
      <c r="J52" s="133">
        <v>0.19</v>
      </c>
      <c r="K52" s="133">
        <v>58.8</v>
      </c>
      <c r="L52" s="133">
        <v>30.23</v>
      </c>
      <c r="M52" s="133">
        <v>45.44</v>
      </c>
      <c r="N52" s="133">
        <v>593.70000000000005</v>
      </c>
      <c r="O52" s="133">
        <v>0</v>
      </c>
      <c r="P52" s="133">
        <v>0.77</v>
      </c>
      <c r="Q52" s="133">
        <v>4.93</v>
      </c>
    </row>
    <row r="53" spans="1:17" customFormat="1">
      <c r="A53" s="111" t="s">
        <v>2298</v>
      </c>
      <c r="B53" s="133">
        <v>13.38</v>
      </c>
      <c r="C53" s="133">
        <v>24.73</v>
      </c>
      <c r="D53" s="133">
        <v>25</v>
      </c>
      <c r="E53" s="133">
        <v>7.63</v>
      </c>
      <c r="F53" s="133">
        <v>3.93</v>
      </c>
      <c r="G53" s="133">
        <v>82.78</v>
      </c>
      <c r="H53" s="133">
        <v>30.34</v>
      </c>
      <c r="I53" s="133">
        <v>7.03</v>
      </c>
      <c r="J53" s="133">
        <v>0.35</v>
      </c>
      <c r="K53" s="133">
        <v>349.6</v>
      </c>
      <c r="L53" s="133">
        <v>30.23</v>
      </c>
      <c r="M53" s="133">
        <v>44.99</v>
      </c>
      <c r="N53" s="133">
        <v>654.1</v>
      </c>
      <c r="O53" s="133">
        <v>0</v>
      </c>
      <c r="P53" s="133">
        <v>0.76</v>
      </c>
      <c r="Q53" s="133">
        <v>4.87</v>
      </c>
    </row>
    <row r="54" spans="1:17" customFormat="1">
      <c r="A54" s="111" t="s">
        <v>2299</v>
      </c>
      <c r="B54" s="133">
        <v>12.39</v>
      </c>
      <c r="C54" s="133">
        <v>24.53</v>
      </c>
      <c r="D54" s="133">
        <v>24.1</v>
      </c>
      <c r="E54" s="133">
        <v>7.95</v>
      </c>
      <c r="F54" s="133">
        <v>5.23</v>
      </c>
      <c r="G54" s="133">
        <v>82.78</v>
      </c>
      <c r="H54" s="133">
        <v>30.34</v>
      </c>
      <c r="I54" s="133">
        <v>6.93</v>
      </c>
      <c r="J54" s="133">
        <v>0.47</v>
      </c>
      <c r="K54" s="133">
        <v>45.71</v>
      </c>
      <c r="L54" s="133">
        <v>30.48</v>
      </c>
      <c r="M54" s="133">
        <v>41.73</v>
      </c>
      <c r="N54" s="133">
        <v>666.2</v>
      </c>
      <c r="O54" s="133">
        <v>0</v>
      </c>
      <c r="P54" s="133">
        <v>0.76</v>
      </c>
      <c r="Q54" s="133">
        <v>4.78</v>
      </c>
    </row>
    <row r="55" spans="1:17" customFormat="1">
      <c r="A55" s="111" t="s">
        <v>2300</v>
      </c>
      <c r="B55" s="133">
        <v>11.4</v>
      </c>
      <c r="C55" s="133">
        <v>24.31</v>
      </c>
      <c r="D55" s="133">
        <v>23.2</v>
      </c>
      <c r="E55" s="133">
        <v>6.85</v>
      </c>
      <c r="F55" s="133">
        <v>4.8899999999999997</v>
      </c>
      <c r="G55" s="133">
        <v>82.4</v>
      </c>
      <c r="H55" s="133">
        <v>30.14</v>
      </c>
      <c r="I55" s="133">
        <v>6.83</v>
      </c>
      <c r="J55" s="133">
        <v>0.28999999999999998</v>
      </c>
      <c r="K55" s="133">
        <v>52.92</v>
      </c>
      <c r="L55" s="133">
        <v>30.82</v>
      </c>
      <c r="M55" s="133">
        <v>39.840000000000003</v>
      </c>
      <c r="N55" s="133">
        <v>663.5</v>
      </c>
      <c r="O55" s="133">
        <v>0</v>
      </c>
      <c r="P55" s="133">
        <v>0.74</v>
      </c>
      <c r="Q55" s="133">
        <v>4.7300000000000004</v>
      </c>
    </row>
    <row r="56" spans="1:17" customFormat="1">
      <c r="A56" s="111" t="s">
        <v>2301</v>
      </c>
      <c r="B56" s="133">
        <v>10.49</v>
      </c>
      <c r="C56" s="133">
        <v>24.23</v>
      </c>
      <c r="D56" s="133">
        <v>22.42</v>
      </c>
      <c r="E56" s="133">
        <v>6.61</v>
      </c>
      <c r="F56" s="133">
        <v>4.55</v>
      </c>
      <c r="G56" s="133">
        <v>74.27</v>
      </c>
      <c r="H56" s="133">
        <v>26.93</v>
      </c>
      <c r="I56" s="133">
        <v>6.68</v>
      </c>
      <c r="J56" s="133">
        <v>0.39</v>
      </c>
      <c r="K56" s="133">
        <v>50.38</v>
      </c>
      <c r="L56" s="133">
        <v>31.25</v>
      </c>
      <c r="M56" s="133">
        <v>38.35</v>
      </c>
      <c r="N56" s="133">
        <v>651.20000000000005</v>
      </c>
      <c r="O56" s="133">
        <v>0</v>
      </c>
      <c r="P56" s="133">
        <v>0.73</v>
      </c>
      <c r="Q56" s="133">
        <v>4.68</v>
      </c>
    </row>
    <row r="57" spans="1:17" customFormat="1">
      <c r="A57" s="111" t="s">
        <v>2302</v>
      </c>
      <c r="B57" s="133">
        <v>9.6999999999999993</v>
      </c>
      <c r="C57" s="133">
        <v>23.33</v>
      </c>
      <c r="D57" s="133">
        <v>21.32</v>
      </c>
      <c r="E57" s="133">
        <v>5.83</v>
      </c>
      <c r="F57" s="133">
        <v>6.59</v>
      </c>
      <c r="G57" s="133">
        <v>74.27</v>
      </c>
      <c r="H57" s="133">
        <v>26.93</v>
      </c>
      <c r="I57" s="133">
        <v>6.58</v>
      </c>
      <c r="J57" s="133">
        <v>1.07</v>
      </c>
      <c r="K57" s="133">
        <v>21.37</v>
      </c>
      <c r="L57" s="133">
        <v>30.85</v>
      </c>
      <c r="M57" s="133">
        <v>30.77</v>
      </c>
      <c r="N57" s="133">
        <v>675.6</v>
      </c>
      <c r="O57" s="133">
        <v>0</v>
      </c>
      <c r="P57" s="133">
        <v>0.71</v>
      </c>
      <c r="Q57" s="133">
        <v>4.63</v>
      </c>
    </row>
    <row r="58" spans="1:17" customFormat="1">
      <c r="A58" s="111" t="s">
        <v>2303</v>
      </c>
      <c r="B58" s="133">
        <v>9.0399999999999991</v>
      </c>
      <c r="C58" s="133">
        <v>22.83</v>
      </c>
      <c r="D58" s="133">
        <v>20.53</v>
      </c>
      <c r="E58" s="133">
        <v>6.08</v>
      </c>
      <c r="F58" s="133">
        <v>6.98</v>
      </c>
      <c r="G58" s="133">
        <v>74.27</v>
      </c>
      <c r="H58" s="133">
        <v>26.93</v>
      </c>
      <c r="I58" s="133">
        <v>6.49</v>
      </c>
      <c r="J58" s="133">
        <v>0.91</v>
      </c>
      <c r="K58" s="133">
        <v>23.93</v>
      </c>
      <c r="L58" s="133">
        <v>30.97</v>
      </c>
      <c r="M58" s="133">
        <v>32.04</v>
      </c>
      <c r="N58" s="133">
        <v>688</v>
      </c>
      <c r="O58" s="133">
        <v>0</v>
      </c>
      <c r="P58" s="133">
        <v>0.7</v>
      </c>
      <c r="Q58" s="133">
        <v>4.59</v>
      </c>
    </row>
    <row r="59" spans="1:17" customFormat="1">
      <c r="A59" s="111" t="s">
        <v>2304</v>
      </c>
      <c r="B59" s="133">
        <v>8.6199999999999992</v>
      </c>
      <c r="C59" s="133">
        <v>22.66</v>
      </c>
      <c r="D59" s="133">
        <v>20.100000000000001</v>
      </c>
      <c r="E59" s="133">
        <v>6.11</v>
      </c>
      <c r="F59" s="133">
        <v>6.6</v>
      </c>
      <c r="G59" s="133">
        <v>73.510000000000005</v>
      </c>
      <c r="H59" s="133">
        <v>26.37</v>
      </c>
      <c r="I59" s="133">
        <v>6.24</v>
      </c>
      <c r="J59" s="133">
        <v>0.95</v>
      </c>
      <c r="K59" s="133">
        <v>30.29</v>
      </c>
      <c r="L59" s="133">
        <v>31</v>
      </c>
      <c r="M59" s="133">
        <v>33.65</v>
      </c>
      <c r="N59" s="133">
        <v>664.3</v>
      </c>
      <c r="O59" s="133">
        <v>0</v>
      </c>
      <c r="P59" s="133">
        <v>0.7</v>
      </c>
      <c r="Q59" s="133">
        <v>4.57</v>
      </c>
    </row>
    <row r="60" spans="1:17" customFormat="1">
      <c r="A60" s="111" t="s">
        <v>2305</v>
      </c>
      <c r="B60" s="133">
        <v>8.17</v>
      </c>
      <c r="C60" s="133">
        <v>22.28</v>
      </c>
      <c r="D60" s="133">
        <v>19.55</v>
      </c>
      <c r="E60" s="133">
        <v>5.81</v>
      </c>
      <c r="F60" s="133">
        <v>6.47</v>
      </c>
      <c r="G60" s="133">
        <v>60.6</v>
      </c>
      <c r="H60" s="133">
        <v>17.600000000000001</v>
      </c>
      <c r="I60" s="133">
        <v>6.15</v>
      </c>
      <c r="J60" s="133">
        <v>0.81</v>
      </c>
      <c r="K60" s="133">
        <v>28.69</v>
      </c>
      <c r="L60" s="133">
        <v>31.09</v>
      </c>
      <c r="M60" s="133">
        <v>34.270000000000003</v>
      </c>
      <c r="N60" s="133">
        <v>600.70000000000005</v>
      </c>
      <c r="O60" s="133">
        <v>0</v>
      </c>
      <c r="P60" s="133">
        <v>0.69</v>
      </c>
      <c r="Q60" s="133">
        <v>4.53</v>
      </c>
    </row>
    <row r="61" spans="1:17" customFormat="1">
      <c r="A61" s="111" t="s">
        <v>2306</v>
      </c>
      <c r="B61" s="133">
        <v>7.74</v>
      </c>
      <c r="C61" s="133">
        <v>21.68</v>
      </c>
      <c r="D61" s="133">
        <v>18.88</v>
      </c>
      <c r="E61" s="133">
        <v>6.54</v>
      </c>
      <c r="F61" s="133">
        <v>7.69</v>
      </c>
      <c r="G61" s="133">
        <v>60.6</v>
      </c>
      <c r="H61" s="133">
        <v>17.600000000000001</v>
      </c>
      <c r="I61" s="133">
        <v>6.08</v>
      </c>
      <c r="J61" s="133">
        <v>0.89</v>
      </c>
      <c r="K61" s="133">
        <v>24.26</v>
      </c>
      <c r="L61" s="133">
        <v>30.96</v>
      </c>
      <c r="M61" s="133">
        <v>35.799999999999997</v>
      </c>
      <c r="N61" s="133">
        <v>583.9</v>
      </c>
      <c r="O61" s="133">
        <v>0</v>
      </c>
      <c r="P61" s="133">
        <v>0.67</v>
      </c>
      <c r="Q61" s="133">
        <v>4.5</v>
      </c>
    </row>
    <row r="62" spans="1:17" customFormat="1">
      <c r="A62" s="111" t="s">
        <v>2307</v>
      </c>
      <c r="B62" s="133">
        <v>7.24</v>
      </c>
      <c r="C62" s="133">
        <v>20.81</v>
      </c>
      <c r="D62" s="133">
        <v>18.03</v>
      </c>
      <c r="E62" s="133">
        <v>6.68</v>
      </c>
      <c r="F62" s="133">
        <v>8.2899999999999991</v>
      </c>
      <c r="G62" s="133">
        <v>60.6</v>
      </c>
      <c r="H62" s="133">
        <v>17.600000000000001</v>
      </c>
      <c r="I62" s="133">
        <v>5.98</v>
      </c>
      <c r="J62" s="133">
        <v>0.63</v>
      </c>
      <c r="K62" s="133">
        <v>5.22</v>
      </c>
      <c r="L62" s="133">
        <v>31.19</v>
      </c>
      <c r="M62" s="133">
        <v>33.520000000000003</v>
      </c>
      <c r="N62" s="133">
        <v>604.79999999999995</v>
      </c>
      <c r="O62" s="133">
        <v>0</v>
      </c>
      <c r="P62" s="133">
        <v>0.66</v>
      </c>
      <c r="Q62" s="133">
        <v>4.47</v>
      </c>
    </row>
    <row r="63" spans="1:17" customFormat="1">
      <c r="A63" s="111" t="s">
        <v>2308</v>
      </c>
      <c r="B63" s="133">
        <v>6.9</v>
      </c>
      <c r="C63" s="133">
        <v>20.52</v>
      </c>
      <c r="D63" s="133">
        <v>17.61</v>
      </c>
      <c r="E63" s="133">
        <v>5.5</v>
      </c>
      <c r="F63" s="133">
        <v>6.16</v>
      </c>
      <c r="G63" s="133">
        <v>60.63</v>
      </c>
      <c r="H63" s="133">
        <v>17.68</v>
      </c>
      <c r="I63" s="133">
        <v>5.83</v>
      </c>
      <c r="J63" s="133">
        <v>0.96</v>
      </c>
      <c r="K63" s="133">
        <v>30.94</v>
      </c>
      <c r="L63" s="133">
        <v>31.12</v>
      </c>
      <c r="M63" s="133">
        <v>33.380000000000003</v>
      </c>
      <c r="N63" s="133">
        <v>567.70000000000005</v>
      </c>
      <c r="O63" s="133">
        <v>0</v>
      </c>
      <c r="P63" s="133">
        <v>0.64</v>
      </c>
      <c r="Q63" s="133">
        <v>4.43</v>
      </c>
    </row>
    <row r="64" spans="1:17" customFormat="1">
      <c r="A64" s="111" t="s">
        <v>2309</v>
      </c>
      <c r="B64" s="133">
        <v>6.67</v>
      </c>
      <c r="C64" s="133">
        <v>20.22</v>
      </c>
      <c r="D64" s="133">
        <v>17.260000000000002</v>
      </c>
      <c r="E64" s="133">
        <v>6.11</v>
      </c>
      <c r="F64" s="133">
        <v>6.04</v>
      </c>
      <c r="G64" s="133">
        <v>61.02</v>
      </c>
      <c r="H64" s="133">
        <v>18.89</v>
      </c>
      <c r="I64" s="133">
        <v>5.72</v>
      </c>
      <c r="J64" s="133">
        <v>0.67</v>
      </c>
      <c r="K64" s="133">
        <v>22.82</v>
      </c>
      <c r="L64" s="133">
        <v>31.01</v>
      </c>
      <c r="M64" s="133">
        <v>35.57</v>
      </c>
      <c r="N64" s="133">
        <v>532.79999999999995</v>
      </c>
      <c r="O64" s="133">
        <v>0</v>
      </c>
      <c r="P64" s="133">
        <v>0.64</v>
      </c>
      <c r="Q64" s="133">
        <v>4.4000000000000004</v>
      </c>
    </row>
    <row r="65" spans="1:17" customFormat="1">
      <c r="A65" s="111" t="s">
        <v>2310</v>
      </c>
      <c r="B65" s="133">
        <v>6.32</v>
      </c>
      <c r="C65" s="133">
        <v>20.68</v>
      </c>
      <c r="D65" s="133">
        <v>17.22</v>
      </c>
      <c r="E65" s="133">
        <v>5.29</v>
      </c>
      <c r="F65" s="133">
        <v>5.49</v>
      </c>
      <c r="G65" s="133">
        <v>61.02</v>
      </c>
      <c r="H65" s="133">
        <v>18.89</v>
      </c>
      <c r="I65" s="133">
        <v>5.65</v>
      </c>
      <c r="J65" s="133">
        <v>0.75</v>
      </c>
      <c r="K65" s="133">
        <v>28.96</v>
      </c>
      <c r="L65" s="133">
        <v>31.07</v>
      </c>
      <c r="M65" s="133">
        <v>35.01</v>
      </c>
      <c r="N65" s="133">
        <v>510.3</v>
      </c>
      <c r="O65" s="133">
        <v>0</v>
      </c>
      <c r="P65" s="133">
        <v>0.62</v>
      </c>
      <c r="Q65" s="133">
        <v>4.3899999999999997</v>
      </c>
    </row>
    <row r="66" spans="1:17" customFormat="1">
      <c r="A66" s="111" t="s">
        <v>2311</v>
      </c>
      <c r="B66" s="133">
        <v>5.85</v>
      </c>
      <c r="C66" s="133">
        <v>21.06</v>
      </c>
      <c r="D66" s="133">
        <v>17.04</v>
      </c>
      <c r="E66" s="133">
        <v>5.59</v>
      </c>
      <c r="F66" s="133">
        <v>7.14</v>
      </c>
      <c r="G66" s="133">
        <v>61.02</v>
      </c>
      <c r="H66" s="133">
        <v>18.89</v>
      </c>
      <c r="I66" s="133">
        <v>5.6</v>
      </c>
      <c r="J66" s="133">
        <v>0.73</v>
      </c>
      <c r="K66" s="133">
        <v>23.71</v>
      </c>
      <c r="L66" s="133">
        <v>30.68</v>
      </c>
      <c r="M66" s="133">
        <v>35.49</v>
      </c>
      <c r="N66" s="133">
        <v>232.6</v>
      </c>
      <c r="O66" s="133">
        <v>0</v>
      </c>
      <c r="P66" s="133">
        <v>0.62</v>
      </c>
      <c r="Q66" s="133">
        <v>4.41</v>
      </c>
    </row>
    <row r="67" spans="1:17" customFormat="1">
      <c r="A67" s="111" t="s">
        <v>2312</v>
      </c>
      <c r="B67" s="133">
        <v>5.41</v>
      </c>
      <c r="C67" s="133">
        <v>20.95</v>
      </c>
      <c r="D67" s="133">
        <v>16.63</v>
      </c>
      <c r="E67" s="133">
        <v>6.34</v>
      </c>
      <c r="F67" s="133">
        <v>8.81</v>
      </c>
      <c r="G67" s="133">
        <v>60.65</v>
      </c>
      <c r="H67" s="133">
        <v>18.71</v>
      </c>
      <c r="I67" s="133">
        <v>5.48</v>
      </c>
      <c r="J67" s="133">
        <v>0.83</v>
      </c>
      <c r="K67" s="133">
        <v>17.72</v>
      </c>
      <c r="L67" s="133">
        <v>30.05</v>
      </c>
      <c r="M67" s="133">
        <v>37.619999999999997</v>
      </c>
      <c r="N67" s="133">
        <v>98.4</v>
      </c>
      <c r="O67" s="133">
        <v>0</v>
      </c>
      <c r="P67" s="133">
        <v>0.61</v>
      </c>
      <c r="Q67" s="133">
        <v>4.41</v>
      </c>
    </row>
    <row r="68" spans="1:17" customFormat="1">
      <c r="A68" s="111" t="s">
        <v>2313</v>
      </c>
      <c r="B68" s="133">
        <v>5.0999999999999996</v>
      </c>
      <c r="C68" s="133">
        <v>21.47</v>
      </c>
      <c r="D68" s="133">
        <v>16.66</v>
      </c>
      <c r="E68" s="133">
        <v>6.21</v>
      </c>
      <c r="F68" s="133">
        <v>8.4600000000000009</v>
      </c>
      <c r="G68" s="133">
        <v>52.54</v>
      </c>
      <c r="H68" s="133">
        <v>15.86</v>
      </c>
      <c r="I68" s="133">
        <v>5.33</v>
      </c>
      <c r="J68" s="133">
        <v>0.63</v>
      </c>
      <c r="K68" s="133">
        <v>13.8</v>
      </c>
      <c r="L68" s="133">
        <v>29.71</v>
      </c>
      <c r="M68" s="133">
        <v>38.42</v>
      </c>
      <c r="N68" s="133">
        <v>84</v>
      </c>
      <c r="O68" s="133">
        <v>0</v>
      </c>
      <c r="P68" s="133">
        <v>0.61</v>
      </c>
      <c r="Q68" s="133">
        <v>4.37</v>
      </c>
    </row>
    <row r="69" spans="1:17" customFormat="1">
      <c r="A69" s="111" t="s">
        <v>2314</v>
      </c>
      <c r="B69" s="133">
        <v>5.05</v>
      </c>
      <c r="C69" s="133">
        <v>21.78</v>
      </c>
      <c r="D69" s="133">
        <v>16.78</v>
      </c>
      <c r="E69" s="133">
        <v>6.64</v>
      </c>
      <c r="F69" s="133">
        <v>9.49</v>
      </c>
      <c r="G69" s="133">
        <v>52.54</v>
      </c>
      <c r="H69" s="133">
        <v>15.86</v>
      </c>
      <c r="I69" s="133">
        <v>5.09</v>
      </c>
      <c r="J69" s="133">
        <v>0.76</v>
      </c>
      <c r="K69" s="133">
        <v>25.77</v>
      </c>
      <c r="L69" s="133">
        <v>29.6</v>
      </c>
      <c r="M69" s="133">
        <v>38.26</v>
      </c>
      <c r="N69" s="133">
        <v>75</v>
      </c>
      <c r="O69" s="133">
        <v>0</v>
      </c>
      <c r="P69" s="133">
        <v>0.61</v>
      </c>
      <c r="Q69" s="133">
        <v>4.3499999999999996</v>
      </c>
    </row>
    <row r="70" spans="1:17" customFormat="1">
      <c r="A70" s="111" t="s">
        <v>2315</v>
      </c>
      <c r="B70" s="133">
        <v>5.07</v>
      </c>
      <c r="C70" s="133">
        <v>22.04</v>
      </c>
      <c r="D70" s="133">
        <v>16.940000000000001</v>
      </c>
      <c r="E70" s="133">
        <v>5.8</v>
      </c>
      <c r="F70" s="133">
        <v>8.59</v>
      </c>
      <c r="G70" s="133">
        <v>52.54</v>
      </c>
      <c r="H70" s="133">
        <v>15.86</v>
      </c>
      <c r="I70" s="133">
        <v>5.05</v>
      </c>
      <c r="J70" s="133">
        <v>0.61</v>
      </c>
      <c r="K70" s="133">
        <v>20.3</v>
      </c>
      <c r="L70" s="133">
        <v>29.32</v>
      </c>
      <c r="M70" s="133">
        <v>39.72</v>
      </c>
      <c r="N70" s="133">
        <v>67.5</v>
      </c>
      <c r="O70" s="133">
        <v>0</v>
      </c>
      <c r="P70" s="133">
        <v>0.61</v>
      </c>
      <c r="Q70" s="133">
        <v>4.34</v>
      </c>
    </row>
    <row r="71" spans="1:17" customFormat="1">
      <c r="A71" s="111" t="s">
        <v>2316</v>
      </c>
      <c r="B71" s="133">
        <v>5.35</v>
      </c>
      <c r="C71" s="133">
        <v>23.32</v>
      </c>
      <c r="D71" s="133">
        <v>17.82</v>
      </c>
      <c r="E71" s="133">
        <v>5.8</v>
      </c>
      <c r="F71" s="133">
        <v>8.09</v>
      </c>
      <c r="G71" s="133">
        <v>52.49</v>
      </c>
      <c r="H71" s="133">
        <v>16.100000000000001</v>
      </c>
      <c r="I71" s="133">
        <v>4.97</v>
      </c>
      <c r="J71" s="133">
        <v>0.69</v>
      </c>
      <c r="K71" s="133">
        <v>25.31</v>
      </c>
      <c r="L71" s="133">
        <v>29.07</v>
      </c>
      <c r="M71" s="133">
        <v>41.25</v>
      </c>
      <c r="N71" s="133">
        <v>72.099999999999994</v>
      </c>
      <c r="O71" s="133">
        <v>0</v>
      </c>
      <c r="P71" s="133">
        <v>0.6</v>
      </c>
      <c r="Q71" s="133">
        <v>4.3600000000000003</v>
      </c>
    </row>
    <row r="72" spans="1:17" customFormat="1">
      <c r="A72" s="111" t="s">
        <v>2317</v>
      </c>
      <c r="B72" s="133">
        <v>6.24</v>
      </c>
      <c r="C72" s="133">
        <v>23.77</v>
      </c>
      <c r="D72" s="133">
        <v>18.77</v>
      </c>
      <c r="E72" s="133">
        <v>6.27</v>
      </c>
      <c r="F72" s="133">
        <v>9.99</v>
      </c>
      <c r="G72" s="133">
        <v>51.62</v>
      </c>
      <c r="H72" s="133">
        <v>19.23</v>
      </c>
      <c r="I72" s="133">
        <v>4.8099999999999996</v>
      </c>
      <c r="J72" s="133">
        <v>0.65</v>
      </c>
      <c r="K72" s="133">
        <v>21.1</v>
      </c>
      <c r="L72" s="133">
        <v>28.85</v>
      </c>
      <c r="M72" s="133">
        <v>41.13</v>
      </c>
      <c r="N72" s="133">
        <v>59.2</v>
      </c>
      <c r="O72" s="133">
        <v>0</v>
      </c>
      <c r="P72" s="133">
        <v>0.59</v>
      </c>
      <c r="Q72" s="133">
        <v>4.3499999999999996</v>
      </c>
    </row>
    <row r="73" spans="1:17" customFormat="1">
      <c r="A73" s="111" t="s">
        <v>2318</v>
      </c>
      <c r="B73" s="133">
        <v>5.91</v>
      </c>
      <c r="C73" s="133">
        <v>22.93</v>
      </c>
      <c r="D73" s="133">
        <v>18.07</v>
      </c>
      <c r="E73" s="133">
        <v>5.86</v>
      </c>
      <c r="F73" s="133">
        <v>7.94</v>
      </c>
      <c r="G73" s="133">
        <v>51.62</v>
      </c>
      <c r="H73" s="133">
        <v>19.23</v>
      </c>
      <c r="I73" s="133">
        <v>4.75</v>
      </c>
      <c r="J73" s="133">
        <v>0.49</v>
      </c>
      <c r="K73" s="133">
        <v>34.130000000000003</v>
      </c>
      <c r="L73" s="133">
        <v>28.71</v>
      </c>
      <c r="M73" s="133">
        <v>41.35</v>
      </c>
      <c r="N73" s="133">
        <v>41.8</v>
      </c>
      <c r="O73" s="133">
        <v>0</v>
      </c>
      <c r="P73" s="133">
        <v>0.6</v>
      </c>
      <c r="Q73" s="133">
        <v>4.3499999999999996</v>
      </c>
    </row>
    <row r="74" spans="1:17" customFormat="1">
      <c r="A74" s="111" t="s">
        <v>2319</v>
      </c>
      <c r="B74" s="133">
        <v>5.56</v>
      </c>
      <c r="C74" s="133">
        <v>22.31</v>
      </c>
      <c r="D74" s="133">
        <v>17.47</v>
      </c>
      <c r="E74" s="133">
        <v>5.49</v>
      </c>
      <c r="F74" s="133">
        <v>6.07</v>
      </c>
      <c r="G74" s="133">
        <v>51.62</v>
      </c>
      <c r="H74" s="133">
        <v>19.23</v>
      </c>
      <c r="I74" s="133">
        <v>4.63</v>
      </c>
      <c r="J74" s="133">
        <v>0.48</v>
      </c>
      <c r="K74" s="133">
        <v>36.94</v>
      </c>
      <c r="L74" s="133">
        <v>28.51</v>
      </c>
      <c r="M74" s="133">
        <v>41.65</v>
      </c>
      <c r="N74" s="133">
        <v>44.6</v>
      </c>
      <c r="O74" s="133">
        <v>0</v>
      </c>
      <c r="P74" s="133">
        <v>0.6</v>
      </c>
      <c r="Q74" s="133">
        <v>4.38</v>
      </c>
    </row>
    <row r="75" spans="1:17" customFormat="1">
      <c r="A75" s="111" t="s">
        <v>2320</v>
      </c>
      <c r="B75" s="133">
        <v>5.61</v>
      </c>
      <c r="C75" s="133">
        <v>22.71</v>
      </c>
      <c r="D75" s="133">
        <v>17.72</v>
      </c>
      <c r="E75" s="133">
        <v>5.49</v>
      </c>
      <c r="F75" s="133">
        <v>6.4</v>
      </c>
      <c r="G75" s="133">
        <v>51.51</v>
      </c>
      <c r="H75" s="133">
        <v>18.940000000000001</v>
      </c>
      <c r="I75" s="133">
        <v>4.62</v>
      </c>
      <c r="J75" s="133">
        <v>0.42</v>
      </c>
      <c r="K75" s="133">
        <v>46.89</v>
      </c>
      <c r="L75" s="133">
        <v>28.33</v>
      </c>
      <c r="M75" s="133">
        <v>41.82</v>
      </c>
      <c r="N75" s="133">
        <v>21</v>
      </c>
      <c r="O75" s="133">
        <v>0</v>
      </c>
      <c r="P75" s="133">
        <v>0.61</v>
      </c>
      <c r="Q75" s="133">
        <v>4.38</v>
      </c>
    </row>
    <row r="76" spans="1:17" customFormat="1">
      <c r="A76" s="111" t="s">
        <v>2321</v>
      </c>
      <c r="B76" s="133">
        <v>5.59</v>
      </c>
      <c r="C76" s="133">
        <v>22.88</v>
      </c>
      <c r="D76" s="133">
        <v>17.79</v>
      </c>
      <c r="E76" s="133">
        <v>5.43</v>
      </c>
      <c r="F76" s="133">
        <v>6.37</v>
      </c>
      <c r="G76" s="133">
        <v>49.74</v>
      </c>
      <c r="H76" s="133">
        <v>14.44</v>
      </c>
      <c r="I76" s="133">
        <v>4.5999999999999996</v>
      </c>
      <c r="J76" s="133">
        <v>0.19</v>
      </c>
      <c r="K76" s="133">
        <v>66.41</v>
      </c>
      <c r="L76" s="133">
        <v>28</v>
      </c>
      <c r="M76" s="133">
        <v>43.74</v>
      </c>
      <c r="N76" s="133">
        <v>12.3</v>
      </c>
      <c r="O76" s="133">
        <v>0</v>
      </c>
      <c r="P76" s="133">
        <v>0.6</v>
      </c>
      <c r="Q76" s="133">
        <v>4.38</v>
      </c>
    </row>
    <row r="77" spans="1:17" customFormat="1">
      <c r="A77" s="111" t="s">
        <v>2322</v>
      </c>
      <c r="B77" s="133">
        <v>5.69</v>
      </c>
      <c r="C77" s="133">
        <v>22.92</v>
      </c>
      <c r="D77" s="133">
        <v>17.89</v>
      </c>
      <c r="E77" s="133">
        <v>5.89</v>
      </c>
      <c r="F77" s="133">
        <v>4.3099999999999996</v>
      </c>
      <c r="G77" s="133">
        <v>49.74</v>
      </c>
      <c r="H77" s="133">
        <v>14.44</v>
      </c>
      <c r="I77" s="133">
        <v>4.57</v>
      </c>
      <c r="J77" s="133">
        <v>0.17</v>
      </c>
      <c r="K77" s="133">
        <v>105.17</v>
      </c>
      <c r="L77" s="133">
        <v>27.55</v>
      </c>
      <c r="M77" s="133">
        <v>48.23</v>
      </c>
      <c r="N77" s="133">
        <v>2.8</v>
      </c>
      <c r="O77" s="133">
        <v>0</v>
      </c>
      <c r="P77" s="133">
        <v>0.61</v>
      </c>
      <c r="Q77" s="133">
        <v>4.41</v>
      </c>
    </row>
    <row r="78" spans="1:17" customFormat="1">
      <c r="A78" s="111" t="s">
        <v>2323</v>
      </c>
      <c r="B78" s="133">
        <v>5.89</v>
      </c>
      <c r="C78" s="133">
        <v>22.93</v>
      </c>
      <c r="D78" s="133">
        <v>18.05</v>
      </c>
      <c r="E78" s="133">
        <v>5.42</v>
      </c>
      <c r="F78" s="133">
        <v>3.8</v>
      </c>
      <c r="G78" s="133">
        <v>49.74</v>
      </c>
      <c r="H78" s="133">
        <v>14.44</v>
      </c>
      <c r="I78" s="133">
        <v>4.53</v>
      </c>
      <c r="J78" s="133">
        <v>0.17</v>
      </c>
      <c r="K78" s="133">
        <v>153.33000000000001</v>
      </c>
      <c r="L78" s="133">
        <v>26.75</v>
      </c>
      <c r="M78" s="133">
        <v>52.02</v>
      </c>
      <c r="N78" s="133">
        <v>0</v>
      </c>
      <c r="O78" s="133">
        <v>0</v>
      </c>
      <c r="P78" s="133">
        <v>0.61</v>
      </c>
      <c r="Q78" s="133">
        <v>4.43</v>
      </c>
    </row>
    <row r="79" spans="1:17" customFormat="1">
      <c r="A79" s="111" t="s">
        <v>2324</v>
      </c>
      <c r="B79" s="133">
        <v>6.03</v>
      </c>
      <c r="C79" s="133">
        <v>22.83</v>
      </c>
      <c r="D79" s="133">
        <v>18.11</v>
      </c>
      <c r="E79" s="133">
        <v>5.29</v>
      </c>
      <c r="F79" s="133">
        <v>3.31</v>
      </c>
      <c r="G79" s="133">
        <v>50.68</v>
      </c>
      <c r="H79" s="133">
        <v>14.71</v>
      </c>
      <c r="I79" s="133">
        <v>4.59</v>
      </c>
      <c r="J79" s="133">
        <v>0.25</v>
      </c>
      <c r="K79" s="133">
        <v>162.57</v>
      </c>
      <c r="L79" s="133">
        <v>26.01</v>
      </c>
      <c r="M79" s="133">
        <v>55.22</v>
      </c>
      <c r="N79" s="133">
        <v>0</v>
      </c>
      <c r="O79" s="133">
        <v>0</v>
      </c>
      <c r="P79" s="133">
        <v>0.62</v>
      </c>
      <c r="Q79" s="133">
        <v>4.46</v>
      </c>
    </row>
    <row r="80" spans="1:17" customFormat="1">
      <c r="A80" s="111" t="s">
        <v>2325</v>
      </c>
      <c r="B80" s="133">
        <v>6.17</v>
      </c>
      <c r="C80" s="133">
        <v>22.78</v>
      </c>
      <c r="D80" s="133">
        <v>18.2</v>
      </c>
      <c r="E80" s="133">
        <v>5.79</v>
      </c>
      <c r="F80" s="133">
        <v>3.34</v>
      </c>
      <c r="G80" s="133">
        <v>66.64</v>
      </c>
      <c r="H80" s="133">
        <v>18.91</v>
      </c>
      <c r="I80" s="133">
        <v>4.6500000000000004</v>
      </c>
      <c r="J80" s="133">
        <v>0.22</v>
      </c>
      <c r="K80" s="133">
        <v>172.14</v>
      </c>
      <c r="L80" s="133">
        <v>25.55</v>
      </c>
      <c r="M80" s="133">
        <v>57.8</v>
      </c>
      <c r="N80" s="133">
        <v>0</v>
      </c>
      <c r="O80" s="133">
        <v>0</v>
      </c>
      <c r="P80" s="133">
        <v>0.63</v>
      </c>
      <c r="Q80" s="133">
        <v>4.45</v>
      </c>
    </row>
    <row r="81" spans="1:17" customFormat="1">
      <c r="A81" s="111" t="s">
        <v>2326</v>
      </c>
      <c r="B81" s="133">
        <v>6.47</v>
      </c>
      <c r="C81" s="133">
        <v>23.18</v>
      </c>
      <c r="D81" s="133">
        <v>18.649999999999999</v>
      </c>
      <c r="E81" s="133">
        <v>5.07</v>
      </c>
      <c r="F81" s="133">
        <v>2.79</v>
      </c>
      <c r="G81" s="133">
        <v>66.64</v>
      </c>
      <c r="H81" s="133">
        <v>18.91</v>
      </c>
      <c r="I81" s="133">
        <v>4.75</v>
      </c>
      <c r="J81" s="133">
        <v>0.16</v>
      </c>
      <c r="K81" s="133">
        <v>198.64</v>
      </c>
      <c r="L81" s="133">
        <v>25.12</v>
      </c>
      <c r="M81" s="133">
        <v>58.56</v>
      </c>
      <c r="N81" s="133">
        <v>0</v>
      </c>
      <c r="O81" s="133">
        <v>0</v>
      </c>
      <c r="P81" s="133">
        <v>0.65</v>
      </c>
      <c r="Q81" s="133">
        <v>4.47</v>
      </c>
    </row>
    <row r="82" spans="1:17" customFormat="1">
      <c r="A82" s="111" t="s">
        <v>2327</v>
      </c>
      <c r="B82" s="133">
        <v>6.91</v>
      </c>
      <c r="C82" s="133">
        <v>23.76</v>
      </c>
      <c r="D82" s="133">
        <v>19.309999999999999</v>
      </c>
      <c r="E82" s="133">
        <v>5.75</v>
      </c>
      <c r="F82" s="133">
        <v>2.71</v>
      </c>
      <c r="G82" s="133">
        <v>66.64</v>
      </c>
      <c r="H82" s="133">
        <v>18.91</v>
      </c>
      <c r="I82" s="133">
        <v>4.8600000000000003</v>
      </c>
      <c r="J82" s="133">
        <v>0.2</v>
      </c>
      <c r="K82" s="133">
        <v>219.24</v>
      </c>
      <c r="L82" s="133">
        <v>24.44</v>
      </c>
      <c r="M82" s="133">
        <v>69.67</v>
      </c>
      <c r="N82" s="133">
        <v>0</v>
      </c>
      <c r="O82" s="133">
        <v>0</v>
      </c>
      <c r="P82" s="133">
        <v>0.67</v>
      </c>
      <c r="Q82" s="133">
        <v>4.51</v>
      </c>
    </row>
    <row r="83" spans="1:17" customFormat="1">
      <c r="A83" s="111" t="s">
        <v>2328</v>
      </c>
      <c r="B83" s="133">
        <v>7.14</v>
      </c>
      <c r="C83" s="133">
        <v>23.65</v>
      </c>
      <c r="D83" s="133">
        <v>19.440000000000001</v>
      </c>
      <c r="E83" s="133">
        <v>5.43</v>
      </c>
      <c r="F83" s="133">
        <v>2.85</v>
      </c>
      <c r="G83" s="133">
        <v>67.37</v>
      </c>
      <c r="H83" s="133">
        <v>19.059999999999999</v>
      </c>
      <c r="I83" s="133">
        <v>4.99</v>
      </c>
      <c r="J83" s="133">
        <v>0.15</v>
      </c>
      <c r="K83" s="133">
        <v>208.4</v>
      </c>
      <c r="L83" s="133">
        <v>23.87</v>
      </c>
      <c r="M83" s="133">
        <v>73.69</v>
      </c>
      <c r="N83" s="133">
        <v>0</v>
      </c>
      <c r="O83" s="133">
        <v>0</v>
      </c>
      <c r="P83" s="133">
        <v>0.68</v>
      </c>
      <c r="Q83" s="133">
        <v>4.54</v>
      </c>
    </row>
    <row r="84" spans="1:17" customFormat="1">
      <c r="A84" s="111" t="s">
        <v>2329</v>
      </c>
      <c r="B84" s="133">
        <v>7.4</v>
      </c>
      <c r="C84" s="133">
        <v>23.18</v>
      </c>
      <c r="D84" s="133">
        <v>19.399999999999999</v>
      </c>
      <c r="E84" s="133">
        <v>5.77</v>
      </c>
      <c r="F84" s="133">
        <v>2.88</v>
      </c>
      <c r="G84" s="133">
        <v>79.86</v>
      </c>
      <c r="H84" s="133">
        <v>21.46</v>
      </c>
      <c r="I84" s="133">
        <v>5.09</v>
      </c>
      <c r="J84" s="133">
        <v>0.13</v>
      </c>
      <c r="K84" s="133">
        <v>211.24</v>
      </c>
      <c r="L84" s="133">
        <v>23.77</v>
      </c>
      <c r="M84" s="133">
        <v>70.209999999999994</v>
      </c>
      <c r="N84" s="133">
        <v>0</v>
      </c>
      <c r="O84" s="133">
        <v>0</v>
      </c>
      <c r="P84" s="133">
        <v>0.68</v>
      </c>
      <c r="Q84" s="133">
        <v>4.55</v>
      </c>
    </row>
    <row r="85" spans="1:17" customFormat="1">
      <c r="A85" s="111" t="s">
        <v>2330</v>
      </c>
      <c r="B85" s="133">
        <v>7.5</v>
      </c>
      <c r="C85" s="133">
        <v>23</v>
      </c>
      <c r="D85" s="133">
        <v>19.38</v>
      </c>
      <c r="E85" s="133">
        <v>5.77</v>
      </c>
      <c r="F85" s="133">
        <v>2.84</v>
      </c>
      <c r="G85" s="133">
        <v>79.86</v>
      </c>
      <c r="H85" s="133">
        <v>21.46</v>
      </c>
      <c r="I85" s="133">
        <v>5.2</v>
      </c>
      <c r="J85" s="133">
        <v>0.13</v>
      </c>
      <c r="K85" s="133">
        <v>209.94</v>
      </c>
      <c r="L85" s="133">
        <v>23.43</v>
      </c>
      <c r="M85" s="133">
        <v>77.62</v>
      </c>
      <c r="N85" s="133">
        <v>0</v>
      </c>
      <c r="O85" s="133">
        <v>0</v>
      </c>
      <c r="P85" s="133">
        <v>0.68</v>
      </c>
      <c r="Q85" s="133">
        <v>4.5599999999999996</v>
      </c>
    </row>
    <row r="86" spans="1:17" customFormat="1">
      <c r="A86" s="111" t="s">
        <v>2331</v>
      </c>
      <c r="B86" s="133">
        <v>7.83</v>
      </c>
      <c r="C86" s="133">
        <v>22.12</v>
      </c>
      <c r="D86" s="133">
        <v>19.190000000000001</v>
      </c>
      <c r="E86" s="133">
        <v>5.41</v>
      </c>
      <c r="F86" s="133">
        <v>2.83</v>
      </c>
      <c r="G86" s="133">
        <v>79.86</v>
      </c>
      <c r="H86" s="133">
        <v>21.46</v>
      </c>
      <c r="I86" s="133">
        <v>5.19</v>
      </c>
      <c r="J86" s="133">
        <v>0.11</v>
      </c>
      <c r="K86" s="133">
        <v>155.69999999999999</v>
      </c>
      <c r="L86" s="133">
        <v>23.17</v>
      </c>
      <c r="M86" s="133">
        <v>78.84</v>
      </c>
      <c r="N86" s="133">
        <v>0</v>
      </c>
      <c r="O86" s="133">
        <v>0</v>
      </c>
      <c r="P86" s="133">
        <v>0.68</v>
      </c>
      <c r="Q86" s="133">
        <v>4.5599999999999996</v>
      </c>
    </row>
    <row r="87" spans="1:17" customFormat="1">
      <c r="A87" s="111" t="s">
        <v>2332</v>
      </c>
      <c r="B87" s="133">
        <v>8.14</v>
      </c>
      <c r="C87" s="133">
        <v>20.36</v>
      </c>
      <c r="D87" s="133">
        <v>18.510000000000002</v>
      </c>
      <c r="E87" s="133">
        <v>5.68</v>
      </c>
      <c r="F87" s="133">
        <v>2.91</v>
      </c>
      <c r="G87" s="133">
        <v>79.86</v>
      </c>
      <c r="H87" s="133">
        <v>21.51</v>
      </c>
      <c r="I87" s="133">
        <v>5.26</v>
      </c>
      <c r="J87" s="133">
        <v>0.11</v>
      </c>
      <c r="K87" s="133">
        <v>164.97</v>
      </c>
      <c r="L87" s="133">
        <v>23.02</v>
      </c>
      <c r="M87" s="133">
        <v>73.430000000000007</v>
      </c>
      <c r="N87" s="133">
        <v>0</v>
      </c>
      <c r="O87" s="133">
        <v>0</v>
      </c>
      <c r="P87" s="133">
        <v>0.66</v>
      </c>
      <c r="Q87" s="133">
        <v>4.58</v>
      </c>
    </row>
    <row r="88" spans="1:17" customFormat="1">
      <c r="A88" s="111" t="s">
        <v>2333</v>
      </c>
      <c r="B88" s="133">
        <v>8.4600000000000009</v>
      </c>
      <c r="C88" s="133">
        <v>18.940000000000001</v>
      </c>
      <c r="D88" s="133">
        <v>18.03</v>
      </c>
      <c r="E88" s="133">
        <v>5.2</v>
      </c>
      <c r="F88" s="133">
        <v>3.04</v>
      </c>
      <c r="G88" s="133">
        <v>79.84</v>
      </c>
      <c r="H88" s="133">
        <v>22.21</v>
      </c>
      <c r="I88" s="133">
        <v>5.36</v>
      </c>
      <c r="J88" s="133">
        <v>0.12</v>
      </c>
      <c r="K88" s="133">
        <v>170.01</v>
      </c>
      <c r="L88" s="133">
        <v>23.08</v>
      </c>
      <c r="M88" s="133">
        <v>70.83</v>
      </c>
      <c r="N88" s="133">
        <v>0</v>
      </c>
      <c r="O88" s="133">
        <v>0</v>
      </c>
      <c r="P88" s="133">
        <v>0.65</v>
      </c>
      <c r="Q88" s="133">
        <v>4.58</v>
      </c>
    </row>
    <row r="89" spans="1:17" customFormat="1">
      <c r="A89" s="111" t="s">
        <v>2334</v>
      </c>
      <c r="B89" s="133">
        <v>8.68</v>
      </c>
      <c r="C89" s="133">
        <v>18.04</v>
      </c>
      <c r="D89" s="133">
        <v>17.739999999999998</v>
      </c>
      <c r="E89" s="133">
        <v>4.8899999999999997</v>
      </c>
      <c r="F89" s="133">
        <v>2.91</v>
      </c>
      <c r="G89" s="133">
        <v>79.84</v>
      </c>
      <c r="H89" s="133">
        <v>22.21</v>
      </c>
      <c r="I89" s="133">
        <v>5.47</v>
      </c>
      <c r="J89" s="133">
        <v>0.1</v>
      </c>
      <c r="K89" s="133">
        <v>168.01</v>
      </c>
      <c r="L89" s="133">
        <v>23.01</v>
      </c>
      <c r="M89" s="133">
        <v>73.989999999999995</v>
      </c>
      <c r="N89" s="133">
        <v>0</v>
      </c>
      <c r="O89" s="133">
        <v>0</v>
      </c>
      <c r="P89" s="133">
        <v>0.64</v>
      </c>
      <c r="Q89" s="133">
        <v>4.58</v>
      </c>
    </row>
    <row r="90" spans="1:17" customFormat="1">
      <c r="A90" s="111" t="s">
        <v>2335</v>
      </c>
      <c r="B90" s="133">
        <v>8.8000000000000007</v>
      </c>
      <c r="C90" s="133">
        <v>18.95</v>
      </c>
      <c r="D90" s="133">
        <v>18.309999999999999</v>
      </c>
      <c r="E90" s="133">
        <v>4.58</v>
      </c>
      <c r="F90" s="133">
        <v>2.73</v>
      </c>
      <c r="G90" s="133">
        <v>79.84</v>
      </c>
      <c r="H90" s="133">
        <v>22.21</v>
      </c>
      <c r="I90" s="133">
        <v>5.54</v>
      </c>
      <c r="J90" s="133">
        <v>0.13</v>
      </c>
      <c r="K90" s="133">
        <v>219.67</v>
      </c>
      <c r="L90" s="133">
        <v>22.88</v>
      </c>
      <c r="M90" s="133">
        <v>77.89</v>
      </c>
      <c r="N90" s="133">
        <v>0</v>
      </c>
      <c r="O90" s="133">
        <v>0</v>
      </c>
      <c r="P90" s="133">
        <v>0.65</v>
      </c>
      <c r="Q90" s="133">
        <v>4.5599999999999996</v>
      </c>
    </row>
    <row r="91" spans="1:17" customFormat="1">
      <c r="A91" s="111" t="s">
        <v>2336</v>
      </c>
      <c r="B91" s="133">
        <v>9.07</v>
      </c>
      <c r="C91" s="133">
        <v>19.2</v>
      </c>
      <c r="D91" s="133">
        <v>18.66</v>
      </c>
      <c r="E91" s="133">
        <v>4.95</v>
      </c>
      <c r="F91" s="133">
        <v>2.59</v>
      </c>
      <c r="G91" s="133">
        <v>79.75</v>
      </c>
      <c r="H91" s="133">
        <v>22.34</v>
      </c>
      <c r="I91" s="133">
        <v>5.64</v>
      </c>
      <c r="J91" s="133">
        <v>0.12</v>
      </c>
      <c r="K91" s="133">
        <v>213.17</v>
      </c>
      <c r="L91" s="133">
        <v>22.6</v>
      </c>
      <c r="M91" s="133">
        <v>81.08</v>
      </c>
      <c r="N91" s="133">
        <v>0</v>
      </c>
      <c r="O91" s="133">
        <v>0</v>
      </c>
      <c r="P91" s="133">
        <v>0.65</v>
      </c>
      <c r="Q91" s="133">
        <v>4.59</v>
      </c>
    </row>
    <row r="92" spans="1:17" customFormat="1">
      <c r="A92" s="111" t="s">
        <v>2337</v>
      </c>
      <c r="B92" s="133">
        <v>9.6300000000000008</v>
      </c>
      <c r="C92" s="133">
        <v>19.45</v>
      </c>
      <c r="D92" s="133">
        <v>19.23</v>
      </c>
      <c r="E92" s="133">
        <v>4.79</v>
      </c>
      <c r="F92" s="133">
        <v>2.58</v>
      </c>
      <c r="G92" s="133">
        <v>77.849999999999994</v>
      </c>
      <c r="H92" s="133">
        <v>24.35</v>
      </c>
      <c r="I92" s="133">
        <v>5.73</v>
      </c>
      <c r="J92" s="133">
        <v>0.19</v>
      </c>
      <c r="K92" s="133">
        <v>160.47</v>
      </c>
      <c r="L92" s="133">
        <v>22.51</v>
      </c>
      <c r="M92" s="133">
        <v>82.59</v>
      </c>
      <c r="N92" s="133">
        <v>0</v>
      </c>
      <c r="O92" s="133">
        <v>0</v>
      </c>
      <c r="P92" s="133">
        <v>0.67</v>
      </c>
      <c r="Q92" s="133">
        <v>4.6399999999999997</v>
      </c>
    </row>
    <row r="93" spans="1:17" customFormat="1">
      <c r="A93" s="111" t="s">
        <v>2338</v>
      </c>
      <c r="B93" s="133">
        <v>10.53</v>
      </c>
      <c r="C93" s="133">
        <v>19.62</v>
      </c>
      <c r="D93" s="133">
        <v>20.05</v>
      </c>
      <c r="E93" s="133">
        <v>4.6100000000000003</v>
      </c>
      <c r="F93" s="133">
        <v>2.5</v>
      </c>
      <c r="G93" s="133">
        <v>77.849999999999994</v>
      </c>
      <c r="H93" s="133">
        <v>24.35</v>
      </c>
      <c r="I93" s="133">
        <v>5.78</v>
      </c>
      <c r="J93" s="133">
        <v>0.11</v>
      </c>
      <c r="K93" s="133">
        <v>228.62</v>
      </c>
      <c r="L93" s="133">
        <v>22.43</v>
      </c>
      <c r="M93" s="133">
        <v>83.02</v>
      </c>
      <c r="N93" s="133">
        <v>0</v>
      </c>
      <c r="O93" s="133">
        <v>0</v>
      </c>
      <c r="P93" s="133">
        <v>0.68</v>
      </c>
      <c r="Q93" s="133">
        <v>4.67</v>
      </c>
    </row>
    <row r="94" spans="1:17" customFormat="1">
      <c r="A94" s="111" t="s">
        <v>2339</v>
      </c>
      <c r="B94" s="133">
        <v>12.35</v>
      </c>
      <c r="C94" s="133">
        <v>19.010000000000002</v>
      </c>
      <c r="D94" s="133">
        <v>21.19</v>
      </c>
      <c r="E94" s="133">
        <v>5.0199999999999996</v>
      </c>
      <c r="F94" s="133">
        <v>2.78</v>
      </c>
      <c r="G94" s="133">
        <v>77.849999999999994</v>
      </c>
      <c r="H94" s="133">
        <v>24.35</v>
      </c>
      <c r="I94" s="133">
        <v>5.87</v>
      </c>
      <c r="J94" s="133">
        <v>0.18</v>
      </c>
      <c r="K94" s="133">
        <v>153.22999999999999</v>
      </c>
      <c r="L94" s="133">
        <v>22.42</v>
      </c>
      <c r="M94" s="133">
        <v>79.14</v>
      </c>
      <c r="N94" s="133">
        <v>0</v>
      </c>
      <c r="O94" s="133">
        <v>0</v>
      </c>
      <c r="P94" s="133">
        <v>0.7</v>
      </c>
      <c r="Q94" s="133">
        <v>4.7699999999999996</v>
      </c>
    </row>
    <row r="95" spans="1:17" customFormat="1">
      <c r="A95" s="111" t="s">
        <v>2340</v>
      </c>
      <c r="B95" s="133">
        <v>14.08</v>
      </c>
      <c r="C95" s="133">
        <v>21.19</v>
      </c>
      <c r="D95" s="133">
        <v>23.71</v>
      </c>
      <c r="E95" s="133">
        <v>5.58</v>
      </c>
      <c r="F95" s="133">
        <v>2.41</v>
      </c>
      <c r="G95" s="133">
        <v>78.39</v>
      </c>
      <c r="H95" s="133">
        <v>24.34</v>
      </c>
      <c r="I95" s="133">
        <v>6</v>
      </c>
      <c r="J95" s="133">
        <v>0.15</v>
      </c>
      <c r="K95" s="133">
        <v>164.27</v>
      </c>
      <c r="L95" s="133">
        <v>22.25</v>
      </c>
      <c r="M95" s="133">
        <v>81.2</v>
      </c>
      <c r="N95" s="133">
        <v>0</v>
      </c>
      <c r="O95" s="133">
        <v>0</v>
      </c>
      <c r="P95" s="133">
        <v>0.74</v>
      </c>
      <c r="Q95" s="133">
        <v>4.8499999999999996</v>
      </c>
    </row>
    <row r="96" spans="1:17" customFormat="1">
      <c r="A96" s="111" t="s">
        <v>2341</v>
      </c>
      <c r="B96" s="133">
        <v>15.35</v>
      </c>
      <c r="C96" s="133">
        <v>21.25</v>
      </c>
      <c r="D96" s="133">
        <v>24.76</v>
      </c>
      <c r="E96" s="133">
        <v>5.29</v>
      </c>
      <c r="F96" s="133">
        <v>2.59</v>
      </c>
      <c r="G96" s="133">
        <v>87.61</v>
      </c>
      <c r="H96" s="133">
        <v>24.21</v>
      </c>
      <c r="I96" s="133">
        <v>6.13</v>
      </c>
      <c r="J96" s="133">
        <v>0.13</v>
      </c>
      <c r="K96" s="133">
        <v>240.53</v>
      </c>
      <c r="L96" s="133">
        <v>22.13</v>
      </c>
      <c r="M96" s="133">
        <v>81.66</v>
      </c>
      <c r="N96" s="133">
        <v>0</v>
      </c>
      <c r="O96" s="133">
        <v>0</v>
      </c>
      <c r="P96" s="133">
        <v>0.75</v>
      </c>
      <c r="Q96" s="133">
        <v>4.95</v>
      </c>
    </row>
    <row r="97" spans="1:22" customFormat="1">
      <c r="A97" s="111" t="s">
        <v>2342</v>
      </c>
      <c r="B97" s="133">
        <v>16.59</v>
      </c>
      <c r="C97" s="133">
        <v>21.41</v>
      </c>
      <c r="D97" s="133">
        <v>25.84</v>
      </c>
      <c r="E97" s="133">
        <v>5.34</v>
      </c>
      <c r="F97" s="133">
        <v>2.48</v>
      </c>
      <c r="G97" s="133">
        <v>87.61</v>
      </c>
      <c r="H97" s="133">
        <v>24.21</v>
      </c>
      <c r="I97" s="133">
        <v>6.31</v>
      </c>
      <c r="J97" s="133">
        <v>0.04</v>
      </c>
      <c r="K97" s="133">
        <v>347.33</v>
      </c>
      <c r="L97" s="133">
        <v>22.31</v>
      </c>
      <c r="M97" s="133">
        <v>77.349999999999994</v>
      </c>
      <c r="N97" s="133">
        <v>0</v>
      </c>
      <c r="O97" s="133">
        <v>0</v>
      </c>
      <c r="P97" s="133">
        <v>0.77</v>
      </c>
      <c r="Q97" s="133">
        <v>4.99</v>
      </c>
    </row>
    <row r="98" spans="1:22" customFormat="1">
      <c r="A98" s="111" t="s">
        <v>2343</v>
      </c>
      <c r="B98" s="133">
        <v>17.920000000000002</v>
      </c>
      <c r="C98" s="133">
        <v>22.61</v>
      </c>
      <c r="D98" s="133">
        <v>27.53</v>
      </c>
      <c r="E98" s="133">
        <v>5.65</v>
      </c>
      <c r="F98" s="133">
        <v>2.31</v>
      </c>
      <c r="G98" s="133">
        <v>87.61</v>
      </c>
      <c r="H98" s="133">
        <v>24.21</v>
      </c>
      <c r="I98" s="133">
        <v>6.41</v>
      </c>
      <c r="J98" s="133">
        <v>0.12</v>
      </c>
      <c r="K98" s="133">
        <v>136.69</v>
      </c>
      <c r="L98" s="133">
        <v>22.28</v>
      </c>
      <c r="M98" s="133">
        <v>78.94</v>
      </c>
      <c r="N98" s="133">
        <v>0</v>
      </c>
      <c r="O98" s="133">
        <v>0</v>
      </c>
      <c r="P98" s="133">
        <v>0.81</v>
      </c>
      <c r="Q98" s="133">
        <v>5.07</v>
      </c>
    </row>
    <row r="99" spans="1:22" customFormat="1">
      <c r="A99" s="111" t="s">
        <v>2344</v>
      </c>
      <c r="B99" s="133">
        <v>19.28</v>
      </c>
      <c r="C99" s="133">
        <v>21.61</v>
      </c>
      <c r="D99" s="133">
        <v>28.11</v>
      </c>
      <c r="E99" s="133">
        <v>5.82</v>
      </c>
      <c r="F99" s="133">
        <v>2.79</v>
      </c>
      <c r="G99" s="133">
        <v>87.65</v>
      </c>
      <c r="H99" s="133">
        <v>24.31</v>
      </c>
      <c r="I99" s="133">
        <v>6.54</v>
      </c>
      <c r="J99" s="133">
        <v>0.14000000000000001</v>
      </c>
      <c r="K99" s="133">
        <v>154.19</v>
      </c>
      <c r="L99" s="133">
        <v>22.17</v>
      </c>
      <c r="M99" s="133">
        <v>80.2</v>
      </c>
      <c r="N99" s="133">
        <v>0</v>
      </c>
      <c r="O99" s="133">
        <v>0</v>
      </c>
      <c r="P99" s="133">
        <v>0.81</v>
      </c>
      <c r="Q99" s="133">
        <v>5.15</v>
      </c>
    </row>
    <row r="100" spans="1:22" customFormat="1">
      <c r="A100" s="111" t="s">
        <v>2345</v>
      </c>
      <c r="B100" s="133">
        <v>19.989999999999998</v>
      </c>
      <c r="C100" s="133">
        <v>23.27</v>
      </c>
      <c r="D100" s="133">
        <v>29.54</v>
      </c>
      <c r="E100" s="133">
        <v>5.51</v>
      </c>
      <c r="F100" s="133">
        <v>2.54</v>
      </c>
      <c r="G100" s="133">
        <v>88.36</v>
      </c>
      <c r="H100" s="133">
        <v>27.5</v>
      </c>
      <c r="I100" s="133">
        <v>6.64</v>
      </c>
      <c r="J100" s="133">
        <v>0.08</v>
      </c>
      <c r="K100" s="133">
        <v>358.2</v>
      </c>
      <c r="L100" s="133">
        <v>22.21</v>
      </c>
      <c r="M100" s="133">
        <v>78.5</v>
      </c>
      <c r="N100" s="133">
        <v>0</v>
      </c>
      <c r="O100" s="133">
        <v>0</v>
      </c>
      <c r="P100" s="133">
        <v>0.84</v>
      </c>
      <c r="Q100" s="133">
        <v>5.18</v>
      </c>
    </row>
    <row r="101" spans="1:22" customFormat="1">
      <c r="A101" s="111" t="s">
        <v>2346</v>
      </c>
      <c r="B101" s="133">
        <v>21.04</v>
      </c>
      <c r="C101" s="133">
        <v>23.3</v>
      </c>
      <c r="D101" s="133">
        <v>30.4</v>
      </c>
      <c r="E101" s="133">
        <v>5.82</v>
      </c>
      <c r="F101" s="133">
        <v>2.5</v>
      </c>
      <c r="G101" s="133">
        <v>88.36</v>
      </c>
      <c r="H101" s="133">
        <v>27.5</v>
      </c>
      <c r="I101" s="133">
        <v>6.72</v>
      </c>
      <c r="J101" s="133">
        <v>0.18</v>
      </c>
      <c r="K101" s="133">
        <v>178.7</v>
      </c>
      <c r="L101" s="133">
        <v>22.07</v>
      </c>
      <c r="M101" s="133">
        <v>80.5</v>
      </c>
      <c r="N101" s="133">
        <v>0</v>
      </c>
      <c r="O101" s="133">
        <v>0</v>
      </c>
      <c r="P101" s="133">
        <v>0.85</v>
      </c>
      <c r="Q101" s="133">
        <v>5.25</v>
      </c>
    </row>
    <row r="102" spans="1:22" customFormat="1">
      <c r="A102" s="111" t="s">
        <v>2347</v>
      </c>
      <c r="B102" s="133">
        <v>21.78</v>
      </c>
      <c r="C102" s="133">
        <v>22.23</v>
      </c>
      <c r="D102" s="133">
        <v>30.43</v>
      </c>
      <c r="E102" s="133">
        <v>5.73</v>
      </c>
      <c r="F102" s="133">
        <v>2.8</v>
      </c>
      <c r="G102" s="133">
        <v>88.36</v>
      </c>
      <c r="H102" s="133">
        <v>27.5</v>
      </c>
      <c r="I102" s="133">
        <v>6.85</v>
      </c>
      <c r="J102" s="133">
        <v>0.05</v>
      </c>
      <c r="K102" s="133">
        <v>247.66</v>
      </c>
      <c r="L102" s="133">
        <v>21.63</v>
      </c>
      <c r="M102" s="133">
        <v>87</v>
      </c>
      <c r="N102" s="133">
        <v>0</v>
      </c>
      <c r="O102" s="133">
        <v>0</v>
      </c>
      <c r="P102" s="133">
        <v>0.85</v>
      </c>
      <c r="Q102" s="133">
        <v>5.29</v>
      </c>
    </row>
    <row r="103" spans="1:22" customFormat="1">
      <c r="A103" s="111" t="s">
        <v>2348</v>
      </c>
      <c r="B103" s="133">
        <v>22.34</v>
      </c>
      <c r="C103" s="133">
        <v>23.91</v>
      </c>
      <c r="D103" s="133">
        <v>31.75</v>
      </c>
      <c r="E103" s="133">
        <v>6.17</v>
      </c>
      <c r="F103" s="133">
        <v>2.36</v>
      </c>
      <c r="G103" s="133">
        <v>88.64</v>
      </c>
      <c r="H103" s="133">
        <v>27.46</v>
      </c>
      <c r="I103" s="133">
        <v>6.9</v>
      </c>
      <c r="J103" s="133">
        <v>0.36</v>
      </c>
      <c r="K103" s="133">
        <v>185.1</v>
      </c>
      <c r="L103" s="133">
        <v>21.32</v>
      </c>
      <c r="M103" s="133">
        <v>87.76</v>
      </c>
      <c r="N103" s="133">
        <v>0</v>
      </c>
      <c r="O103" s="133">
        <v>0</v>
      </c>
      <c r="P103" s="133">
        <v>0.89</v>
      </c>
      <c r="Q103" s="133">
        <v>5.31</v>
      </c>
    </row>
    <row r="104" spans="1:22" customFormat="1">
      <c r="A104" s="111" t="s">
        <v>2349</v>
      </c>
      <c r="B104" s="133">
        <v>22.66</v>
      </c>
      <c r="C104" s="133">
        <v>23.47</v>
      </c>
      <c r="D104" s="133">
        <v>31.79</v>
      </c>
      <c r="E104" s="133">
        <v>6.01</v>
      </c>
      <c r="F104" s="133">
        <v>2.6</v>
      </c>
      <c r="G104" s="133">
        <v>93.41</v>
      </c>
      <c r="H104" s="133">
        <v>26.85</v>
      </c>
      <c r="I104" s="133">
        <v>6.94</v>
      </c>
      <c r="J104" s="133">
        <v>0.11</v>
      </c>
      <c r="K104" s="133">
        <v>203.43</v>
      </c>
      <c r="L104" s="133">
        <v>20.93</v>
      </c>
      <c r="M104" s="133">
        <v>90.14</v>
      </c>
      <c r="N104" s="133">
        <v>0</v>
      </c>
      <c r="O104" s="133">
        <v>0</v>
      </c>
      <c r="P104" s="133">
        <v>0.89</v>
      </c>
      <c r="Q104" s="133">
        <v>5.35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5.05</v>
      </c>
      <c r="C106" s="183">
        <f>MIN(C9:C104)</f>
        <v>18.04</v>
      </c>
      <c r="D106" s="183">
        <f t="shared" ref="D106:Q106" si="0">MIN(D9:D104)</f>
        <v>16.63</v>
      </c>
      <c r="E106" s="183">
        <f t="shared" si="0"/>
        <v>3.4</v>
      </c>
      <c r="F106" s="183">
        <f t="shared" si="0"/>
        <v>2.27</v>
      </c>
      <c r="G106" s="183">
        <f t="shared" si="0"/>
        <v>49.74</v>
      </c>
      <c r="H106" s="183">
        <f t="shared" si="0"/>
        <v>14.44</v>
      </c>
      <c r="I106" s="183">
        <f t="shared" si="0"/>
        <v>4.53</v>
      </c>
      <c r="J106" s="183">
        <f t="shared" si="0"/>
        <v>0.03</v>
      </c>
      <c r="K106" s="183">
        <f t="shared" si="0"/>
        <v>2.25</v>
      </c>
      <c r="L106" s="183">
        <f t="shared" si="0"/>
        <v>19.739999999999998</v>
      </c>
      <c r="M106" s="183">
        <f t="shared" si="0"/>
        <v>30.77</v>
      </c>
      <c r="N106" s="183">
        <f t="shared" si="0"/>
        <v>0</v>
      </c>
      <c r="O106" s="183">
        <f t="shared" si="0"/>
        <v>0</v>
      </c>
      <c r="P106" s="183">
        <f t="shared" si="0"/>
        <v>0.59</v>
      </c>
      <c r="Q106" s="183">
        <f t="shared" si="0"/>
        <v>4.34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42.59</v>
      </c>
      <c r="C107" s="184">
        <f t="shared" ref="C107:Q107" si="1">MAX(C9:C104)</f>
        <v>29.55</v>
      </c>
      <c r="D107" s="184">
        <f t="shared" si="1"/>
        <v>48.75</v>
      </c>
      <c r="E107" s="184">
        <f t="shared" si="1"/>
        <v>7.95</v>
      </c>
      <c r="F107" s="184">
        <f t="shared" si="1"/>
        <v>9.99</v>
      </c>
      <c r="G107" s="184">
        <f t="shared" si="1"/>
        <v>95.45</v>
      </c>
      <c r="H107" s="184">
        <f t="shared" si="1"/>
        <v>31.9</v>
      </c>
      <c r="I107" s="184">
        <f t="shared" si="1"/>
        <v>9.2100000000000009</v>
      </c>
      <c r="J107" s="184">
        <f t="shared" si="1"/>
        <v>1.07</v>
      </c>
      <c r="K107" s="184">
        <f t="shared" si="1"/>
        <v>358.2</v>
      </c>
      <c r="L107" s="184">
        <f t="shared" si="1"/>
        <v>31.25</v>
      </c>
      <c r="M107" s="184">
        <f t="shared" si="1"/>
        <v>97.66</v>
      </c>
      <c r="N107" s="184">
        <f t="shared" si="1"/>
        <v>688</v>
      </c>
      <c r="O107" s="184">
        <f t="shared" si="1"/>
        <v>0</v>
      </c>
      <c r="P107" s="184">
        <f t="shared" si="1"/>
        <v>1.03</v>
      </c>
      <c r="Q107" s="184">
        <f t="shared" si="1"/>
        <v>6.31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20.302708333333332</v>
      </c>
      <c r="C108" s="183">
        <f t="shared" ref="C108:Q108" si="2">AVERAGE(C9:C104)</f>
        <v>23.724999999999998</v>
      </c>
      <c r="D108" s="183">
        <f t="shared" si="2"/>
        <v>30.027500000000007</v>
      </c>
      <c r="E108" s="183">
        <f t="shared" si="2"/>
        <v>5.3447916666666666</v>
      </c>
      <c r="F108" s="183">
        <f t="shared" si="2"/>
        <v>3.7898958333333344</v>
      </c>
      <c r="G108" s="183">
        <f t="shared" si="2"/>
        <v>78.08177083333338</v>
      </c>
      <c r="H108" s="183">
        <f t="shared" si="2"/>
        <v>24.967916666666667</v>
      </c>
      <c r="I108" s="183">
        <f t="shared" si="2"/>
        <v>6.8512500000000003</v>
      </c>
      <c r="J108" s="183">
        <f t="shared" si="2"/>
        <v>0.28999999999999998</v>
      </c>
      <c r="K108" s="183">
        <f t="shared" si="2"/>
        <v>128.51260416666673</v>
      </c>
      <c r="L108" s="183">
        <f t="shared" si="2"/>
        <v>24.800729166666667</v>
      </c>
      <c r="M108" s="183">
        <f t="shared" si="2"/>
        <v>68.237291666666692</v>
      </c>
      <c r="N108" s="183">
        <f t="shared" si="2"/>
        <v>156.39270833333333</v>
      </c>
      <c r="O108" s="183">
        <f t="shared" si="2"/>
        <v>0</v>
      </c>
      <c r="P108" s="183">
        <f t="shared" si="2"/>
        <v>0.78739583333333341</v>
      </c>
      <c r="Q108" s="183">
        <f t="shared" si="2"/>
        <v>5.197916666666667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13.451294320752506</v>
      </c>
      <c r="C109" s="183">
        <f t="shared" ref="C109:Q109" si="3">STDEV(C9:C104)</f>
        <v>2.4348375067364159</v>
      </c>
      <c r="D109" s="183">
        <f t="shared" si="3"/>
        <v>11.550646279480802</v>
      </c>
      <c r="E109" s="183">
        <f t="shared" si="3"/>
        <v>0.89177053830145636</v>
      </c>
      <c r="F109" s="183">
        <f t="shared" si="3"/>
        <v>2.003276523882898</v>
      </c>
      <c r="G109" s="183">
        <f t="shared" si="3"/>
        <v>13.77329895847596</v>
      </c>
      <c r="H109" s="183">
        <f t="shared" si="3"/>
        <v>5.099043856019855</v>
      </c>
      <c r="I109" s="183">
        <f t="shared" si="3"/>
        <v>1.4563973214390182</v>
      </c>
      <c r="J109" s="183">
        <f t="shared" si="3"/>
        <v>0.25514907922933799</v>
      </c>
      <c r="K109" s="183">
        <f t="shared" si="3"/>
        <v>87.917855132172363</v>
      </c>
      <c r="L109" s="183">
        <f t="shared" si="3"/>
        <v>3.9874825839690189</v>
      </c>
      <c r="M109" s="183">
        <f t="shared" si="3"/>
        <v>21.966961914329694</v>
      </c>
      <c r="N109" s="183">
        <f t="shared" si="3"/>
        <v>242.19129596459237</v>
      </c>
      <c r="O109" s="183">
        <f t="shared" si="3"/>
        <v>0</v>
      </c>
      <c r="P109" s="183">
        <f t="shared" si="3"/>
        <v>0.13591208297368557</v>
      </c>
      <c r="Q109" s="183">
        <f t="shared" si="3"/>
        <v>0.70908379234150254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23/10/2023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2350</v>
      </c>
      <c r="B9" s="133">
        <v>23.73</v>
      </c>
      <c r="C9" s="133">
        <v>23.68</v>
      </c>
      <c r="D9" s="133">
        <v>32.75</v>
      </c>
      <c r="E9" s="133">
        <v>5.58</v>
      </c>
      <c r="F9" s="133">
        <v>2.61</v>
      </c>
      <c r="G9" s="133">
        <v>93.41</v>
      </c>
      <c r="H9" s="133">
        <v>26.85</v>
      </c>
      <c r="I9" s="133">
        <v>7.11</v>
      </c>
      <c r="J9" s="133">
        <v>0.12</v>
      </c>
      <c r="K9" s="133">
        <v>166.24</v>
      </c>
      <c r="L9" s="133">
        <v>20.97</v>
      </c>
      <c r="M9" s="133">
        <v>89.14</v>
      </c>
      <c r="N9" s="133">
        <v>0</v>
      </c>
      <c r="O9" s="133">
        <v>0</v>
      </c>
      <c r="P9" s="133">
        <v>0.93</v>
      </c>
      <c r="Q9" s="133">
        <v>5.38</v>
      </c>
    </row>
    <row r="10" spans="1:21" customFormat="1">
      <c r="A10" s="111" t="s">
        <v>2351</v>
      </c>
      <c r="B10" s="133">
        <v>24.54</v>
      </c>
      <c r="C10" s="133">
        <v>23.96</v>
      </c>
      <c r="D10" s="133">
        <v>33.549999999999997</v>
      </c>
      <c r="E10" s="133">
        <v>5.38</v>
      </c>
      <c r="F10" s="133">
        <v>2.72</v>
      </c>
      <c r="G10" s="133">
        <v>93.41</v>
      </c>
      <c r="H10" s="133">
        <v>26.85</v>
      </c>
      <c r="I10" s="133">
        <v>7.13</v>
      </c>
      <c r="J10" s="133">
        <v>0.1</v>
      </c>
      <c r="K10" s="133">
        <v>189.3</v>
      </c>
      <c r="L10" s="133">
        <v>21.05</v>
      </c>
      <c r="M10" s="133">
        <v>88.33</v>
      </c>
      <c r="N10" s="133">
        <v>0</v>
      </c>
      <c r="O10" s="133">
        <v>0</v>
      </c>
      <c r="P10" s="133">
        <v>0.96</v>
      </c>
      <c r="Q10" s="133">
        <v>5.4</v>
      </c>
    </row>
    <row r="11" spans="1:21" customFormat="1">
      <c r="A11" s="111" t="s">
        <v>2352</v>
      </c>
      <c r="B11" s="133">
        <v>26.17</v>
      </c>
      <c r="C11" s="133">
        <v>24.54</v>
      </c>
      <c r="D11" s="133">
        <v>35.159999999999997</v>
      </c>
      <c r="E11" s="133">
        <v>5.95</v>
      </c>
      <c r="F11" s="133">
        <v>2.82</v>
      </c>
      <c r="G11" s="133">
        <v>93.47</v>
      </c>
      <c r="H11" s="133">
        <v>26.76</v>
      </c>
      <c r="I11" s="133">
        <v>7.23</v>
      </c>
      <c r="J11" s="133">
        <v>0.1</v>
      </c>
      <c r="K11" s="133">
        <v>162.61000000000001</v>
      </c>
      <c r="L11" s="133">
        <v>21.16</v>
      </c>
      <c r="M11" s="133">
        <v>86.69</v>
      </c>
      <c r="N11" s="133">
        <v>0</v>
      </c>
      <c r="O11" s="133">
        <v>0</v>
      </c>
      <c r="P11" s="133">
        <v>0.99</v>
      </c>
      <c r="Q11" s="133">
        <v>5.45</v>
      </c>
    </row>
    <row r="12" spans="1:21" customFormat="1">
      <c r="A12" s="111" t="s">
        <v>2353</v>
      </c>
      <c r="B12" s="133">
        <v>27.73</v>
      </c>
      <c r="C12" s="133">
        <v>25.22</v>
      </c>
      <c r="D12" s="133">
        <v>36.76</v>
      </c>
      <c r="E12" s="133">
        <v>5.26</v>
      </c>
      <c r="F12" s="133">
        <v>2.7</v>
      </c>
      <c r="G12" s="133">
        <v>94.49</v>
      </c>
      <c r="H12" s="133">
        <v>25.31</v>
      </c>
      <c r="I12" s="133">
        <v>7.34</v>
      </c>
      <c r="J12" s="133">
        <v>7.0000000000000007E-2</v>
      </c>
      <c r="K12" s="133">
        <v>186.43</v>
      </c>
      <c r="L12" s="133">
        <v>21.11</v>
      </c>
      <c r="M12" s="133">
        <v>86.73</v>
      </c>
      <c r="N12" s="133">
        <v>0</v>
      </c>
      <c r="O12" s="133">
        <v>0</v>
      </c>
      <c r="P12" s="133">
        <v>1.01</v>
      </c>
      <c r="Q12" s="133">
        <v>5.54</v>
      </c>
    </row>
    <row r="13" spans="1:21" customFormat="1">
      <c r="A13" s="111" t="s">
        <v>2354</v>
      </c>
      <c r="B13" s="133">
        <v>28.87</v>
      </c>
      <c r="C13" s="133">
        <v>25.93</v>
      </c>
      <c r="D13" s="133">
        <v>38.049999999999997</v>
      </c>
      <c r="E13" s="133">
        <v>5.47</v>
      </c>
      <c r="F13" s="133">
        <v>2.65</v>
      </c>
      <c r="G13" s="133">
        <v>94.49</v>
      </c>
      <c r="H13" s="133">
        <v>25.31</v>
      </c>
      <c r="I13" s="133">
        <v>7.46</v>
      </c>
      <c r="J13" s="133">
        <v>0.11</v>
      </c>
      <c r="K13" s="133">
        <v>199.16</v>
      </c>
      <c r="L13" s="133">
        <v>21.06</v>
      </c>
      <c r="M13" s="133">
        <v>86.21</v>
      </c>
      <c r="N13" s="133">
        <v>0</v>
      </c>
      <c r="O13" s="133">
        <v>0</v>
      </c>
      <c r="P13" s="133">
        <v>1.02</v>
      </c>
      <c r="Q13" s="133">
        <v>5.6</v>
      </c>
    </row>
    <row r="14" spans="1:21" customFormat="1">
      <c r="A14" s="111" t="s">
        <v>2355</v>
      </c>
      <c r="B14" s="133">
        <v>29.64</v>
      </c>
      <c r="C14" s="133">
        <v>26.27</v>
      </c>
      <c r="D14" s="133">
        <v>38.840000000000003</v>
      </c>
      <c r="E14" s="133">
        <v>5.96</v>
      </c>
      <c r="F14" s="133">
        <v>2.7</v>
      </c>
      <c r="G14" s="133">
        <v>94.49</v>
      </c>
      <c r="H14" s="133">
        <v>25.31</v>
      </c>
      <c r="I14" s="133">
        <v>7.55</v>
      </c>
      <c r="J14" s="133">
        <v>0.14000000000000001</v>
      </c>
      <c r="K14" s="133">
        <v>178.31</v>
      </c>
      <c r="L14" s="133">
        <v>20.85</v>
      </c>
      <c r="M14" s="133">
        <v>89.24</v>
      </c>
      <c r="N14" s="133">
        <v>0</v>
      </c>
      <c r="O14" s="133">
        <v>0</v>
      </c>
      <c r="P14" s="133">
        <v>1.04</v>
      </c>
      <c r="Q14" s="133">
        <v>5.66</v>
      </c>
    </row>
    <row r="15" spans="1:21" customFormat="1">
      <c r="A15" s="111" t="s">
        <v>2356</v>
      </c>
      <c r="B15" s="133">
        <v>30.05</v>
      </c>
      <c r="C15" s="133">
        <v>26.75</v>
      </c>
      <c r="D15" s="133">
        <v>39.43</v>
      </c>
      <c r="E15" s="133">
        <v>5.61</v>
      </c>
      <c r="F15" s="133">
        <v>2.63</v>
      </c>
      <c r="G15" s="133">
        <v>94.3</v>
      </c>
      <c r="H15" s="133">
        <v>25.37</v>
      </c>
      <c r="I15" s="133">
        <v>7.63</v>
      </c>
      <c r="J15" s="133">
        <v>0.15</v>
      </c>
      <c r="K15" s="133">
        <v>170.19</v>
      </c>
      <c r="L15" s="133">
        <v>20.71</v>
      </c>
      <c r="M15" s="133">
        <v>90.77</v>
      </c>
      <c r="N15" s="133">
        <v>0</v>
      </c>
      <c r="O15" s="133">
        <v>0</v>
      </c>
      <c r="P15" s="133">
        <v>1.05</v>
      </c>
      <c r="Q15" s="133">
        <v>5.72</v>
      </c>
    </row>
    <row r="16" spans="1:21" customFormat="1">
      <c r="A16" s="111" t="s">
        <v>2357</v>
      </c>
      <c r="B16" s="133">
        <v>30.33</v>
      </c>
      <c r="C16" s="133">
        <v>26.91</v>
      </c>
      <c r="D16" s="133">
        <v>39.729999999999997</v>
      </c>
      <c r="E16" s="133">
        <v>5.77</v>
      </c>
      <c r="F16" s="133">
        <v>2.5499999999999998</v>
      </c>
      <c r="G16" s="133">
        <v>90.1</v>
      </c>
      <c r="H16" s="133">
        <v>26.57</v>
      </c>
      <c r="I16" s="133">
        <v>7.66</v>
      </c>
      <c r="J16" s="133">
        <v>0.11</v>
      </c>
      <c r="K16" s="133">
        <v>223.05</v>
      </c>
      <c r="L16" s="133">
        <v>20.54</v>
      </c>
      <c r="M16" s="133">
        <v>87.01</v>
      </c>
      <c r="N16" s="133">
        <v>0</v>
      </c>
      <c r="O16" s="133">
        <v>0</v>
      </c>
      <c r="P16" s="133">
        <v>1.06</v>
      </c>
      <c r="Q16" s="133">
        <v>5.73</v>
      </c>
    </row>
    <row r="17" spans="1:17" customFormat="1">
      <c r="A17" s="111" t="s">
        <v>2358</v>
      </c>
      <c r="B17" s="133">
        <v>30.87</v>
      </c>
      <c r="C17" s="133">
        <v>27.25</v>
      </c>
      <c r="D17" s="133">
        <v>40.340000000000003</v>
      </c>
      <c r="E17" s="133">
        <v>4.1399999999999997</v>
      </c>
      <c r="F17" s="133">
        <v>2.5099999999999998</v>
      </c>
      <c r="G17" s="133">
        <v>90.1</v>
      </c>
      <c r="H17" s="133">
        <v>26.57</v>
      </c>
      <c r="I17" s="133">
        <v>7.71</v>
      </c>
      <c r="J17" s="133">
        <v>7.0000000000000007E-2</v>
      </c>
      <c r="K17" s="133">
        <v>188.36</v>
      </c>
      <c r="L17" s="133">
        <v>20.41</v>
      </c>
      <c r="M17" s="133">
        <v>84.71</v>
      </c>
      <c r="N17" s="133">
        <v>0</v>
      </c>
      <c r="O17" s="133">
        <v>0</v>
      </c>
      <c r="P17" s="133">
        <v>1.06</v>
      </c>
      <c r="Q17" s="133">
        <v>5.77</v>
      </c>
    </row>
    <row r="18" spans="1:17" customFormat="1">
      <c r="A18" s="111" t="s">
        <v>2359</v>
      </c>
      <c r="B18" s="133">
        <v>30.91</v>
      </c>
      <c r="C18" s="133">
        <v>27.64</v>
      </c>
      <c r="D18" s="133">
        <v>40.58</v>
      </c>
      <c r="E18" s="133">
        <v>4.43</v>
      </c>
      <c r="F18" s="133">
        <v>2.6</v>
      </c>
      <c r="G18" s="133">
        <v>90.1</v>
      </c>
      <c r="H18" s="133">
        <v>26.57</v>
      </c>
      <c r="I18" s="133">
        <v>7.73</v>
      </c>
      <c r="J18" s="133">
        <v>0.04</v>
      </c>
      <c r="K18" s="133">
        <v>87.26</v>
      </c>
      <c r="L18" s="133">
        <v>20.45</v>
      </c>
      <c r="M18" s="133">
        <v>81.88</v>
      </c>
      <c r="N18" s="133">
        <v>0</v>
      </c>
      <c r="O18" s="133">
        <v>0</v>
      </c>
      <c r="P18" s="133">
        <v>1.06</v>
      </c>
      <c r="Q18" s="133">
        <v>5.77</v>
      </c>
    </row>
    <row r="19" spans="1:17" customFormat="1">
      <c r="A19" s="111" t="s">
        <v>2360</v>
      </c>
      <c r="B19" s="133">
        <v>30.78</v>
      </c>
      <c r="C19" s="133">
        <v>27.56</v>
      </c>
      <c r="D19" s="133">
        <v>40.43</v>
      </c>
      <c r="E19" s="133">
        <v>4.6100000000000003</v>
      </c>
      <c r="F19" s="133">
        <v>2.54</v>
      </c>
      <c r="G19" s="133">
        <v>89.87</v>
      </c>
      <c r="H19" s="133">
        <v>26.45</v>
      </c>
      <c r="I19" s="133">
        <v>7.74</v>
      </c>
      <c r="J19" s="133">
        <v>0.22</v>
      </c>
      <c r="K19" s="133">
        <v>37.909999999999997</v>
      </c>
      <c r="L19" s="133">
        <v>20.66</v>
      </c>
      <c r="M19" s="133">
        <v>77.319999999999993</v>
      </c>
      <c r="N19" s="133">
        <v>0</v>
      </c>
      <c r="O19" s="133">
        <v>0</v>
      </c>
      <c r="P19" s="133">
        <v>1.05</v>
      </c>
      <c r="Q19" s="133">
        <v>5.78</v>
      </c>
    </row>
    <row r="20" spans="1:17" customFormat="1">
      <c r="A20" s="111" t="s">
        <v>2361</v>
      </c>
      <c r="B20" s="133">
        <v>30.34</v>
      </c>
      <c r="C20" s="133">
        <v>27.58</v>
      </c>
      <c r="D20" s="133">
        <v>40.090000000000003</v>
      </c>
      <c r="E20" s="133">
        <v>4.59</v>
      </c>
      <c r="F20" s="133">
        <v>2.62</v>
      </c>
      <c r="G20" s="133">
        <v>84.92</v>
      </c>
      <c r="H20" s="133">
        <v>23.73</v>
      </c>
      <c r="I20" s="133">
        <v>7.67</v>
      </c>
      <c r="J20" s="133">
        <v>0.18</v>
      </c>
      <c r="K20" s="133">
        <v>37.72</v>
      </c>
      <c r="L20" s="133">
        <v>20.77</v>
      </c>
      <c r="M20" s="133">
        <v>75.180000000000007</v>
      </c>
      <c r="N20" s="133">
        <v>0</v>
      </c>
      <c r="O20" s="133">
        <v>0</v>
      </c>
      <c r="P20" s="133">
        <v>1.03</v>
      </c>
      <c r="Q20" s="133">
        <v>5.76</v>
      </c>
    </row>
    <row r="21" spans="1:17" customFormat="1">
      <c r="A21" s="111" t="s">
        <v>2362</v>
      </c>
      <c r="B21" s="133">
        <v>29.9</v>
      </c>
      <c r="C21" s="133">
        <v>27.63</v>
      </c>
      <c r="D21" s="133">
        <v>39.76</v>
      </c>
      <c r="E21" s="133">
        <v>4.88</v>
      </c>
      <c r="F21" s="133">
        <v>2.61</v>
      </c>
      <c r="G21" s="133">
        <v>84.92</v>
      </c>
      <c r="H21" s="133">
        <v>23.73</v>
      </c>
      <c r="I21" s="133">
        <v>7.54</v>
      </c>
      <c r="J21" s="133">
        <v>0.28000000000000003</v>
      </c>
      <c r="K21" s="133">
        <v>30.02</v>
      </c>
      <c r="L21" s="133">
        <v>20.7</v>
      </c>
      <c r="M21" s="133">
        <v>74.42</v>
      </c>
      <c r="N21" s="133">
        <v>0</v>
      </c>
      <c r="O21" s="133">
        <v>0</v>
      </c>
      <c r="P21" s="133">
        <v>1.01</v>
      </c>
      <c r="Q21" s="133">
        <v>5.73</v>
      </c>
    </row>
    <row r="22" spans="1:17" customFormat="1">
      <c r="A22" s="111" t="s">
        <v>2363</v>
      </c>
      <c r="B22" s="133">
        <v>29.21</v>
      </c>
      <c r="C22" s="133">
        <v>27.46</v>
      </c>
      <c r="D22" s="133">
        <v>39.119999999999997</v>
      </c>
      <c r="E22" s="133">
        <v>5.04</v>
      </c>
      <c r="F22" s="133">
        <v>2.76</v>
      </c>
      <c r="G22" s="133">
        <v>84.92</v>
      </c>
      <c r="H22" s="133">
        <v>23.73</v>
      </c>
      <c r="I22" s="133">
        <v>7.4</v>
      </c>
      <c r="J22" s="133">
        <v>0.15</v>
      </c>
      <c r="K22" s="133">
        <v>46.03</v>
      </c>
      <c r="L22" s="133">
        <v>20.45</v>
      </c>
      <c r="M22" s="133">
        <v>76.98</v>
      </c>
      <c r="N22" s="133">
        <v>0</v>
      </c>
      <c r="O22" s="133">
        <v>0</v>
      </c>
      <c r="P22" s="133">
        <v>0.98</v>
      </c>
      <c r="Q22" s="133">
        <v>5.71</v>
      </c>
    </row>
    <row r="23" spans="1:17" customFormat="1">
      <c r="A23" s="111" t="s">
        <v>2364</v>
      </c>
      <c r="B23" s="133">
        <v>28.45</v>
      </c>
      <c r="C23" s="133">
        <v>27.43</v>
      </c>
      <c r="D23" s="133">
        <v>38.49</v>
      </c>
      <c r="E23" s="133">
        <v>4.5599999999999996</v>
      </c>
      <c r="F23" s="133">
        <v>2.59</v>
      </c>
      <c r="G23" s="133">
        <v>84.86</v>
      </c>
      <c r="H23" s="133">
        <v>23.78</v>
      </c>
      <c r="I23" s="133">
        <v>7.25</v>
      </c>
      <c r="J23" s="133">
        <v>0.28999999999999998</v>
      </c>
      <c r="K23" s="133">
        <v>40.29</v>
      </c>
      <c r="L23" s="133">
        <v>20.329999999999998</v>
      </c>
      <c r="M23" s="133">
        <v>78.400000000000006</v>
      </c>
      <c r="N23" s="133">
        <v>0</v>
      </c>
      <c r="O23" s="133">
        <v>0</v>
      </c>
      <c r="P23" s="133">
        <v>0.97</v>
      </c>
      <c r="Q23" s="133">
        <v>5.67</v>
      </c>
    </row>
    <row r="24" spans="1:17" customFormat="1">
      <c r="A24" s="111" t="s">
        <v>2365</v>
      </c>
      <c r="B24" s="133">
        <v>27.93</v>
      </c>
      <c r="C24" s="133">
        <v>27.61</v>
      </c>
      <c r="D24" s="133">
        <v>38.17</v>
      </c>
      <c r="E24" s="133">
        <v>4.91</v>
      </c>
      <c r="F24" s="133">
        <v>2.52</v>
      </c>
      <c r="G24" s="133">
        <v>83.49</v>
      </c>
      <c r="H24" s="133">
        <v>26.99</v>
      </c>
      <c r="I24" s="133">
        <v>7.16</v>
      </c>
      <c r="J24" s="133">
        <v>0.22</v>
      </c>
      <c r="K24" s="133">
        <v>45.73</v>
      </c>
      <c r="L24" s="133">
        <v>20.22</v>
      </c>
      <c r="M24" s="133">
        <v>79.91</v>
      </c>
      <c r="N24" s="133">
        <v>0</v>
      </c>
      <c r="O24" s="133">
        <v>0</v>
      </c>
      <c r="P24" s="133">
        <v>0.98</v>
      </c>
      <c r="Q24" s="133">
        <v>5.62</v>
      </c>
    </row>
    <row r="25" spans="1:17" customFormat="1">
      <c r="A25" s="111" t="s">
        <v>2366</v>
      </c>
      <c r="B25" s="133">
        <v>27.66</v>
      </c>
      <c r="C25" s="133">
        <v>27.53</v>
      </c>
      <c r="D25" s="133">
        <v>37.92</v>
      </c>
      <c r="E25" s="133">
        <v>4.84</v>
      </c>
      <c r="F25" s="133">
        <v>2.59</v>
      </c>
      <c r="G25" s="133">
        <v>83.49</v>
      </c>
      <c r="H25" s="133">
        <v>26.99</v>
      </c>
      <c r="I25" s="133">
        <v>7.11</v>
      </c>
      <c r="J25" s="133">
        <v>0.3</v>
      </c>
      <c r="K25" s="133">
        <v>39.07</v>
      </c>
      <c r="L25" s="133">
        <v>20.12</v>
      </c>
      <c r="M25" s="133">
        <v>80.819999999999993</v>
      </c>
      <c r="N25" s="133">
        <v>0</v>
      </c>
      <c r="O25" s="133">
        <v>0</v>
      </c>
      <c r="P25" s="133">
        <v>0.99</v>
      </c>
      <c r="Q25" s="133">
        <v>5.6</v>
      </c>
    </row>
    <row r="26" spans="1:17" customFormat="1">
      <c r="A26" s="111" t="s">
        <v>2367</v>
      </c>
      <c r="B26" s="133">
        <v>27.65</v>
      </c>
      <c r="C26" s="133">
        <v>27.42</v>
      </c>
      <c r="D26" s="133">
        <v>37.85</v>
      </c>
      <c r="E26" s="133">
        <v>4.8499999999999996</v>
      </c>
      <c r="F26" s="133">
        <v>2.52</v>
      </c>
      <c r="G26" s="133">
        <v>83.49</v>
      </c>
      <c r="H26" s="133">
        <v>26.99</v>
      </c>
      <c r="I26" s="133">
        <v>7.16</v>
      </c>
      <c r="J26" s="133">
        <v>0.26</v>
      </c>
      <c r="K26" s="133">
        <v>40.270000000000003</v>
      </c>
      <c r="L26" s="133">
        <v>19.850000000000001</v>
      </c>
      <c r="M26" s="133">
        <v>82.67</v>
      </c>
      <c r="N26" s="133">
        <v>0</v>
      </c>
      <c r="O26" s="133">
        <v>0</v>
      </c>
      <c r="P26" s="133">
        <v>1.02</v>
      </c>
      <c r="Q26" s="133">
        <v>5.64</v>
      </c>
    </row>
    <row r="27" spans="1:17" customFormat="1">
      <c r="A27" s="111" t="s">
        <v>2368</v>
      </c>
      <c r="B27" s="133">
        <v>28.03</v>
      </c>
      <c r="C27" s="133">
        <v>27.49</v>
      </c>
      <c r="D27" s="133">
        <v>38.19</v>
      </c>
      <c r="E27" s="133">
        <v>5.0199999999999996</v>
      </c>
      <c r="F27" s="133">
        <v>2.5499999999999998</v>
      </c>
      <c r="G27" s="133">
        <v>84.61</v>
      </c>
      <c r="H27" s="133">
        <v>27.52</v>
      </c>
      <c r="I27" s="133">
        <v>7.27</v>
      </c>
      <c r="J27" s="133">
        <v>0.21</v>
      </c>
      <c r="K27" s="133">
        <v>32.299999999999997</v>
      </c>
      <c r="L27" s="133">
        <v>19.64</v>
      </c>
      <c r="M27" s="133">
        <v>82.01</v>
      </c>
      <c r="N27" s="133">
        <v>0</v>
      </c>
      <c r="O27" s="133">
        <v>0</v>
      </c>
      <c r="P27" s="133">
        <v>1.04</v>
      </c>
      <c r="Q27" s="133">
        <v>5.62</v>
      </c>
    </row>
    <row r="28" spans="1:17" customFormat="1">
      <c r="A28" s="111" t="s">
        <v>2369</v>
      </c>
      <c r="B28" s="133">
        <v>28.33</v>
      </c>
      <c r="C28" s="133">
        <v>27.3</v>
      </c>
      <c r="D28" s="133">
        <v>38.33</v>
      </c>
      <c r="E28" s="133">
        <v>5.62</v>
      </c>
      <c r="F28" s="133">
        <v>2.66</v>
      </c>
      <c r="G28" s="133">
        <v>108.65</v>
      </c>
      <c r="H28" s="133">
        <v>35.81</v>
      </c>
      <c r="I28" s="133">
        <v>7.56</v>
      </c>
      <c r="J28" s="133">
        <v>0.23</v>
      </c>
      <c r="K28" s="133">
        <v>33.9</v>
      </c>
      <c r="L28" s="133">
        <v>19.399999999999999</v>
      </c>
      <c r="M28" s="133">
        <v>81.709999999999994</v>
      </c>
      <c r="N28" s="133">
        <v>0</v>
      </c>
      <c r="O28" s="133">
        <v>0</v>
      </c>
      <c r="P28" s="133">
        <v>1.06</v>
      </c>
      <c r="Q28" s="133">
        <v>5.62</v>
      </c>
    </row>
    <row r="29" spans="1:17" customFormat="1">
      <c r="A29" s="111" t="s">
        <v>2370</v>
      </c>
      <c r="B29" s="133">
        <v>28.8</v>
      </c>
      <c r="C29" s="133">
        <v>27.92</v>
      </c>
      <c r="D29" s="133">
        <v>39.03</v>
      </c>
      <c r="E29" s="133">
        <v>5.32</v>
      </c>
      <c r="F29" s="133">
        <v>2.4500000000000002</v>
      </c>
      <c r="G29" s="133">
        <v>108.65</v>
      </c>
      <c r="H29" s="133">
        <v>35.81</v>
      </c>
      <c r="I29" s="133">
        <v>7.81</v>
      </c>
      <c r="J29" s="133">
        <v>0.2</v>
      </c>
      <c r="K29" s="133">
        <v>39.68</v>
      </c>
      <c r="L29" s="133">
        <v>19.16</v>
      </c>
      <c r="M29" s="133">
        <v>82.61</v>
      </c>
      <c r="N29" s="133">
        <v>0</v>
      </c>
      <c r="O29" s="133">
        <v>0</v>
      </c>
      <c r="P29" s="133">
        <v>1.1200000000000001</v>
      </c>
      <c r="Q29" s="133">
        <v>5.63</v>
      </c>
    </row>
    <row r="30" spans="1:17" customFormat="1">
      <c r="A30" s="111" t="s">
        <v>2371</v>
      </c>
      <c r="B30" s="133">
        <v>29.86</v>
      </c>
      <c r="C30" s="133">
        <v>25.98</v>
      </c>
      <c r="D30" s="133">
        <v>38.869999999999997</v>
      </c>
      <c r="E30" s="133">
        <v>4.99</v>
      </c>
      <c r="F30" s="133">
        <v>2.69</v>
      </c>
      <c r="G30" s="133">
        <v>108.65</v>
      </c>
      <c r="H30" s="133">
        <v>35.81</v>
      </c>
      <c r="I30" s="133">
        <v>7.99</v>
      </c>
      <c r="J30" s="133">
        <v>0.09</v>
      </c>
      <c r="K30" s="133">
        <v>80.66</v>
      </c>
      <c r="L30" s="133">
        <v>19.100000000000001</v>
      </c>
      <c r="M30" s="133">
        <v>83.2</v>
      </c>
      <c r="N30" s="133">
        <v>0</v>
      </c>
      <c r="O30" s="133">
        <v>0</v>
      </c>
      <c r="P30" s="133">
        <v>1.1399999999999999</v>
      </c>
      <c r="Q30" s="133">
        <v>5.64</v>
      </c>
    </row>
    <row r="31" spans="1:17" customFormat="1">
      <c r="A31" s="111" t="s">
        <v>2372</v>
      </c>
      <c r="B31" s="133">
        <v>30.38</v>
      </c>
      <c r="C31" s="133">
        <v>24.01</v>
      </c>
      <c r="D31" s="133">
        <v>38.26</v>
      </c>
      <c r="E31" s="133">
        <v>5.1100000000000003</v>
      </c>
      <c r="F31" s="133">
        <v>2.86</v>
      </c>
      <c r="G31" s="133">
        <v>108.74</v>
      </c>
      <c r="H31" s="133">
        <v>35.979999999999997</v>
      </c>
      <c r="I31" s="133">
        <v>8.14</v>
      </c>
      <c r="J31" s="133">
        <v>0.09</v>
      </c>
      <c r="K31" s="133">
        <v>71.75</v>
      </c>
      <c r="L31" s="133">
        <v>18.940000000000001</v>
      </c>
      <c r="M31" s="133">
        <v>85.31</v>
      </c>
      <c r="N31" s="133">
        <v>0</v>
      </c>
      <c r="O31" s="133">
        <v>0</v>
      </c>
      <c r="P31" s="133">
        <v>1.1399999999999999</v>
      </c>
      <c r="Q31" s="133">
        <v>5.65</v>
      </c>
    </row>
    <row r="32" spans="1:17" customFormat="1">
      <c r="A32" s="111" t="s">
        <v>2373</v>
      </c>
      <c r="B32" s="133">
        <v>30.72</v>
      </c>
      <c r="C32" s="133">
        <v>25.03</v>
      </c>
      <c r="D32" s="133">
        <v>39.07</v>
      </c>
      <c r="E32" s="133">
        <v>4.6900000000000004</v>
      </c>
      <c r="F32" s="133">
        <v>2.39</v>
      </c>
      <c r="G32" s="133">
        <v>110.66</v>
      </c>
      <c r="H32" s="133">
        <v>38.729999999999997</v>
      </c>
      <c r="I32" s="133">
        <v>8.23</v>
      </c>
      <c r="J32" s="133">
        <v>0.09</v>
      </c>
      <c r="K32" s="133">
        <v>36.64</v>
      </c>
      <c r="L32" s="133">
        <v>18.850000000000001</v>
      </c>
      <c r="M32" s="133">
        <v>85.3</v>
      </c>
      <c r="N32" s="133">
        <v>0</v>
      </c>
      <c r="O32" s="133">
        <v>0</v>
      </c>
      <c r="P32" s="133">
        <v>1.1599999999999999</v>
      </c>
      <c r="Q32" s="133">
        <v>5.68</v>
      </c>
    </row>
    <row r="33" spans="1:17" customFormat="1">
      <c r="A33" s="111" t="s">
        <v>2374</v>
      </c>
      <c r="B33" s="133">
        <v>31.84</v>
      </c>
      <c r="C33" s="133">
        <v>24.99</v>
      </c>
      <c r="D33" s="133">
        <v>39.94</v>
      </c>
      <c r="E33" s="133">
        <v>4.95</v>
      </c>
      <c r="F33" s="133">
        <v>2.56</v>
      </c>
      <c r="G33" s="133">
        <v>110.66</v>
      </c>
      <c r="H33" s="133">
        <v>38.729999999999997</v>
      </c>
      <c r="I33" s="133">
        <v>8.36</v>
      </c>
      <c r="J33" s="133">
        <v>0.08</v>
      </c>
      <c r="K33" s="133">
        <v>42.6</v>
      </c>
      <c r="L33" s="133">
        <v>18.829999999999998</v>
      </c>
      <c r="M33" s="133">
        <v>86.06</v>
      </c>
      <c r="N33" s="133">
        <v>0.1</v>
      </c>
      <c r="O33" s="133">
        <v>0</v>
      </c>
      <c r="P33" s="133">
        <v>1.17</v>
      </c>
      <c r="Q33" s="133">
        <v>5.7</v>
      </c>
    </row>
    <row r="34" spans="1:17" customFormat="1">
      <c r="A34" s="111" t="s">
        <v>2375</v>
      </c>
      <c r="B34" s="133">
        <v>32.17</v>
      </c>
      <c r="C34" s="133">
        <v>25.38</v>
      </c>
      <c r="D34" s="133">
        <v>40.409999999999997</v>
      </c>
      <c r="E34" s="133">
        <v>4.9400000000000004</v>
      </c>
      <c r="F34" s="133">
        <v>2.46</v>
      </c>
      <c r="G34" s="133">
        <v>110.66</v>
      </c>
      <c r="H34" s="133">
        <v>38.729999999999997</v>
      </c>
      <c r="I34" s="133">
        <v>8.48</v>
      </c>
      <c r="J34" s="133">
        <v>0.18</v>
      </c>
      <c r="K34" s="133">
        <v>37.049999999999997</v>
      </c>
      <c r="L34" s="133">
        <v>18.96</v>
      </c>
      <c r="M34" s="133">
        <v>85.39</v>
      </c>
      <c r="N34" s="133">
        <v>7.9</v>
      </c>
      <c r="O34" s="133">
        <v>0</v>
      </c>
      <c r="P34" s="133">
        <v>1.18</v>
      </c>
      <c r="Q34" s="133">
        <v>5.72</v>
      </c>
    </row>
    <row r="35" spans="1:17" customFormat="1">
      <c r="A35" s="111" t="s">
        <v>2376</v>
      </c>
      <c r="B35" s="133">
        <v>32.659999999999997</v>
      </c>
      <c r="C35" s="133">
        <v>24.69</v>
      </c>
      <c r="D35" s="133">
        <v>40.44</v>
      </c>
      <c r="E35" s="133">
        <v>4.84</v>
      </c>
      <c r="F35" s="133">
        <v>2.57</v>
      </c>
      <c r="G35" s="133">
        <v>110.53</v>
      </c>
      <c r="H35" s="133">
        <v>38.630000000000003</v>
      </c>
      <c r="I35" s="133">
        <v>8.5399999999999991</v>
      </c>
      <c r="J35" s="133">
        <v>0.24</v>
      </c>
      <c r="K35" s="133">
        <v>26.11</v>
      </c>
      <c r="L35" s="133">
        <v>19.309999999999999</v>
      </c>
      <c r="M35" s="133">
        <v>82.85</v>
      </c>
      <c r="N35" s="133">
        <v>21.8</v>
      </c>
      <c r="O35" s="133">
        <v>0</v>
      </c>
      <c r="P35" s="133">
        <v>1.19</v>
      </c>
      <c r="Q35" s="133">
        <v>5.75</v>
      </c>
    </row>
    <row r="36" spans="1:17" customFormat="1">
      <c r="A36" s="111" t="s">
        <v>2377</v>
      </c>
      <c r="B36" s="133">
        <v>33.24</v>
      </c>
      <c r="C36" s="133">
        <v>25.51</v>
      </c>
      <c r="D36" s="133">
        <v>41.33</v>
      </c>
      <c r="E36" s="133">
        <v>4.5599999999999996</v>
      </c>
      <c r="F36" s="133">
        <v>2.54</v>
      </c>
      <c r="G36" s="133">
        <v>107.63</v>
      </c>
      <c r="H36" s="133">
        <v>36.99</v>
      </c>
      <c r="I36" s="133">
        <v>8.61</v>
      </c>
      <c r="J36" s="133">
        <v>0.32</v>
      </c>
      <c r="K36" s="133">
        <v>26.87</v>
      </c>
      <c r="L36" s="133">
        <v>19.79</v>
      </c>
      <c r="M36" s="133">
        <v>80.150000000000006</v>
      </c>
      <c r="N36" s="133">
        <v>34.4</v>
      </c>
      <c r="O36" s="133">
        <v>0</v>
      </c>
      <c r="P36" s="133">
        <v>1.19</v>
      </c>
      <c r="Q36" s="133">
        <v>5.77</v>
      </c>
    </row>
    <row r="37" spans="1:17" customFormat="1">
      <c r="A37" s="111" t="s">
        <v>2378</v>
      </c>
      <c r="B37" s="133">
        <v>33.5</v>
      </c>
      <c r="C37" s="133">
        <v>24.8</v>
      </c>
      <c r="D37" s="133">
        <v>41.17</v>
      </c>
      <c r="E37" s="133">
        <v>4.82</v>
      </c>
      <c r="F37" s="133">
        <v>2.69</v>
      </c>
      <c r="G37" s="133">
        <v>107.63</v>
      </c>
      <c r="H37" s="133">
        <v>36.99</v>
      </c>
      <c r="I37" s="133">
        <v>8.61</v>
      </c>
      <c r="J37" s="133">
        <v>0.44</v>
      </c>
      <c r="K37" s="133">
        <v>39.76</v>
      </c>
      <c r="L37" s="133">
        <v>20.27</v>
      </c>
      <c r="M37" s="133">
        <v>76.22</v>
      </c>
      <c r="N37" s="133">
        <v>43.5</v>
      </c>
      <c r="O37" s="133">
        <v>0</v>
      </c>
      <c r="P37" s="133">
        <v>1.18</v>
      </c>
      <c r="Q37" s="133">
        <v>5.79</v>
      </c>
    </row>
    <row r="38" spans="1:17" customFormat="1">
      <c r="A38" s="111" t="s">
        <v>2379</v>
      </c>
      <c r="B38" s="133">
        <v>32.89</v>
      </c>
      <c r="C38" s="133">
        <v>25.92</v>
      </c>
      <c r="D38" s="133">
        <v>41.27</v>
      </c>
      <c r="E38" s="133">
        <v>4.8</v>
      </c>
      <c r="F38" s="133">
        <v>2.65</v>
      </c>
      <c r="G38" s="133">
        <v>107.63</v>
      </c>
      <c r="H38" s="133">
        <v>36.99</v>
      </c>
      <c r="I38" s="133">
        <v>8.6300000000000008</v>
      </c>
      <c r="J38" s="133">
        <v>0.56000000000000005</v>
      </c>
      <c r="K38" s="133">
        <v>33.39</v>
      </c>
      <c r="L38" s="133">
        <v>20.65</v>
      </c>
      <c r="M38" s="133">
        <v>72.989999999999995</v>
      </c>
      <c r="N38" s="133">
        <v>75.5</v>
      </c>
      <c r="O38" s="133">
        <v>0</v>
      </c>
      <c r="P38" s="133">
        <v>1.18</v>
      </c>
      <c r="Q38" s="133">
        <v>5.74</v>
      </c>
    </row>
    <row r="39" spans="1:17" customFormat="1">
      <c r="A39" s="111" t="s">
        <v>2380</v>
      </c>
      <c r="B39" s="133">
        <v>32.24</v>
      </c>
      <c r="C39" s="133">
        <v>24.64</v>
      </c>
      <c r="D39" s="133">
        <v>40.08</v>
      </c>
      <c r="E39" s="133">
        <v>4.78</v>
      </c>
      <c r="F39" s="133">
        <v>2.75</v>
      </c>
      <c r="G39" s="133">
        <v>107.19</v>
      </c>
      <c r="H39" s="133">
        <v>36.78</v>
      </c>
      <c r="I39" s="133">
        <v>8.6199999999999992</v>
      </c>
      <c r="J39" s="133">
        <v>0.83</v>
      </c>
      <c r="K39" s="133">
        <v>24.77</v>
      </c>
      <c r="L39" s="133">
        <v>21.19</v>
      </c>
      <c r="M39" s="133">
        <v>68.89</v>
      </c>
      <c r="N39" s="133">
        <v>214.1</v>
      </c>
      <c r="O39" s="133">
        <v>0</v>
      </c>
      <c r="P39" s="133">
        <v>1.1399999999999999</v>
      </c>
      <c r="Q39" s="133">
        <v>5.71</v>
      </c>
    </row>
    <row r="40" spans="1:17" customFormat="1">
      <c r="A40" s="111" t="s">
        <v>2381</v>
      </c>
      <c r="B40" s="133">
        <v>31.47</v>
      </c>
      <c r="C40" s="133">
        <v>25.84</v>
      </c>
      <c r="D40" s="133">
        <v>40.08</v>
      </c>
      <c r="E40" s="133">
        <v>4.33</v>
      </c>
      <c r="F40" s="133">
        <v>2.46</v>
      </c>
      <c r="G40" s="133">
        <v>97.89</v>
      </c>
      <c r="H40" s="133">
        <v>33.54</v>
      </c>
      <c r="I40" s="133">
        <v>8.59</v>
      </c>
      <c r="J40" s="133">
        <v>0.67</v>
      </c>
      <c r="K40" s="133">
        <v>29.55</v>
      </c>
      <c r="L40" s="133">
        <v>21.98</v>
      </c>
      <c r="M40" s="133">
        <v>66.56</v>
      </c>
      <c r="N40" s="133">
        <v>262.10000000000002</v>
      </c>
      <c r="O40" s="133">
        <v>0</v>
      </c>
      <c r="P40" s="133">
        <v>1.1399999999999999</v>
      </c>
      <c r="Q40" s="133">
        <v>5.68</v>
      </c>
    </row>
    <row r="41" spans="1:17" customFormat="1">
      <c r="A41" s="111" t="s">
        <v>2382</v>
      </c>
      <c r="B41" s="133">
        <v>30.94</v>
      </c>
      <c r="C41" s="133">
        <v>24.43</v>
      </c>
      <c r="D41" s="133">
        <v>38.93</v>
      </c>
      <c r="E41" s="133">
        <v>4.88</v>
      </c>
      <c r="F41" s="133">
        <v>2.69</v>
      </c>
      <c r="G41" s="133">
        <v>97.89</v>
      </c>
      <c r="H41" s="133">
        <v>33.54</v>
      </c>
      <c r="I41" s="133">
        <v>8.4</v>
      </c>
      <c r="J41" s="133">
        <v>0.56000000000000005</v>
      </c>
      <c r="K41" s="133">
        <v>30.83</v>
      </c>
      <c r="L41" s="133">
        <v>23.08</v>
      </c>
      <c r="M41" s="133">
        <v>64.5</v>
      </c>
      <c r="N41" s="133">
        <v>311</v>
      </c>
      <c r="O41" s="133">
        <v>0</v>
      </c>
      <c r="P41" s="133">
        <v>1.1100000000000001</v>
      </c>
      <c r="Q41" s="133">
        <v>5.68</v>
      </c>
    </row>
    <row r="42" spans="1:17" customFormat="1">
      <c r="A42" s="111" t="s">
        <v>2383</v>
      </c>
      <c r="B42" s="133">
        <v>30.27</v>
      </c>
      <c r="C42" s="133">
        <v>24.11</v>
      </c>
      <c r="D42" s="133">
        <v>38.22</v>
      </c>
      <c r="E42" s="133">
        <v>4.72</v>
      </c>
      <c r="F42" s="133">
        <v>2.79</v>
      </c>
      <c r="G42" s="133">
        <v>97.89</v>
      </c>
      <c r="H42" s="133">
        <v>33.54</v>
      </c>
      <c r="I42" s="133">
        <v>8.31</v>
      </c>
      <c r="J42" s="133">
        <v>0.62</v>
      </c>
      <c r="K42" s="133">
        <v>22.21</v>
      </c>
      <c r="L42" s="133">
        <v>23.72</v>
      </c>
      <c r="M42" s="133">
        <v>62.96</v>
      </c>
      <c r="N42" s="133">
        <v>356.9</v>
      </c>
      <c r="O42" s="133">
        <v>0</v>
      </c>
      <c r="P42" s="133">
        <v>1.1000000000000001</v>
      </c>
      <c r="Q42" s="133">
        <v>5.6</v>
      </c>
    </row>
    <row r="43" spans="1:17" customFormat="1">
      <c r="A43" s="111" t="s">
        <v>2384</v>
      </c>
      <c r="B43" s="133">
        <v>29.67</v>
      </c>
      <c r="C43" s="133">
        <v>25.5</v>
      </c>
      <c r="D43" s="133">
        <v>38.46</v>
      </c>
      <c r="E43" s="133">
        <v>4.58</v>
      </c>
      <c r="F43" s="133">
        <v>2.69</v>
      </c>
      <c r="G43" s="133">
        <v>97.54</v>
      </c>
      <c r="H43" s="133">
        <v>33.5</v>
      </c>
      <c r="I43" s="133">
        <v>8.17</v>
      </c>
      <c r="J43" s="133">
        <v>0.68</v>
      </c>
      <c r="K43" s="133">
        <v>38.51</v>
      </c>
      <c r="L43" s="133">
        <v>24.41</v>
      </c>
      <c r="M43" s="133">
        <v>61.27</v>
      </c>
      <c r="N43" s="133">
        <v>389.5</v>
      </c>
      <c r="O43" s="133">
        <v>0</v>
      </c>
      <c r="P43" s="133">
        <v>1.1100000000000001</v>
      </c>
      <c r="Q43" s="133">
        <v>5.58</v>
      </c>
    </row>
    <row r="44" spans="1:17" customFormat="1">
      <c r="A44" s="111" t="s">
        <v>2385</v>
      </c>
      <c r="B44" s="133">
        <v>29.47</v>
      </c>
      <c r="C44" s="133">
        <v>24.65</v>
      </c>
      <c r="D44" s="133">
        <v>37.86</v>
      </c>
      <c r="E44" s="133">
        <v>4.62</v>
      </c>
      <c r="F44" s="133">
        <v>2.83</v>
      </c>
      <c r="G44" s="133">
        <v>90.05</v>
      </c>
      <c r="H44" s="133">
        <v>32.08</v>
      </c>
      <c r="I44" s="133">
        <v>8.1199999999999992</v>
      </c>
      <c r="J44" s="133">
        <v>0.56999999999999995</v>
      </c>
      <c r="K44" s="133">
        <v>44.25</v>
      </c>
      <c r="L44" s="133">
        <v>25.12</v>
      </c>
      <c r="M44" s="133">
        <v>59.7</v>
      </c>
      <c r="N44" s="133">
        <v>436.7</v>
      </c>
      <c r="O44" s="133">
        <v>0</v>
      </c>
      <c r="P44" s="133">
        <v>1.0900000000000001</v>
      </c>
      <c r="Q44" s="133">
        <v>5.6</v>
      </c>
    </row>
    <row r="45" spans="1:17" customFormat="1">
      <c r="A45" s="111" t="s">
        <v>2386</v>
      </c>
      <c r="B45" s="133">
        <v>29.27</v>
      </c>
      <c r="C45" s="133">
        <v>23.87</v>
      </c>
      <c r="D45" s="133">
        <v>37.29</v>
      </c>
      <c r="E45" s="133">
        <v>5.14</v>
      </c>
      <c r="F45" s="133">
        <v>2.91</v>
      </c>
      <c r="G45" s="133">
        <v>90.05</v>
      </c>
      <c r="H45" s="133">
        <v>32.08</v>
      </c>
      <c r="I45" s="133">
        <v>8.14</v>
      </c>
      <c r="J45" s="133">
        <v>0.75</v>
      </c>
      <c r="K45" s="133">
        <v>34.9</v>
      </c>
      <c r="L45" s="133">
        <v>25.43</v>
      </c>
      <c r="M45" s="133">
        <v>59.18</v>
      </c>
      <c r="N45" s="133">
        <v>467.3</v>
      </c>
      <c r="O45" s="133">
        <v>0</v>
      </c>
      <c r="P45" s="133">
        <v>1.06</v>
      </c>
      <c r="Q45" s="133">
        <v>5.58</v>
      </c>
    </row>
    <row r="46" spans="1:17" customFormat="1">
      <c r="A46" s="111" t="s">
        <v>2387</v>
      </c>
      <c r="B46" s="133">
        <v>28.68</v>
      </c>
      <c r="C46" s="133">
        <v>23.81</v>
      </c>
      <c r="D46" s="133">
        <v>36.79</v>
      </c>
      <c r="E46" s="133">
        <v>5.46</v>
      </c>
      <c r="F46" s="133">
        <v>3.06</v>
      </c>
      <c r="G46" s="133">
        <v>90.05</v>
      </c>
      <c r="H46" s="133">
        <v>32.08</v>
      </c>
      <c r="I46" s="133">
        <v>8.2200000000000006</v>
      </c>
      <c r="J46" s="133">
        <v>0.67</v>
      </c>
      <c r="K46" s="133">
        <v>27.54</v>
      </c>
      <c r="L46" s="133">
        <v>26.14</v>
      </c>
      <c r="M46" s="133">
        <v>58.04</v>
      </c>
      <c r="N46" s="133">
        <v>349.5</v>
      </c>
      <c r="O46" s="133">
        <v>0</v>
      </c>
      <c r="P46" s="133">
        <v>1.05</v>
      </c>
      <c r="Q46" s="133">
        <v>5.54</v>
      </c>
    </row>
    <row r="47" spans="1:17" customFormat="1">
      <c r="A47" s="111" t="s">
        <v>2388</v>
      </c>
      <c r="B47" s="133">
        <v>27.93</v>
      </c>
      <c r="C47" s="133">
        <v>24.56</v>
      </c>
      <c r="D47" s="133">
        <v>36.58</v>
      </c>
      <c r="E47" s="133">
        <v>4.92</v>
      </c>
      <c r="F47" s="133">
        <v>3.05</v>
      </c>
      <c r="G47" s="133">
        <v>89.8</v>
      </c>
      <c r="H47" s="133">
        <v>32.04</v>
      </c>
      <c r="I47" s="133">
        <v>8.15</v>
      </c>
      <c r="J47" s="133">
        <v>0.64</v>
      </c>
      <c r="K47" s="133">
        <v>35.65</v>
      </c>
      <c r="L47" s="133">
        <v>26.54</v>
      </c>
      <c r="M47" s="133">
        <v>56.79</v>
      </c>
      <c r="N47" s="133">
        <v>355.5</v>
      </c>
      <c r="O47" s="133">
        <v>0</v>
      </c>
      <c r="P47" s="133">
        <v>1.04</v>
      </c>
      <c r="Q47" s="133">
        <v>5.51</v>
      </c>
    </row>
    <row r="48" spans="1:17" customFormat="1">
      <c r="A48" s="111" t="s">
        <v>2389</v>
      </c>
      <c r="B48" s="133">
        <v>26.94</v>
      </c>
      <c r="C48" s="133">
        <v>26.45</v>
      </c>
      <c r="D48" s="133">
        <v>36.770000000000003</v>
      </c>
      <c r="E48" s="133">
        <v>5.35</v>
      </c>
      <c r="F48" s="133">
        <v>3.2</v>
      </c>
      <c r="G48" s="133">
        <v>84.45</v>
      </c>
      <c r="H48" s="133">
        <v>31.52</v>
      </c>
      <c r="I48" s="133">
        <v>8.07</v>
      </c>
      <c r="J48" s="133">
        <v>0.71</v>
      </c>
      <c r="K48" s="133">
        <v>35.08</v>
      </c>
      <c r="L48" s="133">
        <v>26.66</v>
      </c>
      <c r="M48" s="133">
        <v>55.3</v>
      </c>
      <c r="N48" s="133">
        <v>526</v>
      </c>
      <c r="O48" s="133">
        <v>0</v>
      </c>
      <c r="P48" s="133">
        <v>1.05</v>
      </c>
      <c r="Q48" s="133">
        <v>5.5</v>
      </c>
    </row>
    <row r="49" spans="1:17" customFormat="1">
      <c r="A49" s="111" t="s">
        <v>2390</v>
      </c>
      <c r="B49" s="133">
        <v>25.45</v>
      </c>
      <c r="C49" s="133">
        <v>27.55</v>
      </c>
      <c r="D49" s="133">
        <v>36.15</v>
      </c>
      <c r="E49" s="133">
        <v>6.03</v>
      </c>
      <c r="F49" s="133">
        <v>3.48</v>
      </c>
      <c r="G49" s="133">
        <v>84.45</v>
      </c>
      <c r="H49" s="133">
        <v>31.52</v>
      </c>
      <c r="I49" s="133">
        <v>7.99</v>
      </c>
      <c r="J49" s="133">
        <v>0.7</v>
      </c>
      <c r="K49" s="133">
        <v>39.99</v>
      </c>
      <c r="L49" s="133">
        <v>27.28</v>
      </c>
      <c r="M49" s="133">
        <v>54.12</v>
      </c>
      <c r="N49" s="133">
        <v>600.4</v>
      </c>
      <c r="O49" s="133">
        <v>0</v>
      </c>
      <c r="P49" s="133">
        <v>1.03</v>
      </c>
      <c r="Q49" s="133">
        <v>5.47</v>
      </c>
    </row>
    <row r="50" spans="1:17" customFormat="1">
      <c r="A50" s="111" t="s">
        <v>2391</v>
      </c>
      <c r="B50" s="133">
        <v>23.83</v>
      </c>
      <c r="C50" s="133">
        <v>28.21</v>
      </c>
      <c r="D50" s="133">
        <v>35.200000000000003</v>
      </c>
      <c r="E50" s="133">
        <v>7.66</v>
      </c>
      <c r="F50" s="133">
        <v>3.85</v>
      </c>
      <c r="G50" s="133">
        <v>84.45</v>
      </c>
      <c r="H50" s="133">
        <v>31.52</v>
      </c>
      <c r="I50" s="133">
        <v>7.9</v>
      </c>
      <c r="J50" s="133">
        <v>0.4</v>
      </c>
      <c r="K50" s="133">
        <v>0.28999999999999998</v>
      </c>
      <c r="L50" s="133">
        <v>27.87</v>
      </c>
      <c r="M50" s="133">
        <v>51.5</v>
      </c>
      <c r="N50" s="133">
        <v>620.5</v>
      </c>
      <c r="O50" s="133">
        <v>0</v>
      </c>
      <c r="P50" s="133">
        <v>1.02</v>
      </c>
      <c r="Q50" s="133">
        <v>5.4</v>
      </c>
    </row>
    <row r="51" spans="1:17" customFormat="1">
      <c r="A51" s="111" t="s">
        <v>2392</v>
      </c>
      <c r="B51" s="166" t="s">
        <v>14</v>
      </c>
      <c r="C51" s="166" t="s">
        <v>14</v>
      </c>
      <c r="D51" s="166" t="s">
        <v>14</v>
      </c>
      <c r="E51" s="166" t="s">
        <v>14</v>
      </c>
      <c r="F51" s="166" t="s">
        <v>14</v>
      </c>
      <c r="G51" s="166" t="s">
        <v>14</v>
      </c>
      <c r="H51" s="166" t="s">
        <v>14</v>
      </c>
      <c r="I51" s="166" t="s">
        <v>14</v>
      </c>
      <c r="J51" s="166" t="s">
        <v>14</v>
      </c>
      <c r="K51" s="166" t="s">
        <v>14</v>
      </c>
      <c r="L51" s="166" t="s">
        <v>14</v>
      </c>
      <c r="M51" s="166" t="s">
        <v>14</v>
      </c>
      <c r="N51" s="166" t="s">
        <v>14</v>
      </c>
      <c r="O51" s="166" t="s">
        <v>14</v>
      </c>
      <c r="P51" s="166" t="s">
        <v>14</v>
      </c>
      <c r="Q51" s="166" t="s">
        <v>14</v>
      </c>
    </row>
    <row r="52" spans="1:17" customFormat="1">
      <c r="A52" s="111" t="s">
        <v>2393</v>
      </c>
      <c r="B52" s="166" t="s">
        <v>14</v>
      </c>
      <c r="C52" s="166" t="s">
        <v>14</v>
      </c>
      <c r="D52" s="166" t="s">
        <v>14</v>
      </c>
      <c r="E52" s="166" t="s">
        <v>14</v>
      </c>
      <c r="F52" s="166" t="s">
        <v>14</v>
      </c>
      <c r="G52" s="166" t="s">
        <v>14</v>
      </c>
      <c r="H52" s="166" t="s">
        <v>14</v>
      </c>
      <c r="I52" s="166" t="s">
        <v>14</v>
      </c>
      <c r="J52" s="166" t="s">
        <v>14</v>
      </c>
      <c r="K52" s="166" t="s">
        <v>14</v>
      </c>
      <c r="L52" s="166" t="s">
        <v>14</v>
      </c>
      <c r="M52" s="166" t="s">
        <v>14</v>
      </c>
      <c r="N52" s="166" t="s">
        <v>14</v>
      </c>
      <c r="O52" s="166" t="s">
        <v>14</v>
      </c>
      <c r="P52" s="166" t="s">
        <v>14</v>
      </c>
      <c r="Q52" s="166" t="s">
        <v>14</v>
      </c>
    </row>
    <row r="53" spans="1:17" customFormat="1">
      <c r="A53" s="111" t="s">
        <v>2394</v>
      </c>
      <c r="B53" s="133">
        <v>16.239999999999998</v>
      </c>
      <c r="C53" s="133">
        <v>29.14</v>
      </c>
      <c r="D53" s="133">
        <v>29.6</v>
      </c>
      <c r="E53" s="133">
        <v>6.85</v>
      </c>
      <c r="F53" s="133">
        <v>3.84</v>
      </c>
      <c r="G53" s="133">
        <v>74.94</v>
      </c>
      <c r="H53" s="133">
        <v>23.62</v>
      </c>
      <c r="I53" s="133">
        <v>7.12</v>
      </c>
      <c r="J53" s="133">
        <v>0.7</v>
      </c>
      <c r="K53" s="133">
        <v>29.1</v>
      </c>
      <c r="L53" s="133">
        <v>28.94</v>
      </c>
      <c r="M53" s="133">
        <v>49.06</v>
      </c>
      <c r="N53" s="133">
        <v>622</v>
      </c>
      <c r="O53" s="133">
        <v>0</v>
      </c>
      <c r="P53" s="133">
        <v>0.94</v>
      </c>
      <c r="Q53" s="166" t="s">
        <v>14</v>
      </c>
    </row>
    <row r="54" spans="1:17" customFormat="1">
      <c r="A54" s="111" t="s">
        <v>2395</v>
      </c>
      <c r="B54" s="133">
        <v>13.77</v>
      </c>
      <c r="C54" s="133">
        <v>28.38</v>
      </c>
      <c r="D54" s="133">
        <v>27.22</v>
      </c>
      <c r="E54" s="133">
        <v>10.87</v>
      </c>
      <c r="F54" s="133">
        <v>9.31</v>
      </c>
      <c r="G54" s="133">
        <v>74.94</v>
      </c>
      <c r="H54" s="133">
        <v>23.62</v>
      </c>
      <c r="I54" s="133">
        <v>7</v>
      </c>
      <c r="J54" s="133">
        <v>0.55000000000000004</v>
      </c>
      <c r="K54" s="133">
        <v>31.21</v>
      </c>
      <c r="L54" s="133">
        <v>29.18</v>
      </c>
      <c r="M54" s="133">
        <v>46.52</v>
      </c>
      <c r="N54" s="133">
        <v>690.2</v>
      </c>
      <c r="O54" s="133">
        <v>0</v>
      </c>
      <c r="P54" s="133">
        <v>0.89</v>
      </c>
      <c r="Q54" s="133">
        <v>4.97</v>
      </c>
    </row>
    <row r="55" spans="1:17" customFormat="1">
      <c r="A55" s="111" t="s">
        <v>2396</v>
      </c>
      <c r="B55" s="133">
        <v>7.99</v>
      </c>
      <c r="C55" s="133">
        <v>29.39</v>
      </c>
      <c r="D55" s="133">
        <v>23.11</v>
      </c>
      <c r="E55" s="133">
        <v>18.64</v>
      </c>
      <c r="F55" s="133">
        <v>14.84</v>
      </c>
      <c r="G55" s="133">
        <v>74.86</v>
      </c>
      <c r="H55" s="133">
        <v>23.79</v>
      </c>
      <c r="I55" s="133">
        <v>6.88</v>
      </c>
      <c r="J55" s="133">
        <v>0.62</v>
      </c>
      <c r="K55" s="133">
        <v>21.84</v>
      </c>
      <c r="L55" s="133">
        <v>29.62</v>
      </c>
      <c r="M55" s="133">
        <v>45.77</v>
      </c>
      <c r="N55" s="133">
        <v>688.6</v>
      </c>
      <c r="O55" s="133">
        <v>0</v>
      </c>
      <c r="P55" s="133">
        <v>0.79</v>
      </c>
      <c r="Q55" s="133">
        <v>4.75</v>
      </c>
    </row>
    <row r="56" spans="1:17" customFormat="1">
      <c r="A56" s="111" t="s">
        <v>2397</v>
      </c>
      <c r="B56" s="133">
        <v>4.82</v>
      </c>
      <c r="C56" s="133">
        <v>30.61</v>
      </c>
      <c r="D56" s="133">
        <v>21.21</v>
      </c>
      <c r="E56" s="133">
        <v>11.62</v>
      </c>
      <c r="F56" s="133">
        <v>10.3</v>
      </c>
      <c r="G56" s="133">
        <v>73.22</v>
      </c>
      <c r="H56" s="133">
        <v>27.37</v>
      </c>
      <c r="I56" s="133">
        <v>6.21</v>
      </c>
      <c r="J56" s="133">
        <v>0.48</v>
      </c>
      <c r="K56" s="133">
        <v>46.73</v>
      </c>
      <c r="L56" s="133">
        <v>29.93</v>
      </c>
      <c r="M56" s="133">
        <v>39.479999999999997</v>
      </c>
      <c r="N56" s="133">
        <v>701.8</v>
      </c>
      <c r="O56" s="133">
        <v>0</v>
      </c>
      <c r="P56" s="133">
        <v>0.76</v>
      </c>
      <c r="Q56" s="133">
        <v>4.55</v>
      </c>
    </row>
    <row r="57" spans="1:17" customFormat="1">
      <c r="A57" s="111" t="s">
        <v>2398</v>
      </c>
      <c r="B57" s="133">
        <v>3.71</v>
      </c>
      <c r="C57" s="133">
        <v>29.88</v>
      </c>
      <c r="D57" s="133">
        <v>19.93</v>
      </c>
      <c r="E57" s="133">
        <v>8.6999999999999993</v>
      </c>
      <c r="F57" s="133">
        <v>7.86</v>
      </c>
      <c r="G57" s="133">
        <v>73.22</v>
      </c>
      <c r="H57" s="133">
        <v>27.37</v>
      </c>
      <c r="I57" s="133">
        <v>5.24</v>
      </c>
      <c r="J57" s="133">
        <v>0.41</v>
      </c>
      <c r="K57" s="133">
        <v>44.56</v>
      </c>
      <c r="L57" s="133">
        <v>30.23</v>
      </c>
      <c r="M57" s="133">
        <v>37.92</v>
      </c>
      <c r="N57" s="133">
        <v>681.4</v>
      </c>
      <c r="O57" s="133">
        <v>0</v>
      </c>
      <c r="P57" s="133">
        <v>0.73</v>
      </c>
      <c r="Q57" s="133">
        <v>4.47</v>
      </c>
    </row>
    <row r="58" spans="1:17" customFormat="1">
      <c r="A58" s="111" t="s">
        <v>2399</v>
      </c>
      <c r="B58" s="133">
        <v>3.47</v>
      </c>
      <c r="C58" s="133">
        <v>27.34</v>
      </c>
      <c r="D58" s="133">
        <v>18.420000000000002</v>
      </c>
      <c r="E58" s="133">
        <v>7.86</v>
      </c>
      <c r="F58" s="133">
        <v>8.51</v>
      </c>
      <c r="G58" s="133">
        <v>73.22</v>
      </c>
      <c r="H58" s="133">
        <v>27.37</v>
      </c>
      <c r="I58" s="133">
        <v>5.09</v>
      </c>
      <c r="J58" s="133">
        <v>0.55000000000000004</v>
      </c>
      <c r="K58" s="133">
        <v>36.880000000000003</v>
      </c>
      <c r="L58" s="133">
        <v>30.35</v>
      </c>
      <c r="M58" s="133">
        <v>36.57</v>
      </c>
      <c r="N58" s="133">
        <v>669.2</v>
      </c>
      <c r="O58" s="133">
        <v>0</v>
      </c>
      <c r="P58" s="133">
        <v>0.72</v>
      </c>
      <c r="Q58" s="133">
        <v>4.45</v>
      </c>
    </row>
    <row r="59" spans="1:17" customFormat="1">
      <c r="A59" s="111" t="s">
        <v>2400</v>
      </c>
      <c r="B59" s="133">
        <v>3.35</v>
      </c>
      <c r="C59" s="133">
        <v>26.63</v>
      </c>
      <c r="D59" s="133">
        <v>17.95</v>
      </c>
      <c r="E59" s="133">
        <v>13.44</v>
      </c>
      <c r="F59" s="133">
        <v>16.53</v>
      </c>
      <c r="G59" s="133">
        <v>72.84</v>
      </c>
      <c r="H59" s="133">
        <v>27.15</v>
      </c>
      <c r="I59" s="133">
        <v>5.01</v>
      </c>
      <c r="J59" s="133">
        <v>0.62</v>
      </c>
      <c r="K59" s="133">
        <v>31.04</v>
      </c>
      <c r="L59" s="133">
        <v>30.22</v>
      </c>
      <c r="M59" s="133">
        <v>38.200000000000003</v>
      </c>
      <c r="N59" s="133">
        <v>664.8</v>
      </c>
      <c r="O59" s="133">
        <v>0</v>
      </c>
      <c r="P59" s="133">
        <v>0.66</v>
      </c>
      <c r="Q59" s="133">
        <v>4.42</v>
      </c>
    </row>
    <row r="60" spans="1:17" customFormat="1">
      <c r="A60" s="111" t="s">
        <v>2401</v>
      </c>
      <c r="B60" s="133">
        <v>2.85</v>
      </c>
      <c r="C60" s="133">
        <v>27.68</v>
      </c>
      <c r="D60" s="133">
        <v>18.09</v>
      </c>
      <c r="E60" s="133">
        <v>10.06</v>
      </c>
      <c r="F60" s="133">
        <v>10.28</v>
      </c>
      <c r="G60" s="133">
        <v>64.59</v>
      </c>
      <c r="H60" s="133">
        <v>23.67</v>
      </c>
      <c r="I60" s="133">
        <v>4.78</v>
      </c>
      <c r="J60" s="133">
        <v>0.56000000000000005</v>
      </c>
      <c r="K60" s="133">
        <v>6.6</v>
      </c>
      <c r="L60" s="133">
        <v>30.34</v>
      </c>
      <c r="M60" s="133">
        <v>38.590000000000003</v>
      </c>
      <c r="N60" s="133">
        <v>613.5</v>
      </c>
      <c r="O60" s="133">
        <v>0</v>
      </c>
      <c r="P60" s="133">
        <v>0.65</v>
      </c>
      <c r="Q60" s="133">
        <v>4.37</v>
      </c>
    </row>
    <row r="61" spans="1:17" customFormat="1">
      <c r="A61" s="111" t="s">
        <v>2402</v>
      </c>
      <c r="B61" s="133">
        <v>2.89</v>
      </c>
      <c r="C61" s="133">
        <v>27.26</v>
      </c>
      <c r="D61" s="133">
        <v>17.91</v>
      </c>
      <c r="E61" s="133">
        <v>8.23</v>
      </c>
      <c r="F61" s="133">
        <v>7.24</v>
      </c>
      <c r="G61" s="133">
        <v>64.59</v>
      </c>
      <c r="H61" s="133">
        <v>23.67</v>
      </c>
      <c r="I61" s="133">
        <v>4.1500000000000004</v>
      </c>
      <c r="J61" s="133">
        <v>0.56000000000000005</v>
      </c>
      <c r="K61" s="133">
        <v>30.47</v>
      </c>
      <c r="L61" s="133">
        <v>30.56</v>
      </c>
      <c r="M61" s="133">
        <v>39.299999999999997</v>
      </c>
      <c r="N61" s="133">
        <v>603.1</v>
      </c>
      <c r="O61" s="133">
        <v>0</v>
      </c>
      <c r="P61" s="133">
        <v>0.65</v>
      </c>
      <c r="Q61" s="133">
        <v>4.37</v>
      </c>
    </row>
    <row r="62" spans="1:17" customFormat="1">
      <c r="A62" s="111" t="s">
        <v>2403</v>
      </c>
      <c r="B62" s="133">
        <v>3.01</v>
      </c>
      <c r="C62" s="133">
        <v>26.41</v>
      </c>
      <c r="D62" s="133">
        <v>17.559999999999999</v>
      </c>
      <c r="E62" s="133">
        <v>7.71</v>
      </c>
      <c r="F62" s="133">
        <v>5.82</v>
      </c>
      <c r="G62" s="133">
        <v>64.59</v>
      </c>
      <c r="H62" s="133">
        <v>23.67</v>
      </c>
      <c r="I62" s="133">
        <v>4.0999999999999996</v>
      </c>
      <c r="J62" s="133">
        <v>0.54</v>
      </c>
      <c r="K62" s="133">
        <v>41.32</v>
      </c>
      <c r="L62" s="133">
        <v>30.44</v>
      </c>
      <c r="M62" s="133">
        <v>39.85</v>
      </c>
      <c r="N62" s="133">
        <v>591.9</v>
      </c>
      <c r="O62" s="133">
        <v>0</v>
      </c>
      <c r="P62" s="133">
        <v>0.64</v>
      </c>
      <c r="Q62" s="133">
        <v>4.3899999999999997</v>
      </c>
    </row>
    <row r="63" spans="1:17" customFormat="1">
      <c r="A63" s="111" t="s">
        <v>2404</v>
      </c>
      <c r="B63" s="133">
        <v>3.38</v>
      </c>
      <c r="C63" s="133">
        <v>27.58</v>
      </c>
      <c r="D63" s="133">
        <v>18.47</v>
      </c>
      <c r="E63" s="133">
        <v>6.92</v>
      </c>
      <c r="F63" s="133">
        <v>5.0599999999999996</v>
      </c>
      <c r="G63" s="133">
        <v>64.489999999999995</v>
      </c>
      <c r="H63" s="133">
        <v>23.67</v>
      </c>
      <c r="I63" s="133">
        <v>4.0999999999999996</v>
      </c>
      <c r="J63" s="133">
        <v>0.51</v>
      </c>
      <c r="K63" s="133">
        <v>37.659999999999997</v>
      </c>
      <c r="L63" s="133">
        <v>30.65</v>
      </c>
      <c r="M63" s="133">
        <v>41.23</v>
      </c>
      <c r="N63" s="133">
        <v>522.6</v>
      </c>
      <c r="O63" s="133">
        <v>0</v>
      </c>
      <c r="P63" s="133">
        <v>0.64</v>
      </c>
      <c r="Q63" s="133">
        <v>4.4000000000000004</v>
      </c>
    </row>
    <row r="64" spans="1:17" customFormat="1">
      <c r="A64" s="111" t="s">
        <v>2405</v>
      </c>
      <c r="B64" s="133">
        <v>3.59</v>
      </c>
      <c r="C64" s="133">
        <v>27.65</v>
      </c>
      <c r="D64" s="133">
        <v>18.68</v>
      </c>
      <c r="E64" s="133">
        <v>7.39</v>
      </c>
      <c r="F64" s="133">
        <v>6.01</v>
      </c>
      <c r="G64" s="133">
        <v>62.21</v>
      </c>
      <c r="H64" s="133">
        <v>23.68</v>
      </c>
      <c r="I64" s="133">
        <v>4.08</v>
      </c>
      <c r="J64" s="133">
        <v>0.53</v>
      </c>
      <c r="K64" s="133">
        <v>20.399999999999999</v>
      </c>
      <c r="L64" s="133">
        <v>30.42</v>
      </c>
      <c r="M64" s="133">
        <v>40.479999999999997</v>
      </c>
      <c r="N64" s="133">
        <v>509.7</v>
      </c>
      <c r="O64" s="133">
        <v>0</v>
      </c>
      <c r="P64" s="133">
        <v>0.64</v>
      </c>
      <c r="Q64" s="133">
        <v>4.41</v>
      </c>
    </row>
    <row r="65" spans="1:17" customFormat="1">
      <c r="A65" s="111" t="s">
        <v>2406</v>
      </c>
      <c r="B65" s="133">
        <v>3.35</v>
      </c>
      <c r="C65" s="133">
        <v>26.76</v>
      </c>
      <c r="D65" s="133">
        <v>18.02</v>
      </c>
      <c r="E65" s="133">
        <v>7.2</v>
      </c>
      <c r="F65" s="133">
        <v>7.36</v>
      </c>
      <c r="G65" s="133">
        <v>62.21</v>
      </c>
      <c r="H65" s="133">
        <v>23.68</v>
      </c>
      <c r="I65" s="133">
        <v>4.09</v>
      </c>
      <c r="J65" s="133">
        <v>0.56000000000000005</v>
      </c>
      <c r="K65" s="133">
        <v>35.200000000000003</v>
      </c>
      <c r="L65" s="133">
        <v>30.25</v>
      </c>
      <c r="M65" s="133">
        <v>39.6</v>
      </c>
      <c r="N65" s="133">
        <v>455.4</v>
      </c>
      <c r="O65" s="133">
        <v>0</v>
      </c>
      <c r="P65" s="133">
        <v>0.56000000000000005</v>
      </c>
      <c r="Q65" s="133">
        <v>4.4000000000000004</v>
      </c>
    </row>
    <row r="66" spans="1:17" customFormat="1">
      <c r="A66" s="111" t="s">
        <v>2407</v>
      </c>
      <c r="B66" s="133">
        <v>3.27</v>
      </c>
      <c r="C66" s="133">
        <v>27.39</v>
      </c>
      <c r="D66" s="133">
        <v>18.29</v>
      </c>
      <c r="E66" s="133">
        <v>7.41</v>
      </c>
      <c r="F66" s="133">
        <v>5.67</v>
      </c>
      <c r="G66" s="133">
        <v>62.21</v>
      </c>
      <c r="H66" s="133">
        <v>23.68</v>
      </c>
      <c r="I66" s="133">
        <v>4.07</v>
      </c>
      <c r="J66" s="133">
        <v>0.77</v>
      </c>
      <c r="K66" s="133">
        <v>25.47</v>
      </c>
      <c r="L66" s="133">
        <v>29.84</v>
      </c>
      <c r="M66" s="133">
        <v>38.4</v>
      </c>
      <c r="N66" s="133">
        <v>192.5</v>
      </c>
      <c r="O66" s="133">
        <v>0</v>
      </c>
      <c r="P66" s="133">
        <v>0.57999999999999996</v>
      </c>
      <c r="Q66" s="133">
        <v>4.42</v>
      </c>
    </row>
    <row r="67" spans="1:17" customFormat="1">
      <c r="A67" s="111" t="s">
        <v>2408</v>
      </c>
      <c r="B67" s="133">
        <v>3.43</v>
      </c>
      <c r="C67" s="133">
        <v>27.52</v>
      </c>
      <c r="D67" s="133">
        <v>18.48</v>
      </c>
      <c r="E67" s="133">
        <v>6.93</v>
      </c>
      <c r="F67" s="133">
        <v>4.91</v>
      </c>
      <c r="G67" s="133">
        <v>62.03</v>
      </c>
      <c r="H67" s="133">
        <v>23.68</v>
      </c>
      <c r="I67" s="133">
        <v>3.97</v>
      </c>
      <c r="J67" s="133">
        <v>0.37</v>
      </c>
      <c r="K67" s="133">
        <v>17.71</v>
      </c>
      <c r="L67" s="133">
        <v>29.35</v>
      </c>
      <c r="M67" s="133">
        <v>41.09</v>
      </c>
      <c r="N67" s="133">
        <v>93.5</v>
      </c>
      <c r="O67" s="133">
        <v>0</v>
      </c>
      <c r="P67" s="133">
        <v>0.59</v>
      </c>
      <c r="Q67" s="133">
        <v>4.45</v>
      </c>
    </row>
    <row r="68" spans="1:17" customFormat="1">
      <c r="A68" s="111" t="s">
        <v>2409</v>
      </c>
      <c r="B68" s="133">
        <v>3.64</v>
      </c>
      <c r="C68" s="133">
        <v>28.87</v>
      </c>
      <c r="D68" s="133">
        <v>19.350000000000001</v>
      </c>
      <c r="E68" s="133">
        <v>6.91</v>
      </c>
      <c r="F68" s="133">
        <v>4.78</v>
      </c>
      <c r="G68" s="133">
        <v>58.25</v>
      </c>
      <c r="H68" s="133">
        <v>23.54</v>
      </c>
      <c r="I68" s="133">
        <v>3.99</v>
      </c>
      <c r="J68" s="133">
        <v>0.6</v>
      </c>
      <c r="K68" s="133">
        <v>37.58</v>
      </c>
      <c r="L68" s="133">
        <v>29.02</v>
      </c>
      <c r="M68" s="133">
        <v>41.72</v>
      </c>
      <c r="N68" s="133">
        <v>79.099999999999994</v>
      </c>
      <c r="O68" s="133">
        <v>0</v>
      </c>
      <c r="P68" s="133">
        <v>0.57999999999999996</v>
      </c>
      <c r="Q68" s="133">
        <v>4.43</v>
      </c>
    </row>
    <row r="69" spans="1:17" customFormat="1">
      <c r="A69" s="111" t="s">
        <v>2410</v>
      </c>
      <c r="B69" s="133">
        <v>3.97</v>
      </c>
      <c r="C69" s="133">
        <v>27.25</v>
      </c>
      <c r="D69" s="133">
        <v>18.77</v>
      </c>
      <c r="E69" s="133">
        <v>7.49</v>
      </c>
      <c r="F69" s="133">
        <v>7.12</v>
      </c>
      <c r="G69" s="133">
        <v>58.25</v>
      </c>
      <c r="H69" s="133">
        <v>23.54</v>
      </c>
      <c r="I69" s="133">
        <v>3.93</v>
      </c>
      <c r="J69" s="133">
        <v>0.64</v>
      </c>
      <c r="K69" s="133">
        <v>26.46</v>
      </c>
      <c r="L69" s="133">
        <v>28.74</v>
      </c>
      <c r="M69" s="133">
        <v>43.37</v>
      </c>
      <c r="N69" s="133">
        <v>73.2</v>
      </c>
      <c r="O69" s="133">
        <v>0</v>
      </c>
      <c r="P69" s="133">
        <v>0.56000000000000005</v>
      </c>
      <c r="Q69" s="133">
        <v>4.4400000000000004</v>
      </c>
    </row>
    <row r="70" spans="1:17" customFormat="1">
      <c r="A70" s="111" t="s">
        <v>2411</v>
      </c>
      <c r="B70" s="133">
        <v>4.1100000000000003</v>
      </c>
      <c r="C70" s="133">
        <v>25.06</v>
      </c>
      <c r="D70" s="133">
        <v>17.739999999999998</v>
      </c>
      <c r="E70" s="133">
        <v>7.57</v>
      </c>
      <c r="F70" s="133">
        <v>9.2899999999999991</v>
      </c>
      <c r="G70" s="133">
        <v>58.25</v>
      </c>
      <c r="H70" s="133">
        <v>23.54</v>
      </c>
      <c r="I70" s="133">
        <v>3.96</v>
      </c>
      <c r="J70" s="133">
        <v>0.55000000000000004</v>
      </c>
      <c r="K70" s="133">
        <v>32.01</v>
      </c>
      <c r="L70" s="133">
        <v>28.59</v>
      </c>
      <c r="M70" s="133">
        <v>42.9</v>
      </c>
      <c r="N70" s="133">
        <v>69.5</v>
      </c>
      <c r="O70" s="133">
        <v>0</v>
      </c>
      <c r="P70" s="133">
        <v>0.55000000000000004</v>
      </c>
      <c r="Q70" s="133">
        <v>4.45</v>
      </c>
    </row>
    <row r="71" spans="1:17" customFormat="1">
      <c r="A71" s="111" t="s">
        <v>2412</v>
      </c>
      <c r="B71" s="133">
        <v>3.25</v>
      </c>
      <c r="C71" s="133">
        <v>25.04</v>
      </c>
      <c r="D71" s="133">
        <v>17.04</v>
      </c>
      <c r="E71" s="133">
        <v>8.86</v>
      </c>
      <c r="F71" s="133">
        <v>11.94</v>
      </c>
      <c r="G71" s="133">
        <v>58.21</v>
      </c>
      <c r="H71" s="133">
        <v>23.53</v>
      </c>
      <c r="I71" s="133">
        <v>4</v>
      </c>
      <c r="J71" s="133">
        <v>0.7</v>
      </c>
      <c r="K71" s="133">
        <v>30.95</v>
      </c>
      <c r="L71" s="133">
        <v>28.46</v>
      </c>
      <c r="M71" s="133">
        <v>43.48</v>
      </c>
      <c r="N71" s="133">
        <v>67.8</v>
      </c>
      <c r="O71" s="133">
        <v>0</v>
      </c>
      <c r="P71" s="133">
        <v>0.56000000000000005</v>
      </c>
      <c r="Q71" s="133">
        <v>4.3899999999999997</v>
      </c>
    </row>
    <row r="72" spans="1:17" customFormat="1">
      <c r="A72" s="111" t="s">
        <v>2413</v>
      </c>
      <c r="B72" s="133">
        <v>2.9</v>
      </c>
      <c r="C72" s="133">
        <v>24.68</v>
      </c>
      <c r="D72" s="133">
        <v>16.57</v>
      </c>
      <c r="E72" s="133">
        <v>8.8800000000000008</v>
      </c>
      <c r="F72" s="133">
        <v>8.89</v>
      </c>
      <c r="G72" s="133">
        <v>57.36</v>
      </c>
      <c r="H72" s="133">
        <v>23.36</v>
      </c>
      <c r="I72" s="133">
        <v>3.96</v>
      </c>
      <c r="J72" s="133">
        <v>0.64</v>
      </c>
      <c r="K72" s="133">
        <v>26.72</v>
      </c>
      <c r="L72" s="133">
        <v>28.31</v>
      </c>
      <c r="M72" s="133">
        <v>45.83</v>
      </c>
      <c r="N72" s="133">
        <v>58.3</v>
      </c>
      <c r="O72" s="133">
        <v>0</v>
      </c>
      <c r="P72" s="133">
        <v>0.56999999999999995</v>
      </c>
      <c r="Q72" s="133">
        <v>4.38</v>
      </c>
    </row>
    <row r="73" spans="1:17" customFormat="1">
      <c r="A73" s="111" t="s">
        <v>2414</v>
      </c>
      <c r="B73" s="133">
        <v>3.19</v>
      </c>
      <c r="C73" s="133">
        <v>25.27</v>
      </c>
      <c r="D73" s="133">
        <v>17.11</v>
      </c>
      <c r="E73" s="133">
        <v>13.38</v>
      </c>
      <c r="F73" s="133">
        <v>23.26</v>
      </c>
      <c r="G73" s="133">
        <v>57.36</v>
      </c>
      <c r="H73" s="133">
        <v>23.36</v>
      </c>
      <c r="I73" s="133">
        <v>3.93</v>
      </c>
      <c r="J73" s="133">
        <v>0.51</v>
      </c>
      <c r="K73" s="133">
        <v>21.04</v>
      </c>
      <c r="L73" s="133">
        <v>28.06</v>
      </c>
      <c r="M73" s="133">
        <v>47.68</v>
      </c>
      <c r="N73" s="133">
        <v>43.2</v>
      </c>
      <c r="O73" s="133">
        <v>0</v>
      </c>
      <c r="P73" s="133">
        <v>0.56000000000000005</v>
      </c>
      <c r="Q73" s="133">
        <v>4.3499999999999996</v>
      </c>
    </row>
    <row r="74" spans="1:17" customFormat="1">
      <c r="A74" s="111" t="s">
        <v>2415</v>
      </c>
      <c r="B74" s="133">
        <v>2.42</v>
      </c>
      <c r="C74" s="133">
        <v>26.63</v>
      </c>
      <c r="D74" s="133">
        <v>17.21</v>
      </c>
      <c r="E74" s="133">
        <v>11.2</v>
      </c>
      <c r="F74" s="133">
        <v>10.58</v>
      </c>
      <c r="G74" s="133">
        <v>57.36</v>
      </c>
      <c r="H74" s="133">
        <v>23.36</v>
      </c>
      <c r="I74" s="133">
        <v>3.98</v>
      </c>
      <c r="J74" s="133">
        <v>0.56000000000000005</v>
      </c>
      <c r="K74" s="133">
        <v>26.41</v>
      </c>
      <c r="L74" s="133">
        <v>27.74</v>
      </c>
      <c r="M74" s="133">
        <v>49.15</v>
      </c>
      <c r="N74" s="133">
        <v>40.200000000000003</v>
      </c>
      <c r="O74" s="133">
        <v>0</v>
      </c>
      <c r="P74" s="133">
        <v>0.56999999999999995</v>
      </c>
      <c r="Q74" s="133">
        <v>4.3099999999999996</v>
      </c>
    </row>
    <row r="75" spans="1:17" customFormat="1">
      <c r="A75" s="111" t="s">
        <v>2416</v>
      </c>
      <c r="B75" s="133">
        <v>2.23</v>
      </c>
      <c r="C75" s="133">
        <v>27.04</v>
      </c>
      <c r="D75" s="133">
        <v>17.27</v>
      </c>
      <c r="E75" s="133">
        <v>7.84</v>
      </c>
      <c r="F75" s="133">
        <v>7.53</v>
      </c>
      <c r="G75" s="133">
        <v>57.55</v>
      </c>
      <c r="H75" s="133">
        <v>23.35</v>
      </c>
      <c r="I75" s="133">
        <v>3.65</v>
      </c>
      <c r="J75" s="133">
        <v>0.4</v>
      </c>
      <c r="K75" s="133">
        <v>26.78</v>
      </c>
      <c r="L75" s="133">
        <v>27.4</v>
      </c>
      <c r="M75" s="133">
        <v>49.72</v>
      </c>
      <c r="N75" s="133">
        <v>21</v>
      </c>
      <c r="O75" s="133">
        <v>0</v>
      </c>
      <c r="P75" s="133">
        <v>0.56999999999999995</v>
      </c>
      <c r="Q75" s="133">
        <v>4.28</v>
      </c>
    </row>
    <row r="76" spans="1:17" customFormat="1">
      <c r="A76" s="111" t="s">
        <v>2417</v>
      </c>
      <c r="B76" s="133">
        <v>2.5</v>
      </c>
      <c r="C76" s="133">
        <v>26.63</v>
      </c>
      <c r="D76" s="133">
        <v>17.27</v>
      </c>
      <c r="E76" s="133">
        <v>8.5399999999999991</v>
      </c>
      <c r="F76" s="133">
        <v>6.9</v>
      </c>
      <c r="G76" s="133">
        <v>61.68</v>
      </c>
      <c r="H76" s="133">
        <v>23.21</v>
      </c>
      <c r="I76" s="133">
        <v>3.8</v>
      </c>
      <c r="J76" s="133">
        <v>0.38</v>
      </c>
      <c r="K76" s="133">
        <v>31.07</v>
      </c>
      <c r="L76" s="133">
        <v>27.04</v>
      </c>
      <c r="M76" s="133">
        <v>50.15</v>
      </c>
      <c r="N76" s="133">
        <v>11</v>
      </c>
      <c r="O76" s="133">
        <v>0</v>
      </c>
      <c r="P76" s="133">
        <v>0.55000000000000004</v>
      </c>
      <c r="Q76" s="133">
        <v>4.29</v>
      </c>
    </row>
    <row r="77" spans="1:17" customFormat="1">
      <c r="A77" s="111" t="s">
        <v>2418</v>
      </c>
      <c r="B77" s="133">
        <v>3.05</v>
      </c>
      <c r="C77" s="133">
        <v>26.66</v>
      </c>
      <c r="D77" s="133">
        <v>17.72</v>
      </c>
      <c r="E77" s="133">
        <v>6.37</v>
      </c>
      <c r="F77" s="133">
        <v>4.71</v>
      </c>
      <c r="G77" s="133">
        <v>61.68</v>
      </c>
      <c r="H77" s="133">
        <v>23.21</v>
      </c>
      <c r="I77" s="133">
        <v>3.94</v>
      </c>
      <c r="J77" s="133">
        <v>0.23</v>
      </c>
      <c r="K77" s="133">
        <v>39.950000000000003</v>
      </c>
      <c r="L77" s="133">
        <v>26.7</v>
      </c>
      <c r="M77" s="133">
        <v>51.89</v>
      </c>
      <c r="N77" s="133">
        <v>2.2999999999999998</v>
      </c>
      <c r="O77" s="133">
        <v>0</v>
      </c>
      <c r="P77" s="133">
        <v>0.56000000000000005</v>
      </c>
      <c r="Q77" s="133">
        <v>4.3</v>
      </c>
    </row>
    <row r="78" spans="1:17" customFormat="1">
      <c r="A78" s="111" t="s">
        <v>2419</v>
      </c>
      <c r="B78" s="133">
        <v>3.65</v>
      </c>
      <c r="C78" s="133">
        <v>26.03</v>
      </c>
      <c r="D78" s="133">
        <v>17.87</v>
      </c>
      <c r="E78" s="133">
        <v>5.74</v>
      </c>
      <c r="F78" s="133">
        <v>3.74</v>
      </c>
      <c r="G78" s="133">
        <v>61.68</v>
      </c>
      <c r="H78" s="133">
        <v>23.21</v>
      </c>
      <c r="I78" s="133">
        <v>3.98</v>
      </c>
      <c r="J78" s="133">
        <v>0.15</v>
      </c>
      <c r="K78" s="133">
        <v>70.180000000000007</v>
      </c>
      <c r="L78" s="133">
        <v>26.27</v>
      </c>
      <c r="M78" s="133">
        <v>54.41</v>
      </c>
      <c r="N78" s="133">
        <v>0</v>
      </c>
      <c r="O78" s="133">
        <v>0</v>
      </c>
      <c r="P78" s="133">
        <v>0.56000000000000005</v>
      </c>
      <c r="Q78" s="133">
        <v>4.32</v>
      </c>
    </row>
    <row r="79" spans="1:17" customFormat="1">
      <c r="A79" s="111" t="s">
        <v>2420</v>
      </c>
      <c r="B79" s="133">
        <v>4.2300000000000004</v>
      </c>
      <c r="C79" s="133">
        <v>25.22</v>
      </c>
      <c r="D79" s="133">
        <v>17.920000000000002</v>
      </c>
      <c r="E79" s="133">
        <v>5.0999999999999996</v>
      </c>
      <c r="F79" s="133">
        <v>3.11</v>
      </c>
      <c r="G79" s="133">
        <v>62.25</v>
      </c>
      <c r="H79" s="133">
        <v>23.33</v>
      </c>
      <c r="I79" s="133">
        <v>4.07</v>
      </c>
      <c r="J79" s="133">
        <v>0.11</v>
      </c>
      <c r="K79" s="133">
        <v>114.41</v>
      </c>
      <c r="L79" s="133">
        <v>25.61</v>
      </c>
      <c r="M79" s="133">
        <v>58.81</v>
      </c>
      <c r="N79" s="133">
        <v>0</v>
      </c>
      <c r="O79" s="133">
        <v>0</v>
      </c>
      <c r="P79" s="133">
        <v>0.56000000000000005</v>
      </c>
      <c r="Q79" s="133">
        <v>4.3600000000000003</v>
      </c>
    </row>
    <row r="80" spans="1:17" customFormat="1">
      <c r="A80" s="111" t="s">
        <v>2421</v>
      </c>
      <c r="B80" s="133">
        <v>4.63</v>
      </c>
      <c r="C80" s="133">
        <v>27.61</v>
      </c>
      <c r="D80" s="133">
        <v>19.489999999999998</v>
      </c>
      <c r="E80" s="133">
        <v>4.7</v>
      </c>
      <c r="F80" s="133">
        <v>2.52</v>
      </c>
      <c r="G80" s="133">
        <v>74.36</v>
      </c>
      <c r="H80" s="133">
        <v>25.29</v>
      </c>
      <c r="I80" s="133">
        <v>4.18</v>
      </c>
      <c r="J80" s="133">
        <v>0.17</v>
      </c>
      <c r="K80" s="133">
        <v>178.46</v>
      </c>
      <c r="L80" s="133">
        <v>24.86</v>
      </c>
      <c r="M80" s="133">
        <v>59.58</v>
      </c>
      <c r="N80" s="133">
        <v>0</v>
      </c>
      <c r="O80" s="133">
        <v>0</v>
      </c>
      <c r="P80" s="133">
        <v>0.57999999999999996</v>
      </c>
      <c r="Q80" s="133">
        <v>4.3899999999999997</v>
      </c>
    </row>
    <row r="81" spans="1:17" customFormat="1">
      <c r="A81" s="111" t="s">
        <v>2422</v>
      </c>
      <c r="B81" s="133">
        <v>5.21</v>
      </c>
      <c r="C81" s="133">
        <v>28.25</v>
      </c>
      <c r="D81" s="133">
        <v>20.29</v>
      </c>
      <c r="E81" s="133">
        <v>6.19</v>
      </c>
      <c r="F81" s="133">
        <v>2.63</v>
      </c>
      <c r="G81" s="133">
        <v>74.36</v>
      </c>
      <c r="H81" s="133">
        <v>25.29</v>
      </c>
      <c r="I81" s="133">
        <v>4.26</v>
      </c>
      <c r="J81" s="133">
        <v>0.19</v>
      </c>
      <c r="K81" s="133">
        <v>177.69</v>
      </c>
      <c r="L81" s="133">
        <v>24.34</v>
      </c>
      <c r="M81" s="133">
        <v>65.77</v>
      </c>
      <c r="N81" s="133">
        <v>0</v>
      </c>
      <c r="O81" s="133">
        <v>0</v>
      </c>
      <c r="P81" s="133">
        <v>0.6</v>
      </c>
      <c r="Q81" s="133">
        <v>4.43</v>
      </c>
    </row>
    <row r="82" spans="1:17" customFormat="1">
      <c r="A82" s="111" t="s">
        <v>2423</v>
      </c>
      <c r="B82" s="133">
        <v>5.73</v>
      </c>
      <c r="C82" s="133">
        <v>25.52</v>
      </c>
      <c r="D82" s="133">
        <v>19.28</v>
      </c>
      <c r="E82" s="133">
        <v>6.6</v>
      </c>
      <c r="F82" s="133">
        <v>3.01</v>
      </c>
      <c r="G82" s="133">
        <v>74.36</v>
      </c>
      <c r="H82" s="133">
        <v>25.29</v>
      </c>
      <c r="I82" s="133">
        <v>4.3499999999999996</v>
      </c>
      <c r="J82" s="133">
        <v>0.2</v>
      </c>
      <c r="K82" s="133">
        <v>167.7</v>
      </c>
      <c r="L82" s="133">
        <v>23.76</v>
      </c>
      <c r="M82" s="133">
        <v>72.91</v>
      </c>
      <c r="N82" s="133">
        <v>0</v>
      </c>
      <c r="O82" s="133">
        <v>0</v>
      </c>
      <c r="P82" s="133">
        <v>0.59</v>
      </c>
      <c r="Q82" s="133">
        <v>4.43</v>
      </c>
    </row>
    <row r="83" spans="1:17" customFormat="1">
      <c r="A83" s="111" t="s">
        <v>2424</v>
      </c>
      <c r="B83" s="133">
        <v>6.03</v>
      </c>
      <c r="C83" s="133">
        <v>26.08</v>
      </c>
      <c r="D83" s="133">
        <v>19.82</v>
      </c>
      <c r="E83" s="133">
        <v>6.64</v>
      </c>
      <c r="F83" s="133">
        <v>2.77</v>
      </c>
      <c r="G83" s="133">
        <v>74.55</v>
      </c>
      <c r="H83" s="133">
        <v>25.33</v>
      </c>
      <c r="I83" s="133">
        <v>4.45</v>
      </c>
      <c r="J83" s="133">
        <v>0.27</v>
      </c>
      <c r="K83" s="133">
        <v>172.3</v>
      </c>
      <c r="L83" s="133">
        <v>23.46</v>
      </c>
      <c r="M83" s="133">
        <v>71.37</v>
      </c>
      <c r="N83" s="133">
        <v>0</v>
      </c>
      <c r="O83" s="133">
        <v>0</v>
      </c>
      <c r="P83" s="133">
        <v>0.61</v>
      </c>
      <c r="Q83" s="133">
        <v>4.45</v>
      </c>
    </row>
    <row r="84" spans="1:17" customFormat="1">
      <c r="A84" s="111" t="s">
        <v>2425</v>
      </c>
      <c r="B84" s="133">
        <v>6.41</v>
      </c>
      <c r="C84" s="133">
        <v>25.83</v>
      </c>
      <c r="D84" s="133">
        <v>19.989999999999998</v>
      </c>
      <c r="E84" s="133">
        <v>6.83</v>
      </c>
      <c r="F84" s="133">
        <v>2.8</v>
      </c>
      <c r="G84" s="133">
        <v>78.48</v>
      </c>
      <c r="H84" s="133">
        <v>26</v>
      </c>
      <c r="I84" s="133">
        <v>4.59</v>
      </c>
      <c r="J84" s="133">
        <v>0.14000000000000001</v>
      </c>
      <c r="K84" s="133">
        <v>181.6</v>
      </c>
      <c r="L84" s="133">
        <v>23.14</v>
      </c>
      <c r="M84" s="133">
        <v>70.78</v>
      </c>
      <c r="N84" s="133">
        <v>0</v>
      </c>
      <c r="O84" s="133">
        <v>0</v>
      </c>
      <c r="P84" s="133">
        <v>0.63</v>
      </c>
      <c r="Q84" s="133">
        <v>4.4800000000000004</v>
      </c>
    </row>
    <row r="85" spans="1:17" customFormat="1">
      <c r="A85" s="111" t="s">
        <v>2426</v>
      </c>
      <c r="B85" s="133">
        <v>6.74</v>
      </c>
      <c r="C85" s="133">
        <v>24.1</v>
      </c>
      <c r="D85" s="133">
        <v>19.350000000000001</v>
      </c>
      <c r="E85" s="133">
        <v>6.63</v>
      </c>
      <c r="F85" s="133">
        <v>3</v>
      </c>
      <c r="G85" s="133">
        <v>78.48</v>
      </c>
      <c r="H85" s="133">
        <v>26</v>
      </c>
      <c r="I85" s="133">
        <v>4.8099999999999996</v>
      </c>
      <c r="J85" s="133">
        <v>0.15</v>
      </c>
      <c r="K85" s="133">
        <v>166.31</v>
      </c>
      <c r="L85" s="133">
        <v>22.97</v>
      </c>
      <c r="M85" s="133">
        <v>70.59</v>
      </c>
      <c r="N85" s="133">
        <v>0</v>
      </c>
      <c r="O85" s="133">
        <v>0</v>
      </c>
      <c r="P85" s="133">
        <v>0.62</v>
      </c>
      <c r="Q85" s="133">
        <v>4.47</v>
      </c>
    </row>
    <row r="86" spans="1:17" customFormat="1">
      <c r="A86" s="111" t="s">
        <v>2427</v>
      </c>
      <c r="B86" s="133">
        <v>6.91</v>
      </c>
      <c r="C86" s="133">
        <v>25.28</v>
      </c>
      <c r="D86" s="133">
        <v>20.100000000000001</v>
      </c>
      <c r="E86" s="133">
        <v>6.87</v>
      </c>
      <c r="F86" s="133">
        <v>2.64</v>
      </c>
      <c r="G86" s="133">
        <v>78.48</v>
      </c>
      <c r="H86" s="133">
        <v>26</v>
      </c>
      <c r="I86" s="133">
        <v>4.93</v>
      </c>
      <c r="J86" s="133">
        <v>0.18</v>
      </c>
      <c r="K86" s="133">
        <v>181.73</v>
      </c>
      <c r="L86" s="133">
        <v>22.84</v>
      </c>
      <c r="M86" s="133">
        <v>77.010000000000005</v>
      </c>
      <c r="N86" s="133">
        <v>0</v>
      </c>
      <c r="O86" s="133">
        <v>0</v>
      </c>
      <c r="P86" s="133">
        <v>0.64</v>
      </c>
      <c r="Q86" s="133">
        <v>4.47</v>
      </c>
    </row>
    <row r="87" spans="1:17" customFormat="1">
      <c r="A87" s="111" t="s">
        <v>2428</v>
      </c>
      <c r="B87" s="133">
        <v>7.17</v>
      </c>
      <c r="C87" s="133">
        <v>24.09</v>
      </c>
      <c r="D87" s="133">
        <v>19.68</v>
      </c>
      <c r="E87" s="133">
        <v>7.17</v>
      </c>
      <c r="F87" s="133">
        <v>2.83</v>
      </c>
      <c r="G87" s="133">
        <v>78.38</v>
      </c>
      <c r="H87" s="133">
        <v>25.94</v>
      </c>
      <c r="I87" s="133">
        <v>4.9800000000000004</v>
      </c>
      <c r="J87" s="133">
        <v>0.12</v>
      </c>
      <c r="K87" s="133">
        <v>171.08</v>
      </c>
      <c r="L87" s="133">
        <v>22.77</v>
      </c>
      <c r="M87" s="133">
        <v>77.040000000000006</v>
      </c>
      <c r="N87" s="133">
        <v>0</v>
      </c>
      <c r="O87" s="133">
        <v>0</v>
      </c>
      <c r="P87" s="133">
        <v>0.65</v>
      </c>
      <c r="Q87" s="133">
        <v>4.51</v>
      </c>
    </row>
    <row r="88" spans="1:17" customFormat="1">
      <c r="A88" s="111" t="s">
        <v>2429</v>
      </c>
      <c r="B88" s="133">
        <v>7.55</v>
      </c>
      <c r="C88" s="133">
        <v>24.44</v>
      </c>
      <c r="D88" s="133">
        <v>20.18</v>
      </c>
      <c r="E88" s="133">
        <v>7.41</v>
      </c>
      <c r="F88" s="133">
        <v>2.78</v>
      </c>
      <c r="G88" s="133">
        <v>76.239999999999995</v>
      </c>
      <c r="H88" s="133">
        <v>24.89</v>
      </c>
      <c r="I88" s="133">
        <v>5.0999999999999996</v>
      </c>
      <c r="J88" s="133">
        <v>0.15</v>
      </c>
      <c r="K88" s="133">
        <v>223.28</v>
      </c>
      <c r="L88" s="133">
        <v>22.76</v>
      </c>
      <c r="M88" s="133">
        <v>75.33</v>
      </c>
      <c r="N88" s="133">
        <v>0</v>
      </c>
      <c r="O88" s="133">
        <v>0</v>
      </c>
      <c r="P88" s="133">
        <v>0.69</v>
      </c>
      <c r="Q88" s="133">
        <v>4.53</v>
      </c>
    </row>
    <row r="89" spans="1:17" customFormat="1">
      <c r="A89" s="111" t="s">
        <v>2430</v>
      </c>
      <c r="B89" s="133">
        <v>8.24</v>
      </c>
      <c r="C89" s="133">
        <v>25.36</v>
      </c>
      <c r="D89" s="133">
        <v>21.21</v>
      </c>
      <c r="E89" s="133">
        <v>7.25</v>
      </c>
      <c r="F89" s="133">
        <v>2.65</v>
      </c>
      <c r="G89" s="133">
        <v>76.239999999999995</v>
      </c>
      <c r="H89" s="133">
        <v>24.89</v>
      </c>
      <c r="I89" s="133">
        <v>5.17</v>
      </c>
      <c r="J89" s="133">
        <v>0.15</v>
      </c>
      <c r="K89" s="133">
        <v>234.5</v>
      </c>
      <c r="L89" s="133">
        <v>22.42</v>
      </c>
      <c r="M89" s="133">
        <v>77.540000000000006</v>
      </c>
      <c r="N89" s="133">
        <v>0</v>
      </c>
      <c r="O89" s="133">
        <v>0</v>
      </c>
      <c r="P89" s="133">
        <v>0.72</v>
      </c>
      <c r="Q89" s="133">
        <v>4.53</v>
      </c>
    </row>
    <row r="90" spans="1:17" customFormat="1">
      <c r="A90" s="111" t="s">
        <v>2431</v>
      </c>
      <c r="B90" s="133">
        <v>11.08</v>
      </c>
      <c r="C90" s="133">
        <v>27.07</v>
      </c>
      <c r="D90" s="133">
        <v>24.38</v>
      </c>
      <c r="E90" s="133">
        <v>7.22</v>
      </c>
      <c r="F90" s="133">
        <v>2.7</v>
      </c>
      <c r="G90" s="133">
        <v>76.239999999999995</v>
      </c>
      <c r="H90" s="133">
        <v>24.89</v>
      </c>
      <c r="I90" s="133">
        <v>5.29</v>
      </c>
      <c r="J90" s="133">
        <v>0.13</v>
      </c>
      <c r="K90" s="133">
        <v>149.12</v>
      </c>
      <c r="L90" s="133">
        <v>22.55</v>
      </c>
      <c r="M90" s="133">
        <v>75.959999999999994</v>
      </c>
      <c r="N90" s="133">
        <v>0</v>
      </c>
      <c r="O90" s="133">
        <v>0</v>
      </c>
      <c r="P90" s="133">
        <v>0.77</v>
      </c>
      <c r="Q90" s="133">
        <v>4.66</v>
      </c>
    </row>
    <row r="91" spans="1:17" customFormat="1">
      <c r="A91" s="111" t="s">
        <v>2432</v>
      </c>
      <c r="B91" s="133">
        <v>14.58</v>
      </c>
      <c r="C91" s="133">
        <v>28.6</v>
      </c>
      <c r="D91" s="133">
        <v>27.98</v>
      </c>
      <c r="E91" s="133">
        <v>7.26</v>
      </c>
      <c r="F91" s="133">
        <v>2.68</v>
      </c>
      <c r="G91" s="133">
        <v>76.92</v>
      </c>
      <c r="H91" s="133">
        <v>25.3</v>
      </c>
      <c r="I91" s="133">
        <v>5.46</v>
      </c>
      <c r="J91" s="133">
        <v>0.19</v>
      </c>
      <c r="K91" s="133">
        <v>167.08</v>
      </c>
      <c r="L91" s="133">
        <v>22.64</v>
      </c>
      <c r="M91" s="133">
        <v>76.59</v>
      </c>
      <c r="N91" s="133">
        <v>0</v>
      </c>
      <c r="O91" s="133">
        <v>0</v>
      </c>
      <c r="P91" s="133">
        <v>0.83</v>
      </c>
      <c r="Q91" s="133">
        <v>4.8499999999999996</v>
      </c>
    </row>
    <row r="92" spans="1:17" customFormat="1">
      <c r="A92" s="111" t="s">
        <v>2433</v>
      </c>
      <c r="B92" s="133">
        <v>16.7</v>
      </c>
      <c r="C92" s="133">
        <v>29.71</v>
      </c>
      <c r="D92" s="133">
        <v>30.27</v>
      </c>
      <c r="E92" s="133">
        <v>7.4</v>
      </c>
      <c r="F92" s="133">
        <v>2.77</v>
      </c>
      <c r="G92" s="133">
        <v>91.62</v>
      </c>
      <c r="H92" s="133">
        <v>31.79</v>
      </c>
      <c r="I92" s="133">
        <v>5.72</v>
      </c>
      <c r="J92" s="133">
        <v>0.14000000000000001</v>
      </c>
      <c r="K92" s="133">
        <v>215.82</v>
      </c>
      <c r="L92" s="133">
        <v>22.47</v>
      </c>
      <c r="M92" s="133">
        <v>77.05</v>
      </c>
      <c r="N92" s="133">
        <v>0</v>
      </c>
      <c r="O92" s="133">
        <v>0</v>
      </c>
      <c r="P92" s="133">
        <v>0.85</v>
      </c>
      <c r="Q92" s="133">
        <v>4.97</v>
      </c>
    </row>
    <row r="93" spans="1:17" customFormat="1">
      <c r="A93" s="111" t="s">
        <v>2434</v>
      </c>
      <c r="B93" s="133">
        <v>18.55</v>
      </c>
      <c r="C93" s="133">
        <v>30.54</v>
      </c>
      <c r="D93" s="133">
        <v>32.18</v>
      </c>
      <c r="E93" s="133">
        <v>7.5</v>
      </c>
      <c r="F93" s="133">
        <v>2.71</v>
      </c>
      <c r="G93" s="133">
        <v>91.62</v>
      </c>
      <c r="H93" s="133">
        <v>31.79</v>
      </c>
      <c r="I93" s="133">
        <v>5.96</v>
      </c>
      <c r="J93" s="133">
        <v>0.12</v>
      </c>
      <c r="K93" s="133">
        <v>174.58</v>
      </c>
      <c r="L93" s="133">
        <v>22.21</v>
      </c>
      <c r="M93" s="133">
        <v>77.73</v>
      </c>
      <c r="N93" s="133">
        <v>0</v>
      </c>
      <c r="O93" s="133">
        <v>0</v>
      </c>
      <c r="P93" s="133">
        <v>0.88</v>
      </c>
      <c r="Q93" s="133">
        <v>5.08</v>
      </c>
    </row>
    <row r="94" spans="1:17" customFormat="1">
      <c r="A94" s="111" t="s">
        <v>2435</v>
      </c>
      <c r="B94" s="133">
        <v>21.39</v>
      </c>
      <c r="C94" s="133">
        <v>31.13</v>
      </c>
      <c r="D94" s="133">
        <v>34.770000000000003</v>
      </c>
      <c r="E94" s="133">
        <v>7.78</v>
      </c>
      <c r="F94" s="133">
        <v>2.68</v>
      </c>
      <c r="G94" s="133">
        <v>91.62</v>
      </c>
      <c r="H94" s="133">
        <v>31.79</v>
      </c>
      <c r="I94" s="133">
        <v>6.16</v>
      </c>
      <c r="J94" s="133">
        <v>0.16</v>
      </c>
      <c r="K94" s="133">
        <v>172.65</v>
      </c>
      <c r="L94" s="133">
        <v>22.24</v>
      </c>
      <c r="M94" s="133">
        <v>78.319999999999993</v>
      </c>
      <c r="N94" s="133">
        <v>0</v>
      </c>
      <c r="O94" s="133">
        <v>0</v>
      </c>
      <c r="P94" s="133">
        <v>0.92</v>
      </c>
      <c r="Q94" s="133">
        <v>5.21</v>
      </c>
    </row>
    <row r="95" spans="1:17" customFormat="1">
      <c r="A95" s="111" t="s">
        <v>2436</v>
      </c>
      <c r="B95" s="133">
        <v>24.03</v>
      </c>
      <c r="C95" s="133">
        <v>31.62</v>
      </c>
      <c r="D95" s="133">
        <v>37.15</v>
      </c>
      <c r="E95" s="133">
        <v>8.35</v>
      </c>
      <c r="F95" s="133">
        <v>2.63</v>
      </c>
      <c r="G95" s="133">
        <v>92.32</v>
      </c>
      <c r="H95" s="133">
        <v>32.119999999999997</v>
      </c>
      <c r="I95" s="133">
        <v>6.36</v>
      </c>
      <c r="J95" s="133">
        <v>0.12</v>
      </c>
      <c r="K95" s="133">
        <v>184.23</v>
      </c>
      <c r="L95" s="133">
        <v>22.32</v>
      </c>
      <c r="M95" s="133">
        <v>75.88</v>
      </c>
      <c r="N95" s="133">
        <v>0</v>
      </c>
      <c r="O95" s="133">
        <v>0</v>
      </c>
      <c r="P95" s="133">
        <v>0.96</v>
      </c>
      <c r="Q95" s="133">
        <v>5.33</v>
      </c>
    </row>
    <row r="96" spans="1:17" customFormat="1">
      <c r="A96" s="111" t="s">
        <v>2437</v>
      </c>
      <c r="B96" s="133">
        <v>26.62</v>
      </c>
      <c r="C96" s="133">
        <v>32.299999999999997</v>
      </c>
      <c r="D96" s="133">
        <v>39.57</v>
      </c>
      <c r="E96" s="133">
        <v>8.23</v>
      </c>
      <c r="F96" s="133">
        <v>2.64</v>
      </c>
      <c r="G96" s="133">
        <v>107.33</v>
      </c>
      <c r="H96" s="133">
        <v>37.270000000000003</v>
      </c>
      <c r="I96" s="133">
        <v>6.59</v>
      </c>
      <c r="J96" s="133">
        <v>0.13</v>
      </c>
      <c r="K96" s="133">
        <v>183.39</v>
      </c>
      <c r="L96" s="133">
        <v>22.27</v>
      </c>
      <c r="M96" s="133">
        <v>77.7</v>
      </c>
      <c r="N96" s="133">
        <v>0</v>
      </c>
      <c r="O96" s="133">
        <v>0</v>
      </c>
      <c r="P96" s="133">
        <v>0.98</v>
      </c>
      <c r="Q96" s="133">
        <v>5.47</v>
      </c>
    </row>
    <row r="97" spans="1:22" customFormat="1">
      <c r="A97" s="111" t="s">
        <v>2438</v>
      </c>
      <c r="B97" s="133">
        <v>27.83</v>
      </c>
      <c r="C97" s="133">
        <v>32.46</v>
      </c>
      <c r="D97" s="133">
        <v>40.630000000000003</v>
      </c>
      <c r="E97" s="133">
        <v>8.2100000000000009</v>
      </c>
      <c r="F97" s="133">
        <v>2.5499999999999998</v>
      </c>
      <c r="G97" s="133">
        <v>107.33</v>
      </c>
      <c r="H97" s="133">
        <v>37.270000000000003</v>
      </c>
      <c r="I97" s="133">
        <v>6.83</v>
      </c>
      <c r="J97" s="133">
        <v>0.12</v>
      </c>
      <c r="K97" s="133">
        <v>189.36</v>
      </c>
      <c r="L97" s="133">
        <v>21.92</v>
      </c>
      <c r="M97" s="133">
        <v>85.2</v>
      </c>
      <c r="N97" s="133">
        <v>0</v>
      </c>
      <c r="O97" s="133">
        <v>0</v>
      </c>
      <c r="P97" s="133">
        <v>1</v>
      </c>
      <c r="Q97" s="133">
        <v>5.55</v>
      </c>
    </row>
    <row r="98" spans="1:22" customFormat="1">
      <c r="A98" s="111" t="s">
        <v>2439</v>
      </c>
      <c r="B98" s="133">
        <v>29.19</v>
      </c>
      <c r="C98" s="133">
        <v>32.590000000000003</v>
      </c>
      <c r="D98" s="133">
        <v>41.79</v>
      </c>
      <c r="E98" s="133">
        <v>7.9</v>
      </c>
      <c r="F98" s="133">
        <v>2.56</v>
      </c>
      <c r="G98" s="133">
        <v>107.33</v>
      </c>
      <c r="H98" s="133">
        <v>37.270000000000003</v>
      </c>
      <c r="I98" s="133">
        <v>7.01</v>
      </c>
      <c r="J98" s="133">
        <v>0.15</v>
      </c>
      <c r="K98" s="133">
        <v>217.67</v>
      </c>
      <c r="L98" s="133">
        <v>21.73</v>
      </c>
      <c r="M98" s="133">
        <v>84.01</v>
      </c>
      <c r="N98" s="133">
        <v>0</v>
      </c>
      <c r="O98" s="133">
        <v>0</v>
      </c>
      <c r="P98" s="133">
        <v>1.04</v>
      </c>
      <c r="Q98" s="133">
        <v>5.64</v>
      </c>
    </row>
    <row r="99" spans="1:22" customFormat="1">
      <c r="A99" s="111" t="s">
        <v>2440</v>
      </c>
      <c r="B99" s="133">
        <v>30.58</v>
      </c>
      <c r="C99" s="133">
        <v>32.68</v>
      </c>
      <c r="D99" s="133">
        <v>42.95</v>
      </c>
      <c r="E99" s="133">
        <v>8.3000000000000007</v>
      </c>
      <c r="F99" s="133">
        <v>2.58</v>
      </c>
      <c r="G99" s="133">
        <v>107.53</v>
      </c>
      <c r="H99" s="133">
        <v>37.26</v>
      </c>
      <c r="I99" s="133">
        <v>7.18</v>
      </c>
      <c r="J99" s="133">
        <v>0.16</v>
      </c>
      <c r="K99" s="133">
        <v>199.77</v>
      </c>
      <c r="L99" s="133">
        <v>21.52</v>
      </c>
      <c r="M99" s="133">
        <v>87.98</v>
      </c>
      <c r="N99" s="133">
        <v>0</v>
      </c>
      <c r="O99" s="133">
        <v>0</v>
      </c>
      <c r="P99" s="133">
        <v>1.06</v>
      </c>
      <c r="Q99" s="133">
        <v>5.7</v>
      </c>
    </row>
    <row r="100" spans="1:22" customFormat="1">
      <c r="A100" s="111" t="s">
        <v>2441</v>
      </c>
      <c r="B100" s="133">
        <v>30.9</v>
      </c>
      <c r="C100" s="133">
        <v>32.380000000000003</v>
      </c>
      <c r="D100" s="133">
        <v>43.05</v>
      </c>
      <c r="E100" s="133">
        <v>8.43</v>
      </c>
      <c r="F100" s="133">
        <v>2.6</v>
      </c>
      <c r="G100" s="133">
        <v>111.81</v>
      </c>
      <c r="H100" s="133">
        <v>37.090000000000003</v>
      </c>
      <c r="I100" s="133">
        <v>7.36</v>
      </c>
      <c r="J100" s="133">
        <v>0.16</v>
      </c>
      <c r="K100" s="133">
        <v>216.58</v>
      </c>
      <c r="L100" s="133">
        <v>21.24</v>
      </c>
      <c r="M100" s="133">
        <v>92.85</v>
      </c>
      <c r="N100" s="133">
        <v>0</v>
      </c>
      <c r="O100" s="133">
        <v>0</v>
      </c>
      <c r="P100" s="133">
        <v>1.07</v>
      </c>
      <c r="Q100" s="133">
        <v>5.72</v>
      </c>
    </row>
    <row r="101" spans="1:22" customFormat="1">
      <c r="A101" s="111" t="s">
        <v>2442</v>
      </c>
      <c r="B101" s="133">
        <v>30.68</v>
      </c>
      <c r="C101" s="133">
        <v>31.86</v>
      </c>
      <c r="D101" s="133">
        <v>42.6</v>
      </c>
      <c r="E101" s="133">
        <v>8.27</v>
      </c>
      <c r="F101" s="133">
        <v>2.46</v>
      </c>
      <c r="G101" s="133">
        <v>111.81</v>
      </c>
      <c r="H101" s="133">
        <v>37.090000000000003</v>
      </c>
      <c r="I101" s="133">
        <v>7.48</v>
      </c>
      <c r="J101" s="133">
        <v>0.17</v>
      </c>
      <c r="K101" s="133">
        <v>241.39</v>
      </c>
      <c r="L101" s="133">
        <v>20.94</v>
      </c>
      <c r="M101" s="133">
        <v>94.06</v>
      </c>
      <c r="N101" s="133">
        <v>0</v>
      </c>
      <c r="O101" s="133">
        <v>0</v>
      </c>
      <c r="P101" s="133">
        <v>1.08</v>
      </c>
      <c r="Q101" s="133">
        <v>5.73</v>
      </c>
    </row>
    <row r="102" spans="1:22" customFormat="1">
      <c r="A102" s="111" t="s">
        <v>2443</v>
      </c>
      <c r="B102" s="133">
        <v>31.49</v>
      </c>
      <c r="C102" s="133">
        <v>31.72</v>
      </c>
      <c r="D102" s="133">
        <v>43.18</v>
      </c>
      <c r="E102" s="133">
        <v>8.75</v>
      </c>
      <c r="F102" s="133">
        <v>2.56</v>
      </c>
      <c r="G102" s="133">
        <v>111.81</v>
      </c>
      <c r="H102" s="133">
        <v>37.090000000000003</v>
      </c>
      <c r="I102" s="133">
        <v>7.55</v>
      </c>
      <c r="J102" s="133">
        <v>0.01</v>
      </c>
      <c r="K102" s="133">
        <v>276.29000000000002</v>
      </c>
      <c r="L102" s="133">
        <v>20.91</v>
      </c>
      <c r="M102" s="133">
        <v>89.96</v>
      </c>
      <c r="N102" s="133">
        <v>0</v>
      </c>
      <c r="O102" s="133">
        <v>0</v>
      </c>
      <c r="P102" s="133">
        <v>1.0900000000000001</v>
      </c>
      <c r="Q102" s="133">
        <v>5.77</v>
      </c>
    </row>
    <row r="103" spans="1:22" customFormat="1">
      <c r="A103" s="111" t="s">
        <v>2444</v>
      </c>
      <c r="B103" s="133">
        <v>35.75</v>
      </c>
      <c r="C103" s="133">
        <v>31.74</v>
      </c>
      <c r="D103" s="133">
        <v>46.61</v>
      </c>
      <c r="E103" s="133">
        <v>8.98</v>
      </c>
      <c r="F103" s="133">
        <v>2.5499999999999998</v>
      </c>
      <c r="G103" s="133">
        <v>111.44</v>
      </c>
      <c r="H103" s="133">
        <v>37.03</v>
      </c>
      <c r="I103" s="133">
        <v>7.61</v>
      </c>
      <c r="J103" s="133">
        <v>0.1</v>
      </c>
      <c r="K103" s="133">
        <v>182.29</v>
      </c>
      <c r="L103" s="133">
        <v>21.25</v>
      </c>
      <c r="M103" s="133">
        <v>88.37</v>
      </c>
      <c r="N103" s="133">
        <v>0</v>
      </c>
      <c r="O103" s="133">
        <v>0</v>
      </c>
      <c r="P103" s="133">
        <v>1.1499999999999999</v>
      </c>
      <c r="Q103" s="133">
        <v>5.88</v>
      </c>
    </row>
    <row r="104" spans="1:22" customFormat="1">
      <c r="A104" s="111" t="s">
        <v>2445</v>
      </c>
      <c r="B104" s="133">
        <v>39.19</v>
      </c>
      <c r="C104" s="133">
        <v>32.33</v>
      </c>
      <c r="D104" s="133">
        <v>49.67</v>
      </c>
      <c r="E104" s="133">
        <v>8.81</v>
      </c>
      <c r="F104" s="133">
        <v>2.46</v>
      </c>
      <c r="G104" s="133">
        <v>105.12</v>
      </c>
      <c r="H104" s="133">
        <v>36.15</v>
      </c>
      <c r="I104" s="133">
        <v>7.74</v>
      </c>
      <c r="J104" s="133">
        <v>0.1</v>
      </c>
      <c r="K104" s="133">
        <v>168.05</v>
      </c>
      <c r="L104" s="133">
        <v>21.31</v>
      </c>
      <c r="M104" s="133">
        <v>83.55</v>
      </c>
      <c r="N104" s="133">
        <v>0</v>
      </c>
      <c r="O104" s="133">
        <v>0</v>
      </c>
      <c r="P104" s="133">
        <v>1.18</v>
      </c>
      <c r="Q104" s="133">
        <v>6.05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2.23</v>
      </c>
      <c r="C106" s="183">
        <f>MIN(C9:C104)</f>
        <v>23.68</v>
      </c>
      <c r="D106" s="183">
        <f t="shared" ref="D106:Q106" si="0">MIN(D9:D104)</f>
        <v>16.57</v>
      </c>
      <c r="E106" s="183">
        <f t="shared" si="0"/>
        <v>4.1399999999999997</v>
      </c>
      <c r="F106" s="183">
        <f t="shared" si="0"/>
        <v>2.39</v>
      </c>
      <c r="G106" s="183">
        <f t="shared" si="0"/>
        <v>57.36</v>
      </c>
      <c r="H106" s="183">
        <f t="shared" si="0"/>
        <v>23.21</v>
      </c>
      <c r="I106" s="183">
        <f t="shared" si="0"/>
        <v>3.65</v>
      </c>
      <c r="J106" s="183">
        <f t="shared" si="0"/>
        <v>0.01</v>
      </c>
      <c r="K106" s="183">
        <f t="shared" si="0"/>
        <v>0.28999999999999998</v>
      </c>
      <c r="L106" s="183">
        <f t="shared" si="0"/>
        <v>18.829999999999998</v>
      </c>
      <c r="M106" s="183">
        <f t="shared" si="0"/>
        <v>36.57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39.19</v>
      </c>
      <c r="C107" s="184">
        <f t="shared" ref="C107:Q107" si="1">MAX(C9:C104)</f>
        <v>32.68</v>
      </c>
      <c r="D107" s="184">
        <f t="shared" si="1"/>
        <v>49.67</v>
      </c>
      <c r="E107" s="184">
        <f t="shared" si="1"/>
        <v>18.64</v>
      </c>
      <c r="F107" s="184">
        <f t="shared" si="1"/>
        <v>23.26</v>
      </c>
      <c r="G107" s="184">
        <f t="shared" si="1"/>
        <v>111.81</v>
      </c>
      <c r="H107" s="184">
        <f t="shared" si="1"/>
        <v>38.729999999999997</v>
      </c>
      <c r="I107" s="184">
        <f t="shared" si="1"/>
        <v>8.6300000000000008</v>
      </c>
      <c r="J107" s="184">
        <f t="shared" si="1"/>
        <v>0.83</v>
      </c>
      <c r="K107" s="184">
        <f t="shared" si="1"/>
        <v>276.29000000000002</v>
      </c>
      <c r="L107" s="184">
        <f t="shared" si="1"/>
        <v>30.65</v>
      </c>
      <c r="M107" s="184">
        <f t="shared" si="1"/>
        <v>94.06</v>
      </c>
      <c r="N107" s="184">
        <f t="shared" si="1"/>
        <v>701.8</v>
      </c>
      <c r="O107" s="184">
        <f t="shared" si="1"/>
        <v>0</v>
      </c>
      <c r="P107" s="184">
        <f t="shared" si="1"/>
        <v>1.19</v>
      </c>
      <c r="Q107" s="184">
        <f t="shared" si="1"/>
        <v>6.05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19.19978723404256</v>
      </c>
      <c r="C108" s="183">
        <f t="shared" ref="C108:Q108" si="2">AVERAGE(C9:C104)</f>
        <v>27.130851063829788</v>
      </c>
      <c r="D108" s="183">
        <f t="shared" si="2"/>
        <v>30.922234042553182</v>
      </c>
      <c r="E108" s="183">
        <f t="shared" si="2"/>
        <v>6.8015957446808502</v>
      </c>
      <c r="F108" s="183">
        <f t="shared" si="2"/>
        <v>4.3214893617021248</v>
      </c>
      <c r="G108" s="183">
        <f t="shared" si="2"/>
        <v>85.154680851063816</v>
      </c>
      <c r="H108" s="183">
        <f t="shared" si="2"/>
        <v>28.836914893617017</v>
      </c>
      <c r="I108" s="183">
        <f t="shared" si="2"/>
        <v>6.3903191489361708</v>
      </c>
      <c r="J108" s="183">
        <f t="shared" si="2"/>
        <v>0.328936170212766</v>
      </c>
      <c r="K108" s="183">
        <f t="shared" si="2"/>
        <v>92.17978723404255</v>
      </c>
      <c r="L108" s="183">
        <f t="shared" si="2"/>
        <v>23.902446808510629</v>
      </c>
      <c r="M108" s="183">
        <f t="shared" si="2"/>
        <v>67.588510638297876</v>
      </c>
      <c r="N108" s="183">
        <f t="shared" si="2"/>
        <v>147.218085106383</v>
      </c>
      <c r="O108" s="183">
        <f t="shared" si="2"/>
        <v>0</v>
      </c>
      <c r="P108" s="183">
        <f t="shared" si="2"/>
        <v>0.88595744680851085</v>
      </c>
      <c r="Q108" s="183">
        <f t="shared" si="2"/>
        <v>5.1409677419354853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12.263067200278433</v>
      </c>
      <c r="C109" s="183">
        <f t="shared" ref="C109:Q109" si="3">STDEV(C9:C104)</f>
        <v>2.3840837195619242</v>
      </c>
      <c r="D109" s="183">
        <f t="shared" si="3"/>
        <v>10.034089760460569</v>
      </c>
      <c r="E109" s="183">
        <f t="shared" si="3"/>
        <v>2.3100292337169419</v>
      </c>
      <c r="F109" s="183">
        <f t="shared" si="3"/>
        <v>3.4704048158546494</v>
      </c>
      <c r="G109" s="183">
        <f t="shared" si="3"/>
        <v>17.157951334092164</v>
      </c>
      <c r="H109" s="183">
        <f t="shared" si="3"/>
        <v>5.3350170111076585</v>
      </c>
      <c r="I109" s="183">
        <f t="shared" si="3"/>
        <v>1.6774606077631509</v>
      </c>
      <c r="J109" s="183">
        <f t="shared" si="3"/>
        <v>0.22657557349724425</v>
      </c>
      <c r="K109" s="183">
        <f t="shared" si="3"/>
        <v>76.967032713269049</v>
      </c>
      <c r="L109" s="183">
        <f t="shared" si="3"/>
        <v>3.7799987728764108</v>
      </c>
      <c r="M109" s="183">
        <f t="shared" si="3"/>
        <v>17.599468281157087</v>
      </c>
      <c r="N109" s="183">
        <f t="shared" si="3"/>
        <v>237.17083991043381</v>
      </c>
      <c r="O109" s="183">
        <f t="shared" si="3"/>
        <v>0</v>
      </c>
      <c r="P109" s="183">
        <f t="shared" si="3"/>
        <v>0.22254306892058784</v>
      </c>
      <c r="Q109" s="183">
        <f t="shared" si="3"/>
        <v>0.59644975829107549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4">IF(C110&gt;=87,"&gt;90%",IF(C110&lt;=87,"&lt;90%"))</f>
        <v>&gt;90%</v>
      </c>
      <c r="D111" s="146" t="str">
        <f t="shared" si="4"/>
        <v>&gt;90%</v>
      </c>
      <c r="E111" s="146" t="str">
        <f t="shared" si="4"/>
        <v>&gt;90%</v>
      </c>
      <c r="F111" s="146" t="str">
        <f t="shared" si="4"/>
        <v>&gt;90%</v>
      </c>
      <c r="G111" s="146" t="str">
        <f t="shared" si="4"/>
        <v>&gt;90%</v>
      </c>
      <c r="H111" s="146" t="str">
        <f t="shared" si="4"/>
        <v>&gt;90%</v>
      </c>
      <c r="I111" s="146" t="str">
        <f t="shared" si="4"/>
        <v>&gt;90%</v>
      </c>
      <c r="J111" s="146" t="str">
        <f t="shared" si="4"/>
        <v>&gt;90%</v>
      </c>
      <c r="K111" s="146" t="str">
        <f t="shared" si="4"/>
        <v>&gt;90%</v>
      </c>
      <c r="L111" s="146" t="str">
        <f t="shared" si="4"/>
        <v>&gt;90%</v>
      </c>
      <c r="M111" s="146" t="str">
        <f t="shared" si="4"/>
        <v>&gt;90%</v>
      </c>
      <c r="N111" s="146" t="str">
        <f t="shared" si="4"/>
        <v>&gt;90%</v>
      </c>
      <c r="O111" s="146" t="str">
        <f t="shared" si="4"/>
        <v>&gt;90%</v>
      </c>
      <c r="P111" s="146" t="str">
        <f t="shared" si="4"/>
        <v>&gt;90%</v>
      </c>
      <c r="Q111" s="146" t="str">
        <f t="shared" si="4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5">IF(C110&gt;=87,"OK",IF(C110&lt;=87,"LESS"))</f>
        <v>OK</v>
      </c>
      <c r="D112" s="146" t="str">
        <f t="shared" si="5"/>
        <v>OK</v>
      </c>
      <c r="E112" s="146" t="str">
        <f t="shared" si="5"/>
        <v>OK</v>
      </c>
      <c r="F112" s="146" t="str">
        <f t="shared" si="5"/>
        <v>OK</v>
      </c>
      <c r="G112" s="146" t="str">
        <f t="shared" si="5"/>
        <v>OK</v>
      </c>
      <c r="H112" s="146" t="str">
        <f t="shared" si="5"/>
        <v>OK</v>
      </c>
      <c r="I112" s="146" t="str">
        <f t="shared" si="5"/>
        <v>OK</v>
      </c>
      <c r="J112" s="146" t="str">
        <f t="shared" si="5"/>
        <v>OK</v>
      </c>
      <c r="K112" s="146" t="str">
        <f t="shared" si="5"/>
        <v>OK</v>
      </c>
      <c r="L112" s="146" t="str">
        <f t="shared" si="5"/>
        <v>OK</v>
      </c>
      <c r="M112" s="146" t="str">
        <f t="shared" si="5"/>
        <v>OK</v>
      </c>
      <c r="N112" s="146" t="str">
        <f t="shared" si="5"/>
        <v>OK</v>
      </c>
      <c r="O112" s="146" t="str">
        <f t="shared" si="5"/>
        <v>OK</v>
      </c>
      <c r="P112" s="146" t="str">
        <f t="shared" si="5"/>
        <v>OK</v>
      </c>
      <c r="Q112" s="146" t="str">
        <f t="shared" si="5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24/10/2023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2446</v>
      </c>
      <c r="B9" s="133">
        <v>41.19</v>
      </c>
      <c r="C9" s="133">
        <v>32.25</v>
      </c>
      <c r="D9" s="133">
        <v>51.23</v>
      </c>
      <c r="E9" s="133">
        <v>9.1</v>
      </c>
      <c r="F9" s="133">
        <v>2.4500000000000002</v>
      </c>
      <c r="G9" s="133">
        <v>105.12</v>
      </c>
      <c r="H9" s="133">
        <v>36.15</v>
      </c>
      <c r="I9" s="133">
        <v>8.0299999999999994</v>
      </c>
      <c r="J9" s="133">
        <v>0.03</v>
      </c>
      <c r="K9" s="133">
        <v>50.44</v>
      </c>
      <c r="L9" s="133">
        <v>21.26</v>
      </c>
      <c r="M9" s="133">
        <v>81.510000000000005</v>
      </c>
      <c r="N9" s="133">
        <v>0</v>
      </c>
      <c r="O9" s="133">
        <v>0</v>
      </c>
      <c r="P9" s="133">
        <v>1.19</v>
      </c>
      <c r="Q9" s="133">
        <v>6.2</v>
      </c>
    </row>
    <row r="10" spans="1:21" customFormat="1">
      <c r="A10" s="111" t="s">
        <v>2447</v>
      </c>
      <c r="B10" s="133">
        <v>41.8</v>
      </c>
      <c r="C10" s="133">
        <v>32.74</v>
      </c>
      <c r="D10" s="133">
        <v>51.98</v>
      </c>
      <c r="E10" s="133">
        <v>9.4</v>
      </c>
      <c r="F10" s="133">
        <v>2.5099999999999998</v>
      </c>
      <c r="G10" s="133">
        <v>105.12</v>
      </c>
      <c r="H10" s="133">
        <v>36.15</v>
      </c>
      <c r="I10" s="133">
        <v>8.2799999999999994</v>
      </c>
      <c r="J10" s="133">
        <v>0.19</v>
      </c>
      <c r="K10" s="133">
        <v>50.04</v>
      </c>
      <c r="L10" s="133">
        <v>21.35</v>
      </c>
      <c r="M10" s="133">
        <v>80.930000000000007</v>
      </c>
      <c r="N10" s="133">
        <v>0</v>
      </c>
      <c r="O10" s="133">
        <v>0</v>
      </c>
      <c r="P10" s="133">
        <v>1.21</v>
      </c>
      <c r="Q10" s="133">
        <v>6.27</v>
      </c>
    </row>
    <row r="11" spans="1:21" customFormat="1">
      <c r="A11" s="111" t="s">
        <v>2448</v>
      </c>
      <c r="B11" s="133">
        <v>41.67</v>
      </c>
      <c r="C11" s="133">
        <v>32.700000000000003</v>
      </c>
      <c r="D11" s="133">
        <v>51.85</v>
      </c>
      <c r="E11" s="133">
        <v>9.31</v>
      </c>
      <c r="F11" s="133">
        <v>2.4700000000000002</v>
      </c>
      <c r="G11" s="133">
        <v>105.36</v>
      </c>
      <c r="H11" s="133">
        <v>36.11</v>
      </c>
      <c r="I11" s="133">
        <v>8.48</v>
      </c>
      <c r="J11" s="133">
        <v>0.26</v>
      </c>
      <c r="K11" s="133">
        <v>35.06</v>
      </c>
      <c r="L11" s="133">
        <v>21.41</v>
      </c>
      <c r="M11" s="133">
        <v>76.64</v>
      </c>
      <c r="N11" s="133">
        <v>0</v>
      </c>
      <c r="O11" s="133">
        <v>0</v>
      </c>
      <c r="P11" s="133">
        <v>1.22</v>
      </c>
      <c r="Q11" s="133">
        <v>6.27</v>
      </c>
    </row>
    <row r="12" spans="1:21" customFormat="1">
      <c r="A12" s="111" t="s">
        <v>2449</v>
      </c>
      <c r="B12" s="133">
        <v>40.81</v>
      </c>
      <c r="C12" s="133">
        <v>32.92</v>
      </c>
      <c r="D12" s="133">
        <v>51.28</v>
      </c>
      <c r="E12" s="133">
        <v>8.86</v>
      </c>
      <c r="F12" s="133">
        <v>2.4900000000000002</v>
      </c>
      <c r="G12" s="133">
        <v>110.62</v>
      </c>
      <c r="H12" s="133">
        <v>35.42</v>
      </c>
      <c r="I12" s="133">
        <v>8.66</v>
      </c>
      <c r="J12" s="133">
        <v>0.16</v>
      </c>
      <c r="K12" s="133">
        <v>44.7</v>
      </c>
      <c r="L12" s="133">
        <v>21.19</v>
      </c>
      <c r="M12" s="133">
        <v>78.489999999999995</v>
      </c>
      <c r="N12" s="133">
        <v>0</v>
      </c>
      <c r="O12" s="133">
        <v>0</v>
      </c>
      <c r="P12" s="133">
        <v>1.21</v>
      </c>
      <c r="Q12" s="133">
        <v>6.21</v>
      </c>
    </row>
    <row r="13" spans="1:21" customFormat="1">
      <c r="A13" s="111" t="s">
        <v>2450</v>
      </c>
      <c r="B13" s="133">
        <v>40.42</v>
      </c>
      <c r="C13" s="133">
        <v>30.71</v>
      </c>
      <c r="D13" s="133">
        <v>49.81</v>
      </c>
      <c r="E13" s="133">
        <v>8.27</v>
      </c>
      <c r="F13" s="133">
        <v>2.89</v>
      </c>
      <c r="G13" s="133">
        <v>110.62</v>
      </c>
      <c r="H13" s="133">
        <v>35.42</v>
      </c>
      <c r="I13" s="133">
        <v>8.8699999999999992</v>
      </c>
      <c r="J13" s="133">
        <v>0.15</v>
      </c>
      <c r="K13" s="133">
        <v>55.79</v>
      </c>
      <c r="L13" s="133">
        <v>21</v>
      </c>
      <c r="M13" s="133">
        <v>79.59</v>
      </c>
      <c r="N13" s="133">
        <v>0</v>
      </c>
      <c r="O13" s="133">
        <v>0</v>
      </c>
      <c r="P13" s="133">
        <v>1.17</v>
      </c>
      <c r="Q13" s="133">
        <v>6.2</v>
      </c>
    </row>
    <row r="14" spans="1:21" customFormat="1">
      <c r="A14" s="111" t="s">
        <v>2451</v>
      </c>
      <c r="B14" s="133">
        <v>40.049999999999997</v>
      </c>
      <c r="C14" s="133">
        <v>28.11</v>
      </c>
      <c r="D14" s="133">
        <v>48.16</v>
      </c>
      <c r="E14" s="133">
        <v>7.89</v>
      </c>
      <c r="F14" s="133">
        <v>2.86</v>
      </c>
      <c r="G14" s="133">
        <v>110.62</v>
      </c>
      <c r="H14" s="133">
        <v>35.42</v>
      </c>
      <c r="I14" s="133">
        <v>8.9600000000000009</v>
      </c>
      <c r="J14" s="133">
        <v>0.19</v>
      </c>
      <c r="K14" s="133">
        <v>46.88</v>
      </c>
      <c r="L14" s="133">
        <v>20.87</v>
      </c>
      <c r="M14" s="133">
        <v>79.56</v>
      </c>
      <c r="N14" s="133">
        <v>0</v>
      </c>
      <c r="O14" s="133">
        <v>0</v>
      </c>
      <c r="P14" s="133">
        <v>1.1499999999999999</v>
      </c>
      <c r="Q14" s="133">
        <v>6.17</v>
      </c>
    </row>
    <row r="15" spans="1:21" customFormat="1">
      <c r="A15" s="111" t="s">
        <v>2452</v>
      </c>
      <c r="B15" s="133">
        <v>39.86</v>
      </c>
      <c r="C15" s="133">
        <v>26.92</v>
      </c>
      <c r="D15" s="133">
        <v>47.38</v>
      </c>
      <c r="E15" s="133">
        <v>7.71</v>
      </c>
      <c r="F15" s="133">
        <v>2.67</v>
      </c>
      <c r="G15" s="133">
        <v>110.97</v>
      </c>
      <c r="H15" s="133">
        <v>35.729999999999997</v>
      </c>
      <c r="I15" s="133">
        <v>9.0500000000000007</v>
      </c>
      <c r="J15" s="133">
        <v>0.09</v>
      </c>
      <c r="K15" s="133">
        <v>91.1</v>
      </c>
      <c r="L15" s="133">
        <v>20.69</v>
      </c>
      <c r="M15" s="133">
        <v>80.599999999999994</v>
      </c>
      <c r="N15" s="133">
        <v>0</v>
      </c>
      <c r="O15" s="133">
        <v>0</v>
      </c>
      <c r="P15" s="133">
        <v>1.1499999999999999</v>
      </c>
      <c r="Q15" s="133">
        <v>6.12</v>
      </c>
    </row>
    <row r="16" spans="1:21" customFormat="1">
      <c r="A16" s="111" t="s">
        <v>2453</v>
      </c>
      <c r="B16" s="133">
        <v>39.31</v>
      </c>
      <c r="C16" s="133">
        <v>26.83</v>
      </c>
      <c r="D16" s="133">
        <v>46.89</v>
      </c>
      <c r="E16" s="133">
        <v>7.92</v>
      </c>
      <c r="F16" s="133">
        <v>2.54</v>
      </c>
      <c r="G16" s="133">
        <v>118.65</v>
      </c>
      <c r="H16" s="133">
        <v>42.16</v>
      </c>
      <c r="I16" s="133">
        <v>9.17</v>
      </c>
      <c r="J16" s="133">
        <v>0.11</v>
      </c>
      <c r="K16" s="133">
        <v>151.93</v>
      </c>
      <c r="L16" s="133">
        <v>20.28</v>
      </c>
      <c r="M16" s="133">
        <v>83.38</v>
      </c>
      <c r="N16" s="133">
        <v>0</v>
      </c>
      <c r="O16" s="133">
        <v>0</v>
      </c>
      <c r="P16" s="133">
        <v>1.1399999999999999</v>
      </c>
      <c r="Q16" s="133">
        <v>6.1</v>
      </c>
    </row>
    <row r="17" spans="1:17" customFormat="1">
      <c r="A17" s="111" t="s">
        <v>2454</v>
      </c>
      <c r="B17" s="133">
        <v>38.19</v>
      </c>
      <c r="C17" s="133">
        <v>29.2</v>
      </c>
      <c r="D17" s="133">
        <v>47.23</v>
      </c>
      <c r="E17" s="133">
        <v>4.8899999999999997</v>
      </c>
      <c r="F17" s="133">
        <v>2.2799999999999998</v>
      </c>
      <c r="G17" s="133">
        <v>118.65</v>
      </c>
      <c r="H17" s="133">
        <v>42.16</v>
      </c>
      <c r="I17" s="133">
        <v>9.1300000000000008</v>
      </c>
      <c r="J17" s="133">
        <v>0.1</v>
      </c>
      <c r="K17" s="133">
        <v>164.04</v>
      </c>
      <c r="L17" s="133">
        <v>20.03</v>
      </c>
      <c r="M17" s="133">
        <v>84.62</v>
      </c>
      <c r="N17" s="133">
        <v>0</v>
      </c>
      <c r="O17" s="133">
        <v>0</v>
      </c>
      <c r="P17" s="133">
        <v>1.17</v>
      </c>
      <c r="Q17" s="133">
        <v>6.03</v>
      </c>
    </row>
    <row r="18" spans="1:17" customFormat="1">
      <c r="A18" s="111" t="s">
        <v>2455</v>
      </c>
      <c r="B18" s="133">
        <v>37.46</v>
      </c>
      <c r="C18" s="133">
        <v>28.16</v>
      </c>
      <c r="D18" s="133">
        <v>46.1</v>
      </c>
      <c r="E18" s="133">
        <v>5.36</v>
      </c>
      <c r="F18" s="133">
        <v>2.48</v>
      </c>
      <c r="G18" s="133">
        <v>118.65</v>
      </c>
      <c r="H18" s="133">
        <v>42.16</v>
      </c>
      <c r="I18" s="133">
        <v>9.16</v>
      </c>
      <c r="J18" s="133">
        <v>0.08</v>
      </c>
      <c r="K18" s="133">
        <v>227.79</v>
      </c>
      <c r="L18" s="133">
        <v>19.78</v>
      </c>
      <c r="M18" s="133">
        <v>86.22</v>
      </c>
      <c r="N18" s="133">
        <v>0</v>
      </c>
      <c r="O18" s="133">
        <v>0</v>
      </c>
      <c r="P18" s="133">
        <v>1.1599999999999999</v>
      </c>
      <c r="Q18" s="133">
        <v>6</v>
      </c>
    </row>
    <row r="19" spans="1:17" customFormat="1">
      <c r="A19" s="111" t="s">
        <v>2456</v>
      </c>
      <c r="B19" s="133">
        <v>37.159999999999997</v>
      </c>
      <c r="C19" s="133">
        <v>28.32</v>
      </c>
      <c r="D19" s="133">
        <v>45.95</v>
      </c>
      <c r="E19" s="133">
        <v>5.2</v>
      </c>
      <c r="F19" s="133">
        <v>2.29</v>
      </c>
      <c r="G19" s="133">
        <v>118.72</v>
      </c>
      <c r="H19" s="133">
        <v>42.17</v>
      </c>
      <c r="I19" s="133">
        <v>9.1999999999999993</v>
      </c>
      <c r="J19" s="133">
        <v>0.1</v>
      </c>
      <c r="K19" s="133">
        <v>240.16</v>
      </c>
      <c r="L19" s="133">
        <v>19.57</v>
      </c>
      <c r="M19" s="133">
        <v>86.91</v>
      </c>
      <c r="N19" s="133">
        <v>0</v>
      </c>
      <c r="O19" s="133">
        <v>0</v>
      </c>
      <c r="P19" s="133">
        <v>1.18</v>
      </c>
      <c r="Q19" s="133">
        <v>5.97</v>
      </c>
    </row>
    <row r="20" spans="1:17" customFormat="1">
      <c r="A20" s="111" t="s">
        <v>2457</v>
      </c>
      <c r="B20" s="133">
        <v>37.270000000000003</v>
      </c>
      <c r="C20" s="133">
        <v>27.59</v>
      </c>
      <c r="D20" s="133">
        <v>45.65</v>
      </c>
      <c r="E20" s="133">
        <v>5.09</v>
      </c>
      <c r="F20" s="133">
        <v>2.63</v>
      </c>
      <c r="G20" s="133">
        <v>120.29</v>
      </c>
      <c r="H20" s="133">
        <v>42.36</v>
      </c>
      <c r="I20" s="133">
        <v>9.16</v>
      </c>
      <c r="J20" s="133">
        <v>7.0000000000000007E-2</v>
      </c>
      <c r="K20" s="133">
        <v>153.97999999999999</v>
      </c>
      <c r="L20" s="133">
        <v>19.55</v>
      </c>
      <c r="M20" s="133">
        <v>86.82</v>
      </c>
      <c r="N20" s="133">
        <v>0</v>
      </c>
      <c r="O20" s="133">
        <v>0</v>
      </c>
      <c r="P20" s="133">
        <v>1.1599999999999999</v>
      </c>
      <c r="Q20" s="133">
        <v>6</v>
      </c>
    </row>
    <row r="21" spans="1:17" customFormat="1">
      <c r="A21" s="111" t="s">
        <v>2458</v>
      </c>
      <c r="B21" s="133">
        <v>36.950000000000003</v>
      </c>
      <c r="C21" s="133">
        <v>27.93</v>
      </c>
      <c r="D21" s="133">
        <v>45.57</v>
      </c>
      <c r="E21" s="133">
        <v>5.5</v>
      </c>
      <c r="F21" s="133">
        <v>2.36</v>
      </c>
      <c r="G21" s="133">
        <v>120.29</v>
      </c>
      <c r="H21" s="133">
        <v>42.36</v>
      </c>
      <c r="I21" s="133">
        <v>9.18</v>
      </c>
      <c r="J21" s="133">
        <v>0.12</v>
      </c>
      <c r="K21" s="133">
        <v>145.34</v>
      </c>
      <c r="L21" s="133">
        <v>19.52</v>
      </c>
      <c r="M21" s="133">
        <v>87.9</v>
      </c>
      <c r="N21" s="133">
        <v>0</v>
      </c>
      <c r="O21" s="133">
        <v>0</v>
      </c>
      <c r="P21" s="133">
        <v>1.1599999999999999</v>
      </c>
      <c r="Q21" s="133">
        <v>5.96</v>
      </c>
    </row>
    <row r="22" spans="1:17" customFormat="1">
      <c r="A22" s="111" t="s">
        <v>2459</v>
      </c>
      <c r="B22" s="133">
        <v>36.700000000000003</v>
      </c>
      <c r="C22" s="133">
        <v>26.82</v>
      </c>
      <c r="D22" s="133">
        <v>44.79</v>
      </c>
      <c r="E22" s="133">
        <v>5.39</v>
      </c>
      <c r="F22" s="133">
        <v>2.42</v>
      </c>
      <c r="G22" s="133">
        <v>120.29</v>
      </c>
      <c r="H22" s="133">
        <v>42.36</v>
      </c>
      <c r="I22" s="133">
        <v>9.14</v>
      </c>
      <c r="J22" s="133">
        <v>0.12</v>
      </c>
      <c r="K22" s="133">
        <v>37.409999999999997</v>
      </c>
      <c r="L22" s="133">
        <v>19.43</v>
      </c>
      <c r="M22" s="133">
        <v>86.74</v>
      </c>
      <c r="N22" s="133">
        <v>0</v>
      </c>
      <c r="O22" s="133">
        <v>0</v>
      </c>
      <c r="P22" s="133">
        <v>1.1299999999999999</v>
      </c>
      <c r="Q22" s="133">
        <v>5.95</v>
      </c>
    </row>
    <row r="23" spans="1:17" customFormat="1">
      <c r="A23" s="111" t="s">
        <v>2460</v>
      </c>
      <c r="B23" s="133">
        <v>36.54</v>
      </c>
      <c r="C23" s="133">
        <v>27.22</v>
      </c>
      <c r="D23" s="133">
        <v>44.88</v>
      </c>
      <c r="E23" s="133">
        <v>5.27</v>
      </c>
      <c r="F23" s="133">
        <v>2.46</v>
      </c>
      <c r="G23" s="133">
        <v>120.11</v>
      </c>
      <c r="H23" s="133">
        <v>42.37</v>
      </c>
      <c r="I23" s="133">
        <v>9.09</v>
      </c>
      <c r="J23" s="133">
        <v>0.12</v>
      </c>
      <c r="K23" s="133">
        <v>76.64</v>
      </c>
      <c r="L23" s="133">
        <v>19.579999999999998</v>
      </c>
      <c r="M23" s="133">
        <v>84.54</v>
      </c>
      <c r="N23" s="133">
        <v>0</v>
      </c>
      <c r="O23" s="133">
        <v>0</v>
      </c>
      <c r="P23" s="133">
        <v>1.1299999999999999</v>
      </c>
      <c r="Q23" s="133">
        <v>5.94</v>
      </c>
    </row>
    <row r="24" spans="1:17" customFormat="1">
      <c r="A24" s="111" t="s">
        <v>2461</v>
      </c>
      <c r="B24" s="133">
        <v>36.44</v>
      </c>
      <c r="C24" s="133">
        <v>26.23</v>
      </c>
      <c r="D24" s="133">
        <v>44.28</v>
      </c>
      <c r="E24" s="133">
        <v>5.21</v>
      </c>
      <c r="F24" s="133">
        <v>2.83</v>
      </c>
      <c r="G24" s="133">
        <v>116.25</v>
      </c>
      <c r="H24" s="133">
        <v>42.51</v>
      </c>
      <c r="I24" s="133">
        <v>8.98</v>
      </c>
      <c r="J24" s="133">
        <v>7.0000000000000007E-2</v>
      </c>
      <c r="K24" s="133">
        <v>75.599999999999994</v>
      </c>
      <c r="L24" s="133">
        <v>19.57</v>
      </c>
      <c r="M24" s="133">
        <v>84.86</v>
      </c>
      <c r="N24" s="133">
        <v>0</v>
      </c>
      <c r="O24" s="133">
        <v>0</v>
      </c>
      <c r="P24" s="133">
        <v>1.1200000000000001</v>
      </c>
      <c r="Q24" s="133">
        <v>5.95</v>
      </c>
    </row>
    <row r="25" spans="1:17" customFormat="1">
      <c r="A25" s="111" t="s">
        <v>2462</v>
      </c>
      <c r="B25" s="133">
        <v>36.229999999999997</v>
      </c>
      <c r="C25" s="133">
        <v>27.37</v>
      </c>
      <c r="D25" s="133">
        <v>44.71</v>
      </c>
      <c r="E25" s="133">
        <v>5.05</v>
      </c>
      <c r="F25" s="133">
        <v>2.4900000000000002</v>
      </c>
      <c r="G25" s="133">
        <v>116.25</v>
      </c>
      <c r="H25" s="133">
        <v>42.51</v>
      </c>
      <c r="I25" s="133">
        <v>8.92</v>
      </c>
      <c r="J25" s="133">
        <v>0.09</v>
      </c>
      <c r="K25" s="133">
        <v>83.15</v>
      </c>
      <c r="L25" s="133">
        <v>19.48</v>
      </c>
      <c r="M25" s="133">
        <v>85.22</v>
      </c>
      <c r="N25" s="133">
        <v>0</v>
      </c>
      <c r="O25" s="133">
        <v>0</v>
      </c>
      <c r="P25" s="133">
        <v>1.1299999999999999</v>
      </c>
      <c r="Q25" s="133">
        <v>5.93</v>
      </c>
    </row>
    <row r="26" spans="1:17" customFormat="1">
      <c r="A26" s="111" t="s">
        <v>2463</v>
      </c>
      <c r="B26" s="133">
        <v>36.369999999999997</v>
      </c>
      <c r="C26" s="133">
        <v>26.06</v>
      </c>
      <c r="D26" s="133">
        <v>44.13</v>
      </c>
      <c r="E26" s="133">
        <v>4.9800000000000004</v>
      </c>
      <c r="F26" s="133">
        <v>2.65</v>
      </c>
      <c r="G26" s="133">
        <v>116.25</v>
      </c>
      <c r="H26" s="133">
        <v>42.51</v>
      </c>
      <c r="I26" s="133">
        <v>8.81</v>
      </c>
      <c r="J26" s="133">
        <v>0.04</v>
      </c>
      <c r="K26" s="133">
        <v>57.9</v>
      </c>
      <c r="L26" s="133">
        <v>19.309999999999999</v>
      </c>
      <c r="M26" s="133">
        <v>86.31</v>
      </c>
      <c r="N26" s="133">
        <v>0</v>
      </c>
      <c r="O26" s="133">
        <v>0</v>
      </c>
      <c r="P26" s="133">
        <v>1.1200000000000001</v>
      </c>
      <c r="Q26" s="133">
        <v>5.96</v>
      </c>
    </row>
    <row r="27" spans="1:17" customFormat="1">
      <c r="A27" s="111" t="s">
        <v>2464</v>
      </c>
      <c r="B27" s="133">
        <v>36.32</v>
      </c>
      <c r="C27" s="133">
        <v>26.76</v>
      </c>
      <c r="D27" s="133">
        <v>44.46</v>
      </c>
      <c r="E27" s="133">
        <v>4.8600000000000003</v>
      </c>
      <c r="F27" s="133">
        <v>2.4500000000000002</v>
      </c>
      <c r="G27" s="133">
        <v>116.17</v>
      </c>
      <c r="H27" s="133">
        <v>42.6</v>
      </c>
      <c r="I27" s="133">
        <v>8.7799999999999994</v>
      </c>
      <c r="J27" s="133">
        <v>0.04</v>
      </c>
      <c r="K27" s="133">
        <v>62.19</v>
      </c>
      <c r="L27" s="133">
        <v>19.05</v>
      </c>
      <c r="M27" s="133">
        <v>87.16</v>
      </c>
      <c r="N27" s="133">
        <v>0</v>
      </c>
      <c r="O27" s="133">
        <v>0</v>
      </c>
      <c r="P27" s="133">
        <v>1.1299999999999999</v>
      </c>
      <c r="Q27" s="133">
        <v>5.94</v>
      </c>
    </row>
    <row r="28" spans="1:17" customFormat="1">
      <c r="A28" s="111" t="s">
        <v>2465</v>
      </c>
      <c r="B28" s="133">
        <v>36.47</v>
      </c>
      <c r="C28" s="133">
        <v>26.55</v>
      </c>
      <c r="D28" s="133">
        <v>44.47</v>
      </c>
      <c r="E28" s="133">
        <v>5.1100000000000003</v>
      </c>
      <c r="F28" s="133">
        <v>2.5299999999999998</v>
      </c>
      <c r="G28" s="133">
        <v>114.5</v>
      </c>
      <c r="H28" s="133">
        <v>44</v>
      </c>
      <c r="I28" s="133">
        <v>8.7100000000000009</v>
      </c>
      <c r="J28" s="133">
        <v>0.08</v>
      </c>
      <c r="K28" s="133">
        <v>53.45</v>
      </c>
      <c r="L28" s="133">
        <v>19.07</v>
      </c>
      <c r="M28" s="133">
        <v>84.21</v>
      </c>
      <c r="N28" s="133">
        <v>0</v>
      </c>
      <c r="O28" s="133">
        <v>0</v>
      </c>
      <c r="P28" s="133">
        <v>1.1200000000000001</v>
      </c>
      <c r="Q28" s="133">
        <v>5.93</v>
      </c>
    </row>
    <row r="29" spans="1:17" customFormat="1">
      <c r="A29" s="111" t="s">
        <v>2466</v>
      </c>
      <c r="B29" s="133">
        <v>36.79</v>
      </c>
      <c r="C29" s="133">
        <v>27.01</v>
      </c>
      <c r="D29" s="133">
        <v>44.96</v>
      </c>
      <c r="E29" s="133">
        <v>5.62</v>
      </c>
      <c r="F29" s="133">
        <v>2.36</v>
      </c>
      <c r="G29" s="133">
        <v>114.5</v>
      </c>
      <c r="H29" s="133">
        <v>44</v>
      </c>
      <c r="I29" s="133">
        <v>8.73</v>
      </c>
      <c r="J29" s="133">
        <v>7.0000000000000007E-2</v>
      </c>
      <c r="K29" s="133">
        <v>60.79</v>
      </c>
      <c r="L29" s="133">
        <v>19.11</v>
      </c>
      <c r="M29" s="133">
        <v>83.01</v>
      </c>
      <c r="N29" s="133">
        <v>0</v>
      </c>
      <c r="O29" s="133">
        <v>0</v>
      </c>
      <c r="P29" s="133">
        <v>1.1200000000000001</v>
      </c>
      <c r="Q29" s="133">
        <v>5.97</v>
      </c>
    </row>
    <row r="30" spans="1:17" customFormat="1">
      <c r="A30" s="111" t="s">
        <v>2467</v>
      </c>
      <c r="B30" s="133">
        <v>37.130000000000003</v>
      </c>
      <c r="C30" s="133">
        <v>25.29</v>
      </c>
      <c r="D30" s="133">
        <v>44.34</v>
      </c>
      <c r="E30" s="133">
        <v>5.44</v>
      </c>
      <c r="F30" s="133">
        <v>2.71</v>
      </c>
      <c r="G30" s="133">
        <v>114.5</v>
      </c>
      <c r="H30" s="133">
        <v>44</v>
      </c>
      <c r="I30" s="133">
        <v>8.73</v>
      </c>
      <c r="J30" s="133">
        <v>0.1</v>
      </c>
      <c r="K30" s="133">
        <v>110.52</v>
      </c>
      <c r="L30" s="133">
        <v>19.11</v>
      </c>
      <c r="M30" s="133">
        <v>83.62</v>
      </c>
      <c r="N30" s="133">
        <v>0</v>
      </c>
      <c r="O30" s="133">
        <v>0</v>
      </c>
      <c r="P30" s="133">
        <v>1.0900000000000001</v>
      </c>
      <c r="Q30" s="133">
        <v>5.98</v>
      </c>
    </row>
    <row r="31" spans="1:17" customFormat="1">
      <c r="A31" s="111" t="s">
        <v>2468</v>
      </c>
      <c r="B31" s="133">
        <v>37.72</v>
      </c>
      <c r="C31" s="133">
        <v>25.84</v>
      </c>
      <c r="D31" s="133">
        <v>45.1</v>
      </c>
      <c r="E31" s="133">
        <v>5.36</v>
      </c>
      <c r="F31" s="133">
        <v>2.42</v>
      </c>
      <c r="G31" s="133">
        <v>114.74</v>
      </c>
      <c r="H31" s="133">
        <v>43.81</v>
      </c>
      <c r="I31" s="133">
        <v>8.66</v>
      </c>
      <c r="J31" s="133">
        <v>0.05</v>
      </c>
      <c r="K31" s="133">
        <v>147.76</v>
      </c>
      <c r="L31" s="133">
        <v>18.95</v>
      </c>
      <c r="M31" s="133">
        <v>85.01</v>
      </c>
      <c r="N31" s="133">
        <v>0</v>
      </c>
      <c r="O31" s="133">
        <v>0</v>
      </c>
      <c r="P31" s="133">
        <v>1.1200000000000001</v>
      </c>
      <c r="Q31" s="133">
        <v>6</v>
      </c>
    </row>
    <row r="32" spans="1:17" customFormat="1">
      <c r="A32" s="111" t="s">
        <v>2469</v>
      </c>
      <c r="B32" s="133">
        <v>38.33</v>
      </c>
      <c r="C32" s="133">
        <v>26.4</v>
      </c>
      <c r="D32" s="133">
        <v>45.88</v>
      </c>
      <c r="E32" s="133">
        <v>5.84</v>
      </c>
      <c r="F32" s="133">
        <v>2.58</v>
      </c>
      <c r="G32" s="133">
        <v>119.87</v>
      </c>
      <c r="H32" s="133">
        <v>40.909999999999997</v>
      </c>
      <c r="I32" s="133">
        <v>8.56</v>
      </c>
      <c r="J32" s="133">
        <v>0.08</v>
      </c>
      <c r="K32" s="133">
        <v>162.15</v>
      </c>
      <c r="L32" s="133">
        <v>18.88</v>
      </c>
      <c r="M32" s="133">
        <v>85.41</v>
      </c>
      <c r="N32" s="133">
        <v>0</v>
      </c>
      <c r="O32" s="133">
        <v>0</v>
      </c>
      <c r="P32" s="133">
        <v>1.1299999999999999</v>
      </c>
      <c r="Q32" s="133">
        <v>6.03</v>
      </c>
    </row>
    <row r="33" spans="1:17" customFormat="1">
      <c r="A33" s="111" t="s">
        <v>2470</v>
      </c>
      <c r="B33" s="133">
        <v>39.19</v>
      </c>
      <c r="C33" s="133">
        <v>26.95</v>
      </c>
      <c r="D33" s="133">
        <v>46.86</v>
      </c>
      <c r="E33" s="133">
        <v>5.9</v>
      </c>
      <c r="F33" s="133">
        <v>2.62</v>
      </c>
      <c r="G33" s="133">
        <v>119.87</v>
      </c>
      <c r="H33" s="133">
        <v>40.909999999999997</v>
      </c>
      <c r="I33" s="133">
        <v>8.5</v>
      </c>
      <c r="J33" s="133">
        <v>7.0000000000000007E-2</v>
      </c>
      <c r="K33" s="133">
        <v>213.83</v>
      </c>
      <c r="L33" s="133">
        <v>18.829999999999998</v>
      </c>
      <c r="M33" s="133">
        <v>84.35</v>
      </c>
      <c r="N33" s="133">
        <v>0.6</v>
      </c>
      <c r="O33" s="133">
        <v>0</v>
      </c>
      <c r="P33" s="133">
        <v>1.1299999999999999</v>
      </c>
      <c r="Q33" s="133">
        <v>6.05</v>
      </c>
    </row>
    <row r="34" spans="1:17" customFormat="1">
      <c r="A34" s="111" t="s">
        <v>2471</v>
      </c>
      <c r="B34" s="133">
        <v>40.07</v>
      </c>
      <c r="C34" s="133">
        <v>27.49</v>
      </c>
      <c r="D34" s="133">
        <v>47.85</v>
      </c>
      <c r="E34" s="133">
        <v>5.55</v>
      </c>
      <c r="F34" s="133">
        <v>2.57</v>
      </c>
      <c r="G34" s="133">
        <v>119.87</v>
      </c>
      <c r="H34" s="133">
        <v>40.909999999999997</v>
      </c>
      <c r="I34" s="133">
        <v>8.49</v>
      </c>
      <c r="J34" s="133">
        <v>0.09</v>
      </c>
      <c r="K34" s="133">
        <v>158.08000000000001</v>
      </c>
      <c r="L34" s="133">
        <v>19</v>
      </c>
      <c r="M34" s="133">
        <v>83.93</v>
      </c>
      <c r="N34" s="133">
        <v>8.1</v>
      </c>
      <c r="O34" s="133">
        <v>0</v>
      </c>
      <c r="P34" s="133">
        <v>1.1399999999999999</v>
      </c>
      <c r="Q34" s="133">
        <v>6.09</v>
      </c>
    </row>
    <row r="35" spans="1:17" customFormat="1">
      <c r="A35" s="111" t="s">
        <v>2472</v>
      </c>
      <c r="B35" s="133">
        <v>40.72</v>
      </c>
      <c r="C35" s="133">
        <v>27.9</v>
      </c>
      <c r="D35" s="133">
        <v>48.58</v>
      </c>
      <c r="E35" s="133">
        <v>5.45</v>
      </c>
      <c r="F35" s="133">
        <v>2.71</v>
      </c>
      <c r="G35" s="133">
        <v>120.15</v>
      </c>
      <c r="H35" s="133">
        <v>40.92</v>
      </c>
      <c r="I35" s="133">
        <v>8.4700000000000006</v>
      </c>
      <c r="J35" s="133">
        <v>0.11</v>
      </c>
      <c r="K35" s="133">
        <v>138.47</v>
      </c>
      <c r="L35" s="133">
        <v>19.54</v>
      </c>
      <c r="M35" s="133">
        <v>81.99</v>
      </c>
      <c r="N35" s="133">
        <v>20</v>
      </c>
      <c r="O35" s="133">
        <v>0</v>
      </c>
      <c r="P35" s="133">
        <v>1.1399999999999999</v>
      </c>
      <c r="Q35" s="133">
        <v>6.12</v>
      </c>
    </row>
    <row r="36" spans="1:17" customFormat="1">
      <c r="A36" s="111" t="s">
        <v>2473</v>
      </c>
      <c r="B36" s="133">
        <v>40.68</v>
      </c>
      <c r="C36" s="133">
        <v>27.98</v>
      </c>
      <c r="D36" s="133">
        <v>48.59</v>
      </c>
      <c r="E36" s="133">
        <v>5.91</v>
      </c>
      <c r="F36" s="133">
        <v>2.68</v>
      </c>
      <c r="G36" s="133">
        <v>126.09</v>
      </c>
      <c r="H36" s="133">
        <v>40.950000000000003</v>
      </c>
      <c r="I36" s="133">
        <v>8.48</v>
      </c>
      <c r="J36" s="133">
        <v>0.08</v>
      </c>
      <c r="K36" s="133">
        <v>103.45</v>
      </c>
      <c r="L36" s="133">
        <v>20.12</v>
      </c>
      <c r="M36" s="133">
        <v>81.14</v>
      </c>
      <c r="N36" s="133">
        <v>32.5</v>
      </c>
      <c r="O36" s="133">
        <v>0</v>
      </c>
      <c r="P36" s="133">
        <v>1.1399999999999999</v>
      </c>
      <c r="Q36" s="133">
        <v>6.15</v>
      </c>
    </row>
    <row r="37" spans="1:17" customFormat="1">
      <c r="A37" s="111" t="s">
        <v>2474</v>
      </c>
      <c r="B37" s="133">
        <v>40.130000000000003</v>
      </c>
      <c r="C37" s="133">
        <v>28.38</v>
      </c>
      <c r="D37" s="133">
        <v>48.36</v>
      </c>
      <c r="E37" s="133">
        <v>5.82</v>
      </c>
      <c r="F37" s="133">
        <v>2.7</v>
      </c>
      <c r="G37" s="133">
        <v>126.09</v>
      </c>
      <c r="H37" s="133">
        <v>40.950000000000003</v>
      </c>
      <c r="I37" s="133">
        <v>8.49</v>
      </c>
      <c r="J37" s="133">
        <v>0.12</v>
      </c>
      <c r="K37" s="133">
        <v>71.28</v>
      </c>
      <c r="L37" s="133">
        <v>20.83</v>
      </c>
      <c r="M37" s="133">
        <v>73.569999999999993</v>
      </c>
      <c r="N37" s="133">
        <v>44.9</v>
      </c>
      <c r="O37" s="133">
        <v>0</v>
      </c>
      <c r="P37" s="133">
        <v>1.1499999999999999</v>
      </c>
      <c r="Q37" s="133">
        <v>6.13</v>
      </c>
    </row>
    <row r="38" spans="1:17" customFormat="1">
      <c r="A38" s="111" t="s">
        <v>2475</v>
      </c>
      <c r="B38" s="133">
        <v>39.33</v>
      </c>
      <c r="C38" s="133">
        <v>29.09</v>
      </c>
      <c r="D38" s="133">
        <v>48.09</v>
      </c>
      <c r="E38" s="133">
        <v>5.92</v>
      </c>
      <c r="F38" s="133">
        <v>2.66</v>
      </c>
      <c r="G38" s="133">
        <v>126.09</v>
      </c>
      <c r="H38" s="133">
        <v>40.950000000000003</v>
      </c>
      <c r="I38" s="133">
        <v>8.5299999999999994</v>
      </c>
      <c r="J38" s="133">
        <v>0.2</v>
      </c>
      <c r="K38" s="133">
        <v>54.77</v>
      </c>
      <c r="L38" s="133">
        <v>21.57</v>
      </c>
      <c r="M38" s="133">
        <v>70.61</v>
      </c>
      <c r="N38" s="133">
        <v>74.7</v>
      </c>
      <c r="O38" s="133">
        <v>0</v>
      </c>
      <c r="P38" s="133">
        <v>1.1599999999999999</v>
      </c>
      <c r="Q38" s="133">
        <v>6.12</v>
      </c>
    </row>
    <row r="39" spans="1:17" customFormat="1">
      <c r="A39" s="111" t="s">
        <v>2476</v>
      </c>
      <c r="B39" s="133">
        <v>38.36</v>
      </c>
      <c r="C39" s="133">
        <v>29.32</v>
      </c>
      <c r="D39" s="133">
        <v>47.43</v>
      </c>
      <c r="E39" s="133">
        <v>6.32</v>
      </c>
      <c r="F39" s="133">
        <v>2.74</v>
      </c>
      <c r="G39" s="133">
        <v>126.7</v>
      </c>
      <c r="H39" s="133">
        <v>41.06</v>
      </c>
      <c r="I39" s="133">
        <v>8.64</v>
      </c>
      <c r="J39" s="133">
        <v>0.25</v>
      </c>
      <c r="K39" s="133">
        <v>30.14</v>
      </c>
      <c r="L39" s="133">
        <v>22.14</v>
      </c>
      <c r="M39" s="133">
        <v>67.569999999999993</v>
      </c>
      <c r="N39" s="133">
        <v>191.5</v>
      </c>
      <c r="O39" s="133">
        <v>0</v>
      </c>
      <c r="P39" s="133">
        <v>1.17</v>
      </c>
      <c r="Q39" s="133">
        <v>6.06</v>
      </c>
    </row>
    <row r="40" spans="1:17" customFormat="1">
      <c r="A40" s="111" t="s">
        <v>2477</v>
      </c>
      <c r="B40" s="133">
        <v>37.020000000000003</v>
      </c>
      <c r="C40" s="133">
        <v>29.57</v>
      </c>
      <c r="D40" s="133">
        <v>46.49</v>
      </c>
      <c r="E40" s="133">
        <v>6.23</v>
      </c>
      <c r="F40" s="133">
        <v>2.73</v>
      </c>
      <c r="G40" s="133">
        <v>137.21</v>
      </c>
      <c r="H40" s="133">
        <v>42.73</v>
      </c>
      <c r="I40" s="133">
        <v>8.74</v>
      </c>
      <c r="J40" s="133">
        <v>0.41</v>
      </c>
      <c r="K40" s="133">
        <v>29.07</v>
      </c>
      <c r="L40" s="133">
        <v>22.75</v>
      </c>
      <c r="M40" s="133">
        <v>66.599999999999994</v>
      </c>
      <c r="N40" s="133">
        <v>238.7</v>
      </c>
      <c r="O40" s="133">
        <v>0</v>
      </c>
      <c r="P40" s="133">
        <v>1.17</v>
      </c>
      <c r="Q40" s="133">
        <v>6.05</v>
      </c>
    </row>
    <row r="41" spans="1:17" customFormat="1">
      <c r="A41" s="111" t="s">
        <v>2478</v>
      </c>
      <c r="B41" s="133">
        <v>35.25</v>
      </c>
      <c r="C41" s="133">
        <v>30.11</v>
      </c>
      <c r="D41" s="133">
        <v>45.35</v>
      </c>
      <c r="E41" s="133">
        <v>5.99</v>
      </c>
      <c r="F41" s="133">
        <v>2.84</v>
      </c>
      <c r="G41" s="133">
        <v>137.21</v>
      </c>
      <c r="H41" s="133">
        <v>42.73</v>
      </c>
      <c r="I41" s="133">
        <v>8.77</v>
      </c>
      <c r="J41" s="133">
        <v>0.35</v>
      </c>
      <c r="K41" s="133">
        <v>36.03</v>
      </c>
      <c r="L41" s="133">
        <v>23.76</v>
      </c>
      <c r="M41" s="133">
        <v>65.38</v>
      </c>
      <c r="N41" s="133">
        <v>280.10000000000002</v>
      </c>
      <c r="O41" s="133">
        <v>0</v>
      </c>
      <c r="P41" s="133">
        <v>1.1599999999999999</v>
      </c>
      <c r="Q41" s="133">
        <v>5.97</v>
      </c>
    </row>
    <row r="42" spans="1:17" customFormat="1">
      <c r="A42" s="111" t="s">
        <v>2479</v>
      </c>
      <c r="B42" s="133">
        <v>33.42</v>
      </c>
      <c r="C42" s="133">
        <v>30.37</v>
      </c>
      <c r="D42" s="133">
        <v>44.02</v>
      </c>
      <c r="E42" s="133">
        <v>6.21</v>
      </c>
      <c r="F42" s="133">
        <v>2.72</v>
      </c>
      <c r="G42" s="133">
        <v>137.21</v>
      </c>
      <c r="H42" s="133">
        <v>42.73</v>
      </c>
      <c r="I42" s="133">
        <v>8.7100000000000009</v>
      </c>
      <c r="J42" s="133">
        <v>0.39</v>
      </c>
      <c r="K42" s="133">
        <v>34.94</v>
      </c>
      <c r="L42" s="133">
        <v>24.5</v>
      </c>
      <c r="M42" s="133">
        <v>62.66</v>
      </c>
      <c r="N42" s="133">
        <v>326.2</v>
      </c>
      <c r="O42" s="133">
        <v>0</v>
      </c>
      <c r="P42" s="133">
        <v>1.1399999999999999</v>
      </c>
      <c r="Q42" s="133">
        <v>5.86</v>
      </c>
    </row>
    <row r="43" spans="1:17" customFormat="1">
      <c r="A43" s="111" t="s">
        <v>2480</v>
      </c>
      <c r="B43" s="133">
        <v>31.41</v>
      </c>
      <c r="C43" s="133">
        <v>30.62</v>
      </c>
      <c r="D43" s="133">
        <v>42.54</v>
      </c>
      <c r="E43" s="133">
        <v>5.93</v>
      </c>
      <c r="F43" s="133">
        <v>2.76</v>
      </c>
      <c r="G43" s="133">
        <v>136.32</v>
      </c>
      <c r="H43" s="133">
        <v>42.88</v>
      </c>
      <c r="I43" s="133">
        <v>8.6199999999999992</v>
      </c>
      <c r="J43" s="133">
        <v>0.41</v>
      </c>
      <c r="K43" s="133">
        <v>45.38</v>
      </c>
      <c r="L43" s="133">
        <v>25.23</v>
      </c>
      <c r="M43" s="133">
        <v>59.69</v>
      </c>
      <c r="N43" s="133">
        <v>364.8</v>
      </c>
      <c r="O43" s="133">
        <v>0</v>
      </c>
      <c r="P43" s="133">
        <v>1.1299999999999999</v>
      </c>
      <c r="Q43" s="133">
        <v>5.79</v>
      </c>
    </row>
    <row r="44" spans="1:17" customFormat="1">
      <c r="A44" s="111" t="s">
        <v>2481</v>
      </c>
      <c r="B44" s="133">
        <v>29.29</v>
      </c>
      <c r="C44" s="133">
        <v>31</v>
      </c>
      <c r="D44" s="133">
        <v>41.04</v>
      </c>
      <c r="E44" s="133">
        <v>6.43</v>
      </c>
      <c r="F44" s="133">
        <v>2.8</v>
      </c>
      <c r="G44" s="133">
        <v>117.23</v>
      </c>
      <c r="H44" s="133">
        <v>45.35</v>
      </c>
      <c r="I44" s="133">
        <v>8.51</v>
      </c>
      <c r="J44" s="133">
        <v>0.5</v>
      </c>
      <c r="K44" s="133">
        <v>31.98</v>
      </c>
      <c r="L44" s="133">
        <v>25.8</v>
      </c>
      <c r="M44" s="133">
        <v>57.29</v>
      </c>
      <c r="N44" s="133">
        <v>410.3</v>
      </c>
      <c r="O44" s="133">
        <v>0</v>
      </c>
      <c r="P44" s="133">
        <v>1.1000000000000001</v>
      </c>
      <c r="Q44" s="133">
        <v>5.7</v>
      </c>
    </row>
    <row r="45" spans="1:17" customFormat="1">
      <c r="A45" s="111" t="s">
        <v>2482</v>
      </c>
      <c r="B45" s="133">
        <v>27.16</v>
      </c>
      <c r="C45" s="133">
        <v>31.39</v>
      </c>
      <c r="D45" s="133">
        <v>39.53</v>
      </c>
      <c r="E45" s="133">
        <v>6.1</v>
      </c>
      <c r="F45" s="133">
        <v>3.01</v>
      </c>
      <c r="G45" s="133">
        <v>117.23</v>
      </c>
      <c r="H45" s="133">
        <v>45.35</v>
      </c>
      <c r="I45" s="133">
        <v>8.35</v>
      </c>
      <c r="J45" s="133">
        <v>0.51</v>
      </c>
      <c r="K45" s="133">
        <v>40</v>
      </c>
      <c r="L45" s="133">
        <v>26.51</v>
      </c>
      <c r="M45" s="133">
        <v>55.89</v>
      </c>
      <c r="N45" s="133">
        <v>437</v>
      </c>
      <c r="O45" s="133">
        <v>0</v>
      </c>
      <c r="P45" s="133">
        <v>1.07</v>
      </c>
      <c r="Q45" s="133">
        <v>5.59</v>
      </c>
    </row>
    <row r="46" spans="1:17" customFormat="1">
      <c r="A46" s="111" t="s">
        <v>2483</v>
      </c>
      <c r="B46" s="133">
        <v>24.91</v>
      </c>
      <c r="C46" s="133">
        <v>31.51</v>
      </c>
      <c r="D46" s="133">
        <v>37.79</v>
      </c>
      <c r="E46" s="133">
        <v>5.87</v>
      </c>
      <c r="F46" s="133">
        <v>3.02</v>
      </c>
      <c r="G46" s="133">
        <v>117.23</v>
      </c>
      <c r="H46" s="133">
        <v>45.35</v>
      </c>
      <c r="I46" s="133">
        <v>8.2100000000000009</v>
      </c>
      <c r="J46" s="133">
        <v>0.21</v>
      </c>
      <c r="K46" s="133">
        <v>48.43</v>
      </c>
      <c r="L46" s="133">
        <v>26.85</v>
      </c>
      <c r="M46" s="133">
        <v>57.87</v>
      </c>
      <c r="N46" s="133">
        <v>325.5</v>
      </c>
      <c r="O46" s="133">
        <v>0</v>
      </c>
      <c r="P46" s="133">
        <v>1.04</v>
      </c>
      <c r="Q46" s="133">
        <v>5.5</v>
      </c>
    </row>
    <row r="47" spans="1:17" customFormat="1">
      <c r="A47" s="111" t="s">
        <v>2484</v>
      </c>
      <c r="B47" s="133">
        <v>22.89</v>
      </c>
      <c r="C47" s="133">
        <v>31.69</v>
      </c>
      <c r="D47" s="133">
        <v>36.26</v>
      </c>
      <c r="E47" s="133">
        <v>5.81</v>
      </c>
      <c r="F47" s="133">
        <v>2.98</v>
      </c>
      <c r="G47" s="133">
        <v>116.07</v>
      </c>
      <c r="H47" s="133">
        <v>44.91</v>
      </c>
      <c r="I47" s="133">
        <v>8.0299999999999994</v>
      </c>
      <c r="J47" s="133">
        <v>0.31</v>
      </c>
      <c r="K47" s="133">
        <v>37.909999999999997</v>
      </c>
      <c r="L47" s="133">
        <v>27.82</v>
      </c>
      <c r="M47" s="133">
        <v>56.49</v>
      </c>
      <c r="N47" s="133">
        <v>352.7</v>
      </c>
      <c r="O47" s="133">
        <v>0</v>
      </c>
      <c r="P47" s="133">
        <v>1.02</v>
      </c>
      <c r="Q47" s="133">
        <v>5.41</v>
      </c>
    </row>
    <row r="48" spans="1:17" customFormat="1">
      <c r="A48" s="111" t="s">
        <v>2485</v>
      </c>
      <c r="B48" s="133">
        <v>21.24</v>
      </c>
      <c r="C48" s="133">
        <v>31.87</v>
      </c>
      <c r="D48" s="133">
        <v>35.03</v>
      </c>
      <c r="E48" s="133">
        <v>5.66</v>
      </c>
      <c r="F48" s="133">
        <v>2.95</v>
      </c>
      <c r="G48" s="133">
        <v>91.28</v>
      </c>
      <c r="H48" s="133">
        <v>37.380000000000003</v>
      </c>
      <c r="I48" s="133">
        <v>7.87</v>
      </c>
      <c r="J48" s="133">
        <v>0.35</v>
      </c>
      <c r="K48" s="133">
        <v>46.21</v>
      </c>
      <c r="L48" s="133">
        <v>27.94</v>
      </c>
      <c r="M48" s="133">
        <v>58.78</v>
      </c>
      <c r="N48" s="133">
        <v>529.5</v>
      </c>
      <c r="O48" s="133">
        <v>0</v>
      </c>
      <c r="P48" s="133">
        <v>0.99</v>
      </c>
      <c r="Q48" s="133">
        <v>5.32</v>
      </c>
    </row>
    <row r="49" spans="1:17" customFormat="1">
      <c r="A49" s="111" t="s">
        <v>2486</v>
      </c>
      <c r="B49" s="133">
        <v>19.670000000000002</v>
      </c>
      <c r="C49" s="133">
        <v>31.63</v>
      </c>
      <c r="D49" s="133">
        <v>33.65</v>
      </c>
      <c r="E49" s="133">
        <v>4.12</v>
      </c>
      <c r="F49" s="133">
        <v>3.1</v>
      </c>
      <c r="G49" s="133">
        <v>91.28</v>
      </c>
      <c r="H49" s="133">
        <v>37.380000000000003</v>
      </c>
      <c r="I49" s="133">
        <v>7.69</v>
      </c>
      <c r="J49" s="133">
        <v>0.5</v>
      </c>
      <c r="K49" s="133">
        <v>35.53</v>
      </c>
      <c r="L49" s="133">
        <v>28.36</v>
      </c>
      <c r="M49" s="133">
        <v>57.47</v>
      </c>
      <c r="N49" s="133">
        <v>551.9</v>
      </c>
      <c r="O49" s="133">
        <v>0</v>
      </c>
      <c r="P49" s="133">
        <v>0.97</v>
      </c>
      <c r="Q49" s="133">
        <v>5.25</v>
      </c>
    </row>
    <row r="50" spans="1:17" customFormat="1">
      <c r="A50" s="111" t="s">
        <v>2487</v>
      </c>
      <c r="B50" s="133">
        <v>18.079999999999998</v>
      </c>
      <c r="C50" s="133">
        <v>31.56</v>
      </c>
      <c r="D50" s="133">
        <v>32.340000000000003</v>
      </c>
      <c r="E50" s="133">
        <v>5.58</v>
      </c>
      <c r="F50" s="133">
        <v>3.4</v>
      </c>
      <c r="G50" s="133">
        <v>91.28</v>
      </c>
      <c r="H50" s="133">
        <v>37.380000000000003</v>
      </c>
      <c r="I50" s="133">
        <v>7.58</v>
      </c>
      <c r="J50" s="133">
        <v>0.46</v>
      </c>
      <c r="K50" s="133">
        <v>31.71</v>
      </c>
      <c r="L50" s="133">
        <v>28.68</v>
      </c>
      <c r="M50" s="133">
        <v>56.58</v>
      </c>
      <c r="N50" s="133">
        <v>572</v>
      </c>
      <c r="O50" s="133">
        <v>0</v>
      </c>
      <c r="P50" s="133">
        <v>0.94</v>
      </c>
      <c r="Q50" s="133">
        <v>5.19</v>
      </c>
    </row>
    <row r="51" spans="1:17" customFormat="1">
      <c r="A51" s="111" t="s">
        <v>2488</v>
      </c>
      <c r="B51" s="133">
        <v>16.489999999999998</v>
      </c>
      <c r="C51" s="133">
        <v>31.8</v>
      </c>
      <c r="D51" s="133">
        <v>31.19</v>
      </c>
      <c r="E51" s="133">
        <v>5.31</v>
      </c>
      <c r="F51" s="133">
        <v>3.37</v>
      </c>
      <c r="G51" s="133">
        <v>90.64</v>
      </c>
      <c r="H51" s="133">
        <v>37.200000000000003</v>
      </c>
      <c r="I51" s="133">
        <v>7.38</v>
      </c>
      <c r="J51" s="133">
        <v>0.42</v>
      </c>
      <c r="K51" s="133">
        <v>14.8</v>
      </c>
      <c r="L51" s="133">
        <v>28.67</v>
      </c>
      <c r="M51" s="133">
        <v>57.11</v>
      </c>
      <c r="N51" s="133">
        <v>599</v>
      </c>
      <c r="O51" s="133">
        <v>0</v>
      </c>
      <c r="P51" s="133">
        <v>0.92</v>
      </c>
      <c r="Q51" s="133">
        <v>5.0999999999999996</v>
      </c>
    </row>
    <row r="52" spans="1:17" customFormat="1">
      <c r="A52" s="111" t="s">
        <v>2489</v>
      </c>
      <c r="B52" s="133">
        <v>15.59</v>
      </c>
      <c r="C52" s="133">
        <v>30.41</v>
      </c>
      <c r="D52" s="133">
        <v>29.74</v>
      </c>
      <c r="E52" s="133">
        <v>5.48</v>
      </c>
      <c r="F52" s="133">
        <v>3.28</v>
      </c>
      <c r="G52" s="133">
        <v>77.010000000000005</v>
      </c>
      <c r="H52" s="133">
        <v>34.07</v>
      </c>
      <c r="I52" s="133">
        <v>7.25</v>
      </c>
      <c r="J52" s="133">
        <v>0.14000000000000001</v>
      </c>
      <c r="K52" s="133">
        <v>38.9</v>
      </c>
      <c r="L52" s="133">
        <v>29.03</v>
      </c>
      <c r="M52" s="133">
        <v>54.22</v>
      </c>
      <c r="N52" s="133">
        <v>569.20000000000005</v>
      </c>
      <c r="O52" s="133">
        <v>0</v>
      </c>
      <c r="P52" s="133">
        <v>0.9</v>
      </c>
      <c r="Q52" s="133">
        <v>5.0199999999999996</v>
      </c>
    </row>
    <row r="53" spans="1:17" customFormat="1">
      <c r="A53" s="111" t="s">
        <v>2490</v>
      </c>
      <c r="B53" s="133">
        <v>14.67</v>
      </c>
      <c r="C53" s="133">
        <v>27.58</v>
      </c>
      <c r="D53" s="133">
        <v>27.53</v>
      </c>
      <c r="E53" s="133">
        <v>4.88</v>
      </c>
      <c r="F53" s="133">
        <v>3.31</v>
      </c>
      <c r="G53" s="133">
        <v>77.010000000000005</v>
      </c>
      <c r="H53" s="133">
        <v>34.07</v>
      </c>
      <c r="I53" s="133">
        <v>7.12</v>
      </c>
      <c r="J53" s="133">
        <v>0.41</v>
      </c>
      <c r="K53" s="133">
        <v>31.8</v>
      </c>
      <c r="L53" s="133">
        <v>29.51</v>
      </c>
      <c r="M53" s="133">
        <v>51.48</v>
      </c>
      <c r="N53" s="133">
        <v>619.29999999999995</v>
      </c>
      <c r="O53" s="133">
        <v>0</v>
      </c>
      <c r="P53" s="133">
        <v>0.87</v>
      </c>
      <c r="Q53" s="133">
        <v>4.97</v>
      </c>
    </row>
    <row r="54" spans="1:17" customFormat="1">
      <c r="A54" s="111" t="s">
        <v>2491</v>
      </c>
      <c r="B54" s="133">
        <v>13.75</v>
      </c>
      <c r="C54" s="133">
        <v>26.12</v>
      </c>
      <c r="D54" s="133">
        <v>26.03</v>
      </c>
      <c r="E54" s="133">
        <v>5.38</v>
      </c>
      <c r="F54" s="133">
        <v>3.77</v>
      </c>
      <c r="G54" s="133">
        <v>77.010000000000005</v>
      </c>
      <c r="H54" s="133">
        <v>34.07</v>
      </c>
      <c r="I54" s="133">
        <v>7.02</v>
      </c>
      <c r="J54" s="133">
        <v>0.37</v>
      </c>
      <c r="K54" s="133">
        <v>4.7</v>
      </c>
      <c r="L54" s="133">
        <v>29.63</v>
      </c>
      <c r="M54" s="133">
        <v>47.82</v>
      </c>
      <c r="N54" s="133">
        <v>622.4</v>
      </c>
      <c r="O54" s="133">
        <v>0</v>
      </c>
      <c r="P54" s="133">
        <v>0.85</v>
      </c>
      <c r="Q54" s="133">
        <v>4.91</v>
      </c>
    </row>
    <row r="55" spans="1:17" customFormat="1">
      <c r="A55" s="111" t="s">
        <v>2492</v>
      </c>
      <c r="B55" s="133">
        <v>12.74</v>
      </c>
      <c r="C55" s="133">
        <v>25.22</v>
      </c>
      <c r="D55" s="133">
        <v>24.74</v>
      </c>
      <c r="E55" s="133">
        <v>5.09</v>
      </c>
      <c r="F55" s="133">
        <v>3.82</v>
      </c>
      <c r="G55" s="133">
        <v>76.31</v>
      </c>
      <c r="H55" s="133">
        <v>33.700000000000003</v>
      </c>
      <c r="I55" s="133">
        <v>6.91</v>
      </c>
      <c r="J55" s="133">
        <v>0.49</v>
      </c>
      <c r="K55" s="133">
        <v>296.61</v>
      </c>
      <c r="L55" s="133">
        <v>29.53</v>
      </c>
      <c r="M55" s="133">
        <v>45.6</v>
      </c>
      <c r="N55" s="133">
        <v>648.1</v>
      </c>
      <c r="O55" s="133">
        <v>0</v>
      </c>
      <c r="P55" s="133">
        <v>0.83</v>
      </c>
      <c r="Q55" s="133">
        <v>4.82</v>
      </c>
    </row>
    <row r="56" spans="1:17" customFormat="1">
      <c r="A56" s="111" t="s">
        <v>2493</v>
      </c>
      <c r="B56" s="133">
        <v>11.91</v>
      </c>
      <c r="C56" s="133">
        <v>24.57</v>
      </c>
      <c r="D56" s="133">
        <v>23.73</v>
      </c>
      <c r="E56" s="133">
        <v>5.19</v>
      </c>
      <c r="F56" s="133">
        <v>4.67</v>
      </c>
      <c r="G56" s="133">
        <v>61.33</v>
      </c>
      <c r="H56" s="133">
        <v>27.89</v>
      </c>
      <c r="I56" s="133">
        <v>6.78</v>
      </c>
      <c r="J56" s="133">
        <v>0.04</v>
      </c>
      <c r="K56" s="133">
        <v>55.17</v>
      </c>
      <c r="L56" s="133">
        <v>29.93</v>
      </c>
      <c r="M56" s="133">
        <v>42.46</v>
      </c>
      <c r="N56" s="133">
        <v>655.9</v>
      </c>
      <c r="O56" s="133">
        <v>0</v>
      </c>
      <c r="P56" s="133">
        <v>0.81</v>
      </c>
      <c r="Q56" s="133">
        <v>4.75</v>
      </c>
    </row>
    <row r="57" spans="1:17" customFormat="1">
      <c r="A57" s="111" t="s">
        <v>2494</v>
      </c>
      <c r="B57" s="133">
        <v>11.14</v>
      </c>
      <c r="C57" s="133">
        <v>24.31</v>
      </c>
      <c r="D57" s="133">
        <v>22.99</v>
      </c>
      <c r="E57" s="133">
        <v>4.82</v>
      </c>
      <c r="F57" s="133">
        <v>4.0599999999999996</v>
      </c>
      <c r="G57" s="133">
        <v>61.33</v>
      </c>
      <c r="H57" s="133">
        <v>27.89</v>
      </c>
      <c r="I57" s="133">
        <v>6.64</v>
      </c>
      <c r="J57" s="133">
        <v>0.5</v>
      </c>
      <c r="K57" s="133">
        <v>28.49</v>
      </c>
      <c r="L57" s="133">
        <v>30.27</v>
      </c>
      <c r="M57" s="133">
        <v>45.03</v>
      </c>
      <c r="N57" s="133">
        <v>639.20000000000005</v>
      </c>
      <c r="O57" s="133">
        <v>0</v>
      </c>
      <c r="P57" s="133">
        <v>0.79</v>
      </c>
      <c r="Q57" s="133">
        <v>4.71</v>
      </c>
    </row>
    <row r="58" spans="1:17" customFormat="1">
      <c r="A58" s="111" t="s">
        <v>2495</v>
      </c>
      <c r="B58" s="133">
        <v>10.61</v>
      </c>
      <c r="C58" s="133">
        <v>23.64</v>
      </c>
      <c r="D58" s="133">
        <v>22.21</v>
      </c>
      <c r="E58" s="133">
        <v>5.24</v>
      </c>
      <c r="F58" s="133">
        <v>3.86</v>
      </c>
      <c r="G58" s="133">
        <v>61.33</v>
      </c>
      <c r="H58" s="133">
        <v>27.89</v>
      </c>
      <c r="I58" s="133">
        <v>6.5</v>
      </c>
      <c r="J58" s="133">
        <v>0.55000000000000004</v>
      </c>
      <c r="K58" s="133">
        <v>34.659999999999997</v>
      </c>
      <c r="L58" s="133">
        <v>30.11</v>
      </c>
      <c r="M58" s="133">
        <v>47.21</v>
      </c>
      <c r="N58" s="133">
        <v>582</v>
      </c>
      <c r="O58" s="133">
        <v>0</v>
      </c>
      <c r="P58" s="133">
        <v>0.78</v>
      </c>
      <c r="Q58" s="133">
        <v>4.67</v>
      </c>
    </row>
    <row r="59" spans="1:17" customFormat="1">
      <c r="A59" s="111" t="s">
        <v>2496</v>
      </c>
      <c r="B59" s="133">
        <v>10.09</v>
      </c>
      <c r="C59" s="133">
        <v>23.62</v>
      </c>
      <c r="D59" s="133">
        <v>21.78</v>
      </c>
      <c r="E59" s="133">
        <v>6.5</v>
      </c>
      <c r="F59" s="133">
        <v>3.98</v>
      </c>
      <c r="G59" s="133">
        <v>61.35</v>
      </c>
      <c r="H59" s="133">
        <v>27.79</v>
      </c>
      <c r="I59" s="133">
        <v>6.41</v>
      </c>
      <c r="J59" s="133">
        <v>0.56999999999999995</v>
      </c>
      <c r="K59" s="133">
        <v>23.51</v>
      </c>
      <c r="L59" s="133">
        <v>30.15</v>
      </c>
      <c r="M59" s="133">
        <v>47.86</v>
      </c>
      <c r="N59" s="133">
        <v>485.6</v>
      </c>
      <c r="O59" s="133">
        <v>0</v>
      </c>
      <c r="P59" s="133">
        <v>0.77</v>
      </c>
      <c r="Q59" s="133">
        <v>4.63</v>
      </c>
    </row>
    <row r="60" spans="1:17" customFormat="1">
      <c r="A60" s="111" t="s">
        <v>2497</v>
      </c>
      <c r="B60" s="133">
        <v>9.7200000000000006</v>
      </c>
      <c r="C60" s="133">
        <v>23.66</v>
      </c>
      <c r="D60" s="133">
        <v>21.51</v>
      </c>
      <c r="E60" s="133">
        <v>8.4499999999999993</v>
      </c>
      <c r="F60" s="133">
        <v>5.13</v>
      </c>
      <c r="G60" s="133">
        <v>61.81</v>
      </c>
      <c r="H60" s="133">
        <v>26.23</v>
      </c>
      <c r="I60" s="133">
        <v>6.34</v>
      </c>
      <c r="J60" s="133">
        <v>0.76</v>
      </c>
      <c r="K60" s="133">
        <v>18</v>
      </c>
      <c r="L60" s="133">
        <v>29.65</v>
      </c>
      <c r="M60" s="133">
        <v>49.17</v>
      </c>
      <c r="N60" s="133">
        <v>471.9</v>
      </c>
      <c r="O60" s="133">
        <v>0</v>
      </c>
      <c r="P60" s="133">
        <v>0.77</v>
      </c>
      <c r="Q60" s="133">
        <v>4.59</v>
      </c>
    </row>
    <row r="61" spans="1:17" customFormat="1">
      <c r="A61" s="111" t="s">
        <v>2498</v>
      </c>
      <c r="B61" s="133">
        <v>9.32</v>
      </c>
      <c r="C61" s="133">
        <v>23.38</v>
      </c>
      <c r="D61" s="133">
        <v>21.04</v>
      </c>
      <c r="E61" s="133">
        <v>6.97</v>
      </c>
      <c r="F61" s="133">
        <v>5.01</v>
      </c>
      <c r="G61" s="133">
        <v>61.81</v>
      </c>
      <c r="H61" s="133">
        <v>26.23</v>
      </c>
      <c r="I61" s="133">
        <v>6.24</v>
      </c>
      <c r="J61" s="133">
        <v>0.46</v>
      </c>
      <c r="K61" s="133">
        <v>348.08</v>
      </c>
      <c r="L61" s="133">
        <v>29.98</v>
      </c>
      <c r="M61" s="133">
        <v>46.98</v>
      </c>
      <c r="N61" s="133">
        <v>487.8</v>
      </c>
      <c r="O61" s="133">
        <v>0</v>
      </c>
      <c r="P61" s="133">
        <v>0.77</v>
      </c>
      <c r="Q61" s="133">
        <v>4.55</v>
      </c>
    </row>
    <row r="62" spans="1:17" customFormat="1">
      <c r="A62" s="111" t="s">
        <v>2499</v>
      </c>
      <c r="B62" s="133">
        <v>8.66</v>
      </c>
      <c r="C62" s="133">
        <v>23.05</v>
      </c>
      <c r="D62" s="133">
        <v>20.34</v>
      </c>
      <c r="E62" s="133">
        <v>6.74</v>
      </c>
      <c r="F62" s="133">
        <v>4.96</v>
      </c>
      <c r="G62" s="133">
        <v>61.81</v>
      </c>
      <c r="H62" s="133">
        <v>26.23</v>
      </c>
      <c r="I62" s="133">
        <v>6.14</v>
      </c>
      <c r="J62" s="133">
        <v>0.47</v>
      </c>
      <c r="K62" s="133">
        <v>22.21</v>
      </c>
      <c r="L62" s="133">
        <v>30.02</v>
      </c>
      <c r="M62" s="133">
        <v>46.06</v>
      </c>
      <c r="N62" s="133">
        <v>484.7</v>
      </c>
      <c r="O62" s="133">
        <v>0</v>
      </c>
      <c r="P62" s="133">
        <v>0.76</v>
      </c>
      <c r="Q62" s="133">
        <v>4.54</v>
      </c>
    </row>
    <row r="63" spans="1:17" customFormat="1">
      <c r="A63" s="111" t="s">
        <v>2500</v>
      </c>
      <c r="B63" s="133">
        <v>8.0500000000000007</v>
      </c>
      <c r="C63" s="133">
        <v>22.63</v>
      </c>
      <c r="D63" s="133">
        <v>19.63</v>
      </c>
      <c r="E63" s="133">
        <v>5.61</v>
      </c>
      <c r="F63" s="133">
        <v>4.78</v>
      </c>
      <c r="G63" s="133">
        <v>62.19</v>
      </c>
      <c r="H63" s="133">
        <v>26.12</v>
      </c>
      <c r="I63" s="133">
        <v>6.14</v>
      </c>
      <c r="J63" s="133">
        <v>0.31</v>
      </c>
      <c r="K63" s="133">
        <v>29.62</v>
      </c>
      <c r="L63" s="133">
        <v>30.29</v>
      </c>
      <c r="M63" s="133">
        <v>44.38</v>
      </c>
      <c r="N63" s="133">
        <v>457.9</v>
      </c>
      <c r="O63" s="133">
        <v>0</v>
      </c>
      <c r="P63" s="133">
        <v>0.75</v>
      </c>
      <c r="Q63" s="133">
        <v>4.5</v>
      </c>
    </row>
    <row r="64" spans="1:17" customFormat="1">
      <c r="A64" s="111" t="s">
        <v>2501</v>
      </c>
      <c r="B64" s="133">
        <v>7.6</v>
      </c>
      <c r="C64" s="133">
        <v>22.02</v>
      </c>
      <c r="D64" s="133">
        <v>18.95</v>
      </c>
      <c r="E64" s="133">
        <v>7.12</v>
      </c>
      <c r="F64" s="133">
        <v>7.55</v>
      </c>
      <c r="G64" s="133">
        <v>68.73</v>
      </c>
      <c r="H64" s="133">
        <v>24.44</v>
      </c>
      <c r="I64" s="133">
        <v>6.05</v>
      </c>
      <c r="J64" s="133">
        <v>0.79</v>
      </c>
      <c r="K64" s="133">
        <v>22.53</v>
      </c>
      <c r="L64" s="133">
        <v>29.99</v>
      </c>
      <c r="M64" s="133">
        <v>45.74</v>
      </c>
      <c r="N64" s="133">
        <v>450.1</v>
      </c>
      <c r="O64" s="133">
        <v>0</v>
      </c>
      <c r="P64" s="133">
        <v>0.74</v>
      </c>
      <c r="Q64" s="133">
        <v>4.46</v>
      </c>
    </row>
    <row r="65" spans="1:17" customFormat="1">
      <c r="A65" s="111" t="s">
        <v>2502</v>
      </c>
      <c r="B65" s="133">
        <v>7.09</v>
      </c>
      <c r="C65" s="133">
        <v>21.7</v>
      </c>
      <c r="D65" s="133">
        <v>18.37</v>
      </c>
      <c r="E65" s="133">
        <v>6.52</v>
      </c>
      <c r="F65" s="133">
        <v>6.81</v>
      </c>
      <c r="G65" s="133">
        <v>68.73</v>
      </c>
      <c r="H65" s="133">
        <v>24.44</v>
      </c>
      <c r="I65" s="133">
        <v>5.99</v>
      </c>
      <c r="J65" s="133">
        <v>0.74</v>
      </c>
      <c r="K65" s="133">
        <v>21.02</v>
      </c>
      <c r="L65" s="133">
        <v>29.77</v>
      </c>
      <c r="M65" s="133">
        <v>46.27</v>
      </c>
      <c r="N65" s="133">
        <v>422</v>
      </c>
      <c r="O65" s="133">
        <v>0</v>
      </c>
      <c r="P65" s="133">
        <v>0.68</v>
      </c>
      <c r="Q65" s="133">
        <v>4.43</v>
      </c>
    </row>
    <row r="66" spans="1:17" customFormat="1">
      <c r="A66" s="111" t="s">
        <v>2503</v>
      </c>
      <c r="B66" s="133">
        <v>6.84</v>
      </c>
      <c r="C66" s="133">
        <v>21.28</v>
      </c>
      <c r="D66" s="133">
        <v>17.96</v>
      </c>
      <c r="E66" s="133">
        <v>7.04</v>
      </c>
      <c r="F66" s="133">
        <v>6.74</v>
      </c>
      <c r="G66" s="133">
        <v>68.73</v>
      </c>
      <c r="H66" s="133">
        <v>24.44</v>
      </c>
      <c r="I66" s="133">
        <v>5.91</v>
      </c>
      <c r="J66" s="133">
        <v>0.61</v>
      </c>
      <c r="K66" s="133">
        <v>36.75</v>
      </c>
      <c r="L66" s="133">
        <v>29.66</v>
      </c>
      <c r="M66" s="133">
        <v>47.68</v>
      </c>
      <c r="N66" s="133">
        <v>172.1</v>
      </c>
      <c r="O66" s="133">
        <v>0</v>
      </c>
      <c r="P66" s="133">
        <v>0.73</v>
      </c>
      <c r="Q66" s="133">
        <v>4.41</v>
      </c>
    </row>
    <row r="67" spans="1:17" customFormat="1">
      <c r="A67" s="111" t="s">
        <v>2504</v>
      </c>
      <c r="B67" s="133">
        <v>6.61</v>
      </c>
      <c r="C67" s="133">
        <v>20.88</v>
      </c>
      <c r="D67" s="133">
        <v>17.559999999999999</v>
      </c>
      <c r="E67" s="133">
        <v>7.33</v>
      </c>
      <c r="F67" s="133">
        <v>8.41</v>
      </c>
      <c r="G67" s="133">
        <v>68.58</v>
      </c>
      <c r="H67" s="133">
        <v>24.71</v>
      </c>
      <c r="I67" s="133">
        <v>5.83</v>
      </c>
      <c r="J67" s="133">
        <v>0.74</v>
      </c>
      <c r="K67" s="133">
        <v>29.74</v>
      </c>
      <c r="L67" s="133">
        <v>29.23</v>
      </c>
      <c r="M67" s="133">
        <v>48.45</v>
      </c>
      <c r="N67" s="133">
        <v>102.9</v>
      </c>
      <c r="O67" s="133">
        <v>0</v>
      </c>
      <c r="P67" s="133">
        <v>0.72</v>
      </c>
      <c r="Q67" s="133">
        <v>4.41</v>
      </c>
    </row>
    <row r="68" spans="1:17" customFormat="1">
      <c r="A68" s="111" t="s">
        <v>2505</v>
      </c>
      <c r="B68" s="133">
        <v>6.39</v>
      </c>
      <c r="C68" s="133">
        <v>20.66</v>
      </c>
      <c r="D68" s="133">
        <v>17.27</v>
      </c>
      <c r="E68" s="133">
        <v>7.28</v>
      </c>
      <c r="F68" s="133">
        <v>8</v>
      </c>
      <c r="G68" s="133">
        <v>66.05</v>
      </c>
      <c r="H68" s="133">
        <v>29.06</v>
      </c>
      <c r="I68" s="133">
        <v>5.8</v>
      </c>
      <c r="J68" s="133">
        <v>0.59</v>
      </c>
      <c r="K68" s="133">
        <v>30.72</v>
      </c>
      <c r="L68" s="133">
        <v>28.85</v>
      </c>
      <c r="M68" s="133">
        <v>50.24</v>
      </c>
      <c r="N68" s="133">
        <v>88</v>
      </c>
      <c r="O68" s="133">
        <v>0</v>
      </c>
      <c r="P68" s="133">
        <v>0.7</v>
      </c>
      <c r="Q68" s="133">
        <v>4.4000000000000004</v>
      </c>
    </row>
    <row r="69" spans="1:17" customFormat="1">
      <c r="A69" s="111" t="s">
        <v>2506</v>
      </c>
      <c r="B69" s="133">
        <v>6.16</v>
      </c>
      <c r="C69" s="133">
        <v>20.7</v>
      </c>
      <c r="D69" s="133">
        <v>17.11</v>
      </c>
      <c r="E69" s="133">
        <v>7.41</v>
      </c>
      <c r="F69" s="133">
        <v>7.63</v>
      </c>
      <c r="G69" s="133">
        <v>66.05</v>
      </c>
      <c r="H69" s="133">
        <v>29.06</v>
      </c>
      <c r="I69" s="133">
        <v>5.69</v>
      </c>
      <c r="J69" s="133">
        <v>0.78</v>
      </c>
      <c r="K69" s="133">
        <v>27.21</v>
      </c>
      <c r="L69" s="133">
        <v>28.62</v>
      </c>
      <c r="M69" s="133">
        <v>50.73</v>
      </c>
      <c r="N69" s="133">
        <v>76.599999999999994</v>
      </c>
      <c r="O69" s="133">
        <v>0</v>
      </c>
      <c r="P69" s="133">
        <v>0.7</v>
      </c>
      <c r="Q69" s="133">
        <v>4.37</v>
      </c>
    </row>
    <row r="70" spans="1:17" customFormat="1">
      <c r="A70" s="111" t="s">
        <v>2507</v>
      </c>
      <c r="B70" s="133">
        <v>5.97</v>
      </c>
      <c r="C70" s="133">
        <v>20.59</v>
      </c>
      <c r="D70" s="133">
        <v>16.899999999999999</v>
      </c>
      <c r="E70" s="133">
        <v>6.96</v>
      </c>
      <c r="F70" s="133">
        <v>7.77</v>
      </c>
      <c r="G70" s="133">
        <v>66.05</v>
      </c>
      <c r="H70" s="133">
        <v>29.06</v>
      </c>
      <c r="I70" s="133">
        <v>5.63</v>
      </c>
      <c r="J70" s="133">
        <v>0.69</v>
      </c>
      <c r="K70" s="133">
        <v>34.200000000000003</v>
      </c>
      <c r="L70" s="133">
        <v>28.35</v>
      </c>
      <c r="M70" s="133">
        <v>52.03</v>
      </c>
      <c r="N70" s="133">
        <v>64.5</v>
      </c>
      <c r="O70" s="133">
        <v>0</v>
      </c>
      <c r="P70" s="133">
        <v>0.71</v>
      </c>
      <c r="Q70" s="133">
        <v>4.3600000000000003</v>
      </c>
    </row>
    <row r="71" spans="1:17" customFormat="1">
      <c r="A71" s="111" t="s">
        <v>2508</v>
      </c>
      <c r="B71" s="133">
        <v>5.71</v>
      </c>
      <c r="C71" s="133">
        <v>20.93</v>
      </c>
      <c r="D71" s="133">
        <v>16.87</v>
      </c>
      <c r="E71" s="133">
        <v>7.29</v>
      </c>
      <c r="F71" s="133">
        <v>10.48</v>
      </c>
      <c r="G71" s="133">
        <v>65.75</v>
      </c>
      <c r="H71" s="133">
        <v>28.97</v>
      </c>
      <c r="I71" s="133">
        <v>5.6</v>
      </c>
      <c r="J71" s="133">
        <v>0.75</v>
      </c>
      <c r="K71" s="133">
        <v>20.100000000000001</v>
      </c>
      <c r="L71" s="133">
        <v>28.2</v>
      </c>
      <c r="M71" s="133">
        <v>53.33</v>
      </c>
      <c r="N71" s="133">
        <v>57.6</v>
      </c>
      <c r="O71" s="133">
        <v>0</v>
      </c>
      <c r="P71" s="133">
        <v>0.71</v>
      </c>
      <c r="Q71" s="133">
        <v>4.37</v>
      </c>
    </row>
    <row r="72" spans="1:17" customFormat="1">
      <c r="A72" s="111" t="s">
        <v>2509</v>
      </c>
      <c r="B72" s="133">
        <v>5.47</v>
      </c>
      <c r="C72" s="133">
        <v>20.94</v>
      </c>
      <c r="D72" s="133">
        <v>16.68</v>
      </c>
      <c r="E72" s="133">
        <v>7.04</v>
      </c>
      <c r="F72" s="133">
        <v>8.98</v>
      </c>
      <c r="G72" s="133">
        <v>60.64</v>
      </c>
      <c r="H72" s="133">
        <v>27.47</v>
      </c>
      <c r="I72" s="133">
        <v>5.6</v>
      </c>
      <c r="J72" s="133">
        <v>0.8</v>
      </c>
      <c r="K72" s="133">
        <v>27.51</v>
      </c>
      <c r="L72" s="133">
        <v>27.97</v>
      </c>
      <c r="M72" s="133">
        <v>53.06</v>
      </c>
      <c r="N72" s="133">
        <v>49.5</v>
      </c>
      <c r="O72" s="133">
        <v>0</v>
      </c>
      <c r="P72" s="133">
        <v>0.7</v>
      </c>
      <c r="Q72" s="133">
        <v>4.3499999999999996</v>
      </c>
    </row>
    <row r="73" spans="1:17" customFormat="1">
      <c r="A73" s="111" t="s">
        <v>2510</v>
      </c>
      <c r="B73" s="133">
        <v>5.38</v>
      </c>
      <c r="C73" s="133">
        <v>21.4</v>
      </c>
      <c r="D73" s="133">
        <v>16.850000000000001</v>
      </c>
      <c r="E73" s="133">
        <v>6.25</v>
      </c>
      <c r="F73" s="133">
        <v>8.1999999999999993</v>
      </c>
      <c r="G73" s="133">
        <v>60.64</v>
      </c>
      <c r="H73" s="133">
        <v>27.47</v>
      </c>
      <c r="I73" s="133">
        <v>5.48</v>
      </c>
      <c r="J73" s="133">
        <v>0.64</v>
      </c>
      <c r="K73" s="133">
        <v>21.67</v>
      </c>
      <c r="L73" s="133">
        <v>27.75</v>
      </c>
      <c r="M73" s="133">
        <v>53.73</v>
      </c>
      <c r="N73" s="133">
        <v>33.6</v>
      </c>
      <c r="O73" s="133">
        <v>0</v>
      </c>
      <c r="P73" s="133">
        <v>0.7</v>
      </c>
      <c r="Q73" s="133">
        <v>4.32</v>
      </c>
    </row>
    <row r="74" spans="1:17" customFormat="1">
      <c r="A74" s="111" t="s">
        <v>2511</v>
      </c>
      <c r="B74" s="133">
        <v>5.23</v>
      </c>
      <c r="C74" s="133">
        <v>22.02</v>
      </c>
      <c r="D74" s="133">
        <v>17.05</v>
      </c>
      <c r="E74" s="133">
        <v>5.89</v>
      </c>
      <c r="F74" s="133">
        <v>7.85</v>
      </c>
      <c r="G74" s="133">
        <v>60.64</v>
      </c>
      <c r="H74" s="133">
        <v>27.47</v>
      </c>
      <c r="I74" s="133">
        <v>5.35</v>
      </c>
      <c r="J74" s="133">
        <v>0.66</v>
      </c>
      <c r="K74" s="133">
        <v>32.4</v>
      </c>
      <c r="L74" s="133">
        <v>27.53</v>
      </c>
      <c r="M74" s="133">
        <v>52.63</v>
      </c>
      <c r="N74" s="133">
        <v>29.6</v>
      </c>
      <c r="O74" s="133">
        <v>0</v>
      </c>
      <c r="P74" s="133">
        <v>0.7</v>
      </c>
      <c r="Q74" s="133">
        <v>4.3099999999999996</v>
      </c>
    </row>
    <row r="75" spans="1:17" customFormat="1">
      <c r="A75" s="111" t="s">
        <v>2512</v>
      </c>
      <c r="B75" s="133">
        <v>5.25</v>
      </c>
      <c r="C75" s="133">
        <v>22.52</v>
      </c>
      <c r="D75" s="133">
        <v>17.329999999999998</v>
      </c>
      <c r="E75" s="133">
        <v>6.27</v>
      </c>
      <c r="F75" s="133">
        <v>8.26</v>
      </c>
      <c r="G75" s="133">
        <v>60.24</v>
      </c>
      <c r="H75" s="133">
        <v>27.51</v>
      </c>
      <c r="I75" s="133">
        <v>5.25</v>
      </c>
      <c r="J75" s="133">
        <v>0.52</v>
      </c>
      <c r="K75" s="133">
        <v>35.659999999999997</v>
      </c>
      <c r="L75" s="133">
        <v>27.24</v>
      </c>
      <c r="M75" s="133">
        <v>53.5</v>
      </c>
      <c r="N75" s="133">
        <v>16.3</v>
      </c>
      <c r="O75" s="133">
        <v>0</v>
      </c>
      <c r="P75" s="133">
        <v>0.69</v>
      </c>
      <c r="Q75" s="133">
        <v>4.32</v>
      </c>
    </row>
    <row r="76" spans="1:17" customFormat="1">
      <c r="A76" s="111" t="s">
        <v>2513</v>
      </c>
      <c r="B76" s="133">
        <v>5.49</v>
      </c>
      <c r="C76" s="133">
        <v>22.84</v>
      </c>
      <c r="D76" s="133">
        <v>17.690000000000001</v>
      </c>
      <c r="E76" s="133">
        <v>5.65</v>
      </c>
      <c r="F76" s="133">
        <v>5.13</v>
      </c>
      <c r="G76" s="133">
        <v>53.37</v>
      </c>
      <c r="H76" s="133">
        <v>28.08</v>
      </c>
      <c r="I76" s="133">
        <v>5.19</v>
      </c>
      <c r="J76" s="133">
        <v>0.35</v>
      </c>
      <c r="K76" s="133">
        <v>52.02</v>
      </c>
      <c r="L76" s="133">
        <v>26.9</v>
      </c>
      <c r="M76" s="133">
        <v>55.07</v>
      </c>
      <c r="N76" s="133">
        <v>7.1</v>
      </c>
      <c r="O76" s="133">
        <v>0</v>
      </c>
      <c r="P76" s="133">
        <v>0.69</v>
      </c>
      <c r="Q76" s="133">
        <v>4.3099999999999996</v>
      </c>
    </row>
    <row r="77" spans="1:17" customFormat="1">
      <c r="A77" s="111" t="s">
        <v>2514</v>
      </c>
      <c r="B77" s="133">
        <v>5.56</v>
      </c>
      <c r="C77" s="133">
        <v>23.14</v>
      </c>
      <c r="D77" s="133">
        <v>17.899999999999999</v>
      </c>
      <c r="E77" s="133">
        <v>5.24</v>
      </c>
      <c r="F77" s="133">
        <v>4.84</v>
      </c>
      <c r="G77" s="133">
        <v>53.37</v>
      </c>
      <c r="H77" s="133">
        <v>28.08</v>
      </c>
      <c r="I77" s="133">
        <v>5.08</v>
      </c>
      <c r="J77" s="133">
        <v>0.23</v>
      </c>
      <c r="K77" s="133">
        <v>69.53</v>
      </c>
      <c r="L77" s="133">
        <v>26.6</v>
      </c>
      <c r="M77" s="133">
        <v>54.62</v>
      </c>
      <c r="N77" s="133">
        <v>0.6</v>
      </c>
      <c r="O77" s="133">
        <v>0</v>
      </c>
      <c r="P77" s="133">
        <v>0.69</v>
      </c>
      <c r="Q77" s="133">
        <v>4.3600000000000003</v>
      </c>
    </row>
    <row r="78" spans="1:17" customFormat="1">
      <c r="A78" s="111" t="s">
        <v>2515</v>
      </c>
      <c r="B78" s="133">
        <v>5.62</v>
      </c>
      <c r="C78" s="133">
        <v>23.33</v>
      </c>
      <c r="D78" s="133">
        <v>18.05</v>
      </c>
      <c r="E78" s="133">
        <v>4.47</v>
      </c>
      <c r="F78" s="133">
        <v>3.98</v>
      </c>
      <c r="G78" s="133">
        <v>53.37</v>
      </c>
      <c r="H78" s="133">
        <v>28.08</v>
      </c>
      <c r="I78" s="133">
        <v>5.08</v>
      </c>
      <c r="J78" s="133">
        <v>0.16</v>
      </c>
      <c r="K78" s="133">
        <v>70.39</v>
      </c>
      <c r="L78" s="133">
        <v>26.23</v>
      </c>
      <c r="M78" s="133">
        <v>59.25</v>
      </c>
      <c r="N78" s="133">
        <v>0</v>
      </c>
      <c r="O78" s="133">
        <v>0</v>
      </c>
      <c r="P78" s="133">
        <v>0.69</v>
      </c>
      <c r="Q78" s="133">
        <v>4.38</v>
      </c>
    </row>
    <row r="79" spans="1:17" customFormat="1">
      <c r="A79" s="111" t="s">
        <v>2516</v>
      </c>
      <c r="B79" s="133">
        <v>5.73</v>
      </c>
      <c r="C79" s="133">
        <v>23.57</v>
      </c>
      <c r="D79" s="133">
        <v>18.260000000000002</v>
      </c>
      <c r="E79" s="133">
        <v>4.17</v>
      </c>
      <c r="F79" s="133">
        <v>3.47</v>
      </c>
      <c r="G79" s="133">
        <v>53.7</v>
      </c>
      <c r="H79" s="133">
        <v>27.89</v>
      </c>
      <c r="I79" s="133">
        <v>5.05</v>
      </c>
      <c r="J79" s="133">
        <v>0.1</v>
      </c>
      <c r="K79" s="133">
        <v>116.74</v>
      </c>
      <c r="L79" s="133">
        <v>25.76</v>
      </c>
      <c r="M79" s="133">
        <v>62.05</v>
      </c>
      <c r="N79" s="133">
        <v>0</v>
      </c>
      <c r="O79" s="133">
        <v>0</v>
      </c>
      <c r="P79" s="133">
        <v>0.68</v>
      </c>
      <c r="Q79" s="133">
        <v>4.37</v>
      </c>
    </row>
    <row r="80" spans="1:17" customFormat="1">
      <c r="A80" s="111" t="s">
        <v>2517</v>
      </c>
      <c r="B80" s="133">
        <v>5.96</v>
      </c>
      <c r="C80" s="133">
        <v>23.62</v>
      </c>
      <c r="D80" s="133">
        <v>18.47</v>
      </c>
      <c r="E80" s="133">
        <v>5.22</v>
      </c>
      <c r="F80" s="133">
        <v>3.56</v>
      </c>
      <c r="G80" s="133">
        <v>59.31</v>
      </c>
      <c r="H80" s="133">
        <v>24.94</v>
      </c>
      <c r="I80" s="133">
        <v>5</v>
      </c>
      <c r="J80" s="133">
        <v>0.11</v>
      </c>
      <c r="K80" s="133">
        <v>144.30000000000001</v>
      </c>
      <c r="L80" s="133">
        <v>25.24</v>
      </c>
      <c r="M80" s="133">
        <v>66.180000000000007</v>
      </c>
      <c r="N80" s="133">
        <v>0</v>
      </c>
      <c r="O80" s="133">
        <v>0</v>
      </c>
      <c r="P80" s="133">
        <v>0.69</v>
      </c>
      <c r="Q80" s="133">
        <v>4.3899999999999997</v>
      </c>
    </row>
    <row r="81" spans="1:17" customFormat="1">
      <c r="A81" s="111" t="s">
        <v>2518</v>
      </c>
      <c r="B81" s="133">
        <v>6.13</v>
      </c>
      <c r="C81" s="133">
        <v>23.45</v>
      </c>
      <c r="D81" s="133">
        <v>18.52</v>
      </c>
      <c r="E81" s="133">
        <v>5.0999999999999996</v>
      </c>
      <c r="F81" s="133">
        <v>3.23</v>
      </c>
      <c r="G81" s="133">
        <v>59.31</v>
      </c>
      <c r="H81" s="133">
        <v>24.94</v>
      </c>
      <c r="I81" s="133">
        <v>4.96</v>
      </c>
      <c r="J81" s="133">
        <v>0.24</v>
      </c>
      <c r="K81" s="133">
        <v>169.55</v>
      </c>
      <c r="L81" s="133">
        <v>24.57</v>
      </c>
      <c r="M81" s="133">
        <v>71.099999999999994</v>
      </c>
      <c r="N81" s="133">
        <v>0</v>
      </c>
      <c r="O81" s="133">
        <v>0</v>
      </c>
      <c r="P81" s="133">
        <v>0.68</v>
      </c>
      <c r="Q81" s="133">
        <v>4.41</v>
      </c>
    </row>
    <row r="82" spans="1:17" customFormat="1">
      <c r="A82" s="111" t="s">
        <v>2519</v>
      </c>
      <c r="B82" s="133">
        <v>6.27</v>
      </c>
      <c r="C82" s="133">
        <v>23.52</v>
      </c>
      <c r="D82" s="133">
        <v>18.670000000000002</v>
      </c>
      <c r="E82" s="133">
        <v>6.19</v>
      </c>
      <c r="F82" s="133">
        <v>2.97</v>
      </c>
      <c r="G82" s="133">
        <v>59.31</v>
      </c>
      <c r="H82" s="133">
        <v>24.94</v>
      </c>
      <c r="I82" s="133">
        <v>4.97</v>
      </c>
      <c r="J82" s="133">
        <v>0.14000000000000001</v>
      </c>
      <c r="K82" s="133">
        <v>195.91</v>
      </c>
      <c r="L82" s="133">
        <v>23.87</v>
      </c>
      <c r="M82" s="133">
        <v>77.55</v>
      </c>
      <c r="N82" s="133">
        <v>0</v>
      </c>
      <c r="O82" s="133">
        <v>0</v>
      </c>
      <c r="P82" s="133">
        <v>0.69</v>
      </c>
      <c r="Q82" s="133">
        <v>4.43</v>
      </c>
    </row>
    <row r="83" spans="1:17" customFormat="1">
      <c r="A83" s="111" t="s">
        <v>2520</v>
      </c>
      <c r="B83" s="133">
        <v>6.43</v>
      </c>
      <c r="C83" s="133">
        <v>23.54</v>
      </c>
      <c r="D83" s="133">
        <v>18.809999999999999</v>
      </c>
      <c r="E83" s="133">
        <v>6.06</v>
      </c>
      <c r="F83" s="133">
        <v>2.78</v>
      </c>
      <c r="G83" s="133">
        <v>59.87</v>
      </c>
      <c r="H83" s="133">
        <v>25.35</v>
      </c>
      <c r="I83" s="133">
        <v>5.1100000000000003</v>
      </c>
      <c r="J83" s="133">
        <v>0.24</v>
      </c>
      <c r="K83" s="133">
        <v>224.14</v>
      </c>
      <c r="L83" s="133">
        <v>23.33</v>
      </c>
      <c r="M83" s="133">
        <v>79.760000000000005</v>
      </c>
      <c r="N83" s="133">
        <v>0</v>
      </c>
      <c r="O83" s="133">
        <v>0</v>
      </c>
      <c r="P83" s="133">
        <v>0.7</v>
      </c>
      <c r="Q83" s="133">
        <v>4.4400000000000004</v>
      </c>
    </row>
    <row r="84" spans="1:17" customFormat="1">
      <c r="A84" s="111" t="s">
        <v>2521</v>
      </c>
      <c r="B84" s="133">
        <v>6.68</v>
      </c>
      <c r="C84" s="133">
        <v>23.36</v>
      </c>
      <c r="D84" s="133">
        <v>18.920000000000002</v>
      </c>
      <c r="E84" s="133">
        <v>6.26</v>
      </c>
      <c r="F84" s="133">
        <v>2.94</v>
      </c>
      <c r="G84" s="133">
        <v>69.53</v>
      </c>
      <c r="H84" s="133">
        <v>31.68</v>
      </c>
      <c r="I84" s="133">
        <v>5.33</v>
      </c>
      <c r="J84" s="133">
        <v>0.15</v>
      </c>
      <c r="K84" s="133">
        <v>217.65</v>
      </c>
      <c r="L84" s="133">
        <v>22.82</v>
      </c>
      <c r="M84" s="133">
        <v>77.83</v>
      </c>
      <c r="N84" s="133">
        <v>0</v>
      </c>
      <c r="O84" s="133">
        <v>0</v>
      </c>
      <c r="P84" s="133">
        <v>0.69</v>
      </c>
      <c r="Q84" s="133">
        <v>4.45</v>
      </c>
    </row>
    <row r="85" spans="1:17" customFormat="1">
      <c r="A85" s="111" t="s">
        <v>2522</v>
      </c>
      <c r="B85" s="133">
        <v>6.74</v>
      </c>
      <c r="C85" s="133">
        <v>23.12</v>
      </c>
      <c r="D85" s="133">
        <v>18.829999999999998</v>
      </c>
      <c r="E85" s="133">
        <v>6.17</v>
      </c>
      <c r="F85" s="133">
        <v>2.89</v>
      </c>
      <c r="G85" s="133">
        <v>69.53</v>
      </c>
      <c r="H85" s="133">
        <v>31.68</v>
      </c>
      <c r="I85" s="133">
        <v>5.44</v>
      </c>
      <c r="J85" s="133">
        <v>0.15</v>
      </c>
      <c r="K85" s="133">
        <v>213.34</v>
      </c>
      <c r="L85" s="133">
        <v>22.56</v>
      </c>
      <c r="M85" s="133">
        <v>86.91</v>
      </c>
      <c r="N85" s="133">
        <v>0</v>
      </c>
      <c r="O85" s="133">
        <v>0</v>
      </c>
      <c r="P85" s="133">
        <v>0.69</v>
      </c>
      <c r="Q85" s="133">
        <v>4.46</v>
      </c>
    </row>
    <row r="86" spans="1:17" customFormat="1">
      <c r="A86" s="111" t="s">
        <v>2523</v>
      </c>
      <c r="B86" s="133">
        <v>6.96</v>
      </c>
      <c r="C86" s="133">
        <v>22.39</v>
      </c>
      <c r="D86" s="133">
        <v>18.63</v>
      </c>
      <c r="E86" s="133">
        <v>6.41</v>
      </c>
      <c r="F86" s="133">
        <v>2.78</v>
      </c>
      <c r="G86" s="133">
        <v>69.53</v>
      </c>
      <c r="H86" s="133">
        <v>31.68</v>
      </c>
      <c r="I86" s="133">
        <v>5.48</v>
      </c>
      <c r="J86" s="133">
        <v>0.16</v>
      </c>
      <c r="K86" s="133">
        <v>156.06</v>
      </c>
      <c r="L86" s="133">
        <v>22.48</v>
      </c>
      <c r="M86" s="133">
        <v>88.83</v>
      </c>
      <c r="N86" s="133">
        <v>0</v>
      </c>
      <c r="O86" s="133">
        <v>0</v>
      </c>
      <c r="P86" s="133">
        <v>0.7</v>
      </c>
      <c r="Q86" s="133">
        <v>4.45</v>
      </c>
    </row>
    <row r="87" spans="1:17" customFormat="1">
      <c r="A87" s="111" t="s">
        <v>2524</v>
      </c>
      <c r="B87" s="133">
        <v>7.1</v>
      </c>
      <c r="C87" s="133">
        <v>22.39</v>
      </c>
      <c r="D87" s="133">
        <v>18.739999999999998</v>
      </c>
      <c r="E87" s="133">
        <v>6.22</v>
      </c>
      <c r="F87" s="133">
        <v>2.79</v>
      </c>
      <c r="G87" s="133">
        <v>69.42</v>
      </c>
      <c r="H87" s="133">
        <v>31.51</v>
      </c>
      <c r="I87" s="133">
        <v>5.48</v>
      </c>
      <c r="J87" s="133">
        <v>0.13</v>
      </c>
      <c r="K87" s="133">
        <v>167.34</v>
      </c>
      <c r="L87" s="133">
        <v>22.54</v>
      </c>
      <c r="M87" s="133">
        <v>83.74</v>
      </c>
      <c r="N87" s="133">
        <v>0</v>
      </c>
      <c r="O87" s="133">
        <v>0</v>
      </c>
      <c r="P87" s="133">
        <v>0.7</v>
      </c>
      <c r="Q87" s="133">
        <v>4.4800000000000004</v>
      </c>
    </row>
    <row r="88" spans="1:17" customFormat="1">
      <c r="A88" s="111" t="s">
        <v>2525</v>
      </c>
      <c r="B88" s="133">
        <v>7.27</v>
      </c>
      <c r="C88" s="133">
        <v>22.89</v>
      </c>
      <c r="D88" s="133">
        <v>19.14</v>
      </c>
      <c r="E88" s="133">
        <v>6.22</v>
      </c>
      <c r="F88" s="133">
        <v>2.76</v>
      </c>
      <c r="G88" s="133">
        <v>67.11</v>
      </c>
      <c r="H88" s="133">
        <v>28.73</v>
      </c>
      <c r="I88" s="133">
        <v>5.5</v>
      </c>
      <c r="J88" s="133">
        <v>0.19</v>
      </c>
      <c r="K88" s="133">
        <v>236.35</v>
      </c>
      <c r="L88" s="133">
        <v>22.29</v>
      </c>
      <c r="M88" s="133">
        <v>87.06</v>
      </c>
      <c r="N88" s="133">
        <v>0</v>
      </c>
      <c r="O88" s="133">
        <v>0</v>
      </c>
      <c r="P88" s="133">
        <v>0.71</v>
      </c>
      <c r="Q88" s="133">
        <v>4.51</v>
      </c>
    </row>
    <row r="89" spans="1:17" customFormat="1">
      <c r="A89" s="111" t="s">
        <v>2526</v>
      </c>
      <c r="B89" s="133">
        <v>7.55</v>
      </c>
      <c r="C89" s="133">
        <v>23.16</v>
      </c>
      <c r="D89" s="133">
        <v>19.510000000000002</v>
      </c>
      <c r="E89" s="133">
        <v>7.02</v>
      </c>
      <c r="F89" s="133">
        <v>2.64</v>
      </c>
      <c r="G89" s="133">
        <v>67.11</v>
      </c>
      <c r="H89" s="133">
        <v>28.73</v>
      </c>
      <c r="I89" s="133">
        <v>5.57</v>
      </c>
      <c r="J89" s="133">
        <v>0.12</v>
      </c>
      <c r="K89" s="133">
        <v>230.55</v>
      </c>
      <c r="L89" s="133">
        <v>22</v>
      </c>
      <c r="M89" s="133">
        <v>86.79</v>
      </c>
      <c r="N89" s="133">
        <v>0</v>
      </c>
      <c r="O89" s="133">
        <v>0</v>
      </c>
      <c r="P89" s="133">
        <v>0.72</v>
      </c>
      <c r="Q89" s="133">
        <v>4.5199999999999996</v>
      </c>
    </row>
    <row r="90" spans="1:17" customFormat="1">
      <c r="A90" s="111" t="s">
        <v>2527</v>
      </c>
      <c r="B90" s="133">
        <v>7.82</v>
      </c>
      <c r="C90" s="133">
        <v>23.3</v>
      </c>
      <c r="D90" s="133">
        <v>19.79</v>
      </c>
      <c r="E90" s="133">
        <v>6.75</v>
      </c>
      <c r="F90" s="133">
        <v>2.58</v>
      </c>
      <c r="G90" s="133">
        <v>67.11</v>
      </c>
      <c r="H90" s="133">
        <v>28.73</v>
      </c>
      <c r="I90" s="133">
        <v>5.65</v>
      </c>
      <c r="J90" s="133">
        <v>0.09</v>
      </c>
      <c r="K90" s="133">
        <v>164.15</v>
      </c>
      <c r="L90" s="133">
        <v>21.82</v>
      </c>
      <c r="M90" s="133">
        <v>91.3</v>
      </c>
      <c r="N90" s="133">
        <v>0</v>
      </c>
      <c r="O90" s="133">
        <v>0</v>
      </c>
      <c r="P90" s="133">
        <v>0.73</v>
      </c>
      <c r="Q90" s="133">
        <v>4.54</v>
      </c>
    </row>
    <row r="91" spans="1:17" customFormat="1">
      <c r="A91" s="111" t="s">
        <v>2528</v>
      </c>
      <c r="B91" s="133">
        <v>8.2100000000000009</v>
      </c>
      <c r="C91" s="133">
        <v>23.55</v>
      </c>
      <c r="D91" s="133">
        <v>20.239999999999998</v>
      </c>
      <c r="E91" s="133">
        <v>6.73</v>
      </c>
      <c r="F91" s="133">
        <v>2.68</v>
      </c>
      <c r="G91" s="133">
        <v>67.239999999999995</v>
      </c>
      <c r="H91" s="133">
        <v>28.89</v>
      </c>
      <c r="I91" s="133">
        <v>5.79</v>
      </c>
      <c r="J91" s="133">
        <v>0.13</v>
      </c>
      <c r="K91" s="133">
        <v>178.07</v>
      </c>
      <c r="L91" s="133">
        <v>21.72</v>
      </c>
      <c r="M91" s="133">
        <v>89.4</v>
      </c>
      <c r="N91" s="133">
        <v>0</v>
      </c>
      <c r="O91" s="133">
        <v>0</v>
      </c>
      <c r="P91" s="133">
        <v>0.72</v>
      </c>
      <c r="Q91" s="133">
        <v>4.55</v>
      </c>
    </row>
    <row r="92" spans="1:17" customFormat="1">
      <c r="A92" s="111" t="s">
        <v>2529</v>
      </c>
      <c r="B92" s="133">
        <v>8.64</v>
      </c>
      <c r="C92" s="133">
        <v>21.78</v>
      </c>
      <c r="D92" s="133">
        <v>19.66</v>
      </c>
      <c r="E92" s="133">
        <v>6.02</v>
      </c>
      <c r="F92" s="133">
        <v>2.92</v>
      </c>
      <c r="G92" s="133">
        <v>70.069999999999993</v>
      </c>
      <c r="H92" s="133">
        <v>31.44</v>
      </c>
      <c r="I92" s="133">
        <v>5.84</v>
      </c>
      <c r="J92" s="133">
        <v>0.09</v>
      </c>
      <c r="K92" s="133">
        <v>177.37</v>
      </c>
      <c r="L92" s="133">
        <v>21.69</v>
      </c>
      <c r="M92" s="133">
        <v>86.11</v>
      </c>
      <c r="N92" s="133">
        <v>0</v>
      </c>
      <c r="O92" s="133">
        <v>0</v>
      </c>
      <c r="P92" s="133">
        <v>0.7</v>
      </c>
      <c r="Q92" s="133">
        <v>4.58</v>
      </c>
    </row>
    <row r="93" spans="1:17" customFormat="1">
      <c r="A93" s="111" t="s">
        <v>2530</v>
      </c>
      <c r="B93" s="133">
        <v>9.5</v>
      </c>
      <c r="C93" s="133">
        <v>20.45</v>
      </c>
      <c r="D93" s="133">
        <v>19.649999999999999</v>
      </c>
      <c r="E93" s="133">
        <v>6.03</v>
      </c>
      <c r="F93" s="133">
        <v>2.81</v>
      </c>
      <c r="G93" s="133">
        <v>70.069999999999993</v>
      </c>
      <c r="H93" s="133">
        <v>31.44</v>
      </c>
      <c r="I93" s="133">
        <v>5.92</v>
      </c>
      <c r="J93" s="133">
        <v>0.08</v>
      </c>
      <c r="K93" s="133">
        <v>193.43</v>
      </c>
      <c r="L93" s="133">
        <v>21.9</v>
      </c>
      <c r="M93" s="133">
        <v>83.3</v>
      </c>
      <c r="N93" s="133">
        <v>0</v>
      </c>
      <c r="O93" s="133">
        <v>0</v>
      </c>
      <c r="P93" s="133">
        <v>0.71</v>
      </c>
      <c r="Q93" s="133">
        <v>4.6100000000000003</v>
      </c>
    </row>
    <row r="94" spans="1:17" customFormat="1">
      <c r="A94" s="111" t="s">
        <v>2531</v>
      </c>
      <c r="B94" s="133">
        <v>11.88</v>
      </c>
      <c r="C94" s="133">
        <v>20.52</v>
      </c>
      <c r="D94" s="133">
        <v>21.6</v>
      </c>
      <c r="E94" s="133">
        <v>5.41</v>
      </c>
      <c r="F94" s="133">
        <v>2.71</v>
      </c>
      <c r="G94" s="133">
        <v>70.069999999999993</v>
      </c>
      <c r="H94" s="133">
        <v>31.44</v>
      </c>
      <c r="I94" s="133">
        <v>5.99</v>
      </c>
      <c r="J94" s="133">
        <v>0.09</v>
      </c>
      <c r="K94" s="133">
        <v>138.93</v>
      </c>
      <c r="L94" s="133">
        <v>21.92</v>
      </c>
      <c r="M94" s="133">
        <v>83.89</v>
      </c>
      <c r="N94" s="133">
        <v>0</v>
      </c>
      <c r="O94" s="133">
        <v>0</v>
      </c>
      <c r="P94" s="133">
        <v>0.73</v>
      </c>
      <c r="Q94" s="133">
        <v>4.68</v>
      </c>
    </row>
    <row r="95" spans="1:17" customFormat="1">
      <c r="A95" s="111" t="s">
        <v>2532</v>
      </c>
      <c r="B95" s="133">
        <v>14.61</v>
      </c>
      <c r="C95" s="133">
        <v>23.08</v>
      </c>
      <c r="D95" s="133">
        <v>25.13</v>
      </c>
      <c r="E95" s="133">
        <v>5.82</v>
      </c>
      <c r="F95" s="133">
        <v>2.37</v>
      </c>
      <c r="G95" s="133">
        <v>70.75</v>
      </c>
      <c r="H95" s="133">
        <v>31.64</v>
      </c>
      <c r="I95" s="133">
        <v>6.07</v>
      </c>
      <c r="J95" s="133">
        <v>0.09</v>
      </c>
      <c r="K95" s="133">
        <v>103.1</v>
      </c>
      <c r="L95" s="133">
        <v>21.98</v>
      </c>
      <c r="M95" s="133">
        <v>82.68</v>
      </c>
      <c r="N95" s="133">
        <v>0</v>
      </c>
      <c r="O95" s="133">
        <v>0</v>
      </c>
      <c r="P95" s="133">
        <v>0.78</v>
      </c>
      <c r="Q95" s="133">
        <v>4.79</v>
      </c>
    </row>
    <row r="96" spans="1:17" customFormat="1">
      <c r="A96" s="111" t="s">
        <v>2533</v>
      </c>
      <c r="B96" s="133">
        <v>17.27</v>
      </c>
      <c r="C96" s="133">
        <v>22.68</v>
      </c>
      <c r="D96" s="133">
        <v>27.05</v>
      </c>
      <c r="E96" s="133">
        <v>6.37</v>
      </c>
      <c r="F96" s="133">
        <v>2.46</v>
      </c>
      <c r="G96" s="133">
        <v>85.5</v>
      </c>
      <c r="H96" s="133">
        <v>34.659999999999997</v>
      </c>
      <c r="I96" s="133">
        <v>6.26</v>
      </c>
      <c r="J96" s="133">
        <v>0.11</v>
      </c>
      <c r="K96" s="133">
        <v>97.69</v>
      </c>
      <c r="L96" s="133">
        <v>22.01</v>
      </c>
      <c r="M96" s="133">
        <v>82.34</v>
      </c>
      <c r="N96" s="133">
        <v>0</v>
      </c>
      <c r="O96" s="133">
        <v>0</v>
      </c>
      <c r="P96" s="133">
        <v>0.82</v>
      </c>
      <c r="Q96" s="133">
        <v>4.9400000000000004</v>
      </c>
    </row>
    <row r="97" spans="1:22" customFormat="1">
      <c r="A97" s="111" t="s">
        <v>2534</v>
      </c>
      <c r="B97" s="133">
        <v>18.61</v>
      </c>
      <c r="C97" s="133">
        <v>24.24</v>
      </c>
      <c r="D97" s="133">
        <v>28.94</v>
      </c>
      <c r="E97" s="133">
        <v>6.35</v>
      </c>
      <c r="F97" s="133">
        <v>2.2799999999999998</v>
      </c>
      <c r="G97" s="133">
        <v>85.5</v>
      </c>
      <c r="H97" s="133">
        <v>34.659999999999997</v>
      </c>
      <c r="I97" s="133">
        <v>6.57</v>
      </c>
      <c r="J97" s="133">
        <v>0</v>
      </c>
      <c r="K97" s="133">
        <v>151.82</v>
      </c>
      <c r="L97" s="133">
        <v>22.03</v>
      </c>
      <c r="M97" s="133">
        <v>81.37</v>
      </c>
      <c r="N97" s="133">
        <v>0</v>
      </c>
      <c r="O97" s="133">
        <v>0</v>
      </c>
      <c r="P97" s="133">
        <v>0.87</v>
      </c>
      <c r="Q97" s="133">
        <v>5.01</v>
      </c>
    </row>
    <row r="98" spans="1:22" customFormat="1">
      <c r="A98" s="111" t="s">
        <v>2535</v>
      </c>
      <c r="B98" s="133">
        <v>19.420000000000002</v>
      </c>
      <c r="C98" s="133">
        <v>23.53</v>
      </c>
      <c r="D98" s="133">
        <v>29.22</v>
      </c>
      <c r="E98" s="133">
        <v>6.06</v>
      </c>
      <c r="F98" s="133">
        <v>2.57</v>
      </c>
      <c r="G98" s="133">
        <v>85.5</v>
      </c>
      <c r="H98" s="133">
        <v>34.659999999999997</v>
      </c>
      <c r="I98" s="133">
        <v>6.86</v>
      </c>
      <c r="J98" s="133">
        <v>0.16</v>
      </c>
      <c r="K98" s="133">
        <v>214.39</v>
      </c>
      <c r="L98" s="133">
        <v>21.56</v>
      </c>
      <c r="M98" s="133">
        <v>89.49</v>
      </c>
      <c r="N98" s="133">
        <v>0</v>
      </c>
      <c r="O98" s="133">
        <v>0</v>
      </c>
      <c r="P98" s="133">
        <v>0.88</v>
      </c>
      <c r="Q98" s="133">
        <v>5.08</v>
      </c>
    </row>
    <row r="99" spans="1:22" customFormat="1">
      <c r="A99" s="111" t="s">
        <v>2536</v>
      </c>
      <c r="B99" s="133">
        <v>19.690000000000001</v>
      </c>
      <c r="C99" s="133">
        <v>22.28</v>
      </c>
      <c r="D99" s="133">
        <v>28.79</v>
      </c>
      <c r="E99" s="133">
        <v>5.91</v>
      </c>
      <c r="F99" s="133">
        <v>2.58</v>
      </c>
      <c r="G99" s="133">
        <v>85.76</v>
      </c>
      <c r="H99" s="133">
        <v>35.08</v>
      </c>
      <c r="I99" s="133">
        <v>7.19</v>
      </c>
      <c r="J99" s="133">
        <v>0.13</v>
      </c>
      <c r="K99" s="133">
        <v>226.14</v>
      </c>
      <c r="L99" s="133">
        <v>21.17</v>
      </c>
      <c r="M99" s="133">
        <v>88.83</v>
      </c>
      <c r="N99" s="133">
        <v>0</v>
      </c>
      <c r="O99" s="133">
        <v>0</v>
      </c>
      <c r="P99" s="133">
        <v>0.9</v>
      </c>
      <c r="Q99" s="133">
        <v>5.0999999999999996</v>
      </c>
    </row>
    <row r="100" spans="1:22" customFormat="1">
      <c r="A100" s="111" t="s">
        <v>2537</v>
      </c>
      <c r="B100" s="133">
        <v>20.21</v>
      </c>
      <c r="C100" s="133">
        <v>23.3</v>
      </c>
      <c r="D100" s="133">
        <v>29.73</v>
      </c>
      <c r="E100" s="133">
        <v>5.84</v>
      </c>
      <c r="F100" s="133">
        <v>2.5</v>
      </c>
      <c r="G100" s="133">
        <v>90.21</v>
      </c>
      <c r="H100" s="133">
        <v>41.5</v>
      </c>
      <c r="I100" s="133">
        <v>7.47</v>
      </c>
      <c r="J100" s="133">
        <v>0.17</v>
      </c>
      <c r="K100" s="133">
        <v>247.2</v>
      </c>
      <c r="L100" s="133">
        <v>21.08</v>
      </c>
      <c r="M100" s="133">
        <v>88.35</v>
      </c>
      <c r="N100" s="133">
        <v>0</v>
      </c>
      <c r="O100" s="133">
        <v>0</v>
      </c>
      <c r="P100" s="133">
        <v>0.92</v>
      </c>
      <c r="Q100" s="133">
        <v>5.13</v>
      </c>
    </row>
    <row r="101" spans="1:22" customFormat="1">
      <c r="A101" s="111" t="s">
        <v>2538</v>
      </c>
      <c r="B101" s="133">
        <v>21.15</v>
      </c>
      <c r="C101" s="133">
        <v>24.71</v>
      </c>
      <c r="D101" s="133">
        <v>31.22</v>
      </c>
      <c r="E101" s="133">
        <v>6.47</v>
      </c>
      <c r="F101" s="133">
        <v>2.33</v>
      </c>
      <c r="G101" s="133">
        <v>90.21</v>
      </c>
      <c r="H101" s="133">
        <v>41.5</v>
      </c>
      <c r="I101" s="133">
        <v>7.66</v>
      </c>
      <c r="J101" s="133">
        <v>0.34</v>
      </c>
      <c r="K101" s="133">
        <v>175.93</v>
      </c>
      <c r="L101" s="133">
        <v>21.05</v>
      </c>
      <c r="M101" s="133">
        <v>87.8</v>
      </c>
      <c r="N101" s="133">
        <v>0</v>
      </c>
      <c r="O101" s="133">
        <v>0</v>
      </c>
      <c r="P101" s="133">
        <v>0.96</v>
      </c>
      <c r="Q101" s="133">
        <v>5.17</v>
      </c>
    </row>
    <row r="102" spans="1:22" customFormat="1">
      <c r="A102" s="111" t="s">
        <v>2539</v>
      </c>
      <c r="B102" s="133">
        <v>22.11</v>
      </c>
      <c r="C102" s="133">
        <v>23.24</v>
      </c>
      <c r="D102" s="133">
        <v>31.22</v>
      </c>
      <c r="E102" s="133">
        <v>6.53</v>
      </c>
      <c r="F102" s="133">
        <v>2.73</v>
      </c>
      <c r="G102" s="133">
        <v>90.21</v>
      </c>
      <c r="H102" s="133">
        <v>41.5</v>
      </c>
      <c r="I102" s="133">
        <v>7.85</v>
      </c>
      <c r="J102" s="133">
        <v>0.1</v>
      </c>
      <c r="K102" s="133">
        <v>176.91</v>
      </c>
      <c r="L102" s="133">
        <v>20.92</v>
      </c>
      <c r="M102" s="133">
        <v>89.7</v>
      </c>
      <c r="N102" s="133">
        <v>0</v>
      </c>
      <c r="O102" s="133">
        <v>0</v>
      </c>
      <c r="P102" s="133">
        <v>0.96</v>
      </c>
      <c r="Q102" s="133">
        <v>5.21</v>
      </c>
    </row>
    <row r="103" spans="1:22" customFormat="1">
      <c r="A103" s="111" t="s">
        <v>2540</v>
      </c>
      <c r="B103" s="133">
        <v>22.63</v>
      </c>
      <c r="C103" s="133">
        <v>24.43</v>
      </c>
      <c r="D103" s="133">
        <v>32.26</v>
      </c>
      <c r="E103" s="133">
        <v>6.41</v>
      </c>
      <c r="F103" s="133">
        <v>2.46</v>
      </c>
      <c r="G103" s="133">
        <v>90.24</v>
      </c>
      <c r="H103" s="133">
        <v>41.34</v>
      </c>
      <c r="I103" s="133">
        <v>8.07</v>
      </c>
      <c r="J103" s="133">
        <v>0.1</v>
      </c>
      <c r="K103" s="133">
        <v>179.42</v>
      </c>
      <c r="L103" s="133">
        <v>20.83</v>
      </c>
      <c r="M103" s="133">
        <v>88.59</v>
      </c>
      <c r="N103" s="133">
        <v>0</v>
      </c>
      <c r="O103" s="133">
        <v>0</v>
      </c>
      <c r="P103" s="133">
        <v>0.99</v>
      </c>
      <c r="Q103" s="133">
        <v>5.25</v>
      </c>
    </row>
    <row r="104" spans="1:22" customFormat="1">
      <c r="A104" s="111" t="s">
        <v>2541</v>
      </c>
      <c r="B104" s="133">
        <v>24.63</v>
      </c>
      <c r="C104" s="133">
        <v>23.9</v>
      </c>
      <c r="D104" s="133">
        <v>33.590000000000003</v>
      </c>
      <c r="E104" s="133">
        <v>6.23</v>
      </c>
      <c r="F104" s="133">
        <v>2.58</v>
      </c>
      <c r="G104" s="133">
        <v>90.66</v>
      </c>
      <c r="H104" s="133">
        <v>38.770000000000003</v>
      </c>
      <c r="I104" s="133">
        <v>8.27</v>
      </c>
      <c r="J104" s="133">
        <v>0.03</v>
      </c>
      <c r="K104" s="133">
        <v>186.21</v>
      </c>
      <c r="L104" s="133">
        <v>20.8</v>
      </c>
      <c r="M104" s="133">
        <v>88.12</v>
      </c>
      <c r="N104" s="133">
        <v>0</v>
      </c>
      <c r="O104" s="133">
        <v>0</v>
      </c>
      <c r="P104" s="133">
        <v>1</v>
      </c>
      <c r="Q104" s="133">
        <v>5.35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5.23</v>
      </c>
      <c r="C106" s="183">
        <f>MIN(C9:C104)</f>
        <v>20.45</v>
      </c>
      <c r="D106" s="183">
        <f t="shared" ref="D106:Q106" si="0">MIN(D9:D104)</f>
        <v>16.68</v>
      </c>
      <c r="E106" s="183">
        <f t="shared" si="0"/>
        <v>4.12</v>
      </c>
      <c r="F106" s="183">
        <f t="shared" si="0"/>
        <v>2.2799999999999998</v>
      </c>
      <c r="G106" s="183">
        <f t="shared" si="0"/>
        <v>53.37</v>
      </c>
      <c r="H106" s="183">
        <f t="shared" si="0"/>
        <v>24.44</v>
      </c>
      <c r="I106" s="183">
        <f t="shared" si="0"/>
        <v>4.96</v>
      </c>
      <c r="J106" s="183">
        <f t="shared" si="0"/>
        <v>0</v>
      </c>
      <c r="K106" s="183">
        <f t="shared" si="0"/>
        <v>4.7</v>
      </c>
      <c r="L106" s="183">
        <f t="shared" si="0"/>
        <v>18.829999999999998</v>
      </c>
      <c r="M106" s="183">
        <f t="shared" si="0"/>
        <v>42.46</v>
      </c>
      <c r="N106" s="183">
        <f t="shared" si="0"/>
        <v>0</v>
      </c>
      <c r="O106" s="183">
        <f t="shared" si="0"/>
        <v>0</v>
      </c>
      <c r="P106" s="183">
        <f t="shared" si="0"/>
        <v>0.68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41.8</v>
      </c>
      <c r="C107" s="184">
        <f t="shared" ref="C107:Q107" si="1">MAX(C9:C104)</f>
        <v>32.92</v>
      </c>
      <c r="D107" s="184">
        <f t="shared" si="1"/>
        <v>51.98</v>
      </c>
      <c r="E107" s="184">
        <f t="shared" si="1"/>
        <v>9.4</v>
      </c>
      <c r="F107" s="184">
        <f t="shared" si="1"/>
        <v>10.48</v>
      </c>
      <c r="G107" s="184">
        <f t="shared" si="1"/>
        <v>137.21</v>
      </c>
      <c r="H107" s="184">
        <f t="shared" si="1"/>
        <v>45.35</v>
      </c>
      <c r="I107" s="184">
        <f t="shared" si="1"/>
        <v>9.1999999999999993</v>
      </c>
      <c r="J107" s="184">
        <f t="shared" si="1"/>
        <v>0.8</v>
      </c>
      <c r="K107" s="184">
        <f t="shared" si="1"/>
        <v>348.08</v>
      </c>
      <c r="L107" s="184">
        <f t="shared" si="1"/>
        <v>30.29</v>
      </c>
      <c r="M107" s="184">
        <f t="shared" si="1"/>
        <v>91.3</v>
      </c>
      <c r="N107" s="184">
        <f t="shared" si="1"/>
        <v>655.9</v>
      </c>
      <c r="O107" s="184">
        <f t="shared" si="1"/>
        <v>0</v>
      </c>
      <c r="P107" s="184">
        <f t="shared" si="1"/>
        <v>1.22</v>
      </c>
      <c r="Q107" s="184">
        <f t="shared" si="1"/>
        <v>6.27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21.440729166666674</v>
      </c>
      <c r="C108" s="183">
        <f t="shared" ref="C108:Q108" si="2">AVERAGE(C9:C104)</f>
        <v>25.721874999999997</v>
      </c>
      <c r="D108" s="183">
        <f t="shared" si="2"/>
        <v>31.984062499999993</v>
      </c>
      <c r="E108" s="183">
        <f t="shared" si="2"/>
        <v>6.1335416666666687</v>
      </c>
      <c r="F108" s="183">
        <f t="shared" si="2"/>
        <v>3.623020833333332</v>
      </c>
      <c r="G108" s="183">
        <f t="shared" si="2"/>
        <v>90.169062499999939</v>
      </c>
      <c r="H108" s="183">
        <f t="shared" si="2"/>
        <v>35.033437499999991</v>
      </c>
      <c r="I108" s="183">
        <f t="shared" si="2"/>
        <v>7.2173958333333372</v>
      </c>
      <c r="J108" s="183">
        <f t="shared" si="2"/>
        <v>0.26885416666666673</v>
      </c>
      <c r="K108" s="183">
        <f t="shared" si="2"/>
        <v>101.38239583333335</v>
      </c>
      <c r="L108" s="183">
        <f t="shared" si="2"/>
        <v>23.936145833333338</v>
      </c>
      <c r="M108" s="183">
        <f t="shared" si="2"/>
        <v>70.603124999999991</v>
      </c>
      <c r="N108" s="183">
        <f t="shared" si="2"/>
        <v>142.23437500000003</v>
      </c>
      <c r="O108" s="183">
        <f t="shared" si="2"/>
        <v>0</v>
      </c>
      <c r="P108" s="183">
        <f t="shared" si="2"/>
        <v>0.92510416666666673</v>
      </c>
      <c r="Q108" s="183">
        <f t="shared" si="2"/>
        <v>5.2046875000000012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13.821166547215787</v>
      </c>
      <c r="C109" s="183">
        <f t="shared" ref="C109:Q109" si="3">STDEV(C9:C104)</f>
        <v>3.5518962504110805</v>
      </c>
      <c r="D109" s="183">
        <f t="shared" si="3"/>
        <v>12.506704776838712</v>
      </c>
      <c r="E109" s="183">
        <f t="shared" si="3"/>
        <v>1.0557222313774333</v>
      </c>
      <c r="F109" s="183">
        <f t="shared" si="3"/>
        <v>1.8445602070564548</v>
      </c>
      <c r="G109" s="183">
        <f t="shared" si="3"/>
        <v>26.020452323352348</v>
      </c>
      <c r="H109" s="183">
        <f t="shared" si="3"/>
        <v>6.7188703355196706</v>
      </c>
      <c r="I109" s="183">
        <f t="shared" si="3"/>
        <v>1.4435841687248183</v>
      </c>
      <c r="J109" s="183">
        <f t="shared" si="3"/>
        <v>0.2230028075899102</v>
      </c>
      <c r="K109" s="183">
        <f t="shared" si="3"/>
        <v>78.439999365855101</v>
      </c>
      <c r="L109" s="183">
        <f t="shared" si="3"/>
        <v>3.9032200929870733</v>
      </c>
      <c r="M109" s="183">
        <f t="shared" si="3"/>
        <v>16.021584080463786</v>
      </c>
      <c r="N109" s="183">
        <f t="shared" si="3"/>
        <v>220.51180793213769</v>
      </c>
      <c r="O109" s="183">
        <f t="shared" si="3"/>
        <v>0</v>
      </c>
      <c r="P109" s="183">
        <f t="shared" si="3"/>
        <v>0.19637233587816028</v>
      </c>
      <c r="Q109" s="183">
        <f t="shared" si="3"/>
        <v>0.70859527922279453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25/10/2023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2542</v>
      </c>
      <c r="B9" s="133">
        <v>26.94</v>
      </c>
      <c r="C9" s="133">
        <v>25.69</v>
      </c>
      <c r="D9" s="133">
        <v>36.380000000000003</v>
      </c>
      <c r="E9" s="133">
        <v>6.71</v>
      </c>
      <c r="F9" s="133">
        <v>2.31</v>
      </c>
      <c r="G9" s="133">
        <v>90.66</v>
      </c>
      <c r="H9" s="133">
        <v>38.770000000000003</v>
      </c>
      <c r="I9" s="133">
        <v>8.48</v>
      </c>
      <c r="J9" s="133">
        <v>0.03</v>
      </c>
      <c r="K9" s="133">
        <v>146.03</v>
      </c>
      <c r="L9" s="133">
        <v>20.9</v>
      </c>
      <c r="M9" s="133">
        <v>85.66</v>
      </c>
      <c r="N9" s="133">
        <v>0</v>
      </c>
      <c r="O9" s="133">
        <v>0</v>
      </c>
      <c r="P9" s="133">
        <v>1.04</v>
      </c>
      <c r="Q9" s="133">
        <v>5.44</v>
      </c>
    </row>
    <row r="10" spans="1:21" customFormat="1">
      <c r="A10" s="111" t="s">
        <v>2543</v>
      </c>
      <c r="B10" s="133">
        <v>27.89</v>
      </c>
      <c r="C10" s="133">
        <v>23.98</v>
      </c>
      <c r="D10" s="133">
        <v>36.24</v>
      </c>
      <c r="E10" s="133">
        <v>6.62</v>
      </c>
      <c r="F10" s="133">
        <v>2.7</v>
      </c>
      <c r="G10" s="133">
        <v>90.66</v>
      </c>
      <c r="H10" s="133">
        <v>38.770000000000003</v>
      </c>
      <c r="I10" s="133">
        <v>8.65</v>
      </c>
      <c r="J10" s="133">
        <v>0.05</v>
      </c>
      <c r="K10" s="133">
        <v>114.72</v>
      </c>
      <c r="L10" s="133">
        <v>20.98</v>
      </c>
      <c r="M10" s="133">
        <v>82.85</v>
      </c>
      <c r="N10" s="133">
        <v>0</v>
      </c>
      <c r="O10" s="133">
        <v>0</v>
      </c>
      <c r="P10" s="133">
        <v>1.02</v>
      </c>
      <c r="Q10" s="133">
        <v>5.54</v>
      </c>
    </row>
    <row r="11" spans="1:21" customFormat="1">
      <c r="A11" s="111" t="s">
        <v>2544</v>
      </c>
      <c r="B11" s="133">
        <v>27.95</v>
      </c>
      <c r="C11" s="133">
        <v>25.06</v>
      </c>
      <c r="D11" s="133">
        <v>36.86</v>
      </c>
      <c r="E11" s="133">
        <v>6.71</v>
      </c>
      <c r="F11" s="133">
        <v>2.5099999999999998</v>
      </c>
      <c r="G11" s="133">
        <v>90.61</v>
      </c>
      <c r="H11" s="133">
        <v>38.81</v>
      </c>
      <c r="I11" s="133">
        <v>8.84</v>
      </c>
      <c r="J11" s="133">
        <v>0.04</v>
      </c>
      <c r="K11" s="133">
        <v>68.069999999999993</v>
      </c>
      <c r="L11" s="133">
        <v>20.97</v>
      </c>
      <c r="M11" s="133">
        <v>80.94</v>
      </c>
      <c r="N11" s="133">
        <v>0</v>
      </c>
      <c r="O11" s="133">
        <v>0</v>
      </c>
      <c r="P11" s="133">
        <v>1.05</v>
      </c>
      <c r="Q11" s="133">
        <v>5.54</v>
      </c>
    </row>
    <row r="12" spans="1:21" customFormat="1">
      <c r="A12" s="111" t="s">
        <v>2545</v>
      </c>
      <c r="B12" s="133">
        <v>27.64</v>
      </c>
      <c r="C12" s="133">
        <v>24.09</v>
      </c>
      <c r="D12" s="133">
        <v>36.1</v>
      </c>
      <c r="E12" s="133">
        <v>6.24</v>
      </c>
      <c r="F12" s="133">
        <v>2.77</v>
      </c>
      <c r="G12" s="133">
        <v>89.75</v>
      </c>
      <c r="H12" s="133">
        <v>39.51</v>
      </c>
      <c r="I12" s="133">
        <v>8.94</v>
      </c>
      <c r="J12" s="133">
        <v>7.0000000000000007E-2</v>
      </c>
      <c r="K12" s="133">
        <v>129.05000000000001</v>
      </c>
      <c r="L12" s="133">
        <v>20.99</v>
      </c>
      <c r="M12" s="133">
        <v>80.5</v>
      </c>
      <c r="N12" s="133">
        <v>0</v>
      </c>
      <c r="O12" s="133">
        <v>0</v>
      </c>
      <c r="P12" s="133">
        <v>1.03</v>
      </c>
      <c r="Q12" s="133">
        <v>5.54</v>
      </c>
    </row>
    <row r="13" spans="1:21" customFormat="1">
      <c r="A13" s="111" t="s">
        <v>2546</v>
      </c>
      <c r="B13" s="133">
        <v>27.05</v>
      </c>
      <c r="C13" s="133">
        <v>25</v>
      </c>
      <c r="D13" s="133">
        <v>36.1</v>
      </c>
      <c r="E13" s="133">
        <v>6.72</v>
      </c>
      <c r="F13" s="133">
        <v>2.54</v>
      </c>
      <c r="G13" s="133">
        <v>89.75</v>
      </c>
      <c r="H13" s="133">
        <v>39.51</v>
      </c>
      <c r="I13" s="133">
        <v>8.9700000000000006</v>
      </c>
      <c r="J13" s="133">
        <v>0.09</v>
      </c>
      <c r="K13" s="133">
        <v>163.66</v>
      </c>
      <c r="L13" s="133">
        <v>20.81</v>
      </c>
      <c r="M13" s="133">
        <v>82.84</v>
      </c>
      <c r="N13" s="133">
        <v>0</v>
      </c>
      <c r="O13" s="133">
        <v>0</v>
      </c>
      <c r="P13" s="133">
        <v>1.03</v>
      </c>
      <c r="Q13" s="133">
        <v>5.51</v>
      </c>
    </row>
    <row r="14" spans="1:21" customFormat="1">
      <c r="A14" s="111" t="s">
        <v>2547</v>
      </c>
      <c r="B14" s="133">
        <v>26.69</v>
      </c>
      <c r="C14" s="133">
        <v>25.94</v>
      </c>
      <c r="D14" s="133">
        <v>36.31</v>
      </c>
      <c r="E14" s="133">
        <v>6.85</v>
      </c>
      <c r="F14" s="133">
        <v>2.5099999999999998</v>
      </c>
      <c r="G14" s="133">
        <v>89.75</v>
      </c>
      <c r="H14" s="133">
        <v>39.51</v>
      </c>
      <c r="I14" s="133">
        <v>8.93</v>
      </c>
      <c r="J14" s="133">
        <v>0.13</v>
      </c>
      <c r="K14" s="133">
        <v>227.21</v>
      </c>
      <c r="L14" s="133">
        <v>20.53</v>
      </c>
      <c r="M14" s="133">
        <v>85.16</v>
      </c>
      <c r="N14" s="133">
        <v>0</v>
      </c>
      <c r="O14" s="133">
        <v>0</v>
      </c>
      <c r="P14" s="133">
        <v>1.06</v>
      </c>
      <c r="Q14" s="133">
        <v>5.48</v>
      </c>
    </row>
    <row r="15" spans="1:21" customFormat="1">
      <c r="A15" s="111" t="s">
        <v>2548</v>
      </c>
      <c r="B15" s="133">
        <v>26</v>
      </c>
      <c r="C15" s="133">
        <v>26.33</v>
      </c>
      <c r="D15" s="133">
        <v>35.96</v>
      </c>
      <c r="E15" s="133">
        <v>6.55</v>
      </c>
      <c r="F15" s="133">
        <v>2.64</v>
      </c>
      <c r="G15" s="133">
        <v>89.86</v>
      </c>
      <c r="H15" s="133">
        <v>39.6</v>
      </c>
      <c r="I15" s="133">
        <v>8.9700000000000006</v>
      </c>
      <c r="J15" s="133">
        <v>0.12</v>
      </c>
      <c r="K15" s="133">
        <v>204.34</v>
      </c>
      <c r="L15" s="133">
        <v>20.170000000000002</v>
      </c>
      <c r="M15" s="133">
        <v>90.85</v>
      </c>
      <c r="N15" s="133">
        <v>0</v>
      </c>
      <c r="O15" s="133">
        <v>0</v>
      </c>
      <c r="P15" s="133">
        <v>1.06</v>
      </c>
      <c r="Q15" s="133">
        <v>5.46</v>
      </c>
    </row>
    <row r="16" spans="1:21" customFormat="1">
      <c r="A16" s="111" t="s">
        <v>2549</v>
      </c>
      <c r="B16" s="133">
        <v>25.15</v>
      </c>
      <c r="C16" s="133">
        <v>25.95</v>
      </c>
      <c r="D16" s="133">
        <v>35.08</v>
      </c>
      <c r="E16" s="133">
        <v>7.32</v>
      </c>
      <c r="F16" s="133">
        <v>2.73</v>
      </c>
      <c r="G16" s="133">
        <v>92.26</v>
      </c>
      <c r="H16" s="133">
        <v>40.89</v>
      </c>
      <c r="I16" s="133">
        <v>8.94</v>
      </c>
      <c r="J16" s="133">
        <v>0.1</v>
      </c>
      <c r="K16" s="133">
        <v>160.28</v>
      </c>
      <c r="L16" s="133">
        <v>19.95</v>
      </c>
      <c r="M16" s="133">
        <v>92.08</v>
      </c>
      <c r="N16" s="133">
        <v>0</v>
      </c>
      <c r="O16" s="133">
        <v>0</v>
      </c>
      <c r="P16" s="133">
        <v>1.07</v>
      </c>
      <c r="Q16" s="133">
        <v>5.46</v>
      </c>
    </row>
    <row r="17" spans="1:17" customFormat="1">
      <c r="A17" s="111" t="s">
        <v>2550</v>
      </c>
      <c r="B17" s="133">
        <v>24.5</v>
      </c>
      <c r="C17" s="133">
        <v>25.57</v>
      </c>
      <c r="D17" s="133">
        <v>34.36</v>
      </c>
      <c r="E17" s="133">
        <v>5.08</v>
      </c>
      <c r="F17" s="133">
        <v>2.61</v>
      </c>
      <c r="G17" s="133">
        <v>92.26</v>
      </c>
      <c r="H17" s="133">
        <v>40.89</v>
      </c>
      <c r="I17" s="133">
        <v>8.9499999999999993</v>
      </c>
      <c r="J17" s="133">
        <v>0.09</v>
      </c>
      <c r="K17" s="133">
        <v>160.86000000000001</v>
      </c>
      <c r="L17" s="133">
        <v>19.829999999999998</v>
      </c>
      <c r="M17" s="133">
        <v>95.34</v>
      </c>
      <c r="N17" s="133">
        <v>0</v>
      </c>
      <c r="O17" s="133">
        <v>0</v>
      </c>
      <c r="P17" s="133">
        <v>1.05</v>
      </c>
      <c r="Q17" s="133">
        <v>5.45</v>
      </c>
    </row>
    <row r="18" spans="1:17" customFormat="1">
      <c r="A18" s="111" t="s">
        <v>2551</v>
      </c>
      <c r="B18" s="133">
        <v>24.55</v>
      </c>
      <c r="C18" s="133">
        <v>25.37</v>
      </c>
      <c r="D18" s="133">
        <v>34.29</v>
      </c>
      <c r="E18" s="133">
        <v>6.23</v>
      </c>
      <c r="F18" s="133">
        <v>2.56</v>
      </c>
      <c r="G18" s="133">
        <v>92.26</v>
      </c>
      <c r="H18" s="133">
        <v>40.89</v>
      </c>
      <c r="I18" s="133">
        <v>8.98</v>
      </c>
      <c r="J18" s="133">
        <v>0.1</v>
      </c>
      <c r="K18" s="133">
        <v>197.9</v>
      </c>
      <c r="L18" s="133">
        <v>19.77</v>
      </c>
      <c r="M18" s="133">
        <v>97.63</v>
      </c>
      <c r="N18" s="133">
        <v>0</v>
      </c>
      <c r="O18" s="133">
        <v>0</v>
      </c>
      <c r="P18" s="133">
        <v>1.05</v>
      </c>
      <c r="Q18" s="133">
        <v>5.41</v>
      </c>
    </row>
    <row r="19" spans="1:17" customFormat="1">
      <c r="A19" s="111" t="s">
        <v>2552</v>
      </c>
      <c r="B19" s="133">
        <v>24.28</v>
      </c>
      <c r="C19" s="133">
        <v>25.37</v>
      </c>
      <c r="D19" s="133">
        <v>34.08</v>
      </c>
      <c r="E19" s="133">
        <v>6.56</v>
      </c>
      <c r="F19" s="133">
        <v>2.61</v>
      </c>
      <c r="G19" s="133">
        <v>92.17</v>
      </c>
      <c r="H19" s="133">
        <v>40.79</v>
      </c>
      <c r="I19" s="133">
        <v>9</v>
      </c>
      <c r="J19" s="133">
        <v>0.08</v>
      </c>
      <c r="K19" s="133">
        <v>212.87</v>
      </c>
      <c r="L19" s="133">
        <v>19.68</v>
      </c>
      <c r="M19" s="133">
        <v>98.23</v>
      </c>
      <c r="N19" s="133">
        <v>0</v>
      </c>
      <c r="O19" s="133">
        <v>0</v>
      </c>
      <c r="P19" s="133">
        <v>1.05</v>
      </c>
      <c r="Q19" s="133">
        <v>5.41</v>
      </c>
    </row>
    <row r="20" spans="1:17" customFormat="1">
      <c r="A20" s="111" t="s">
        <v>2553</v>
      </c>
      <c r="B20" s="133">
        <v>24.11</v>
      </c>
      <c r="C20" s="133">
        <v>25.32</v>
      </c>
      <c r="D20" s="133">
        <v>33.92</v>
      </c>
      <c r="E20" s="133">
        <v>6.47</v>
      </c>
      <c r="F20" s="133">
        <v>2.44</v>
      </c>
      <c r="G20" s="133">
        <v>90.27</v>
      </c>
      <c r="H20" s="133">
        <v>38.76</v>
      </c>
      <c r="I20" s="133">
        <v>9.02</v>
      </c>
      <c r="J20" s="133">
        <v>0.11</v>
      </c>
      <c r="K20" s="133">
        <v>206.42</v>
      </c>
      <c r="L20" s="133">
        <v>19.55</v>
      </c>
      <c r="M20" s="133">
        <v>98.51</v>
      </c>
      <c r="N20" s="133">
        <v>0</v>
      </c>
      <c r="O20" s="133">
        <v>0</v>
      </c>
      <c r="P20" s="133">
        <v>1.04</v>
      </c>
      <c r="Q20" s="133">
        <v>5.39</v>
      </c>
    </row>
    <row r="21" spans="1:17" customFormat="1">
      <c r="A21" s="111" t="s">
        <v>2554</v>
      </c>
      <c r="B21" s="133">
        <v>24.08</v>
      </c>
      <c r="C21" s="133">
        <v>25.11</v>
      </c>
      <c r="D21" s="133">
        <v>33.78</v>
      </c>
      <c r="E21" s="133">
        <v>6.1</v>
      </c>
      <c r="F21" s="133">
        <v>2.33</v>
      </c>
      <c r="G21" s="133">
        <v>90.27</v>
      </c>
      <c r="H21" s="133">
        <v>38.76</v>
      </c>
      <c r="I21" s="133">
        <v>9.0500000000000007</v>
      </c>
      <c r="J21" s="133">
        <v>0.28000000000000003</v>
      </c>
      <c r="K21" s="133">
        <v>174.17</v>
      </c>
      <c r="L21" s="133">
        <v>19.5</v>
      </c>
      <c r="M21" s="133">
        <v>97.63</v>
      </c>
      <c r="N21" s="133">
        <v>0</v>
      </c>
      <c r="O21" s="133">
        <v>0</v>
      </c>
      <c r="P21" s="133">
        <v>1.03</v>
      </c>
      <c r="Q21" s="133">
        <v>5.37</v>
      </c>
    </row>
    <row r="22" spans="1:17" customFormat="1">
      <c r="A22" s="111" t="s">
        <v>2555</v>
      </c>
      <c r="B22" s="133">
        <v>23.57</v>
      </c>
      <c r="C22" s="133">
        <v>24.89</v>
      </c>
      <c r="D22" s="133">
        <v>33.26</v>
      </c>
      <c r="E22" s="133">
        <v>5.8</v>
      </c>
      <c r="F22" s="133">
        <v>2.4700000000000002</v>
      </c>
      <c r="G22" s="133">
        <v>90.27</v>
      </c>
      <c r="H22" s="133">
        <v>38.76</v>
      </c>
      <c r="I22" s="133">
        <v>9.07</v>
      </c>
      <c r="J22" s="133">
        <v>0.08</v>
      </c>
      <c r="K22" s="133">
        <v>204.83</v>
      </c>
      <c r="L22" s="133">
        <v>19.309999999999999</v>
      </c>
      <c r="M22" s="133">
        <v>97.28</v>
      </c>
      <c r="N22" s="133">
        <v>0</v>
      </c>
      <c r="O22" s="133">
        <v>0</v>
      </c>
      <c r="P22" s="133">
        <v>1.02</v>
      </c>
      <c r="Q22" s="133">
        <v>5.4</v>
      </c>
    </row>
    <row r="23" spans="1:17" customFormat="1">
      <c r="A23" s="111" t="s">
        <v>2556</v>
      </c>
      <c r="B23" s="133">
        <v>22.88</v>
      </c>
      <c r="C23" s="133">
        <v>24.76</v>
      </c>
      <c r="D23" s="133">
        <v>32.630000000000003</v>
      </c>
      <c r="E23" s="133">
        <v>6.36</v>
      </c>
      <c r="F23" s="133">
        <v>2.52</v>
      </c>
      <c r="G23" s="133">
        <v>90.2</v>
      </c>
      <c r="H23" s="133">
        <v>38.6</v>
      </c>
      <c r="I23" s="133">
        <v>9.1300000000000008</v>
      </c>
      <c r="J23" s="133">
        <v>0.09</v>
      </c>
      <c r="K23" s="133">
        <v>191.94</v>
      </c>
      <c r="L23" s="133">
        <v>19.09</v>
      </c>
      <c r="M23" s="133">
        <v>96.99</v>
      </c>
      <c r="N23" s="133">
        <v>0</v>
      </c>
      <c r="O23" s="133">
        <v>0</v>
      </c>
      <c r="P23" s="133">
        <v>1.03</v>
      </c>
      <c r="Q23" s="133">
        <v>5.36</v>
      </c>
    </row>
    <row r="24" spans="1:17" customFormat="1">
      <c r="A24" s="111" t="s">
        <v>2557</v>
      </c>
      <c r="B24" s="133">
        <v>22.3</v>
      </c>
      <c r="C24" s="133">
        <v>24.4</v>
      </c>
      <c r="D24" s="133">
        <v>31.98</v>
      </c>
      <c r="E24" s="133">
        <v>6.43</v>
      </c>
      <c r="F24" s="133">
        <v>2.5299999999999998</v>
      </c>
      <c r="G24" s="133">
        <v>88.69</v>
      </c>
      <c r="H24" s="133">
        <v>36.1</v>
      </c>
      <c r="I24" s="133">
        <v>9.18</v>
      </c>
      <c r="J24" s="133">
        <v>0.08</v>
      </c>
      <c r="K24" s="133">
        <v>195.26</v>
      </c>
      <c r="L24" s="133">
        <v>18.91</v>
      </c>
      <c r="M24" s="133">
        <v>98.74</v>
      </c>
      <c r="N24" s="133">
        <v>0</v>
      </c>
      <c r="O24" s="133">
        <v>0</v>
      </c>
      <c r="P24" s="133">
        <v>1.03</v>
      </c>
      <c r="Q24" s="133">
        <v>5.34</v>
      </c>
    </row>
    <row r="25" spans="1:17" customFormat="1">
      <c r="A25" s="111" t="s">
        <v>2558</v>
      </c>
      <c r="B25" s="133">
        <v>21.86</v>
      </c>
      <c r="C25" s="133">
        <v>23.94</v>
      </c>
      <c r="D25" s="133">
        <v>31.39</v>
      </c>
      <c r="E25" s="133">
        <v>6.36</v>
      </c>
      <c r="F25" s="133">
        <v>2.4500000000000002</v>
      </c>
      <c r="G25" s="133">
        <v>88.69</v>
      </c>
      <c r="H25" s="133">
        <v>36.1</v>
      </c>
      <c r="I25" s="133">
        <v>9.26</v>
      </c>
      <c r="J25" s="133">
        <v>0.09</v>
      </c>
      <c r="K25" s="133">
        <v>185.22</v>
      </c>
      <c r="L25" s="133">
        <v>18.87</v>
      </c>
      <c r="M25" s="133">
        <v>100.86</v>
      </c>
      <c r="N25" s="133">
        <v>0</v>
      </c>
      <c r="O25" s="133">
        <v>0</v>
      </c>
      <c r="P25" s="133">
        <v>1.02</v>
      </c>
      <c r="Q25" s="133">
        <v>5.33</v>
      </c>
    </row>
    <row r="26" spans="1:17" customFormat="1">
      <c r="A26" s="111" t="s">
        <v>2559</v>
      </c>
      <c r="B26" s="133">
        <v>21.41</v>
      </c>
      <c r="C26" s="133">
        <v>23.52</v>
      </c>
      <c r="D26" s="133">
        <v>30.81</v>
      </c>
      <c r="E26" s="133">
        <v>6.38</v>
      </c>
      <c r="F26" s="133">
        <v>2.57</v>
      </c>
      <c r="G26" s="133">
        <v>88.69</v>
      </c>
      <c r="H26" s="133">
        <v>36.1</v>
      </c>
      <c r="I26" s="133">
        <v>9.31</v>
      </c>
      <c r="J26" s="133">
        <v>0.11</v>
      </c>
      <c r="K26" s="133">
        <v>234.96</v>
      </c>
      <c r="L26" s="133">
        <v>18.77</v>
      </c>
      <c r="M26" s="133">
        <v>99.95</v>
      </c>
      <c r="N26" s="133">
        <v>0</v>
      </c>
      <c r="O26" s="133">
        <v>0</v>
      </c>
      <c r="P26" s="133">
        <v>1.01</v>
      </c>
      <c r="Q26" s="133">
        <v>5.28</v>
      </c>
    </row>
    <row r="27" spans="1:17" customFormat="1">
      <c r="A27" s="111" t="s">
        <v>2560</v>
      </c>
      <c r="B27" s="133">
        <v>21.18</v>
      </c>
      <c r="C27" s="133">
        <v>23.4</v>
      </c>
      <c r="D27" s="133">
        <v>30.56</v>
      </c>
      <c r="E27" s="133">
        <v>6.36</v>
      </c>
      <c r="F27" s="133">
        <v>2.66</v>
      </c>
      <c r="G27" s="133">
        <v>88.2</v>
      </c>
      <c r="H27" s="133">
        <v>36.08</v>
      </c>
      <c r="I27" s="133">
        <v>9.34</v>
      </c>
      <c r="J27" s="133">
        <v>0.11</v>
      </c>
      <c r="K27" s="133">
        <v>217.07</v>
      </c>
      <c r="L27" s="133">
        <v>18.78</v>
      </c>
      <c r="M27" s="133">
        <v>99.59</v>
      </c>
      <c r="N27" s="133">
        <v>0</v>
      </c>
      <c r="O27" s="133">
        <v>0</v>
      </c>
      <c r="P27" s="133">
        <v>1.01</v>
      </c>
      <c r="Q27" s="133">
        <v>5.24</v>
      </c>
    </row>
    <row r="28" spans="1:17" customFormat="1">
      <c r="A28" s="111" t="s">
        <v>2561</v>
      </c>
      <c r="B28" s="133">
        <v>21.61</v>
      </c>
      <c r="C28" s="133">
        <v>23.44</v>
      </c>
      <c r="D28" s="133">
        <v>30.93</v>
      </c>
      <c r="E28" s="133">
        <v>6.77</v>
      </c>
      <c r="F28" s="133">
        <v>2.6</v>
      </c>
      <c r="G28" s="133">
        <v>77.739999999999995</v>
      </c>
      <c r="H28" s="133">
        <v>35.85</v>
      </c>
      <c r="I28" s="133">
        <v>9.35</v>
      </c>
      <c r="J28" s="133">
        <v>0.08</v>
      </c>
      <c r="K28" s="133">
        <v>205.59</v>
      </c>
      <c r="L28" s="133">
        <v>18.760000000000002</v>
      </c>
      <c r="M28" s="133">
        <v>99.48</v>
      </c>
      <c r="N28" s="133">
        <v>0</v>
      </c>
      <c r="O28" s="133">
        <v>0</v>
      </c>
      <c r="P28" s="133">
        <v>1</v>
      </c>
      <c r="Q28" s="133">
        <v>5.29</v>
      </c>
    </row>
    <row r="29" spans="1:17" customFormat="1">
      <c r="A29" s="111" t="s">
        <v>2562</v>
      </c>
      <c r="B29" s="133">
        <v>21.57</v>
      </c>
      <c r="C29" s="133">
        <v>23.33</v>
      </c>
      <c r="D29" s="133">
        <v>30.84</v>
      </c>
      <c r="E29" s="133">
        <v>6.64</v>
      </c>
      <c r="F29" s="133">
        <v>2.5099999999999998</v>
      </c>
      <c r="G29" s="133">
        <v>77.739999999999995</v>
      </c>
      <c r="H29" s="133">
        <v>35.85</v>
      </c>
      <c r="I29" s="133">
        <v>9.33</v>
      </c>
      <c r="J29" s="133">
        <v>0.11</v>
      </c>
      <c r="K29" s="133">
        <v>168.69</v>
      </c>
      <c r="L29" s="133">
        <v>18.79</v>
      </c>
      <c r="M29" s="133">
        <v>99.29</v>
      </c>
      <c r="N29" s="133">
        <v>0</v>
      </c>
      <c r="O29" s="133">
        <v>0</v>
      </c>
      <c r="P29" s="133">
        <v>0.99</v>
      </c>
      <c r="Q29" s="133">
        <v>5.29</v>
      </c>
    </row>
    <row r="30" spans="1:17" customFormat="1">
      <c r="A30" s="111" t="s">
        <v>2563</v>
      </c>
      <c r="B30" s="133">
        <v>21.18</v>
      </c>
      <c r="C30" s="133">
        <v>23.17</v>
      </c>
      <c r="D30" s="133">
        <v>30.44</v>
      </c>
      <c r="E30" s="133">
        <v>6.43</v>
      </c>
      <c r="F30" s="133">
        <v>2.5299999999999998</v>
      </c>
      <c r="G30" s="133">
        <v>77.739999999999995</v>
      </c>
      <c r="H30" s="133">
        <v>35.85</v>
      </c>
      <c r="I30" s="133">
        <v>9.32</v>
      </c>
      <c r="J30" s="133">
        <v>0.28000000000000003</v>
      </c>
      <c r="K30" s="133">
        <v>168.52</v>
      </c>
      <c r="L30" s="133">
        <v>18.86</v>
      </c>
      <c r="M30" s="133">
        <v>99.28</v>
      </c>
      <c r="N30" s="133">
        <v>0</v>
      </c>
      <c r="O30" s="133">
        <v>0</v>
      </c>
      <c r="P30" s="133">
        <v>1</v>
      </c>
      <c r="Q30" s="133">
        <v>5.28</v>
      </c>
    </row>
    <row r="31" spans="1:17" customFormat="1">
      <c r="A31" s="111" t="s">
        <v>2564</v>
      </c>
      <c r="B31" s="133">
        <v>20.73</v>
      </c>
      <c r="C31" s="133">
        <v>23.05</v>
      </c>
      <c r="D31" s="133">
        <v>30.02</v>
      </c>
      <c r="E31" s="133">
        <v>7.19</v>
      </c>
      <c r="F31" s="133">
        <v>2.54</v>
      </c>
      <c r="G31" s="133">
        <v>77.77</v>
      </c>
      <c r="H31" s="133">
        <v>35.799999999999997</v>
      </c>
      <c r="I31" s="133">
        <v>9.36</v>
      </c>
      <c r="J31" s="133">
        <v>0.19</v>
      </c>
      <c r="K31" s="133">
        <v>183.46</v>
      </c>
      <c r="L31" s="133">
        <v>18.7</v>
      </c>
      <c r="M31" s="133">
        <v>98.61</v>
      </c>
      <c r="N31" s="133">
        <v>0</v>
      </c>
      <c r="O31" s="133">
        <v>0</v>
      </c>
      <c r="P31" s="133">
        <v>1</v>
      </c>
      <c r="Q31" s="133">
        <v>5.24</v>
      </c>
    </row>
    <row r="32" spans="1:17" customFormat="1">
      <c r="A32" s="111" t="s">
        <v>2565</v>
      </c>
      <c r="B32" s="133">
        <v>20.260000000000002</v>
      </c>
      <c r="C32" s="133">
        <v>23.08</v>
      </c>
      <c r="D32" s="133">
        <v>29.65</v>
      </c>
      <c r="E32" s="133">
        <v>6.92</v>
      </c>
      <c r="F32" s="133">
        <v>2.4900000000000002</v>
      </c>
      <c r="G32" s="133">
        <v>78.53</v>
      </c>
      <c r="H32" s="133">
        <v>34.979999999999997</v>
      </c>
      <c r="I32" s="133">
        <v>9.33</v>
      </c>
      <c r="J32" s="133">
        <v>0.05</v>
      </c>
      <c r="K32" s="133">
        <v>206.93</v>
      </c>
      <c r="L32" s="133">
        <v>18.41</v>
      </c>
      <c r="M32" s="133">
        <v>99.88</v>
      </c>
      <c r="N32" s="133">
        <v>0</v>
      </c>
      <c r="O32" s="133">
        <v>0</v>
      </c>
      <c r="P32" s="133">
        <v>0.99</v>
      </c>
      <c r="Q32" s="133">
        <v>5.21</v>
      </c>
    </row>
    <row r="33" spans="1:17" customFormat="1">
      <c r="A33" s="111" t="s">
        <v>2566</v>
      </c>
      <c r="B33" s="133">
        <v>19.809999999999999</v>
      </c>
      <c r="C33" s="133">
        <v>23.08</v>
      </c>
      <c r="D33" s="133">
        <v>29.3</v>
      </c>
      <c r="E33" s="133">
        <v>6.89</v>
      </c>
      <c r="F33" s="133">
        <v>2.38</v>
      </c>
      <c r="G33" s="133">
        <v>78.53</v>
      </c>
      <c r="H33" s="133">
        <v>34.979999999999997</v>
      </c>
      <c r="I33" s="133">
        <v>9.33</v>
      </c>
      <c r="J33" s="133">
        <v>0.13</v>
      </c>
      <c r="K33" s="133">
        <v>259.77</v>
      </c>
      <c r="L33" s="133">
        <v>18.28</v>
      </c>
      <c r="M33" s="133">
        <v>100.2</v>
      </c>
      <c r="N33" s="133">
        <v>1.7</v>
      </c>
      <c r="O33" s="133">
        <v>0</v>
      </c>
      <c r="P33" s="133">
        <v>0.99</v>
      </c>
      <c r="Q33" s="133">
        <v>5.21</v>
      </c>
    </row>
    <row r="34" spans="1:17" customFormat="1">
      <c r="A34" s="111" t="s">
        <v>2567</v>
      </c>
      <c r="B34" s="133">
        <v>19.47</v>
      </c>
      <c r="C34" s="133">
        <v>22.62</v>
      </c>
      <c r="D34" s="133">
        <v>28.78</v>
      </c>
      <c r="E34" s="133">
        <v>6.85</v>
      </c>
      <c r="F34" s="133">
        <v>2.36</v>
      </c>
      <c r="G34" s="133">
        <v>78.53</v>
      </c>
      <c r="H34" s="133">
        <v>34.979999999999997</v>
      </c>
      <c r="I34" s="133">
        <v>9.36</v>
      </c>
      <c r="J34" s="133">
        <v>0.06</v>
      </c>
      <c r="K34" s="133">
        <v>198.89</v>
      </c>
      <c r="L34" s="133">
        <v>18.38</v>
      </c>
      <c r="M34" s="133">
        <v>99.26</v>
      </c>
      <c r="N34" s="133">
        <v>10.7</v>
      </c>
      <c r="O34" s="133">
        <v>0</v>
      </c>
      <c r="P34" s="133">
        <v>0.99</v>
      </c>
      <c r="Q34" s="133">
        <v>5.19</v>
      </c>
    </row>
    <row r="35" spans="1:17" customFormat="1">
      <c r="A35" s="111" t="s">
        <v>2568</v>
      </c>
      <c r="B35" s="133">
        <v>19.43</v>
      </c>
      <c r="C35" s="133">
        <v>21.4</v>
      </c>
      <c r="D35" s="133">
        <v>28.12</v>
      </c>
      <c r="E35" s="133">
        <v>6.4</v>
      </c>
      <c r="F35" s="133">
        <v>2.6</v>
      </c>
      <c r="G35" s="133">
        <v>78.41</v>
      </c>
      <c r="H35" s="133">
        <v>34.92</v>
      </c>
      <c r="I35" s="133">
        <v>9.35</v>
      </c>
      <c r="J35" s="133">
        <v>0.06</v>
      </c>
      <c r="K35" s="133">
        <v>189.05</v>
      </c>
      <c r="L35" s="133">
        <v>18.829999999999998</v>
      </c>
      <c r="M35" s="133">
        <v>99.98</v>
      </c>
      <c r="N35" s="133">
        <v>22.6</v>
      </c>
      <c r="O35" s="133">
        <v>0</v>
      </c>
      <c r="P35" s="133">
        <v>0.96</v>
      </c>
      <c r="Q35" s="133">
        <v>5.17</v>
      </c>
    </row>
    <row r="36" spans="1:17" customFormat="1">
      <c r="A36" s="111" t="s">
        <v>2569</v>
      </c>
      <c r="B36" s="133">
        <v>19.5</v>
      </c>
      <c r="C36" s="133">
        <v>20.07</v>
      </c>
      <c r="D36" s="133">
        <v>27.48</v>
      </c>
      <c r="E36" s="133">
        <v>5.99</v>
      </c>
      <c r="F36" s="133">
        <v>2.67</v>
      </c>
      <c r="G36" s="133">
        <v>75.739999999999995</v>
      </c>
      <c r="H36" s="133">
        <v>33.979999999999997</v>
      </c>
      <c r="I36" s="133">
        <v>9.34</v>
      </c>
      <c r="J36" s="133">
        <v>0.16</v>
      </c>
      <c r="K36" s="133">
        <v>152.12</v>
      </c>
      <c r="L36" s="133">
        <v>19.399999999999999</v>
      </c>
      <c r="M36" s="133">
        <v>97.31</v>
      </c>
      <c r="N36" s="133">
        <v>35.700000000000003</v>
      </c>
      <c r="O36" s="133">
        <v>0</v>
      </c>
      <c r="P36" s="133">
        <v>0.93</v>
      </c>
      <c r="Q36" s="133">
        <v>5.14</v>
      </c>
    </row>
    <row r="37" spans="1:17" customFormat="1">
      <c r="A37" s="111" t="s">
        <v>2570</v>
      </c>
      <c r="B37" s="133">
        <v>19.350000000000001</v>
      </c>
      <c r="C37" s="133">
        <v>20.079999999999998</v>
      </c>
      <c r="D37" s="133">
        <v>27.36</v>
      </c>
      <c r="E37" s="133">
        <v>5.86</v>
      </c>
      <c r="F37" s="133">
        <v>2.66</v>
      </c>
      <c r="G37" s="133">
        <v>75.739999999999995</v>
      </c>
      <c r="H37" s="133">
        <v>33.979999999999997</v>
      </c>
      <c r="I37" s="133">
        <v>9.35</v>
      </c>
      <c r="J37" s="133">
        <v>0.16</v>
      </c>
      <c r="K37" s="133">
        <v>152.35</v>
      </c>
      <c r="L37" s="133">
        <v>20.260000000000002</v>
      </c>
      <c r="M37" s="133">
        <v>93.01</v>
      </c>
      <c r="N37" s="133">
        <v>48.5</v>
      </c>
      <c r="O37" s="133">
        <v>0</v>
      </c>
      <c r="P37" s="133">
        <v>0.91</v>
      </c>
      <c r="Q37" s="133">
        <v>5.12</v>
      </c>
    </row>
    <row r="38" spans="1:17" customFormat="1">
      <c r="A38" s="111" t="s">
        <v>2571</v>
      </c>
      <c r="B38" s="133">
        <v>18.96</v>
      </c>
      <c r="C38" s="133">
        <v>19.809999999999999</v>
      </c>
      <c r="D38" s="133">
        <v>26.9</v>
      </c>
      <c r="E38" s="133">
        <v>6.1</v>
      </c>
      <c r="F38" s="133">
        <v>2.44</v>
      </c>
      <c r="G38" s="133">
        <v>75.739999999999995</v>
      </c>
      <c r="H38" s="133">
        <v>33.979999999999997</v>
      </c>
      <c r="I38" s="133">
        <v>9.3699999999999992</v>
      </c>
      <c r="J38" s="133">
        <v>0.09</v>
      </c>
      <c r="K38" s="133">
        <v>183.33</v>
      </c>
      <c r="L38" s="133">
        <v>20.93</v>
      </c>
      <c r="M38" s="133">
        <v>90.24</v>
      </c>
      <c r="N38" s="133">
        <v>73.5</v>
      </c>
      <c r="O38" s="133">
        <v>0</v>
      </c>
      <c r="P38" s="133">
        <v>0.91</v>
      </c>
      <c r="Q38" s="133">
        <v>5.0999999999999996</v>
      </c>
    </row>
    <row r="39" spans="1:17" customFormat="1">
      <c r="A39" s="111" t="s">
        <v>2572</v>
      </c>
      <c r="B39" s="133">
        <v>18.73</v>
      </c>
      <c r="C39" s="133">
        <v>19.850000000000001</v>
      </c>
      <c r="D39" s="133">
        <v>26.75</v>
      </c>
      <c r="E39" s="133">
        <v>5.86</v>
      </c>
      <c r="F39" s="133">
        <v>2.38</v>
      </c>
      <c r="G39" s="133">
        <v>75.95</v>
      </c>
      <c r="H39" s="133">
        <v>34.090000000000003</v>
      </c>
      <c r="I39" s="133">
        <v>9.4</v>
      </c>
      <c r="J39" s="133">
        <v>0.04</v>
      </c>
      <c r="K39" s="133">
        <v>168.87</v>
      </c>
      <c r="L39" s="133">
        <v>21.77</v>
      </c>
      <c r="M39" s="133">
        <v>86.69</v>
      </c>
      <c r="N39" s="133">
        <v>167.8</v>
      </c>
      <c r="O39" s="133">
        <v>0</v>
      </c>
      <c r="P39" s="133">
        <v>0.92</v>
      </c>
      <c r="Q39" s="133">
        <v>5.0599999999999996</v>
      </c>
    </row>
    <row r="40" spans="1:17" customFormat="1">
      <c r="A40" s="111" t="s">
        <v>2573</v>
      </c>
      <c r="B40" s="133">
        <v>18.559999999999999</v>
      </c>
      <c r="C40" s="133">
        <v>21.61</v>
      </c>
      <c r="D40" s="133">
        <v>27.53</v>
      </c>
      <c r="E40" s="133">
        <v>5.91</v>
      </c>
      <c r="F40" s="133">
        <v>2.35</v>
      </c>
      <c r="G40" s="133">
        <v>79.42</v>
      </c>
      <c r="H40" s="133">
        <v>35.81</v>
      </c>
      <c r="I40" s="133">
        <v>9.43</v>
      </c>
      <c r="J40" s="133">
        <v>0.14000000000000001</v>
      </c>
      <c r="K40" s="133">
        <v>156.08000000000001</v>
      </c>
      <c r="L40" s="133">
        <v>22.79</v>
      </c>
      <c r="M40" s="133">
        <v>81.91</v>
      </c>
      <c r="N40" s="133">
        <v>213.4</v>
      </c>
      <c r="O40" s="133">
        <v>0</v>
      </c>
      <c r="P40" s="133">
        <v>0.94</v>
      </c>
      <c r="Q40" s="133">
        <v>5.04</v>
      </c>
    </row>
    <row r="41" spans="1:17" customFormat="1">
      <c r="A41" s="111" t="s">
        <v>2574</v>
      </c>
      <c r="B41" s="133">
        <v>18.38</v>
      </c>
      <c r="C41" s="133">
        <v>21.38</v>
      </c>
      <c r="D41" s="133">
        <v>27.26</v>
      </c>
      <c r="E41" s="133">
        <v>6.06</v>
      </c>
      <c r="F41" s="133">
        <v>2.57</v>
      </c>
      <c r="G41" s="133">
        <v>79.42</v>
      </c>
      <c r="H41" s="133">
        <v>35.81</v>
      </c>
      <c r="I41" s="133">
        <v>9.5</v>
      </c>
      <c r="J41" s="133">
        <v>0.33</v>
      </c>
      <c r="K41" s="133">
        <v>157.12</v>
      </c>
      <c r="L41" s="133">
        <v>23.8</v>
      </c>
      <c r="M41" s="133">
        <v>78.13</v>
      </c>
      <c r="N41" s="133">
        <v>259.2</v>
      </c>
      <c r="O41" s="133">
        <v>0</v>
      </c>
      <c r="P41" s="133">
        <v>0.94</v>
      </c>
      <c r="Q41" s="133">
        <v>5.0599999999999996</v>
      </c>
    </row>
    <row r="42" spans="1:17" customFormat="1">
      <c r="A42" s="111" t="s">
        <v>2575</v>
      </c>
      <c r="B42" s="133">
        <v>17.98</v>
      </c>
      <c r="C42" s="133">
        <v>20.399999999999999</v>
      </c>
      <c r="D42" s="133">
        <v>26.42</v>
      </c>
      <c r="E42" s="133">
        <v>5.66</v>
      </c>
      <c r="F42" s="133">
        <v>2.77</v>
      </c>
      <c r="G42" s="133">
        <v>79.42</v>
      </c>
      <c r="H42" s="133">
        <v>35.81</v>
      </c>
      <c r="I42" s="133">
        <v>9.51</v>
      </c>
      <c r="J42" s="133">
        <v>0.3</v>
      </c>
      <c r="K42" s="133">
        <v>151.54</v>
      </c>
      <c r="L42" s="133">
        <v>24.95</v>
      </c>
      <c r="M42" s="133">
        <v>73.209999999999994</v>
      </c>
      <c r="N42" s="133">
        <v>292.8</v>
      </c>
      <c r="O42" s="133">
        <v>0</v>
      </c>
      <c r="P42" s="133">
        <v>0.94</v>
      </c>
      <c r="Q42" s="133">
        <v>5.0599999999999996</v>
      </c>
    </row>
    <row r="43" spans="1:17" customFormat="1">
      <c r="A43" s="111" t="s">
        <v>2576</v>
      </c>
      <c r="B43" s="133">
        <v>17.77</v>
      </c>
      <c r="C43" s="133">
        <v>21.97</v>
      </c>
      <c r="D43" s="133">
        <v>27.08</v>
      </c>
      <c r="E43" s="133">
        <v>5.9</v>
      </c>
      <c r="F43" s="133">
        <v>2.48</v>
      </c>
      <c r="G43" s="133">
        <v>79.599999999999994</v>
      </c>
      <c r="H43" s="133">
        <v>35.94</v>
      </c>
      <c r="I43" s="133">
        <v>9.5</v>
      </c>
      <c r="J43" s="133">
        <v>7.0000000000000007E-2</v>
      </c>
      <c r="K43" s="133">
        <v>307.88</v>
      </c>
      <c r="L43" s="133">
        <v>25.74</v>
      </c>
      <c r="M43" s="133">
        <v>66.430000000000007</v>
      </c>
      <c r="N43" s="133">
        <v>331.7</v>
      </c>
      <c r="O43" s="133">
        <v>0</v>
      </c>
      <c r="P43" s="133">
        <v>0.96</v>
      </c>
      <c r="Q43" s="133">
        <v>5.0199999999999996</v>
      </c>
    </row>
    <row r="44" spans="1:17" customFormat="1">
      <c r="A44" s="111" t="s">
        <v>2577</v>
      </c>
      <c r="B44" s="133">
        <v>17.7</v>
      </c>
      <c r="C44" s="133">
        <v>21.84</v>
      </c>
      <c r="D44" s="133">
        <v>26.95</v>
      </c>
      <c r="E44" s="133">
        <v>6.39</v>
      </c>
      <c r="F44" s="133">
        <v>2.62</v>
      </c>
      <c r="G44" s="133">
        <v>83.33</v>
      </c>
      <c r="H44" s="133">
        <v>37.979999999999997</v>
      </c>
      <c r="I44" s="133">
        <v>9.5299999999999994</v>
      </c>
      <c r="J44" s="133">
        <v>0.18</v>
      </c>
      <c r="K44" s="133">
        <v>3.81</v>
      </c>
      <c r="L44" s="133">
        <v>26.42</v>
      </c>
      <c r="M44" s="133">
        <v>60.1</v>
      </c>
      <c r="N44" s="133">
        <v>372.1</v>
      </c>
      <c r="O44" s="133">
        <v>0</v>
      </c>
      <c r="P44" s="133">
        <v>0.97</v>
      </c>
      <c r="Q44" s="133">
        <v>5.0199999999999996</v>
      </c>
    </row>
    <row r="45" spans="1:17" customFormat="1">
      <c r="A45" s="111" t="s">
        <v>2578</v>
      </c>
      <c r="B45" s="133">
        <v>17.41</v>
      </c>
      <c r="C45" s="133">
        <v>21.46</v>
      </c>
      <c r="D45" s="133">
        <v>26.53</v>
      </c>
      <c r="E45" s="133">
        <v>6.1</v>
      </c>
      <c r="F45" s="133">
        <v>2.76</v>
      </c>
      <c r="G45" s="133">
        <v>83.33</v>
      </c>
      <c r="H45" s="133">
        <v>37.979999999999997</v>
      </c>
      <c r="I45" s="133">
        <v>9.59</v>
      </c>
      <c r="J45" s="133">
        <v>7.0000000000000007E-2</v>
      </c>
      <c r="K45" s="133">
        <v>127.26</v>
      </c>
      <c r="L45" s="133">
        <v>26.97</v>
      </c>
      <c r="M45" s="133">
        <v>58.93</v>
      </c>
      <c r="N45" s="133">
        <v>379.6</v>
      </c>
      <c r="O45" s="133">
        <v>0</v>
      </c>
      <c r="P45" s="133">
        <v>0.97</v>
      </c>
      <c r="Q45" s="133">
        <v>5.01</v>
      </c>
    </row>
    <row r="46" spans="1:17" customFormat="1">
      <c r="A46" s="111" t="s">
        <v>2579</v>
      </c>
      <c r="B46" s="133">
        <v>16.98</v>
      </c>
      <c r="C46" s="133">
        <v>21.42</v>
      </c>
      <c r="D46" s="133">
        <v>26.16</v>
      </c>
      <c r="E46" s="133">
        <v>6.41</v>
      </c>
      <c r="F46" s="133">
        <v>2.85</v>
      </c>
      <c r="G46" s="133">
        <v>83.33</v>
      </c>
      <c r="H46" s="133">
        <v>37.979999999999997</v>
      </c>
      <c r="I46" s="133">
        <v>9.59</v>
      </c>
      <c r="J46" s="133">
        <v>0.28000000000000003</v>
      </c>
      <c r="K46" s="133">
        <v>145.88</v>
      </c>
      <c r="L46" s="133">
        <v>27.55</v>
      </c>
      <c r="M46" s="133">
        <v>54.39</v>
      </c>
      <c r="N46" s="133">
        <v>299.2</v>
      </c>
      <c r="O46" s="133">
        <v>0</v>
      </c>
      <c r="P46" s="133">
        <v>0.97</v>
      </c>
      <c r="Q46" s="133">
        <v>4.9800000000000004</v>
      </c>
    </row>
    <row r="47" spans="1:17" customFormat="1">
      <c r="A47" s="111" t="s">
        <v>2580</v>
      </c>
      <c r="B47" s="133">
        <v>16.510000000000002</v>
      </c>
      <c r="C47" s="133">
        <v>21.62</v>
      </c>
      <c r="D47" s="133">
        <v>25.89</v>
      </c>
      <c r="E47" s="133">
        <v>6.56</v>
      </c>
      <c r="F47" s="133">
        <v>2.97</v>
      </c>
      <c r="G47" s="133">
        <v>83.45</v>
      </c>
      <c r="H47" s="133">
        <v>37.97</v>
      </c>
      <c r="I47" s="133">
        <v>9.5399999999999991</v>
      </c>
      <c r="J47" s="133">
        <v>0.03</v>
      </c>
      <c r="K47" s="133">
        <v>106.07</v>
      </c>
      <c r="L47" s="133">
        <v>28.12</v>
      </c>
      <c r="M47" s="133">
        <v>54.41</v>
      </c>
      <c r="N47" s="133">
        <v>342.5</v>
      </c>
      <c r="O47" s="133">
        <v>0</v>
      </c>
      <c r="P47" s="133">
        <v>0.95</v>
      </c>
      <c r="Q47" s="133">
        <v>4.9800000000000004</v>
      </c>
    </row>
    <row r="48" spans="1:17" customFormat="1">
      <c r="A48" s="111" t="s">
        <v>2581</v>
      </c>
      <c r="B48" s="133">
        <v>16.27</v>
      </c>
      <c r="C48" s="133">
        <v>23.36</v>
      </c>
      <c r="D48" s="133">
        <v>26.6</v>
      </c>
      <c r="E48" s="133">
        <v>6.46</v>
      </c>
      <c r="F48" s="133">
        <v>2.89</v>
      </c>
      <c r="G48" s="133">
        <v>86.09</v>
      </c>
      <c r="H48" s="133">
        <v>37.700000000000003</v>
      </c>
      <c r="I48" s="133">
        <v>9.41</v>
      </c>
      <c r="J48" s="133">
        <v>0.05</v>
      </c>
      <c r="K48" s="133">
        <v>23.09</v>
      </c>
      <c r="L48" s="133">
        <v>28.52</v>
      </c>
      <c r="M48" s="133">
        <v>52.3</v>
      </c>
      <c r="N48" s="133">
        <v>466.8</v>
      </c>
      <c r="O48" s="133">
        <v>0</v>
      </c>
      <c r="P48" s="133">
        <v>0.96</v>
      </c>
      <c r="Q48" s="133">
        <v>4.9400000000000004</v>
      </c>
    </row>
    <row r="49" spans="1:17" customFormat="1">
      <c r="A49" s="111" t="s">
        <v>2582</v>
      </c>
      <c r="B49" s="133">
        <v>16.18</v>
      </c>
      <c r="C49" s="133">
        <v>23.8</v>
      </c>
      <c r="D49" s="133">
        <v>26.76</v>
      </c>
      <c r="E49" s="133">
        <v>4.0199999999999996</v>
      </c>
      <c r="F49" s="133">
        <v>2.7</v>
      </c>
      <c r="G49" s="133">
        <v>86.09</v>
      </c>
      <c r="H49" s="133">
        <v>37.700000000000003</v>
      </c>
      <c r="I49" s="133">
        <v>9.24</v>
      </c>
      <c r="J49" s="133">
        <v>0.31</v>
      </c>
      <c r="K49" s="133">
        <v>27.72</v>
      </c>
      <c r="L49" s="133">
        <v>28.83</v>
      </c>
      <c r="M49" s="133">
        <v>48.91</v>
      </c>
      <c r="N49" s="133">
        <v>493.2</v>
      </c>
      <c r="O49" s="133">
        <v>0</v>
      </c>
      <c r="P49" s="133">
        <v>0.98</v>
      </c>
      <c r="Q49" s="133">
        <v>4.95</v>
      </c>
    </row>
    <row r="50" spans="1:17" customFormat="1">
      <c r="A50" s="111" t="s">
        <v>2583</v>
      </c>
      <c r="B50" s="133">
        <v>16.05</v>
      </c>
      <c r="C50" s="133">
        <v>23.67</v>
      </c>
      <c r="D50" s="133">
        <v>26.59</v>
      </c>
      <c r="E50" s="133">
        <v>5.16</v>
      </c>
      <c r="F50" s="133">
        <v>2.8</v>
      </c>
      <c r="G50" s="133">
        <v>86.09</v>
      </c>
      <c r="H50" s="133">
        <v>37.700000000000003</v>
      </c>
      <c r="I50" s="133">
        <v>9.19</v>
      </c>
      <c r="J50" s="133">
        <v>0.27</v>
      </c>
      <c r="K50" s="133">
        <v>56.17</v>
      </c>
      <c r="L50" s="133">
        <v>28.97</v>
      </c>
      <c r="M50" s="133">
        <v>46.18</v>
      </c>
      <c r="N50" s="133">
        <v>527</v>
      </c>
      <c r="O50" s="133">
        <v>0</v>
      </c>
      <c r="P50" s="133">
        <v>0.98</v>
      </c>
      <c r="Q50" s="133">
        <v>4.95</v>
      </c>
    </row>
    <row r="51" spans="1:17" customFormat="1">
      <c r="A51" s="111" t="s">
        <v>2584</v>
      </c>
      <c r="B51" s="133">
        <v>15.64</v>
      </c>
      <c r="C51" s="133">
        <v>23.31</v>
      </c>
      <c r="D51" s="133">
        <v>26.07</v>
      </c>
      <c r="E51" s="133">
        <v>5.33</v>
      </c>
      <c r="F51" s="133">
        <v>3.33</v>
      </c>
      <c r="G51" s="133">
        <v>86.14</v>
      </c>
      <c r="H51" s="133">
        <v>37.58</v>
      </c>
      <c r="I51" s="133">
        <v>9.1</v>
      </c>
      <c r="J51" s="133">
        <v>0.41</v>
      </c>
      <c r="K51" s="133">
        <v>28.57</v>
      </c>
      <c r="L51" s="133">
        <v>29.34</v>
      </c>
      <c r="M51" s="133">
        <v>43.28</v>
      </c>
      <c r="N51" s="133">
        <v>560.79999999999995</v>
      </c>
      <c r="O51" s="133">
        <v>0</v>
      </c>
      <c r="P51" s="133">
        <v>0.96</v>
      </c>
      <c r="Q51" s="133">
        <v>4.92</v>
      </c>
    </row>
    <row r="52" spans="1:17" customFormat="1">
      <c r="A52" s="111" t="s">
        <v>2585</v>
      </c>
      <c r="B52" s="133">
        <v>14.84</v>
      </c>
      <c r="C52" s="133">
        <v>22.93</v>
      </c>
      <c r="D52" s="133">
        <v>25.23</v>
      </c>
      <c r="E52" s="133">
        <v>6.38</v>
      </c>
      <c r="F52" s="133">
        <v>4.18</v>
      </c>
      <c r="G52" s="133">
        <v>87.27</v>
      </c>
      <c r="H52" s="133">
        <v>35.659999999999997</v>
      </c>
      <c r="I52" s="133">
        <v>9.0500000000000007</v>
      </c>
      <c r="J52" s="133">
        <v>0.32</v>
      </c>
      <c r="K52" s="133">
        <v>39.409999999999997</v>
      </c>
      <c r="L52" s="133">
        <v>29.48</v>
      </c>
      <c r="M52" s="133">
        <v>44.91</v>
      </c>
      <c r="N52" s="133">
        <v>527.5</v>
      </c>
      <c r="O52" s="133">
        <v>0</v>
      </c>
      <c r="P52" s="133">
        <v>0.95</v>
      </c>
      <c r="Q52" s="133">
        <v>4.8899999999999997</v>
      </c>
    </row>
    <row r="53" spans="1:17" customFormat="1">
      <c r="A53" s="111" t="s">
        <v>2586</v>
      </c>
      <c r="B53" s="133">
        <v>14.14</v>
      </c>
      <c r="C53" s="133">
        <v>23.31</v>
      </c>
      <c r="D53" s="133">
        <v>24.87</v>
      </c>
      <c r="E53" s="133">
        <v>5.79</v>
      </c>
      <c r="F53" s="133">
        <v>3.93</v>
      </c>
      <c r="G53" s="133">
        <v>87.27</v>
      </c>
      <c r="H53" s="133">
        <v>35.659999999999997</v>
      </c>
      <c r="I53" s="133">
        <v>8.85</v>
      </c>
      <c r="J53" s="133">
        <v>0.35</v>
      </c>
      <c r="K53" s="133">
        <v>44.46</v>
      </c>
      <c r="L53" s="133">
        <v>29.65</v>
      </c>
      <c r="M53" s="133">
        <v>44.26</v>
      </c>
      <c r="N53" s="133">
        <v>575.1</v>
      </c>
      <c r="O53" s="133">
        <v>0</v>
      </c>
      <c r="P53" s="133">
        <v>0.94</v>
      </c>
      <c r="Q53" s="133">
        <v>4.8600000000000003</v>
      </c>
    </row>
    <row r="54" spans="1:17" customFormat="1">
      <c r="A54" s="111" t="s">
        <v>2587</v>
      </c>
      <c r="B54" s="133">
        <v>12.82</v>
      </c>
      <c r="C54" s="133">
        <v>24.2</v>
      </c>
      <c r="D54" s="133">
        <v>24.27</v>
      </c>
      <c r="E54" s="133">
        <v>5.18</v>
      </c>
      <c r="F54" s="133">
        <v>4.09</v>
      </c>
      <c r="G54" s="133">
        <v>87.27</v>
      </c>
      <c r="H54" s="133">
        <v>35.659999999999997</v>
      </c>
      <c r="I54" s="133">
        <v>8.68</v>
      </c>
      <c r="J54" s="133">
        <v>0.24</v>
      </c>
      <c r="K54" s="133">
        <v>355.36</v>
      </c>
      <c r="L54" s="133">
        <v>29.87</v>
      </c>
      <c r="M54" s="133">
        <v>44.03</v>
      </c>
      <c r="N54" s="133">
        <v>569.20000000000005</v>
      </c>
      <c r="O54" s="133">
        <v>0</v>
      </c>
      <c r="P54" s="133">
        <v>0.93</v>
      </c>
      <c r="Q54" s="133">
        <v>4.8099999999999996</v>
      </c>
    </row>
    <row r="55" spans="1:17" customFormat="1">
      <c r="A55" s="111" t="s">
        <v>2588</v>
      </c>
      <c r="B55" s="133">
        <v>11.46</v>
      </c>
      <c r="C55" s="133">
        <v>24.9</v>
      </c>
      <c r="D55" s="133">
        <v>23.55</v>
      </c>
      <c r="E55" s="133">
        <v>6</v>
      </c>
      <c r="F55" s="133">
        <v>5.93</v>
      </c>
      <c r="G55" s="133">
        <v>87.32</v>
      </c>
      <c r="H55" s="133">
        <v>35.64</v>
      </c>
      <c r="I55" s="133">
        <v>8.4700000000000006</v>
      </c>
      <c r="J55" s="133">
        <v>0.67</v>
      </c>
      <c r="K55" s="133">
        <v>29.73</v>
      </c>
      <c r="L55" s="133">
        <v>29.81</v>
      </c>
      <c r="M55" s="133">
        <v>41.09</v>
      </c>
      <c r="N55" s="133">
        <v>570.5</v>
      </c>
      <c r="O55" s="133">
        <v>0</v>
      </c>
      <c r="P55" s="133">
        <v>0.92</v>
      </c>
      <c r="Q55" s="133">
        <v>4.7300000000000004</v>
      </c>
    </row>
    <row r="56" spans="1:17" customFormat="1">
      <c r="A56" s="111" t="s">
        <v>2589</v>
      </c>
      <c r="B56" s="133">
        <v>10.36</v>
      </c>
      <c r="C56" s="133">
        <v>25.52</v>
      </c>
      <c r="D56" s="133">
        <v>22.99</v>
      </c>
      <c r="E56" s="133">
        <v>6.54</v>
      </c>
      <c r="F56" s="133">
        <v>5.0999999999999996</v>
      </c>
      <c r="G56" s="133">
        <v>88.18</v>
      </c>
      <c r="H56" s="133">
        <v>35.28</v>
      </c>
      <c r="I56" s="133">
        <v>8.24</v>
      </c>
      <c r="J56" s="133">
        <v>0.56999999999999995</v>
      </c>
      <c r="K56" s="133">
        <v>26.17</v>
      </c>
      <c r="L56" s="133">
        <v>29.79</v>
      </c>
      <c r="M56" s="133">
        <v>41.1</v>
      </c>
      <c r="N56" s="133">
        <v>462.7</v>
      </c>
      <c r="O56" s="133">
        <v>0</v>
      </c>
      <c r="P56" s="133">
        <v>0.9</v>
      </c>
      <c r="Q56" s="133">
        <v>4.7</v>
      </c>
    </row>
    <row r="57" spans="1:17" customFormat="1">
      <c r="A57" s="111" t="s">
        <v>2590</v>
      </c>
      <c r="B57" s="133">
        <v>9.67</v>
      </c>
      <c r="C57" s="133">
        <v>26.1</v>
      </c>
      <c r="D57" s="133">
        <v>22.74</v>
      </c>
      <c r="E57" s="133">
        <v>5.97</v>
      </c>
      <c r="F57" s="133">
        <v>4.5199999999999996</v>
      </c>
      <c r="G57" s="133">
        <v>88.18</v>
      </c>
      <c r="H57" s="133">
        <v>35.28</v>
      </c>
      <c r="I57" s="133">
        <v>8</v>
      </c>
      <c r="J57" s="133">
        <v>0.57999999999999996</v>
      </c>
      <c r="K57" s="133">
        <v>29.46</v>
      </c>
      <c r="L57" s="133">
        <v>29.76</v>
      </c>
      <c r="M57" s="133">
        <v>42.22</v>
      </c>
      <c r="N57" s="133">
        <v>354.9</v>
      </c>
      <c r="O57" s="133">
        <v>0</v>
      </c>
      <c r="P57" s="133">
        <v>0.89</v>
      </c>
      <c r="Q57" s="133">
        <v>4.66</v>
      </c>
    </row>
    <row r="58" spans="1:17" customFormat="1">
      <c r="A58" s="111" t="s">
        <v>2591</v>
      </c>
      <c r="B58" s="133">
        <v>8.86</v>
      </c>
      <c r="C58" s="133">
        <v>26.35</v>
      </c>
      <c r="D58" s="133">
        <v>22.22</v>
      </c>
      <c r="E58" s="133">
        <v>6.39</v>
      </c>
      <c r="F58" s="133">
        <v>6.33</v>
      </c>
      <c r="G58" s="133">
        <v>88.18</v>
      </c>
      <c r="H58" s="133">
        <v>35.28</v>
      </c>
      <c r="I58" s="133">
        <v>7.83</v>
      </c>
      <c r="J58" s="133">
        <v>0.83</v>
      </c>
      <c r="K58" s="133">
        <v>29.38</v>
      </c>
      <c r="L58" s="133">
        <v>29.13</v>
      </c>
      <c r="M58" s="133">
        <v>40.17</v>
      </c>
      <c r="N58" s="133">
        <v>437.9</v>
      </c>
      <c r="O58" s="133">
        <v>0</v>
      </c>
      <c r="P58" s="133">
        <v>0.86</v>
      </c>
      <c r="Q58" s="133">
        <v>4.63</v>
      </c>
    </row>
    <row r="59" spans="1:17" customFormat="1">
      <c r="A59" s="111" t="s">
        <v>2592</v>
      </c>
      <c r="B59" s="133">
        <v>8.16</v>
      </c>
      <c r="C59" s="133">
        <v>26.22</v>
      </c>
      <c r="D59" s="133">
        <v>21.6</v>
      </c>
      <c r="E59" s="133">
        <v>7.19</v>
      </c>
      <c r="F59" s="133">
        <v>8.56</v>
      </c>
      <c r="G59" s="133">
        <v>87.6</v>
      </c>
      <c r="H59" s="133">
        <v>34.71</v>
      </c>
      <c r="I59" s="133">
        <v>7.68</v>
      </c>
      <c r="J59" s="133">
        <v>0.88</v>
      </c>
      <c r="K59" s="133">
        <v>20.28</v>
      </c>
      <c r="L59" s="133">
        <v>29.6</v>
      </c>
      <c r="M59" s="133">
        <v>36.44</v>
      </c>
      <c r="N59" s="133">
        <v>593.29999999999995</v>
      </c>
      <c r="O59" s="133">
        <v>0</v>
      </c>
      <c r="P59" s="133">
        <v>0.85</v>
      </c>
      <c r="Q59" s="133">
        <v>4.59</v>
      </c>
    </row>
    <row r="60" spans="1:17" customFormat="1">
      <c r="A60" s="111" t="s">
        <v>2593</v>
      </c>
      <c r="B60" s="133">
        <v>7.25</v>
      </c>
      <c r="C60" s="133">
        <v>26.19</v>
      </c>
      <c r="D60" s="133">
        <v>20.85</v>
      </c>
      <c r="E60" s="133">
        <v>5.76</v>
      </c>
      <c r="F60" s="133">
        <v>7.64</v>
      </c>
      <c r="G60" s="133">
        <v>77.75</v>
      </c>
      <c r="H60" s="133">
        <v>25.76</v>
      </c>
      <c r="I60" s="133">
        <v>7.41</v>
      </c>
      <c r="J60" s="133">
        <v>0.66</v>
      </c>
      <c r="K60" s="133">
        <v>23.19</v>
      </c>
      <c r="L60" s="133">
        <v>30.06</v>
      </c>
      <c r="M60" s="133">
        <v>36.17</v>
      </c>
      <c r="N60" s="133">
        <v>556.79999999999995</v>
      </c>
      <c r="O60" s="133">
        <v>0</v>
      </c>
      <c r="P60" s="133">
        <v>0.84</v>
      </c>
      <c r="Q60" s="133">
        <v>4.5199999999999996</v>
      </c>
    </row>
    <row r="61" spans="1:17" customFormat="1">
      <c r="A61" s="111" t="s">
        <v>2594</v>
      </c>
      <c r="B61" s="133">
        <v>6.65</v>
      </c>
      <c r="C61" s="133">
        <v>26.07</v>
      </c>
      <c r="D61" s="133">
        <v>20.3</v>
      </c>
      <c r="E61" s="133">
        <v>6.59</v>
      </c>
      <c r="F61" s="133">
        <v>7.5</v>
      </c>
      <c r="G61" s="133">
        <v>77.75</v>
      </c>
      <c r="H61" s="133">
        <v>25.76</v>
      </c>
      <c r="I61" s="133">
        <v>7.21</v>
      </c>
      <c r="J61" s="133">
        <v>0.93</v>
      </c>
      <c r="K61" s="133">
        <v>25.69</v>
      </c>
      <c r="L61" s="133">
        <v>30.13</v>
      </c>
      <c r="M61" s="133">
        <v>37.94</v>
      </c>
      <c r="N61" s="133">
        <v>547.5</v>
      </c>
      <c r="O61" s="133">
        <v>0</v>
      </c>
      <c r="P61" s="133">
        <v>0.82</v>
      </c>
      <c r="Q61" s="133">
        <v>4.4800000000000004</v>
      </c>
    </row>
    <row r="62" spans="1:17" customFormat="1">
      <c r="A62" s="111" t="s">
        <v>2595</v>
      </c>
      <c r="B62" s="133">
        <v>6.18</v>
      </c>
      <c r="C62" s="133">
        <v>25.68</v>
      </c>
      <c r="D62" s="133">
        <v>19.73</v>
      </c>
      <c r="E62" s="133">
        <v>5.6</v>
      </c>
      <c r="F62" s="133">
        <v>7.42</v>
      </c>
      <c r="G62" s="133">
        <v>77.75</v>
      </c>
      <c r="H62" s="133">
        <v>25.76</v>
      </c>
      <c r="I62" s="133">
        <v>7.16</v>
      </c>
      <c r="J62" s="133">
        <v>0.89</v>
      </c>
      <c r="K62" s="133">
        <v>26.46</v>
      </c>
      <c r="L62" s="133">
        <v>30.35</v>
      </c>
      <c r="M62" s="133">
        <v>36.1</v>
      </c>
      <c r="N62" s="133">
        <v>541.20000000000005</v>
      </c>
      <c r="O62" s="133">
        <v>0</v>
      </c>
      <c r="P62" s="133">
        <v>0.81</v>
      </c>
      <c r="Q62" s="133">
        <v>4.49</v>
      </c>
    </row>
    <row r="63" spans="1:17" customFormat="1">
      <c r="A63" s="111" t="s">
        <v>2596</v>
      </c>
      <c r="B63" s="133">
        <v>5.8</v>
      </c>
      <c r="C63" s="133">
        <v>25.17</v>
      </c>
      <c r="D63" s="133">
        <v>19.16</v>
      </c>
      <c r="E63" s="133">
        <v>5.79</v>
      </c>
      <c r="F63" s="133">
        <v>9.1199999999999992</v>
      </c>
      <c r="G63" s="133">
        <v>77.5</v>
      </c>
      <c r="H63" s="133">
        <v>25.93</v>
      </c>
      <c r="I63" s="133">
        <v>6.88</v>
      </c>
      <c r="J63" s="133">
        <v>0.99</v>
      </c>
      <c r="K63" s="133">
        <v>29</v>
      </c>
      <c r="L63" s="133">
        <v>30.05</v>
      </c>
      <c r="M63" s="133">
        <v>38.119999999999997</v>
      </c>
      <c r="N63" s="133">
        <v>514.20000000000005</v>
      </c>
      <c r="O63" s="133">
        <v>0</v>
      </c>
      <c r="P63" s="133">
        <v>0.78</v>
      </c>
      <c r="Q63" s="133">
        <v>4.47</v>
      </c>
    </row>
    <row r="64" spans="1:17" customFormat="1">
      <c r="A64" s="111" t="s">
        <v>2597</v>
      </c>
      <c r="B64" s="133">
        <v>5.47</v>
      </c>
      <c r="C64" s="133">
        <v>24.88</v>
      </c>
      <c r="D64" s="133">
        <v>18.73</v>
      </c>
      <c r="E64" s="133">
        <v>5.62</v>
      </c>
      <c r="F64" s="133">
        <v>7.08</v>
      </c>
      <c r="G64" s="133">
        <v>72.260000000000005</v>
      </c>
      <c r="H64" s="133">
        <v>28.51</v>
      </c>
      <c r="I64" s="133">
        <v>6.77</v>
      </c>
      <c r="J64" s="133">
        <v>0.89</v>
      </c>
      <c r="K64" s="133">
        <v>29.45</v>
      </c>
      <c r="L64" s="133">
        <v>29.98</v>
      </c>
      <c r="M64" s="133">
        <v>37.46</v>
      </c>
      <c r="N64" s="133">
        <v>503.1</v>
      </c>
      <c r="O64" s="133">
        <v>0</v>
      </c>
      <c r="P64" s="133">
        <v>0.77</v>
      </c>
      <c r="Q64" s="133">
        <v>4.43</v>
      </c>
    </row>
    <row r="65" spans="1:17" customFormat="1">
      <c r="A65" s="111" t="s">
        <v>2598</v>
      </c>
      <c r="B65" s="133">
        <v>5.29</v>
      </c>
      <c r="C65" s="133">
        <v>24.41</v>
      </c>
      <c r="D65" s="133">
        <v>18.34</v>
      </c>
      <c r="E65" s="133">
        <v>5.33</v>
      </c>
      <c r="F65" s="133">
        <v>7.18</v>
      </c>
      <c r="G65" s="133">
        <v>72.260000000000005</v>
      </c>
      <c r="H65" s="133">
        <v>28.51</v>
      </c>
      <c r="I65" s="133">
        <v>6.46</v>
      </c>
      <c r="J65" s="133">
        <v>0.81</v>
      </c>
      <c r="K65" s="133">
        <v>24.9</v>
      </c>
      <c r="L65" s="133">
        <v>29.91</v>
      </c>
      <c r="M65" s="133">
        <v>38.22</v>
      </c>
      <c r="N65" s="133">
        <v>443.7</v>
      </c>
      <c r="O65" s="133">
        <v>0</v>
      </c>
      <c r="P65" s="133">
        <v>0.73</v>
      </c>
      <c r="Q65" s="133">
        <v>4.41</v>
      </c>
    </row>
    <row r="66" spans="1:17" customFormat="1">
      <c r="A66" s="111" t="s">
        <v>2599</v>
      </c>
      <c r="B66" s="133">
        <v>5.1100000000000003</v>
      </c>
      <c r="C66" s="133">
        <v>24.28</v>
      </c>
      <c r="D66" s="133">
        <v>18.13</v>
      </c>
      <c r="E66" s="133">
        <v>5.89</v>
      </c>
      <c r="F66" s="133">
        <v>8.36</v>
      </c>
      <c r="G66" s="133">
        <v>72.260000000000005</v>
      </c>
      <c r="H66" s="133">
        <v>28.51</v>
      </c>
      <c r="I66" s="133">
        <v>6.43</v>
      </c>
      <c r="J66" s="133">
        <v>0.9</v>
      </c>
      <c r="K66" s="133">
        <v>25.69</v>
      </c>
      <c r="L66" s="133">
        <v>29.69</v>
      </c>
      <c r="M66" s="133">
        <v>38.06</v>
      </c>
      <c r="N66" s="133">
        <v>154.5</v>
      </c>
      <c r="O66" s="133">
        <v>0</v>
      </c>
      <c r="P66" s="133">
        <v>0.74</v>
      </c>
      <c r="Q66" s="133">
        <v>4.41</v>
      </c>
    </row>
    <row r="67" spans="1:17" customFormat="1">
      <c r="A67" s="111" t="s">
        <v>2600</v>
      </c>
      <c r="B67" s="133">
        <v>5.08</v>
      </c>
      <c r="C67" s="133">
        <v>23.99</v>
      </c>
      <c r="D67" s="133">
        <v>17.96</v>
      </c>
      <c r="E67" s="133">
        <v>5.85</v>
      </c>
      <c r="F67" s="133">
        <v>7.43</v>
      </c>
      <c r="G67" s="133">
        <v>71.95</v>
      </c>
      <c r="H67" s="133">
        <v>28.12</v>
      </c>
      <c r="I67" s="133">
        <v>6.27</v>
      </c>
      <c r="J67" s="133">
        <v>0.69</v>
      </c>
      <c r="K67" s="133">
        <v>28.75</v>
      </c>
      <c r="L67" s="133">
        <v>29.16</v>
      </c>
      <c r="M67" s="133">
        <v>39.69</v>
      </c>
      <c r="N67" s="133">
        <v>90.6</v>
      </c>
      <c r="O67" s="133">
        <v>0</v>
      </c>
      <c r="P67" s="133">
        <v>0.72</v>
      </c>
      <c r="Q67" s="133">
        <v>4.3899999999999997</v>
      </c>
    </row>
    <row r="68" spans="1:17" customFormat="1">
      <c r="A68" s="111" t="s">
        <v>2601</v>
      </c>
      <c r="B68" s="133">
        <v>5.0599999999999996</v>
      </c>
      <c r="C68" s="133">
        <v>23.97</v>
      </c>
      <c r="D68" s="133">
        <v>17.93</v>
      </c>
      <c r="E68" s="133">
        <v>5.23</v>
      </c>
      <c r="F68" s="133">
        <v>5.71</v>
      </c>
      <c r="G68" s="133">
        <v>66.75</v>
      </c>
      <c r="H68" s="133">
        <v>22.09</v>
      </c>
      <c r="I68" s="133">
        <v>6.09</v>
      </c>
      <c r="J68" s="133">
        <v>0.76</v>
      </c>
      <c r="K68" s="133">
        <v>35.79</v>
      </c>
      <c r="L68" s="133">
        <v>28.86</v>
      </c>
      <c r="M68" s="133">
        <v>40.909999999999997</v>
      </c>
      <c r="N68" s="133">
        <v>75.2</v>
      </c>
      <c r="O68" s="133">
        <v>0</v>
      </c>
      <c r="P68" s="133">
        <v>0.72</v>
      </c>
      <c r="Q68" s="133">
        <v>4.3899999999999997</v>
      </c>
    </row>
    <row r="69" spans="1:17" customFormat="1">
      <c r="A69" s="111" t="s">
        <v>2602</v>
      </c>
      <c r="B69" s="133">
        <v>5.07</v>
      </c>
      <c r="C69" s="133">
        <v>23.93</v>
      </c>
      <c r="D69" s="133">
        <v>17.920000000000002</v>
      </c>
      <c r="E69" s="133">
        <v>5.64</v>
      </c>
      <c r="F69" s="133">
        <v>6.43</v>
      </c>
      <c r="G69" s="133">
        <v>66.75</v>
      </c>
      <c r="H69" s="133">
        <v>22.09</v>
      </c>
      <c r="I69" s="133">
        <v>5.97</v>
      </c>
      <c r="J69" s="133">
        <v>0.74</v>
      </c>
      <c r="K69" s="133">
        <v>28.95</v>
      </c>
      <c r="L69" s="133">
        <v>28.77</v>
      </c>
      <c r="M69" s="133">
        <v>41.6</v>
      </c>
      <c r="N69" s="133">
        <v>67.2</v>
      </c>
      <c r="O69" s="133">
        <v>0</v>
      </c>
      <c r="P69" s="133">
        <v>0.7</v>
      </c>
      <c r="Q69" s="133">
        <v>4.3899999999999997</v>
      </c>
    </row>
    <row r="70" spans="1:17" customFormat="1">
      <c r="A70" s="111" t="s">
        <v>2603</v>
      </c>
      <c r="B70" s="133">
        <v>5.05</v>
      </c>
      <c r="C70" s="133">
        <v>23.86</v>
      </c>
      <c r="D70" s="133">
        <v>17.86</v>
      </c>
      <c r="E70" s="133">
        <v>5.41</v>
      </c>
      <c r="F70" s="133">
        <v>6.71</v>
      </c>
      <c r="G70" s="133">
        <v>66.75</v>
      </c>
      <c r="H70" s="133">
        <v>22.09</v>
      </c>
      <c r="I70" s="133">
        <v>5.94</v>
      </c>
      <c r="J70" s="133">
        <v>0.62</v>
      </c>
      <c r="K70" s="133">
        <v>25.05</v>
      </c>
      <c r="L70" s="133">
        <v>28.7</v>
      </c>
      <c r="M70" s="133">
        <v>41.3</v>
      </c>
      <c r="N70" s="133">
        <v>57.6</v>
      </c>
      <c r="O70" s="133">
        <v>0</v>
      </c>
      <c r="P70" s="133">
        <v>0.7</v>
      </c>
      <c r="Q70" s="133">
        <v>4.37</v>
      </c>
    </row>
    <row r="71" spans="1:17" customFormat="1">
      <c r="A71" s="111" t="s">
        <v>2604</v>
      </c>
      <c r="B71" s="133">
        <v>5.36</v>
      </c>
      <c r="C71" s="133">
        <v>24.64</v>
      </c>
      <c r="D71" s="133">
        <v>18.53</v>
      </c>
      <c r="E71" s="133">
        <v>5.69</v>
      </c>
      <c r="F71" s="133">
        <v>7.54</v>
      </c>
      <c r="G71" s="133">
        <v>66.52</v>
      </c>
      <c r="H71" s="133">
        <v>22.2</v>
      </c>
      <c r="I71" s="133">
        <v>5.88</v>
      </c>
      <c r="J71" s="133">
        <v>0.5</v>
      </c>
      <c r="K71" s="133">
        <v>32.54</v>
      </c>
      <c r="L71" s="133">
        <v>28.56</v>
      </c>
      <c r="M71" s="133">
        <v>42.07</v>
      </c>
      <c r="N71" s="133">
        <v>54.2</v>
      </c>
      <c r="O71" s="133">
        <v>0</v>
      </c>
      <c r="P71" s="133">
        <v>0.68</v>
      </c>
      <c r="Q71" s="133">
        <v>4.37</v>
      </c>
    </row>
    <row r="72" spans="1:17" customFormat="1">
      <c r="A72" s="111" t="s">
        <v>2605</v>
      </c>
      <c r="B72" s="133">
        <v>4.9800000000000004</v>
      </c>
      <c r="C72" s="133">
        <v>24</v>
      </c>
      <c r="D72" s="133">
        <v>17.88</v>
      </c>
      <c r="E72" s="133">
        <v>5.19</v>
      </c>
      <c r="F72" s="133">
        <v>5.88</v>
      </c>
      <c r="G72" s="133">
        <v>62.71</v>
      </c>
      <c r="H72" s="133">
        <v>23.93</v>
      </c>
      <c r="I72" s="133">
        <v>5.82</v>
      </c>
      <c r="J72" s="133">
        <v>0.66</v>
      </c>
      <c r="K72" s="133">
        <v>39.770000000000003</v>
      </c>
      <c r="L72" s="133">
        <v>28.39</v>
      </c>
      <c r="M72" s="133">
        <v>40.700000000000003</v>
      </c>
      <c r="N72" s="133">
        <v>41.7</v>
      </c>
      <c r="O72" s="133">
        <v>0</v>
      </c>
      <c r="P72" s="133">
        <v>0.69</v>
      </c>
      <c r="Q72" s="133">
        <v>4.37</v>
      </c>
    </row>
    <row r="73" spans="1:17" customFormat="1">
      <c r="A73" s="111" t="s">
        <v>2606</v>
      </c>
      <c r="B73" s="133">
        <v>5.04</v>
      </c>
      <c r="C73" s="133">
        <v>25.06</v>
      </c>
      <c r="D73" s="133">
        <v>18.48</v>
      </c>
      <c r="E73" s="133">
        <v>4.7300000000000004</v>
      </c>
      <c r="F73" s="133">
        <v>5.32</v>
      </c>
      <c r="G73" s="133">
        <v>62.71</v>
      </c>
      <c r="H73" s="133">
        <v>23.93</v>
      </c>
      <c r="I73" s="133">
        <v>5.67</v>
      </c>
      <c r="J73" s="133">
        <v>0.43</v>
      </c>
      <c r="K73" s="133">
        <v>38.630000000000003</v>
      </c>
      <c r="L73" s="133">
        <v>28.23</v>
      </c>
      <c r="M73" s="133">
        <v>42.08</v>
      </c>
      <c r="N73" s="133">
        <v>32.4</v>
      </c>
      <c r="O73" s="133">
        <v>0</v>
      </c>
      <c r="P73" s="133">
        <v>0.67</v>
      </c>
      <c r="Q73" s="133">
        <v>4.38</v>
      </c>
    </row>
    <row r="74" spans="1:17" customFormat="1">
      <c r="A74" s="111" t="s">
        <v>2607</v>
      </c>
      <c r="B74" s="133">
        <v>5.31</v>
      </c>
      <c r="C74" s="133">
        <v>24.86</v>
      </c>
      <c r="D74" s="133">
        <v>18.600000000000001</v>
      </c>
      <c r="E74" s="133">
        <v>3.97</v>
      </c>
      <c r="F74" s="133">
        <v>3.97</v>
      </c>
      <c r="G74" s="133">
        <v>62.71</v>
      </c>
      <c r="H74" s="133">
        <v>23.93</v>
      </c>
      <c r="I74" s="133">
        <v>5.76</v>
      </c>
      <c r="J74" s="133">
        <v>0.28999999999999998</v>
      </c>
      <c r="K74" s="133">
        <v>44.86</v>
      </c>
      <c r="L74" s="133">
        <v>27.97</v>
      </c>
      <c r="M74" s="133">
        <v>43.3</v>
      </c>
      <c r="N74" s="133">
        <v>28.9</v>
      </c>
      <c r="O74" s="133">
        <v>0</v>
      </c>
      <c r="P74" s="133">
        <v>0.66</v>
      </c>
      <c r="Q74" s="133">
        <v>4.3899999999999997</v>
      </c>
    </row>
    <row r="75" spans="1:17" customFormat="1">
      <c r="A75" s="111" t="s">
        <v>2608</v>
      </c>
      <c r="B75" s="133">
        <v>5.67</v>
      </c>
      <c r="C75" s="133">
        <v>23.09</v>
      </c>
      <c r="D75" s="133">
        <v>17.96</v>
      </c>
      <c r="E75" s="133">
        <v>3.84</v>
      </c>
      <c r="F75" s="133">
        <v>3.56</v>
      </c>
      <c r="G75" s="133">
        <v>62.74</v>
      </c>
      <c r="H75" s="133">
        <v>23.88</v>
      </c>
      <c r="I75" s="133">
        <v>5.68</v>
      </c>
      <c r="J75" s="133">
        <v>0.2</v>
      </c>
      <c r="K75" s="133">
        <v>75.290000000000006</v>
      </c>
      <c r="L75" s="133">
        <v>27.68</v>
      </c>
      <c r="M75" s="133">
        <v>44.44</v>
      </c>
      <c r="N75" s="133">
        <v>14.5</v>
      </c>
      <c r="O75" s="133">
        <v>0</v>
      </c>
      <c r="P75" s="133">
        <v>0.65</v>
      </c>
      <c r="Q75" s="133">
        <v>4.38</v>
      </c>
    </row>
    <row r="76" spans="1:17" customFormat="1">
      <c r="A76" s="111" t="s">
        <v>2609</v>
      </c>
      <c r="B76" s="133">
        <v>6.13</v>
      </c>
      <c r="C76" s="133">
        <v>21.62</v>
      </c>
      <c r="D76" s="133">
        <v>17.559999999999999</v>
      </c>
      <c r="E76" s="133">
        <v>3.97</v>
      </c>
      <c r="F76" s="133">
        <v>3.53</v>
      </c>
      <c r="G76" s="133">
        <v>63.24</v>
      </c>
      <c r="H76" s="133">
        <v>23.06</v>
      </c>
      <c r="I76" s="133">
        <v>5.71</v>
      </c>
      <c r="J76" s="133">
        <v>0.16</v>
      </c>
      <c r="K76" s="133">
        <v>141.88999999999999</v>
      </c>
      <c r="L76" s="133">
        <v>27.13</v>
      </c>
      <c r="M76" s="133">
        <v>49.04</v>
      </c>
      <c r="N76" s="133">
        <v>6.2</v>
      </c>
      <c r="O76" s="133">
        <v>0</v>
      </c>
      <c r="P76" s="133">
        <v>0.64</v>
      </c>
      <c r="Q76" s="133">
        <v>4.41</v>
      </c>
    </row>
    <row r="77" spans="1:17" customFormat="1">
      <c r="A77" s="111" t="s">
        <v>2610</v>
      </c>
      <c r="B77" s="133">
        <v>6.41</v>
      </c>
      <c r="C77" s="133">
        <v>20.52</v>
      </c>
      <c r="D77" s="133">
        <v>17.22</v>
      </c>
      <c r="E77" s="133">
        <v>3.43</v>
      </c>
      <c r="F77" s="133">
        <v>3.11</v>
      </c>
      <c r="G77" s="133">
        <v>63.24</v>
      </c>
      <c r="H77" s="133">
        <v>23.06</v>
      </c>
      <c r="I77" s="133">
        <v>5.69</v>
      </c>
      <c r="J77" s="133">
        <v>0.23</v>
      </c>
      <c r="K77" s="133">
        <v>172.9</v>
      </c>
      <c r="L77" s="133">
        <v>26.11</v>
      </c>
      <c r="M77" s="133">
        <v>54.01</v>
      </c>
      <c r="N77" s="133">
        <v>0.3</v>
      </c>
      <c r="O77" s="133">
        <v>0</v>
      </c>
      <c r="P77" s="133">
        <v>0.63</v>
      </c>
      <c r="Q77" s="133">
        <v>4.41</v>
      </c>
    </row>
    <row r="78" spans="1:17" customFormat="1">
      <c r="A78" s="111" t="s">
        <v>2611</v>
      </c>
      <c r="B78" s="133">
        <v>6.71</v>
      </c>
      <c r="C78" s="133">
        <v>19.68</v>
      </c>
      <c r="D78" s="133">
        <v>17.010000000000002</v>
      </c>
      <c r="E78" s="133">
        <v>3.83</v>
      </c>
      <c r="F78" s="133">
        <v>2.91</v>
      </c>
      <c r="G78" s="133">
        <v>63.24</v>
      </c>
      <c r="H78" s="133">
        <v>23.06</v>
      </c>
      <c r="I78" s="133">
        <v>5.65</v>
      </c>
      <c r="J78" s="133">
        <v>0.23</v>
      </c>
      <c r="K78" s="133">
        <v>168.1</v>
      </c>
      <c r="L78" s="133">
        <v>25.32</v>
      </c>
      <c r="M78" s="133">
        <v>60.56</v>
      </c>
      <c r="N78" s="133">
        <v>0</v>
      </c>
      <c r="O78" s="133">
        <v>0</v>
      </c>
      <c r="P78" s="133">
        <v>0.62</v>
      </c>
      <c r="Q78" s="133">
        <v>4.42</v>
      </c>
    </row>
    <row r="79" spans="1:17" customFormat="1">
      <c r="A79" s="111" t="s">
        <v>2612</v>
      </c>
      <c r="B79" s="133">
        <v>6.71</v>
      </c>
      <c r="C79" s="133">
        <v>19.329999999999998</v>
      </c>
      <c r="D79" s="133">
        <v>16.829999999999998</v>
      </c>
      <c r="E79" s="133">
        <v>3.43</v>
      </c>
      <c r="F79" s="133">
        <v>2.83</v>
      </c>
      <c r="G79" s="133">
        <v>63.73</v>
      </c>
      <c r="H79" s="133">
        <v>23.07</v>
      </c>
      <c r="I79" s="133">
        <v>5.64</v>
      </c>
      <c r="J79" s="133">
        <v>0.27</v>
      </c>
      <c r="K79" s="133">
        <v>169.04</v>
      </c>
      <c r="L79" s="133">
        <v>24.83</v>
      </c>
      <c r="M79" s="133">
        <v>63.18</v>
      </c>
      <c r="N79" s="133">
        <v>0</v>
      </c>
      <c r="O79" s="133">
        <v>0</v>
      </c>
      <c r="P79" s="133">
        <v>0.62</v>
      </c>
      <c r="Q79" s="133">
        <v>4.43</v>
      </c>
    </row>
    <row r="80" spans="1:17" customFormat="1">
      <c r="A80" s="111" t="s">
        <v>2613</v>
      </c>
      <c r="B80" s="133">
        <v>6.79</v>
      </c>
      <c r="C80" s="133">
        <v>20.170000000000002</v>
      </c>
      <c r="D80" s="133">
        <v>17.34</v>
      </c>
      <c r="E80" s="133">
        <v>3.4</v>
      </c>
      <c r="F80" s="133">
        <v>2.75</v>
      </c>
      <c r="G80" s="133">
        <v>72.03</v>
      </c>
      <c r="H80" s="133">
        <v>23.2</v>
      </c>
      <c r="I80" s="133">
        <v>5.63</v>
      </c>
      <c r="J80" s="133">
        <v>0.27</v>
      </c>
      <c r="K80" s="133">
        <v>175.26</v>
      </c>
      <c r="L80" s="133">
        <v>24.35</v>
      </c>
      <c r="M80" s="133">
        <v>65.06</v>
      </c>
      <c r="N80" s="133">
        <v>0</v>
      </c>
      <c r="O80" s="133">
        <v>0</v>
      </c>
      <c r="P80" s="133">
        <v>0.63</v>
      </c>
      <c r="Q80" s="133">
        <v>4.42</v>
      </c>
    </row>
    <row r="81" spans="1:17" customFormat="1">
      <c r="A81" s="111" t="s">
        <v>2614</v>
      </c>
      <c r="B81" s="133">
        <v>7.05</v>
      </c>
      <c r="C81" s="133">
        <v>21.3</v>
      </c>
      <c r="D81" s="133">
        <v>18.13</v>
      </c>
      <c r="E81" s="133">
        <v>5.01</v>
      </c>
      <c r="F81" s="133">
        <v>2.52</v>
      </c>
      <c r="G81" s="133">
        <v>72.03</v>
      </c>
      <c r="H81" s="133">
        <v>23.2</v>
      </c>
      <c r="I81" s="133">
        <v>5.63</v>
      </c>
      <c r="J81" s="133">
        <v>0.19</v>
      </c>
      <c r="K81" s="133">
        <v>165.52</v>
      </c>
      <c r="L81" s="133">
        <v>23.92</v>
      </c>
      <c r="M81" s="133">
        <v>71.02</v>
      </c>
      <c r="N81" s="133">
        <v>0</v>
      </c>
      <c r="O81" s="133">
        <v>0</v>
      </c>
      <c r="P81" s="133">
        <v>0.64</v>
      </c>
      <c r="Q81" s="133">
        <v>4.42</v>
      </c>
    </row>
    <row r="82" spans="1:17" customFormat="1">
      <c r="A82" s="111" t="s">
        <v>2615</v>
      </c>
      <c r="B82" s="133">
        <v>7.52</v>
      </c>
      <c r="C82" s="133">
        <v>19.64</v>
      </c>
      <c r="D82" s="133">
        <v>17.649999999999999</v>
      </c>
      <c r="E82" s="133">
        <v>6.18</v>
      </c>
      <c r="F82" s="133">
        <v>2.74</v>
      </c>
      <c r="G82" s="133">
        <v>72.03</v>
      </c>
      <c r="H82" s="133">
        <v>23.2</v>
      </c>
      <c r="I82" s="133">
        <v>5.64</v>
      </c>
      <c r="J82" s="133">
        <v>0.19</v>
      </c>
      <c r="K82" s="133">
        <v>173.49</v>
      </c>
      <c r="L82" s="133">
        <v>23.55</v>
      </c>
      <c r="M82" s="133">
        <v>69.77</v>
      </c>
      <c r="N82" s="133">
        <v>0</v>
      </c>
      <c r="O82" s="133">
        <v>0</v>
      </c>
      <c r="P82" s="133">
        <v>0.64</v>
      </c>
      <c r="Q82" s="133">
        <v>4.45</v>
      </c>
    </row>
    <row r="83" spans="1:17" customFormat="1">
      <c r="A83" s="111" t="s">
        <v>2616</v>
      </c>
      <c r="B83" s="133">
        <v>7.73</v>
      </c>
      <c r="C83" s="133">
        <v>20.239999999999998</v>
      </c>
      <c r="D83" s="133">
        <v>18.13</v>
      </c>
      <c r="E83" s="133">
        <v>6.49</v>
      </c>
      <c r="F83" s="133">
        <v>2.4300000000000002</v>
      </c>
      <c r="G83" s="133">
        <v>72.099999999999994</v>
      </c>
      <c r="H83" s="133">
        <v>23.17</v>
      </c>
      <c r="I83" s="133">
        <v>5.69</v>
      </c>
      <c r="J83" s="133">
        <v>0.2</v>
      </c>
      <c r="K83" s="133">
        <v>168.36</v>
      </c>
      <c r="L83" s="133">
        <v>23.2</v>
      </c>
      <c r="M83" s="133">
        <v>75.8</v>
      </c>
      <c r="N83" s="133">
        <v>0</v>
      </c>
      <c r="O83" s="133">
        <v>0</v>
      </c>
      <c r="P83" s="133">
        <v>0.66</v>
      </c>
      <c r="Q83" s="133">
        <v>4.46</v>
      </c>
    </row>
    <row r="84" spans="1:17" customFormat="1">
      <c r="A84" s="111" t="s">
        <v>2617</v>
      </c>
      <c r="B84" s="133">
        <v>8.0299999999999994</v>
      </c>
      <c r="C84" s="133">
        <v>20.72</v>
      </c>
      <c r="D84" s="133">
        <v>18.61</v>
      </c>
      <c r="E84" s="133">
        <v>6.73</v>
      </c>
      <c r="F84" s="133">
        <v>2.46</v>
      </c>
      <c r="G84" s="133">
        <v>73.33</v>
      </c>
      <c r="H84" s="133">
        <v>22.79</v>
      </c>
      <c r="I84" s="133">
        <v>5.74</v>
      </c>
      <c r="J84" s="133">
        <v>0.2</v>
      </c>
      <c r="K84" s="133">
        <v>175.97</v>
      </c>
      <c r="L84" s="133">
        <v>22.91</v>
      </c>
      <c r="M84" s="133">
        <v>75.739999999999995</v>
      </c>
      <c r="N84" s="133">
        <v>0</v>
      </c>
      <c r="O84" s="133">
        <v>0</v>
      </c>
      <c r="P84" s="133">
        <v>0.66</v>
      </c>
      <c r="Q84" s="133">
        <v>4.4800000000000004</v>
      </c>
    </row>
    <row r="85" spans="1:17" customFormat="1">
      <c r="A85" s="111" t="s">
        <v>2618</v>
      </c>
      <c r="B85" s="133">
        <v>8.39</v>
      </c>
      <c r="C85" s="133">
        <v>19.57</v>
      </c>
      <c r="D85" s="133">
        <v>18.3</v>
      </c>
      <c r="E85" s="133">
        <v>6.49</v>
      </c>
      <c r="F85" s="133">
        <v>2.85</v>
      </c>
      <c r="G85" s="133">
        <v>73.33</v>
      </c>
      <c r="H85" s="133">
        <v>22.79</v>
      </c>
      <c r="I85" s="133">
        <v>5.83</v>
      </c>
      <c r="J85" s="133">
        <v>0.19</v>
      </c>
      <c r="K85" s="133">
        <v>222.13</v>
      </c>
      <c r="L85" s="133">
        <v>22.73</v>
      </c>
      <c r="M85" s="133">
        <v>73.959999999999994</v>
      </c>
      <c r="N85" s="133">
        <v>0</v>
      </c>
      <c r="O85" s="133">
        <v>0</v>
      </c>
      <c r="P85" s="133">
        <v>0.66</v>
      </c>
      <c r="Q85" s="133">
        <v>4.5199999999999996</v>
      </c>
    </row>
    <row r="86" spans="1:17" customFormat="1">
      <c r="A86" s="111" t="s">
        <v>2619</v>
      </c>
      <c r="B86" s="133">
        <v>8.7100000000000009</v>
      </c>
      <c r="C86" s="133">
        <v>20.92</v>
      </c>
      <c r="D86" s="133">
        <v>19.27</v>
      </c>
      <c r="E86" s="133">
        <v>6.38</v>
      </c>
      <c r="F86" s="133">
        <v>2.5099999999999998</v>
      </c>
      <c r="G86" s="133">
        <v>73.33</v>
      </c>
      <c r="H86" s="133">
        <v>22.79</v>
      </c>
      <c r="I86" s="133">
        <v>5.87</v>
      </c>
      <c r="J86" s="133">
        <v>0.12</v>
      </c>
      <c r="K86" s="133">
        <v>234.13</v>
      </c>
      <c r="L86" s="133">
        <v>22.25</v>
      </c>
      <c r="M86" s="133">
        <v>78.489999999999995</v>
      </c>
      <c r="N86" s="133">
        <v>0</v>
      </c>
      <c r="O86" s="133">
        <v>0</v>
      </c>
      <c r="P86" s="133">
        <v>0.68</v>
      </c>
      <c r="Q86" s="133">
        <v>4.53</v>
      </c>
    </row>
    <row r="87" spans="1:17" customFormat="1">
      <c r="A87" s="111" t="s">
        <v>2620</v>
      </c>
      <c r="B87" s="133">
        <v>9.07</v>
      </c>
      <c r="C87" s="133">
        <v>19.96</v>
      </c>
      <c r="D87" s="133">
        <v>19.05</v>
      </c>
      <c r="E87" s="133">
        <v>6.09</v>
      </c>
      <c r="F87" s="133">
        <v>2.75</v>
      </c>
      <c r="G87" s="133">
        <v>73.23</v>
      </c>
      <c r="H87" s="133">
        <v>22.72</v>
      </c>
      <c r="I87" s="133">
        <v>5.97</v>
      </c>
      <c r="J87" s="133">
        <v>0.18</v>
      </c>
      <c r="K87" s="133">
        <v>245.8</v>
      </c>
      <c r="L87" s="133">
        <v>21.97</v>
      </c>
      <c r="M87" s="133">
        <v>78.66</v>
      </c>
      <c r="N87" s="133">
        <v>0</v>
      </c>
      <c r="O87" s="133">
        <v>0</v>
      </c>
      <c r="P87" s="133">
        <v>0.67</v>
      </c>
      <c r="Q87" s="133">
        <v>4.55</v>
      </c>
    </row>
    <row r="88" spans="1:17" customFormat="1">
      <c r="A88" s="111" t="s">
        <v>2621</v>
      </c>
      <c r="B88" s="133">
        <v>9.2799999999999994</v>
      </c>
      <c r="C88" s="133">
        <v>20.22</v>
      </c>
      <c r="D88" s="133">
        <v>19.36</v>
      </c>
      <c r="E88" s="133">
        <v>6.69</v>
      </c>
      <c r="F88" s="133">
        <v>2.52</v>
      </c>
      <c r="G88" s="133">
        <v>71.02</v>
      </c>
      <c r="H88" s="133">
        <v>21.71</v>
      </c>
      <c r="I88" s="133">
        <v>6.1</v>
      </c>
      <c r="J88" s="133">
        <v>0.17</v>
      </c>
      <c r="K88" s="133">
        <v>242.35</v>
      </c>
      <c r="L88" s="133">
        <v>21.72</v>
      </c>
      <c r="M88" s="133">
        <v>78.47</v>
      </c>
      <c r="N88" s="133">
        <v>0</v>
      </c>
      <c r="O88" s="133">
        <v>0</v>
      </c>
      <c r="P88" s="133">
        <v>0.68</v>
      </c>
      <c r="Q88" s="133">
        <v>4.54</v>
      </c>
    </row>
    <row r="89" spans="1:17" customFormat="1">
      <c r="A89" s="111" t="s">
        <v>2622</v>
      </c>
      <c r="B89" s="133">
        <v>9.59</v>
      </c>
      <c r="C89" s="133">
        <v>21.36</v>
      </c>
      <c r="D89" s="133">
        <v>20.2</v>
      </c>
      <c r="E89" s="133">
        <v>6.58</v>
      </c>
      <c r="F89" s="133">
        <v>2.4900000000000002</v>
      </c>
      <c r="G89" s="133">
        <v>71.02</v>
      </c>
      <c r="H89" s="133">
        <v>21.71</v>
      </c>
      <c r="I89" s="133">
        <v>6.14</v>
      </c>
      <c r="J89" s="133">
        <v>7.0000000000000007E-2</v>
      </c>
      <c r="K89" s="133">
        <v>154.41</v>
      </c>
      <c r="L89" s="133">
        <v>21.51</v>
      </c>
      <c r="M89" s="133">
        <v>80.67</v>
      </c>
      <c r="N89" s="133">
        <v>0</v>
      </c>
      <c r="O89" s="133">
        <v>0</v>
      </c>
      <c r="P89" s="133">
        <v>0.7</v>
      </c>
      <c r="Q89" s="133">
        <v>4.58</v>
      </c>
    </row>
    <row r="90" spans="1:17" customFormat="1">
      <c r="A90" s="111" t="s">
        <v>2623</v>
      </c>
      <c r="B90" s="133">
        <v>9.8800000000000008</v>
      </c>
      <c r="C90" s="133">
        <v>20.41</v>
      </c>
      <c r="D90" s="133">
        <v>19.93</v>
      </c>
      <c r="E90" s="133">
        <v>6.66</v>
      </c>
      <c r="F90" s="133">
        <v>2.66</v>
      </c>
      <c r="G90" s="133">
        <v>71.02</v>
      </c>
      <c r="H90" s="133">
        <v>21.71</v>
      </c>
      <c r="I90" s="133">
        <v>6.18</v>
      </c>
      <c r="J90" s="133">
        <v>0.18</v>
      </c>
      <c r="K90" s="133">
        <v>173.75</v>
      </c>
      <c r="L90" s="133">
        <v>21.75</v>
      </c>
      <c r="M90" s="133">
        <v>79.34</v>
      </c>
      <c r="N90" s="133">
        <v>0</v>
      </c>
      <c r="O90" s="133">
        <v>0</v>
      </c>
      <c r="P90" s="133">
        <v>0.69</v>
      </c>
      <c r="Q90" s="133">
        <v>4.62</v>
      </c>
    </row>
    <row r="91" spans="1:17" customFormat="1">
      <c r="A91" s="111" t="s">
        <v>2624</v>
      </c>
      <c r="B91" s="133">
        <v>10.09</v>
      </c>
      <c r="C91" s="133">
        <v>21.03</v>
      </c>
      <c r="D91" s="133">
        <v>20.43</v>
      </c>
      <c r="E91" s="133">
        <v>6.47</v>
      </c>
      <c r="F91" s="133">
        <v>2.4</v>
      </c>
      <c r="G91" s="133">
        <v>70.849999999999994</v>
      </c>
      <c r="H91" s="133">
        <v>21.9</v>
      </c>
      <c r="I91" s="133">
        <v>6.2</v>
      </c>
      <c r="J91" s="133">
        <v>0.11</v>
      </c>
      <c r="K91" s="133">
        <v>156.38999999999999</v>
      </c>
      <c r="L91" s="133">
        <v>21.57</v>
      </c>
      <c r="M91" s="133">
        <v>82.89</v>
      </c>
      <c r="N91" s="133">
        <v>0</v>
      </c>
      <c r="O91" s="133">
        <v>0</v>
      </c>
      <c r="P91" s="133">
        <v>0.7</v>
      </c>
      <c r="Q91" s="133">
        <v>4.6399999999999997</v>
      </c>
    </row>
    <row r="92" spans="1:17" customFormat="1">
      <c r="A92" s="111" t="s">
        <v>2625</v>
      </c>
      <c r="B92" s="133">
        <v>10.23</v>
      </c>
      <c r="C92" s="133">
        <v>19.8</v>
      </c>
      <c r="D92" s="133">
        <v>19.899999999999999</v>
      </c>
      <c r="E92" s="133">
        <v>6.74</v>
      </c>
      <c r="F92" s="133">
        <v>2.69</v>
      </c>
      <c r="G92" s="133">
        <v>67.069999999999993</v>
      </c>
      <c r="H92" s="133">
        <v>24.98</v>
      </c>
      <c r="I92" s="133">
        <v>6.21</v>
      </c>
      <c r="J92" s="133">
        <v>0.06</v>
      </c>
      <c r="K92" s="133">
        <v>167.47</v>
      </c>
      <c r="L92" s="133">
        <v>21.62</v>
      </c>
      <c r="M92" s="133">
        <v>75.39</v>
      </c>
      <c r="N92" s="133">
        <v>0</v>
      </c>
      <c r="O92" s="133">
        <v>0</v>
      </c>
      <c r="P92" s="133">
        <v>0.71</v>
      </c>
      <c r="Q92" s="133">
        <v>4.66</v>
      </c>
    </row>
    <row r="93" spans="1:17" customFormat="1">
      <c r="A93" s="111" t="s">
        <v>2626</v>
      </c>
      <c r="B93" s="133">
        <v>10.98</v>
      </c>
      <c r="C93" s="133">
        <v>20.420000000000002</v>
      </c>
      <c r="D93" s="133">
        <v>20.82</v>
      </c>
      <c r="E93" s="133">
        <v>6.7</v>
      </c>
      <c r="F93" s="133">
        <v>2.4900000000000002</v>
      </c>
      <c r="G93" s="133">
        <v>67.069999999999993</v>
      </c>
      <c r="H93" s="133">
        <v>24.98</v>
      </c>
      <c r="I93" s="133">
        <v>6.3</v>
      </c>
      <c r="J93" s="133">
        <v>0.2</v>
      </c>
      <c r="K93" s="133">
        <v>236.11</v>
      </c>
      <c r="L93" s="133">
        <v>21.66</v>
      </c>
      <c r="M93" s="133">
        <v>77.11</v>
      </c>
      <c r="N93" s="133">
        <v>0</v>
      </c>
      <c r="O93" s="133">
        <v>0</v>
      </c>
      <c r="P93" s="133">
        <v>0.75</v>
      </c>
      <c r="Q93" s="133">
        <v>4.67</v>
      </c>
    </row>
    <row r="94" spans="1:17" customFormat="1">
      <c r="A94" s="111" t="s">
        <v>2627</v>
      </c>
      <c r="B94" s="133">
        <v>11.42</v>
      </c>
      <c r="C94" s="133">
        <v>21.26</v>
      </c>
      <c r="D94" s="133">
        <v>21.62</v>
      </c>
      <c r="E94" s="133">
        <v>7.13</v>
      </c>
      <c r="F94" s="133">
        <v>2.69</v>
      </c>
      <c r="G94" s="133">
        <v>67.069999999999993</v>
      </c>
      <c r="H94" s="133">
        <v>24.98</v>
      </c>
      <c r="I94" s="133">
        <v>6.37</v>
      </c>
      <c r="J94" s="133">
        <v>0.13</v>
      </c>
      <c r="K94" s="133">
        <v>168.39</v>
      </c>
      <c r="L94" s="133">
        <v>21.3</v>
      </c>
      <c r="M94" s="133">
        <v>77.989999999999995</v>
      </c>
      <c r="N94" s="133">
        <v>0</v>
      </c>
      <c r="O94" s="133">
        <v>0</v>
      </c>
      <c r="P94" s="133">
        <v>0.78</v>
      </c>
      <c r="Q94" s="133">
        <v>4.7</v>
      </c>
    </row>
    <row r="95" spans="1:17" customFormat="1">
      <c r="A95" s="111" t="s">
        <v>2628</v>
      </c>
      <c r="B95" s="133">
        <v>11.35</v>
      </c>
      <c r="C95" s="133">
        <v>21.5</v>
      </c>
      <c r="D95" s="133">
        <v>21.69</v>
      </c>
      <c r="E95" s="133">
        <v>7.21</v>
      </c>
      <c r="F95" s="133">
        <v>2.8</v>
      </c>
      <c r="G95" s="133">
        <v>67.05</v>
      </c>
      <c r="H95" s="133">
        <v>24.99</v>
      </c>
      <c r="I95" s="133">
        <v>6.55</v>
      </c>
      <c r="J95" s="133">
        <v>0.12</v>
      </c>
      <c r="K95" s="133">
        <v>200.18</v>
      </c>
      <c r="L95" s="133">
        <v>21.23</v>
      </c>
      <c r="M95" s="133">
        <v>83.29</v>
      </c>
      <c r="N95" s="133">
        <v>0</v>
      </c>
      <c r="O95" s="133">
        <v>0</v>
      </c>
      <c r="P95" s="133">
        <v>0.79</v>
      </c>
      <c r="Q95" s="133">
        <v>4.7</v>
      </c>
    </row>
    <row r="96" spans="1:17" customFormat="1">
      <c r="A96" s="111" t="s">
        <v>2629</v>
      </c>
      <c r="B96" s="133">
        <v>11.31</v>
      </c>
      <c r="C96" s="133">
        <v>21.63</v>
      </c>
      <c r="D96" s="133">
        <v>21.72</v>
      </c>
      <c r="E96" s="133">
        <v>7.01</v>
      </c>
      <c r="F96" s="133">
        <v>2.73</v>
      </c>
      <c r="G96" s="133">
        <v>66.760000000000005</v>
      </c>
      <c r="H96" s="133">
        <v>25.17</v>
      </c>
      <c r="I96" s="133">
        <v>6.69</v>
      </c>
      <c r="J96" s="133">
        <v>0.18</v>
      </c>
      <c r="K96" s="133">
        <v>242.84</v>
      </c>
      <c r="L96" s="133">
        <v>20.97</v>
      </c>
      <c r="M96" s="133">
        <v>85.4</v>
      </c>
      <c r="N96" s="133">
        <v>0</v>
      </c>
      <c r="O96" s="133">
        <v>0</v>
      </c>
      <c r="P96" s="133">
        <v>0.8</v>
      </c>
      <c r="Q96" s="133">
        <v>4.67</v>
      </c>
    </row>
    <row r="97" spans="1:22" customFormat="1">
      <c r="A97" s="111" t="s">
        <v>2630</v>
      </c>
      <c r="B97" s="133">
        <v>11.08</v>
      </c>
      <c r="C97" s="133">
        <v>21.96</v>
      </c>
      <c r="D97" s="133">
        <v>21.71</v>
      </c>
      <c r="E97" s="133">
        <v>6.62</v>
      </c>
      <c r="F97" s="133">
        <v>2.73</v>
      </c>
      <c r="G97" s="133">
        <v>66.760000000000005</v>
      </c>
      <c r="H97" s="133">
        <v>25.17</v>
      </c>
      <c r="I97" s="133">
        <v>6.76</v>
      </c>
      <c r="J97" s="133">
        <v>0.1</v>
      </c>
      <c r="K97" s="133">
        <v>197.02</v>
      </c>
      <c r="L97" s="133">
        <v>20.91</v>
      </c>
      <c r="M97" s="133">
        <v>83.87</v>
      </c>
      <c r="N97" s="133">
        <v>0</v>
      </c>
      <c r="O97" s="133">
        <v>0</v>
      </c>
      <c r="P97" s="133">
        <v>0.81</v>
      </c>
      <c r="Q97" s="133">
        <v>4.67</v>
      </c>
    </row>
    <row r="98" spans="1:22" customFormat="1">
      <c r="A98" s="111" t="s">
        <v>2631</v>
      </c>
      <c r="B98" s="133">
        <v>11.03</v>
      </c>
      <c r="C98" s="133">
        <v>22.1</v>
      </c>
      <c r="D98" s="133">
        <v>21.75</v>
      </c>
      <c r="E98" s="133">
        <v>6.78</v>
      </c>
      <c r="F98" s="133">
        <v>2.7</v>
      </c>
      <c r="G98" s="133">
        <v>66.760000000000005</v>
      </c>
      <c r="H98" s="133">
        <v>25.17</v>
      </c>
      <c r="I98" s="133">
        <v>6.85</v>
      </c>
      <c r="J98" s="133">
        <v>0.08</v>
      </c>
      <c r="K98" s="133">
        <v>171.37</v>
      </c>
      <c r="L98" s="133">
        <v>20.88</v>
      </c>
      <c r="M98" s="133">
        <v>84.62</v>
      </c>
      <c r="N98" s="133">
        <v>0</v>
      </c>
      <c r="O98" s="133">
        <v>0</v>
      </c>
      <c r="P98" s="133">
        <v>0.82</v>
      </c>
      <c r="Q98" s="133">
        <v>4.6900000000000004</v>
      </c>
    </row>
    <row r="99" spans="1:22" customFormat="1">
      <c r="A99" s="111" t="s">
        <v>2632</v>
      </c>
      <c r="B99" s="133">
        <v>11.03</v>
      </c>
      <c r="C99" s="133">
        <v>22.21</v>
      </c>
      <c r="D99" s="133">
        <v>21.8</v>
      </c>
      <c r="E99" s="133">
        <v>6.59</v>
      </c>
      <c r="F99" s="133">
        <v>2.67</v>
      </c>
      <c r="G99" s="133">
        <v>66.709999999999994</v>
      </c>
      <c r="H99" s="133">
        <v>25.3</v>
      </c>
      <c r="I99" s="133">
        <v>6.94</v>
      </c>
      <c r="J99" s="133">
        <v>0.09</v>
      </c>
      <c r="K99" s="133">
        <v>174.95</v>
      </c>
      <c r="L99" s="133">
        <v>20.78</v>
      </c>
      <c r="M99" s="133">
        <v>89.37</v>
      </c>
      <c r="N99" s="133">
        <v>0</v>
      </c>
      <c r="O99" s="133">
        <v>0</v>
      </c>
      <c r="P99" s="133">
        <v>0.83</v>
      </c>
      <c r="Q99" s="133">
        <v>4.7</v>
      </c>
    </row>
    <row r="100" spans="1:22" customFormat="1">
      <c r="A100" s="111" t="s">
        <v>2633</v>
      </c>
      <c r="B100" s="133">
        <v>11.06</v>
      </c>
      <c r="C100" s="133">
        <v>22.02</v>
      </c>
      <c r="D100" s="133">
        <v>21.73</v>
      </c>
      <c r="E100" s="133">
        <v>7.41</v>
      </c>
      <c r="F100" s="133">
        <v>2.63</v>
      </c>
      <c r="G100" s="133">
        <v>65.92</v>
      </c>
      <c r="H100" s="133">
        <v>27.42</v>
      </c>
      <c r="I100" s="133">
        <v>7.1</v>
      </c>
      <c r="J100" s="133">
        <v>0.13</v>
      </c>
      <c r="K100" s="133">
        <v>203.16</v>
      </c>
      <c r="L100" s="133">
        <v>20.68</v>
      </c>
      <c r="M100" s="133">
        <v>87.68</v>
      </c>
      <c r="N100" s="133">
        <v>0</v>
      </c>
      <c r="O100" s="133">
        <v>0</v>
      </c>
      <c r="P100" s="133">
        <v>0.85</v>
      </c>
      <c r="Q100" s="133">
        <v>4.6900000000000004</v>
      </c>
    </row>
    <row r="101" spans="1:22" customFormat="1">
      <c r="A101" s="111" t="s">
        <v>2634</v>
      </c>
      <c r="B101" s="133">
        <v>11</v>
      </c>
      <c r="C101" s="133">
        <v>22.12</v>
      </c>
      <c r="D101" s="133">
        <v>21.73</v>
      </c>
      <c r="E101" s="133">
        <v>7.62</v>
      </c>
      <c r="F101" s="133">
        <v>2.64</v>
      </c>
      <c r="G101" s="133">
        <v>65.92</v>
      </c>
      <c r="H101" s="133">
        <v>27.42</v>
      </c>
      <c r="I101" s="133">
        <v>7.2</v>
      </c>
      <c r="J101" s="133">
        <v>0.09</v>
      </c>
      <c r="K101" s="133">
        <v>166.11</v>
      </c>
      <c r="L101" s="133">
        <v>20.54</v>
      </c>
      <c r="M101" s="133">
        <v>86.35</v>
      </c>
      <c r="N101" s="133">
        <v>0</v>
      </c>
      <c r="O101" s="133">
        <v>0</v>
      </c>
      <c r="P101" s="133">
        <v>0.86</v>
      </c>
      <c r="Q101" s="133">
        <v>4.71</v>
      </c>
    </row>
    <row r="102" spans="1:22" customFormat="1">
      <c r="A102" s="111" t="s">
        <v>2635</v>
      </c>
      <c r="B102" s="133">
        <v>10.76</v>
      </c>
      <c r="C102" s="133">
        <v>22.27</v>
      </c>
      <c r="D102" s="133">
        <v>21.61</v>
      </c>
      <c r="E102" s="133">
        <v>7.13</v>
      </c>
      <c r="F102" s="133">
        <v>2.69</v>
      </c>
      <c r="G102" s="133">
        <v>65.92</v>
      </c>
      <c r="H102" s="133">
        <v>27.42</v>
      </c>
      <c r="I102" s="133">
        <v>7.29</v>
      </c>
      <c r="J102" s="133">
        <v>0.11</v>
      </c>
      <c r="K102" s="133">
        <v>237.9</v>
      </c>
      <c r="L102" s="133">
        <v>20.420000000000002</v>
      </c>
      <c r="M102" s="133">
        <v>85.21</v>
      </c>
      <c r="N102" s="133">
        <v>0</v>
      </c>
      <c r="O102" s="133">
        <v>0</v>
      </c>
      <c r="P102" s="133">
        <v>0.86</v>
      </c>
      <c r="Q102" s="133">
        <v>4.71</v>
      </c>
    </row>
    <row r="103" spans="1:22" customFormat="1">
      <c r="A103" s="111" t="s">
        <v>2636</v>
      </c>
      <c r="B103" s="133">
        <v>10.53</v>
      </c>
      <c r="C103" s="133">
        <v>22.23</v>
      </c>
      <c r="D103" s="133">
        <v>21.41</v>
      </c>
      <c r="E103" s="133">
        <v>7.35</v>
      </c>
      <c r="F103" s="133">
        <v>2.77</v>
      </c>
      <c r="G103" s="133">
        <v>65.739999999999995</v>
      </c>
      <c r="H103" s="133">
        <v>27.51</v>
      </c>
      <c r="I103" s="133">
        <v>7.35</v>
      </c>
      <c r="J103" s="133">
        <v>0.12</v>
      </c>
      <c r="K103" s="133">
        <v>239.77</v>
      </c>
      <c r="L103" s="133">
        <v>20.28</v>
      </c>
      <c r="M103" s="133">
        <v>83.23</v>
      </c>
      <c r="N103" s="133">
        <v>0</v>
      </c>
      <c r="O103" s="133">
        <v>0</v>
      </c>
      <c r="P103" s="133">
        <v>0.85</v>
      </c>
      <c r="Q103" s="133">
        <v>4.72</v>
      </c>
    </row>
    <row r="104" spans="1:22" customFormat="1">
      <c r="A104" s="111" t="s">
        <v>2637</v>
      </c>
      <c r="B104" s="133">
        <v>10.27</v>
      </c>
      <c r="C104" s="133">
        <v>22.33</v>
      </c>
      <c r="D104" s="133">
        <v>21.25</v>
      </c>
      <c r="E104" s="133">
        <v>7.4</v>
      </c>
      <c r="F104" s="133">
        <v>2.68</v>
      </c>
      <c r="G104" s="133">
        <v>62.8</v>
      </c>
      <c r="H104" s="133">
        <v>28.94</v>
      </c>
      <c r="I104" s="133">
        <v>7.37</v>
      </c>
      <c r="J104" s="133">
        <v>0.16</v>
      </c>
      <c r="K104" s="133">
        <v>245.01</v>
      </c>
      <c r="L104" s="133">
        <v>20.190000000000001</v>
      </c>
      <c r="M104" s="133">
        <v>86.34</v>
      </c>
      <c r="N104" s="133">
        <v>0</v>
      </c>
      <c r="O104" s="133">
        <v>0</v>
      </c>
      <c r="P104" s="133">
        <v>0.84</v>
      </c>
      <c r="Q104" s="133">
        <v>4.68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4.9800000000000004</v>
      </c>
      <c r="C106" s="183">
        <f>MIN(C9:C104)</f>
        <v>19.329999999999998</v>
      </c>
      <c r="D106" s="183">
        <f t="shared" ref="D106:Q106" si="0">MIN(D9:D104)</f>
        <v>16.829999999999998</v>
      </c>
      <c r="E106" s="183">
        <f t="shared" si="0"/>
        <v>3.4</v>
      </c>
      <c r="F106" s="183">
        <f t="shared" si="0"/>
        <v>2.31</v>
      </c>
      <c r="G106" s="183">
        <f t="shared" si="0"/>
        <v>62.71</v>
      </c>
      <c r="H106" s="183">
        <f t="shared" si="0"/>
        <v>21.71</v>
      </c>
      <c r="I106" s="183">
        <f t="shared" si="0"/>
        <v>5.63</v>
      </c>
      <c r="J106" s="183">
        <f t="shared" si="0"/>
        <v>0.03</v>
      </c>
      <c r="K106" s="183">
        <f t="shared" si="0"/>
        <v>3.81</v>
      </c>
      <c r="L106" s="183">
        <f t="shared" si="0"/>
        <v>18.28</v>
      </c>
      <c r="M106" s="183">
        <f t="shared" si="0"/>
        <v>36.1</v>
      </c>
      <c r="N106" s="183">
        <f t="shared" si="0"/>
        <v>0</v>
      </c>
      <c r="O106" s="183">
        <f t="shared" si="0"/>
        <v>0</v>
      </c>
      <c r="P106" s="183">
        <f t="shared" si="0"/>
        <v>0.62</v>
      </c>
      <c r="Q106" s="183">
        <f t="shared" si="0"/>
        <v>4.37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27.95</v>
      </c>
      <c r="C107" s="184">
        <f t="shared" ref="C107:Q107" si="1">MAX(C9:C104)</f>
        <v>26.35</v>
      </c>
      <c r="D107" s="184">
        <f t="shared" si="1"/>
        <v>36.86</v>
      </c>
      <c r="E107" s="184">
        <f t="shared" si="1"/>
        <v>7.62</v>
      </c>
      <c r="F107" s="184">
        <f t="shared" si="1"/>
        <v>9.1199999999999992</v>
      </c>
      <c r="G107" s="184">
        <f t="shared" si="1"/>
        <v>92.26</v>
      </c>
      <c r="H107" s="184">
        <f t="shared" si="1"/>
        <v>40.89</v>
      </c>
      <c r="I107" s="184">
        <f t="shared" si="1"/>
        <v>9.59</v>
      </c>
      <c r="J107" s="184">
        <f t="shared" si="1"/>
        <v>0.99</v>
      </c>
      <c r="K107" s="184">
        <f t="shared" si="1"/>
        <v>355.36</v>
      </c>
      <c r="L107" s="184">
        <f t="shared" si="1"/>
        <v>30.35</v>
      </c>
      <c r="M107" s="184">
        <f t="shared" si="1"/>
        <v>100.86</v>
      </c>
      <c r="N107" s="184">
        <f t="shared" si="1"/>
        <v>593.29999999999995</v>
      </c>
      <c r="O107" s="184">
        <f t="shared" si="1"/>
        <v>0</v>
      </c>
      <c r="P107" s="184">
        <f t="shared" si="1"/>
        <v>1.07</v>
      </c>
      <c r="Q107" s="184">
        <f t="shared" si="1"/>
        <v>5.54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14.217499999999992</v>
      </c>
      <c r="C108" s="183">
        <f t="shared" ref="C108:Q108" si="2">AVERAGE(C9:C104)</f>
        <v>22.965208333333333</v>
      </c>
      <c r="D108" s="183">
        <f t="shared" si="2"/>
        <v>24.750937499999992</v>
      </c>
      <c r="E108" s="183">
        <f t="shared" si="2"/>
        <v>6.0916666666666686</v>
      </c>
      <c r="F108" s="183">
        <f t="shared" si="2"/>
        <v>3.5371875000000004</v>
      </c>
      <c r="G108" s="183">
        <f t="shared" si="2"/>
        <v>77.47760416666668</v>
      </c>
      <c r="H108" s="183">
        <f t="shared" si="2"/>
        <v>31.137083333333337</v>
      </c>
      <c r="I108" s="183">
        <f t="shared" si="2"/>
        <v>7.7793750000000053</v>
      </c>
      <c r="J108" s="183">
        <f t="shared" si="2"/>
        <v>0.26697916666666671</v>
      </c>
      <c r="K108" s="183">
        <f t="shared" si="2"/>
        <v>141.89218750000001</v>
      </c>
      <c r="L108" s="183">
        <f t="shared" si="2"/>
        <v>23.756145833333335</v>
      </c>
      <c r="M108" s="183">
        <f t="shared" si="2"/>
        <v>71.228437500000027</v>
      </c>
      <c r="N108" s="183">
        <f t="shared" si="2"/>
        <v>132.49687500000005</v>
      </c>
      <c r="O108" s="183">
        <f t="shared" si="2"/>
        <v>0</v>
      </c>
      <c r="P108" s="183">
        <f t="shared" si="2"/>
        <v>0.86249999999999993</v>
      </c>
      <c r="Q108" s="183">
        <f t="shared" si="2"/>
        <v>4.8597916666666672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7.1340100187320035</v>
      </c>
      <c r="C109" s="183">
        <f t="shared" ref="C109:Q109" si="3">STDEV(C9:C104)</f>
        <v>2.0149007963912409</v>
      </c>
      <c r="D109" s="183">
        <f t="shared" si="3"/>
        <v>6.0600687990059079</v>
      </c>
      <c r="E109" s="183">
        <f t="shared" si="3"/>
        <v>0.92799916817869532</v>
      </c>
      <c r="F109" s="183">
        <f t="shared" si="3"/>
        <v>1.7626186876797523</v>
      </c>
      <c r="G109" s="183">
        <f t="shared" si="3"/>
        <v>9.5647084578554544</v>
      </c>
      <c r="H109" s="183">
        <f t="shared" si="3"/>
        <v>6.5782917182065415</v>
      </c>
      <c r="I109" s="183">
        <f t="shared" si="3"/>
        <v>1.4832665321050873</v>
      </c>
      <c r="J109" s="183">
        <f t="shared" si="3"/>
        <v>0.25652790877886195</v>
      </c>
      <c r="K109" s="183">
        <f t="shared" si="3"/>
        <v>80.543451642780326</v>
      </c>
      <c r="L109" s="183">
        <f t="shared" si="3"/>
        <v>4.1414023482496605</v>
      </c>
      <c r="M109" s="183">
        <f t="shared" si="3"/>
        <v>22.399805559688229</v>
      </c>
      <c r="N109" s="183">
        <f t="shared" si="3"/>
        <v>205.59106393294175</v>
      </c>
      <c r="O109" s="183">
        <f t="shared" si="3"/>
        <v>0</v>
      </c>
      <c r="P109" s="183">
        <f t="shared" si="3"/>
        <v>0.14295380188607865</v>
      </c>
      <c r="Q109" s="183">
        <f t="shared" si="3"/>
        <v>0.38015780426074669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26/10/2023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2638</v>
      </c>
      <c r="B9" s="133">
        <v>10.27</v>
      </c>
      <c r="C9" s="133">
        <v>23.02</v>
      </c>
      <c r="D9" s="133">
        <v>21.62</v>
      </c>
      <c r="E9" s="133">
        <v>7.21</v>
      </c>
      <c r="F9" s="133">
        <v>2.77</v>
      </c>
      <c r="G9" s="133">
        <v>62.8</v>
      </c>
      <c r="H9" s="133">
        <v>28.94</v>
      </c>
      <c r="I9" s="133">
        <v>7.32</v>
      </c>
      <c r="J9" s="133">
        <v>0.2</v>
      </c>
      <c r="K9" s="133">
        <v>240.11</v>
      </c>
      <c r="L9" s="133">
        <v>20.170000000000002</v>
      </c>
      <c r="M9" s="133">
        <v>86.93</v>
      </c>
      <c r="N9" s="133">
        <v>0</v>
      </c>
      <c r="O9" s="133">
        <v>0</v>
      </c>
      <c r="P9" s="133">
        <v>0.84</v>
      </c>
      <c r="Q9" s="133">
        <v>4.6500000000000004</v>
      </c>
    </row>
    <row r="10" spans="1:21" customFormat="1">
      <c r="A10" s="111" t="s">
        <v>2639</v>
      </c>
      <c r="B10" s="133">
        <v>10.3</v>
      </c>
      <c r="C10" s="133">
        <v>22.21</v>
      </c>
      <c r="D10" s="133">
        <v>21.21</v>
      </c>
      <c r="E10" s="133">
        <v>7.22</v>
      </c>
      <c r="F10" s="133">
        <v>2.73</v>
      </c>
      <c r="G10" s="133">
        <v>62.8</v>
      </c>
      <c r="H10" s="133">
        <v>28.94</v>
      </c>
      <c r="I10" s="133">
        <v>7.31</v>
      </c>
      <c r="J10" s="133">
        <v>0.06</v>
      </c>
      <c r="K10" s="133">
        <v>204.96</v>
      </c>
      <c r="L10" s="133">
        <v>20.23</v>
      </c>
      <c r="M10" s="133">
        <v>84.91</v>
      </c>
      <c r="N10" s="133">
        <v>0</v>
      </c>
      <c r="O10" s="133">
        <v>0</v>
      </c>
      <c r="P10" s="133">
        <v>0.85</v>
      </c>
      <c r="Q10" s="133">
        <v>4.6500000000000004</v>
      </c>
    </row>
    <row r="11" spans="1:21" customFormat="1">
      <c r="A11" s="111" t="s">
        <v>2640</v>
      </c>
      <c r="B11" s="133">
        <v>10.18</v>
      </c>
      <c r="C11" s="133">
        <v>22</v>
      </c>
      <c r="D11" s="133">
        <v>21.01</v>
      </c>
      <c r="E11" s="133">
        <v>7.38</v>
      </c>
      <c r="F11" s="133">
        <v>2.7</v>
      </c>
      <c r="G11" s="133">
        <v>62.72</v>
      </c>
      <c r="H11" s="133">
        <v>28.81</v>
      </c>
      <c r="I11" s="133">
        <v>7.25</v>
      </c>
      <c r="J11" s="133">
        <v>0.1</v>
      </c>
      <c r="K11" s="133">
        <v>170.45</v>
      </c>
      <c r="L11" s="133">
        <v>20.170000000000002</v>
      </c>
      <c r="M11" s="133">
        <v>83.32</v>
      </c>
      <c r="N11" s="133">
        <v>0</v>
      </c>
      <c r="O11" s="133">
        <v>0</v>
      </c>
      <c r="P11" s="133">
        <v>0.84</v>
      </c>
      <c r="Q11" s="133">
        <v>4.66</v>
      </c>
    </row>
    <row r="12" spans="1:21" customFormat="1">
      <c r="A12" s="111" t="s">
        <v>2641</v>
      </c>
      <c r="B12" s="133">
        <v>9.99</v>
      </c>
      <c r="C12" s="133">
        <v>22.11</v>
      </c>
      <c r="D12" s="133">
        <v>20.91</v>
      </c>
      <c r="E12" s="133">
        <v>7.56</v>
      </c>
      <c r="F12" s="133">
        <v>2.75</v>
      </c>
      <c r="G12" s="133">
        <v>60.97</v>
      </c>
      <c r="H12" s="133">
        <v>26.82</v>
      </c>
      <c r="I12" s="133">
        <v>7.29</v>
      </c>
      <c r="J12" s="133">
        <v>0.17</v>
      </c>
      <c r="K12" s="133">
        <v>149.24</v>
      </c>
      <c r="L12" s="133">
        <v>20.18</v>
      </c>
      <c r="M12" s="133">
        <v>87.11</v>
      </c>
      <c r="N12" s="133">
        <v>0</v>
      </c>
      <c r="O12" s="133">
        <v>0</v>
      </c>
      <c r="P12" s="133">
        <v>0.84</v>
      </c>
      <c r="Q12" s="133">
        <v>4.6500000000000004</v>
      </c>
    </row>
    <row r="13" spans="1:21" customFormat="1">
      <c r="A13" s="111" t="s">
        <v>2642</v>
      </c>
      <c r="B13" s="133">
        <v>9.85</v>
      </c>
      <c r="C13" s="133">
        <v>22.07</v>
      </c>
      <c r="D13" s="133">
        <v>20.78</v>
      </c>
      <c r="E13" s="133">
        <v>7.16</v>
      </c>
      <c r="F13" s="133">
        <v>2.74</v>
      </c>
      <c r="G13" s="133">
        <v>60.97</v>
      </c>
      <c r="H13" s="133">
        <v>26.82</v>
      </c>
      <c r="I13" s="133">
        <v>7.23</v>
      </c>
      <c r="J13" s="133">
        <v>0.11</v>
      </c>
      <c r="K13" s="133">
        <v>167.65</v>
      </c>
      <c r="L13" s="133">
        <v>20.309999999999999</v>
      </c>
      <c r="M13" s="133">
        <v>83.77</v>
      </c>
      <c r="N13" s="133">
        <v>0</v>
      </c>
      <c r="O13" s="133">
        <v>0</v>
      </c>
      <c r="P13" s="133">
        <v>0.83</v>
      </c>
      <c r="Q13" s="133">
        <v>4.66</v>
      </c>
    </row>
    <row r="14" spans="1:21" customFormat="1">
      <c r="A14" s="111" t="s">
        <v>2643</v>
      </c>
      <c r="B14" s="133">
        <v>9.7100000000000009</v>
      </c>
      <c r="C14" s="133">
        <v>21.92</v>
      </c>
      <c r="D14" s="133">
        <v>20.59</v>
      </c>
      <c r="E14" s="133">
        <v>7.17</v>
      </c>
      <c r="F14" s="133">
        <v>2.62</v>
      </c>
      <c r="G14" s="133">
        <v>60.97</v>
      </c>
      <c r="H14" s="133">
        <v>26.82</v>
      </c>
      <c r="I14" s="133">
        <v>7.22</v>
      </c>
      <c r="J14" s="133">
        <v>0.04</v>
      </c>
      <c r="K14" s="133">
        <v>111.9</v>
      </c>
      <c r="L14" s="133">
        <v>19.899999999999999</v>
      </c>
      <c r="M14" s="133">
        <v>85.85</v>
      </c>
      <c r="N14" s="133">
        <v>0</v>
      </c>
      <c r="O14" s="133">
        <v>0</v>
      </c>
      <c r="P14" s="133">
        <v>0.82</v>
      </c>
      <c r="Q14" s="133">
        <v>4.6399999999999997</v>
      </c>
    </row>
    <row r="15" spans="1:21" customFormat="1">
      <c r="A15" s="111" t="s">
        <v>2644</v>
      </c>
      <c r="B15" s="133">
        <v>9.6999999999999993</v>
      </c>
      <c r="C15" s="133">
        <v>21.7</v>
      </c>
      <c r="D15" s="133">
        <v>20.47</v>
      </c>
      <c r="E15" s="133">
        <v>7.24</v>
      </c>
      <c r="F15" s="133">
        <v>2.52</v>
      </c>
      <c r="G15" s="133">
        <v>60.72</v>
      </c>
      <c r="H15" s="133">
        <v>26.76</v>
      </c>
      <c r="I15" s="133">
        <v>7.21</v>
      </c>
      <c r="J15" s="133">
        <v>0.08</v>
      </c>
      <c r="K15" s="133">
        <v>179.11</v>
      </c>
      <c r="L15" s="133">
        <v>19.79</v>
      </c>
      <c r="M15" s="133">
        <v>86.1</v>
      </c>
      <c r="N15" s="133">
        <v>0</v>
      </c>
      <c r="O15" s="133">
        <v>0</v>
      </c>
      <c r="P15" s="133">
        <v>0.82</v>
      </c>
      <c r="Q15" s="133">
        <v>4.63</v>
      </c>
    </row>
    <row r="16" spans="1:21" customFormat="1">
      <c r="A16" s="111" t="s">
        <v>2645</v>
      </c>
      <c r="B16" s="133">
        <v>9.64</v>
      </c>
      <c r="C16" s="133">
        <v>21.62</v>
      </c>
      <c r="D16" s="133">
        <v>20.38</v>
      </c>
      <c r="E16" s="133">
        <v>7.47</v>
      </c>
      <c r="F16" s="133">
        <v>2.56</v>
      </c>
      <c r="G16" s="133">
        <v>55.3</v>
      </c>
      <c r="H16" s="133">
        <v>25.86</v>
      </c>
      <c r="I16" s="133">
        <v>7.13</v>
      </c>
      <c r="J16" s="133">
        <v>0.1</v>
      </c>
      <c r="K16" s="133">
        <v>193.52</v>
      </c>
      <c r="L16" s="133">
        <v>19.61</v>
      </c>
      <c r="M16" s="133">
        <v>87.83</v>
      </c>
      <c r="N16" s="133">
        <v>0</v>
      </c>
      <c r="O16" s="133">
        <v>0</v>
      </c>
      <c r="P16" s="133">
        <v>0.8</v>
      </c>
      <c r="Q16" s="133">
        <v>4.6399999999999997</v>
      </c>
    </row>
    <row r="17" spans="1:17" customFormat="1">
      <c r="A17" s="111" t="s">
        <v>2646</v>
      </c>
      <c r="B17" s="133">
        <v>9.6</v>
      </c>
      <c r="C17" s="133">
        <v>22.21</v>
      </c>
      <c r="D17" s="133">
        <v>20.65</v>
      </c>
      <c r="E17" s="133">
        <v>4.5199999999999996</v>
      </c>
      <c r="F17" s="133">
        <v>2.59</v>
      </c>
      <c r="G17" s="133">
        <v>55.3</v>
      </c>
      <c r="H17" s="133">
        <v>25.86</v>
      </c>
      <c r="I17" s="133">
        <v>7.05</v>
      </c>
      <c r="J17" s="133">
        <v>0.11</v>
      </c>
      <c r="K17" s="133">
        <v>229.99</v>
      </c>
      <c r="L17" s="133">
        <v>19.420000000000002</v>
      </c>
      <c r="M17" s="133">
        <v>89.59</v>
      </c>
      <c r="N17" s="133">
        <v>0</v>
      </c>
      <c r="O17" s="133">
        <v>0</v>
      </c>
      <c r="P17" s="133">
        <v>0.79</v>
      </c>
      <c r="Q17" s="133">
        <v>4.62</v>
      </c>
    </row>
    <row r="18" spans="1:17" customFormat="1">
      <c r="A18" s="111" t="s">
        <v>2647</v>
      </c>
      <c r="B18" s="133">
        <v>9.7100000000000009</v>
      </c>
      <c r="C18" s="133">
        <v>20.75</v>
      </c>
      <c r="D18" s="133">
        <v>19.98</v>
      </c>
      <c r="E18" s="133">
        <v>4.99</v>
      </c>
      <c r="F18" s="133">
        <v>2.8</v>
      </c>
      <c r="G18" s="133">
        <v>55.3</v>
      </c>
      <c r="H18" s="133">
        <v>25.86</v>
      </c>
      <c r="I18" s="133">
        <v>7</v>
      </c>
      <c r="J18" s="133">
        <v>0.15</v>
      </c>
      <c r="K18" s="133">
        <v>237.74</v>
      </c>
      <c r="L18" s="133">
        <v>19.21</v>
      </c>
      <c r="M18" s="133">
        <v>93.19</v>
      </c>
      <c r="N18" s="133">
        <v>0</v>
      </c>
      <c r="O18" s="133">
        <v>0</v>
      </c>
      <c r="P18" s="133">
        <v>0.77</v>
      </c>
      <c r="Q18" s="133">
        <v>4.62</v>
      </c>
    </row>
    <row r="19" spans="1:17" customFormat="1">
      <c r="A19" s="111" t="s">
        <v>2648</v>
      </c>
      <c r="B19" s="133">
        <v>9.76</v>
      </c>
      <c r="C19" s="133">
        <v>19.04</v>
      </c>
      <c r="D19" s="133">
        <v>19.12</v>
      </c>
      <c r="E19" s="133">
        <v>4.3600000000000003</v>
      </c>
      <c r="F19" s="133">
        <v>2.83</v>
      </c>
      <c r="G19" s="133">
        <v>55.29</v>
      </c>
      <c r="H19" s="133">
        <v>25.71</v>
      </c>
      <c r="I19" s="133">
        <v>6.95</v>
      </c>
      <c r="J19" s="133">
        <v>0.09</v>
      </c>
      <c r="K19" s="133">
        <v>175.43</v>
      </c>
      <c r="L19" s="133">
        <v>19.059999999999999</v>
      </c>
      <c r="M19" s="133">
        <v>91.46</v>
      </c>
      <c r="N19" s="133">
        <v>0</v>
      </c>
      <c r="O19" s="133">
        <v>0</v>
      </c>
      <c r="P19" s="133">
        <v>0.74</v>
      </c>
      <c r="Q19" s="133">
        <v>4.63</v>
      </c>
    </row>
    <row r="20" spans="1:17" customFormat="1">
      <c r="A20" s="111" t="s">
        <v>2649</v>
      </c>
      <c r="B20" s="133">
        <v>9.83</v>
      </c>
      <c r="C20" s="133">
        <v>20.010000000000002</v>
      </c>
      <c r="D20" s="133">
        <v>19.690000000000001</v>
      </c>
      <c r="E20" s="133">
        <v>4.79</v>
      </c>
      <c r="F20" s="133">
        <v>2.5499999999999998</v>
      </c>
      <c r="G20" s="133">
        <v>55.29</v>
      </c>
      <c r="H20" s="133">
        <v>23.31</v>
      </c>
      <c r="I20" s="133">
        <v>6.87</v>
      </c>
      <c r="J20" s="133">
        <v>0.1</v>
      </c>
      <c r="K20" s="133">
        <v>247.95</v>
      </c>
      <c r="L20" s="133">
        <v>19.12</v>
      </c>
      <c r="M20" s="133">
        <v>90.45</v>
      </c>
      <c r="N20" s="133">
        <v>0</v>
      </c>
      <c r="O20" s="133">
        <v>0</v>
      </c>
      <c r="P20" s="133">
        <v>0.74</v>
      </c>
      <c r="Q20" s="133">
        <v>4.5999999999999996</v>
      </c>
    </row>
    <row r="21" spans="1:17" customFormat="1">
      <c r="A21" s="111" t="s">
        <v>2650</v>
      </c>
      <c r="B21" s="133">
        <v>9.99</v>
      </c>
      <c r="C21" s="133">
        <v>19.07</v>
      </c>
      <c r="D21" s="133">
        <v>19.32</v>
      </c>
      <c r="E21" s="133">
        <v>4.5199999999999996</v>
      </c>
      <c r="F21" s="133">
        <v>2.79</v>
      </c>
      <c r="G21" s="133">
        <v>55.29</v>
      </c>
      <c r="H21" s="133">
        <v>23.31</v>
      </c>
      <c r="I21" s="133">
        <v>6.76</v>
      </c>
      <c r="J21" s="133">
        <v>0.17</v>
      </c>
      <c r="K21" s="133">
        <v>179</v>
      </c>
      <c r="L21" s="133">
        <v>19.13</v>
      </c>
      <c r="M21" s="133">
        <v>92.26</v>
      </c>
      <c r="N21" s="133">
        <v>0</v>
      </c>
      <c r="O21" s="133">
        <v>0</v>
      </c>
      <c r="P21" s="133">
        <v>0.71</v>
      </c>
      <c r="Q21" s="133">
        <v>4.5999999999999996</v>
      </c>
    </row>
    <row r="22" spans="1:17" customFormat="1">
      <c r="A22" s="111" t="s">
        <v>2651</v>
      </c>
      <c r="B22" s="133">
        <v>9.8699999999999992</v>
      </c>
      <c r="C22" s="133">
        <v>19.829999999999998</v>
      </c>
      <c r="D22" s="133">
        <v>19.63</v>
      </c>
      <c r="E22" s="133">
        <v>5.08</v>
      </c>
      <c r="F22" s="133">
        <v>2.4900000000000002</v>
      </c>
      <c r="G22" s="133">
        <v>55.29</v>
      </c>
      <c r="H22" s="133">
        <v>23.31</v>
      </c>
      <c r="I22" s="133">
        <v>6.76</v>
      </c>
      <c r="J22" s="133">
        <v>0.17</v>
      </c>
      <c r="K22" s="133">
        <v>222.36</v>
      </c>
      <c r="L22" s="133">
        <v>19.04</v>
      </c>
      <c r="M22" s="133">
        <v>94.47</v>
      </c>
      <c r="N22" s="133">
        <v>0</v>
      </c>
      <c r="O22" s="133">
        <v>0</v>
      </c>
      <c r="P22" s="133">
        <v>0.72</v>
      </c>
      <c r="Q22" s="133">
        <v>4.58</v>
      </c>
    </row>
    <row r="23" spans="1:17" customFormat="1">
      <c r="A23" s="111" t="s">
        <v>2652</v>
      </c>
      <c r="B23" s="133">
        <v>9.9499999999999993</v>
      </c>
      <c r="C23" s="133">
        <v>18.98</v>
      </c>
      <c r="D23" s="133">
        <v>19.25</v>
      </c>
      <c r="E23" s="133">
        <v>4.72</v>
      </c>
      <c r="F23" s="133">
        <v>2.76</v>
      </c>
      <c r="G23" s="133">
        <v>55.16</v>
      </c>
      <c r="H23" s="133">
        <v>23.53</v>
      </c>
      <c r="I23" s="133">
        <v>6.64</v>
      </c>
      <c r="J23" s="133">
        <v>0.08</v>
      </c>
      <c r="K23" s="133">
        <v>233.26</v>
      </c>
      <c r="L23" s="133">
        <v>18.84</v>
      </c>
      <c r="M23" s="133">
        <v>93.39</v>
      </c>
      <c r="N23" s="133">
        <v>0</v>
      </c>
      <c r="O23" s="133">
        <v>0</v>
      </c>
      <c r="P23" s="133">
        <v>0.7</v>
      </c>
      <c r="Q23" s="133">
        <v>4.5999999999999996</v>
      </c>
    </row>
    <row r="24" spans="1:17" customFormat="1">
      <c r="A24" s="111" t="s">
        <v>2653</v>
      </c>
      <c r="B24" s="133">
        <v>10.130000000000001</v>
      </c>
      <c r="C24" s="133">
        <v>20.079999999999998</v>
      </c>
      <c r="D24" s="133">
        <v>19.97</v>
      </c>
      <c r="E24" s="133">
        <v>4.57</v>
      </c>
      <c r="F24" s="133">
        <v>2.57</v>
      </c>
      <c r="G24" s="133">
        <v>52.35</v>
      </c>
      <c r="H24" s="133">
        <v>27.07</v>
      </c>
      <c r="I24" s="133">
        <v>6.62</v>
      </c>
      <c r="J24" s="133">
        <v>7.0000000000000007E-2</v>
      </c>
      <c r="K24" s="133">
        <v>195.9</v>
      </c>
      <c r="L24" s="133">
        <v>18.75</v>
      </c>
      <c r="M24" s="133">
        <v>93.9</v>
      </c>
      <c r="N24" s="133">
        <v>0</v>
      </c>
      <c r="O24" s="133">
        <v>0</v>
      </c>
      <c r="P24" s="133">
        <v>0.71</v>
      </c>
      <c r="Q24" s="133">
        <v>4.59</v>
      </c>
    </row>
    <row r="25" spans="1:17" customFormat="1">
      <c r="A25" s="111" t="s">
        <v>2654</v>
      </c>
      <c r="B25" s="133">
        <v>10.28</v>
      </c>
      <c r="C25" s="133">
        <v>19.239999999999998</v>
      </c>
      <c r="D25" s="133">
        <v>19.649999999999999</v>
      </c>
      <c r="E25" s="133">
        <v>4.95</v>
      </c>
      <c r="F25" s="133">
        <v>2.64</v>
      </c>
      <c r="G25" s="133">
        <v>52.35</v>
      </c>
      <c r="H25" s="133">
        <v>27.07</v>
      </c>
      <c r="I25" s="133">
        <v>6.55</v>
      </c>
      <c r="J25" s="133">
        <v>0.12</v>
      </c>
      <c r="K25" s="133">
        <v>115.93</v>
      </c>
      <c r="L25" s="133">
        <v>18.579999999999998</v>
      </c>
      <c r="M25" s="133">
        <v>94.86</v>
      </c>
      <c r="N25" s="133">
        <v>0</v>
      </c>
      <c r="O25" s="133">
        <v>0</v>
      </c>
      <c r="P25" s="133">
        <v>0.69</v>
      </c>
      <c r="Q25" s="133">
        <v>4.6100000000000003</v>
      </c>
    </row>
    <row r="26" spans="1:17" customFormat="1">
      <c r="A26" s="111" t="s">
        <v>2655</v>
      </c>
      <c r="B26" s="133">
        <v>10.48</v>
      </c>
      <c r="C26" s="133">
        <v>19.88</v>
      </c>
      <c r="D26" s="133">
        <v>20.149999999999999</v>
      </c>
      <c r="E26" s="133">
        <v>4.5999999999999996</v>
      </c>
      <c r="F26" s="133">
        <v>2.56</v>
      </c>
      <c r="G26" s="133">
        <v>52.35</v>
      </c>
      <c r="H26" s="133">
        <v>27.07</v>
      </c>
      <c r="I26" s="133">
        <v>6.51</v>
      </c>
      <c r="J26" s="133">
        <v>0.19</v>
      </c>
      <c r="K26" s="133">
        <v>195.7</v>
      </c>
      <c r="L26" s="133">
        <v>18.54</v>
      </c>
      <c r="M26" s="133">
        <v>93.46</v>
      </c>
      <c r="N26" s="133">
        <v>0</v>
      </c>
      <c r="O26" s="133">
        <v>0</v>
      </c>
      <c r="P26" s="133">
        <v>0.69</v>
      </c>
      <c r="Q26" s="133">
        <v>4.63</v>
      </c>
    </row>
    <row r="27" spans="1:17" customFormat="1">
      <c r="A27" s="111" t="s">
        <v>2656</v>
      </c>
      <c r="B27" s="133">
        <v>10.76</v>
      </c>
      <c r="C27" s="133">
        <v>19.850000000000001</v>
      </c>
      <c r="D27" s="133">
        <v>20.350000000000001</v>
      </c>
      <c r="E27" s="133">
        <v>5.16</v>
      </c>
      <c r="F27" s="133">
        <v>2.6</v>
      </c>
      <c r="G27" s="133">
        <v>52.21</v>
      </c>
      <c r="H27" s="133">
        <v>26.95</v>
      </c>
      <c r="I27" s="133">
        <v>6.42</v>
      </c>
      <c r="J27" s="133">
        <v>0.04</v>
      </c>
      <c r="K27" s="133">
        <v>182.31</v>
      </c>
      <c r="L27" s="133">
        <v>18.47</v>
      </c>
      <c r="M27" s="133">
        <v>93.35</v>
      </c>
      <c r="N27" s="133">
        <v>0</v>
      </c>
      <c r="O27" s="133">
        <v>0</v>
      </c>
      <c r="P27" s="133">
        <v>0.69</v>
      </c>
      <c r="Q27" s="133">
        <v>4.6399999999999997</v>
      </c>
    </row>
    <row r="28" spans="1:17" customFormat="1">
      <c r="A28" s="111" t="s">
        <v>2657</v>
      </c>
      <c r="B28" s="133">
        <v>10.89</v>
      </c>
      <c r="C28" s="133">
        <v>19.510000000000002</v>
      </c>
      <c r="D28" s="133">
        <v>20.27</v>
      </c>
      <c r="E28" s="133">
        <v>4.7699999999999996</v>
      </c>
      <c r="F28" s="133">
        <v>2.62</v>
      </c>
      <c r="G28" s="133">
        <v>49.19</v>
      </c>
      <c r="H28" s="133">
        <v>25.05</v>
      </c>
      <c r="I28" s="133">
        <v>6.38</v>
      </c>
      <c r="J28" s="133">
        <v>0.11</v>
      </c>
      <c r="K28" s="133">
        <v>211.34</v>
      </c>
      <c r="L28" s="133">
        <v>18.16</v>
      </c>
      <c r="M28" s="133">
        <v>93.22</v>
      </c>
      <c r="N28" s="133">
        <v>0</v>
      </c>
      <c r="O28" s="133">
        <v>0</v>
      </c>
      <c r="P28" s="133">
        <v>0.68</v>
      </c>
      <c r="Q28" s="133">
        <v>4.6399999999999997</v>
      </c>
    </row>
    <row r="29" spans="1:17" customFormat="1">
      <c r="A29" s="111" t="s">
        <v>2658</v>
      </c>
      <c r="B29" s="133">
        <v>11.03</v>
      </c>
      <c r="C29" s="133">
        <v>20.260000000000002</v>
      </c>
      <c r="D29" s="133">
        <v>20.78</v>
      </c>
      <c r="E29" s="133">
        <v>4.49</v>
      </c>
      <c r="F29" s="133">
        <v>2.39</v>
      </c>
      <c r="G29" s="133">
        <v>49.19</v>
      </c>
      <c r="H29" s="133">
        <v>25.05</v>
      </c>
      <c r="I29" s="133">
        <v>6.36</v>
      </c>
      <c r="J29" s="133">
        <v>0.05</v>
      </c>
      <c r="K29" s="133">
        <v>173.58</v>
      </c>
      <c r="L29" s="133">
        <v>18.14</v>
      </c>
      <c r="M29" s="133">
        <v>94.23</v>
      </c>
      <c r="N29" s="133">
        <v>0</v>
      </c>
      <c r="O29" s="133">
        <v>0</v>
      </c>
      <c r="P29" s="133">
        <v>0.68</v>
      </c>
      <c r="Q29" s="133">
        <v>4.6399999999999997</v>
      </c>
    </row>
    <row r="30" spans="1:17" customFormat="1">
      <c r="A30" s="111" t="s">
        <v>2659</v>
      </c>
      <c r="B30" s="133">
        <v>11.95</v>
      </c>
      <c r="C30" s="133">
        <v>19.93</v>
      </c>
      <c r="D30" s="133">
        <v>21.34</v>
      </c>
      <c r="E30" s="133">
        <v>4.82</v>
      </c>
      <c r="F30" s="133">
        <v>2.4500000000000002</v>
      </c>
      <c r="G30" s="133">
        <v>49.19</v>
      </c>
      <c r="H30" s="133">
        <v>25.05</v>
      </c>
      <c r="I30" s="133">
        <v>6.3</v>
      </c>
      <c r="J30" s="133">
        <v>0.06</v>
      </c>
      <c r="K30" s="133">
        <v>16.37</v>
      </c>
      <c r="L30" s="133">
        <v>18.059999999999999</v>
      </c>
      <c r="M30" s="133">
        <v>95.05</v>
      </c>
      <c r="N30" s="133">
        <v>0</v>
      </c>
      <c r="O30" s="133">
        <v>0</v>
      </c>
      <c r="P30" s="133">
        <v>0.68</v>
      </c>
      <c r="Q30" s="133">
        <v>4.71</v>
      </c>
    </row>
    <row r="31" spans="1:17" customFormat="1">
      <c r="A31" s="111" t="s">
        <v>2660</v>
      </c>
      <c r="B31" s="133">
        <v>14.01</v>
      </c>
      <c r="C31" s="133">
        <v>21</v>
      </c>
      <c r="D31" s="133">
        <v>23.56</v>
      </c>
      <c r="E31" s="133">
        <v>4.5599999999999996</v>
      </c>
      <c r="F31" s="133">
        <v>2.4700000000000002</v>
      </c>
      <c r="G31" s="133">
        <v>49.3</v>
      </c>
      <c r="H31" s="133">
        <v>25.06</v>
      </c>
      <c r="I31" s="133">
        <v>6.29</v>
      </c>
      <c r="J31" s="133">
        <v>0.1</v>
      </c>
      <c r="K31" s="133">
        <v>158.76</v>
      </c>
      <c r="L31" s="133">
        <v>18.2</v>
      </c>
      <c r="M31" s="133">
        <v>93.86</v>
      </c>
      <c r="N31" s="133">
        <v>0</v>
      </c>
      <c r="O31" s="133">
        <v>0</v>
      </c>
      <c r="P31" s="133">
        <v>0.69</v>
      </c>
      <c r="Q31" s="133">
        <v>4.78</v>
      </c>
    </row>
    <row r="32" spans="1:17" customFormat="1">
      <c r="A32" s="111" t="s">
        <v>2661</v>
      </c>
      <c r="B32" s="133">
        <v>15.81</v>
      </c>
      <c r="C32" s="133">
        <v>21.94</v>
      </c>
      <c r="D32" s="133">
        <v>25.49</v>
      </c>
      <c r="E32" s="133">
        <v>5.0199999999999996</v>
      </c>
      <c r="F32" s="133">
        <v>2.48</v>
      </c>
      <c r="G32" s="133">
        <v>51.66</v>
      </c>
      <c r="H32" s="133">
        <v>25.22</v>
      </c>
      <c r="I32" s="133">
        <v>6.26</v>
      </c>
      <c r="J32" s="133">
        <v>0.06</v>
      </c>
      <c r="K32" s="133">
        <v>49.87</v>
      </c>
      <c r="L32" s="133">
        <v>18.3</v>
      </c>
      <c r="M32" s="133">
        <v>93.67</v>
      </c>
      <c r="N32" s="133">
        <v>0</v>
      </c>
      <c r="O32" s="133">
        <v>0</v>
      </c>
      <c r="P32" s="133">
        <v>0.69</v>
      </c>
      <c r="Q32" s="133">
        <v>4.88</v>
      </c>
    </row>
    <row r="33" spans="1:17" customFormat="1">
      <c r="A33" s="111" t="s">
        <v>2662</v>
      </c>
      <c r="B33" s="133">
        <v>17.850000000000001</v>
      </c>
      <c r="C33" s="133">
        <v>22.67</v>
      </c>
      <c r="D33" s="133">
        <v>27.51</v>
      </c>
      <c r="E33" s="133">
        <v>4.99</v>
      </c>
      <c r="F33" s="133">
        <v>2.4900000000000002</v>
      </c>
      <c r="G33" s="133">
        <v>51.66</v>
      </c>
      <c r="H33" s="133">
        <v>25.22</v>
      </c>
      <c r="I33" s="133">
        <v>6.3</v>
      </c>
      <c r="J33" s="133">
        <v>0.1</v>
      </c>
      <c r="K33" s="133">
        <v>214.54</v>
      </c>
      <c r="L33" s="133">
        <v>18.43</v>
      </c>
      <c r="M33" s="133">
        <v>94.04</v>
      </c>
      <c r="N33" s="133">
        <v>0.3</v>
      </c>
      <c r="O33" s="133">
        <v>0</v>
      </c>
      <c r="P33" s="133">
        <v>0.7</v>
      </c>
      <c r="Q33" s="133">
        <v>4.9800000000000004</v>
      </c>
    </row>
    <row r="34" spans="1:17" customFormat="1">
      <c r="A34" s="111" t="s">
        <v>2663</v>
      </c>
      <c r="B34" s="133">
        <v>19.559999999999999</v>
      </c>
      <c r="C34" s="133">
        <v>22.3</v>
      </c>
      <c r="D34" s="133">
        <v>28.69</v>
      </c>
      <c r="E34" s="133">
        <v>5.22</v>
      </c>
      <c r="F34" s="133">
        <v>2.63</v>
      </c>
      <c r="G34" s="133">
        <v>51.66</v>
      </c>
      <c r="H34" s="133">
        <v>25.22</v>
      </c>
      <c r="I34" s="133">
        <v>6.38</v>
      </c>
      <c r="J34" s="133">
        <v>0.1</v>
      </c>
      <c r="K34" s="133">
        <v>208.75</v>
      </c>
      <c r="L34" s="133">
        <v>18.53</v>
      </c>
      <c r="M34" s="133">
        <v>93.37</v>
      </c>
      <c r="N34" s="133">
        <v>7.3</v>
      </c>
      <c r="O34" s="133">
        <v>0</v>
      </c>
      <c r="P34" s="133">
        <v>0.72</v>
      </c>
      <c r="Q34" s="133">
        <v>5.08</v>
      </c>
    </row>
    <row r="35" spans="1:17" customFormat="1">
      <c r="A35" s="111" t="s">
        <v>2664</v>
      </c>
      <c r="B35" s="133">
        <v>21.24</v>
      </c>
      <c r="C35" s="133">
        <v>23.05</v>
      </c>
      <c r="D35" s="133">
        <v>30.42</v>
      </c>
      <c r="E35" s="133">
        <v>5.12</v>
      </c>
      <c r="F35" s="133">
        <v>2.4700000000000002</v>
      </c>
      <c r="G35" s="133">
        <v>52.69</v>
      </c>
      <c r="H35" s="133">
        <v>25.66</v>
      </c>
      <c r="I35" s="133">
        <v>6.61</v>
      </c>
      <c r="J35" s="133">
        <v>0.11</v>
      </c>
      <c r="K35" s="133">
        <v>162.44</v>
      </c>
      <c r="L35" s="133">
        <v>18.87</v>
      </c>
      <c r="M35" s="133">
        <v>92.72</v>
      </c>
      <c r="N35" s="133">
        <v>19.3</v>
      </c>
      <c r="O35" s="133">
        <v>0</v>
      </c>
      <c r="P35" s="133">
        <v>0.76</v>
      </c>
      <c r="Q35" s="133">
        <v>5.15</v>
      </c>
    </row>
    <row r="36" spans="1:17" customFormat="1">
      <c r="A36" s="111" t="s">
        <v>2665</v>
      </c>
      <c r="B36" s="133">
        <v>22.67</v>
      </c>
      <c r="C36" s="133">
        <v>22.3</v>
      </c>
      <c r="D36" s="133">
        <v>31.18</v>
      </c>
      <c r="E36" s="133">
        <v>5.33</v>
      </c>
      <c r="F36" s="133">
        <v>2.64</v>
      </c>
      <c r="G36" s="133">
        <v>74.819999999999993</v>
      </c>
      <c r="H36" s="133">
        <v>32.61</v>
      </c>
      <c r="I36" s="133">
        <v>6.91</v>
      </c>
      <c r="J36" s="133">
        <v>0.26</v>
      </c>
      <c r="K36" s="133">
        <v>167.38</v>
      </c>
      <c r="L36" s="133">
        <v>19.579999999999998</v>
      </c>
      <c r="M36" s="133">
        <v>91.04</v>
      </c>
      <c r="N36" s="133">
        <v>32.299999999999997</v>
      </c>
      <c r="O36" s="133">
        <v>0</v>
      </c>
      <c r="P36" s="133">
        <v>0.8</v>
      </c>
      <c r="Q36" s="133">
        <v>5.23</v>
      </c>
    </row>
    <row r="37" spans="1:17" customFormat="1">
      <c r="A37" s="111" t="s">
        <v>2666</v>
      </c>
      <c r="B37" s="133">
        <v>23.38</v>
      </c>
      <c r="C37" s="133">
        <v>22.75</v>
      </c>
      <c r="D37" s="133">
        <v>31.98</v>
      </c>
      <c r="E37" s="133">
        <v>5.36</v>
      </c>
      <c r="F37" s="133">
        <v>2.67</v>
      </c>
      <c r="G37" s="133">
        <v>74.819999999999993</v>
      </c>
      <c r="H37" s="133">
        <v>32.61</v>
      </c>
      <c r="I37" s="133">
        <v>7.25</v>
      </c>
      <c r="J37" s="133">
        <v>0.28000000000000003</v>
      </c>
      <c r="K37" s="133">
        <v>161.02000000000001</v>
      </c>
      <c r="L37" s="133">
        <v>20.440000000000001</v>
      </c>
      <c r="M37" s="133">
        <v>86.48</v>
      </c>
      <c r="N37" s="133">
        <v>45.1</v>
      </c>
      <c r="O37" s="133">
        <v>0</v>
      </c>
      <c r="P37" s="133">
        <v>0.84</v>
      </c>
      <c r="Q37" s="133">
        <v>5.28</v>
      </c>
    </row>
    <row r="38" spans="1:17" customFormat="1">
      <c r="A38" s="111" t="s">
        <v>2667</v>
      </c>
      <c r="B38" s="133">
        <v>23.56</v>
      </c>
      <c r="C38" s="133">
        <v>23.48</v>
      </c>
      <c r="D38" s="133">
        <v>32.51</v>
      </c>
      <c r="E38" s="133">
        <v>5.59</v>
      </c>
      <c r="F38" s="133">
        <v>2.79</v>
      </c>
      <c r="G38" s="133">
        <v>74.819999999999993</v>
      </c>
      <c r="H38" s="133">
        <v>32.61</v>
      </c>
      <c r="I38" s="133">
        <v>7.58</v>
      </c>
      <c r="J38" s="133">
        <v>0.35</v>
      </c>
      <c r="K38" s="133">
        <v>154.27000000000001</v>
      </c>
      <c r="L38" s="133">
        <v>20.88</v>
      </c>
      <c r="M38" s="133">
        <v>82.21</v>
      </c>
      <c r="N38" s="133">
        <v>70.2</v>
      </c>
      <c r="O38" s="133">
        <v>0</v>
      </c>
      <c r="P38" s="133">
        <v>0.85</v>
      </c>
      <c r="Q38" s="133">
        <v>5.27</v>
      </c>
    </row>
    <row r="39" spans="1:17" customFormat="1">
      <c r="A39" s="111" t="s">
        <v>2668</v>
      </c>
      <c r="B39" s="133">
        <v>23.51</v>
      </c>
      <c r="C39" s="133">
        <v>23.97</v>
      </c>
      <c r="D39" s="133">
        <v>32.729999999999997</v>
      </c>
      <c r="E39" s="133">
        <v>5.73</v>
      </c>
      <c r="F39" s="133">
        <v>2.82</v>
      </c>
      <c r="G39" s="133">
        <v>75.48</v>
      </c>
      <c r="H39" s="133">
        <v>32.9</v>
      </c>
      <c r="I39" s="133">
        <v>7.89</v>
      </c>
      <c r="J39" s="133">
        <v>0.11</v>
      </c>
      <c r="K39" s="133">
        <v>111.52</v>
      </c>
      <c r="L39" s="133">
        <v>21.7</v>
      </c>
      <c r="M39" s="133">
        <v>76.72</v>
      </c>
      <c r="N39" s="133">
        <v>162.30000000000001</v>
      </c>
      <c r="O39" s="133">
        <v>0</v>
      </c>
      <c r="P39" s="133">
        <v>0.88</v>
      </c>
      <c r="Q39" s="133">
        <v>5.29</v>
      </c>
    </row>
    <row r="40" spans="1:17" customFormat="1">
      <c r="A40" s="111" t="s">
        <v>2669</v>
      </c>
      <c r="B40" s="133">
        <v>23.17</v>
      </c>
      <c r="C40" s="133">
        <v>24.54</v>
      </c>
      <c r="D40" s="133">
        <v>32.75</v>
      </c>
      <c r="E40" s="133">
        <v>5.92</v>
      </c>
      <c r="F40" s="133">
        <v>2.74</v>
      </c>
      <c r="G40" s="133">
        <v>89.69</v>
      </c>
      <c r="H40" s="133">
        <v>37.57</v>
      </c>
      <c r="I40" s="133">
        <v>8.17</v>
      </c>
      <c r="J40" s="133">
        <v>0.22</v>
      </c>
      <c r="K40" s="133">
        <v>67.930000000000007</v>
      </c>
      <c r="L40" s="133">
        <v>22.45</v>
      </c>
      <c r="M40" s="133">
        <v>70.34</v>
      </c>
      <c r="N40" s="133">
        <v>207.6</v>
      </c>
      <c r="O40" s="133">
        <v>0</v>
      </c>
      <c r="P40" s="133">
        <v>0.89</v>
      </c>
      <c r="Q40" s="133">
        <v>5.27</v>
      </c>
    </row>
    <row r="41" spans="1:17" customFormat="1">
      <c r="A41" s="111" t="s">
        <v>2670</v>
      </c>
      <c r="B41" s="133">
        <v>22.26</v>
      </c>
      <c r="C41" s="133">
        <v>25.35</v>
      </c>
      <c r="D41" s="133">
        <v>32.44</v>
      </c>
      <c r="E41" s="133">
        <v>5.72</v>
      </c>
      <c r="F41" s="133">
        <v>2.78</v>
      </c>
      <c r="G41" s="133">
        <v>89.69</v>
      </c>
      <c r="H41" s="133">
        <v>37.57</v>
      </c>
      <c r="I41" s="133">
        <v>8.39</v>
      </c>
      <c r="J41" s="133">
        <v>0.02</v>
      </c>
      <c r="K41" s="133">
        <v>213.74</v>
      </c>
      <c r="L41" s="133">
        <v>23.75</v>
      </c>
      <c r="M41" s="133">
        <v>66.150000000000006</v>
      </c>
      <c r="N41" s="133">
        <v>249.6</v>
      </c>
      <c r="O41" s="133">
        <v>0</v>
      </c>
      <c r="P41" s="133">
        <v>0.92</v>
      </c>
      <c r="Q41" s="133">
        <v>5.24</v>
      </c>
    </row>
    <row r="42" spans="1:17" customFormat="1">
      <c r="A42" s="111" t="s">
        <v>2671</v>
      </c>
      <c r="B42" s="133">
        <v>21.44</v>
      </c>
      <c r="C42" s="133">
        <v>25.9</v>
      </c>
      <c r="D42" s="133">
        <v>32.07</v>
      </c>
      <c r="E42" s="133">
        <v>6.09</v>
      </c>
      <c r="F42" s="133">
        <v>2.93</v>
      </c>
      <c r="G42" s="133">
        <v>89.69</v>
      </c>
      <c r="H42" s="133">
        <v>37.57</v>
      </c>
      <c r="I42" s="133">
        <v>8.49</v>
      </c>
      <c r="J42" s="133">
        <v>0.23</v>
      </c>
      <c r="K42" s="133">
        <v>76.34</v>
      </c>
      <c r="L42" s="133">
        <v>24.18</v>
      </c>
      <c r="M42" s="133">
        <v>64.540000000000006</v>
      </c>
      <c r="N42" s="133">
        <v>291.8</v>
      </c>
      <c r="O42" s="133">
        <v>0</v>
      </c>
      <c r="P42" s="133">
        <v>0.94</v>
      </c>
      <c r="Q42" s="133">
        <v>5.21</v>
      </c>
    </row>
    <row r="43" spans="1:17" customFormat="1">
      <c r="A43" s="111" t="s">
        <v>2672</v>
      </c>
      <c r="B43" s="133">
        <v>20.79</v>
      </c>
      <c r="C43" s="133">
        <v>26.47</v>
      </c>
      <c r="D43" s="133">
        <v>31.85</v>
      </c>
      <c r="E43" s="133">
        <v>6.28</v>
      </c>
      <c r="F43" s="133">
        <v>2.86</v>
      </c>
      <c r="G43" s="133">
        <v>89.96</v>
      </c>
      <c r="H43" s="133">
        <v>37.630000000000003</v>
      </c>
      <c r="I43" s="133">
        <v>8.57</v>
      </c>
      <c r="J43" s="133">
        <v>0.26</v>
      </c>
      <c r="K43" s="133">
        <v>34.92</v>
      </c>
      <c r="L43" s="133">
        <v>24.8</v>
      </c>
      <c r="M43" s="133">
        <v>62.69</v>
      </c>
      <c r="N43" s="133">
        <v>330.9</v>
      </c>
      <c r="O43" s="133">
        <v>0</v>
      </c>
      <c r="P43" s="133">
        <v>0.96</v>
      </c>
      <c r="Q43" s="133">
        <v>5.2</v>
      </c>
    </row>
    <row r="44" spans="1:17" customFormat="1">
      <c r="A44" s="111" t="s">
        <v>2673</v>
      </c>
      <c r="B44" s="133">
        <v>20.059999999999999</v>
      </c>
      <c r="C44" s="133">
        <v>27.14</v>
      </c>
      <c r="D44" s="133">
        <v>31.62</v>
      </c>
      <c r="E44" s="133">
        <v>6.24</v>
      </c>
      <c r="F44" s="133">
        <v>2.87</v>
      </c>
      <c r="G44" s="133">
        <v>95.72</v>
      </c>
      <c r="H44" s="133">
        <v>38.67</v>
      </c>
      <c r="I44" s="133">
        <v>8.6199999999999992</v>
      </c>
      <c r="J44" s="133">
        <v>0.18</v>
      </c>
      <c r="K44" s="133">
        <v>58.21</v>
      </c>
      <c r="L44" s="133">
        <v>25.77</v>
      </c>
      <c r="M44" s="133">
        <v>60.32</v>
      </c>
      <c r="N44" s="133">
        <v>361</v>
      </c>
      <c r="O44" s="133">
        <v>0</v>
      </c>
      <c r="P44" s="133">
        <v>0.98</v>
      </c>
      <c r="Q44" s="133">
        <v>5.19</v>
      </c>
    </row>
    <row r="45" spans="1:17" customFormat="1">
      <c r="A45" s="111" t="s">
        <v>2674</v>
      </c>
      <c r="B45" s="133">
        <v>19.22</v>
      </c>
      <c r="C45" s="133">
        <v>27.86</v>
      </c>
      <c r="D45" s="133">
        <v>31.32</v>
      </c>
      <c r="E45" s="133">
        <v>6.36</v>
      </c>
      <c r="F45" s="133">
        <v>2.83</v>
      </c>
      <c r="G45" s="133">
        <v>95.72</v>
      </c>
      <c r="H45" s="133">
        <v>38.67</v>
      </c>
      <c r="I45" s="133">
        <v>8.66</v>
      </c>
      <c r="J45" s="133">
        <v>0.18</v>
      </c>
      <c r="K45" s="133">
        <v>43.8</v>
      </c>
      <c r="L45" s="133">
        <v>26.12</v>
      </c>
      <c r="M45" s="133">
        <v>59.91</v>
      </c>
      <c r="N45" s="133">
        <v>385.1</v>
      </c>
      <c r="O45" s="133">
        <v>0</v>
      </c>
      <c r="P45" s="133">
        <v>1</v>
      </c>
      <c r="Q45" s="133">
        <v>5.15</v>
      </c>
    </row>
    <row r="46" spans="1:17" customFormat="1">
      <c r="A46" s="111" t="s">
        <v>2675</v>
      </c>
      <c r="B46" s="133">
        <v>18.309999999999999</v>
      </c>
      <c r="C46" s="133">
        <v>28.7</v>
      </c>
      <c r="D46" s="133">
        <v>31.03</v>
      </c>
      <c r="E46" s="133">
        <v>6.48</v>
      </c>
      <c r="F46" s="133">
        <v>2.88</v>
      </c>
      <c r="G46" s="133">
        <v>95.72</v>
      </c>
      <c r="H46" s="133">
        <v>38.67</v>
      </c>
      <c r="I46" s="133">
        <v>8.7200000000000006</v>
      </c>
      <c r="J46" s="133">
        <v>0.22</v>
      </c>
      <c r="K46" s="133">
        <v>32.229999999999997</v>
      </c>
      <c r="L46" s="133">
        <v>26.81</v>
      </c>
      <c r="M46" s="133">
        <v>56.04</v>
      </c>
      <c r="N46" s="133">
        <v>294</v>
      </c>
      <c r="O46" s="133">
        <v>0</v>
      </c>
      <c r="P46" s="133">
        <v>1.03</v>
      </c>
      <c r="Q46" s="133">
        <v>5.1100000000000003</v>
      </c>
    </row>
    <row r="47" spans="1:17" customFormat="1">
      <c r="A47" s="111" t="s">
        <v>2676</v>
      </c>
      <c r="B47" s="133">
        <v>17.29</v>
      </c>
      <c r="C47" s="133">
        <v>29.46</v>
      </c>
      <c r="D47" s="133">
        <v>30.61</v>
      </c>
      <c r="E47" s="133">
        <v>6.64</v>
      </c>
      <c r="F47" s="133">
        <v>2.94</v>
      </c>
      <c r="G47" s="133">
        <v>96.16</v>
      </c>
      <c r="H47" s="133">
        <v>38.909999999999997</v>
      </c>
      <c r="I47" s="133">
        <v>8.8000000000000007</v>
      </c>
      <c r="J47" s="133">
        <v>0.31</v>
      </c>
      <c r="K47" s="133">
        <v>30.18</v>
      </c>
      <c r="L47" s="133">
        <v>27.37</v>
      </c>
      <c r="M47" s="133">
        <v>53.82</v>
      </c>
      <c r="N47" s="133">
        <v>345.2</v>
      </c>
      <c r="O47" s="133">
        <v>0</v>
      </c>
      <c r="P47" s="133">
        <v>1.07</v>
      </c>
      <c r="Q47" s="133">
        <v>5.09</v>
      </c>
    </row>
    <row r="48" spans="1:17" customFormat="1">
      <c r="A48" s="111" t="s">
        <v>2677</v>
      </c>
      <c r="B48" s="133">
        <v>16.309999999999999</v>
      </c>
      <c r="C48" s="133">
        <v>30.18</v>
      </c>
      <c r="D48" s="133">
        <v>30.2</v>
      </c>
      <c r="E48" s="133">
        <v>6.55</v>
      </c>
      <c r="F48" s="133">
        <v>2.94</v>
      </c>
      <c r="G48" s="133">
        <v>105.53</v>
      </c>
      <c r="H48" s="133">
        <v>42.79</v>
      </c>
      <c r="I48" s="133">
        <v>8.89</v>
      </c>
      <c r="J48" s="133">
        <v>0.21</v>
      </c>
      <c r="K48" s="133">
        <v>316.73</v>
      </c>
      <c r="L48" s="133">
        <v>27.7</v>
      </c>
      <c r="M48" s="133">
        <v>52.54</v>
      </c>
      <c r="N48" s="133">
        <v>484.4</v>
      </c>
      <c r="O48" s="133">
        <v>0</v>
      </c>
      <c r="P48" s="133">
        <v>1.0900000000000001</v>
      </c>
      <c r="Q48" s="133">
        <v>5.03</v>
      </c>
    </row>
    <row r="49" spans="1:17" customFormat="1">
      <c r="A49" s="111" t="s">
        <v>2678</v>
      </c>
      <c r="B49" s="133">
        <v>15.12</v>
      </c>
      <c r="C49" s="133">
        <v>30.51</v>
      </c>
      <c r="D49" s="133">
        <v>29.41</v>
      </c>
      <c r="E49" s="133">
        <v>5.58</v>
      </c>
      <c r="F49" s="133">
        <v>2.94</v>
      </c>
      <c r="G49" s="133">
        <v>105.53</v>
      </c>
      <c r="H49" s="133">
        <v>42.79</v>
      </c>
      <c r="I49" s="133">
        <v>8.93</v>
      </c>
      <c r="J49" s="133">
        <v>0.09</v>
      </c>
      <c r="K49" s="133">
        <v>83.95</v>
      </c>
      <c r="L49" s="133">
        <v>28.68</v>
      </c>
      <c r="M49" s="133">
        <v>50.49</v>
      </c>
      <c r="N49" s="133">
        <v>498.4</v>
      </c>
      <c r="O49" s="133">
        <v>0</v>
      </c>
      <c r="P49" s="133">
        <v>1.1100000000000001</v>
      </c>
      <c r="Q49" s="133">
        <v>4.9800000000000004</v>
      </c>
    </row>
    <row r="50" spans="1:17" customFormat="1">
      <c r="A50" s="111" t="s">
        <v>2679</v>
      </c>
      <c r="B50" s="133">
        <v>13.79</v>
      </c>
      <c r="C50" s="133">
        <v>30.74</v>
      </c>
      <c r="D50" s="133">
        <v>28.46</v>
      </c>
      <c r="E50" s="133">
        <v>7.19</v>
      </c>
      <c r="F50" s="133">
        <v>3.22</v>
      </c>
      <c r="G50" s="133">
        <v>105.53</v>
      </c>
      <c r="H50" s="133">
        <v>42.79</v>
      </c>
      <c r="I50" s="133">
        <v>8.99</v>
      </c>
      <c r="J50" s="133">
        <v>0.44</v>
      </c>
      <c r="K50" s="133">
        <v>56.76</v>
      </c>
      <c r="L50" s="133">
        <v>28.78</v>
      </c>
      <c r="M50" s="133">
        <v>48.79</v>
      </c>
      <c r="N50" s="133">
        <v>520.4</v>
      </c>
      <c r="O50" s="133">
        <v>0</v>
      </c>
      <c r="P50" s="133">
        <v>1.1299999999999999</v>
      </c>
      <c r="Q50" s="133">
        <v>4.9000000000000004</v>
      </c>
    </row>
    <row r="51" spans="1:17" customFormat="1">
      <c r="A51" s="111" t="s">
        <v>2680</v>
      </c>
      <c r="B51" s="133">
        <v>12.58</v>
      </c>
      <c r="C51" s="133">
        <v>30.89</v>
      </c>
      <c r="D51" s="133">
        <v>27.57</v>
      </c>
      <c r="E51" s="133">
        <v>8.31</v>
      </c>
      <c r="F51" s="133">
        <v>4.76</v>
      </c>
      <c r="G51" s="133">
        <v>106.11</v>
      </c>
      <c r="H51" s="133">
        <v>42.68</v>
      </c>
      <c r="I51" s="133">
        <v>9.02</v>
      </c>
      <c r="J51" s="133">
        <v>0.08</v>
      </c>
      <c r="K51" s="133">
        <v>22.65</v>
      </c>
      <c r="L51" s="133">
        <v>29.04</v>
      </c>
      <c r="M51" s="133">
        <v>47.17</v>
      </c>
      <c r="N51" s="133">
        <v>528.1</v>
      </c>
      <c r="O51" s="133">
        <v>0</v>
      </c>
      <c r="P51" s="133">
        <v>1.1399999999999999</v>
      </c>
      <c r="Q51" s="133">
        <v>4.84</v>
      </c>
    </row>
    <row r="52" spans="1:17" customFormat="1">
      <c r="A52" s="111" t="s">
        <v>2681</v>
      </c>
      <c r="B52" s="133">
        <v>11.17</v>
      </c>
      <c r="C52" s="133">
        <v>31.25</v>
      </c>
      <c r="D52" s="133">
        <v>26.64</v>
      </c>
      <c r="E52" s="133">
        <v>6.95</v>
      </c>
      <c r="F52" s="133">
        <v>4.1399999999999997</v>
      </c>
      <c r="G52" s="133">
        <v>118.53</v>
      </c>
      <c r="H52" s="133">
        <v>41.07</v>
      </c>
      <c r="I52" s="133">
        <v>9.0500000000000007</v>
      </c>
      <c r="J52" s="133">
        <v>0.32</v>
      </c>
      <c r="K52" s="133">
        <v>34.9</v>
      </c>
      <c r="L52" s="133">
        <v>29.63</v>
      </c>
      <c r="M52" s="133">
        <v>42.78</v>
      </c>
      <c r="N52" s="133">
        <v>463.6</v>
      </c>
      <c r="O52" s="133">
        <v>0</v>
      </c>
      <c r="P52" s="133">
        <v>1.1399999999999999</v>
      </c>
      <c r="Q52" s="133">
        <v>4.78</v>
      </c>
    </row>
    <row r="53" spans="1:17" customFormat="1">
      <c r="A53" s="111" t="s">
        <v>2682</v>
      </c>
      <c r="B53" s="133">
        <v>9.75</v>
      </c>
      <c r="C53" s="133">
        <v>31.03</v>
      </c>
      <c r="D53" s="133">
        <v>25.38</v>
      </c>
      <c r="E53" s="133">
        <v>6.64</v>
      </c>
      <c r="F53" s="133">
        <v>3.78</v>
      </c>
      <c r="G53" s="133">
        <v>118.53</v>
      </c>
      <c r="H53" s="133">
        <v>41.07</v>
      </c>
      <c r="I53" s="133">
        <v>9.02</v>
      </c>
      <c r="J53" s="133">
        <v>0.19</v>
      </c>
      <c r="K53" s="133">
        <v>74.13</v>
      </c>
      <c r="L53" s="133">
        <v>29.74</v>
      </c>
      <c r="M53" s="133">
        <v>39.25</v>
      </c>
      <c r="N53" s="133">
        <v>500</v>
      </c>
      <c r="O53" s="133">
        <v>0</v>
      </c>
      <c r="P53" s="133">
        <v>1.1200000000000001</v>
      </c>
      <c r="Q53" s="133">
        <v>4.72</v>
      </c>
    </row>
    <row r="54" spans="1:17" customFormat="1">
      <c r="A54" s="111" t="s">
        <v>2683</v>
      </c>
      <c r="B54" s="133">
        <v>8.52</v>
      </c>
      <c r="C54" s="133">
        <v>30.09</v>
      </c>
      <c r="D54" s="133">
        <v>23.91</v>
      </c>
      <c r="E54" s="133">
        <v>6.28</v>
      </c>
      <c r="F54" s="133">
        <v>3.91</v>
      </c>
      <c r="G54" s="133">
        <v>118.53</v>
      </c>
      <c r="H54" s="133">
        <v>41.07</v>
      </c>
      <c r="I54" s="133">
        <v>9.01</v>
      </c>
      <c r="J54" s="133">
        <v>0.34</v>
      </c>
      <c r="K54" s="133">
        <v>55.53</v>
      </c>
      <c r="L54" s="133">
        <v>30.06</v>
      </c>
      <c r="M54" s="133">
        <v>34.75</v>
      </c>
      <c r="N54" s="133">
        <v>588.6</v>
      </c>
      <c r="O54" s="133">
        <v>0</v>
      </c>
      <c r="P54" s="133">
        <v>1.1000000000000001</v>
      </c>
      <c r="Q54" s="133">
        <v>4.6500000000000004</v>
      </c>
    </row>
    <row r="55" spans="1:17" customFormat="1">
      <c r="A55" s="111" t="s">
        <v>2684</v>
      </c>
      <c r="B55" s="133">
        <v>7.44</v>
      </c>
      <c r="C55" s="133">
        <v>29.33</v>
      </c>
      <c r="D55" s="133">
        <v>22.64</v>
      </c>
      <c r="E55" s="133">
        <v>6.38</v>
      </c>
      <c r="F55" s="133">
        <v>4.6900000000000004</v>
      </c>
      <c r="G55" s="133">
        <v>116.89</v>
      </c>
      <c r="H55" s="133">
        <v>40.85</v>
      </c>
      <c r="I55" s="133">
        <v>8.86</v>
      </c>
      <c r="J55" s="133">
        <v>0.14000000000000001</v>
      </c>
      <c r="K55" s="133">
        <v>26.68</v>
      </c>
      <c r="L55" s="133">
        <v>30.43</v>
      </c>
      <c r="M55" s="133">
        <v>33.78</v>
      </c>
      <c r="N55" s="133">
        <v>571.29999999999995</v>
      </c>
      <c r="O55" s="133">
        <v>0</v>
      </c>
      <c r="P55" s="133">
        <v>1.06</v>
      </c>
      <c r="Q55" s="133">
        <v>4.58</v>
      </c>
    </row>
    <row r="56" spans="1:17" customFormat="1">
      <c r="A56" s="111" t="s">
        <v>2685</v>
      </c>
      <c r="B56" s="133">
        <v>6.64</v>
      </c>
      <c r="C56" s="133">
        <v>28.78</v>
      </c>
      <c r="D56" s="133">
        <v>21.71</v>
      </c>
      <c r="E56" s="133">
        <v>6.95</v>
      </c>
      <c r="F56" s="133">
        <v>5.53</v>
      </c>
      <c r="G56" s="133">
        <v>88.93</v>
      </c>
      <c r="H56" s="133">
        <v>37.299999999999997</v>
      </c>
      <c r="I56" s="133">
        <v>8.66</v>
      </c>
      <c r="J56" s="133">
        <v>0.56000000000000005</v>
      </c>
      <c r="K56" s="133">
        <v>36.03</v>
      </c>
      <c r="L56" s="133">
        <v>30.14</v>
      </c>
      <c r="M56" s="133">
        <v>34.700000000000003</v>
      </c>
      <c r="N56" s="133">
        <v>553.5</v>
      </c>
      <c r="O56" s="133">
        <v>0</v>
      </c>
      <c r="P56" s="133">
        <v>1.05</v>
      </c>
      <c r="Q56" s="133">
        <v>4.51</v>
      </c>
    </row>
    <row r="57" spans="1:17" customFormat="1">
      <c r="A57" s="111" t="s">
        <v>2686</v>
      </c>
      <c r="B57" s="133">
        <v>6.27</v>
      </c>
      <c r="C57" s="133">
        <v>27.51</v>
      </c>
      <c r="D57" s="133">
        <v>20.75</v>
      </c>
      <c r="E57" s="133">
        <v>6.43</v>
      </c>
      <c r="F57" s="133">
        <v>5.15</v>
      </c>
      <c r="G57" s="133">
        <v>88.93</v>
      </c>
      <c r="H57" s="133">
        <v>37.299999999999997</v>
      </c>
      <c r="I57" s="133">
        <v>8.35</v>
      </c>
      <c r="J57" s="133">
        <v>0.38</v>
      </c>
      <c r="K57" s="133">
        <v>51.72</v>
      </c>
      <c r="L57" s="133">
        <v>30.33</v>
      </c>
      <c r="M57" s="133">
        <v>33.56</v>
      </c>
      <c r="N57" s="133">
        <v>565.1</v>
      </c>
      <c r="O57" s="133">
        <v>0</v>
      </c>
      <c r="P57" s="133">
        <v>1.01</v>
      </c>
      <c r="Q57" s="133">
        <v>4.46</v>
      </c>
    </row>
    <row r="58" spans="1:17" customFormat="1">
      <c r="A58" s="111" t="s">
        <v>2687</v>
      </c>
      <c r="B58" s="133">
        <v>6.2</v>
      </c>
      <c r="C58" s="133">
        <v>25.06</v>
      </c>
      <c r="D58" s="133">
        <v>19.41</v>
      </c>
      <c r="E58" s="133">
        <v>6.02</v>
      </c>
      <c r="F58" s="133">
        <v>4.3099999999999996</v>
      </c>
      <c r="G58" s="133">
        <v>88.93</v>
      </c>
      <c r="H58" s="133">
        <v>37.299999999999997</v>
      </c>
      <c r="I58" s="133">
        <v>8.2100000000000009</v>
      </c>
      <c r="J58" s="133">
        <v>0.31</v>
      </c>
      <c r="K58" s="133">
        <v>57.06</v>
      </c>
      <c r="L58" s="133">
        <v>30.6</v>
      </c>
      <c r="M58" s="133">
        <v>33.03</v>
      </c>
      <c r="N58" s="133">
        <v>541</v>
      </c>
      <c r="O58" s="133">
        <v>0</v>
      </c>
      <c r="P58" s="133">
        <v>1</v>
      </c>
      <c r="Q58" s="133">
        <v>4.45</v>
      </c>
    </row>
    <row r="59" spans="1:17" customFormat="1">
      <c r="A59" s="111" t="s">
        <v>2688</v>
      </c>
      <c r="B59" s="133">
        <v>6.08</v>
      </c>
      <c r="C59" s="133">
        <v>23.64</v>
      </c>
      <c r="D59" s="133">
        <v>18.579999999999998</v>
      </c>
      <c r="E59" s="133">
        <v>6.12</v>
      </c>
      <c r="F59" s="133">
        <v>5.43</v>
      </c>
      <c r="G59" s="133">
        <v>87.98</v>
      </c>
      <c r="H59" s="133">
        <v>37.200000000000003</v>
      </c>
      <c r="I59" s="133">
        <v>8.0399999999999991</v>
      </c>
      <c r="J59" s="133">
        <v>0.36</v>
      </c>
      <c r="K59" s="133">
        <v>10</v>
      </c>
      <c r="L59" s="133">
        <v>30.46</v>
      </c>
      <c r="M59" s="133">
        <v>33.83</v>
      </c>
      <c r="N59" s="133">
        <v>538.29999999999995</v>
      </c>
      <c r="O59" s="133">
        <v>0</v>
      </c>
      <c r="P59" s="133">
        <v>0.96</v>
      </c>
      <c r="Q59" s="133">
        <v>4.41</v>
      </c>
    </row>
    <row r="60" spans="1:17" customFormat="1">
      <c r="A60" s="111" t="s">
        <v>2689</v>
      </c>
      <c r="B60" s="133">
        <v>5.97</v>
      </c>
      <c r="C60" s="133">
        <v>22.22</v>
      </c>
      <c r="D60" s="133">
        <v>17.75</v>
      </c>
      <c r="E60" s="133">
        <v>8.17</v>
      </c>
      <c r="F60" s="133">
        <v>7.93</v>
      </c>
      <c r="G60" s="133">
        <v>71.84</v>
      </c>
      <c r="H60" s="133">
        <v>35.61</v>
      </c>
      <c r="I60" s="133">
        <v>7.98</v>
      </c>
      <c r="J60" s="133">
        <v>0.72</v>
      </c>
      <c r="K60" s="133">
        <v>23.68</v>
      </c>
      <c r="L60" s="133">
        <v>30.41</v>
      </c>
      <c r="M60" s="133">
        <v>36.369999999999997</v>
      </c>
      <c r="N60" s="133">
        <v>496</v>
      </c>
      <c r="O60" s="133">
        <v>0</v>
      </c>
      <c r="P60" s="133">
        <v>0.94</v>
      </c>
      <c r="Q60" s="133">
        <v>4.4000000000000004</v>
      </c>
    </row>
    <row r="61" spans="1:17" customFormat="1">
      <c r="A61" s="111" t="s">
        <v>2690</v>
      </c>
      <c r="B61" s="133">
        <v>5.84</v>
      </c>
      <c r="C61" s="133">
        <v>21.78</v>
      </c>
      <c r="D61" s="133">
        <v>17.41</v>
      </c>
      <c r="E61" s="133">
        <v>6.5</v>
      </c>
      <c r="F61" s="133">
        <v>6.26</v>
      </c>
      <c r="G61" s="133">
        <v>71.84</v>
      </c>
      <c r="H61" s="133">
        <v>35.61</v>
      </c>
      <c r="I61" s="133">
        <v>7.79</v>
      </c>
      <c r="J61" s="133">
        <v>0.21</v>
      </c>
      <c r="K61" s="133">
        <v>333.36</v>
      </c>
      <c r="L61" s="133">
        <v>30.45</v>
      </c>
      <c r="M61" s="133">
        <v>35.229999999999997</v>
      </c>
      <c r="N61" s="133">
        <v>488</v>
      </c>
      <c r="O61" s="133">
        <v>0</v>
      </c>
      <c r="P61" s="133">
        <v>0.94</v>
      </c>
      <c r="Q61" s="133">
        <v>4.3499999999999996</v>
      </c>
    </row>
    <row r="62" spans="1:17" customFormat="1">
      <c r="A62" s="111" t="s">
        <v>2691</v>
      </c>
      <c r="B62" s="133">
        <v>5.66</v>
      </c>
      <c r="C62" s="133">
        <v>21.33</v>
      </c>
      <c r="D62" s="133">
        <v>17.03</v>
      </c>
      <c r="E62" s="133">
        <v>6.58</v>
      </c>
      <c r="F62" s="133">
        <v>6.38</v>
      </c>
      <c r="G62" s="133">
        <v>71.84</v>
      </c>
      <c r="H62" s="133">
        <v>35.61</v>
      </c>
      <c r="I62" s="133">
        <v>7.64</v>
      </c>
      <c r="J62" s="133">
        <v>0.59</v>
      </c>
      <c r="K62" s="133">
        <v>29.04</v>
      </c>
      <c r="L62" s="133">
        <v>30.54</v>
      </c>
      <c r="M62" s="133">
        <v>34.770000000000003</v>
      </c>
      <c r="N62" s="133">
        <v>476.2</v>
      </c>
      <c r="O62" s="133">
        <v>0</v>
      </c>
      <c r="P62" s="133">
        <v>0.93</v>
      </c>
      <c r="Q62" s="133">
        <v>4.32</v>
      </c>
    </row>
    <row r="63" spans="1:17" customFormat="1">
      <c r="A63" s="111" t="s">
        <v>2692</v>
      </c>
      <c r="B63" s="133">
        <v>5.36</v>
      </c>
      <c r="C63" s="133">
        <v>20.71</v>
      </c>
      <c r="D63" s="133">
        <v>16.47</v>
      </c>
      <c r="E63" s="133">
        <v>7.07</v>
      </c>
      <c r="F63" s="133">
        <v>7.83</v>
      </c>
      <c r="G63" s="133">
        <v>71.930000000000007</v>
      </c>
      <c r="H63" s="133">
        <v>35.380000000000003</v>
      </c>
      <c r="I63" s="133">
        <v>7.61</v>
      </c>
      <c r="J63" s="133">
        <v>0.57999999999999996</v>
      </c>
      <c r="K63" s="133">
        <v>17.88</v>
      </c>
      <c r="L63" s="133">
        <v>30.39</v>
      </c>
      <c r="M63" s="133">
        <v>35.630000000000003</v>
      </c>
      <c r="N63" s="133">
        <v>460.2</v>
      </c>
      <c r="O63" s="133">
        <v>0</v>
      </c>
      <c r="P63" s="133">
        <v>0.91</v>
      </c>
      <c r="Q63" s="133">
        <v>4.3099999999999996</v>
      </c>
    </row>
    <row r="64" spans="1:17" customFormat="1">
      <c r="A64" s="111" t="s">
        <v>2693</v>
      </c>
      <c r="B64" s="133">
        <v>5.28</v>
      </c>
      <c r="C64" s="133">
        <v>20.37</v>
      </c>
      <c r="D64" s="133">
        <v>16.23</v>
      </c>
      <c r="E64" s="133">
        <v>6.8</v>
      </c>
      <c r="F64" s="133">
        <v>6.79</v>
      </c>
      <c r="G64" s="133">
        <v>73.459999999999994</v>
      </c>
      <c r="H64" s="133">
        <v>31.83</v>
      </c>
      <c r="I64" s="133">
        <v>7.51</v>
      </c>
      <c r="J64" s="133">
        <v>0.55000000000000004</v>
      </c>
      <c r="K64" s="133">
        <v>12.18</v>
      </c>
      <c r="L64" s="133">
        <v>30.04</v>
      </c>
      <c r="M64" s="133">
        <v>34.840000000000003</v>
      </c>
      <c r="N64" s="133">
        <v>444.1</v>
      </c>
      <c r="O64" s="133">
        <v>0</v>
      </c>
      <c r="P64" s="133">
        <v>0.9</v>
      </c>
      <c r="Q64" s="133">
        <v>4.3</v>
      </c>
    </row>
    <row r="65" spans="1:17" customFormat="1">
      <c r="A65" s="111" t="s">
        <v>2694</v>
      </c>
      <c r="B65" s="133">
        <v>5.26</v>
      </c>
      <c r="C65" s="133">
        <v>20.25</v>
      </c>
      <c r="D65" s="133">
        <v>16.14</v>
      </c>
      <c r="E65" s="133">
        <v>6.26</v>
      </c>
      <c r="F65" s="133">
        <v>6.49</v>
      </c>
      <c r="G65" s="133">
        <v>73.459999999999994</v>
      </c>
      <c r="H65" s="133">
        <v>31.83</v>
      </c>
      <c r="I65" s="133">
        <v>7.41</v>
      </c>
      <c r="J65" s="133">
        <v>0.59</v>
      </c>
      <c r="K65" s="133">
        <v>12.17</v>
      </c>
      <c r="L65" s="133">
        <v>30.1</v>
      </c>
      <c r="M65" s="133">
        <v>34.83</v>
      </c>
      <c r="N65" s="133">
        <v>389</v>
      </c>
      <c r="O65" s="133">
        <v>0</v>
      </c>
      <c r="P65" s="133">
        <v>0.78</v>
      </c>
      <c r="Q65" s="133">
        <v>4.3</v>
      </c>
    </row>
    <row r="66" spans="1:17" customFormat="1">
      <c r="A66" s="111" t="s">
        <v>2695</v>
      </c>
      <c r="B66" s="133">
        <v>5.14</v>
      </c>
      <c r="C66" s="133">
        <v>20.22</v>
      </c>
      <c r="D66" s="133">
        <v>16.04</v>
      </c>
      <c r="E66" s="133">
        <v>6.36</v>
      </c>
      <c r="F66" s="133">
        <v>6.21</v>
      </c>
      <c r="G66" s="133">
        <v>73.459999999999994</v>
      </c>
      <c r="H66" s="133">
        <v>31.83</v>
      </c>
      <c r="I66" s="133">
        <v>7.33</v>
      </c>
      <c r="J66" s="133">
        <v>0.81</v>
      </c>
      <c r="K66" s="133">
        <v>30.2</v>
      </c>
      <c r="L66" s="133">
        <v>29.85</v>
      </c>
      <c r="M66" s="133">
        <v>35.5</v>
      </c>
      <c r="N66" s="133">
        <v>188.9</v>
      </c>
      <c r="O66" s="133">
        <v>0</v>
      </c>
      <c r="P66" s="133">
        <v>0.81</v>
      </c>
      <c r="Q66" s="133">
        <v>4.2699999999999996</v>
      </c>
    </row>
    <row r="67" spans="1:17" customFormat="1">
      <c r="A67" s="111" t="s">
        <v>2696</v>
      </c>
      <c r="B67" s="133">
        <v>5.27</v>
      </c>
      <c r="C67" s="133">
        <v>20.25</v>
      </c>
      <c r="D67" s="133">
        <v>16.16</v>
      </c>
      <c r="E67" s="133">
        <v>7.12</v>
      </c>
      <c r="F67" s="133">
        <v>9.07</v>
      </c>
      <c r="G67" s="133">
        <v>73.38</v>
      </c>
      <c r="H67" s="133">
        <v>31.68</v>
      </c>
      <c r="I67" s="133">
        <v>7.25</v>
      </c>
      <c r="J67" s="133">
        <v>0.75</v>
      </c>
      <c r="K67" s="133">
        <v>20.100000000000001</v>
      </c>
      <c r="L67" s="133">
        <v>29.31</v>
      </c>
      <c r="M67" s="133">
        <v>34.94</v>
      </c>
      <c r="N67" s="133">
        <v>98.6</v>
      </c>
      <c r="O67" s="133">
        <v>0</v>
      </c>
      <c r="P67" s="133">
        <v>0.79</v>
      </c>
      <c r="Q67" s="133">
        <v>4.3</v>
      </c>
    </row>
    <row r="68" spans="1:17" customFormat="1">
      <c r="A68" s="111" t="s">
        <v>2697</v>
      </c>
      <c r="B68" s="133">
        <v>5.53</v>
      </c>
      <c r="C68" s="133">
        <v>22.02</v>
      </c>
      <c r="D68" s="133">
        <v>17.29</v>
      </c>
      <c r="E68" s="133">
        <v>6.85</v>
      </c>
      <c r="F68" s="133">
        <v>8.3000000000000007</v>
      </c>
      <c r="G68" s="133">
        <v>71.92</v>
      </c>
      <c r="H68" s="133">
        <v>29.24</v>
      </c>
      <c r="I68" s="133">
        <v>7.22</v>
      </c>
      <c r="J68" s="133">
        <v>0.59</v>
      </c>
      <c r="K68" s="133">
        <v>31.58</v>
      </c>
      <c r="L68" s="133">
        <v>29.04</v>
      </c>
      <c r="M68" s="133">
        <v>35</v>
      </c>
      <c r="N68" s="133">
        <v>80.2</v>
      </c>
      <c r="O68" s="133">
        <v>0</v>
      </c>
      <c r="P68" s="133">
        <v>0.77</v>
      </c>
      <c r="Q68" s="133">
        <v>4.32</v>
      </c>
    </row>
    <row r="69" spans="1:17" customFormat="1">
      <c r="A69" s="111" t="s">
        <v>2698</v>
      </c>
      <c r="B69" s="133">
        <v>5.54</v>
      </c>
      <c r="C69" s="133">
        <v>20.149999999999999</v>
      </c>
      <c r="D69" s="133">
        <v>16.32</v>
      </c>
      <c r="E69" s="133">
        <v>7.38</v>
      </c>
      <c r="F69" s="133">
        <v>7.43</v>
      </c>
      <c r="G69" s="133">
        <v>71.92</v>
      </c>
      <c r="H69" s="133">
        <v>29.24</v>
      </c>
      <c r="I69" s="133">
        <v>7.07</v>
      </c>
      <c r="J69" s="133">
        <v>0.53</v>
      </c>
      <c r="K69" s="133">
        <v>18.57</v>
      </c>
      <c r="L69" s="133">
        <v>28.86</v>
      </c>
      <c r="M69" s="133">
        <v>35.85</v>
      </c>
      <c r="N69" s="133">
        <v>68.3</v>
      </c>
      <c r="O69" s="133">
        <v>0</v>
      </c>
      <c r="P69" s="133">
        <v>0.75</v>
      </c>
      <c r="Q69" s="133">
        <v>4.28</v>
      </c>
    </row>
    <row r="70" spans="1:17" customFormat="1">
      <c r="A70" s="111" t="s">
        <v>2699</v>
      </c>
      <c r="B70" s="133">
        <v>5.59</v>
      </c>
      <c r="C70" s="133">
        <v>20.13</v>
      </c>
      <c r="D70" s="133">
        <v>16.350000000000001</v>
      </c>
      <c r="E70" s="133">
        <v>7.93</v>
      </c>
      <c r="F70" s="133">
        <v>8.6199999999999992</v>
      </c>
      <c r="G70" s="133">
        <v>71.92</v>
      </c>
      <c r="H70" s="133">
        <v>29.24</v>
      </c>
      <c r="I70" s="133">
        <v>7.08</v>
      </c>
      <c r="J70" s="133">
        <v>0.44</v>
      </c>
      <c r="K70" s="133">
        <v>19.95</v>
      </c>
      <c r="L70" s="133">
        <v>28.71</v>
      </c>
      <c r="M70" s="133">
        <v>35.81</v>
      </c>
      <c r="N70" s="133">
        <v>58.3</v>
      </c>
      <c r="O70" s="133">
        <v>0</v>
      </c>
      <c r="P70" s="133">
        <v>0.75</v>
      </c>
      <c r="Q70" s="133">
        <v>4.28</v>
      </c>
    </row>
    <row r="71" spans="1:17" customFormat="1">
      <c r="A71" s="111" t="s">
        <v>2700</v>
      </c>
      <c r="B71" s="133">
        <v>5.81</v>
      </c>
      <c r="C71" s="133">
        <v>20.07</v>
      </c>
      <c r="D71" s="133">
        <v>16.5</v>
      </c>
      <c r="E71" s="133">
        <v>8.52</v>
      </c>
      <c r="F71" s="133">
        <v>8.98</v>
      </c>
      <c r="G71" s="133">
        <v>71.14</v>
      </c>
      <c r="H71" s="133">
        <v>29.04</v>
      </c>
      <c r="I71" s="133">
        <v>6.93</v>
      </c>
      <c r="J71" s="133">
        <v>0.54</v>
      </c>
      <c r="K71" s="133">
        <v>22.29</v>
      </c>
      <c r="L71" s="133">
        <v>28.46</v>
      </c>
      <c r="M71" s="133">
        <v>37.5</v>
      </c>
      <c r="N71" s="133">
        <v>59.4</v>
      </c>
      <c r="O71" s="133">
        <v>0</v>
      </c>
      <c r="P71" s="133">
        <v>0.74</v>
      </c>
      <c r="Q71" s="133">
        <v>4.3</v>
      </c>
    </row>
    <row r="72" spans="1:17" customFormat="1">
      <c r="A72" s="111" t="s">
        <v>2701</v>
      </c>
      <c r="B72" s="133">
        <v>5.91</v>
      </c>
      <c r="C72" s="133">
        <v>20.350000000000001</v>
      </c>
      <c r="D72" s="133">
        <v>16.72</v>
      </c>
      <c r="E72" s="133">
        <v>9.07</v>
      </c>
      <c r="F72" s="133">
        <v>9.32</v>
      </c>
      <c r="G72" s="133">
        <v>57.87</v>
      </c>
      <c r="H72" s="133">
        <v>25.83</v>
      </c>
      <c r="I72" s="133">
        <v>6.77</v>
      </c>
      <c r="J72" s="133">
        <v>0.48</v>
      </c>
      <c r="K72" s="133">
        <v>30.49</v>
      </c>
      <c r="L72" s="133">
        <v>28.29</v>
      </c>
      <c r="M72" s="133">
        <v>36.9</v>
      </c>
      <c r="N72" s="133">
        <v>40.799999999999997</v>
      </c>
      <c r="O72" s="133">
        <v>0</v>
      </c>
      <c r="P72" s="133">
        <v>0.73</v>
      </c>
      <c r="Q72" s="133">
        <v>4.32</v>
      </c>
    </row>
    <row r="73" spans="1:17" customFormat="1">
      <c r="A73" s="111" t="s">
        <v>2702</v>
      </c>
      <c r="B73" s="133">
        <v>5.87</v>
      </c>
      <c r="C73" s="133">
        <v>20.61</v>
      </c>
      <c r="D73" s="133">
        <v>16.829999999999998</v>
      </c>
      <c r="E73" s="133">
        <v>7.37</v>
      </c>
      <c r="F73" s="133">
        <v>8.64</v>
      </c>
      <c r="G73" s="133">
        <v>57.87</v>
      </c>
      <c r="H73" s="133">
        <v>25.83</v>
      </c>
      <c r="I73" s="133">
        <v>6.61</v>
      </c>
      <c r="J73" s="133">
        <v>0.38</v>
      </c>
      <c r="K73" s="133">
        <v>17.36</v>
      </c>
      <c r="L73" s="133">
        <v>28</v>
      </c>
      <c r="M73" s="133">
        <v>38.08</v>
      </c>
      <c r="N73" s="133">
        <v>32.200000000000003</v>
      </c>
      <c r="O73" s="133">
        <v>0</v>
      </c>
      <c r="P73" s="133">
        <v>0.72</v>
      </c>
      <c r="Q73" s="133">
        <v>4.32</v>
      </c>
    </row>
    <row r="74" spans="1:17" customFormat="1">
      <c r="A74" s="111" t="s">
        <v>2703</v>
      </c>
      <c r="B74" s="133">
        <v>5.93</v>
      </c>
      <c r="C74" s="133">
        <v>20.75</v>
      </c>
      <c r="D74" s="133">
        <v>16.95</v>
      </c>
      <c r="E74" s="133">
        <v>5.91</v>
      </c>
      <c r="F74" s="133">
        <v>7.07</v>
      </c>
      <c r="G74" s="133">
        <v>57.87</v>
      </c>
      <c r="H74" s="133">
        <v>25.83</v>
      </c>
      <c r="I74" s="133">
        <v>6.58</v>
      </c>
      <c r="J74" s="133">
        <v>0.42</v>
      </c>
      <c r="K74" s="133">
        <v>36.85</v>
      </c>
      <c r="L74" s="133">
        <v>27.71</v>
      </c>
      <c r="M74" s="133">
        <v>39.75</v>
      </c>
      <c r="N74" s="133">
        <v>28</v>
      </c>
      <c r="O74" s="133">
        <v>0</v>
      </c>
      <c r="P74" s="133">
        <v>0.72</v>
      </c>
      <c r="Q74" s="133">
        <v>4.33</v>
      </c>
    </row>
    <row r="75" spans="1:17" customFormat="1">
      <c r="A75" s="111" t="s">
        <v>2704</v>
      </c>
      <c r="B75" s="133">
        <v>6.17</v>
      </c>
      <c r="C75" s="133">
        <v>20.9</v>
      </c>
      <c r="D75" s="133">
        <v>17.22</v>
      </c>
      <c r="E75" s="133">
        <v>5.56</v>
      </c>
      <c r="F75" s="133">
        <v>5.94</v>
      </c>
      <c r="G75" s="133">
        <v>58.3</v>
      </c>
      <c r="H75" s="133">
        <v>25.79</v>
      </c>
      <c r="I75" s="133">
        <v>6.51</v>
      </c>
      <c r="J75" s="133">
        <v>0.4</v>
      </c>
      <c r="K75" s="133">
        <v>40.51</v>
      </c>
      <c r="L75" s="133">
        <v>27.47</v>
      </c>
      <c r="M75" s="133">
        <v>39.86</v>
      </c>
      <c r="N75" s="133">
        <v>15.2</v>
      </c>
      <c r="O75" s="133">
        <v>0</v>
      </c>
      <c r="P75" s="133">
        <v>0.72</v>
      </c>
      <c r="Q75" s="133">
        <v>4.3499999999999996</v>
      </c>
    </row>
    <row r="76" spans="1:17" customFormat="1">
      <c r="A76" s="111" t="s">
        <v>2705</v>
      </c>
      <c r="B76" s="133">
        <v>6.6</v>
      </c>
      <c r="C76" s="133">
        <v>22.28</v>
      </c>
      <c r="D76" s="133">
        <v>18.28</v>
      </c>
      <c r="E76" s="133">
        <v>6.2</v>
      </c>
      <c r="F76" s="133">
        <v>5.38</v>
      </c>
      <c r="G76" s="133">
        <v>65.5</v>
      </c>
      <c r="H76" s="133">
        <v>25.2</v>
      </c>
      <c r="I76" s="133">
        <v>6.53</v>
      </c>
      <c r="J76" s="133">
        <v>0.21</v>
      </c>
      <c r="K76" s="133">
        <v>47.61</v>
      </c>
      <c r="L76" s="133">
        <v>27.1</v>
      </c>
      <c r="M76" s="133">
        <v>42.11</v>
      </c>
      <c r="N76" s="133">
        <v>6.4</v>
      </c>
      <c r="O76" s="133">
        <v>0</v>
      </c>
      <c r="P76" s="133">
        <v>0.75</v>
      </c>
      <c r="Q76" s="133">
        <v>4.3600000000000003</v>
      </c>
    </row>
    <row r="77" spans="1:17" customFormat="1">
      <c r="A77" s="111" t="s">
        <v>2706</v>
      </c>
      <c r="B77" s="133">
        <v>6.78</v>
      </c>
      <c r="C77" s="133">
        <v>23.44</v>
      </c>
      <c r="D77" s="133">
        <v>19.03</v>
      </c>
      <c r="E77" s="133">
        <v>5.74</v>
      </c>
      <c r="F77" s="133">
        <v>3.75</v>
      </c>
      <c r="G77" s="133">
        <v>65.5</v>
      </c>
      <c r="H77" s="133">
        <v>25.2</v>
      </c>
      <c r="I77" s="133">
        <v>6.55</v>
      </c>
      <c r="J77" s="133">
        <v>0.14000000000000001</v>
      </c>
      <c r="K77" s="133">
        <v>64.150000000000006</v>
      </c>
      <c r="L77" s="133">
        <v>26.62</v>
      </c>
      <c r="M77" s="133">
        <v>45.08</v>
      </c>
      <c r="N77" s="133">
        <v>0.3</v>
      </c>
      <c r="O77" s="133">
        <v>0</v>
      </c>
      <c r="P77" s="133">
        <v>0.76</v>
      </c>
      <c r="Q77" s="133">
        <v>4.4000000000000004</v>
      </c>
    </row>
    <row r="78" spans="1:17" customFormat="1">
      <c r="A78" s="111" t="s">
        <v>2707</v>
      </c>
      <c r="B78" s="133">
        <v>6.88</v>
      </c>
      <c r="C78" s="133">
        <v>24.04</v>
      </c>
      <c r="D78" s="133">
        <v>19.43</v>
      </c>
      <c r="E78" s="133">
        <v>5.77</v>
      </c>
      <c r="F78" s="133">
        <v>3.48</v>
      </c>
      <c r="G78" s="133">
        <v>65.5</v>
      </c>
      <c r="H78" s="133">
        <v>25.2</v>
      </c>
      <c r="I78" s="133">
        <v>6.93</v>
      </c>
      <c r="J78" s="133">
        <v>0.16</v>
      </c>
      <c r="K78" s="133">
        <v>159</v>
      </c>
      <c r="L78" s="133">
        <v>25.7</v>
      </c>
      <c r="M78" s="133">
        <v>50.37</v>
      </c>
      <c r="N78" s="133">
        <v>0</v>
      </c>
      <c r="O78" s="133">
        <v>0</v>
      </c>
      <c r="P78" s="133">
        <v>0.77</v>
      </c>
      <c r="Q78" s="133">
        <v>4.43</v>
      </c>
    </row>
    <row r="79" spans="1:17" customFormat="1">
      <c r="A79" s="111" t="s">
        <v>2708</v>
      </c>
      <c r="B79" s="133">
        <v>6.85</v>
      </c>
      <c r="C79" s="133">
        <v>24.22</v>
      </c>
      <c r="D79" s="133">
        <v>19.5</v>
      </c>
      <c r="E79" s="133">
        <v>5.35</v>
      </c>
      <c r="F79" s="133">
        <v>3.39</v>
      </c>
      <c r="G79" s="133">
        <v>66.06</v>
      </c>
      <c r="H79" s="133">
        <v>25.3</v>
      </c>
      <c r="I79" s="133">
        <v>7.32</v>
      </c>
      <c r="J79" s="133">
        <v>0.17</v>
      </c>
      <c r="K79" s="133">
        <v>187.59</v>
      </c>
      <c r="L79" s="133">
        <v>24.96</v>
      </c>
      <c r="M79" s="133">
        <v>55.36</v>
      </c>
      <c r="N79" s="133">
        <v>0</v>
      </c>
      <c r="O79" s="133">
        <v>0</v>
      </c>
      <c r="P79" s="133">
        <v>0.76</v>
      </c>
      <c r="Q79" s="133">
        <v>4.42</v>
      </c>
    </row>
    <row r="80" spans="1:17" customFormat="1">
      <c r="A80" s="111" t="s">
        <v>2709</v>
      </c>
      <c r="B80" s="133">
        <v>6.89</v>
      </c>
      <c r="C80" s="133">
        <v>23.91</v>
      </c>
      <c r="D80" s="133">
        <v>19.37</v>
      </c>
      <c r="E80" s="133">
        <v>5.29</v>
      </c>
      <c r="F80" s="133">
        <v>3.34</v>
      </c>
      <c r="G80" s="133">
        <v>78.099999999999994</v>
      </c>
      <c r="H80" s="133">
        <v>26.95</v>
      </c>
      <c r="I80" s="133">
        <v>7.79</v>
      </c>
      <c r="J80" s="133">
        <v>0.17</v>
      </c>
      <c r="K80" s="133">
        <v>188.24</v>
      </c>
      <c r="L80" s="133">
        <v>24.17</v>
      </c>
      <c r="M80" s="133">
        <v>63.65</v>
      </c>
      <c r="N80" s="133">
        <v>0</v>
      </c>
      <c r="O80" s="133">
        <v>0</v>
      </c>
      <c r="P80" s="133">
        <v>0.77</v>
      </c>
      <c r="Q80" s="133">
        <v>4.43</v>
      </c>
    </row>
    <row r="81" spans="1:17" customFormat="1">
      <c r="A81" s="111" t="s">
        <v>2710</v>
      </c>
      <c r="B81" s="133">
        <v>6.92</v>
      </c>
      <c r="C81" s="133">
        <v>23.85</v>
      </c>
      <c r="D81" s="133">
        <v>19.36</v>
      </c>
      <c r="E81" s="133">
        <v>5.17</v>
      </c>
      <c r="F81" s="133">
        <v>3.24</v>
      </c>
      <c r="G81" s="133">
        <v>78.099999999999994</v>
      </c>
      <c r="H81" s="133">
        <v>26.95</v>
      </c>
      <c r="I81" s="133">
        <v>8.08</v>
      </c>
      <c r="J81" s="133">
        <v>0.17</v>
      </c>
      <c r="K81" s="133">
        <v>186.74</v>
      </c>
      <c r="L81" s="133">
        <v>23.69</v>
      </c>
      <c r="M81" s="133">
        <v>64.599999999999994</v>
      </c>
      <c r="N81" s="133">
        <v>0</v>
      </c>
      <c r="O81" s="133">
        <v>0</v>
      </c>
      <c r="P81" s="133">
        <v>0.77</v>
      </c>
      <c r="Q81" s="133">
        <v>4.4400000000000004</v>
      </c>
    </row>
    <row r="82" spans="1:17" customFormat="1">
      <c r="A82" s="111" t="s">
        <v>2711</v>
      </c>
      <c r="B82" s="133">
        <v>7</v>
      </c>
      <c r="C82" s="133">
        <v>23.29</v>
      </c>
      <c r="D82" s="133">
        <v>19.13</v>
      </c>
      <c r="E82" s="133">
        <v>5.79</v>
      </c>
      <c r="F82" s="133">
        <v>3.08</v>
      </c>
      <c r="G82" s="133">
        <v>78.099999999999994</v>
      </c>
      <c r="H82" s="133">
        <v>26.95</v>
      </c>
      <c r="I82" s="133">
        <v>8.11</v>
      </c>
      <c r="J82" s="133">
        <v>0.17</v>
      </c>
      <c r="K82" s="133">
        <v>223.23</v>
      </c>
      <c r="L82" s="133">
        <v>23.15</v>
      </c>
      <c r="M82" s="133">
        <v>70.13</v>
      </c>
      <c r="N82" s="133">
        <v>0</v>
      </c>
      <c r="O82" s="133">
        <v>0</v>
      </c>
      <c r="P82" s="133">
        <v>0.77</v>
      </c>
      <c r="Q82" s="133">
        <v>4.4400000000000004</v>
      </c>
    </row>
    <row r="83" spans="1:17" customFormat="1">
      <c r="A83" s="111" t="s">
        <v>2712</v>
      </c>
      <c r="B83" s="133">
        <v>6.94</v>
      </c>
      <c r="C83" s="133">
        <v>23.32</v>
      </c>
      <c r="D83" s="133">
        <v>19.100000000000001</v>
      </c>
      <c r="E83" s="133">
        <v>5.98</v>
      </c>
      <c r="F83" s="133">
        <v>3.01</v>
      </c>
      <c r="G83" s="133">
        <v>77.89</v>
      </c>
      <c r="H83" s="133">
        <v>26.9</v>
      </c>
      <c r="I83" s="133">
        <v>8.08</v>
      </c>
      <c r="J83" s="133">
        <v>0.18</v>
      </c>
      <c r="K83" s="133">
        <v>204.17</v>
      </c>
      <c r="L83" s="133">
        <v>22.68</v>
      </c>
      <c r="M83" s="133">
        <v>69.37</v>
      </c>
      <c r="N83" s="133">
        <v>0</v>
      </c>
      <c r="O83" s="133">
        <v>0</v>
      </c>
      <c r="P83" s="133">
        <v>0.76</v>
      </c>
      <c r="Q83" s="133">
        <v>4.45</v>
      </c>
    </row>
    <row r="84" spans="1:17" customFormat="1">
      <c r="A84" s="111" t="s">
        <v>2713</v>
      </c>
      <c r="B84" s="133">
        <v>6.86</v>
      </c>
      <c r="C84" s="133">
        <v>23.17</v>
      </c>
      <c r="D84" s="133">
        <v>18.96</v>
      </c>
      <c r="E84" s="133">
        <v>6.23</v>
      </c>
      <c r="F84" s="133">
        <v>3.02</v>
      </c>
      <c r="G84" s="133">
        <v>74.290000000000006</v>
      </c>
      <c r="H84" s="133">
        <v>26.17</v>
      </c>
      <c r="I84" s="133">
        <v>7.95</v>
      </c>
      <c r="J84" s="133">
        <v>0.12</v>
      </c>
      <c r="K84" s="133">
        <v>176.5</v>
      </c>
      <c r="L84" s="133">
        <v>22.54</v>
      </c>
      <c r="M84" s="133">
        <v>71.89</v>
      </c>
      <c r="N84" s="133">
        <v>0</v>
      </c>
      <c r="O84" s="133">
        <v>0</v>
      </c>
      <c r="P84" s="133">
        <v>0.77</v>
      </c>
      <c r="Q84" s="133">
        <v>4.45</v>
      </c>
    </row>
    <row r="85" spans="1:17" customFormat="1">
      <c r="A85" s="111" t="s">
        <v>2714</v>
      </c>
      <c r="B85" s="133">
        <v>7</v>
      </c>
      <c r="C85" s="133">
        <v>22.75</v>
      </c>
      <c r="D85" s="133">
        <v>18.850000000000001</v>
      </c>
      <c r="E85" s="133">
        <v>6.43</v>
      </c>
      <c r="F85" s="133">
        <v>2.99</v>
      </c>
      <c r="G85" s="133">
        <v>74.290000000000006</v>
      </c>
      <c r="H85" s="133">
        <v>26.17</v>
      </c>
      <c r="I85" s="133">
        <v>7.84</v>
      </c>
      <c r="J85" s="133">
        <v>0.16</v>
      </c>
      <c r="K85" s="133">
        <v>181.46</v>
      </c>
      <c r="L85" s="133">
        <v>22.48</v>
      </c>
      <c r="M85" s="133">
        <v>70.959999999999994</v>
      </c>
      <c r="N85" s="133">
        <v>0</v>
      </c>
      <c r="O85" s="133">
        <v>0</v>
      </c>
      <c r="P85" s="133">
        <v>0.77</v>
      </c>
      <c r="Q85" s="133">
        <v>4.46</v>
      </c>
    </row>
    <row r="86" spans="1:17" customFormat="1">
      <c r="A86" s="111" t="s">
        <v>2715</v>
      </c>
      <c r="B86" s="133">
        <v>7</v>
      </c>
      <c r="C86" s="133">
        <v>22.7</v>
      </c>
      <c r="D86" s="133">
        <v>18.829999999999998</v>
      </c>
      <c r="E86" s="133">
        <v>5.82</v>
      </c>
      <c r="F86" s="133">
        <v>2.79</v>
      </c>
      <c r="G86" s="133">
        <v>74.290000000000006</v>
      </c>
      <c r="H86" s="133">
        <v>26.17</v>
      </c>
      <c r="I86" s="133">
        <v>7.74</v>
      </c>
      <c r="J86" s="133">
        <v>0.14000000000000001</v>
      </c>
      <c r="K86" s="133">
        <v>135.43</v>
      </c>
      <c r="L86" s="133">
        <v>22.52</v>
      </c>
      <c r="M86" s="133">
        <v>73.849999999999994</v>
      </c>
      <c r="N86" s="133">
        <v>0</v>
      </c>
      <c r="O86" s="133">
        <v>0</v>
      </c>
      <c r="P86" s="133">
        <v>0.77</v>
      </c>
      <c r="Q86" s="133">
        <v>4.46</v>
      </c>
    </row>
    <row r="87" spans="1:17" customFormat="1">
      <c r="A87" s="111" t="s">
        <v>2716</v>
      </c>
      <c r="B87" s="133">
        <v>7.11</v>
      </c>
      <c r="C87" s="133">
        <v>22.48</v>
      </c>
      <c r="D87" s="133">
        <v>18.8</v>
      </c>
      <c r="E87" s="133">
        <v>6.07</v>
      </c>
      <c r="F87" s="133">
        <v>2.85</v>
      </c>
      <c r="G87" s="133">
        <v>74.55</v>
      </c>
      <c r="H87" s="133">
        <v>26.16</v>
      </c>
      <c r="I87" s="133">
        <v>7.73</v>
      </c>
      <c r="J87" s="133">
        <v>0.18</v>
      </c>
      <c r="K87" s="133">
        <v>160.47999999999999</v>
      </c>
      <c r="L87" s="133">
        <v>22.39</v>
      </c>
      <c r="M87" s="133">
        <v>71.319999999999993</v>
      </c>
      <c r="N87" s="133">
        <v>0</v>
      </c>
      <c r="O87" s="133">
        <v>0</v>
      </c>
      <c r="P87" s="133">
        <v>0.77</v>
      </c>
      <c r="Q87" s="133">
        <v>4.45</v>
      </c>
    </row>
    <row r="88" spans="1:17" customFormat="1">
      <c r="A88" s="111" t="s">
        <v>2717</v>
      </c>
      <c r="B88" s="133">
        <v>7.3</v>
      </c>
      <c r="C88" s="133">
        <v>22.42</v>
      </c>
      <c r="D88" s="133">
        <v>18.920000000000002</v>
      </c>
      <c r="E88" s="133">
        <v>5.54</v>
      </c>
      <c r="F88" s="133">
        <v>2.88</v>
      </c>
      <c r="G88" s="133">
        <v>78.94</v>
      </c>
      <c r="H88" s="133">
        <v>26.1</v>
      </c>
      <c r="I88" s="133">
        <v>7.78</v>
      </c>
      <c r="J88" s="133">
        <v>0.13</v>
      </c>
      <c r="K88" s="133">
        <v>151.83000000000001</v>
      </c>
      <c r="L88" s="133">
        <v>22.14</v>
      </c>
      <c r="M88" s="133">
        <v>72.77</v>
      </c>
      <c r="N88" s="133">
        <v>0</v>
      </c>
      <c r="O88" s="133">
        <v>0</v>
      </c>
      <c r="P88" s="133">
        <v>0.76</v>
      </c>
      <c r="Q88" s="133">
        <v>4.4800000000000004</v>
      </c>
    </row>
    <row r="89" spans="1:17" customFormat="1">
      <c r="A89" s="111" t="s">
        <v>2718</v>
      </c>
      <c r="B89" s="133">
        <v>7.35</v>
      </c>
      <c r="C89" s="133">
        <v>22.57</v>
      </c>
      <c r="D89" s="133">
        <v>19.04</v>
      </c>
      <c r="E89" s="133">
        <v>5.52</v>
      </c>
      <c r="F89" s="133">
        <v>2.91</v>
      </c>
      <c r="G89" s="133">
        <v>78.94</v>
      </c>
      <c r="H89" s="133">
        <v>26.1</v>
      </c>
      <c r="I89" s="133">
        <v>7.78</v>
      </c>
      <c r="J89" s="133">
        <v>0.14000000000000001</v>
      </c>
      <c r="K89" s="133">
        <v>162.69</v>
      </c>
      <c r="L89" s="133">
        <v>21.98</v>
      </c>
      <c r="M89" s="133">
        <v>72.5</v>
      </c>
      <c r="N89" s="133">
        <v>0</v>
      </c>
      <c r="O89" s="133">
        <v>0</v>
      </c>
      <c r="P89" s="133">
        <v>0.76</v>
      </c>
      <c r="Q89" s="133">
        <v>4.4800000000000004</v>
      </c>
    </row>
    <row r="90" spans="1:17" customFormat="1">
      <c r="A90" s="111" t="s">
        <v>2719</v>
      </c>
      <c r="B90" s="133">
        <v>7.28</v>
      </c>
      <c r="C90" s="133">
        <v>22.66</v>
      </c>
      <c r="D90" s="133">
        <v>19.03</v>
      </c>
      <c r="E90" s="133">
        <v>5.82</v>
      </c>
      <c r="F90" s="133">
        <v>2.93</v>
      </c>
      <c r="G90" s="133">
        <v>78.94</v>
      </c>
      <c r="H90" s="133">
        <v>26.1</v>
      </c>
      <c r="I90" s="133">
        <v>7.83</v>
      </c>
      <c r="J90" s="133">
        <v>0.13</v>
      </c>
      <c r="K90" s="133">
        <v>196.54</v>
      </c>
      <c r="L90" s="133">
        <v>21.86</v>
      </c>
      <c r="M90" s="133">
        <v>73.44</v>
      </c>
      <c r="N90" s="133">
        <v>0</v>
      </c>
      <c r="O90" s="133">
        <v>0</v>
      </c>
      <c r="P90" s="133">
        <v>0.76</v>
      </c>
      <c r="Q90" s="133">
        <v>4.5199999999999996</v>
      </c>
    </row>
    <row r="91" spans="1:17" customFormat="1">
      <c r="A91" s="111" t="s">
        <v>2720</v>
      </c>
      <c r="B91" s="133">
        <v>7.32</v>
      </c>
      <c r="C91" s="133">
        <v>22.54</v>
      </c>
      <c r="D91" s="133">
        <v>18.989999999999998</v>
      </c>
      <c r="E91" s="133">
        <v>6.27</v>
      </c>
      <c r="F91" s="133">
        <v>3.04</v>
      </c>
      <c r="G91" s="133">
        <v>78.91</v>
      </c>
      <c r="H91" s="133">
        <v>26.21</v>
      </c>
      <c r="I91" s="133">
        <v>7.84</v>
      </c>
      <c r="J91" s="133">
        <v>0.25</v>
      </c>
      <c r="K91" s="133">
        <v>247.87</v>
      </c>
      <c r="L91" s="133">
        <v>21.43</v>
      </c>
      <c r="M91" s="133">
        <v>78.8</v>
      </c>
      <c r="N91" s="133">
        <v>0</v>
      </c>
      <c r="O91" s="133">
        <v>0</v>
      </c>
      <c r="P91" s="133">
        <v>0.76</v>
      </c>
      <c r="Q91" s="133">
        <v>4.5</v>
      </c>
    </row>
    <row r="92" spans="1:17" customFormat="1">
      <c r="A92" s="111" t="s">
        <v>2721</v>
      </c>
      <c r="B92" s="133">
        <v>7.4</v>
      </c>
      <c r="C92" s="133">
        <v>22.66</v>
      </c>
      <c r="D92" s="133">
        <v>19.12</v>
      </c>
      <c r="E92" s="133">
        <v>6.03</v>
      </c>
      <c r="F92" s="133">
        <v>2.86</v>
      </c>
      <c r="G92" s="133">
        <v>78.510000000000005</v>
      </c>
      <c r="H92" s="133">
        <v>28.01</v>
      </c>
      <c r="I92" s="133">
        <v>7.81</v>
      </c>
      <c r="J92" s="133">
        <v>0.15</v>
      </c>
      <c r="K92" s="133">
        <v>243.01</v>
      </c>
      <c r="L92" s="133">
        <v>20.93</v>
      </c>
      <c r="M92" s="133">
        <v>80.64</v>
      </c>
      <c r="N92" s="133">
        <v>0</v>
      </c>
      <c r="O92" s="133">
        <v>0</v>
      </c>
      <c r="P92" s="133">
        <v>0.76</v>
      </c>
      <c r="Q92" s="133">
        <v>4.5</v>
      </c>
    </row>
    <row r="93" spans="1:17" customFormat="1">
      <c r="A93" s="111" t="s">
        <v>2722</v>
      </c>
      <c r="B93" s="133">
        <v>7.54</v>
      </c>
      <c r="C93" s="133">
        <v>22.6</v>
      </c>
      <c r="D93" s="133">
        <v>19.21</v>
      </c>
      <c r="E93" s="133">
        <v>6.15</v>
      </c>
      <c r="F93" s="133">
        <v>2.75</v>
      </c>
      <c r="G93" s="133">
        <v>78.510000000000005</v>
      </c>
      <c r="H93" s="133">
        <v>28.01</v>
      </c>
      <c r="I93" s="133">
        <v>7.8</v>
      </c>
      <c r="J93" s="133">
        <v>0.11</v>
      </c>
      <c r="K93" s="133">
        <v>202.32</v>
      </c>
      <c r="L93" s="133">
        <v>20.85</v>
      </c>
      <c r="M93" s="133">
        <v>81.099999999999994</v>
      </c>
      <c r="N93" s="133">
        <v>0</v>
      </c>
      <c r="O93" s="133">
        <v>0</v>
      </c>
      <c r="P93" s="133">
        <v>0.76</v>
      </c>
      <c r="Q93" s="133">
        <v>4.5</v>
      </c>
    </row>
    <row r="94" spans="1:17" customFormat="1">
      <c r="A94" s="111" t="s">
        <v>2723</v>
      </c>
      <c r="B94" s="133">
        <v>7.63</v>
      </c>
      <c r="C94" s="133">
        <v>22.57</v>
      </c>
      <c r="D94" s="133">
        <v>19.260000000000002</v>
      </c>
      <c r="E94" s="133">
        <v>5.87</v>
      </c>
      <c r="F94" s="133">
        <v>2.68</v>
      </c>
      <c r="G94" s="133">
        <v>78.510000000000005</v>
      </c>
      <c r="H94" s="133">
        <v>28.01</v>
      </c>
      <c r="I94" s="133">
        <v>7.83</v>
      </c>
      <c r="J94" s="133">
        <v>0.11</v>
      </c>
      <c r="K94" s="133">
        <v>202.51</v>
      </c>
      <c r="L94" s="133">
        <v>20.87</v>
      </c>
      <c r="M94" s="133">
        <v>82.75</v>
      </c>
      <c r="N94" s="133">
        <v>0</v>
      </c>
      <c r="O94" s="133">
        <v>0</v>
      </c>
      <c r="P94" s="133">
        <v>0.76</v>
      </c>
      <c r="Q94" s="133">
        <v>4.53</v>
      </c>
    </row>
    <row r="95" spans="1:17" customFormat="1">
      <c r="A95" s="111" t="s">
        <v>2724</v>
      </c>
      <c r="B95" s="133">
        <v>7.76</v>
      </c>
      <c r="C95" s="133">
        <v>22.34</v>
      </c>
      <c r="D95" s="133">
        <v>19.25</v>
      </c>
      <c r="E95" s="133">
        <v>6.05</v>
      </c>
      <c r="F95" s="133">
        <v>2.67</v>
      </c>
      <c r="G95" s="133">
        <v>78.13</v>
      </c>
      <c r="H95" s="133">
        <v>27.85</v>
      </c>
      <c r="I95" s="133">
        <v>7.75</v>
      </c>
      <c r="J95" s="133">
        <v>0.09</v>
      </c>
      <c r="K95" s="133">
        <v>208.67</v>
      </c>
      <c r="L95" s="133">
        <v>20.91</v>
      </c>
      <c r="M95" s="133">
        <v>83.98</v>
      </c>
      <c r="N95" s="133">
        <v>0</v>
      </c>
      <c r="O95" s="133">
        <v>0</v>
      </c>
      <c r="P95" s="133">
        <v>0.76</v>
      </c>
      <c r="Q95" s="133">
        <v>4.51</v>
      </c>
    </row>
    <row r="96" spans="1:17" customFormat="1">
      <c r="A96" s="111" t="s">
        <v>2725</v>
      </c>
      <c r="B96" s="133">
        <v>8.02</v>
      </c>
      <c r="C96" s="133">
        <v>22.95</v>
      </c>
      <c r="D96" s="133">
        <v>19.77</v>
      </c>
      <c r="E96" s="133">
        <v>6.04</v>
      </c>
      <c r="F96" s="133">
        <v>2.67</v>
      </c>
      <c r="G96" s="133">
        <v>71.66</v>
      </c>
      <c r="H96" s="133">
        <v>25.28</v>
      </c>
      <c r="I96" s="133">
        <v>7.7</v>
      </c>
      <c r="J96" s="133">
        <v>0.08</v>
      </c>
      <c r="K96" s="133">
        <v>202.85</v>
      </c>
      <c r="L96" s="133">
        <v>20.97</v>
      </c>
      <c r="M96" s="133">
        <v>83.02</v>
      </c>
      <c r="N96" s="133">
        <v>0</v>
      </c>
      <c r="O96" s="133">
        <v>0</v>
      </c>
      <c r="P96" s="133">
        <v>0.75</v>
      </c>
      <c r="Q96" s="133">
        <v>4.53</v>
      </c>
    </row>
    <row r="97" spans="1:22" customFormat="1">
      <c r="A97" s="111" t="s">
        <v>2726</v>
      </c>
      <c r="B97" s="133">
        <v>8.84</v>
      </c>
      <c r="C97" s="133">
        <v>22.5</v>
      </c>
      <c r="D97" s="133">
        <v>20.190000000000001</v>
      </c>
      <c r="E97" s="133">
        <v>6.24</v>
      </c>
      <c r="F97" s="133">
        <v>2.84</v>
      </c>
      <c r="G97" s="133">
        <v>71.66</v>
      </c>
      <c r="H97" s="133">
        <v>25.28</v>
      </c>
      <c r="I97" s="133">
        <v>7.61</v>
      </c>
      <c r="J97" s="133">
        <v>0.12</v>
      </c>
      <c r="K97" s="133">
        <v>181.08</v>
      </c>
      <c r="L97" s="133">
        <v>20.87</v>
      </c>
      <c r="M97" s="133">
        <v>81.55</v>
      </c>
      <c r="N97" s="133">
        <v>0</v>
      </c>
      <c r="O97" s="133">
        <v>0</v>
      </c>
      <c r="P97" s="133">
        <v>0.74</v>
      </c>
      <c r="Q97" s="133">
        <v>4.5599999999999996</v>
      </c>
    </row>
    <row r="98" spans="1:22" customFormat="1">
      <c r="A98" s="111" t="s">
        <v>2727</v>
      </c>
      <c r="B98" s="133">
        <v>9.52</v>
      </c>
      <c r="C98" s="133">
        <v>21.16</v>
      </c>
      <c r="D98" s="133">
        <v>20.04</v>
      </c>
      <c r="E98" s="133">
        <v>5.48</v>
      </c>
      <c r="F98" s="133">
        <v>2.98</v>
      </c>
      <c r="G98" s="133">
        <v>71.66</v>
      </c>
      <c r="H98" s="133">
        <v>25.28</v>
      </c>
      <c r="I98" s="133">
        <v>7.6</v>
      </c>
      <c r="J98" s="133">
        <v>0.1</v>
      </c>
      <c r="K98" s="133">
        <v>213.77</v>
      </c>
      <c r="L98" s="133">
        <v>20.76</v>
      </c>
      <c r="M98" s="133">
        <v>83.81</v>
      </c>
      <c r="N98" s="133">
        <v>0</v>
      </c>
      <c r="O98" s="133">
        <v>0</v>
      </c>
      <c r="P98" s="133">
        <v>0.72</v>
      </c>
      <c r="Q98" s="133">
        <v>4.6100000000000003</v>
      </c>
    </row>
    <row r="99" spans="1:22" customFormat="1">
      <c r="A99" s="111" t="s">
        <v>2728</v>
      </c>
      <c r="B99" s="133">
        <v>9.5399999999999991</v>
      </c>
      <c r="C99" s="133">
        <v>20.76</v>
      </c>
      <c r="D99" s="133">
        <v>19.850000000000001</v>
      </c>
      <c r="E99" s="133">
        <v>5.29</v>
      </c>
      <c r="F99" s="133">
        <v>2.85</v>
      </c>
      <c r="G99" s="133">
        <v>71.39</v>
      </c>
      <c r="H99" s="133">
        <v>25.36</v>
      </c>
      <c r="I99" s="133">
        <v>7.58</v>
      </c>
      <c r="J99" s="133">
        <v>0.17</v>
      </c>
      <c r="K99" s="133">
        <v>176.21</v>
      </c>
      <c r="L99" s="133">
        <v>20.65</v>
      </c>
      <c r="M99" s="133">
        <v>86.78</v>
      </c>
      <c r="N99" s="133">
        <v>0</v>
      </c>
      <c r="O99" s="133">
        <v>0</v>
      </c>
      <c r="P99" s="133">
        <v>0.71</v>
      </c>
      <c r="Q99" s="133">
        <v>4.6100000000000003</v>
      </c>
    </row>
    <row r="100" spans="1:22" customFormat="1">
      <c r="A100" s="111" t="s">
        <v>2729</v>
      </c>
      <c r="B100" s="133">
        <v>9.5299999999999994</v>
      </c>
      <c r="C100" s="133">
        <v>20.77</v>
      </c>
      <c r="D100" s="133">
        <v>19.850000000000001</v>
      </c>
      <c r="E100" s="133">
        <v>5.53</v>
      </c>
      <c r="F100" s="133">
        <v>2.56</v>
      </c>
      <c r="G100" s="133">
        <v>66.849999999999994</v>
      </c>
      <c r="H100" s="133">
        <v>26.79</v>
      </c>
      <c r="I100" s="133">
        <v>7.52</v>
      </c>
      <c r="J100" s="133">
        <v>0.14000000000000001</v>
      </c>
      <c r="K100" s="133">
        <v>214.62</v>
      </c>
      <c r="L100" s="133">
        <v>20.43</v>
      </c>
      <c r="M100" s="133">
        <v>88.69</v>
      </c>
      <c r="N100" s="133">
        <v>0</v>
      </c>
      <c r="O100" s="133">
        <v>0</v>
      </c>
      <c r="P100" s="133">
        <v>0.7</v>
      </c>
      <c r="Q100" s="133">
        <v>4.62</v>
      </c>
    </row>
    <row r="101" spans="1:22" customFormat="1">
      <c r="A101" s="111" t="s">
        <v>2730</v>
      </c>
      <c r="B101" s="133">
        <v>9.56</v>
      </c>
      <c r="C101" s="133">
        <v>20.99</v>
      </c>
      <c r="D101" s="133">
        <v>19.98</v>
      </c>
      <c r="E101" s="133">
        <v>5.94</v>
      </c>
      <c r="F101" s="133">
        <v>2.5499999999999998</v>
      </c>
      <c r="G101" s="133">
        <v>66.849999999999994</v>
      </c>
      <c r="H101" s="133">
        <v>26.79</v>
      </c>
      <c r="I101" s="133">
        <v>7.46</v>
      </c>
      <c r="J101" s="133">
        <v>0.13</v>
      </c>
      <c r="K101" s="133">
        <v>237.53</v>
      </c>
      <c r="L101" s="133">
        <v>20.16</v>
      </c>
      <c r="M101" s="133">
        <v>86.79</v>
      </c>
      <c r="N101" s="133">
        <v>0</v>
      </c>
      <c r="O101" s="133">
        <v>0</v>
      </c>
      <c r="P101" s="133">
        <v>0.7</v>
      </c>
      <c r="Q101" s="133">
        <v>4.59</v>
      </c>
    </row>
    <row r="102" spans="1:22" customFormat="1">
      <c r="A102" s="111" t="s">
        <v>2731</v>
      </c>
      <c r="B102" s="133">
        <v>9.7100000000000009</v>
      </c>
      <c r="C102" s="133">
        <v>21.92</v>
      </c>
      <c r="D102" s="133">
        <v>20.59</v>
      </c>
      <c r="E102" s="133">
        <v>5.79</v>
      </c>
      <c r="F102" s="133">
        <v>2.4900000000000002</v>
      </c>
      <c r="G102" s="133">
        <v>66.849999999999994</v>
      </c>
      <c r="H102" s="133">
        <v>26.79</v>
      </c>
      <c r="I102" s="133">
        <v>7.43</v>
      </c>
      <c r="J102" s="133">
        <v>0.12</v>
      </c>
      <c r="K102" s="133">
        <v>203.37</v>
      </c>
      <c r="L102" s="133">
        <v>20.100000000000001</v>
      </c>
      <c r="M102" s="133">
        <v>85.33</v>
      </c>
      <c r="N102" s="133">
        <v>0</v>
      </c>
      <c r="O102" s="133">
        <v>0</v>
      </c>
      <c r="P102" s="133">
        <v>0.73</v>
      </c>
      <c r="Q102" s="133">
        <v>4.57</v>
      </c>
    </row>
    <row r="103" spans="1:22" customFormat="1">
      <c r="A103" s="111" t="s">
        <v>2732</v>
      </c>
      <c r="B103" s="133">
        <v>10.84</v>
      </c>
      <c r="C103" s="133">
        <v>21.36</v>
      </c>
      <c r="D103" s="133">
        <v>21.2</v>
      </c>
      <c r="E103" s="133">
        <v>5.67</v>
      </c>
      <c r="F103" s="133">
        <v>2.61</v>
      </c>
      <c r="G103" s="133">
        <v>66.81</v>
      </c>
      <c r="H103" s="133">
        <v>26.86</v>
      </c>
      <c r="I103" s="133">
        <v>7.36</v>
      </c>
      <c r="J103" s="133">
        <v>0.24</v>
      </c>
      <c r="K103" s="133">
        <v>183.24</v>
      </c>
      <c r="L103" s="133">
        <v>20.170000000000002</v>
      </c>
      <c r="M103" s="133">
        <v>87.65</v>
      </c>
      <c r="N103" s="133">
        <v>0</v>
      </c>
      <c r="O103" s="133">
        <v>0</v>
      </c>
      <c r="P103" s="133">
        <v>0.73</v>
      </c>
      <c r="Q103" s="133">
        <v>4.6100000000000003</v>
      </c>
    </row>
    <row r="104" spans="1:22" customFormat="1">
      <c r="A104" s="111" t="s">
        <v>2733</v>
      </c>
      <c r="B104" s="133">
        <v>11.46</v>
      </c>
      <c r="C104" s="133">
        <v>23.36</v>
      </c>
      <c r="D104" s="133">
        <v>22.74</v>
      </c>
      <c r="E104" s="133">
        <v>6.1</v>
      </c>
      <c r="F104" s="133">
        <v>2.33</v>
      </c>
      <c r="G104" s="133">
        <v>66.22</v>
      </c>
      <c r="H104" s="133">
        <v>27.89</v>
      </c>
      <c r="I104" s="133">
        <v>7.32</v>
      </c>
      <c r="J104" s="133">
        <v>0.26</v>
      </c>
      <c r="K104" s="133">
        <v>253</v>
      </c>
      <c r="L104" s="133">
        <v>19.91</v>
      </c>
      <c r="M104" s="133">
        <v>88.78</v>
      </c>
      <c r="N104" s="133">
        <v>0</v>
      </c>
      <c r="O104" s="133">
        <v>0</v>
      </c>
      <c r="P104" s="133">
        <v>0.75</v>
      </c>
      <c r="Q104" s="133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5.14</v>
      </c>
      <c r="C106" s="183">
        <f>MIN(C9:C104)</f>
        <v>18.98</v>
      </c>
      <c r="D106" s="183">
        <f t="shared" ref="D106:Q106" si="0">MIN(D9:D104)</f>
        <v>16.04</v>
      </c>
      <c r="E106" s="183">
        <f t="shared" si="0"/>
        <v>4.3600000000000003</v>
      </c>
      <c r="F106" s="183">
        <f t="shared" si="0"/>
        <v>2.33</v>
      </c>
      <c r="G106" s="183">
        <f t="shared" si="0"/>
        <v>49.19</v>
      </c>
      <c r="H106" s="183">
        <f t="shared" si="0"/>
        <v>23.31</v>
      </c>
      <c r="I106" s="183">
        <f t="shared" si="0"/>
        <v>6.26</v>
      </c>
      <c r="J106" s="183">
        <f t="shared" si="0"/>
        <v>0.02</v>
      </c>
      <c r="K106" s="183">
        <f t="shared" si="0"/>
        <v>10</v>
      </c>
      <c r="L106" s="183">
        <f t="shared" si="0"/>
        <v>18.059999999999999</v>
      </c>
      <c r="M106" s="183">
        <f t="shared" si="0"/>
        <v>33.03</v>
      </c>
      <c r="N106" s="183">
        <f t="shared" si="0"/>
        <v>0</v>
      </c>
      <c r="O106" s="183">
        <f t="shared" si="0"/>
        <v>0</v>
      </c>
      <c r="P106" s="183">
        <f t="shared" si="0"/>
        <v>0.68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23.56</v>
      </c>
      <c r="C107" s="184">
        <f t="shared" ref="C107:Q107" si="1">MAX(C9:C104)</f>
        <v>31.25</v>
      </c>
      <c r="D107" s="184">
        <f t="shared" si="1"/>
        <v>32.75</v>
      </c>
      <c r="E107" s="184">
        <f t="shared" si="1"/>
        <v>9.07</v>
      </c>
      <c r="F107" s="184">
        <f t="shared" si="1"/>
        <v>9.32</v>
      </c>
      <c r="G107" s="184">
        <f t="shared" si="1"/>
        <v>118.53</v>
      </c>
      <c r="H107" s="184">
        <f t="shared" si="1"/>
        <v>42.79</v>
      </c>
      <c r="I107" s="184">
        <f t="shared" si="1"/>
        <v>9.0500000000000007</v>
      </c>
      <c r="J107" s="184">
        <f t="shared" si="1"/>
        <v>0.81</v>
      </c>
      <c r="K107" s="184">
        <f t="shared" si="1"/>
        <v>333.36</v>
      </c>
      <c r="L107" s="184">
        <f t="shared" si="1"/>
        <v>30.6</v>
      </c>
      <c r="M107" s="184">
        <f t="shared" si="1"/>
        <v>95.05</v>
      </c>
      <c r="N107" s="184">
        <f t="shared" si="1"/>
        <v>588.6</v>
      </c>
      <c r="O107" s="184">
        <f t="shared" si="1"/>
        <v>0</v>
      </c>
      <c r="P107" s="184">
        <f t="shared" si="1"/>
        <v>1.1399999999999999</v>
      </c>
      <c r="Q107" s="184">
        <f t="shared" si="1"/>
        <v>5.29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10.494062499999997</v>
      </c>
      <c r="C108" s="183">
        <f t="shared" ref="C108:Q108" si="2">AVERAGE(C9:C104)</f>
        <v>23.029895833333327</v>
      </c>
      <c r="D108" s="183">
        <f t="shared" si="2"/>
        <v>21.798124999999995</v>
      </c>
      <c r="E108" s="183">
        <f t="shared" si="2"/>
        <v>6.0772916666666665</v>
      </c>
      <c r="F108" s="183">
        <f t="shared" si="2"/>
        <v>3.7843750000000012</v>
      </c>
      <c r="G108" s="183">
        <f t="shared" si="2"/>
        <v>72.934791666666698</v>
      </c>
      <c r="H108" s="183">
        <f t="shared" si="2"/>
        <v>29.958333333333329</v>
      </c>
      <c r="I108" s="183">
        <f t="shared" si="2"/>
        <v>7.52072916666667</v>
      </c>
      <c r="J108" s="183">
        <f t="shared" si="2"/>
        <v>0.22812500000000011</v>
      </c>
      <c r="K108" s="183">
        <f t="shared" si="2"/>
        <v>134.35166666666669</v>
      </c>
      <c r="L108" s="183">
        <f t="shared" si="2"/>
        <v>23.596562499999994</v>
      </c>
      <c r="M108" s="183">
        <f t="shared" si="2"/>
        <v>67.700208333333336</v>
      </c>
      <c r="N108" s="183">
        <f t="shared" si="2"/>
        <v>131.09166666666667</v>
      </c>
      <c r="O108" s="183">
        <f t="shared" si="2"/>
        <v>0</v>
      </c>
      <c r="P108" s="183">
        <f t="shared" si="2"/>
        <v>0.82250000000000034</v>
      </c>
      <c r="Q108" s="183">
        <f t="shared" si="2"/>
        <v>4.637812499999999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5.1647425325597496</v>
      </c>
      <c r="C109" s="183">
        <f t="shared" ref="C109:Q109" si="3">STDEV(C9:C104)</f>
        <v>3.1294914652608505</v>
      </c>
      <c r="D109" s="183">
        <f t="shared" si="3"/>
        <v>4.9212842381467903</v>
      </c>
      <c r="E109" s="183">
        <f t="shared" si="3"/>
        <v>0.97449201791624884</v>
      </c>
      <c r="F109" s="183">
        <f t="shared" si="3"/>
        <v>1.8842001304476472</v>
      </c>
      <c r="G109" s="183">
        <f t="shared" si="3"/>
        <v>17.012619772835755</v>
      </c>
      <c r="H109" s="183">
        <f t="shared" si="3"/>
        <v>5.6470278473523043</v>
      </c>
      <c r="I109" s="183">
        <f t="shared" si="3"/>
        <v>0.77263901122493117</v>
      </c>
      <c r="J109" s="183">
        <f t="shared" si="3"/>
        <v>0.17473777345978786</v>
      </c>
      <c r="K109" s="183">
        <f t="shared" si="3"/>
        <v>84.337563481731408</v>
      </c>
      <c r="L109" s="183">
        <f t="shared" si="3"/>
        <v>4.3241872563097887</v>
      </c>
      <c r="M109" s="183">
        <f t="shared" si="3"/>
        <v>22.442195078827289</v>
      </c>
      <c r="N109" s="183">
        <f t="shared" si="3"/>
        <v>202.26022252048242</v>
      </c>
      <c r="O109" s="183">
        <f t="shared" si="3"/>
        <v>0</v>
      </c>
      <c r="P109" s="183">
        <f t="shared" si="3"/>
        <v>0.12750232196027733</v>
      </c>
      <c r="Q109" s="183">
        <f t="shared" si="3"/>
        <v>0.28237042906530885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27/10/2023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2734</v>
      </c>
      <c r="B9" s="133">
        <v>11.99</v>
      </c>
      <c r="C9" s="133">
        <v>21.9</v>
      </c>
      <c r="D9" s="133">
        <v>22.41</v>
      </c>
      <c r="E9" s="133">
        <v>5.65</v>
      </c>
      <c r="F9" s="133">
        <v>2.78</v>
      </c>
      <c r="G9" s="133">
        <v>66.22</v>
      </c>
      <c r="H9" s="133">
        <v>27.89</v>
      </c>
      <c r="I9" s="133">
        <v>7.33</v>
      </c>
      <c r="J9" s="133">
        <v>0.13</v>
      </c>
      <c r="K9" s="133">
        <v>206</v>
      </c>
      <c r="L9" s="133">
        <v>19.79</v>
      </c>
      <c r="M9" s="133">
        <v>86.87</v>
      </c>
      <c r="N9" s="133">
        <v>0</v>
      </c>
      <c r="O9" s="133">
        <v>0</v>
      </c>
      <c r="P9" s="133">
        <v>0.74</v>
      </c>
      <c r="Q9" s="133">
        <v>4.7300000000000004</v>
      </c>
    </row>
    <row r="10" spans="1:21" customFormat="1">
      <c r="A10" s="111" t="s">
        <v>2735</v>
      </c>
      <c r="B10" s="133">
        <v>12.03</v>
      </c>
      <c r="C10" s="133">
        <v>21.51</v>
      </c>
      <c r="D10" s="133">
        <v>22.24</v>
      </c>
      <c r="E10" s="133">
        <v>5.87</v>
      </c>
      <c r="F10" s="133">
        <v>2.64</v>
      </c>
      <c r="G10" s="133">
        <v>66.22</v>
      </c>
      <c r="H10" s="133">
        <v>27.89</v>
      </c>
      <c r="I10" s="133">
        <v>7.33</v>
      </c>
      <c r="J10" s="133">
        <v>0.08</v>
      </c>
      <c r="K10" s="133">
        <v>222.83</v>
      </c>
      <c r="L10" s="133">
        <v>19.72</v>
      </c>
      <c r="M10" s="133">
        <v>90.62</v>
      </c>
      <c r="N10" s="133">
        <v>0</v>
      </c>
      <c r="O10" s="133">
        <v>0</v>
      </c>
      <c r="P10" s="133">
        <v>0.74</v>
      </c>
      <c r="Q10" s="133">
        <v>4.74</v>
      </c>
    </row>
    <row r="11" spans="1:21" customFormat="1">
      <c r="A11" s="111" t="s">
        <v>2736</v>
      </c>
      <c r="B11" s="133">
        <v>13</v>
      </c>
      <c r="C11" s="133">
        <v>22.8</v>
      </c>
      <c r="D11" s="133">
        <v>23.69</v>
      </c>
      <c r="E11" s="133">
        <v>6.12</v>
      </c>
      <c r="F11" s="133">
        <v>2.5299999999999998</v>
      </c>
      <c r="G11" s="133">
        <v>65.92</v>
      </c>
      <c r="H11" s="133">
        <v>27.76</v>
      </c>
      <c r="I11" s="133">
        <v>7.3</v>
      </c>
      <c r="J11" s="133">
        <v>0.08</v>
      </c>
      <c r="K11" s="133">
        <v>149.38999999999999</v>
      </c>
      <c r="L11" s="133">
        <v>19.73</v>
      </c>
      <c r="M11" s="133">
        <v>88.79</v>
      </c>
      <c r="N11" s="133">
        <v>0</v>
      </c>
      <c r="O11" s="133">
        <v>0</v>
      </c>
      <c r="P11" s="133">
        <v>0.75</v>
      </c>
      <c r="Q11" s="133">
        <v>4.7699999999999996</v>
      </c>
    </row>
    <row r="12" spans="1:21" customFormat="1">
      <c r="A12" s="111" t="s">
        <v>2737</v>
      </c>
      <c r="B12" s="133">
        <v>14.4</v>
      </c>
      <c r="C12" s="133">
        <v>23.05</v>
      </c>
      <c r="D12" s="133">
        <v>24.94</v>
      </c>
      <c r="E12" s="133">
        <v>6</v>
      </c>
      <c r="F12" s="133">
        <v>2.5</v>
      </c>
      <c r="G12" s="133">
        <v>60.9</v>
      </c>
      <c r="H12" s="133">
        <v>25.66</v>
      </c>
      <c r="I12" s="133">
        <v>7.29</v>
      </c>
      <c r="J12" s="133">
        <v>0.15</v>
      </c>
      <c r="K12" s="133">
        <v>202.82</v>
      </c>
      <c r="L12" s="133">
        <v>19.77</v>
      </c>
      <c r="M12" s="133">
        <v>89.51</v>
      </c>
      <c r="N12" s="133">
        <v>0</v>
      </c>
      <c r="O12" s="133">
        <v>0</v>
      </c>
      <c r="P12" s="133">
        <v>0.76</v>
      </c>
      <c r="Q12" s="133">
        <v>4.83</v>
      </c>
    </row>
    <row r="13" spans="1:21" customFormat="1">
      <c r="A13" s="111" t="s">
        <v>2738</v>
      </c>
      <c r="B13" s="133">
        <v>15.21</v>
      </c>
      <c r="C13" s="133">
        <v>23.38</v>
      </c>
      <c r="D13" s="133">
        <v>25.77</v>
      </c>
      <c r="E13" s="133">
        <v>5.96</v>
      </c>
      <c r="F13" s="133">
        <v>2.5099999999999998</v>
      </c>
      <c r="G13" s="133">
        <v>60.9</v>
      </c>
      <c r="H13" s="133">
        <v>25.66</v>
      </c>
      <c r="I13" s="133">
        <v>7.29</v>
      </c>
      <c r="J13" s="133">
        <v>0.15</v>
      </c>
      <c r="K13" s="133">
        <v>181.27</v>
      </c>
      <c r="L13" s="133">
        <v>19.66</v>
      </c>
      <c r="M13" s="133">
        <v>92.97</v>
      </c>
      <c r="N13" s="133">
        <v>0</v>
      </c>
      <c r="O13" s="133">
        <v>0</v>
      </c>
      <c r="P13" s="133">
        <v>0.76</v>
      </c>
      <c r="Q13" s="133">
        <v>4.88</v>
      </c>
    </row>
    <row r="14" spans="1:21" customFormat="1">
      <c r="A14" s="111" t="s">
        <v>2739</v>
      </c>
      <c r="B14" s="133">
        <v>15.37</v>
      </c>
      <c r="C14" s="133">
        <v>23.19</v>
      </c>
      <c r="D14" s="133">
        <v>25.8</v>
      </c>
      <c r="E14" s="133">
        <v>5.89</v>
      </c>
      <c r="F14" s="133">
        <v>2.62</v>
      </c>
      <c r="G14" s="133">
        <v>60.9</v>
      </c>
      <c r="H14" s="133">
        <v>25.66</v>
      </c>
      <c r="I14" s="133">
        <v>7.32</v>
      </c>
      <c r="J14" s="133">
        <v>0.08</v>
      </c>
      <c r="K14" s="133">
        <v>101.37</v>
      </c>
      <c r="L14" s="133">
        <v>19.37</v>
      </c>
      <c r="M14" s="133">
        <v>92.65</v>
      </c>
      <c r="N14" s="133">
        <v>0</v>
      </c>
      <c r="O14" s="133">
        <v>0</v>
      </c>
      <c r="P14" s="133">
        <v>0.77</v>
      </c>
      <c r="Q14" s="133">
        <v>4.91</v>
      </c>
    </row>
    <row r="15" spans="1:21" customFormat="1">
      <c r="A15" s="111" t="s">
        <v>2740</v>
      </c>
      <c r="B15" s="133">
        <v>16.440000000000001</v>
      </c>
      <c r="C15" s="133">
        <v>23.35</v>
      </c>
      <c r="D15" s="133">
        <v>26.74</v>
      </c>
      <c r="E15" s="133">
        <v>6.46</v>
      </c>
      <c r="F15" s="133">
        <v>2.5099999999999998</v>
      </c>
      <c r="G15" s="133">
        <v>61.17</v>
      </c>
      <c r="H15" s="133">
        <v>25.72</v>
      </c>
      <c r="I15" s="133">
        <v>7.36</v>
      </c>
      <c r="J15" s="133">
        <v>0.18</v>
      </c>
      <c r="K15" s="133">
        <v>184.49</v>
      </c>
      <c r="L15" s="133">
        <v>19.440000000000001</v>
      </c>
      <c r="M15" s="133">
        <v>90.96</v>
      </c>
      <c r="N15" s="133">
        <v>0</v>
      </c>
      <c r="O15" s="133">
        <v>0</v>
      </c>
      <c r="P15" s="133">
        <v>0.78</v>
      </c>
      <c r="Q15" s="133">
        <v>4.9400000000000004</v>
      </c>
    </row>
    <row r="16" spans="1:21" customFormat="1">
      <c r="A16" s="111" t="s">
        <v>2741</v>
      </c>
      <c r="B16" s="133">
        <v>17.260000000000002</v>
      </c>
      <c r="C16" s="133">
        <v>24.06</v>
      </c>
      <c r="D16" s="133">
        <v>27.76</v>
      </c>
      <c r="E16" s="133">
        <v>5.88</v>
      </c>
      <c r="F16" s="133">
        <v>2.4500000000000002</v>
      </c>
      <c r="G16" s="133">
        <v>66.790000000000006</v>
      </c>
      <c r="H16" s="133">
        <v>26.64</v>
      </c>
      <c r="I16" s="133">
        <v>7.37</v>
      </c>
      <c r="J16" s="133">
        <v>0.13</v>
      </c>
      <c r="K16" s="133">
        <v>203.58</v>
      </c>
      <c r="L16" s="133">
        <v>19.399999999999999</v>
      </c>
      <c r="M16" s="133">
        <v>92.96</v>
      </c>
      <c r="N16" s="133">
        <v>0</v>
      </c>
      <c r="O16" s="133">
        <v>0</v>
      </c>
      <c r="P16" s="133">
        <v>0.79</v>
      </c>
      <c r="Q16" s="133">
        <v>4.9800000000000004</v>
      </c>
    </row>
    <row r="17" spans="1:17" customFormat="1">
      <c r="A17" s="111" t="s">
        <v>2742</v>
      </c>
      <c r="B17" s="133">
        <v>17.559999999999999</v>
      </c>
      <c r="C17" s="133">
        <v>24.44</v>
      </c>
      <c r="D17" s="133">
        <v>28.2</v>
      </c>
      <c r="E17" s="133">
        <v>3.98</v>
      </c>
      <c r="F17" s="133">
        <v>2.4300000000000002</v>
      </c>
      <c r="G17" s="133">
        <v>66.790000000000006</v>
      </c>
      <c r="H17" s="133">
        <v>26.64</v>
      </c>
      <c r="I17" s="133">
        <v>7.38</v>
      </c>
      <c r="J17" s="133">
        <v>7.0000000000000007E-2</v>
      </c>
      <c r="K17" s="133">
        <v>199.89</v>
      </c>
      <c r="L17" s="133">
        <v>19.190000000000001</v>
      </c>
      <c r="M17" s="133">
        <v>92.24</v>
      </c>
      <c r="N17" s="133">
        <v>0</v>
      </c>
      <c r="O17" s="133">
        <v>0</v>
      </c>
      <c r="P17" s="133">
        <v>0.8</v>
      </c>
      <c r="Q17" s="133">
        <v>5.0199999999999996</v>
      </c>
    </row>
    <row r="18" spans="1:17" customFormat="1">
      <c r="A18" s="111" t="s">
        <v>2743</v>
      </c>
      <c r="B18" s="133">
        <v>18.329999999999998</v>
      </c>
      <c r="C18" s="133">
        <v>23.25</v>
      </c>
      <c r="D18" s="133">
        <v>28.2</v>
      </c>
      <c r="E18" s="133">
        <v>4.87</v>
      </c>
      <c r="F18" s="133">
        <v>2.62</v>
      </c>
      <c r="G18" s="133">
        <v>66.790000000000006</v>
      </c>
      <c r="H18" s="133">
        <v>26.64</v>
      </c>
      <c r="I18" s="133">
        <v>7.43</v>
      </c>
      <c r="J18" s="133">
        <v>0.1</v>
      </c>
      <c r="K18" s="133">
        <v>215</v>
      </c>
      <c r="L18" s="133">
        <v>19.12</v>
      </c>
      <c r="M18" s="133">
        <v>92.67</v>
      </c>
      <c r="N18" s="133">
        <v>0</v>
      </c>
      <c r="O18" s="133">
        <v>0</v>
      </c>
      <c r="P18" s="133">
        <v>0.79</v>
      </c>
      <c r="Q18" s="133">
        <v>5.03</v>
      </c>
    </row>
    <row r="19" spans="1:17" customFormat="1">
      <c r="A19" s="111" t="s">
        <v>2744</v>
      </c>
      <c r="B19" s="133">
        <v>18.739999999999998</v>
      </c>
      <c r="C19" s="133">
        <v>24.4</v>
      </c>
      <c r="D19" s="133">
        <v>29.13</v>
      </c>
      <c r="E19" s="133">
        <v>4.9800000000000004</v>
      </c>
      <c r="F19" s="133">
        <v>2.46</v>
      </c>
      <c r="G19" s="133">
        <v>66.72</v>
      </c>
      <c r="H19" s="133">
        <v>26.64</v>
      </c>
      <c r="I19" s="133">
        <v>7.54</v>
      </c>
      <c r="J19" s="133">
        <v>0.08</v>
      </c>
      <c r="K19" s="133">
        <v>150.97</v>
      </c>
      <c r="L19" s="133">
        <v>19.09</v>
      </c>
      <c r="M19" s="133">
        <v>96.3</v>
      </c>
      <c r="N19" s="133">
        <v>0</v>
      </c>
      <c r="O19" s="133">
        <v>0</v>
      </c>
      <c r="P19" s="133">
        <v>0.83</v>
      </c>
      <c r="Q19" s="133">
        <v>5.07</v>
      </c>
    </row>
    <row r="20" spans="1:17" customFormat="1">
      <c r="A20" s="111" t="s">
        <v>2745</v>
      </c>
      <c r="B20" s="133">
        <v>18.829999999999998</v>
      </c>
      <c r="C20" s="133">
        <v>24.87</v>
      </c>
      <c r="D20" s="133">
        <v>29.44</v>
      </c>
      <c r="E20" s="133">
        <v>5.76</v>
      </c>
      <c r="F20" s="133">
        <v>2.2999999999999998</v>
      </c>
      <c r="G20" s="133">
        <v>65.12</v>
      </c>
      <c r="H20" s="133">
        <v>26.6</v>
      </c>
      <c r="I20" s="133">
        <v>7.66</v>
      </c>
      <c r="J20" s="133">
        <v>0.08</v>
      </c>
      <c r="K20" s="133">
        <v>213.99</v>
      </c>
      <c r="L20" s="133">
        <v>18.98</v>
      </c>
      <c r="M20" s="133">
        <v>96.56</v>
      </c>
      <c r="N20" s="133">
        <v>0</v>
      </c>
      <c r="O20" s="133">
        <v>0</v>
      </c>
      <c r="P20" s="133">
        <v>0.85</v>
      </c>
      <c r="Q20" s="133">
        <v>5.0999999999999996</v>
      </c>
    </row>
    <row r="21" spans="1:17" customFormat="1">
      <c r="A21" s="111" t="s">
        <v>2746</v>
      </c>
      <c r="B21" s="133">
        <v>20.39</v>
      </c>
      <c r="C21" s="133">
        <v>25.11</v>
      </c>
      <c r="D21" s="133">
        <v>30.83</v>
      </c>
      <c r="E21" s="133">
        <v>5.59</v>
      </c>
      <c r="F21" s="133">
        <v>2.56</v>
      </c>
      <c r="G21" s="133">
        <v>65.12</v>
      </c>
      <c r="H21" s="133">
        <v>26.6</v>
      </c>
      <c r="I21" s="133">
        <v>7.76</v>
      </c>
      <c r="J21" s="133">
        <v>0.18</v>
      </c>
      <c r="K21" s="133">
        <v>195.71</v>
      </c>
      <c r="L21" s="133">
        <v>18.96</v>
      </c>
      <c r="M21" s="133">
        <v>95.69</v>
      </c>
      <c r="N21" s="133">
        <v>0</v>
      </c>
      <c r="O21" s="133">
        <v>0</v>
      </c>
      <c r="P21" s="133">
        <v>0.86</v>
      </c>
      <c r="Q21" s="133">
        <v>5.14</v>
      </c>
    </row>
    <row r="22" spans="1:17" customFormat="1">
      <c r="A22" s="111" t="s">
        <v>2747</v>
      </c>
      <c r="B22" s="133">
        <v>21.94</v>
      </c>
      <c r="C22" s="133">
        <v>25.55</v>
      </c>
      <c r="D22" s="133">
        <v>32.299999999999997</v>
      </c>
      <c r="E22" s="133">
        <v>5.35</v>
      </c>
      <c r="F22" s="133">
        <v>2.7</v>
      </c>
      <c r="G22" s="133">
        <v>65.12</v>
      </c>
      <c r="H22" s="133">
        <v>26.6</v>
      </c>
      <c r="I22" s="133">
        <v>7.88</v>
      </c>
      <c r="J22" s="133">
        <v>0.12</v>
      </c>
      <c r="K22" s="133">
        <v>154.74</v>
      </c>
      <c r="L22" s="133">
        <v>18.95</v>
      </c>
      <c r="M22" s="133">
        <v>94.16</v>
      </c>
      <c r="N22" s="133">
        <v>0</v>
      </c>
      <c r="O22" s="133">
        <v>0</v>
      </c>
      <c r="P22" s="133">
        <v>0.88</v>
      </c>
      <c r="Q22" s="133">
        <v>5.21</v>
      </c>
    </row>
    <row r="23" spans="1:17" customFormat="1">
      <c r="A23" s="111" t="s">
        <v>2748</v>
      </c>
      <c r="B23" s="133">
        <v>22.14</v>
      </c>
      <c r="C23" s="133">
        <v>25.59</v>
      </c>
      <c r="D23" s="133">
        <v>32.47</v>
      </c>
      <c r="E23" s="133">
        <v>5.28</v>
      </c>
      <c r="F23" s="133">
        <v>2.77</v>
      </c>
      <c r="G23" s="133">
        <v>65.319999999999993</v>
      </c>
      <c r="H23" s="133">
        <v>26.99</v>
      </c>
      <c r="I23" s="133">
        <v>8.06</v>
      </c>
      <c r="J23" s="133">
        <v>7.0000000000000007E-2</v>
      </c>
      <c r="K23" s="133">
        <v>173.3</v>
      </c>
      <c r="L23" s="133">
        <v>18.78</v>
      </c>
      <c r="M23" s="133">
        <v>94.04</v>
      </c>
      <c r="N23" s="133">
        <v>0</v>
      </c>
      <c r="O23" s="133">
        <v>0</v>
      </c>
      <c r="P23" s="133">
        <v>0.89</v>
      </c>
      <c r="Q23" s="133">
        <v>5.26</v>
      </c>
    </row>
    <row r="24" spans="1:17" customFormat="1">
      <c r="A24" s="111" t="s">
        <v>2749</v>
      </c>
      <c r="B24" s="133">
        <v>23.44</v>
      </c>
      <c r="C24" s="133">
        <v>25.89</v>
      </c>
      <c r="D24" s="133">
        <v>33.67</v>
      </c>
      <c r="E24" s="133">
        <v>5.41</v>
      </c>
      <c r="F24" s="133">
        <v>2.59</v>
      </c>
      <c r="G24" s="133">
        <v>69.62</v>
      </c>
      <c r="H24" s="133">
        <v>33.21</v>
      </c>
      <c r="I24" s="133">
        <v>8.2100000000000009</v>
      </c>
      <c r="J24" s="133">
        <v>0.08</v>
      </c>
      <c r="K24" s="133">
        <v>142.72999999999999</v>
      </c>
      <c r="L24" s="133">
        <v>18.68</v>
      </c>
      <c r="M24" s="133">
        <v>95.13</v>
      </c>
      <c r="N24" s="133">
        <v>0</v>
      </c>
      <c r="O24" s="133">
        <v>0</v>
      </c>
      <c r="P24" s="133">
        <v>0.9</v>
      </c>
      <c r="Q24" s="133">
        <v>5.31</v>
      </c>
    </row>
    <row r="25" spans="1:17" customFormat="1">
      <c r="A25" s="111" t="s">
        <v>2750</v>
      </c>
      <c r="B25" s="133">
        <v>25.01</v>
      </c>
      <c r="C25" s="133">
        <v>25.96</v>
      </c>
      <c r="D25" s="133">
        <v>34.97</v>
      </c>
      <c r="E25" s="133">
        <v>5.2</v>
      </c>
      <c r="F25" s="133">
        <v>2.52</v>
      </c>
      <c r="G25" s="133">
        <v>69.62</v>
      </c>
      <c r="H25" s="133">
        <v>33.21</v>
      </c>
      <c r="I25" s="133">
        <v>8.2899999999999991</v>
      </c>
      <c r="J25" s="133">
        <v>0.06</v>
      </c>
      <c r="K25" s="133">
        <v>156.19</v>
      </c>
      <c r="L25" s="133">
        <v>18.62</v>
      </c>
      <c r="M25" s="133">
        <v>95.84</v>
      </c>
      <c r="N25" s="133">
        <v>0</v>
      </c>
      <c r="O25" s="133">
        <v>0</v>
      </c>
      <c r="P25" s="133">
        <v>0.91</v>
      </c>
      <c r="Q25" s="133">
        <v>5.39</v>
      </c>
    </row>
    <row r="26" spans="1:17" customFormat="1">
      <c r="A26" s="111" t="s">
        <v>2751</v>
      </c>
      <c r="B26" s="133">
        <v>26.27</v>
      </c>
      <c r="C26" s="133">
        <v>26.18</v>
      </c>
      <c r="D26" s="133">
        <v>36.090000000000003</v>
      </c>
      <c r="E26" s="133">
        <v>5.69</v>
      </c>
      <c r="F26" s="133">
        <v>2.46</v>
      </c>
      <c r="G26" s="133">
        <v>69.62</v>
      </c>
      <c r="H26" s="133">
        <v>33.21</v>
      </c>
      <c r="I26" s="133">
        <v>8.44</v>
      </c>
      <c r="J26" s="133">
        <v>0.3</v>
      </c>
      <c r="K26" s="133">
        <v>178.53</v>
      </c>
      <c r="L26" s="133">
        <v>18.649999999999999</v>
      </c>
      <c r="M26" s="133">
        <v>95.89</v>
      </c>
      <c r="N26" s="133">
        <v>0</v>
      </c>
      <c r="O26" s="133">
        <v>0</v>
      </c>
      <c r="P26" s="133">
        <v>0.93</v>
      </c>
      <c r="Q26" s="133">
        <v>5.46</v>
      </c>
    </row>
    <row r="27" spans="1:17" customFormat="1">
      <c r="A27" s="111" t="s">
        <v>2752</v>
      </c>
      <c r="B27" s="133">
        <v>26.79</v>
      </c>
      <c r="C27" s="133">
        <v>26.05</v>
      </c>
      <c r="D27" s="133">
        <v>36.450000000000003</v>
      </c>
      <c r="E27" s="133">
        <v>6.04</v>
      </c>
      <c r="F27" s="133">
        <v>2.58</v>
      </c>
      <c r="G27" s="133">
        <v>70.150000000000006</v>
      </c>
      <c r="H27" s="133">
        <v>33.159999999999997</v>
      </c>
      <c r="I27" s="133">
        <v>8.59</v>
      </c>
      <c r="J27" s="133">
        <v>0.09</v>
      </c>
      <c r="K27" s="133">
        <v>131.38</v>
      </c>
      <c r="L27" s="133">
        <v>18.440000000000001</v>
      </c>
      <c r="M27" s="133">
        <v>92.45</v>
      </c>
      <c r="N27" s="133">
        <v>0</v>
      </c>
      <c r="O27" s="133">
        <v>0</v>
      </c>
      <c r="P27" s="133">
        <v>0.92</v>
      </c>
      <c r="Q27" s="133">
        <v>5.48</v>
      </c>
    </row>
    <row r="28" spans="1:17" customFormat="1">
      <c r="A28" s="111" t="s">
        <v>2753</v>
      </c>
      <c r="B28" s="133">
        <v>27.26</v>
      </c>
      <c r="C28" s="133">
        <v>26.3</v>
      </c>
      <c r="D28" s="133">
        <v>36.950000000000003</v>
      </c>
      <c r="E28" s="133">
        <v>5.72</v>
      </c>
      <c r="F28" s="133">
        <v>2.71</v>
      </c>
      <c r="G28" s="133">
        <v>81.400000000000006</v>
      </c>
      <c r="H28" s="133">
        <v>32.26</v>
      </c>
      <c r="I28" s="133">
        <v>8.76</v>
      </c>
      <c r="J28" s="133">
        <v>0.1</v>
      </c>
      <c r="K28" s="133">
        <v>124.84</v>
      </c>
      <c r="L28" s="133">
        <v>18.13</v>
      </c>
      <c r="M28" s="133">
        <v>94.8</v>
      </c>
      <c r="N28" s="133">
        <v>0</v>
      </c>
      <c r="O28" s="133">
        <v>0</v>
      </c>
      <c r="P28" s="133">
        <v>0.93</v>
      </c>
      <c r="Q28" s="133">
        <v>5.51</v>
      </c>
    </row>
    <row r="29" spans="1:17" customFormat="1">
      <c r="A29" s="111" t="s">
        <v>2754</v>
      </c>
      <c r="B29" s="133">
        <v>28.9</v>
      </c>
      <c r="C29" s="133">
        <v>26.47</v>
      </c>
      <c r="D29" s="133">
        <v>38.35</v>
      </c>
      <c r="E29" s="133">
        <v>5.8</v>
      </c>
      <c r="F29" s="133">
        <v>2.7</v>
      </c>
      <c r="G29" s="133">
        <v>81.400000000000006</v>
      </c>
      <c r="H29" s="133">
        <v>32.26</v>
      </c>
      <c r="I29" s="133">
        <v>8.8699999999999992</v>
      </c>
      <c r="J29" s="133">
        <v>0.12</v>
      </c>
      <c r="K29" s="133">
        <v>176.62</v>
      </c>
      <c r="L29" s="133">
        <v>18.27</v>
      </c>
      <c r="M29" s="133">
        <v>94.18</v>
      </c>
      <c r="N29" s="133">
        <v>0</v>
      </c>
      <c r="O29" s="133">
        <v>0</v>
      </c>
      <c r="P29" s="133">
        <v>0.94</v>
      </c>
      <c r="Q29" s="133">
        <v>5.58</v>
      </c>
    </row>
    <row r="30" spans="1:17" customFormat="1">
      <c r="A30" s="111" t="s">
        <v>2755</v>
      </c>
      <c r="B30" s="133">
        <v>29.86</v>
      </c>
      <c r="C30" s="133">
        <v>26.73</v>
      </c>
      <c r="D30" s="133">
        <v>39.26</v>
      </c>
      <c r="E30" s="133">
        <v>6.47</v>
      </c>
      <c r="F30" s="133">
        <v>2.63</v>
      </c>
      <c r="G30" s="133">
        <v>81.400000000000006</v>
      </c>
      <c r="H30" s="133">
        <v>32.26</v>
      </c>
      <c r="I30" s="133">
        <v>8.9700000000000006</v>
      </c>
      <c r="J30" s="133">
        <v>0.24</v>
      </c>
      <c r="K30" s="133">
        <v>175.09</v>
      </c>
      <c r="L30" s="133">
        <v>18.27</v>
      </c>
      <c r="M30" s="133">
        <v>95.33</v>
      </c>
      <c r="N30" s="133">
        <v>0</v>
      </c>
      <c r="O30" s="133">
        <v>0</v>
      </c>
      <c r="P30" s="133">
        <v>0.95</v>
      </c>
      <c r="Q30" s="133">
        <v>5.65</v>
      </c>
    </row>
    <row r="31" spans="1:17" customFormat="1">
      <c r="A31" s="111" t="s">
        <v>2756</v>
      </c>
      <c r="B31" s="133">
        <v>29.67</v>
      </c>
      <c r="C31" s="133">
        <v>26.81</v>
      </c>
      <c r="D31" s="133">
        <v>39.15</v>
      </c>
      <c r="E31" s="133">
        <v>6.39</v>
      </c>
      <c r="F31" s="133">
        <v>2.56</v>
      </c>
      <c r="G31" s="133">
        <v>81.489999999999995</v>
      </c>
      <c r="H31" s="133">
        <v>32.44</v>
      </c>
      <c r="I31" s="133">
        <v>9.14</v>
      </c>
      <c r="J31" s="133">
        <v>0.18</v>
      </c>
      <c r="K31" s="133">
        <v>167.87</v>
      </c>
      <c r="L31" s="133">
        <v>18.12</v>
      </c>
      <c r="M31" s="133">
        <v>96.36</v>
      </c>
      <c r="N31" s="133">
        <v>0</v>
      </c>
      <c r="O31" s="133">
        <v>0</v>
      </c>
      <c r="P31" s="133">
        <v>0.96</v>
      </c>
      <c r="Q31" s="133">
        <v>5.65</v>
      </c>
    </row>
    <row r="32" spans="1:17" customFormat="1">
      <c r="A32" s="111" t="s">
        <v>2757</v>
      </c>
      <c r="B32" s="133">
        <v>29.32</v>
      </c>
      <c r="C32" s="133">
        <v>26.82</v>
      </c>
      <c r="D32" s="133">
        <v>38.880000000000003</v>
      </c>
      <c r="E32" s="133">
        <v>6.16</v>
      </c>
      <c r="F32" s="133">
        <v>2.4700000000000002</v>
      </c>
      <c r="G32" s="133">
        <v>83.4</v>
      </c>
      <c r="H32" s="133">
        <v>35.28</v>
      </c>
      <c r="I32" s="133">
        <v>9.24</v>
      </c>
      <c r="J32" s="133">
        <v>0.11</v>
      </c>
      <c r="K32" s="133">
        <v>156.93</v>
      </c>
      <c r="L32" s="133">
        <v>18.11</v>
      </c>
      <c r="M32" s="133">
        <v>96.26</v>
      </c>
      <c r="N32" s="133">
        <v>0</v>
      </c>
      <c r="O32" s="133">
        <v>0</v>
      </c>
      <c r="P32" s="133">
        <v>0.96</v>
      </c>
      <c r="Q32" s="133">
        <v>5.64</v>
      </c>
    </row>
    <row r="33" spans="1:17" customFormat="1">
      <c r="A33" s="111" t="s">
        <v>2758</v>
      </c>
      <c r="B33" s="133">
        <v>28.84</v>
      </c>
      <c r="C33" s="133">
        <v>26.8</v>
      </c>
      <c r="D33" s="133">
        <v>38.479999999999997</v>
      </c>
      <c r="E33" s="133">
        <v>6.3</v>
      </c>
      <c r="F33" s="133">
        <v>2.41</v>
      </c>
      <c r="G33" s="133">
        <v>83.4</v>
      </c>
      <c r="H33" s="133">
        <v>35.28</v>
      </c>
      <c r="I33" s="133">
        <v>9.2899999999999991</v>
      </c>
      <c r="J33" s="133">
        <v>0.13</v>
      </c>
      <c r="K33" s="133">
        <v>204.15</v>
      </c>
      <c r="L33" s="133">
        <v>18.079999999999998</v>
      </c>
      <c r="M33" s="133">
        <v>96.13</v>
      </c>
      <c r="N33" s="133">
        <v>0.4</v>
      </c>
      <c r="O33" s="133">
        <v>0</v>
      </c>
      <c r="P33" s="133">
        <v>0.96</v>
      </c>
      <c r="Q33" s="133">
        <v>5.62</v>
      </c>
    </row>
    <row r="34" spans="1:17" customFormat="1">
      <c r="A34" s="111" t="s">
        <v>2759</v>
      </c>
      <c r="B34" s="133">
        <v>28.23</v>
      </c>
      <c r="C34" s="133">
        <v>26.58</v>
      </c>
      <c r="D34" s="133">
        <v>37.869999999999997</v>
      </c>
      <c r="E34" s="133">
        <v>5.77</v>
      </c>
      <c r="F34" s="133">
        <v>2.4300000000000002</v>
      </c>
      <c r="G34" s="133">
        <v>83.4</v>
      </c>
      <c r="H34" s="133">
        <v>35.28</v>
      </c>
      <c r="I34" s="133">
        <v>9.39</v>
      </c>
      <c r="J34" s="133">
        <v>0.28999999999999998</v>
      </c>
      <c r="K34" s="133">
        <v>174.92</v>
      </c>
      <c r="L34" s="133">
        <v>18.239999999999998</v>
      </c>
      <c r="M34" s="133">
        <v>93.79</v>
      </c>
      <c r="N34" s="133">
        <v>7</v>
      </c>
      <c r="O34" s="133">
        <v>0</v>
      </c>
      <c r="P34" s="133">
        <v>0.96</v>
      </c>
      <c r="Q34" s="133">
        <v>5.62</v>
      </c>
    </row>
    <row r="35" spans="1:17" customFormat="1">
      <c r="A35" s="111" t="s">
        <v>2760</v>
      </c>
      <c r="B35" s="133">
        <v>27.52</v>
      </c>
      <c r="C35" s="133">
        <v>26.56</v>
      </c>
      <c r="D35" s="133">
        <v>37.299999999999997</v>
      </c>
      <c r="E35" s="133">
        <v>6.3</v>
      </c>
      <c r="F35" s="133">
        <v>2.5099999999999998</v>
      </c>
      <c r="G35" s="133">
        <v>83.58</v>
      </c>
      <c r="H35" s="133">
        <v>35.369999999999997</v>
      </c>
      <c r="I35" s="133">
        <v>9.4700000000000006</v>
      </c>
      <c r="J35" s="133">
        <v>0.13</v>
      </c>
      <c r="K35" s="133">
        <v>197.82</v>
      </c>
      <c r="L35" s="133">
        <v>18.27</v>
      </c>
      <c r="M35" s="133">
        <v>93.68</v>
      </c>
      <c r="N35" s="133">
        <v>18.2</v>
      </c>
      <c r="O35" s="133">
        <v>0</v>
      </c>
      <c r="P35" s="133">
        <v>0.98</v>
      </c>
      <c r="Q35" s="133">
        <v>5.55</v>
      </c>
    </row>
    <row r="36" spans="1:17" customFormat="1">
      <c r="A36" s="111" t="s">
        <v>2761</v>
      </c>
      <c r="B36" s="133">
        <v>27.02</v>
      </c>
      <c r="C36" s="133">
        <v>26.54</v>
      </c>
      <c r="D36" s="133">
        <v>36.880000000000003</v>
      </c>
      <c r="E36" s="133">
        <v>6.69</v>
      </c>
      <c r="F36" s="133">
        <v>2.35</v>
      </c>
      <c r="G36" s="133">
        <v>87.6</v>
      </c>
      <c r="H36" s="133">
        <v>36.770000000000003</v>
      </c>
      <c r="I36" s="133">
        <v>9.56</v>
      </c>
      <c r="J36" s="133">
        <v>0.16</v>
      </c>
      <c r="K36" s="133">
        <v>202.52</v>
      </c>
      <c r="L36" s="133">
        <v>18.559999999999999</v>
      </c>
      <c r="M36" s="133">
        <v>90.4</v>
      </c>
      <c r="N36" s="133">
        <v>30.7</v>
      </c>
      <c r="O36" s="133">
        <v>0</v>
      </c>
      <c r="P36" s="133">
        <v>0.99</v>
      </c>
      <c r="Q36" s="133">
        <v>5.54</v>
      </c>
    </row>
    <row r="37" spans="1:17" customFormat="1">
      <c r="A37" s="111" t="s">
        <v>2762</v>
      </c>
      <c r="B37" s="133">
        <v>26.47</v>
      </c>
      <c r="C37" s="133">
        <v>26.27</v>
      </c>
      <c r="D37" s="133">
        <v>36.31</v>
      </c>
      <c r="E37" s="133">
        <v>6.38</v>
      </c>
      <c r="F37" s="133">
        <v>2.4900000000000002</v>
      </c>
      <c r="G37" s="133">
        <v>87.6</v>
      </c>
      <c r="H37" s="133">
        <v>36.770000000000003</v>
      </c>
      <c r="I37" s="133">
        <v>9.61</v>
      </c>
      <c r="J37" s="133">
        <v>0.12</v>
      </c>
      <c r="K37" s="133">
        <v>167.4</v>
      </c>
      <c r="L37" s="133">
        <v>19.29</v>
      </c>
      <c r="M37" s="133">
        <v>88.15</v>
      </c>
      <c r="N37" s="133">
        <v>42.6</v>
      </c>
      <c r="O37" s="133">
        <v>0</v>
      </c>
      <c r="P37" s="133">
        <v>0.99</v>
      </c>
      <c r="Q37" s="133">
        <v>5.54</v>
      </c>
    </row>
    <row r="38" spans="1:17" customFormat="1">
      <c r="A38" s="111" t="s">
        <v>2763</v>
      </c>
      <c r="B38" s="133">
        <v>25.71</v>
      </c>
      <c r="C38" s="133">
        <v>26.84</v>
      </c>
      <c r="D38" s="133">
        <v>35.99</v>
      </c>
      <c r="E38" s="133">
        <v>6.43</v>
      </c>
      <c r="F38" s="133">
        <v>2.56</v>
      </c>
      <c r="G38" s="133">
        <v>87.6</v>
      </c>
      <c r="H38" s="133">
        <v>36.770000000000003</v>
      </c>
      <c r="I38" s="133">
        <v>9.69</v>
      </c>
      <c r="J38" s="133">
        <v>0.09</v>
      </c>
      <c r="K38" s="133">
        <v>82.62</v>
      </c>
      <c r="L38" s="133">
        <v>20.07</v>
      </c>
      <c r="M38" s="133">
        <v>85.5</v>
      </c>
      <c r="N38" s="133">
        <v>67.099999999999994</v>
      </c>
      <c r="O38" s="133">
        <v>0</v>
      </c>
      <c r="P38" s="133">
        <v>1</v>
      </c>
      <c r="Q38" s="133">
        <v>5.47</v>
      </c>
    </row>
    <row r="39" spans="1:17" customFormat="1">
      <c r="A39" s="111" t="s">
        <v>2764</v>
      </c>
      <c r="B39" s="133">
        <v>25.12</v>
      </c>
      <c r="C39" s="133">
        <v>27.56</v>
      </c>
      <c r="D39" s="133">
        <v>35.9</v>
      </c>
      <c r="E39" s="133">
        <v>6.69</v>
      </c>
      <c r="F39" s="133">
        <v>2.5099999999999998</v>
      </c>
      <c r="G39" s="133">
        <v>88.04</v>
      </c>
      <c r="H39" s="133">
        <v>37.07</v>
      </c>
      <c r="I39" s="133">
        <v>9.83</v>
      </c>
      <c r="J39" s="133">
        <v>0.11</v>
      </c>
      <c r="K39" s="133">
        <v>194.77</v>
      </c>
      <c r="L39" s="133">
        <v>21.1</v>
      </c>
      <c r="M39" s="133">
        <v>81.540000000000006</v>
      </c>
      <c r="N39" s="133">
        <v>184.3</v>
      </c>
      <c r="O39" s="133">
        <v>0</v>
      </c>
      <c r="P39" s="133">
        <v>1.02</v>
      </c>
      <c r="Q39" s="133">
        <v>5.42</v>
      </c>
    </row>
    <row r="40" spans="1:17" customFormat="1">
      <c r="A40" s="111" t="s">
        <v>2765</v>
      </c>
      <c r="B40" s="133">
        <v>24.74</v>
      </c>
      <c r="C40" s="133">
        <v>26.76</v>
      </c>
      <c r="D40" s="133">
        <v>35.17</v>
      </c>
      <c r="E40" s="133">
        <v>6.78</v>
      </c>
      <c r="F40" s="133">
        <v>2.7</v>
      </c>
      <c r="G40" s="133">
        <v>97.49</v>
      </c>
      <c r="H40" s="133">
        <v>41.86</v>
      </c>
      <c r="I40" s="133">
        <v>10.02</v>
      </c>
      <c r="J40" s="133">
        <v>0.06</v>
      </c>
      <c r="K40" s="133">
        <v>242.68</v>
      </c>
      <c r="L40" s="133">
        <v>22.43</v>
      </c>
      <c r="M40" s="133">
        <v>74.77</v>
      </c>
      <c r="N40" s="133">
        <v>229.1</v>
      </c>
      <c r="O40" s="133">
        <v>0</v>
      </c>
      <c r="P40" s="133">
        <v>1.01</v>
      </c>
      <c r="Q40" s="133">
        <v>5.38</v>
      </c>
    </row>
    <row r="41" spans="1:17" customFormat="1">
      <c r="A41" s="111" t="s">
        <v>2766</v>
      </c>
      <c r="B41" s="133">
        <v>24.24</v>
      </c>
      <c r="C41" s="133">
        <v>24.32</v>
      </c>
      <c r="D41" s="133">
        <v>33.5</v>
      </c>
      <c r="E41" s="133">
        <v>6.14</v>
      </c>
      <c r="F41" s="133">
        <v>2.99</v>
      </c>
      <c r="G41" s="133">
        <v>97.49</v>
      </c>
      <c r="H41" s="133">
        <v>41.86</v>
      </c>
      <c r="I41" s="133">
        <v>10.19</v>
      </c>
      <c r="J41" s="133">
        <v>0.17</v>
      </c>
      <c r="K41" s="133">
        <v>267.45</v>
      </c>
      <c r="L41" s="133">
        <v>23.69</v>
      </c>
      <c r="M41" s="133">
        <v>69.64</v>
      </c>
      <c r="N41" s="133">
        <v>269.7</v>
      </c>
      <c r="O41" s="133">
        <v>0</v>
      </c>
      <c r="P41" s="133">
        <v>1</v>
      </c>
      <c r="Q41" s="133">
        <v>5.38</v>
      </c>
    </row>
    <row r="42" spans="1:17" customFormat="1">
      <c r="A42" s="111" t="s">
        <v>2767</v>
      </c>
      <c r="B42" s="133">
        <v>23.36</v>
      </c>
      <c r="C42" s="133">
        <v>23.35</v>
      </c>
      <c r="D42" s="133">
        <v>32.28</v>
      </c>
      <c r="E42" s="133">
        <v>5.59</v>
      </c>
      <c r="F42" s="133">
        <v>2.72</v>
      </c>
      <c r="G42" s="133">
        <v>97.49</v>
      </c>
      <c r="H42" s="133">
        <v>41.86</v>
      </c>
      <c r="I42" s="133">
        <v>10.3</v>
      </c>
      <c r="J42" s="133">
        <v>0.18</v>
      </c>
      <c r="K42" s="133">
        <v>245.61</v>
      </c>
      <c r="L42" s="133">
        <v>24.57</v>
      </c>
      <c r="M42" s="133">
        <v>63.53</v>
      </c>
      <c r="N42" s="133">
        <v>316.5</v>
      </c>
      <c r="O42" s="133">
        <v>0</v>
      </c>
      <c r="P42" s="133">
        <v>0.99</v>
      </c>
      <c r="Q42" s="133">
        <v>5.33</v>
      </c>
    </row>
    <row r="43" spans="1:17" customFormat="1">
      <c r="A43" s="111" t="s">
        <v>2768</v>
      </c>
      <c r="B43" s="133">
        <v>22.25</v>
      </c>
      <c r="C43" s="133">
        <v>24.45</v>
      </c>
      <c r="D43" s="133">
        <v>31.97</v>
      </c>
      <c r="E43" s="133">
        <v>5.79</v>
      </c>
      <c r="F43" s="133">
        <v>2.76</v>
      </c>
      <c r="G43" s="133">
        <v>97.36</v>
      </c>
      <c r="H43" s="133">
        <v>41.8</v>
      </c>
      <c r="I43" s="133">
        <v>10.37</v>
      </c>
      <c r="J43" s="133">
        <v>0.23</v>
      </c>
      <c r="K43" s="133">
        <v>256.32</v>
      </c>
      <c r="L43" s="133">
        <v>25.39</v>
      </c>
      <c r="M43" s="133">
        <v>60.09</v>
      </c>
      <c r="N43" s="133">
        <v>359.1</v>
      </c>
      <c r="O43" s="133">
        <v>0</v>
      </c>
      <c r="P43" s="133">
        <v>1</v>
      </c>
      <c r="Q43" s="133">
        <v>5.23</v>
      </c>
    </row>
    <row r="44" spans="1:17" customFormat="1">
      <c r="A44" s="111" t="s">
        <v>2769</v>
      </c>
      <c r="B44" s="133">
        <v>21.02</v>
      </c>
      <c r="C44" s="133">
        <v>23.95</v>
      </c>
      <c r="D44" s="133">
        <v>30.72</v>
      </c>
      <c r="E44" s="133">
        <v>5.67</v>
      </c>
      <c r="F44" s="133">
        <v>3.06</v>
      </c>
      <c r="G44" s="133">
        <v>94.65</v>
      </c>
      <c r="H44" s="133">
        <v>40.75</v>
      </c>
      <c r="I44" s="133">
        <v>10.37</v>
      </c>
      <c r="J44" s="133">
        <v>0.1</v>
      </c>
      <c r="K44" s="133">
        <v>247.21</v>
      </c>
      <c r="L44" s="133">
        <v>26.29</v>
      </c>
      <c r="M44" s="133">
        <v>57.41</v>
      </c>
      <c r="N44" s="133">
        <v>396.2</v>
      </c>
      <c r="O44" s="133">
        <v>0</v>
      </c>
      <c r="P44" s="133">
        <v>0.97</v>
      </c>
      <c r="Q44" s="133">
        <v>5.2</v>
      </c>
    </row>
    <row r="45" spans="1:17" customFormat="1">
      <c r="A45" s="111" t="s">
        <v>2770</v>
      </c>
      <c r="B45" s="133">
        <v>19.79</v>
      </c>
      <c r="C45" s="133">
        <v>23.28</v>
      </c>
      <c r="D45" s="133">
        <v>29.38</v>
      </c>
      <c r="E45" s="133">
        <v>5.64</v>
      </c>
      <c r="F45" s="133">
        <v>3</v>
      </c>
      <c r="G45" s="133">
        <v>94.65</v>
      </c>
      <c r="H45" s="133">
        <v>40.75</v>
      </c>
      <c r="I45" s="133">
        <v>10.27</v>
      </c>
      <c r="J45" s="133">
        <v>0.31</v>
      </c>
      <c r="K45" s="133">
        <v>262.17</v>
      </c>
      <c r="L45" s="133">
        <v>26.65</v>
      </c>
      <c r="M45" s="133">
        <v>55.24</v>
      </c>
      <c r="N45" s="133">
        <v>418.6</v>
      </c>
      <c r="O45" s="133">
        <v>0</v>
      </c>
      <c r="P45" s="133">
        <v>0.95</v>
      </c>
      <c r="Q45" s="133">
        <v>5.13</v>
      </c>
    </row>
    <row r="46" spans="1:17" customFormat="1">
      <c r="A46" s="111" t="s">
        <v>2771</v>
      </c>
      <c r="B46" s="133">
        <v>18.22</v>
      </c>
      <c r="C46" s="133">
        <v>23.24</v>
      </c>
      <c r="D46" s="133">
        <v>28.1</v>
      </c>
      <c r="E46" s="133">
        <v>5.35</v>
      </c>
      <c r="F46" s="133">
        <v>3.03</v>
      </c>
      <c r="G46" s="133">
        <v>94.65</v>
      </c>
      <c r="H46" s="133">
        <v>40.75</v>
      </c>
      <c r="I46" s="133">
        <v>10.130000000000001</v>
      </c>
      <c r="J46" s="133">
        <v>0.17</v>
      </c>
      <c r="K46" s="133">
        <v>245.89</v>
      </c>
      <c r="L46" s="133">
        <v>27.17</v>
      </c>
      <c r="M46" s="133">
        <v>54.03</v>
      </c>
      <c r="N46" s="133">
        <v>301.2</v>
      </c>
      <c r="O46" s="133">
        <v>0</v>
      </c>
      <c r="P46" s="133">
        <v>0.92</v>
      </c>
      <c r="Q46" s="133">
        <v>5.05</v>
      </c>
    </row>
    <row r="47" spans="1:17" customFormat="1">
      <c r="A47" s="111" t="s">
        <v>2772</v>
      </c>
      <c r="B47" s="133">
        <v>16.649999999999999</v>
      </c>
      <c r="C47" s="133">
        <v>23.29</v>
      </c>
      <c r="D47" s="133">
        <v>26.87</v>
      </c>
      <c r="E47" s="133">
        <v>5.47</v>
      </c>
      <c r="F47" s="133">
        <v>3.14</v>
      </c>
      <c r="G47" s="133">
        <v>93.88</v>
      </c>
      <c r="H47" s="133">
        <v>40.619999999999997</v>
      </c>
      <c r="I47" s="133">
        <v>9.94</v>
      </c>
      <c r="J47" s="133">
        <v>0.23</v>
      </c>
      <c r="K47" s="133">
        <v>177.96</v>
      </c>
      <c r="L47" s="133">
        <v>27.96</v>
      </c>
      <c r="M47" s="133">
        <v>51.39</v>
      </c>
      <c r="N47" s="133">
        <v>372.2</v>
      </c>
      <c r="O47" s="133">
        <v>0</v>
      </c>
      <c r="P47" s="133">
        <v>0.91</v>
      </c>
      <c r="Q47" s="133">
        <v>4.99</v>
      </c>
    </row>
    <row r="48" spans="1:17" customFormat="1">
      <c r="A48" s="111" t="s">
        <v>2773</v>
      </c>
      <c r="B48" s="133">
        <v>15.34</v>
      </c>
      <c r="C48" s="133">
        <v>24.7</v>
      </c>
      <c r="D48" s="133">
        <v>26.56</v>
      </c>
      <c r="E48" s="133">
        <v>5.44</v>
      </c>
      <c r="F48" s="133">
        <v>2.92</v>
      </c>
      <c r="G48" s="133">
        <v>77.53</v>
      </c>
      <c r="H48" s="133">
        <v>38.58</v>
      </c>
      <c r="I48" s="133">
        <v>9.74</v>
      </c>
      <c r="J48" s="133">
        <v>7.0000000000000007E-2</v>
      </c>
      <c r="K48" s="133">
        <v>314.83</v>
      </c>
      <c r="L48" s="133">
        <v>28.36</v>
      </c>
      <c r="M48" s="133">
        <v>48.01</v>
      </c>
      <c r="N48" s="133">
        <v>519.4</v>
      </c>
      <c r="O48" s="133">
        <v>0</v>
      </c>
      <c r="P48" s="133">
        <v>0.91</v>
      </c>
      <c r="Q48" s="133">
        <v>4.88</v>
      </c>
    </row>
    <row r="49" spans="1:17" customFormat="1">
      <c r="A49" s="111" t="s">
        <v>2774</v>
      </c>
      <c r="B49" s="133">
        <v>14.23</v>
      </c>
      <c r="C49" s="133">
        <v>24.58</v>
      </c>
      <c r="D49" s="133">
        <v>25.6</v>
      </c>
      <c r="E49" s="133">
        <v>5.5</v>
      </c>
      <c r="F49" s="133">
        <v>3.01</v>
      </c>
      <c r="G49" s="133">
        <v>77.53</v>
      </c>
      <c r="H49" s="133">
        <v>38.58</v>
      </c>
      <c r="I49" s="133">
        <v>9.52</v>
      </c>
      <c r="J49" s="133">
        <v>0.31</v>
      </c>
      <c r="K49" s="133">
        <v>43.32</v>
      </c>
      <c r="L49" s="133">
        <v>28.98</v>
      </c>
      <c r="M49" s="133">
        <v>42.12</v>
      </c>
      <c r="N49" s="133">
        <v>541.6</v>
      </c>
      <c r="O49" s="133">
        <v>0</v>
      </c>
      <c r="P49" s="133">
        <v>0.9</v>
      </c>
      <c r="Q49" s="133">
        <v>4.83</v>
      </c>
    </row>
    <row r="50" spans="1:17" customFormat="1">
      <c r="A50" s="111" t="s">
        <v>2775</v>
      </c>
      <c r="B50" s="133">
        <v>13.26</v>
      </c>
      <c r="C50" s="133">
        <v>24</v>
      </c>
      <c r="D50" s="133">
        <v>24.52</v>
      </c>
      <c r="E50" s="133">
        <v>6.65</v>
      </c>
      <c r="F50" s="133">
        <v>2.96</v>
      </c>
      <c r="G50" s="133">
        <v>77.53</v>
      </c>
      <c r="H50" s="133">
        <v>38.58</v>
      </c>
      <c r="I50" s="133">
        <v>9.3800000000000008</v>
      </c>
      <c r="J50" s="133">
        <v>0.23</v>
      </c>
      <c r="K50" s="133">
        <v>103.41</v>
      </c>
      <c r="L50" s="133">
        <v>29.69</v>
      </c>
      <c r="M50" s="133">
        <v>37.090000000000003</v>
      </c>
      <c r="N50" s="133">
        <v>568.9</v>
      </c>
      <c r="O50" s="133">
        <v>0</v>
      </c>
      <c r="P50" s="133">
        <v>0.89</v>
      </c>
      <c r="Q50" s="133">
        <v>4.79</v>
      </c>
    </row>
    <row r="51" spans="1:17" customFormat="1">
      <c r="A51" s="111" t="s">
        <v>2776</v>
      </c>
      <c r="B51" s="133">
        <v>12.3</v>
      </c>
      <c r="C51" s="133">
        <v>23.57</v>
      </c>
      <c r="D51" s="133">
        <v>23.53</v>
      </c>
      <c r="E51" s="133">
        <v>6.44</v>
      </c>
      <c r="F51" s="133">
        <v>2.94</v>
      </c>
      <c r="G51" s="133">
        <v>76.97</v>
      </c>
      <c r="H51" s="133">
        <v>37.9</v>
      </c>
      <c r="I51" s="133">
        <v>9.18</v>
      </c>
      <c r="J51" s="133">
        <v>0.32</v>
      </c>
      <c r="K51" s="133">
        <v>174</v>
      </c>
      <c r="L51" s="133">
        <v>29.96</v>
      </c>
      <c r="M51" s="133">
        <v>35.11</v>
      </c>
      <c r="N51" s="133">
        <v>575.20000000000005</v>
      </c>
      <c r="O51" s="133">
        <v>0</v>
      </c>
      <c r="P51" s="133">
        <v>0.87</v>
      </c>
      <c r="Q51" s="133">
        <v>4.74</v>
      </c>
    </row>
    <row r="52" spans="1:17" customFormat="1">
      <c r="A52" s="111" t="s">
        <v>2777</v>
      </c>
      <c r="B52" s="133">
        <v>11.25</v>
      </c>
      <c r="C52" s="133">
        <v>23.25</v>
      </c>
      <c r="D52" s="133">
        <v>22.52</v>
      </c>
      <c r="E52" s="133">
        <v>6.08</v>
      </c>
      <c r="F52" s="133">
        <v>3.22</v>
      </c>
      <c r="G52" s="133">
        <v>64.97</v>
      </c>
      <c r="H52" s="133">
        <v>27.26</v>
      </c>
      <c r="I52" s="133">
        <v>9</v>
      </c>
      <c r="J52" s="133">
        <v>0.12</v>
      </c>
      <c r="K52" s="133">
        <v>80.62</v>
      </c>
      <c r="L52" s="133">
        <v>30.5</v>
      </c>
      <c r="M52" s="133">
        <v>33.729999999999997</v>
      </c>
      <c r="N52" s="133">
        <v>547.1</v>
      </c>
      <c r="O52" s="133">
        <v>0</v>
      </c>
      <c r="P52" s="133">
        <v>0.85</v>
      </c>
      <c r="Q52" s="133">
        <v>4.66</v>
      </c>
    </row>
    <row r="53" spans="1:17" customFormat="1">
      <c r="A53" s="111" t="s">
        <v>2778</v>
      </c>
      <c r="B53" s="133">
        <v>10.37</v>
      </c>
      <c r="C53" s="133">
        <v>22.97</v>
      </c>
      <c r="D53" s="133">
        <v>21.66</v>
      </c>
      <c r="E53" s="133">
        <v>6.5</v>
      </c>
      <c r="F53" s="133">
        <v>6.28</v>
      </c>
      <c r="G53" s="133">
        <v>64.97</v>
      </c>
      <c r="H53" s="133">
        <v>27.26</v>
      </c>
      <c r="I53" s="133">
        <v>8.82</v>
      </c>
      <c r="J53" s="133">
        <v>0.52</v>
      </c>
      <c r="K53" s="133">
        <v>11.58</v>
      </c>
      <c r="L53" s="133">
        <v>30.21</v>
      </c>
      <c r="M53" s="133">
        <v>32.729999999999997</v>
      </c>
      <c r="N53" s="133">
        <v>609.9</v>
      </c>
      <c r="O53" s="133">
        <v>0</v>
      </c>
      <c r="P53" s="133">
        <v>0.83</v>
      </c>
      <c r="Q53" s="133">
        <v>4.6100000000000003</v>
      </c>
    </row>
    <row r="54" spans="1:17" customFormat="1">
      <c r="A54" s="111" t="s">
        <v>2779</v>
      </c>
      <c r="B54" s="133">
        <v>9.75</v>
      </c>
      <c r="C54" s="133">
        <v>23.39</v>
      </c>
      <c r="D54" s="133">
        <v>21.39</v>
      </c>
      <c r="E54" s="133">
        <v>6.36</v>
      </c>
      <c r="F54" s="133">
        <v>5.12</v>
      </c>
      <c r="G54" s="133">
        <v>64.97</v>
      </c>
      <c r="H54" s="133">
        <v>27.26</v>
      </c>
      <c r="I54" s="133">
        <v>8.59</v>
      </c>
      <c r="J54" s="133">
        <v>0.67</v>
      </c>
      <c r="K54" s="133">
        <v>17.28</v>
      </c>
      <c r="L54" s="133">
        <v>30.4</v>
      </c>
      <c r="M54" s="133">
        <v>30.18</v>
      </c>
      <c r="N54" s="133">
        <v>629.4</v>
      </c>
      <c r="O54" s="133">
        <v>0</v>
      </c>
      <c r="P54" s="133">
        <v>0.81</v>
      </c>
      <c r="Q54" s="133">
        <v>4.58</v>
      </c>
    </row>
    <row r="55" spans="1:17" customFormat="1">
      <c r="A55" s="111" t="s">
        <v>2780</v>
      </c>
      <c r="B55" s="133">
        <v>9.39</v>
      </c>
      <c r="C55" s="133">
        <v>23.37</v>
      </c>
      <c r="D55" s="133">
        <v>21.09</v>
      </c>
      <c r="E55" s="133">
        <v>6.51</v>
      </c>
      <c r="F55" s="133">
        <v>5.81</v>
      </c>
      <c r="G55" s="133">
        <v>64.459999999999994</v>
      </c>
      <c r="H55" s="133">
        <v>27.07</v>
      </c>
      <c r="I55" s="133">
        <v>8.3699999999999992</v>
      </c>
      <c r="J55" s="133">
        <v>0.57999999999999996</v>
      </c>
      <c r="K55" s="133">
        <v>30.12</v>
      </c>
      <c r="L55" s="133">
        <v>30.74</v>
      </c>
      <c r="M55" s="133">
        <v>30.29</v>
      </c>
      <c r="N55" s="133">
        <v>624</v>
      </c>
      <c r="O55" s="133">
        <v>0</v>
      </c>
      <c r="P55" s="133">
        <v>0.8</v>
      </c>
      <c r="Q55" s="133">
        <v>4.54</v>
      </c>
    </row>
    <row r="56" spans="1:17" customFormat="1">
      <c r="A56" s="111" t="s">
        <v>2781</v>
      </c>
      <c r="B56" s="133">
        <v>9.06</v>
      </c>
      <c r="C56" s="133">
        <v>23.15</v>
      </c>
      <c r="D56" s="133">
        <v>20.71</v>
      </c>
      <c r="E56" s="133">
        <v>6.57</v>
      </c>
      <c r="F56" s="133">
        <v>6.25</v>
      </c>
      <c r="G56" s="133">
        <v>53.47</v>
      </c>
      <c r="H56" s="133">
        <v>24.02</v>
      </c>
      <c r="I56" s="133">
        <v>8.2200000000000006</v>
      </c>
      <c r="J56" s="133">
        <v>0.7</v>
      </c>
      <c r="K56" s="133">
        <v>34.71</v>
      </c>
      <c r="L56" s="133">
        <v>30.59</v>
      </c>
      <c r="M56" s="133">
        <v>31.44</v>
      </c>
      <c r="N56" s="133">
        <v>618.6</v>
      </c>
      <c r="O56" s="133">
        <v>0</v>
      </c>
      <c r="P56" s="133">
        <v>0.79</v>
      </c>
      <c r="Q56" s="133">
        <v>4.5199999999999996</v>
      </c>
    </row>
    <row r="57" spans="1:17" customFormat="1">
      <c r="A57" s="111" t="s">
        <v>2782</v>
      </c>
      <c r="B57" s="133">
        <v>8.6199999999999992</v>
      </c>
      <c r="C57" s="133">
        <v>23.1</v>
      </c>
      <c r="D57" s="133">
        <v>20.329999999999998</v>
      </c>
      <c r="E57" s="133">
        <v>6.49</v>
      </c>
      <c r="F57" s="133">
        <v>6.29</v>
      </c>
      <c r="G57" s="133">
        <v>53.47</v>
      </c>
      <c r="H57" s="133">
        <v>24.02</v>
      </c>
      <c r="I57" s="133">
        <v>8</v>
      </c>
      <c r="J57" s="133">
        <v>0.4</v>
      </c>
      <c r="K57" s="133">
        <v>42.67</v>
      </c>
      <c r="L57" s="133">
        <v>30.63</v>
      </c>
      <c r="M57" s="133">
        <v>32.18</v>
      </c>
      <c r="N57" s="133">
        <v>606.9</v>
      </c>
      <c r="O57" s="133">
        <v>0</v>
      </c>
      <c r="P57" s="133">
        <v>0.77</v>
      </c>
      <c r="Q57" s="133">
        <v>4.49</v>
      </c>
    </row>
    <row r="58" spans="1:17" customFormat="1">
      <c r="A58" s="111" t="s">
        <v>2783</v>
      </c>
      <c r="B58" s="133">
        <v>7.84</v>
      </c>
      <c r="C58" s="133">
        <v>23.24</v>
      </c>
      <c r="D58" s="133">
        <v>19.78</v>
      </c>
      <c r="E58" s="133">
        <v>6.18</v>
      </c>
      <c r="F58" s="133">
        <v>5.85</v>
      </c>
      <c r="G58" s="133">
        <v>53.47</v>
      </c>
      <c r="H58" s="133">
        <v>24.02</v>
      </c>
      <c r="I58" s="133">
        <v>7.94</v>
      </c>
      <c r="J58" s="133">
        <v>0.82</v>
      </c>
      <c r="K58" s="133">
        <v>28.54</v>
      </c>
      <c r="L58" s="133">
        <v>30.85</v>
      </c>
      <c r="M58" s="133">
        <v>30.15</v>
      </c>
      <c r="N58" s="133">
        <v>603.4</v>
      </c>
      <c r="O58" s="133">
        <v>0</v>
      </c>
      <c r="P58" s="133">
        <v>0.77</v>
      </c>
      <c r="Q58" s="133">
        <v>4.47</v>
      </c>
    </row>
    <row r="59" spans="1:17" customFormat="1">
      <c r="A59" s="111" t="s">
        <v>2784</v>
      </c>
      <c r="B59" s="133">
        <v>7.21</v>
      </c>
      <c r="C59" s="133">
        <v>23.22</v>
      </c>
      <c r="D59" s="133">
        <v>19.260000000000002</v>
      </c>
      <c r="E59" s="133">
        <v>7.05</v>
      </c>
      <c r="F59" s="133">
        <v>7.07</v>
      </c>
      <c r="G59" s="133">
        <v>53.44</v>
      </c>
      <c r="H59" s="133">
        <v>23.98</v>
      </c>
      <c r="I59" s="133">
        <v>7.91</v>
      </c>
      <c r="J59" s="133">
        <v>0.66</v>
      </c>
      <c r="K59" s="133">
        <v>33.83</v>
      </c>
      <c r="L59" s="133">
        <v>30.77</v>
      </c>
      <c r="M59" s="133">
        <v>30.23</v>
      </c>
      <c r="N59" s="133">
        <v>598.1</v>
      </c>
      <c r="O59" s="133">
        <v>0</v>
      </c>
      <c r="P59" s="133">
        <v>0.76</v>
      </c>
      <c r="Q59" s="133">
        <v>4.46</v>
      </c>
    </row>
    <row r="60" spans="1:17" customFormat="1">
      <c r="A60" s="111" t="s">
        <v>2785</v>
      </c>
      <c r="B60" s="133">
        <v>6.65</v>
      </c>
      <c r="C60" s="133">
        <v>23.28</v>
      </c>
      <c r="D60" s="133">
        <v>18.850000000000001</v>
      </c>
      <c r="E60" s="133">
        <v>7.36</v>
      </c>
      <c r="F60" s="133">
        <v>8.5299999999999994</v>
      </c>
      <c r="G60" s="133">
        <v>52.91</v>
      </c>
      <c r="H60" s="133">
        <v>23.4</v>
      </c>
      <c r="I60" s="133">
        <v>7.78</v>
      </c>
      <c r="J60" s="133">
        <v>0.91</v>
      </c>
      <c r="K60" s="133">
        <v>29.19</v>
      </c>
      <c r="L60" s="133">
        <v>30.61</v>
      </c>
      <c r="M60" s="133">
        <v>31.19</v>
      </c>
      <c r="N60" s="133">
        <v>551.6</v>
      </c>
      <c r="O60" s="133">
        <v>0</v>
      </c>
      <c r="P60" s="133">
        <v>0.74</v>
      </c>
      <c r="Q60" s="133">
        <v>4.42</v>
      </c>
    </row>
    <row r="61" spans="1:17" customFormat="1">
      <c r="A61" s="111" t="s">
        <v>2786</v>
      </c>
      <c r="B61" s="133">
        <v>6.13</v>
      </c>
      <c r="C61" s="133">
        <v>23.59</v>
      </c>
      <c r="D61" s="133">
        <v>18.59</v>
      </c>
      <c r="E61" s="133">
        <v>7.13</v>
      </c>
      <c r="F61" s="133">
        <v>7.2</v>
      </c>
      <c r="G61" s="133">
        <v>52.91</v>
      </c>
      <c r="H61" s="133">
        <v>23.4</v>
      </c>
      <c r="I61" s="133">
        <v>7.47</v>
      </c>
      <c r="J61" s="133">
        <v>0.6</v>
      </c>
      <c r="K61" s="133">
        <v>28.71</v>
      </c>
      <c r="L61" s="133">
        <v>30.54</v>
      </c>
      <c r="M61" s="133">
        <v>32.01</v>
      </c>
      <c r="N61" s="133">
        <v>525.20000000000005</v>
      </c>
      <c r="O61" s="133">
        <v>0</v>
      </c>
      <c r="P61" s="133">
        <v>0.74</v>
      </c>
      <c r="Q61" s="133">
        <v>4.4000000000000004</v>
      </c>
    </row>
    <row r="62" spans="1:17" customFormat="1">
      <c r="A62" s="111" t="s">
        <v>2787</v>
      </c>
      <c r="B62" s="133">
        <v>5.7</v>
      </c>
      <c r="C62" s="133">
        <v>23.94</v>
      </c>
      <c r="D62" s="133">
        <v>18.43</v>
      </c>
      <c r="E62" s="133">
        <v>7.36</v>
      </c>
      <c r="F62" s="133">
        <v>7.63</v>
      </c>
      <c r="G62" s="133">
        <v>52.91</v>
      </c>
      <c r="H62" s="133">
        <v>23.4</v>
      </c>
      <c r="I62" s="133">
        <v>7.31</v>
      </c>
      <c r="J62" s="133">
        <v>0.72</v>
      </c>
      <c r="K62" s="133">
        <v>29.65</v>
      </c>
      <c r="L62" s="133">
        <v>30.8</v>
      </c>
      <c r="M62" s="133">
        <v>31.69</v>
      </c>
      <c r="N62" s="133">
        <v>505.7</v>
      </c>
      <c r="O62" s="133">
        <v>0</v>
      </c>
      <c r="P62" s="133">
        <v>0.71</v>
      </c>
      <c r="Q62" s="133">
        <v>4.37</v>
      </c>
    </row>
    <row r="63" spans="1:17" customFormat="1">
      <c r="A63" s="111" t="s">
        <v>2788</v>
      </c>
      <c r="B63" s="133">
        <v>5.46</v>
      </c>
      <c r="C63" s="133">
        <v>23.96</v>
      </c>
      <c r="D63" s="133">
        <v>18.239999999999998</v>
      </c>
      <c r="E63" s="133">
        <v>7.4</v>
      </c>
      <c r="F63" s="133">
        <v>7.63</v>
      </c>
      <c r="G63" s="133">
        <v>53.19</v>
      </c>
      <c r="H63" s="133">
        <v>23.33</v>
      </c>
      <c r="I63" s="133">
        <v>7.23</v>
      </c>
      <c r="J63" s="133">
        <v>0.84</v>
      </c>
      <c r="K63" s="133">
        <v>35.6</v>
      </c>
      <c r="L63" s="133">
        <v>30.63</v>
      </c>
      <c r="M63" s="133">
        <v>31.12</v>
      </c>
      <c r="N63" s="133">
        <v>488.2</v>
      </c>
      <c r="O63" s="133">
        <v>0</v>
      </c>
      <c r="P63" s="133">
        <v>0.7</v>
      </c>
      <c r="Q63" s="133">
        <v>4.34</v>
      </c>
    </row>
    <row r="64" spans="1:17" customFormat="1">
      <c r="A64" s="111" t="s">
        <v>2789</v>
      </c>
      <c r="B64" s="133">
        <v>5.4</v>
      </c>
      <c r="C64" s="133">
        <v>23.86</v>
      </c>
      <c r="D64" s="133">
        <v>18.149999999999999</v>
      </c>
      <c r="E64" s="133">
        <v>7.29</v>
      </c>
      <c r="F64" s="133">
        <v>6.94</v>
      </c>
      <c r="G64" s="133">
        <v>59.03</v>
      </c>
      <c r="H64" s="133">
        <v>22.25</v>
      </c>
      <c r="I64" s="133">
        <v>6.98</v>
      </c>
      <c r="J64" s="133">
        <v>0.44</v>
      </c>
      <c r="K64" s="133">
        <v>50.36</v>
      </c>
      <c r="L64" s="133">
        <v>30.84</v>
      </c>
      <c r="M64" s="133">
        <v>30.39</v>
      </c>
      <c r="N64" s="133">
        <v>492.6</v>
      </c>
      <c r="O64" s="133">
        <v>0</v>
      </c>
      <c r="P64" s="133">
        <v>0.69</v>
      </c>
      <c r="Q64" s="133">
        <v>4.32</v>
      </c>
    </row>
    <row r="65" spans="1:17" customFormat="1">
      <c r="A65" s="111" t="s">
        <v>2790</v>
      </c>
      <c r="B65" s="133">
        <v>5.44</v>
      </c>
      <c r="C65" s="133">
        <v>23.82</v>
      </c>
      <c r="D65" s="133">
        <v>18.16</v>
      </c>
      <c r="E65" s="133">
        <v>6.91</v>
      </c>
      <c r="F65" s="133">
        <v>6.74</v>
      </c>
      <c r="G65" s="133">
        <v>59.03</v>
      </c>
      <c r="H65" s="133">
        <v>22.25</v>
      </c>
      <c r="I65" s="133">
        <v>6.8</v>
      </c>
      <c r="J65" s="133">
        <v>0.75</v>
      </c>
      <c r="K65" s="133">
        <v>42.01</v>
      </c>
      <c r="L65" s="133">
        <v>30.64</v>
      </c>
      <c r="M65" s="133">
        <v>29.52</v>
      </c>
      <c r="N65" s="133">
        <v>446.7</v>
      </c>
      <c r="O65" s="133">
        <v>0</v>
      </c>
      <c r="P65" s="133">
        <v>0.67</v>
      </c>
      <c r="Q65" s="133">
        <v>4.3099999999999996</v>
      </c>
    </row>
    <row r="66" spans="1:17" customFormat="1">
      <c r="A66" s="111" t="s">
        <v>2791</v>
      </c>
      <c r="B66" s="133">
        <v>5.54</v>
      </c>
      <c r="C66" s="133">
        <v>23.77</v>
      </c>
      <c r="D66" s="133">
        <v>18.21</v>
      </c>
      <c r="E66" s="133">
        <v>7.28</v>
      </c>
      <c r="F66" s="133">
        <v>6.46</v>
      </c>
      <c r="G66" s="133">
        <v>59.03</v>
      </c>
      <c r="H66" s="133">
        <v>22.25</v>
      </c>
      <c r="I66" s="133">
        <v>6.68</v>
      </c>
      <c r="J66" s="133">
        <v>0.63</v>
      </c>
      <c r="K66" s="133">
        <v>45.97</v>
      </c>
      <c r="L66" s="133">
        <v>30.46</v>
      </c>
      <c r="M66" s="133">
        <v>27.14</v>
      </c>
      <c r="N66" s="133">
        <v>185.2</v>
      </c>
      <c r="O66" s="133">
        <v>0</v>
      </c>
      <c r="P66" s="133">
        <v>0.66</v>
      </c>
      <c r="Q66" s="133">
        <v>4.3099999999999996</v>
      </c>
    </row>
    <row r="67" spans="1:17" customFormat="1">
      <c r="A67" s="111" t="s">
        <v>2792</v>
      </c>
      <c r="B67" s="133">
        <v>5.62</v>
      </c>
      <c r="C67" s="133">
        <v>23.62</v>
      </c>
      <c r="D67" s="133">
        <v>18.2</v>
      </c>
      <c r="E67" s="133">
        <v>6.88</v>
      </c>
      <c r="F67" s="133">
        <v>8.18</v>
      </c>
      <c r="G67" s="133">
        <v>58.99</v>
      </c>
      <c r="H67" s="133">
        <v>22.37</v>
      </c>
      <c r="I67" s="133">
        <v>6.52</v>
      </c>
      <c r="J67" s="133">
        <v>0.8</v>
      </c>
      <c r="K67" s="133">
        <v>31.89</v>
      </c>
      <c r="L67" s="133">
        <v>29.82</v>
      </c>
      <c r="M67" s="133">
        <v>28.82</v>
      </c>
      <c r="N67" s="133">
        <v>73.900000000000006</v>
      </c>
      <c r="O67" s="133">
        <v>0</v>
      </c>
      <c r="P67" s="133">
        <v>0.65</v>
      </c>
      <c r="Q67" s="133">
        <v>4.32</v>
      </c>
    </row>
    <row r="68" spans="1:17" customFormat="1">
      <c r="A68" s="111" t="s">
        <v>2793</v>
      </c>
      <c r="B68" s="133">
        <v>5.77</v>
      </c>
      <c r="C68" s="133">
        <v>23.76</v>
      </c>
      <c r="D68" s="133">
        <v>18.39</v>
      </c>
      <c r="E68" s="133">
        <v>6.92</v>
      </c>
      <c r="F68" s="133">
        <v>8.17</v>
      </c>
      <c r="G68" s="133">
        <v>58.13</v>
      </c>
      <c r="H68" s="133">
        <v>24.23</v>
      </c>
      <c r="I68" s="133">
        <v>6.34</v>
      </c>
      <c r="J68" s="133">
        <v>0.66</v>
      </c>
      <c r="K68" s="133">
        <v>36.46</v>
      </c>
      <c r="L68" s="133">
        <v>29.47</v>
      </c>
      <c r="M68" s="133">
        <v>29.46</v>
      </c>
      <c r="N68" s="133">
        <v>63.9</v>
      </c>
      <c r="O68" s="133">
        <v>0</v>
      </c>
      <c r="P68" s="133">
        <v>0.64</v>
      </c>
      <c r="Q68" s="133">
        <v>4.32</v>
      </c>
    </row>
    <row r="69" spans="1:17" customFormat="1">
      <c r="A69" s="111" t="s">
        <v>2794</v>
      </c>
      <c r="B69" s="133">
        <v>5.8</v>
      </c>
      <c r="C69" s="133">
        <v>23.34</v>
      </c>
      <c r="D69" s="133">
        <v>18.2</v>
      </c>
      <c r="E69" s="133">
        <v>7.39</v>
      </c>
      <c r="F69" s="133">
        <v>10.42</v>
      </c>
      <c r="G69" s="133">
        <v>58.13</v>
      </c>
      <c r="H69" s="133">
        <v>24.23</v>
      </c>
      <c r="I69" s="133">
        <v>6.06</v>
      </c>
      <c r="J69" s="133">
        <v>0.82</v>
      </c>
      <c r="K69" s="133">
        <v>27.43</v>
      </c>
      <c r="L69" s="133">
        <v>29.25</v>
      </c>
      <c r="M69" s="133">
        <v>30.45</v>
      </c>
      <c r="N69" s="133">
        <v>58.6</v>
      </c>
      <c r="O69" s="133">
        <v>0</v>
      </c>
      <c r="P69" s="133">
        <v>0.63</v>
      </c>
      <c r="Q69" s="133">
        <v>4.32</v>
      </c>
    </row>
    <row r="70" spans="1:17" customFormat="1">
      <c r="A70" s="111" t="s">
        <v>2795</v>
      </c>
      <c r="B70" s="133">
        <v>5.8</v>
      </c>
      <c r="C70" s="133">
        <v>23.69</v>
      </c>
      <c r="D70" s="133">
        <v>18.38</v>
      </c>
      <c r="E70" s="133">
        <v>7.54</v>
      </c>
      <c r="F70" s="133">
        <v>7.71</v>
      </c>
      <c r="G70" s="133">
        <v>58.13</v>
      </c>
      <c r="H70" s="133">
        <v>24.23</v>
      </c>
      <c r="I70" s="133">
        <v>6.02</v>
      </c>
      <c r="J70" s="133">
        <v>0.8</v>
      </c>
      <c r="K70" s="133">
        <v>27.66</v>
      </c>
      <c r="L70" s="133">
        <v>29.08</v>
      </c>
      <c r="M70" s="133">
        <v>31.91</v>
      </c>
      <c r="N70" s="133">
        <v>53.6</v>
      </c>
      <c r="O70" s="133">
        <v>0</v>
      </c>
      <c r="P70" s="133">
        <v>0.63</v>
      </c>
      <c r="Q70" s="133">
        <v>4.33</v>
      </c>
    </row>
    <row r="71" spans="1:17" customFormat="1">
      <c r="A71" s="111" t="s">
        <v>2796</v>
      </c>
      <c r="B71" s="133">
        <v>6.03</v>
      </c>
      <c r="C71" s="133">
        <v>23.88</v>
      </c>
      <c r="D71" s="133">
        <v>18.66</v>
      </c>
      <c r="E71" s="133">
        <v>7.99</v>
      </c>
      <c r="F71" s="133">
        <v>9.31</v>
      </c>
      <c r="G71" s="133">
        <v>57.94</v>
      </c>
      <c r="H71" s="133">
        <v>23.98</v>
      </c>
      <c r="I71" s="133">
        <v>5.83</v>
      </c>
      <c r="J71" s="133">
        <v>0.75</v>
      </c>
      <c r="K71" s="133">
        <v>28.83</v>
      </c>
      <c r="L71" s="133">
        <v>28.88</v>
      </c>
      <c r="M71" s="133">
        <v>31.83</v>
      </c>
      <c r="N71" s="133">
        <v>72.8</v>
      </c>
      <c r="O71" s="133">
        <v>0</v>
      </c>
      <c r="P71" s="133">
        <v>0.62</v>
      </c>
      <c r="Q71" s="133">
        <v>4.34</v>
      </c>
    </row>
    <row r="72" spans="1:17" customFormat="1">
      <c r="A72" s="111" t="s">
        <v>2797</v>
      </c>
      <c r="B72" s="133">
        <v>5.94</v>
      </c>
      <c r="C72" s="133">
        <v>23.92</v>
      </c>
      <c r="D72" s="133">
        <v>18.61</v>
      </c>
      <c r="E72" s="133">
        <v>7.59</v>
      </c>
      <c r="F72" s="133">
        <v>8.58</v>
      </c>
      <c r="G72" s="133">
        <v>53.86</v>
      </c>
      <c r="H72" s="133">
        <v>20.03</v>
      </c>
      <c r="I72" s="133">
        <v>5.75</v>
      </c>
      <c r="J72" s="133">
        <v>0.69</v>
      </c>
      <c r="K72" s="133">
        <v>22.56</v>
      </c>
      <c r="L72" s="133">
        <v>28.63</v>
      </c>
      <c r="M72" s="133">
        <v>32.32</v>
      </c>
      <c r="N72" s="133">
        <v>38.4</v>
      </c>
      <c r="O72" s="133">
        <v>0</v>
      </c>
      <c r="P72" s="133">
        <v>0.61</v>
      </c>
      <c r="Q72" s="133">
        <v>4.3499999999999996</v>
      </c>
    </row>
    <row r="73" spans="1:17" customFormat="1">
      <c r="A73" s="111" t="s">
        <v>2798</v>
      </c>
      <c r="B73" s="133">
        <v>5.96</v>
      </c>
      <c r="C73" s="133">
        <v>23.95</v>
      </c>
      <c r="D73" s="133">
        <v>18.649999999999999</v>
      </c>
      <c r="E73" s="133">
        <v>7.82</v>
      </c>
      <c r="F73" s="133">
        <v>8.17</v>
      </c>
      <c r="G73" s="133">
        <v>53.86</v>
      </c>
      <c r="H73" s="133">
        <v>20.03</v>
      </c>
      <c r="I73" s="133">
        <v>5.6</v>
      </c>
      <c r="J73" s="133">
        <v>0.56999999999999995</v>
      </c>
      <c r="K73" s="133">
        <v>28.99</v>
      </c>
      <c r="L73" s="133">
        <v>28.37</v>
      </c>
      <c r="M73" s="133">
        <v>33.869999999999997</v>
      </c>
      <c r="N73" s="133">
        <v>34.4</v>
      </c>
      <c r="O73" s="133">
        <v>0</v>
      </c>
      <c r="P73" s="133">
        <v>0.62</v>
      </c>
      <c r="Q73" s="133">
        <v>4.33</v>
      </c>
    </row>
    <row r="74" spans="1:17" customFormat="1">
      <c r="A74" s="111" t="s">
        <v>2799</v>
      </c>
      <c r="B74" s="133">
        <v>6.07</v>
      </c>
      <c r="C74" s="133">
        <v>24.24</v>
      </c>
      <c r="D74" s="133">
        <v>18.88</v>
      </c>
      <c r="E74" s="133">
        <v>7.22</v>
      </c>
      <c r="F74" s="133">
        <v>7.05</v>
      </c>
      <c r="G74" s="133">
        <v>53.86</v>
      </c>
      <c r="H74" s="133">
        <v>20.03</v>
      </c>
      <c r="I74" s="133">
        <v>5.54</v>
      </c>
      <c r="J74" s="133">
        <v>0.47</v>
      </c>
      <c r="K74" s="133">
        <v>25.19</v>
      </c>
      <c r="L74" s="133">
        <v>28.08</v>
      </c>
      <c r="M74" s="133">
        <v>34.5</v>
      </c>
      <c r="N74" s="133">
        <v>27.8</v>
      </c>
      <c r="O74" s="133">
        <v>0</v>
      </c>
      <c r="P74" s="133">
        <v>0.62</v>
      </c>
      <c r="Q74" s="133">
        <v>4.32</v>
      </c>
    </row>
    <row r="75" spans="1:17" customFormat="1">
      <c r="A75" s="111" t="s">
        <v>2800</v>
      </c>
      <c r="B75" s="133">
        <v>6.23</v>
      </c>
      <c r="C75" s="133">
        <v>24.92</v>
      </c>
      <c r="D75" s="133">
        <v>19.37</v>
      </c>
      <c r="E75" s="133">
        <v>6.42</v>
      </c>
      <c r="F75" s="133">
        <v>6.43</v>
      </c>
      <c r="G75" s="133">
        <v>54.16</v>
      </c>
      <c r="H75" s="133">
        <v>20.05</v>
      </c>
      <c r="I75" s="133">
        <v>5.46</v>
      </c>
      <c r="J75" s="133">
        <v>0.38</v>
      </c>
      <c r="K75" s="133">
        <v>34.840000000000003</v>
      </c>
      <c r="L75" s="133">
        <v>27.67</v>
      </c>
      <c r="M75" s="133">
        <v>37.08</v>
      </c>
      <c r="N75" s="133">
        <v>12.5</v>
      </c>
      <c r="O75" s="133">
        <v>0</v>
      </c>
      <c r="P75" s="133">
        <v>0.62</v>
      </c>
      <c r="Q75" s="133">
        <v>4.32</v>
      </c>
    </row>
    <row r="76" spans="1:17" customFormat="1">
      <c r="A76" s="111" t="s">
        <v>2801</v>
      </c>
      <c r="B76" s="133">
        <v>6.87</v>
      </c>
      <c r="C76" s="133">
        <v>26.32</v>
      </c>
      <c r="D76" s="133">
        <v>20.61</v>
      </c>
      <c r="E76" s="133">
        <v>6.22</v>
      </c>
      <c r="F76" s="133">
        <v>4.93</v>
      </c>
      <c r="G76" s="133">
        <v>60.77</v>
      </c>
      <c r="H76" s="133">
        <v>20.350000000000001</v>
      </c>
      <c r="I76" s="133">
        <v>5.33</v>
      </c>
      <c r="J76" s="133">
        <v>0.16</v>
      </c>
      <c r="K76" s="133">
        <v>50.79</v>
      </c>
      <c r="L76" s="133">
        <v>27.22</v>
      </c>
      <c r="M76" s="133">
        <v>40.25</v>
      </c>
      <c r="N76" s="133">
        <v>4.7</v>
      </c>
      <c r="O76" s="133">
        <v>0</v>
      </c>
      <c r="P76" s="133">
        <v>0.63</v>
      </c>
      <c r="Q76" s="133">
        <v>4.3600000000000003</v>
      </c>
    </row>
    <row r="77" spans="1:17" customFormat="1">
      <c r="A77" s="111" t="s">
        <v>2802</v>
      </c>
      <c r="B77" s="133">
        <v>7.02</v>
      </c>
      <c r="C77" s="133">
        <v>26.28</v>
      </c>
      <c r="D77" s="133">
        <v>20.71</v>
      </c>
      <c r="E77" s="133">
        <v>5.64</v>
      </c>
      <c r="F77" s="133">
        <v>3.51</v>
      </c>
      <c r="G77" s="133">
        <v>60.77</v>
      </c>
      <c r="H77" s="133">
        <v>20.350000000000001</v>
      </c>
      <c r="I77" s="133">
        <v>5.28</v>
      </c>
      <c r="J77" s="133">
        <v>0.12</v>
      </c>
      <c r="K77" s="133">
        <v>144.96</v>
      </c>
      <c r="L77" s="133">
        <v>26.45</v>
      </c>
      <c r="M77" s="133">
        <v>46.18</v>
      </c>
      <c r="N77" s="133">
        <v>0.1</v>
      </c>
      <c r="O77" s="133">
        <v>0</v>
      </c>
      <c r="P77" s="133">
        <v>0.63</v>
      </c>
      <c r="Q77" s="133">
        <v>4.4000000000000004</v>
      </c>
    </row>
    <row r="78" spans="1:17" customFormat="1">
      <c r="A78" s="111" t="s">
        <v>2803</v>
      </c>
      <c r="B78" s="133">
        <v>7.17</v>
      </c>
      <c r="C78" s="133">
        <v>26.22</v>
      </c>
      <c r="D78" s="133">
        <v>20.8</v>
      </c>
      <c r="E78" s="133">
        <v>5.96</v>
      </c>
      <c r="F78" s="133">
        <v>3.08</v>
      </c>
      <c r="G78" s="133">
        <v>60.77</v>
      </c>
      <c r="H78" s="133">
        <v>20.350000000000001</v>
      </c>
      <c r="I78" s="133">
        <v>5.31</v>
      </c>
      <c r="J78" s="133">
        <v>0.13</v>
      </c>
      <c r="K78" s="133">
        <v>168.59</v>
      </c>
      <c r="L78" s="133">
        <v>25.54</v>
      </c>
      <c r="M78" s="133">
        <v>49.06</v>
      </c>
      <c r="N78" s="133">
        <v>0</v>
      </c>
      <c r="O78" s="133">
        <v>0</v>
      </c>
      <c r="P78" s="133">
        <v>0.64</v>
      </c>
      <c r="Q78" s="133">
        <v>4.42</v>
      </c>
    </row>
    <row r="79" spans="1:17" customFormat="1">
      <c r="A79" s="111" t="s">
        <v>2804</v>
      </c>
      <c r="B79" s="133">
        <v>7.55</v>
      </c>
      <c r="C79" s="133">
        <v>26.55</v>
      </c>
      <c r="D79" s="133">
        <v>21.27</v>
      </c>
      <c r="E79" s="133">
        <v>6.13</v>
      </c>
      <c r="F79" s="133">
        <v>2.83</v>
      </c>
      <c r="G79" s="133">
        <v>62.01</v>
      </c>
      <c r="H79" s="133">
        <v>20.65</v>
      </c>
      <c r="I79" s="133">
        <v>5.3</v>
      </c>
      <c r="J79" s="133">
        <v>0.28999999999999998</v>
      </c>
      <c r="K79" s="133">
        <v>169.76</v>
      </c>
      <c r="L79" s="133">
        <v>24.81</v>
      </c>
      <c r="M79" s="133">
        <v>53.49</v>
      </c>
      <c r="N79" s="133">
        <v>0</v>
      </c>
      <c r="O79" s="133">
        <v>0</v>
      </c>
      <c r="P79" s="133">
        <v>0.64</v>
      </c>
      <c r="Q79" s="133">
        <v>4.4000000000000004</v>
      </c>
    </row>
    <row r="80" spans="1:17" customFormat="1">
      <c r="A80" s="111" t="s">
        <v>2805</v>
      </c>
      <c r="B80" s="133">
        <v>8.06</v>
      </c>
      <c r="C80" s="133">
        <v>25.32</v>
      </c>
      <c r="D80" s="133">
        <v>21.05</v>
      </c>
      <c r="E80" s="133">
        <v>5.59</v>
      </c>
      <c r="F80" s="133">
        <v>2.84</v>
      </c>
      <c r="G80" s="133">
        <v>83.2</v>
      </c>
      <c r="H80" s="133">
        <v>25.21</v>
      </c>
      <c r="I80" s="133">
        <v>5.31</v>
      </c>
      <c r="J80" s="133">
        <v>0.3</v>
      </c>
      <c r="K80" s="133">
        <v>167.47</v>
      </c>
      <c r="L80" s="133">
        <v>24.27</v>
      </c>
      <c r="M80" s="133">
        <v>58.01</v>
      </c>
      <c r="N80" s="133">
        <v>0</v>
      </c>
      <c r="O80" s="133">
        <v>0</v>
      </c>
      <c r="P80" s="133">
        <v>0.64</v>
      </c>
      <c r="Q80" s="133">
        <v>4.45</v>
      </c>
    </row>
    <row r="81" spans="1:17" customFormat="1">
      <c r="A81" s="111" t="s">
        <v>2806</v>
      </c>
      <c r="B81" s="133">
        <v>8.4700000000000006</v>
      </c>
      <c r="C81" s="133">
        <v>24.41</v>
      </c>
      <c r="D81" s="133">
        <v>20.9</v>
      </c>
      <c r="E81" s="133">
        <v>3.64</v>
      </c>
      <c r="F81" s="133">
        <v>2.95</v>
      </c>
      <c r="G81" s="133">
        <v>83.2</v>
      </c>
      <c r="H81" s="133">
        <v>25.21</v>
      </c>
      <c r="I81" s="133">
        <v>5.4</v>
      </c>
      <c r="J81" s="133">
        <v>0.19</v>
      </c>
      <c r="K81" s="133">
        <v>178.16</v>
      </c>
      <c r="L81" s="133">
        <v>23.8</v>
      </c>
      <c r="M81" s="133">
        <v>58.39</v>
      </c>
      <c r="N81" s="133">
        <v>0</v>
      </c>
      <c r="O81" s="133">
        <v>0</v>
      </c>
      <c r="P81" s="133">
        <v>0.63</v>
      </c>
      <c r="Q81" s="133">
        <v>4.49</v>
      </c>
    </row>
    <row r="82" spans="1:17" customFormat="1">
      <c r="A82" s="111" t="s">
        <v>2807</v>
      </c>
      <c r="B82" s="133">
        <v>8.84</v>
      </c>
      <c r="C82" s="133">
        <v>23.31</v>
      </c>
      <c r="D82" s="133">
        <v>20.62</v>
      </c>
      <c r="E82" s="133">
        <v>3.67</v>
      </c>
      <c r="F82" s="133">
        <v>2.85</v>
      </c>
      <c r="G82" s="133">
        <v>83.2</v>
      </c>
      <c r="H82" s="133">
        <v>25.21</v>
      </c>
      <c r="I82" s="133">
        <v>5.5</v>
      </c>
      <c r="J82" s="133">
        <v>0.09</v>
      </c>
      <c r="K82" s="133">
        <v>162.24</v>
      </c>
      <c r="L82" s="133">
        <v>23.44</v>
      </c>
      <c r="M82" s="133">
        <v>59.5</v>
      </c>
      <c r="N82" s="133">
        <v>0</v>
      </c>
      <c r="O82" s="133">
        <v>0</v>
      </c>
      <c r="P82" s="133">
        <v>0.63</v>
      </c>
      <c r="Q82" s="133">
        <v>4.49</v>
      </c>
    </row>
    <row r="83" spans="1:17" customFormat="1">
      <c r="A83" s="111" t="s">
        <v>2808</v>
      </c>
      <c r="B83" s="133">
        <v>9.75</v>
      </c>
      <c r="C83" s="133">
        <v>24.39</v>
      </c>
      <c r="D83" s="133">
        <v>21.91</v>
      </c>
      <c r="E83" s="133">
        <v>3.77</v>
      </c>
      <c r="F83" s="133">
        <v>2.5299999999999998</v>
      </c>
      <c r="G83" s="133">
        <v>84.57</v>
      </c>
      <c r="H83" s="133">
        <v>25.42</v>
      </c>
      <c r="I83" s="133">
        <v>5.62</v>
      </c>
      <c r="J83" s="133">
        <v>0.21</v>
      </c>
      <c r="K83" s="133">
        <v>179.47</v>
      </c>
      <c r="L83" s="133">
        <v>23.21</v>
      </c>
      <c r="M83" s="133">
        <v>66.36</v>
      </c>
      <c r="N83" s="133">
        <v>0</v>
      </c>
      <c r="O83" s="133">
        <v>0</v>
      </c>
      <c r="P83" s="133">
        <v>0.67</v>
      </c>
      <c r="Q83" s="133">
        <v>4.53</v>
      </c>
    </row>
    <row r="84" spans="1:17" customFormat="1">
      <c r="A84" s="111" t="s">
        <v>2809</v>
      </c>
      <c r="B84" s="133">
        <v>10.78</v>
      </c>
      <c r="C84" s="133">
        <v>25.57</v>
      </c>
      <c r="D84" s="133">
        <v>23.35</v>
      </c>
      <c r="E84" s="133">
        <v>4.37</v>
      </c>
      <c r="F84" s="133">
        <v>2.4500000000000002</v>
      </c>
      <c r="G84" s="133">
        <v>107.93</v>
      </c>
      <c r="H84" s="133">
        <v>28.64</v>
      </c>
      <c r="I84" s="133">
        <v>5.72</v>
      </c>
      <c r="J84" s="133">
        <v>0.18</v>
      </c>
      <c r="K84" s="133">
        <v>173.98</v>
      </c>
      <c r="L84" s="133">
        <v>22.57</v>
      </c>
      <c r="M84" s="133">
        <v>76.12</v>
      </c>
      <c r="N84" s="133">
        <v>0</v>
      </c>
      <c r="O84" s="133">
        <v>0</v>
      </c>
      <c r="P84" s="133">
        <v>0.7</v>
      </c>
      <c r="Q84" s="133">
        <v>4.58</v>
      </c>
    </row>
    <row r="85" spans="1:17" customFormat="1">
      <c r="A85" s="111" t="s">
        <v>2810</v>
      </c>
      <c r="B85" s="133">
        <v>11.17</v>
      </c>
      <c r="C85" s="133">
        <v>24.57</v>
      </c>
      <c r="D85" s="133">
        <v>23.14</v>
      </c>
      <c r="E85" s="133">
        <v>3.87</v>
      </c>
      <c r="F85" s="133">
        <v>2.58</v>
      </c>
      <c r="G85" s="133">
        <v>107.93</v>
      </c>
      <c r="H85" s="133">
        <v>28.64</v>
      </c>
      <c r="I85" s="133">
        <v>5.93</v>
      </c>
      <c r="J85" s="133">
        <v>0.18</v>
      </c>
      <c r="K85" s="133">
        <v>232.06</v>
      </c>
      <c r="L85" s="133">
        <v>22.19</v>
      </c>
      <c r="M85" s="133">
        <v>73.33</v>
      </c>
      <c r="N85" s="133">
        <v>0</v>
      </c>
      <c r="O85" s="133">
        <v>0</v>
      </c>
      <c r="P85" s="133">
        <v>0.7</v>
      </c>
      <c r="Q85" s="133">
        <v>4.59</v>
      </c>
    </row>
    <row r="86" spans="1:17" customFormat="1">
      <c r="A86" s="111" t="s">
        <v>2811</v>
      </c>
      <c r="B86" s="133">
        <v>11.39</v>
      </c>
      <c r="C86" s="133">
        <v>25.33</v>
      </c>
      <c r="D86" s="133">
        <v>23.72</v>
      </c>
      <c r="E86" s="133">
        <v>4.59</v>
      </c>
      <c r="F86" s="133">
        <v>2.31</v>
      </c>
      <c r="G86" s="133">
        <v>107.93</v>
      </c>
      <c r="H86" s="133">
        <v>28.64</v>
      </c>
      <c r="I86" s="133">
        <v>6.07</v>
      </c>
      <c r="J86" s="133">
        <v>0.18</v>
      </c>
      <c r="K86" s="133">
        <v>223.02</v>
      </c>
      <c r="L86" s="133">
        <v>21.76</v>
      </c>
      <c r="M86" s="133">
        <v>72.02</v>
      </c>
      <c r="N86" s="133">
        <v>0</v>
      </c>
      <c r="O86" s="133">
        <v>0</v>
      </c>
      <c r="P86" s="133">
        <v>0.72</v>
      </c>
      <c r="Q86" s="133">
        <v>4.63</v>
      </c>
    </row>
    <row r="87" spans="1:17" customFormat="1">
      <c r="A87" s="111" t="s">
        <v>2812</v>
      </c>
      <c r="B87" s="133">
        <v>11.65</v>
      </c>
      <c r="C87" s="133">
        <v>24.03</v>
      </c>
      <c r="D87" s="133">
        <v>23.25</v>
      </c>
      <c r="E87" s="133">
        <v>4.33</v>
      </c>
      <c r="F87" s="133">
        <v>2.78</v>
      </c>
      <c r="G87" s="133">
        <v>107.84</v>
      </c>
      <c r="H87" s="133">
        <v>28.79</v>
      </c>
      <c r="I87" s="133">
        <v>6.18</v>
      </c>
      <c r="J87" s="133">
        <v>0.13</v>
      </c>
      <c r="K87" s="133">
        <v>175.9</v>
      </c>
      <c r="L87" s="133">
        <v>21.6</v>
      </c>
      <c r="M87" s="133">
        <v>78.930000000000007</v>
      </c>
      <c r="N87" s="133">
        <v>0</v>
      </c>
      <c r="O87" s="133">
        <v>0</v>
      </c>
      <c r="P87" s="133">
        <v>0.71</v>
      </c>
      <c r="Q87" s="133">
        <v>4.6500000000000004</v>
      </c>
    </row>
    <row r="88" spans="1:17" customFormat="1">
      <c r="A88" s="111" t="s">
        <v>2813</v>
      </c>
      <c r="B88" s="133">
        <v>11.86</v>
      </c>
      <c r="C88" s="133">
        <v>24.26</v>
      </c>
      <c r="D88" s="133">
        <v>23.53</v>
      </c>
      <c r="E88" s="133">
        <v>3.93</v>
      </c>
      <c r="F88" s="133">
        <v>2.5</v>
      </c>
      <c r="G88" s="133">
        <v>105.79</v>
      </c>
      <c r="H88" s="133">
        <v>31.22</v>
      </c>
      <c r="I88" s="133">
        <v>6.35</v>
      </c>
      <c r="J88" s="133">
        <v>0.2</v>
      </c>
      <c r="K88" s="133">
        <v>158.06</v>
      </c>
      <c r="L88" s="133">
        <v>21.51</v>
      </c>
      <c r="M88" s="133">
        <v>75.72</v>
      </c>
      <c r="N88" s="133">
        <v>0</v>
      </c>
      <c r="O88" s="133">
        <v>0</v>
      </c>
      <c r="P88" s="133">
        <v>0.73</v>
      </c>
      <c r="Q88" s="133">
        <v>4.66</v>
      </c>
    </row>
    <row r="89" spans="1:17" customFormat="1">
      <c r="A89" s="111" t="s">
        <v>2814</v>
      </c>
      <c r="B89" s="133">
        <v>12.05</v>
      </c>
      <c r="C89" s="133">
        <v>24.49</v>
      </c>
      <c r="D89" s="133">
        <v>23.81</v>
      </c>
      <c r="E89" s="133">
        <v>4.51</v>
      </c>
      <c r="F89" s="133">
        <v>2.46</v>
      </c>
      <c r="G89" s="133">
        <v>105.79</v>
      </c>
      <c r="H89" s="133">
        <v>31.22</v>
      </c>
      <c r="I89" s="133">
        <v>6.46</v>
      </c>
      <c r="J89" s="133">
        <v>0.16</v>
      </c>
      <c r="K89" s="133">
        <v>164.45</v>
      </c>
      <c r="L89" s="133">
        <v>21.39</v>
      </c>
      <c r="M89" s="133">
        <v>75.510000000000005</v>
      </c>
      <c r="N89" s="133">
        <v>0</v>
      </c>
      <c r="O89" s="133">
        <v>0</v>
      </c>
      <c r="P89" s="133">
        <v>0.74</v>
      </c>
      <c r="Q89" s="133">
        <v>4.6500000000000004</v>
      </c>
    </row>
    <row r="90" spans="1:17" customFormat="1">
      <c r="A90" s="111" t="s">
        <v>2815</v>
      </c>
      <c r="B90" s="133">
        <v>12.14</v>
      </c>
      <c r="C90" s="133">
        <v>22.88</v>
      </c>
      <c r="D90" s="133">
        <v>23.04</v>
      </c>
      <c r="E90" s="133">
        <v>4.4800000000000004</v>
      </c>
      <c r="F90" s="133">
        <v>2.75</v>
      </c>
      <c r="G90" s="133">
        <v>105.79</v>
      </c>
      <c r="H90" s="133">
        <v>31.22</v>
      </c>
      <c r="I90" s="133">
        <v>6.65</v>
      </c>
      <c r="J90" s="133">
        <v>0.15</v>
      </c>
      <c r="K90" s="133">
        <v>216.77</v>
      </c>
      <c r="L90" s="133">
        <v>21.5</v>
      </c>
      <c r="M90" s="133">
        <v>77.069999999999993</v>
      </c>
      <c r="N90" s="133">
        <v>0</v>
      </c>
      <c r="O90" s="133">
        <v>0</v>
      </c>
      <c r="P90" s="133">
        <v>0.72</v>
      </c>
      <c r="Q90" s="133">
        <v>4.67</v>
      </c>
    </row>
    <row r="91" spans="1:17" customFormat="1">
      <c r="A91" s="111" t="s">
        <v>2816</v>
      </c>
      <c r="B91" s="133">
        <v>12.26</v>
      </c>
      <c r="C91" s="133">
        <v>23.65</v>
      </c>
      <c r="D91" s="133">
        <v>23.53</v>
      </c>
      <c r="E91" s="133">
        <v>4.12</v>
      </c>
      <c r="F91" s="133">
        <v>2.48</v>
      </c>
      <c r="G91" s="133">
        <v>105.79</v>
      </c>
      <c r="H91" s="133">
        <v>31.09</v>
      </c>
      <c r="I91" s="133">
        <v>7.08</v>
      </c>
      <c r="J91" s="133">
        <v>0.21</v>
      </c>
      <c r="K91" s="133">
        <v>240.35</v>
      </c>
      <c r="L91" s="133">
        <v>20.93</v>
      </c>
      <c r="M91" s="133">
        <v>77.61</v>
      </c>
      <c r="N91" s="133">
        <v>0</v>
      </c>
      <c r="O91" s="133">
        <v>0</v>
      </c>
      <c r="P91" s="133">
        <v>0.75</v>
      </c>
      <c r="Q91" s="133">
        <v>4.6500000000000004</v>
      </c>
    </row>
    <row r="92" spans="1:17" customFormat="1">
      <c r="A92" s="111" t="s">
        <v>2817</v>
      </c>
      <c r="B92" s="133">
        <v>12.38</v>
      </c>
      <c r="C92" s="133">
        <v>23.54</v>
      </c>
      <c r="D92" s="133">
        <v>23.58</v>
      </c>
      <c r="E92" s="133">
        <v>4.21</v>
      </c>
      <c r="F92" s="133">
        <v>2.75</v>
      </c>
      <c r="G92" s="133">
        <v>105.76</v>
      </c>
      <c r="H92" s="133">
        <v>28.93</v>
      </c>
      <c r="I92" s="133">
        <v>7.49</v>
      </c>
      <c r="J92" s="133">
        <v>0.13</v>
      </c>
      <c r="K92" s="133">
        <v>228.65</v>
      </c>
      <c r="L92" s="133">
        <v>20.59</v>
      </c>
      <c r="M92" s="133">
        <v>77.44</v>
      </c>
      <c r="N92" s="133">
        <v>0</v>
      </c>
      <c r="O92" s="133">
        <v>0</v>
      </c>
      <c r="P92" s="133">
        <v>0.76</v>
      </c>
      <c r="Q92" s="133">
        <v>4.66</v>
      </c>
    </row>
    <row r="93" spans="1:17" customFormat="1">
      <c r="A93" s="111" t="s">
        <v>2818</v>
      </c>
      <c r="B93" s="133">
        <v>12.25</v>
      </c>
      <c r="C93" s="133">
        <v>23.64</v>
      </c>
      <c r="D93" s="133">
        <v>23.53</v>
      </c>
      <c r="E93" s="133">
        <v>4.28</v>
      </c>
      <c r="F93" s="133">
        <v>2.6</v>
      </c>
      <c r="G93" s="133">
        <v>105.76</v>
      </c>
      <c r="H93" s="133">
        <v>28.93</v>
      </c>
      <c r="I93" s="133">
        <v>7.81</v>
      </c>
      <c r="J93" s="133">
        <v>0.13</v>
      </c>
      <c r="K93" s="133">
        <v>159.08000000000001</v>
      </c>
      <c r="L93" s="133">
        <v>20.63</v>
      </c>
      <c r="M93" s="133">
        <v>80.16</v>
      </c>
      <c r="N93" s="133">
        <v>0</v>
      </c>
      <c r="O93" s="133">
        <v>0</v>
      </c>
      <c r="P93" s="133">
        <v>0.76</v>
      </c>
      <c r="Q93" s="133">
        <v>4.6900000000000004</v>
      </c>
    </row>
    <row r="94" spans="1:17" customFormat="1">
      <c r="A94" s="111" t="s">
        <v>2819</v>
      </c>
      <c r="B94" s="133">
        <v>12.27</v>
      </c>
      <c r="C94" s="133">
        <v>23.25</v>
      </c>
      <c r="D94" s="133">
        <v>23.33</v>
      </c>
      <c r="E94" s="133">
        <v>4.7699999999999996</v>
      </c>
      <c r="F94" s="133">
        <v>2.63</v>
      </c>
      <c r="G94" s="133">
        <v>105.76</v>
      </c>
      <c r="H94" s="133">
        <v>28.93</v>
      </c>
      <c r="I94" s="133">
        <v>8.0299999999999994</v>
      </c>
      <c r="J94" s="133">
        <v>0.16</v>
      </c>
      <c r="K94" s="133">
        <v>158.35</v>
      </c>
      <c r="L94" s="133">
        <v>20.55</v>
      </c>
      <c r="M94" s="133">
        <v>84.95</v>
      </c>
      <c r="N94" s="133">
        <v>0</v>
      </c>
      <c r="O94" s="133">
        <v>0</v>
      </c>
      <c r="P94" s="133">
        <v>0.77</v>
      </c>
      <c r="Q94" s="133">
        <v>4.7</v>
      </c>
    </row>
    <row r="95" spans="1:17" customFormat="1">
      <c r="A95" s="111" t="s">
        <v>2820</v>
      </c>
      <c r="B95" s="133">
        <v>12.29</v>
      </c>
      <c r="C95" s="133">
        <v>22.13</v>
      </c>
      <c r="D95" s="133">
        <v>22.77</v>
      </c>
      <c r="E95" s="133">
        <v>3.45</v>
      </c>
      <c r="F95" s="133">
        <v>2.64</v>
      </c>
      <c r="G95" s="133">
        <v>105.41</v>
      </c>
      <c r="H95" s="133">
        <v>28.82</v>
      </c>
      <c r="I95" s="133">
        <v>8.27</v>
      </c>
      <c r="J95" s="133">
        <v>0.15</v>
      </c>
      <c r="K95" s="133">
        <v>169.34</v>
      </c>
      <c r="L95" s="133">
        <v>20.5</v>
      </c>
      <c r="M95" s="133">
        <v>81.290000000000006</v>
      </c>
      <c r="N95" s="133">
        <v>0</v>
      </c>
      <c r="O95" s="133">
        <v>0</v>
      </c>
      <c r="P95" s="133">
        <v>0.76</v>
      </c>
      <c r="Q95" s="133">
        <v>4.68</v>
      </c>
    </row>
    <row r="96" spans="1:17" customFormat="1">
      <c r="A96" s="111" t="s">
        <v>2821</v>
      </c>
      <c r="B96" s="133">
        <v>12.28</v>
      </c>
      <c r="C96" s="133">
        <v>23.19</v>
      </c>
      <c r="D96" s="133">
        <v>23.32</v>
      </c>
      <c r="E96" s="133">
        <v>3.92</v>
      </c>
      <c r="F96" s="133">
        <v>2.44</v>
      </c>
      <c r="G96" s="133">
        <v>99.49</v>
      </c>
      <c r="H96" s="133">
        <v>27.08</v>
      </c>
      <c r="I96" s="133">
        <v>8.4700000000000006</v>
      </c>
      <c r="J96" s="133">
        <v>0.1</v>
      </c>
      <c r="K96" s="133">
        <v>168.11</v>
      </c>
      <c r="L96" s="133">
        <v>20.5</v>
      </c>
      <c r="M96" s="133">
        <v>81</v>
      </c>
      <c r="N96" s="133">
        <v>0</v>
      </c>
      <c r="O96" s="133">
        <v>0</v>
      </c>
      <c r="P96" s="133">
        <v>0.76</v>
      </c>
      <c r="Q96" s="133">
        <v>4.67</v>
      </c>
    </row>
    <row r="97" spans="1:22" customFormat="1">
      <c r="A97" s="111" t="s">
        <v>2822</v>
      </c>
      <c r="B97" s="133">
        <v>12.26</v>
      </c>
      <c r="C97" s="133">
        <v>22.15</v>
      </c>
      <c r="D97" s="133">
        <v>22.75</v>
      </c>
      <c r="E97" s="133">
        <v>4.1500000000000004</v>
      </c>
      <c r="F97" s="133">
        <v>2.78</v>
      </c>
      <c r="G97" s="133">
        <v>99.49</v>
      </c>
      <c r="H97" s="133">
        <v>27.08</v>
      </c>
      <c r="I97" s="133">
        <v>8.58</v>
      </c>
      <c r="J97" s="133">
        <v>0.11</v>
      </c>
      <c r="K97" s="133">
        <v>226.09</v>
      </c>
      <c r="L97" s="133">
        <v>20.39</v>
      </c>
      <c r="M97" s="133">
        <v>80.75</v>
      </c>
      <c r="N97" s="133">
        <v>0</v>
      </c>
      <c r="O97" s="133">
        <v>0</v>
      </c>
      <c r="P97" s="133">
        <v>0.76</v>
      </c>
      <c r="Q97" s="133">
        <v>4.6900000000000004</v>
      </c>
    </row>
    <row r="98" spans="1:22" customFormat="1">
      <c r="A98" s="111" t="s">
        <v>2823</v>
      </c>
      <c r="B98" s="133">
        <v>12.39</v>
      </c>
      <c r="C98" s="133">
        <v>23.29</v>
      </c>
      <c r="D98" s="133">
        <v>23.46</v>
      </c>
      <c r="E98" s="133">
        <v>4.5999999999999996</v>
      </c>
      <c r="F98" s="133">
        <v>2.4500000000000002</v>
      </c>
      <c r="G98" s="133">
        <v>99.49</v>
      </c>
      <c r="H98" s="133">
        <v>27.08</v>
      </c>
      <c r="I98" s="133">
        <v>8.6</v>
      </c>
      <c r="J98" s="133">
        <v>0.16</v>
      </c>
      <c r="K98" s="133">
        <v>217.45</v>
      </c>
      <c r="L98" s="133">
        <v>20.440000000000001</v>
      </c>
      <c r="M98" s="133">
        <v>80.98</v>
      </c>
      <c r="N98" s="133">
        <v>0</v>
      </c>
      <c r="O98" s="133">
        <v>0</v>
      </c>
      <c r="P98" s="133">
        <v>0.79</v>
      </c>
      <c r="Q98" s="133">
        <v>4.68</v>
      </c>
    </row>
    <row r="99" spans="1:22" customFormat="1">
      <c r="A99" s="111" t="s">
        <v>2824</v>
      </c>
      <c r="B99" s="133">
        <v>13.22</v>
      </c>
      <c r="C99" s="133">
        <v>24.06</v>
      </c>
      <c r="D99" s="133">
        <v>24.53</v>
      </c>
      <c r="E99" s="133">
        <v>4.67</v>
      </c>
      <c r="F99" s="133">
        <v>2.63</v>
      </c>
      <c r="G99" s="133">
        <v>98.44</v>
      </c>
      <c r="H99" s="133">
        <v>27.32</v>
      </c>
      <c r="I99" s="133">
        <v>8.58</v>
      </c>
      <c r="J99" s="133">
        <v>0.15</v>
      </c>
      <c r="K99" s="133">
        <v>197.6</v>
      </c>
      <c r="L99" s="133">
        <v>20.34</v>
      </c>
      <c r="M99" s="133">
        <v>84.1</v>
      </c>
      <c r="N99" s="133">
        <v>0</v>
      </c>
      <c r="O99" s="133">
        <v>0</v>
      </c>
      <c r="P99" s="133">
        <v>0.82</v>
      </c>
      <c r="Q99" s="133">
        <v>4.7300000000000004</v>
      </c>
    </row>
    <row r="100" spans="1:22" customFormat="1">
      <c r="A100" s="111" t="s">
        <v>2825</v>
      </c>
      <c r="B100" s="133">
        <v>13.57</v>
      </c>
      <c r="C100" s="133">
        <v>24.11</v>
      </c>
      <c r="D100" s="133">
        <v>24.83</v>
      </c>
      <c r="E100" s="133">
        <v>5.05</v>
      </c>
      <c r="F100" s="133">
        <v>2.71</v>
      </c>
      <c r="G100" s="133">
        <v>80.67</v>
      </c>
      <c r="H100" s="133">
        <v>31.04</v>
      </c>
      <c r="I100" s="133">
        <v>8.57</v>
      </c>
      <c r="J100" s="133">
        <v>0.14000000000000001</v>
      </c>
      <c r="K100" s="133">
        <v>225.9</v>
      </c>
      <c r="L100" s="133">
        <v>20.12</v>
      </c>
      <c r="M100" s="133">
        <v>87.69</v>
      </c>
      <c r="N100" s="133">
        <v>0</v>
      </c>
      <c r="O100" s="133">
        <v>0</v>
      </c>
      <c r="P100" s="133">
        <v>0.82</v>
      </c>
      <c r="Q100" s="133">
        <v>4.75</v>
      </c>
    </row>
    <row r="101" spans="1:22" customFormat="1">
      <c r="A101" s="111" t="s">
        <v>2826</v>
      </c>
      <c r="B101" s="133">
        <v>13.46</v>
      </c>
      <c r="C101" s="133">
        <v>24.17</v>
      </c>
      <c r="D101" s="133">
        <v>24.78</v>
      </c>
      <c r="E101" s="133">
        <v>4.6900000000000004</v>
      </c>
      <c r="F101" s="133">
        <v>2.67</v>
      </c>
      <c r="G101" s="133">
        <v>80.67</v>
      </c>
      <c r="H101" s="133">
        <v>31.04</v>
      </c>
      <c r="I101" s="133">
        <v>8.56</v>
      </c>
      <c r="J101" s="133">
        <v>0.12</v>
      </c>
      <c r="K101" s="133">
        <v>193.59</v>
      </c>
      <c r="L101" s="133">
        <v>19.920000000000002</v>
      </c>
      <c r="M101" s="133">
        <v>86.26</v>
      </c>
      <c r="N101" s="133">
        <v>0</v>
      </c>
      <c r="O101" s="133">
        <v>0</v>
      </c>
      <c r="P101" s="133">
        <v>0.82</v>
      </c>
      <c r="Q101" s="133">
        <v>4.75</v>
      </c>
    </row>
    <row r="102" spans="1:22" customFormat="1">
      <c r="A102" s="111" t="s">
        <v>2827</v>
      </c>
      <c r="B102" s="133">
        <v>13.41</v>
      </c>
      <c r="C102" s="133">
        <v>24.32</v>
      </c>
      <c r="D102" s="133">
        <v>24.81</v>
      </c>
      <c r="E102" s="133">
        <v>4.78</v>
      </c>
      <c r="F102" s="133">
        <v>2.76</v>
      </c>
      <c r="G102" s="133">
        <v>80.67</v>
      </c>
      <c r="H102" s="133">
        <v>31.04</v>
      </c>
      <c r="I102" s="133">
        <v>8.5399999999999991</v>
      </c>
      <c r="J102" s="133">
        <v>0.13</v>
      </c>
      <c r="K102" s="133">
        <v>172.69</v>
      </c>
      <c r="L102" s="133">
        <v>20</v>
      </c>
      <c r="M102" s="133">
        <v>87.2</v>
      </c>
      <c r="N102" s="133">
        <v>0</v>
      </c>
      <c r="O102" s="133">
        <v>0</v>
      </c>
      <c r="P102" s="133">
        <v>0.82</v>
      </c>
      <c r="Q102" s="133">
        <v>4.78</v>
      </c>
    </row>
    <row r="103" spans="1:22" customFormat="1">
      <c r="A103" s="111" t="s">
        <v>2828</v>
      </c>
      <c r="B103" s="133">
        <v>13.38</v>
      </c>
      <c r="C103" s="133">
        <v>24.25</v>
      </c>
      <c r="D103" s="133">
        <v>24.75</v>
      </c>
      <c r="E103" s="133">
        <v>4.82</v>
      </c>
      <c r="F103" s="133">
        <v>2.74</v>
      </c>
      <c r="G103" s="133">
        <v>80.56</v>
      </c>
      <c r="H103" s="133">
        <v>30.82</v>
      </c>
      <c r="I103" s="133">
        <v>8.5</v>
      </c>
      <c r="J103" s="133">
        <v>0.12</v>
      </c>
      <c r="K103" s="133">
        <v>212.82</v>
      </c>
      <c r="L103" s="133">
        <v>19.920000000000002</v>
      </c>
      <c r="M103" s="133">
        <v>88.91</v>
      </c>
      <c r="N103" s="133">
        <v>0</v>
      </c>
      <c r="O103" s="133">
        <v>0</v>
      </c>
      <c r="P103" s="133">
        <v>0.83</v>
      </c>
      <c r="Q103" s="133">
        <v>4.78</v>
      </c>
    </row>
    <row r="104" spans="1:22" customFormat="1">
      <c r="A104" s="111" t="s">
        <v>2829</v>
      </c>
      <c r="B104" s="133">
        <v>13.24</v>
      </c>
      <c r="C104" s="133">
        <v>24.32</v>
      </c>
      <c r="D104" s="133">
        <v>24.67</v>
      </c>
      <c r="E104" s="133">
        <v>4.72</v>
      </c>
      <c r="F104" s="133">
        <v>2.58</v>
      </c>
      <c r="G104" s="133">
        <v>78.69</v>
      </c>
      <c r="H104" s="133">
        <v>27.42</v>
      </c>
      <c r="I104" s="133">
        <v>8.4600000000000009</v>
      </c>
      <c r="J104" s="133">
        <v>0.16</v>
      </c>
      <c r="K104" s="133">
        <v>237.1</v>
      </c>
      <c r="L104" s="133">
        <v>19.59</v>
      </c>
      <c r="M104" s="133">
        <v>90.21</v>
      </c>
      <c r="N104" s="133">
        <v>0</v>
      </c>
      <c r="O104" s="133">
        <v>0</v>
      </c>
      <c r="P104" s="133">
        <v>0.81</v>
      </c>
      <c r="Q104" s="133">
        <v>4.7699999999999996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5.4</v>
      </c>
      <c r="C106" s="183">
        <f>MIN(C9:C104)</f>
        <v>21.51</v>
      </c>
      <c r="D106" s="183">
        <f t="shared" ref="D106:Q106" si="0">MIN(D9:D104)</f>
        <v>18.149999999999999</v>
      </c>
      <c r="E106" s="183">
        <f t="shared" si="0"/>
        <v>3.45</v>
      </c>
      <c r="F106" s="183">
        <f t="shared" si="0"/>
        <v>2.2999999999999998</v>
      </c>
      <c r="G106" s="183">
        <f t="shared" si="0"/>
        <v>52.91</v>
      </c>
      <c r="H106" s="183">
        <f t="shared" si="0"/>
        <v>20.03</v>
      </c>
      <c r="I106" s="183">
        <f t="shared" si="0"/>
        <v>5.28</v>
      </c>
      <c r="J106" s="183">
        <f t="shared" si="0"/>
        <v>0.06</v>
      </c>
      <c r="K106" s="183">
        <f t="shared" si="0"/>
        <v>11.58</v>
      </c>
      <c r="L106" s="183">
        <f t="shared" si="0"/>
        <v>18.079999999999998</v>
      </c>
      <c r="M106" s="183">
        <f t="shared" si="0"/>
        <v>27.14</v>
      </c>
      <c r="N106" s="183">
        <f t="shared" si="0"/>
        <v>0</v>
      </c>
      <c r="O106" s="183">
        <f t="shared" si="0"/>
        <v>0</v>
      </c>
      <c r="P106" s="183">
        <f t="shared" si="0"/>
        <v>0.61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29.86</v>
      </c>
      <c r="C107" s="184">
        <f t="shared" ref="C107:Q107" si="1">MAX(C9:C104)</f>
        <v>27.56</v>
      </c>
      <c r="D107" s="184">
        <f t="shared" si="1"/>
        <v>39.26</v>
      </c>
      <c r="E107" s="184">
        <f t="shared" si="1"/>
        <v>7.99</v>
      </c>
      <c r="F107" s="184">
        <f t="shared" si="1"/>
        <v>10.42</v>
      </c>
      <c r="G107" s="184">
        <f t="shared" si="1"/>
        <v>107.93</v>
      </c>
      <c r="H107" s="184">
        <f t="shared" si="1"/>
        <v>41.86</v>
      </c>
      <c r="I107" s="184">
        <f t="shared" si="1"/>
        <v>10.37</v>
      </c>
      <c r="J107" s="184">
        <f t="shared" si="1"/>
        <v>0.91</v>
      </c>
      <c r="K107" s="184">
        <f t="shared" si="1"/>
        <v>314.83</v>
      </c>
      <c r="L107" s="184">
        <f t="shared" si="1"/>
        <v>30.85</v>
      </c>
      <c r="M107" s="184">
        <f t="shared" si="1"/>
        <v>96.56</v>
      </c>
      <c r="N107" s="184">
        <f t="shared" si="1"/>
        <v>629.4</v>
      </c>
      <c r="O107" s="184">
        <f t="shared" si="1"/>
        <v>0</v>
      </c>
      <c r="P107" s="184">
        <f t="shared" si="1"/>
        <v>1.02</v>
      </c>
      <c r="Q107" s="184">
        <f t="shared" si="1"/>
        <v>5.65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14.634583333333333</v>
      </c>
      <c r="C108" s="183">
        <f t="shared" ref="C108:Q108" si="2">AVERAGE(C9:C104)</f>
        <v>24.390937500000007</v>
      </c>
      <c r="D108" s="183">
        <f t="shared" si="2"/>
        <v>25.830000000000009</v>
      </c>
      <c r="E108" s="183">
        <f t="shared" si="2"/>
        <v>5.7573958333333328</v>
      </c>
      <c r="F108" s="183">
        <f t="shared" si="2"/>
        <v>3.8056249999999978</v>
      </c>
      <c r="G108" s="183">
        <f t="shared" si="2"/>
        <v>76.66635416666665</v>
      </c>
      <c r="H108" s="183">
        <f t="shared" si="2"/>
        <v>29.126770833333314</v>
      </c>
      <c r="I108" s="183">
        <f t="shared" si="2"/>
        <v>7.804479166666666</v>
      </c>
      <c r="J108" s="183">
        <f t="shared" si="2"/>
        <v>0.27406249999999999</v>
      </c>
      <c r="K108" s="183">
        <f t="shared" si="2"/>
        <v>147.37572916666667</v>
      </c>
      <c r="L108" s="183">
        <f t="shared" si="2"/>
        <v>23.584687500000005</v>
      </c>
      <c r="M108" s="183">
        <f t="shared" si="2"/>
        <v>66.703854166666659</v>
      </c>
      <c r="N108" s="183">
        <f t="shared" si="2"/>
        <v>142.61770833333335</v>
      </c>
      <c r="O108" s="183">
        <f t="shared" si="2"/>
        <v>0</v>
      </c>
      <c r="P108" s="183">
        <f t="shared" si="2"/>
        <v>0.79895833333333355</v>
      </c>
      <c r="Q108" s="183">
        <f t="shared" si="2"/>
        <v>4.8298958333333308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7.3993484658649677</v>
      </c>
      <c r="C109" s="183">
        <f t="shared" ref="C109:Q109" si="3">STDEV(C9:C104)</f>
        <v>1.3402859695836715</v>
      </c>
      <c r="D109" s="183">
        <f t="shared" si="3"/>
        <v>6.3746342722749763</v>
      </c>
      <c r="E109" s="183">
        <f t="shared" si="3"/>
        <v>1.0888876456386833</v>
      </c>
      <c r="F109" s="183">
        <f t="shared" si="3"/>
        <v>2.0806217757401813</v>
      </c>
      <c r="G109" s="183">
        <f t="shared" si="3"/>
        <v>17.703037213088201</v>
      </c>
      <c r="H109" s="183">
        <f t="shared" si="3"/>
        <v>5.9907619223341486</v>
      </c>
      <c r="I109" s="183">
        <f t="shared" si="3"/>
        <v>1.458665482225145</v>
      </c>
      <c r="J109" s="183">
        <f t="shared" si="3"/>
        <v>0.23603112250182978</v>
      </c>
      <c r="K109" s="183">
        <f t="shared" si="3"/>
        <v>77.760376741896422</v>
      </c>
      <c r="L109" s="183">
        <f t="shared" si="3"/>
        <v>4.6400839269008731</v>
      </c>
      <c r="M109" s="183">
        <f t="shared" si="3"/>
        <v>25.411537966662767</v>
      </c>
      <c r="N109" s="183">
        <f t="shared" si="3"/>
        <v>223.0753556865773</v>
      </c>
      <c r="O109" s="183">
        <f t="shared" si="3"/>
        <v>0</v>
      </c>
      <c r="P109" s="183">
        <f t="shared" si="3"/>
        <v>0.11885842234105001</v>
      </c>
      <c r="Q109" s="183">
        <f t="shared" si="3"/>
        <v>0.41357108417618882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28/10/2023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2830</v>
      </c>
      <c r="B9" s="133">
        <v>11.53</v>
      </c>
      <c r="C9" s="133">
        <v>23.8</v>
      </c>
      <c r="D9" s="133">
        <v>23.03</v>
      </c>
      <c r="E9" s="133">
        <v>4.8499999999999996</v>
      </c>
      <c r="F9" s="133">
        <v>2.69</v>
      </c>
      <c r="G9" s="133">
        <v>78.69</v>
      </c>
      <c r="H9" s="133">
        <v>27.42</v>
      </c>
      <c r="I9" s="133">
        <v>8.3699999999999992</v>
      </c>
      <c r="J9" s="133">
        <v>0.12</v>
      </c>
      <c r="K9" s="133">
        <v>227.74</v>
      </c>
      <c r="L9" s="133">
        <v>19.34</v>
      </c>
      <c r="M9" s="133">
        <v>87.92</v>
      </c>
      <c r="N9" s="133">
        <v>0</v>
      </c>
      <c r="O9" s="133">
        <v>0</v>
      </c>
      <c r="P9" s="133">
        <v>0.82</v>
      </c>
      <c r="Q9" s="133">
        <v>4.76</v>
      </c>
    </row>
    <row r="10" spans="1:21" customFormat="1">
      <c r="A10" s="111" t="s">
        <v>2831</v>
      </c>
      <c r="B10" s="133">
        <v>11.18</v>
      </c>
      <c r="C10" s="133">
        <v>23.85</v>
      </c>
      <c r="D10" s="133">
        <v>22.77</v>
      </c>
      <c r="E10" s="133">
        <v>4.59</v>
      </c>
      <c r="F10" s="133">
        <v>2.71</v>
      </c>
      <c r="G10" s="133">
        <v>78.69</v>
      </c>
      <c r="H10" s="133">
        <v>27.42</v>
      </c>
      <c r="I10" s="133">
        <v>8.32</v>
      </c>
      <c r="J10" s="133">
        <v>0.1</v>
      </c>
      <c r="K10" s="133">
        <v>247.2</v>
      </c>
      <c r="L10" s="133">
        <v>19.170000000000002</v>
      </c>
      <c r="M10" s="133">
        <v>90.75</v>
      </c>
      <c r="N10" s="133">
        <v>0</v>
      </c>
      <c r="O10" s="133">
        <v>0</v>
      </c>
      <c r="P10" s="133">
        <v>0.8</v>
      </c>
      <c r="Q10" s="133">
        <v>4.74</v>
      </c>
    </row>
    <row r="11" spans="1:21" customFormat="1">
      <c r="A11" s="111" t="s">
        <v>2832</v>
      </c>
      <c r="B11" s="133">
        <v>11</v>
      </c>
      <c r="C11" s="133">
        <v>23.72</v>
      </c>
      <c r="D11" s="133">
        <v>22.57</v>
      </c>
      <c r="E11" s="133">
        <v>5.09</v>
      </c>
      <c r="F11" s="133">
        <v>2.72</v>
      </c>
      <c r="G11" s="133">
        <v>78.010000000000005</v>
      </c>
      <c r="H11" s="133">
        <v>27.18</v>
      </c>
      <c r="I11" s="133">
        <v>8.24</v>
      </c>
      <c r="J11" s="133">
        <v>0.26</v>
      </c>
      <c r="K11" s="133">
        <v>252.25</v>
      </c>
      <c r="L11" s="133">
        <v>19.010000000000002</v>
      </c>
      <c r="M11" s="133">
        <v>89.96</v>
      </c>
      <c r="N11" s="133">
        <v>0</v>
      </c>
      <c r="O11" s="133">
        <v>0</v>
      </c>
      <c r="P11" s="133">
        <v>0.8</v>
      </c>
      <c r="Q11" s="133">
        <v>4.75</v>
      </c>
    </row>
    <row r="12" spans="1:21" customFormat="1">
      <c r="A12" s="111" t="s">
        <v>2833</v>
      </c>
      <c r="B12" s="133">
        <v>11.06</v>
      </c>
      <c r="C12" s="133">
        <v>23.18</v>
      </c>
      <c r="D12" s="133">
        <v>22.33</v>
      </c>
      <c r="E12" s="133">
        <v>4.93</v>
      </c>
      <c r="F12" s="133">
        <v>2.69</v>
      </c>
      <c r="G12" s="133">
        <v>66.28</v>
      </c>
      <c r="H12" s="133">
        <v>23.44</v>
      </c>
      <c r="I12" s="133">
        <v>8.2100000000000009</v>
      </c>
      <c r="J12" s="133">
        <v>0.21</v>
      </c>
      <c r="K12" s="133">
        <v>247.8</v>
      </c>
      <c r="L12" s="133">
        <v>18.8</v>
      </c>
      <c r="M12" s="133">
        <v>88.65</v>
      </c>
      <c r="N12" s="133">
        <v>0</v>
      </c>
      <c r="O12" s="133">
        <v>0</v>
      </c>
      <c r="P12" s="133">
        <v>0.8</v>
      </c>
      <c r="Q12" s="133">
        <v>4.75</v>
      </c>
    </row>
    <row r="13" spans="1:21" customFormat="1">
      <c r="A13" s="111" t="s">
        <v>2834</v>
      </c>
      <c r="B13" s="133">
        <v>10.89</v>
      </c>
      <c r="C13" s="133">
        <v>23.13</v>
      </c>
      <c r="D13" s="133">
        <v>22.17</v>
      </c>
      <c r="E13" s="133">
        <v>5.12</v>
      </c>
      <c r="F13" s="133">
        <v>2.62</v>
      </c>
      <c r="G13" s="133">
        <v>66.28</v>
      </c>
      <c r="H13" s="133">
        <v>23.44</v>
      </c>
      <c r="I13" s="133">
        <v>8.16</v>
      </c>
      <c r="J13" s="133">
        <v>0.19</v>
      </c>
      <c r="K13" s="133">
        <v>233.53</v>
      </c>
      <c r="L13" s="133">
        <v>18.66</v>
      </c>
      <c r="M13" s="133">
        <v>87.26</v>
      </c>
      <c r="N13" s="133">
        <v>0</v>
      </c>
      <c r="O13" s="133">
        <v>0</v>
      </c>
      <c r="P13" s="133">
        <v>0.8</v>
      </c>
      <c r="Q13" s="133">
        <v>4.75</v>
      </c>
    </row>
    <row r="14" spans="1:21" customFormat="1">
      <c r="A14" s="111" t="s">
        <v>2835</v>
      </c>
      <c r="B14" s="133">
        <v>10.73</v>
      </c>
      <c r="C14" s="133">
        <v>22.91</v>
      </c>
      <c r="D14" s="133">
        <v>21.93</v>
      </c>
      <c r="E14" s="133">
        <v>5.29</v>
      </c>
      <c r="F14" s="133">
        <v>2.59</v>
      </c>
      <c r="G14" s="133">
        <v>66.28</v>
      </c>
      <c r="H14" s="133">
        <v>23.44</v>
      </c>
      <c r="I14" s="133">
        <v>8.17</v>
      </c>
      <c r="J14" s="133">
        <v>0.12</v>
      </c>
      <c r="K14" s="133">
        <v>219.42</v>
      </c>
      <c r="L14" s="133">
        <v>18.739999999999998</v>
      </c>
      <c r="M14" s="133">
        <v>89.32</v>
      </c>
      <c r="N14" s="133">
        <v>0</v>
      </c>
      <c r="O14" s="133">
        <v>0</v>
      </c>
      <c r="P14" s="133">
        <v>0.8</v>
      </c>
      <c r="Q14" s="133">
        <v>4.7300000000000004</v>
      </c>
    </row>
    <row r="15" spans="1:21" customFormat="1">
      <c r="A15" s="111" t="s">
        <v>2836</v>
      </c>
      <c r="B15" s="133">
        <v>10.6</v>
      </c>
      <c r="C15" s="133">
        <v>22.81</v>
      </c>
      <c r="D15" s="133">
        <v>21.77</v>
      </c>
      <c r="E15" s="133">
        <v>5.44</v>
      </c>
      <c r="F15" s="133">
        <v>2.59</v>
      </c>
      <c r="G15" s="133">
        <v>65.83</v>
      </c>
      <c r="H15" s="133">
        <v>23.36</v>
      </c>
      <c r="I15" s="133">
        <v>8.17</v>
      </c>
      <c r="J15" s="133">
        <v>0.2</v>
      </c>
      <c r="K15" s="133">
        <v>252.65</v>
      </c>
      <c r="L15" s="133">
        <v>18.66</v>
      </c>
      <c r="M15" s="133">
        <v>90.83</v>
      </c>
      <c r="N15" s="133">
        <v>0</v>
      </c>
      <c r="O15" s="133">
        <v>0</v>
      </c>
      <c r="P15" s="133">
        <v>0.8</v>
      </c>
      <c r="Q15" s="133">
        <v>4.74</v>
      </c>
    </row>
    <row r="16" spans="1:21" customFormat="1">
      <c r="A16" s="111" t="s">
        <v>2837</v>
      </c>
      <c r="B16" s="133">
        <v>10.51</v>
      </c>
      <c r="C16" s="133">
        <v>22.69</v>
      </c>
      <c r="D16" s="133">
        <v>21.63</v>
      </c>
      <c r="E16" s="133">
        <v>4.78</v>
      </c>
      <c r="F16" s="133">
        <v>2.69</v>
      </c>
      <c r="G16" s="133">
        <v>56.17</v>
      </c>
      <c r="H16" s="133">
        <v>22.11</v>
      </c>
      <c r="I16" s="133">
        <v>8.1199999999999992</v>
      </c>
      <c r="J16" s="133">
        <v>0.1</v>
      </c>
      <c r="K16" s="133">
        <v>210.77</v>
      </c>
      <c r="L16" s="133">
        <v>18.64</v>
      </c>
      <c r="M16" s="133">
        <v>87.98</v>
      </c>
      <c r="N16" s="133">
        <v>0</v>
      </c>
      <c r="O16" s="133">
        <v>0</v>
      </c>
      <c r="P16" s="133">
        <v>0.8</v>
      </c>
      <c r="Q16" s="133">
        <v>4.74</v>
      </c>
    </row>
    <row r="17" spans="1:17" customFormat="1">
      <c r="A17" s="111" t="s">
        <v>2838</v>
      </c>
      <c r="B17" s="133">
        <v>10.6</v>
      </c>
      <c r="C17" s="133">
        <v>22.45</v>
      </c>
      <c r="D17" s="133">
        <v>21.58</v>
      </c>
      <c r="E17" s="133">
        <v>4.74</v>
      </c>
      <c r="F17" s="133">
        <v>2.58</v>
      </c>
      <c r="G17" s="133">
        <v>56.17</v>
      </c>
      <c r="H17" s="133">
        <v>22.11</v>
      </c>
      <c r="I17" s="133">
        <v>8.1300000000000008</v>
      </c>
      <c r="J17" s="133">
        <v>0.1</v>
      </c>
      <c r="K17" s="133">
        <v>184.28</v>
      </c>
      <c r="L17" s="133">
        <v>18.760000000000002</v>
      </c>
      <c r="M17" s="133">
        <v>86.75</v>
      </c>
      <c r="N17" s="133">
        <v>0</v>
      </c>
      <c r="O17" s="133">
        <v>0</v>
      </c>
      <c r="P17" s="133">
        <v>0.8</v>
      </c>
      <c r="Q17" s="133">
        <v>4.72</v>
      </c>
    </row>
    <row r="18" spans="1:17" customFormat="1">
      <c r="A18" s="111" t="s">
        <v>2839</v>
      </c>
      <c r="B18" s="133">
        <v>10.59</v>
      </c>
      <c r="C18" s="133">
        <v>22.65</v>
      </c>
      <c r="D18" s="133">
        <v>21.68</v>
      </c>
      <c r="E18" s="133">
        <v>5.58</v>
      </c>
      <c r="F18" s="133">
        <v>2.4900000000000002</v>
      </c>
      <c r="G18" s="133">
        <v>56.17</v>
      </c>
      <c r="H18" s="133">
        <v>22.11</v>
      </c>
      <c r="I18" s="133">
        <v>8.42</v>
      </c>
      <c r="J18" s="133">
        <v>0.11</v>
      </c>
      <c r="K18" s="133">
        <v>196.64</v>
      </c>
      <c r="L18" s="133">
        <v>18.87</v>
      </c>
      <c r="M18" s="133">
        <v>85.95</v>
      </c>
      <c r="N18" s="133">
        <v>0</v>
      </c>
      <c r="O18" s="133">
        <v>0</v>
      </c>
      <c r="P18" s="133">
        <v>0.8</v>
      </c>
      <c r="Q18" s="133">
        <v>4.74</v>
      </c>
    </row>
    <row r="19" spans="1:17" customFormat="1">
      <c r="A19" s="111" t="s">
        <v>2840</v>
      </c>
      <c r="B19" s="133">
        <v>10.95</v>
      </c>
      <c r="C19" s="133">
        <v>22.97</v>
      </c>
      <c r="D19" s="133">
        <v>22.14</v>
      </c>
      <c r="E19" s="133">
        <v>5.44</v>
      </c>
      <c r="F19" s="133">
        <v>2.5</v>
      </c>
      <c r="G19" s="133">
        <v>56.23</v>
      </c>
      <c r="H19" s="133">
        <v>22.25</v>
      </c>
      <c r="I19" s="133">
        <v>8.66</v>
      </c>
      <c r="J19" s="133">
        <v>0.13</v>
      </c>
      <c r="K19" s="133">
        <v>192.02</v>
      </c>
      <c r="L19" s="133">
        <v>18.73</v>
      </c>
      <c r="M19" s="133">
        <v>88.77</v>
      </c>
      <c r="N19" s="133">
        <v>0</v>
      </c>
      <c r="O19" s="133">
        <v>0</v>
      </c>
      <c r="P19" s="133">
        <v>0.8</v>
      </c>
      <c r="Q19" s="133">
        <v>4.75</v>
      </c>
    </row>
    <row r="20" spans="1:17" customFormat="1">
      <c r="A20" s="111" t="s">
        <v>2841</v>
      </c>
      <c r="B20" s="133">
        <v>11.41</v>
      </c>
      <c r="C20" s="133">
        <v>23.58</v>
      </c>
      <c r="D20" s="133">
        <v>22.82</v>
      </c>
      <c r="E20" s="133">
        <v>5.56</v>
      </c>
      <c r="F20" s="133">
        <v>2.4500000000000002</v>
      </c>
      <c r="G20" s="133">
        <v>57.58</v>
      </c>
      <c r="H20" s="133">
        <v>24.37</v>
      </c>
      <c r="I20" s="133">
        <v>8.75</v>
      </c>
      <c r="J20" s="133">
        <v>0.09</v>
      </c>
      <c r="K20" s="133">
        <v>216.04</v>
      </c>
      <c r="L20" s="133">
        <v>18.7</v>
      </c>
      <c r="M20" s="133">
        <v>89.7</v>
      </c>
      <c r="N20" s="133">
        <v>0</v>
      </c>
      <c r="O20" s="133">
        <v>0</v>
      </c>
      <c r="P20" s="133">
        <v>0.8</v>
      </c>
      <c r="Q20" s="133">
        <v>4.76</v>
      </c>
    </row>
    <row r="21" spans="1:17" customFormat="1">
      <c r="A21" s="111" t="s">
        <v>2842</v>
      </c>
      <c r="B21" s="133">
        <v>11.54</v>
      </c>
      <c r="C21" s="133">
        <v>23.55</v>
      </c>
      <c r="D21" s="133">
        <v>22.91</v>
      </c>
      <c r="E21" s="133">
        <v>6.02</v>
      </c>
      <c r="F21" s="133">
        <v>2.4900000000000002</v>
      </c>
      <c r="G21" s="133">
        <v>57.58</v>
      </c>
      <c r="H21" s="133">
        <v>24.37</v>
      </c>
      <c r="I21" s="133">
        <v>8.7899999999999991</v>
      </c>
      <c r="J21" s="133">
        <v>0.2</v>
      </c>
      <c r="K21" s="133">
        <v>181.54</v>
      </c>
      <c r="L21" s="133">
        <v>18.48</v>
      </c>
      <c r="M21" s="133">
        <v>92.65</v>
      </c>
      <c r="N21" s="133">
        <v>0</v>
      </c>
      <c r="O21" s="133">
        <v>0</v>
      </c>
      <c r="P21" s="133">
        <v>0.8</v>
      </c>
      <c r="Q21" s="133">
        <v>4.8</v>
      </c>
    </row>
    <row r="22" spans="1:17" customFormat="1">
      <c r="A22" s="111" t="s">
        <v>2843</v>
      </c>
      <c r="B22" s="133">
        <v>11.59</v>
      </c>
      <c r="C22" s="133">
        <v>23.68</v>
      </c>
      <c r="D22" s="133">
        <v>23.02</v>
      </c>
      <c r="E22" s="133">
        <v>5.22</v>
      </c>
      <c r="F22" s="133">
        <v>2.44</v>
      </c>
      <c r="G22" s="133">
        <v>57.58</v>
      </c>
      <c r="H22" s="133">
        <v>24.37</v>
      </c>
      <c r="I22" s="133">
        <v>8.85</v>
      </c>
      <c r="J22" s="133">
        <v>0.16</v>
      </c>
      <c r="K22" s="133">
        <v>154.75</v>
      </c>
      <c r="L22" s="133">
        <v>18.420000000000002</v>
      </c>
      <c r="M22" s="133">
        <v>91.99</v>
      </c>
      <c r="N22" s="133">
        <v>0</v>
      </c>
      <c r="O22" s="133">
        <v>0</v>
      </c>
      <c r="P22" s="133">
        <v>0.8</v>
      </c>
      <c r="Q22" s="133">
        <v>4.76</v>
      </c>
    </row>
    <row r="23" spans="1:17" customFormat="1">
      <c r="A23" s="111" t="s">
        <v>2844</v>
      </c>
      <c r="B23" s="133">
        <v>11.76</v>
      </c>
      <c r="C23" s="133">
        <v>22.72</v>
      </c>
      <c r="D23" s="133">
        <v>22.65</v>
      </c>
      <c r="E23" s="133">
        <v>5.57</v>
      </c>
      <c r="F23" s="133">
        <v>2.67</v>
      </c>
      <c r="G23" s="133">
        <v>57.23</v>
      </c>
      <c r="H23" s="133">
        <v>24.55</v>
      </c>
      <c r="I23" s="133">
        <v>8.98</v>
      </c>
      <c r="J23" s="133">
        <v>0.17</v>
      </c>
      <c r="K23" s="133">
        <v>110.1</v>
      </c>
      <c r="L23" s="133">
        <v>18.190000000000001</v>
      </c>
      <c r="M23" s="133">
        <v>90.65</v>
      </c>
      <c r="N23" s="133">
        <v>0</v>
      </c>
      <c r="O23" s="133">
        <v>0</v>
      </c>
      <c r="P23" s="133">
        <v>0.77</v>
      </c>
      <c r="Q23" s="133">
        <v>4.75</v>
      </c>
    </row>
    <row r="24" spans="1:17" customFormat="1">
      <c r="A24" s="111" t="s">
        <v>2845</v>
      </c>
      <c r="B24" s="133">
        <v>11.93</v>
      </c>
      <c r="C24" s="133">
        <v>21.03</v>
      </c>
      <c r="D24" s="133">
        <v>21.9</v>
      </c>
      <c r="E24" s="133">
        <v>5.42</v>
      </c>
      <c r="F24" s="133">
        <v>2.78</v>
      </c>
      <c r="G24" s="133">
        <v>49.74</v>
      </c>
      <c r="H24" s="133">
        <v>27.44</v>
      </c>
      <c r="I24" s="133">
        <v>9.16</v>
      </c>
      <c r="J24" s="133">
        <v>7.0000000000000007E-2</v>
      </c>
      <c r="K24" s="133">
        <v>178.97</v>
      </c>
      <c r="L24" s="133">
        <v>18.079999999999998</v>
      </c>
      <c r="M24" s="133">
        <v>90.83</v>
      </c>
      <c r="N24" s="133">
        <v>0</v>
      </c>
      <c r="O24" s="133">
        <v>0</v>
      </c>
      <c r="P24" s="133">
        <v>0.75</v>
      </c>
      <c r="Q24" s="133">
        <v>4.79</v>
      </c>
    </row>
    <row r="25" spans="1:17" customFormat="1">
      <c r="A25" s="111" t="s">
        <v>2846</v>
      </c>
      <c r="B25" s="133">
        <v>12.16</v>
      </c>
      <c r="C25" s="133">
        <v>21.93</v>
      </c>
      <c r="D25" s="133">
        <v>22.56</v>
      </c>
      <c r="E25" s="133">
        <v>5.21</v>
      </c>
      <c r="F25" s="133">
        <v>2.5099999999999998</v>
      </c>
      <c r="G25" s="133">
        <v>49.74</v>
      </c>
      <c r="H25" s="133">
        <v>27.44</v>
      </c>
      <c r="I25" s="133">
        <v>9.26</v>
      </c>
      <c r="J25" s="133">
        <v>0.1</v>
      </c>
      <c r="K25" s="133">
        <v>223.36</v>
      </c>
      <c r="L25" s="133">
        <v>18.05</v>
      </c>
      <c r="M25" s="133">
        <v>92.13</v>
      </c>
      <c r="N25" s="133">
        <v>0</v>
      </c>
      <c r="O25" s="133">
        <v>0</v>
      </c>
      <c r="P25" s="133">
        <v>0.75</v>
      </c>
      <c r="Q25" s="133">
        <v>4.75</v>
      </c>
    </row>
    <row r="26" spans="1:17" customFormat="1">
      <c r="A26" s="111" t="s">
        <v>2847</v>
      </c>
      <c r="B26" s="133">
        <v>12.68</v>
      </c>
      <c r="C26" s="133">
        <v>21.44</v>
      </c>
      <c r="D26" s="133">
        <v>22.72</v>
      </c>
      <c r="E26" s="133">
        <v>5.03</v>
      </c>
      <c r="F26" s="133">
        <v>2.62</v>
      </c>
      <c r="G26" s="133">
        <v>49.74</v>
      </c>
      <c r="H26" s="133">
        <v>27.44</v>
      </c>
      <c r="I26" s="133">
        <v>9.1999999999999993</v>
      </c>
      <c r="J26" s="133">
        <v>0.08</v>
      </c>
      <c r="K26" s="133">
        <v>194.97</v>
      </c>
      <c r="L26" s="133">
        <v>17.93</v>
      </c>
      <c r="M26" s="133">
        <v>93.8</v>
      </c>
      <c r="N26" s="133">
        <v>0</v>
      </c>
      <c r="O26" s="133">
        <v>0</v>
      </c>
      <c r="P26" s="133">
        <v>0.73</v>
      </c>
      <c r="Q26" s="133">
        <v>4.76</v>
      </c>
    </row>
    <row r="27" spans="1:17" customFormat="1">
      <c r="A27" s="111" t="s">
        <v>2848</v>
      </c>
      <c r="B27" s="133">
        <v>12.78</v>
      </c>
      <c r="C27" s="133">
        <v>22.01</v>
      </c>
      <c r="D27" s="133">
        <v>23.1</v>
      </c>
      <c r="E27" s="133">
        <v>5.01</v>
      </c>
      <c r="F27" s="133">
        <v>2.5</v>
      </c>
      <c r="G27" s="133">
        <v>49.95</v>
      </c>
      <c r="H27" s="133">
        <v>27.45</v>
      </c>
      <c r="I27" s="133">
        <v>9.1999999999999993</v>
      </c>
      <c r="J27" s="133">
        <v>0.08</v>
      </c>
      <c r="K27" s="133">
        <v>215.92</v>
      </c>
      <c r="L27" s="133">
        <v>17.809999999999999</v>
      </c>
      <c r="M27" s="133">
        <v>94.77</v>
      </c>
      <c r="N27" s="133">
        <v>0</v>
      </c>
      <c r="O27" s="133">
        <v>0</v>
      </c>
      <c r="P27" s="133">
        <v>0.73</v>
      </c>
      <c r="Q27" s="133">
        <v>4.79</v>
      </c>
    </row>
    <row r="28" spans="1:17" customFormat="1">
      <c r="A28" s="111" t="s">
        <v>2849</v>
      </c>
      <c r="B28" s="133">
        <v>12.8</v>
      </c>
      <c r="C28" s="133">
        <v>21.56</v>
      </c>
      <c r="D28" s="133">
        <v>22.87</v>
      </c>
      <c r="E28" s="133">
        <v>5.23</v>
      </c>
      <c r="F28" s="133">
        <v>2.62</v>
      </c>
      <c r="G28" s="133">
        <v>54.63</v>
      </c>
      <c r="H28" s="133">
        <v>27.55</v>
      </c>
      <c r="I28" s="133">
        <v>9.1</v>
      </c>
      <c r="J28" s="133">
        <v>0.1</v>
      </c>
      <c r="K28" s="133">
        <v>173.62</v>
      </c>
      <c r="L28" s="133">
        <v>17.59</v>
      </c>
      <c r="M28" s="133">
        <v>94.84</v>
      </c>
      <c r="N28" s="133">
        <v>0</v>
      </c>
      <c r="O28" s="133">
        <v>0</v>
      </c>
      <c r="P28" s="133">
        <v>0.73</v>
      </c>
      <c r="Q28" s="133">
        <v>4.79</v>
      </c>
    </row>
    <row r="29" spans="1:17" customFormat="1">
      <c r="A29" s="111" t="s">
        <v>2850</v>
      </c>
      <c r="B29" s="133">
        <v>12.7</v>
      </c>
      <c r="C29" s="133">
        <v>22.15</v>
      </c>
      <c r="D29" s="133">
        <v>23.1</v>
      </c>
      <c r="E29" s="133">
        <v>4.54</v>
      </c>
      <c r="F29" s="133">
        <v>2.46</v>
      </c>
      <c r="G29" s="133">
        <v>54.63</v>
      </c>
      <c r="H29" s="133">
        <v>27.55</v>
      </c>
      <c r="I29" s="133">
        <v>9.0500000000000007</v>
      </c>
      <c r="J29" s="133">
        <v>0.08</v>
      </c>
      <c r="K29" s="133">
        <v>212.97</v>
      </c>
      <c r="L29" s="133">
        <v>17.48</v>
      </c>
      <c r="M29" s="133">
        <v>93.9</v>
      </c>
      <c r="N29" s="133">
        <v>0</v>
      </c>
      <c r="O29" s="133">
        <v>0</v>
      </c>
      <c r="P29" s="133">
        <v>0.72</v>
      </c>
      <c r="Q29" s="133">
        <v>4.7699999999999996</v>
      </c>
    </row>
    <row r="30" spans="1:17" customFormat="1">
      <c r="A30" s="111" t="s">
        <v>2851</v>
      </c>
      <c r="B30" s="133">
        <v>12.56</v>
      </c>
      <c r="C30" s="133">
        <v>21.25</v>
      </c>
      <c r="D30" s="133">
        <v>22.53</v>
      </c>
      <c r="E30" s="133">
        <v>4.88</v>
      </c>
      <c r="F30" s="133">
        <v>2.52</v>
      </c>
      <c r="G30" s="133">
        <v>54.63</v>
      </c>
      <c r="H30" s="133">
        <v>27.55</v>
      </c>
      <c r="I30" s="133">
        <v>8.93</v>
      </c>
      <c r="J30" s="133">
        <v>7.0000000000000007E-2</v>
      </c>
      <c r="K30" s="133">
        <v>212.79</v>
      </c>
      <c r="L30" s="133">
        <v>17.54</v>
      </c>
      <c r="M30" s="133">
        <v>93.66</v>
      </c>
      <c r="N30" s="133">
        <v>0</v>
      </c>
      <c r="O30" s="133">
        <v>0</v>
      </c>
      <c r="P30" s="133">
        <v>0.71</v>
      </c>
      <c r="Q30" s="133">
        <v>4.76</v>
      </c>
    </row>
    <row r="31" spans="1:17" customFormat="1">
      <c r="A31" s="111" t="s">
        <v>2852</v>
      </c>
      <c r="B31" s="133">
        <v>12.36</v>
      </c>
      <c r="C31" s="133">
        <v>21.29</v>
      </c>
      <c r="D31" s="133">
        <v>22.39</v>
      </c>
      <c r="E31" s="133">
        <v>5.01</v>
      </c>
      <c r="F31" s="133">
        <v>2.57</v>
      </c>
      <c r="G31" s="133">
        <v>54.6</v>
      </c>
      <c r="H31" s="133">
        <v>27.42</v>
      </c>
      <c r="I31" s="133">
        <v>8.77</v>
      </c>
      <c r="J31" s="133">
        <v>0.13</v>
      </c>
      <c r="K31" s="133">
        <v>215.52</v>
      </c>
      <c r="L31" s="133">
        <v>17.46</v>
      </c>
      <c r="M31" s="133">
        <v>94.6</v>
      </c>
      <c r="N31" s="133">
        <v>0</v>
      </c>
      <c r="O31" s="133">
        <v>0</v>
      </c>
      <c r="P31" s="133">
        <v>0.71</v>
      </c>
      <c r="Q31" s="133">
        <v>4.7699999999999996</v>
      </c>
    </row>
    <row r="32" spans="1:17" customFormat="1">
      <c r="A32" s="111" t="s">
        <v>2853</v>
      </c>
      <c r="B32" s="133">
        <v>12.22</v>
      </c>
      <c r="C32" s="133">
        <v>21.34</v>
      </c>
      <c r="D32" s="133">
        <v>22.3</v>
      </c>
      <c r="E32" s="133">
        <v>4.74</v>
      </c>
      <c r="F32" s="133">
        <v>2.69</v>
      </c>
      <c r="G32" s="133">
        <v>53.97</v>
      </c>
      <c r="H32" s="133">
        <v>25.44</v>
      </c>
      <c r="I32" s="133">
        <v>8.66</v>
      </c>
      <c r="J32" s="133">
        <v>0.22</v>
      </c>
      <c r="K32" s="133">
        <v>185.61</v>
      </c>
      <c r="L32" s="133">
        <v>17.309999999999999</v>
      </c>
      <c r="M32" s="133">
        <v>95.39</v>
      </c>
      <c r="N32" s="133">
        <v>0</v>
      </c>
      <c r="O32" s="133">
        <v>0</v>
      </c>
      <c r="P32" s="133">
        <v>0.7</v>
      </c>
      <c r="Q32" s="133">
        <v>4.76</v>
      </c>
    </row>
    <row r="33" spans="1:17" customFormat="1">
      <c r="A33" s="111" t="s">
        <v>2854</v>
      </c>
      <c r="B33" s="133">
        <v>12.05</v>
      </c>
      <c r="C33" s="133">
        <v>21.77</v>
      </c>
      <c r="D33" s="133">
        <v>22.39</v>
      </c>
      <c r="E33" s="133">
        <v>5.21</v>
      </c>
      <c r="F33" s="133">
        <v>2.54</v>
      </c>
      <c r="G33" s="133">
        <v>53.97</v>
      </c>
      <c r="H33" s="133">
        <v>25.44</v>
      </c>
      <c r="I33" s="133">
        <v>8.5</v>
      </c>
      <c r="J33" s="133">
        <v>0.2</v>
      </c>
      <c r="K33" s="133">
        <v>175.61</v>
      </c>
      <c r="L33" s="133">
        <v>17.309999999999999</v>
      </c>
      <c r="M33" s="133">
        <v>94.41</v>
      </c>
      <c r="N33" s="133">
        <v>0.3</v>
      </c>
      <c r="O33" s="133">
        <v>0</v>
      </c>
      <c r="P33" s="133">
        <v>0.7</v>
      </c>
      <c r="Q33" s="133">
        <v>4.74</v>
      </c>
    </row>
    <row r="34" spans="1:17" customFormat="1">
      <c r="A34" s="111" t="s">
        <v>2855</v>
      </c>
      <c r="B34" s="133">
        <v>11.93</v>
      </c>
      <c r="C34" s="133">
        <v>21.13</v>
      </c>
      <c r="D34" s="133">
        <v>21.95</v>
      </c>
      <c r="E34" s="133">
        <v>4.38</v>
      </c>
      <c r="F34" s="133">
        <v>2.61</v>
      </c>
      <c r="G34" s="133">
        <v>53.97</v>
      </c>
      <c r="H34" s="133">
        <v>25.44</v>
      </c>
      <c r="I34" s="133">
        <v>8.42</v>
      </c>
      <c r="J34" s="133">
        <v>0.26</v>
      </c>
      <c r="K34" s="133">
        <v>171.95</v>
      </c>
      <c r="L34" s="133">
        <v>17.54</v>
      </c>
      <c r="M34" s="133">
        <v>92.84</v>
      </c>
      <c r="N34" s="133">
        <v>6.8</v>
      </c>
      <c r="O34" s="133">
        <v>0</v>
      </c>
      <c r="P34" s="133">
        <v>0.69</v>
      </c>
      <c r="Q34" s="133">
        <v>4.75</v>
      </c>
    </row>
    <row r="35" spans="1:17" customFormat="1">
      <c r="A35" s="111" t="s">
        <v>2856</v>
      </c>
      <c r="B35" s="133">
        <v>11.8</v>
      </c>
      <c r="C35" s="133">
        <v>21.42</v>
      </c>
      <c r="D35" s="133">
        <v>22.01</v>
      </c>
      <c r="E35" s="133">
        <v>4.87</v>
      </c>
      <c r="F35" s="133">
        <v>2.48</v>
      </c>
      <c r="G35" s="133">
        <v>54.13</v>
      </c>
      <c r="H35" s="133">
        <v>25.3</v>
      </c>
      <c r="I35" s="133">
        <v>8.2799999999999994</v>
      </c>
      <c r="J35" s="133">
        <v>0.05</v>
      </c>
      <c r="K35" s="133">
        <v>236.26</v>
      </c>
      <c r="L35" s="133">
        <v>17.940000000000001</v>
      </c>
      <c r="M35" s="133">
        <v>92.15</v>
      </c>
      <c r="N35" s="133">
        <v>19.2</v>
      </c>
      <c r="O35" s="133">
        <v>0</v>
      </c>
      <c r="P35" s="133">
        <v>0.68</v>
      </c>
      <c r="Q35" s="133">
        <v>4.74</v>
      </c>
    </row>
    <row r="36" spans="1:17" customFormat="1">
      <c r="A36" s="111" t="s">
        <v>2857</v>
      </c>
      <c r="B36" s="133">
        <v>11.92</v>
      </c>
      <c r="C36" s="133">
        <v>21.78</v>
      </c>
      <c r="D36" s="133">
        <v>22.29</v>
      </c>
      <c r="E36" s="133">
        <v>4.37</v>
      </c>
      <c r="F36" s="133">
        <v>2.5099999999999998</v>
      </c>
      <c r="G36" s="133">
        <v>57.59</v>
      </c>
      <c r="H36" s="133">
        <v>23.12</v>
      </c>
      <c r="I36" s="133">
        <v>8.2200000000000006</v>
      </c>
      <c r="J36" s="133">
        <v>0.05</v>
      </c>
      <c r="K36" s="133">
        <v>353.13</v>
      </c>
      <c r="L36" s="133">
        <v>18.43</v>
      </c>
      <c r="M36" s="133">
        <v>89.51</v>
      </c>
      <c r="N36" s="133">
        <v>31.4</v>
      </c>
      <c r="O36" s="133">
        <v>0</v>
      </c>
      <c r="P36" s="133">
        <v>0.7</v>
      </c>
      <c r="Q36" s="133">
        <v>4.75</v>
      </c>
    </row>
    <row r="37" spans="1:17" customFormat="1">
      <c r="A37" s="111" t="s">
        <v>2858</v>
      </c>
      <c r="B37" s="133">
        <v>13.16</v>
      </c>
      <c r="C37" s="133">
        <v>22.13</v>
      </c>
      <c r="D37" s="133">
        <v>23.46</v>
      </c>
      <c r="E37" s="133">
        <v>4.71</v>
      </c>
      <c r="F37" s="133">
        <v>2.5299999999999998</v>
      </c>
      <c r="G37" s="133">
        <v>57.59</v>
      </c>
      <c r="H37" s="133">
        <v>23.12</v>
      </c>
      <c r="I37" s="133">
        <v>8.16</v>
      </c>
      <c r="J37" s="133">
        <v>7.0000000000000007E-2</v>
      </c>
      <c r="K37" s="133">
        <v>310.62</v>
      </c>
      <c r="L37" s="133">
        <v>19.12</v>
      </c>
      <c r="M37" s="133">
        <v>86.95</v>
      </c>
      <c r="N37" s="133">
        <v>43.2</v>
      </c>
      <c r="O37" s="133">
        <v>0</v>
      </c>
      <c r="P37" s="133">
        <v>0.7</v>
      </c>
      <c r="Q37" s="133">
        <v>4.79</v>
      </c>
    </row>
    <row r="38" spans="1:17" customFormat="1">
      <c r="A38" s="111" t="s">
        <v>2859</v>
      </c>
      <c r="B38" s="133">
        <v>14.53</v>
      </c>
      <c r="C38" s="133">
        <v>23.07</v>
      </c>
      <c r="D38" s="133">
        <v>25.06</v>
      </c>
      <c r="E38" s="133">
        <v>5.33</v>
      </c>
      <c r="F38" s="133">
        <v>2.61</v>
      </c>
      <c r="G38" s="133">
        <v>57.59</v>
      </c>
      <c r="H38" s="133">
        <v>23.12</v>
      </c>
      <c r="I38" s="133">
        <v>8.16</v>
      </c>
      <c r="J38" s="133">
        <v>0.19</v>
      </c>
      <c r="K38" s="133">
        <v>73.150000000000006</v>
      </c>
      <c r="L38" s="133">
        <v>19.989999999999998</v>
      </c>
      <c r="M38" s="133">
        <v>83.02</v>
      </c>
      <c r="N38" s="133">
        <v>65.900000000000006</v>
      </c>
      <c r="O38" s="133">
        <v>0</v>
      </c>
      <c r="P38" s="133">
        <v>0.71</v>
      </c>
      <c r="Q38" s="133">
        <v>4.87</v>
      </c>
    </row>
    <row r="39" spans="1:17" customFormat="1">
      <c r="A39" s="111" t="s">
        <v>2860</v>
      </c>
      <c r="B39" s="133">
        <v>15.6</v>
      </c>
      <c r="C39" s="133">
        <v>23.67</v>
      </c>
      <c r="D39" s="133">
        <v>26.22</v>
      </c>
      <c r="E39" s="133">
        <v>5.7</v>
      </c>
      <c r="F39" s="133">
        <v>2.62</v>
      </c>
      <c r="G39" s="133">
        <v>58.73</v>
      </c>
      <c r="H39" s="133">
        <v>23.57</v>
      </c>
      <c r="I39" s="133">
        <v>8.18</v>
      </c>
      <c r="J39" s="133">
        <v>0.12</v>
      </c>
      <c r="K39" s="133">
        <v>72</v>
      </c>
      <c r="L39" s="133">
        <v>21.07</v>
      </c>
      <c r="M39" s="133">
        <v>77.17</v>
      </c>
      <c r="N39" s="133">
        <v>178.8</v>
      </c>
      <c r="O39" s="133">
        <v>0</v>
      </c>
      <c r="P39" s="133">
        <v>0.73</v>
      </c>
      <c r="Q39" s="133">
        <v>4.9400000000000004</v>
      </c>
    </row>
    <row r="40" spans="1:17" customFormat="1">
      <c r="A40" s="111" t="s">
        <v>2861</v>
      </c>
      <c r="B40" s="133">
        <v>16.09</v>
      </c>
      <c r="C40" s="133">
        <v>23.96</v>
      </c>
      <c r="D40" s="133">
        <v>26.78</v>
      </c>
      <c r="E40" s="133">
        <v>5.85</v>
      </c>
      <c r="F40" s="133">
        <v>2.54</v>
      </c>
      <c r="G40" s="133">
        <v>83.35</v>
      </c>
      <c r="H40" s="133">
        <v>30.69</v>
      </c>
      <c r="I40" s="133">
        <v>8.39</v>
      </c>
      <c r="J40" s="133">
        <v>0.32</v>
      </c>
      <c r="K40" s="133">
        <v>38.47</v>
      </c>
      <c r="L40" s="133">
        <v>22.16</v>
      </c>
      <c r="M40" s="133">
        <v>72.2</v>
      </c>
      <c r="N40" s="133">
        <v>218.6</v>
      </c>
      <c r="O40" s="133">
        <v>0</v>
      </c>
      <c r="P40" s="133">
        <v>0.76</v>
      </c>
      <c r="Q40" s="133">
        <v>4.95</v>
      </c>
    </row>
    <row r="41" spans="1:17" customFormat="1">
      <c r="A41" s="111" t="s">
        <v>2862</v>
      </c>
      <c r="B41" s="133">
        <v>16.239999999999998</v>
      </c>
      <c r="C41" s="133">
        <v>25.15</v>
      </c>
      <c r="D41" s="133">
        <v>27.52</v>
      </c>
      <c r="E41" s="133">
        <v>6.01</v>
      </c>
      <c r="F41" s="133">
        <v>2.58</v>
      </c>
      <c r="G41" s="133">
        <v>83.35</v>
      </c>
      <c r="H41" s="133">
        <v>30.69</v>
      </c>
      <c r="I41" s="133">
        <v>8.65</v>
      </c>
      <c r="J41" s="133">
        <v>0.15</v>
      </c>
      <c r="K41" s="133">
        <v>39.4</v>
      </c>
      <c r="L41" s="133">
        <v>23.06</v>
      </c>
      <c r="M41" s="133">
        <v>68.2</v>
      </c>
      <c r="N41" s="133">
        <v>263.10000000000002</v>
      </c>
      <c r="O41" s="133">
        <v>0</v>
      </c>
      <c r="P41" s="133">
        <v>0.8</v>
      </c>
      <c r="Q41" s="133">
        <v>4.96</v>
      </c>
    </row>
    <row r="42" spans="1:17" customFormat="1">
      <c r="A42" s="111" t="s">
        <v>2863</v>
      </c>
      <c r="B42" s="133">
        <v>15.78</v>
      </c>
      <c r="C42" s="133">
        <v>25.75</v>
      </c>
      <c r="D42" s="133">
        <v>27.46</v>
      </c>
      <c r="E42" s="133">
        <v>5.54</v>
      </c>
      <c r="F42" s="133">
        <v>2.86</v>
      </c>
      <c r="G42" s="133">
        <v>83.35</v>
      </c>
      <c r="H42" s="133">
        <v>30.69</v>
      </c>
      <c r="I42" s="133">
        <v>8.92</v>
      </c>
      <c r="J42" s="133">
        <v>0.12</v>
      </c>
      <c r="K42" s="133">
        <v>88.55</v>
      </c>
      <c r="L42" s="133">
        <v>24.22</v>
      </c>
      <c r="M42" s="133">
        <v>62.21</v>
      </c>
      <c r="N42" s="133">
        <v>303.89999999999998</v>
      </c>
      <c r="O42" s="133">
        <v>0</v>
      </c>
      <c r="P42" s="133">
        <v>0.82</v>
      </c>
      <c r="Q42" s="133">
        <v>4.97</v>
      </c>
    </row>
    <row r="43" spans="1:17" customFormat="1">
      <c r="A43" s="111" t="s">
        <v>2864</v>
      </c>
      <c r="B43" s="133">
        <v>14.54</v>
      </c>
      <c r="C43" s="133">
        <v>26.57</v>
      </c>
      <c r="D43" s="133">
        <v>26.89</v>
      </c>
      <c r="E43" s="133">
        <v>5.37</v>
      </c>
      <c r="F43" s="133">
        <v>3.05</v>
      </c>
      <c r="G43" s="133">
        <v>83.75</v>
      </c>
      <c r="H43" s="133">
        <v>31.34</v>
      </c>
      <c r="I43" s="133">
        <v>9.2200000000000006</v>
      </c>
      <c r="J43" s="133">
        <v>0.16</v>
      </c>
      <c r="K43" s="133">
        <v>306.45</v>
      </c>
      <c r="L43" s="133">
        <v>25.05</v>
      </c>
      <c r="M43" s="133">
        <v>58.7</v>
      </c>
      <c r="N43" s="133">
        <v>343.4</v>
      </c>
      <c r="O43" s="133">
        <v>0</v>
      </c>
      <c r="P43" s="133">
        <v>0.85</v>
      </c>
      <c r="Q43" s="133">
        <v>4.93</v>
      </c>
    </row>
    <row r="44" spans="1:17" customFormat="1">
      <c r="A44" s="111" t="s">
        <v>2865</v>
      </c>
      <c r="B44" s="133">
        <v>13.19</v>
      </c>
      <c r="C44" s="133">
        <v>27.16</v>
      </c>
      <c r="D44" s="133">
        <v>26.12</v>
      </c>
      <c r="E44" s="133">
        <v>5.69</v>
      </c>
      <c r="F44" s="133">
        <v>3.32</v>
      </c>
      <c r="G44" s="133">
        <v>90.53</v>
      </c>
      <c r="H44" s="133">
        <v>41.52</v>
      </c>
      <c r="I44" s="133">
        <v>9.4</v>
      </c>
      <c r="J44" s="133">
        <v>0.25</v>
      </c>
      <c r="K44" s="133">
        <v>170.92</v>
      </c>
      <c r="L44" s="133">
        <v>25.72</v>
      </c>
      <c r="M44" s="133">
        <v>54.72</v>
      </c>
      <c r="N44" s="133">
        <v>380.6</v>
      </c>
      <c r="O44" s="133">
        <v>0</v>
      </c>
      <c r="P44" s="133">
        <v>0.86</v>
      </c>
      <c r="Q44" s="133">
        <v>4.8899999999999997</v>
      </c>
    </row>
    <row r="45" spans="1:17" customFormat="1">
      <c r="A45" s="111" t="s">
        <v>2866</v>
      </c>
      <c r="B45" s="133">
        <v>11.43</v>
      </c>
      <c r="C45" s="133">
        <v>27.44</v>
      </c>
      <c r="D45" s="133">
        <v>24.85</v>
      </c>
      <c r="E45" s="133">
        <v>5.76</v>
      </c>
      <c r="F45" s="133">
        <v>3.5</v>
      </c>
      <c r="G45" s="133">
        <v>90.53</v>
      </c>
      <c r="H45" s="133">
        <v>41.52</v>
      </c>
      <c r="I45" s="133">
        <v>9.41</v>
      </c>
      <c r="J45" s="133">
        <v>0.3</v>
      </c>
      <c r="K45" s="133">
        <v>139.22999999999999</v>
      </c>
      <c r="L45" s="133">
        <v>26.61</v>
      </c>
      <c r="M45" s="133">
        <v>53.39</v>
      </c>
      <c r="N45" s="133">
        <v>390</v>
      </c>
      <c r="O45" s="133">
        <v>0</v>
      </c>
      <c r="P45" s="133">
        <v>0.85</v>
      </c>
      <c r="Q45" s="133">
        <v>4.8</v>
      </c>
    </row>
    <row r="46" spans="1:17" customFormat="1">
      <c r="A46" s="111" t="s">
        <v>2867</v>
      </c>
      <c r="B46" s="133">
        <v>9.75</v>
      </c>
      <c r="C46" s="133">
        <v>27.43</v>
      </c>
      <c r="D46" s="133">
        <v>23.5</v>
      </c>
      <c r="E46" s="133">
        <v>5.32</v>
      </c>
      <c r="F46" s="133">
        <v>3.61</v>
      </c>
      <c r="G46" s="133">
        <v>90.53</v>
      </c>
      <c r="H46" s="133">
        <v>41.52</v>
      </c>
      <c r="I46" s="133">
        <v>9.41</v>
      </c>
      <c r="J46" s="133">
        <v>0.17</v>
      </c>
      <c r="K46" s="133">
        <v>229.54</v>
      </c>
      <c r="L46" s="133">
        <v>26.88</v>
      </c>
      <c r="M46" s="133">
        <v>51.88</v>
      </c>
      <c r="N46" s="133">
        <v>289.60000000000002</v>
      </c>
      <c r="O46" s="133">
        <v>0</v>
      </c>
      <c r="P46" s="133">
        <v>0.84</v>
      </c>
      <c r="Q46" s="133">
        <v>4.72</v>
      </c>
    </row>
    <row r="47" spans="1:17" customFormat="1">
      <c r="A47" s="111" t="s">
        <v>2868</v>
      </c>
      <c r="B47" s="133">
        <v>8.5299999999999994</v>
      </c>
      <c r="C47" s="133">
        <v>27.07</v>
      </c>
      <c r="D47" s="133">
        <v>22.33</v>
      </c>
      <c r="E47" s="133">
        <v>5.56</v>
      </c>
      <c r="F47" s="133">
        <v>3.73</v>
      </c>
      <c r="G47" s="133">
        <v>90.01</v>
      </c>
      <c r="H47" s="133">
        <v>41.22</v>
      </c>
      <c r="I47" s="133">
        <v>9.3000000000000007</v>
      </c>
      <c r="J47" s="133">
        <v>0.21</v>
      </c>
      <c r="K47" s="133">
        <v>231</v>
      </c>
      <c r="L47" s="133">
        <v>27.32</v>
      </c>
      <c r="M47" s="133">
        <v>49.8</v>
      </c>
      <c r="N47" s="133">
        <v>375</v>
      </c>
      <c r="O47" s="133">
        <v>0</v>
      </c>
      <c r="P47" s="133">
        <v>0.82</v>
      </c>
      <c r="Q47" s="133">
        <v>4.6399999999999997</v>
      </c>
    </row>
    <row r="48" spans="1:17" customFormat="1">
      <c r="A48" s="111" t="s">
        <v>2869</v>
      </c>
      <c r="B48" s="133">
        <v>7.28</v>
      </c>
      <c r="C48" s="133">
        <v>26.93</v>
      </c>
      <c r="D48" s="133">
        <v>21.25</v>
      </c>
      <c r="E48" s="133">
        <v>5.93</v>
      </c>
      <c r="F48" s="133">
        <v>3.95</v>
      </c>
      <c r="G48" s="133">
        <v>81.28</v>
      </c>
      <c r="H48" s="133">
        <v>36.590000000000003</v>
      </c>
      <c r="I48" s="133">
        <v>9.17</v>
      </c>
      <c r="J48" s="133">
        <v>0.27</v>
      </c>
      <c r="K48" s="133">
        <v>256.27999999999997</v>
      </c>
      <c r="L48" s="133">
        <v>27.69</v>
      </c>
      <c r="M48" s="133">
        <v>48.67</v>
      </c>
      <c r="N48" s="133">
        <v>513.9</v>
      </c>
      <c r="O48" s="133">
        <v>0</v>
      </c>
      <c r="P48" s="133">
        <v>0.81</v>
      </c>
      <c r="Q48" s="133">
        <v>4.57</v>
      </c>
    </row>
    <row r="49" spans="1:17" customFormat="1">
      <c r="A49" s="111" t="s">
        <v>2870</v>
      </c>
      <c r="B49" s="133">
        <v>6.26</v>
      </c>
      <c r="C49" s="133">
        <v>26.34</v>
      </c>
      <c r="D49" s="133">
        <v>20.13</v>
      </c>
      <c r="E49" s="133">
        <v>4.8600000000000003</v>
      </c>
      <c r="F49" s="133">
        <v>4.1399999999999997</v>
      </c>
      <c r="G49" s="133">
        <v>81.28</v>
      </c>
      <c r="H49" s="133">
        <v>36.590000000000003</v>
      </c>
      <c r="I49" s="133">
        <v>8.99</v>
      </c>
      <c r="J49" s="133">
        <v>0.16</v>
      </c>
      <c r="K49" s="133">
        <v>208.85</v>
      </c>
      <c r="L49" s="133">
        <v>28.73</v>
      </c>
      <c r="M49" s="133">
        <v>45.12</v>
      </c>
      <c r="N49" s="133">
        <v>529.5</v>
      </c>
      <c r="O49" s="133">
        <v>0</v>
      </c>
      <c r="P49" s="133">
        <v>0.8</v>
      </c>
      <c r="Q49" s="133">
        <v>4.53</v>
      </c>
    </row>
    <row r="50" spans="1:17" customFormat="1">
      <c r="A50" s="111" t="s">
        <v>2871</v>
      </c>
      <c r="B50" s="133">
        <v>5.39</v>
      </c>
      <c r="C50" s="133">
        <v>25.59</v>
      </c>
      <c r="D50" s="133">
        <v>19.04</v>
      </c>
      <c r="E50" s="133">
        <v>5.84</v>
      </c>
      <c r="F50" s="133">
        <v>4.34</v>
      </c>
      <c r="G50" s="133">
        <v>81.28</v>
      </c>
      <c r="H50" s="133">
        <v>36.590000000000003</v>
      </c>
      <c r="I50" s="133">
        <v>8.83</v>
      </c>
      <c r="J50" s="133">
        <v>0.41</v>
      </c>
      <c r="K50" s="133">
        <v>15</v>
      </c>
      <c r="L50" s="133">
        <v>28.74</v>
      </c>
      <c r="M50" s="133">
        <v>43.74</v>
      </c>
      <c r="N50" s="133">
        <v>547</v>
      </c>
      <c r="O50" s="133">
        <v>0</v>
      </c>
      <c r="P50" s="133">
        <v>0.78</v>
      </c>
      <c r="Q50" s="133">
        <v>4.46</v>
      </c>
    </row>
    <row r="51" spans="1:17" customFormat="1">
      <c r="A51" s="111" t="s">
        <v>2872</v>
      </c>
      <c r="B51" s="133">
        <v>4.9400000000000004</v>
      </c>
      <c r="C51" s="133">
        <v>25.48</v>
      </c>
      <c r="D51" s="133">
        <v>18.63</v>
      </c>
      <c r="E51" s="133">
        <v>5.99</v>
      </c>
      <c r="F51" s="133">
        <v>4.54</v>
      </c>
      <c r="G51" s="133">
        <v>80.52</v>
      </c>
      <c r="H51" s="133">
        <v>36.159999999999997</v>
      </c>
      <c r="I51" s="133">
        <v>8.6199999999999992</v>
      </c>
      <c r="J51" s="133">
        <v>0.2</v>
      </c>
      <c r="K51" s="133">
        <v>80.790000000000006</v>
      </c>
      <c r="L51" s="133">
        <v>29.2</v>
      </c>
      <c r="M51" s="133">
        <v>42.35</v>
      </c>
      <c r="N51" s="133">
        <v>557.20000000000005</v>
      </c>
      <c r="O51" s="133">
        <v>0</v>
      </c>
      <c r="P51" s="133">
        <v>0.77</v>
      </c>
      <c r="Q51" s="133">
        <v>4.41</v>
      </c>
    </row>
    <row r="52" spans="1:17" customFormat="1">
      <c r="A52" s="111" t="s">
        <v>2873</v>
      </c>
      <c r="B52" s="133">
        <v>4.57</v>
      </c>
      <c r="C52" s="133">
        <v>25.17</v>
      </c>
      <c r="D52" s="133">
        <v>18.16</v>
      </c>
      <c r="E52" s="133">
        <v>5.62</v>
      </c>
      <c r="F52" s="133">
        <v>4.8</v>
      </c>
      <c r="G52" s="133">
        <v>67.510000000000005</v>
      </c>
      <c r="H52" s="133">
        <v>29.5</v>
      </c>
      <c r="I52" s="133">
        <v>8.4</v>
      </c>
      <c r="J52" s="133">
        <v>0.1</v>
      </c>
      <c r="K52" s="133">
        <v>124.65</v>
      </c>
      <c r="L52" s="133">
        <v>30.08</v>
      </c>
      <c r="M52" s="133">
        <v>39.36</v>
      </c>
      <c r="N52" s="133">
        <v>538.1</v>
      </c>
      <c r="O52" s="133">
        <v>0</v>
      </c>
      <c r="P52" s="133">
        <v>0.77</v>
      </c>
      <c r="Q52" s="133">
        <v>4.3899999999999997</v>
      </c>
    </row>
    <row r="53" spans="1:17" customFormat="1">
      <c r="A53" s="111" t="s">
        <v>2874</v>
      </c>
      <c r="B53" s="133">
        <v>4.28</v>
      </c>
      <c r="C53" s="133">
        <v>24.5</v>
      </c>
      <c r="D53" s="133">
        <v>17.579999999999998</v>
      </c>
      <c r="E53" s="133">
        <v>5.91</v>
      </c>
      <c r="F53" s="133">
        <v>5.33</v>
      </c>
      <c r="G53" s="133">
        <v>67.510000000000005</v>
      </c>
      <c r="H53" s="133">
        <v>29.5</v>
      </c>
      <c r="I53" s="133">
        <v>8.2100000000000009</v>
      </c>
      <c r="J53" s="133">
        <v>0.23</v>
      </c>
      <c r="K53" s="133">
        <v>92.97</v>
      </c>
      <c r="L53" s="133">
        <v>30.52</v>
      </c>
      <c r="M53" s="133">
        <v>38.08</v>
      </c>
      <c r="N53" s="133">
        <v>599</v>
      </c>
      <c r="O53" s="133">
        <v>0</v>
      </c>
      <c r="P53" s="133">
        <v>0.74</v>
      </c>
      <c r="Q53" s="133">
        <v>4.3600000000000003</v>
      </c>
    </row>
    <row r="54" spans="1:17" customFormat="1">
      <c r="A54" s="111" t="s">
        <v>2875</v>
      </c>
      <c r="B54" s="133">
        <v>4.0999999999999996</v>
      </c>
      <c r="C54" s="133">
        <v>24.03</v>
      </c>
      <c r="D54" s="133">
        <v>17.190000000000001</v>
      </c>
      <c r="E54" s="133">
        <v>6.08</v>
      </c>
      <c r="F54" s="133">
        <v>5.3</v>
      </c>
      <c r="G54" s="133">
        <v>67.510000000000005</v>
      </c>
      <c r="H54" s="133">
        <v>29.5</v>
      </c>
      <c r="I54" s="133">
        <v>7.98</v>
      </c>
      <c r="J54" s="133">
        <v>0.12</v>
      </c>
      <c r="K54" s="133">
        <v>42.18</v>
      </c>
      <c r="L54" s="133">
        <v>30.42</v>
      </c>
      <c r="M54" s="133">
        <v>37.409999999999997</v>
      </c>
      <c r="N54" s="133">
        <v>601.6</v>
      </c>
      <c r="O54" s="133">
        <v>0</v>
      </c>
      <c r="P54" s="133">
        <v>0.73</v>
      </c>
      <c r="Q54" s="133">
        <v>4.3499999999999996</v>
      </c>
    </row>
    <row r="55" spans="1:17" customFormat="1">
      <c r="A55" s="111" t="s">
        <v>2876</v>
      </c>
      <c r="B55" s="133">
        <v>4.04</v>
      </c>
      <c r="C55" s="133">
        <v>23.57</v>
      </c>
      <c r="D55" s="133">
        <v>16.91</v>
      </c>
      <c r="E55" s="133">
        <v>5.84</v>
      </c>
      <c r="F55" s="133">
        <v>5.43</v>
      </c>
      <c r="G55" s="133">
        <v>67.290000000000006</v>
      </c>
      <c r="H55" s="133">
        <v>29.38</v>
      </c>
      <c r="I55" s="133">
        <v>7.76</v>
      </c>
      <c r="J55" s="133">
        <v>0.16</v>
      </c>
      <c r="K55" s="133">
        <v>66.989999999999995</v>
      </c>
      <c r="L55" s="133">
        <v>30.66</v>
      </c>
      <c r="M55" s="133">
        <v>35.01</v>
      </c>
      <c r="N55" s="133">
        <v>592.9</v>
      </c>
      <c r="O55" s="133">
        <v>0</v>
      </c>
      <c r="P55" s="133">
        <v>0.71</v>
      </c>
      <c r="Q55" s="133">
        <v>4.33</v>
      </c>
    </row>
    <row r="56" spans="1:17" customFormat="1">
      <c r="A56" s="111" t="s">
        <v>2877</v>
      </c>
      <c r="B56" s="133">
        <v>4.0199999999999996</v>
      </c>
      <c r="C56" s="133">
        <v>22.94</v>
      </c>
      <c r="D56" s="133">
        <v>16.559999999999999</v>
      </c>
      <c r="E56" s="133">
        <v>6.57</v>
      </c>
      <c r="F56" s="133">
        <v>6.46</v>
      </c>
      <c r="G56" s="133">
        <v>62.5</v>
      </c>
      <c r="H56" s="133">
        <v>27.48</v>
      </c>
      <c r="I56" s="133">
        <v>7.58</v>
      </c>
      <c r="J56" s="133">
        <v>0.22</v>
      </c>
      <c r="K56" s="133">
        <v>159.61000000000001</v>
      </c>
      <c r="L56" s="133">
        <v>30.67</v>
      </c>
      <c r="M56" s="133">
        <v>34.76</v>
      </c>
      <c r="N56" s="133">
        <v>602</v>
      </c>
      <c r="O56" s="133">
        <v>0</v>
      </c>
      <c r="P56" s="133">
        <v>0.69</v>
      </c>
      <c r="Q56" s="133">
        <v>4.3499999999999996</v>
      </c>
    </row>
    <row r="57" spans="1:17" customFormat="1">
      <c r="A57" s="111" t="s">
        <v>2878</v>
      </c>
      <c r="B57" s="133">
        <v>4.08</v>
      </c>
      <c r="C57" s="133">
        <v>22.3</v>
      </c>
      <c r="D57" s="133">
        <v>16.27</v>
      </c>
      <c r="E57" s="133">
        <v>5.98</v>
      </c>
      <c r="F57" s="133">
        <v>6.78</v>
      </c>
      <c r="G57" s="133">
        <v>62.5</v>
      </c>
      <c r="H57" s="133">
        <v>27.48</v>
      </c>
      <c r="I57" s="133">
        <v>7.33</v>
      </c>
      <c r="J57" s="133">
        <v>0.24</v>
      </c>
      <c r="K57" s="133">
        <v>181.41</v>
      </c>
      <c r="L57" s="133">
        <v>30.7</v>
      </c>
      <c r="M57" s="133">
        <v>35.119999999999997</v>
      </c>
      <c r="N57" s="133">
        <v>592.29999999999995</v>
      </c>
      <c r="O57" s="133">
        <v>0</v>
      </c>
      <c r="P57" s="133">
        <v>0.67</v>
      </c>
      <c r="Q57" s="133">
        <v>4.33</v>
      </c>
    </row>
    <row r="58" spans="1:17" customFormat="1">
      <c r="A58" s="111" t="s">
        <v>2879</v>
      </c>
      <c r="B58" s="133">
        <v>4.01</v>
      </c>
      <c r="C58" s="133">
        <v>21.9</v>
      </c>
      <c r="D58" s="133">
        <v>16.010000000000002</v>
      </c>
      <c r="E58" s="133">
        <v>5.88</v>
      </c>
      <c r="F58" s="133">
        <v>5.72</v>
      </c>
      <c r="G58" s="133">
        <v>62.5</v>
      </c>
      <c r="H58" s="133">
        <v>27.48</v>
      </c>
      <c r="I58" s="133">
        <v>7.11</v>
      </c>
      <c r="J58" s="133">
        <v>0.15</v>
      </c>
      <c r="K58" s="133">
        <v>166.87</v>
      </c>
      <c r="L58" s="133">
        <v>30.92</v>
      </c>
      <c r="M58" s="133">
        <v>35.369999999999997</v>
      </c>
      <c r="N58" s="133">
        <v>587.20000000000005</v>
      </c>
      <c r="O58" s="133">
        <v>0</v>
      </c>
      <c r="P58" s="133">
        <v>0.66</v>
      </c>
      <c r="Q58" s="133">
        <v>4.33</v>
      </c>
    </row>
    <row r="59" spans="1:17" customFormat="1">
      <c r="A59" s="111" t="s">
        <v>2880</v>
      </c>
      <c r="B59" s="133">
        <v>3.84</v>
      </c>
      <c r="C59" s="133">
        <v>21.83</v>
      </c>
      <c r="D59" s="133">
        <v>15.83</v>
      </c>
      <c r="E59" s="133">
        <v>6.39</v>
      </c>
      <c r="F59" s="133">
        <v>5.78</v>
      </c>
      <c r="G59" s="133">
        <v>62.17</v>
      </c>
      <c r="H59" s="133">
        <v>27.2</v>
      </c>
      <c r="I59" s="133">
        <v>6.98</v>
      </c>
      <c r="J59" s="133">
        <v>0.25</v>
      </c>
      <c r="K59" s="133">
        <v>49.82</v>
      </c>
      <c r="L59" s="133">
        <v>30.84</v>
      </c>
      <c r="M59" s="133">
        <v>34.270000000000003</v>
      </c>
      <c r="N59" s="133">
        <v>597.20000000000005</v>
      </c>
      <c r="O59" s="133">
        <v>0</v>
      </c>
      <c r="P59" s="133">
        <v>0.65</v>
      </c>
      <c r="Q59" s="133">
        <v>4.32</v>
      </c>
    </row>
    <row r="60" spans="1:17" customFormat="1">
      <c r="A60" s="111" t="s">
        <v>2881</v>
      </c>
      <c r="B60" s="133">
        <v>4.01</v>
      </c>
      <c r="C60" s="133">
        <v>21.12</v>
      </c>
      <c r="D60" s="133">
        <v>15.6</v>
      </c>
      <c r="E60" s="133">
        <v>6.32</v>
      </c>
      <c r="F60" s="133">
        <v>6.01</v>
      </c>
      <c r="G60" s="133">
        <v>55.15</v>
      </c>
      <c r="H60" s="133">
        <v>22.74</v>
      </c>
      <c r="I60" s="133">
        <v>6.8</v>
      </c>
      <c r="J60" s="133">
        <v>0.28999999999999998</v>
      </c>
      <c r="K60" s="133">
        <v>165.08</v>
      </c>
      <c r="L60" s="133">
        <v>31.18</v>
      </c>
      <c r="M60" s="133">
        <v>32.53</v>
      </c>
      <c r="N60" s="133">
        <v>565</v>
      </c>
      <c r="O60" s="133">
        <v>0</v>
      </c>
      <c r="P60" s="133">
        <v>0.63</v>
      </c>
      <c r="Q60" s="133">
        <v>4.3099999999999996</v>
      </c>
    </row>
    <row r="61" spans="1:17" customFormat="1">
      <c r="A61" s="111" t="s">
        <v>2882</v>
      </c>
      <c r="B61" s="133">
        <v>4.03</v>
      </c>
      <c r="C61" s="133">
        <v>20.69</v>
      </c>
      <c r="D61" s="133">
        <v>15.39</v>
      </c>
      <c r="E61" s="133">
        <v>6.46</v>
      </c>
      <c r="F61" s="133">
        <v>6.3</v>
      </c>
      <c r="G61" s="133">
        <v>55.15</v>
      </c>
      <c r="H61" s="133">
        <v>22.74</v>
      </c>
      <c r="I61" s="133">
        <v>6.57</v>
      </c>
      <c r="J61" s="133">
        <v>0.25</v>
      </c>
      <c r="K61" s="133">
        <v>126.76</v>
      </c>
      <c r="L61" s="133">
        <v>31.46</v>
      </c>
      <c r="M61" s="133">
        <v>30.94</v>
      </c>
      <c r="N61" s="133">
        <v>553.20000000000005</v>
      </c>
      <c r="O61" s="133">
        <v>0</v>
      </c>
      <c r="P61" s="133">
        <v>0.62</v>
      </c>
      <c r="Q61" s="133">
        <v>4.3</v>
      </c>
    </row>
    <row r="62" spans="1:17" customFormat="1">
      <c r="A62" s="111" t="s">
        <v>2883</v>
      </c>
      <c r="B62" s="133">
        <v>4.09</v>
      </c>
      <c r="C62" s="133">
        <v>20.21</v>
      </c>
      <c r="D62" s="133">
        <v>15.19</v>
      </c>
      <c r="E62" s="133">
        <v>6.14</v>
      </c>
      <c r="F62" s="133">
        <v>5.37</v>
      </c>
      <c r="G62" s="133">
        <v>55.15</v>
      </c>
      <c r="H62" s="133">
        <v>22.74</v>
      </c>
      <c r="I62" s="133">
        <v>6.38</v>
      </c>
      <c r="J62" s="133">
        <v>0.23</v>
      </c>
      <c r="K62" s="133">
        <v>142.33000000000001</v>
      </c>
      <c r="L62" s="133">
        <v>31.18</v>
      </c>
      <c r="M62" s="133">
        <v>30.72</v>
      </c>
      <c r="N62" s="133">
        <v>553.20000000000005</v>
      </c>
      <c r="O62" s="133">
        <v>0</v>
      </c>
      <c r="P62" s="133">
        <v>0.61</v>
      </c>
      <c r="Q62" s="133">
        <v>4.28</v>
      </c>
    </row>
    <row r="63" spans="1:17" customFormat="1">
      <c r="A63" s="111" t="s">
        <v>2884</v>
      </c>
      <c r="B63" s="133">
        <v>4.13</v>
      </c>
      <c r="C63" s="133">
        <v>19.21</v>
      </c>
      <c r="D63" s="133">
        <v>14.7</v>
      </c>
      <c r="E63" s="133">
        <v>5.27</v>
      </c>
      <c r="F63" s="133">
        <v>4.72</v>
      </c>
      <c r="G63" s="133">
        <v>54.85</v>
      </c>
      <c r="H63" s="133">
        <v>22.72</v>
      </c>
      <c r="I63" s="133">
        <v>6.18</v>
      </c>
      <c r="J63" s="133">
        <v>0.09</v>
      </c>
      <c r="K63" s="133">
        <v>121.01</v>
      </c>
      <c r="L63" s="133">
        <v>31.01</v>
      </c>
      <c r="M63" s="133">
        <v>31.83</v>
      </c>
      <c r="N63" s="133">
        <v>509.8</v>
      </c>
      <c r="O63" s="133">
        <v>0</v>
      </c>
      <c r="P63" s="133">
        <v>0.59</v>
      </c>
      <c r="Q63" s="133">
        <v>4.2699999999999996</v>
      </c>
    </row>
    <row r="64" spans="1:17" customFormat="1">
      <c r="A64" s="111" t="s">
        <v>2885</v>
      </c>
      <c r="B64" s="133">
        <v>4.2699999999999996</v>
      </c>
      <c r="C64" s="133">
        <v>18.64</v>
      </c>
      <c r="D64" s="133">
        <v>14.51</v>
      </c>
      <c r="E64" s="133">
        <v>5.64</v>
      </c>
      <c r="F64" s="133">
        <v>4.67</v>
      </c>
      <c r="G64" s="133">
        <v>49.82</v>
      </c>
      <c r="H64" s="133">
        <v>22.34</v>
      </c>
      <c r="I64" s="133">
        <v>6.07</v>
      </c>
      <c r="J64" s="133">
        <v>0.25</v>
      </c>
      <c r="K64" s="133">
        <v>108.79</v>
      </c>
      <c r="L64" s="133">
        <v>30.75</v>
      </c>
      <c r="M64" s="133">
        <v>32.75</v>
      </c>
      <c r="N64" s="133">
        <v>495.9</v>
      </c>
      <c r="O64" s="133">
        <v>0</v>
      </c>
      <c r="P64" s="133">
        <v>0.56999999999999995</v>
      </c>
      <c r="Q64" s="133">
        <v>4.2699999999999996</v>
      </c>
    </row>
    <row r="65" spans="1:17" customFormat="1">
      <c r="A65" s="111" t="s">
        <v>2886</v>
      </c>
      <c r="B65" s="133">
        <v>4.4400000000000004</v>
      </c>
      <c r="C65" s="133">
        <v>18.190000000000001</v>
      </c>
      <c r="D65" s="133">
        <v>14.41</v>
      </c>
      <c r="E65" s="133">
        <v>5.33</v>
      </c>
      <c r="F65" s="133">
        <v>4.45</v>
      </c>
      <c r="G65" s="133">
        <v>49.82</v>
      </c>
      <c r="H65" s="133">
        <v>22.34</v>
      </c>
      <c r="I65" s="133">
        <v>5.96</v>
      </c>
      <c r="J65" s="133">
        <v>0.54</v>
      </c>
      <c r="K65" s="133">
        <v>39.26</v>
      </c>
      <c r="L65" s="133">
        <v>30.5</v>
      </c>
      <c r="M65" s="133">
        <v>33.99</v>
      </c>
      <c r="N65" s="133">
        <v>443.1</v>
      </c>
      <c r="O65" s="133">
        <v>0</v>
      </c>
      <c r="P65" s="133">
        <v>0.53</v>
      </c>
      <c r="Q65" s="133">
        <v>4.26</v>
      </c>
    </row>
    <row r="66" spans="1:17" customFormat="1">
      <c r="A66" s="111" t="s">
        <v>2887</v>
      </c>
      <c r="B66" s="133">
        <v>4.53</v>
      </c>
      <c r="C66" s="133">
        <v>17.84</v>
      </c>
      <c r="D66" s="133">
        <v>14.31</v>
      </c>
      <c r="E66" s="133">
        <v>5.81</v>
      </c>
      <c r="F66" s="133">
        <v>6.01</v>
      </c>
      <c r="G66" s="133">
        <v>49.82</v>
      </c>
      <c r="H66" s="133">
        <v>22.34</v>
      </c>
      <c r="I66" s="133">
        <v>5.9</v>
      </c>
      <c r="J66" s="133">
        <v>0.49</v>
      </c>
      <c r="K66" s="133">
        <v>46.71</v>
      </c>
      <c r="L66" s="133">
        <v>30.04</v>
      </c>
      <c r="M66" s="133">
        <v>34.799999999999997</v>
      </c>
      <c r="N66" s="133">
        <v>209.1</v>
      </c>
      <c r="O66" s="133">
        <v>0</v>
      </c>
      <c r="P66" s="133">
        <v>0.55000000000000004</v>
      </c>
      <c r="Q66" s="133">
        <v>4.25</v>
      </c>
    </row>
    <row r="67" spans="1:17" customFormat="1">
      <c r="A67" s="111" t="s">
        <v>2888</v>
      </c>
      <c r="B67" s="133">
        <v>4.47</v>
      </c>
      <c r="C67" s="133">
        <v>17.850000000000001</v>
      </c>
      <c r="D67" s="133">
        <v>14.26</v>
      </c>
      <c r="E67" s="133">
        <v>6.13</v>
      </c>
      <c r="F67" s="133">
        <v>6.71</v>
      </c>
      <c r="G67" s="133">
        <v>49.88</v>
      </c>
      <c r="H67" s="133">
        <v>22.32</v>
      </c>
      <c r="I67" s="133">
        <v>5.8</v>
      </c>
      <c r="J67" s="133">
        <v>0.23</v>
      </c>
      <c r="K67" s="133">
        <v>122.68</v>
      </c>
      <c r="L67" s="133">
        <v>29.55</v>
      </c>
      <c r="M67" s="133">
        <v>35.64</v>
      </c>
      <c r="N67" s="133">
        <v>88.1</v>
      </c>
      <c r="O67" s="133">
        <v>0</v>
      </c>
      <c r="P67" s="133">
        <v>0.54</v>
      </c>
      <c r="Q67" s="133">
        <v>4.26</v>
      </c>
    </row>
    <row r="68" spans="1:17" customFormat="1">
      <c r="A68" s="111" t="s">
        <v>2889</v>
      </c>
      <c r="B68" s="133">
        <v>4.5599999999999996</v>
      </c>
      <c r="C68" s="133">
        <v>17.71</v>
      </c>
      <c r="D68" s="133">
        <v>14.26</v>
      </c>
      <c r="E68" s="133">
        <v>5.9</v>
      </c>
      <c r="F68" s="133">
        <v>5.72</v>
      </c>
      <c r="G68" s="133">
        <v>51.16</v>
      </c>
      <c r="H68" s="133">
        <v>21.97</v>
      </c>
      <c r="I68" s="133">
        <v>5.66</v>
      </c>
      <c r="J68" s="133">
        <v>0.53</v>
      </c>
      <c r="K68" s="133">
        <v>33.61</v>
      </c>
      <c r="L68" s="133">
        <v>29.08</v>
      </c>
      <c r="M68" s="133">
        <v>37.24</v>
      </c>
      <c r="N68" s="133">
        <v>79.599999999999994</v>
      </c>
      <c r="O68" s="133">
        <v>0</v>
      </c>
      <c r="P68" s="133">
        <v>0.54</v>
      </c>
      <c r="Q68" s="133">
        <v>4.26</v>
      </c>
    </row>
    <row r="69" spans="1:17" customFormat="1">
      <c r="A69" s="111" t="s">
        <v>2890</v>
      </c>
      <c r="B69" s="133">
        <v>4.7</v>
      </c>
      <c r="C69" s="133">
        <v>18.11</v>
      </c>
      <c r="D69" s="133">
        <v>14.58</v>
      </c>
      <c r="E69" s="133">
        <v>6.16</v>
      </c>
      <c r="F69" s="133">
        <v>5.31</v>
      </c>
      <c r="G69" s="133">
        <v>51.16</v>
      </c>
      <c r="H69" s="133">
        <v>21.97</v>
      </c>
      <c r="I69" s="133">
        <v>5.55</v>
      </c>
      <c r="J69" s="133">
        <v>0.26</v>
      </c>
      <c r="K69" s="133">
        <v>66.56</v>
      </c>
      <c r="L69" s="133">
        <v>28.9</v>
      </c>
      <c r="M69" s="133">
        <v>37.799999999999997</v>
      </c>
      <c r="N69" s="133">
        <v>69.400000000000006</v>
      </c>
      <c r="O69" s="133">
        <v>0</v>
      </c>
      <c r="P69" s="133">
        <v>0.54</v>
      </c>
      <c r="Q69" s="133">
        <v>4.26</v>
      </c>
    </row>
    <row r="70" spans="1:17" customFormat="1">
      <c r="A70" s="111" t="s">
        <v>2891</v>
      </c>
      <c r="B70" s="133">
        <v>4.6900000000000004</v>
      </c>
      <c r="C70" s="133">
        <v>18.04</v>
      </c>
      <c r="D70" s="133">
        <v>14.54</v>
      </c>
      <c r="E70" s="133">
        <v>5.17</v>
      </c>
      <c r="F70" s="133">
        <v>4.55</v>
      </c>
      <c r="G70" s="133">
        <v>51.16</v>
      </c>
      <c r="H70" s="133">
        <v>21.97</v>
      </c>
      <c r="I70" s="133">
        <v>5.56</v>
      </c>
      <c r="J70" s="133">
        <v>0.16</v>
      </c>
      <c r="K70" s="133">
        <v>151.04</v>
      </c>
      <c r="L70" s="133">
        <v>28.71</v>
      </c>
      <c r="M70" s="133">
        <v>39.979999999999997</v>
      </c>
      <c r="N70" s="133">
        <v>62</v>
      </c>
      <c r="O70" s="133">
        <v>0</v>
      </c>
      <c r="P70" s="133">
        <v>0.53</v>
      </c>
      <c r="Q70" s="133">
        <v>4.25</v>
      </c>
    </row>
    <row r="71" spans="1:17" customFormat="1">
      <c r="A71" s="111" t="s">
        <v>2892</v>
      </c>
      <c r="B71" s="133">
        <v>4.71</v>
      </c>
      <c r="C71" s="133">
        <v>17.93</v>
      </c>
      <c r="D71" s="133">
        <v>14.49</v>
      </c>
      <c r="E71" s="133">
        <v>6.51</v>
      </c>
      <c r="F71" s="133">
        <v>6.04</v>
      </c>
      <c r="G71" s="133">
        <v>51.09</v>
      </c>
      <c r="H71" s="133">
        <v>21.94</v>
      </c>
      <c r="I71" s="133">
        <v>5.49</v>
      </c>
      <c r="J71" s="133">
        <v>0.35</v>
      </c>
      <c r="K71" s="133">
        <v>51.07</v>
      </c>
      <c r="L71" s="133">
        <v>28.44</v>
      </c>
      <c r="M71" s="133">
        <v>40.090000000000003</v>
      </c>
      <c r="N71" s="133">
        <v>58</v>
      </c>
      <c r="O71" s="133">
        <v>0</v>
      </c>
      <c r="P71" s="133">
        <v>0.53</v>
      </c>
      <c r="Q71" s="133">
        <v>4.25</v>
      </c>
    </row>
    <row r="72" spans="1:17" customFormat="1">
      <c r="A72" s="111" t="s">
        <v>2893</v>
      </c>
      <c r="B72" s="133">
        <v>4.71</v>
      </c>
      <c r="C72" s="133">
        <v>18.02</v>
      </c>
      <c r="D72" s="133">
        <v>14.54</v>
      </c>
      <c r="E72" s="133">
        <v>6.52</v>
      </c>
      <c r="F72" s="133">
        <v>5.86</v>
      </c>
      <c r="G72" s="133">
        <v>49.87</v>
      </c>
      <c r="H72" s="133">
        <v>21.49</v>
      </c>
      <c r="I72" s="133">
        <v>5.46</v>
      </c>
      <c r="J72" s="133">
        <v>0.28000000000000003</v>
      </c>
      <c r="K72" s="133">
        <v>61.3</v>
      </c>
      <c r="L72" s="133">
        <v>28.22</v>
      </c>
      <c r="M72" s="133">
        <v>41.16</v>
      </c>
      <c r="N72" s="133">
        <v>40.9</v>
      </c>
      <c r="O72" s="133">
        <v>0</v>
      </c>
      <c r="P72" s="133">
        <v>0.52</v>
      </c>
      <c r="Q72" s="133">
        <v>4.28</v>
      </c>
    </row>
    <row r="73" spans="1:17" customFormat="1">
      <c r="A73" s="111" t="s">
        <v>2894</v>
      </c>
      <c r="B73" s="133">
        <v>4.7300000000000004</v>
      </c>
      <c r="C73" s="133">
        <v>18.12</v>
      </c>
      <c r="D73" s="133">
        <v>14.61</v>
      </c>
      <c r="E73" s="133">
        <v>5.69</v>
      </c>
      <c r="F73" s="133">
        <v>5.23</v>
      </c>
      <c r="G73" s="133">
        <v>49.87</v>
      </c>
      <c r="H73" s="133">
        <v>21.49</v>
      </c>
      <c r="I73" s="133">
        <v>5.28</v>
      </c>
      <c r="J73" s="133">
        <v>0.12</v>
      </c>
      <c r="K73" s="133">
        <v>123.13</v>
      </c>
      <c r="L73" s="133">
        <v>28.05</v>
      </c>
      <c r="M73" s="133">
        <v>41.44</v>
      </c>
      <c r="N73" s="133">
        <v>32</v>
      </c>
      <c r="O73" s="133">
        <v>0</v>
      </c>
      <c r="P73" s="133">
        <v>0.51</v>
      </c>
      <c r="Q73" s="133">
        <v>4.28</v>
      </c>
    </row>
    <row r="74" spans="1:17" customFormat="1">
      <c r="A74" s="111" t="s">
        <v>2895</v>
      </c>
      <c r="B74" s="133">
        <v>4.75</v>
      </c>
      <c r="C74" s="133">
        <v>17.899999999999999</v>
      </c>
      <c r="D74" s="133">
        <v>14.51</v>
      </c>
      <c r="E74" s="133">
        <v>5.13</v>
      </c>
      <c r="F74" s="133">
        <v>5.01</v>
      </c>
      <c r="G74" s="133">
        <v>49.87</v>
      </c>
      <c r="H74" s="133">
        <v>21.49</v>
      </c>
      <c r="I74" s="133">
        <v>5.28</v>
      </c>
      <c r="J74" s="133">
        <v>0.14000000000000001</v>
      </c>
      <c r="K74" s="133">
        <v>107.65</v>
      </c>
      <c r="L74" s="133">
        <v>27.61</v>
      </c>
      <c r="M74" s="133">
        <v>44.02</v>
      </c>
      <c r="N74" s="133">
        <v>22.8</v>
      </c>
      <c r="O74" s="133">
        <v>0</v>
      </c>
      <c r="P74" s="133">
        <v>0.5</v>
      </c>
      <c r="Q74" s="133">
        <v>4.28</v>
      </c>
    </row>
    <row r="75" spans="1:17" customFormat="1">
      <c r="A75" s="111" t="s">
        <v>2896</v>
      </c>
      <c r="B75" s="133">
        <v>4.79</v>
      </c>
      <c r="C75" s="133">
        <v>17.96</v>
      </c>
      <c r="D75" s="133">
        <v>14.57</v>
      </c>
      <c r="E75" s="133">
        <v>5.93</v>
      </c>
      <c r="F75" s="133">
        <v>5.79</v>
      </c>
      <c r="G75" s="133">
        <v>50.07</v>
      </c>
      <c r="H75" s="133">
        <v>21.7</v>
      </c>
      <c r="I75" s="133">
        <v>5.24</v>
      </c>
      <c r="J75" s="133">
        <v>0.17</v>
      </c>
      <c r="K75" s="133">
        <v>77.98</v>
      </c>
      <c r="L75" s="133">
        <v>27.29</v>
      </c>
      <c r="M75" s="133">
        <v>45.21</v>
      </c>
      <c r="N75" s="133">
        <v>13.2</v>
      </c>
      <c r="O75" s="133">
        <v>0</v>
      </c>
      <c r="P75" s="133">
        <v>0.5</v>
      </c>
      <c r="Q75" s="133">
        <v>4.2699999999999996</v>
      </c>
    </row>
    <row r="76" spans="1:17" customFormat="1">
      <c r="A76" s="111" t="s">
        <v>2897</v>
      </c>
      <c r="B76" s="133">
        <v>4.9000000000000004</v>
      </c>
      <c r="C76" s="133">
        <v>17.850000000000001</v>
      </c>
      <c r="D76" s="133">
        <v>14.61</v>
      </c>
      <c r="E76" s="133">
        <v>5.98</v>
      </c>
      <c r="F76" s="133">
        <v>4.57</v>
      </c>
      <c r="G76" s="133">
        <v>53.47</v>
      </c>
      <c r="H76" s="133">
        <v>24.98</v>
      </c>
      <c r="I76" s="133">
        <v>5.2</v>
      </c>
      <c r="J76" s="133">
        <v>0.13</v>
      </c>
      <c r="K76" s="133">
        <v>114.14</v>
      </c>
      <c r="L76" s="133">
        <v>26.78</v>
      </c>
      <c r="M76" s="133">
        <v>48.2</v>
      </c>
      <c r="N76" s="133">
        <v>4.5</v>
      </c>
      <c r="O76" s="133">
        <v>0</v>
      </c>
      <c r="P76" s="133">
        <v>0.5</v>
      </c>
      <c r="Q76" s="133">
        <v>4.28</v>
      </c>
    </row>
    <row r="77" spans="1:17" customFormat="1">
      <c r="A77" s="111" t="s">
        <v>2898</v>
      </c>
      <c r="B77" s="133">
        <v>4.9800000000000004</v>
      </c>
      <c r="C77" s="133">
        <v>17.66</v>
      </c>
      <c r="D77" s="133">
        <v>14.57</v>
      </c>
      <c r="E77" s="133">
        <v>5.47</v>
      </c>
      <c r="F77" s="133">
        <v>3.92</v>
      </c>
      <c r="G77" s="133">
        <v>53.47</v>
      </c>
      <c r="H77" s="133">
        <v>24.98</v>
      </c>
      <c r="I77" s="133">
        <v>5.09</v>
      </c>
      <c r="J77" s="133">
        <v>0.15</v>
      </c>
      <c r="K77" s="133">
        <v>92.47</v>
      </c>
      <c r="L77" s="133">
        <v>26.31</v>
      </c>
      <c r="M77" s="133">
        <v>49.45</v>
      </c>
      <c r="N77" s="133">
        <v>0</v>
      </c>
      <c r="O77" s="133">
        <v>0</v>
      </c>
      <c r="P77" s="133">
        <v>0.5</v>
      </c>
      <c r="Q77" s="133">
        <v>4.3099999999999996</v>
      </c>
    </row>
    <row r="78" spans="1:17" customFormat="1">
      <c r="A78" s="111" t="s">
        <v>2899</v>
      </c>
      <c r="B78" s="133">
        <v>5.09</v>
      </c>
      <c r="C78" s="133">
        <v>19.309999999999999</v>
      </c>
      <c r="D78" s="133">
        <v>15.52</v>
      </c>
      <c r="E78" s="133">
        <v>5.29</v>
      </c>
      <c r="F78" s="133">
        <v>3.18</v>
      </c>
      <c r="G78" s="133">
        <v>53.47</v>
      </c>
      <c r="H78" s="133">
        <v>24.98</v>
      </c>
      <c r="I78" s="133">
        <v>5.0999999999999996</v>
      </c>
      <c r="J78" s="133">
        <v>0.17</v>
      </c>
      <c r="K78" s="133">
        <v>150.77000000000001</v>
      </c>
      <c r="L78" s="133">
        <v>25.63</v>
      </c>
      <c r="M78" s="133">
        <v>53.04</v>
      </c>
      <c r="N78" s="133">
        <v>0</v>
      </c>
      <c r="O78" s="133">
        <v>0</v>
      </c>
      <c r="P78" s="133">
        <v>0.52</v>
      </c>
      <c r="Q78" s="133">
        <v>4.3099999999999996</v>
      </c>
    </row>
    <row r="79" spans="1:17" customFormat="1">
      <c r="A79" s="111" t="s">
        <v>2900</v>
      </c>
      <c r="B79" s="133">
        <v>5.42</v>
      </c>
      <c r="C79" s="133">
        <v>20.37</v>
      </c>
      <c r="D79" s="133">
        <v>16.34</v>
      </c>
      <c r="E79" s="133">
        <v>4.9000000000000004</v>
      </c>
      <c r="F79" s="133">
        <v>2.79</v>
      </c>
      <c r="G79" s="133">
        <v>53.84</v>
      </c>
      <c r="H79" s="133">
        <v>24.96</v>
      </c>
      <c r="I79" s="133">
        <v>5.1100000000000003</v>
      </c>
      <c r="J79" s="133">
        <v>0.26</v>
      </c>
      <c r="K79" s="133">
        <v>171.79</v>
      </c>
      <c r="L79" s="133">
        <v>24.95</v>
      </c>
      <c r="M79" s="133">
        <v>57.79</v>
      </c>
      <c r="N79" s="133">
        <v>0</v>
      </c>
      <c r="O79" s="133">
        <v>0</v>
      </c>
      <c r="P79" s="133">
        <v>0.54</v>
      </c>
      <c r="Q79" s="133">
        <v>4.33</v>
      </c>
    </row>
    <row r="80" spans="1:17" customFormat="1">
      <c r="A80" s="111" t="s">
        <v>2901</v>
      </c>
      <c r="B80" s="133">
        <v>5.79</v>
      </c>
      <c r="C80" s="133">
        <v>19.28</v>
      </c>
      <c r="D80" s="133">
        <v>16.059999999999999</v>
      </c>
      <c r="E80" s="133">
        <v>5.68</v>
      </c>
      <c r="F80" s="133">
        <v>2.96</v>
      </c>
      <c r="G80" s="133">
        <v>61.9</v>
      </c>
      <c r="H80" s="133">
        <v>24.61</v>
      </c>
      <c r="I80" s="133">
        <v>5.17</v>
      </c>
      <c r="J80" s="133">
        <v>0.23</v>
      </c>
      <c r="K80" s="133">
        <v>174.41</v>
      </c>
      <c r="L80" s="133">
        <v>24.19</v>
      </c>
      <c r="M80" s="133">
        <v>68.48</v>
      </c>
      <c r="N80" s="133">
        <v>0</v>
      </c>
      <c r="O80" s="133">
        <v>0</v>
      </c>
      <c r="P80" s="133">
        <v>0.53</v>
      </c>
      <c r="Q80" s="133">
        <v>4.34</v>
      </c>
    </row>
    <row r="81" spans="1:17" customFormat="1">
      <c r="A81" s="111" t="s">
        <v>2902</v>
      </c>
      <c r="B81" s="133">
        <v>5.79</v>
      </c>
      <c r="C81" s="133">
        <v>19.11</v>
      </c>
      <c r="D81" s="133">
        <v>15.98</v>
      </c>
      <c r="E81" s="133">
        <v>4.6500000000000004</v>
      </c>
      <c r="F81" s="133">
        <v>3.15</v>
      </c>
      <c r="G81" s="133">
        <v>61.9</v>
      </c>
      <c r="H81" s="133">
        <v>24.61</v>
      </c>
      <c r="I81" s="133">
        <v>5.21</v>
      </c>
      <c r="J81" s="133">
        <v>0.19</v>
      </c>
      <c r="K81" s="133">
        <v>168.56</v>
      </c>
      <c r="L81" s="133">
        <v>23.79</v>
      </c>
      <c r="M81" s="133">
        <v>64.64</v>
      </c>
      <c r="N81" s="133">
        <v>0</v>
      </c>
      <c r="O81" s="133">
        <v>0</v>
      </c>
      <c r="P81" s="133">
        <v>0.56999999999999995</v>
      </c>
      <c r="Q81" s="133">
        <v>4.3600000000000003</v>
      </c>
    </row>
    <row r="82" spans="1:17" customFormat="1">
      <c r="A82" s="111" t="s">
        <v>2903</v>
      </c>
      <c r="B82" s="133">
        <v>5.74</v>
      </c>
      <c r="C82" s="133">
        <v>19.48</v>
      </c>
      <c r="D82" s="133">
        <v>16.13</v>
      </c>
      <c r="E82" s="133">
        <v>5.64</v>
      </c>
      <c r="F82" s="133">
        <v>3.27</v>
      </c>
      <c r="G82" s="133">
        <v>61.9</v>
      </c>
      <c r="H82" s="133">
        <v>24.61</v>
      </c>
      <c r="I82" s="133">
        <v>5.23</v>
      </c>
      <c r="J82" s="133">
        <v>0.17</v>
      </c>
      <c r="K82" s="133">
        <v>186.17</v>
      </c>
      <c r="L82" s="133">
        <v>23.48</v>
      </c>
      <c r="M82" s="133">
        <v>68.5</v>
      </c>
      <c r="N82" s="133">
        <v>0</v>
      </c>
      <c r="O82" s="133">
        <v>0</v>
      </c>
      <c r="P82" s="133">
        <v>0.59</v>
      </c>
      <c r="Q82" s="133">
        <v>4.34</v>
      </c>
    </row>
    <row r="83" spans="1:17" customFormat="1">
      <c r="A83" s="111" t="s">
        <v>2904</v>
      </c>
      <c r="B83" s="133">
        <v>5.74</v>
      </c>
      <c r="C83" s="133">
        <v>19.66</v>
      </c>
      <c r="D83" s="133">
        <v>16.22</v>
      </c>
      <c r="E83" s="133">
        <v>5.73</v>
      </c>
      <c r="F83" s="133">
        <v>3.31</v>
      </c>
      <c r="G83" s="133">
        <v>61.99</v>
      </c>
      <c r="H83" s="133">
        <v>24.52</v>
      </c>
      <c r="I83" s="133">
        <v>5.25</v>
      </c>
      <c r="J83" s="133">
        <v>0.13</v>
      </c>
      <c r="K83" s="133">
        <v>200.27</v>
      </c>
      <c r="L83" s="133">
        <v>23.14</v>
      </c>
      <c r="M83" s="133">
        <v>69.39</v>
      </c>
      <c r="N83" s="133">
        <v>0</v>
      </c>
      <c r="O83" s="133">
        <v>0</v>
      </c>
      <c r="P83" s="133">
        <v>0.61</v>
      </c>
      <c r="Q83" s="133">
        <v>4.34</v>
      </c>
    </row>
    <row r="84" spans="1:17" customFormat="1">
      <c r="A84" s="111" t="s">
        <v>2905</v>
      </c>
      <c r="B84" s="133">
        <v>5.88</v>
      </c>
      <c r="C84" s="133">
        <v>20.48</v>
      </c>
      <c r="D84" s="133">
        <v>16.77</v>
      </c>
      <c r="E84" s="133">
        <v>5.9</v>
      </c>
      <c r="F84" s="133">
        <v>3.11</v>
      </c>
      <c r="G84" s="133">
        <v>63.54</v>
      </c>
      <c r="H84" s="133">
        <v>23.19</v>
      </c>
      <c r="I84" s="133">
        <v>5.28</v>
      </c>
      <c r="J84" s="133">
        <v>0.17</v>
      </c>
      <c r="K84" s="133">
        <v>174.39</v>
      </c>
      <c r="L84" s="133">
        <v>22.94</v>
      </c>
      <c r="M84" s="133">
        <v>71.099999999999994</v>
      </c>
      <c r="N84" s="133">
        <v>0</v>
      </c>
      <c r="O84" s="133">
        <v>0</v>
      </c>
      <c r="P84" s="133">
        <v>0.62</v>
      </c>
      <c r="Q84" s="133">
        <v>4.3600000000000003</v>
      </c>
    </row>
    <row r="85" spans="1:17" customFormat="1">
      <c r="A85" s="111" t="s">
        <v>2906</v>
      </c>
      <c r="B85" s="133">
        <v>6.21</v>
      </c>
      <c r="C85" s="133">
        <v>21.3</v>
      </c>
      <c r="D85" s="133">
        <v>17.46</v>
      </c>
      <c r="E85" s="133">
        <v>6.15</v>
      </c>
      <c r="F85" s="133">
        <v>2.86</v>
      </c>
      <c r="G85" s="133">
        <v>63.54</v>
      </c>
      <c r="H85" s="133">
        <v>23.19</v>
      </c>
      <c r="I85" s="133">
        <v>5.35</v>
      </c>
      <c r="J85" s="133">
        <v>0.16</v>
      </c>
      <c r="K85" s="133">
        <v>193.18</v>
      </c>
      <c r="L85" s="133">
        <v>22.53</v>
      </c>
      <c r="M85" s="133">
        <v>76.22</v>
      </c>
      <c r="N85" s="133">
        <v>0</v>
      </c>
      <c r="O85" s="133">
        <v>0</v>
      </c>
      <c r="P85" s="133">
        <v>0.64</v>
      </c>
      <c r="Q85" s="133">
        <v>4.4000000000000004</v>
      </c>
    </row>
    <row r="86" spans="1:17" customFormat="1">
      <c r="A86" s="111" t="s">
        <v>2907</v>
      </c>
      <c r="B86" s="133">
        <v>6.49</v>
      </c>
      <c r="C86" s="133">
        <v>21.53</v>
      </c>
      <c r="D86" s="133">
        <v>17.8</v>
      </c>
      <c r="E86" s="133">
        <v>5.93</v>
      </c>
      <c r="F86" s="133">
        <v>2.97</v>
      </c>
      <c r="G86" s="133">
        <v>63.54</v>
      </c>
      <c r="H86" s="133">
        <v>23.19</v>
      </c>
      <c r="I86" s="133">
        <v>5.49</v>
      </c>
      <c r="J86" s="133">
        <v>0.19</v>
      </c>
      <c r="K86" s="133">
        <v>212.52</v>
      </c>
      <c r="L86" s="133">
        <v>22.46</v>
      </c>
      <c r="M86" s="133">
        <v>73.47</v>
      </c>
      <c r="N86" s="133">
        <v>0</v>
      </c>
      <c r="O86" s="133">
        <v>0</v>
      </c>
      <c r="P86" s="133">
        <v>0.65</v>
      </c>
      <c r="Q86" s="133">
        <v>4.42</v>
      </c>
    </row>
    <row r="87" spans="1:17" customFormat="1">
      <c r="A87" s="111" t="s">
        <v>2908</v>
      </c>
      <c r="B87" s="133">
        <v>6.59</v>
      </c>
      <c r="C87" s="133">
        <v>21.84</v>
      </c>
      <c r="D87" s="133">
        <v>18.05</v>
      </c>
      <c r="E87" s="133">
        <v>6.15</v>
      </c>
      <c r="F87" s="133">
        <v>2.93</v>
      </c>
      <c r="G87" s="133">
        <v>64.17</v>
      </c>
      <c r="H87" s="133">
        <v>23.46</v>
      </c>
      <c r="I87" s="133">
        <v>5.64</v>
      </c>
      <c r="J87" s="133">
        <v>0.2</v>
      </c>
      <c r="K87" s="133">
        <v>207.25</v>
      </c>
      <c r="L87" s="133">
        <v>22.23</v>
      </c>
      <c r="M87" s="133">
        <v>75.59</v>
      </c>
      <c r="N87" s="133">
        <v>0</v>
      </c>
      <c r="O87" s="133">
        <v>0</v>
      </c>
      <c r="P87" s="133">
        <v>0.66</v>
      </c>
      <c r="Q87" s="133">
        <v>4.43</v>
      </c>
    </row>
    <row r="88" spans="1:17" customFormat="1">
      <c r="A88" s="111" t="s">
        <v>2909</v>
      </c>
      <c r="B88" s="133">
        <v>6.71</v>
      </c>
      <c r="C88" s="133">
        <v>22.11</v>
      </c>
      <c r="D88" s="133">
        <v>18.29</v>
      </c>
      <c r="E88" s="133">
        <v>6.03</v>
      </c>
      <c r="F88" s="133">
        <v>2.86</v>
      </c>
      <c r="G88" s="133">
        <v>75.02</v>
      </c>
      <c r="H88" s="133">
        <v>27.67</v>
      </c>
      <c r="I88" s="133">
        <v>5.75</v>
      </c>
      <c r="J88" s="133">
        <v>0.16</v>
      </c>
      <c r="K88" s="133">
        <v>179.7</v>
      </c>
      <c r="L88" s="133">
        <v>22.06</v>
      </c>
      <c r="M88" s="133">
        <v>74.989999999999995</v>
      </c>
      <c r="N88" s="133">
        <v>0</v>
      </c>
      <c r="O88" s="133">
        <v>0</v>
      </c>
      <c r="P88" s="133">
        <v>0.67</v>
      </c>
      <c r="Q88" s="133">
        <v>4.4400000000000004</v>
      </c>
    </row>
    <row r="89" spans="1:17" customFormat="1">
      <c r="A89" s="111" t="s">
        <v>2910</v>
      </c>
      <c r="B89" s="133">
        <v>6.87</v>
      </c>
      <c r="C89" s="133">
        <v>22.34</v>
      </c>
      <c r="D89" s="133">
        <v>18.53</v>
      </c>
      <c r="E89" s="133">
        <v>6.12</v>
      </c>
      <c r="F89" s="133">
        <v>2.84</v>
      </c>
      <c r="G89" s="133">
        <v>75.02</v>
      </c>
      <c r="H89" s="133">
        <v>27.67</v>
      </c>
      <c r="I89" s="133">
        <v>5.87</v>
      </c>
      <c r="J89" s="133">
        <v>0.17</v>
      </c>
      <c r="K89" s="133">
        <v>155.71</v>
      </c>
      <c r="L89" s="133">
        <v>22.03</v>
      </c>
      <c r="M89" s="133">
        <v>73.900000000000006</v>
      </c>
      <c r="N89" s="133">
        <v>0</v>
      </c>
      <c r="O89" s="133">
        <v>0</v>
      </c>
      <c r="P89" s="133">
        <v>0.67</v>
      </c>
      <c r="Q89" s="133">
        <v>4.4400000000000004</v>
      </c>
    </row>
    <row r="90" spans="1:17" customFormat="1">
      <c r="A90" s="111" t="s">
        <v>2911</v>
      </c>
      <c r="B90" s="133">
        <v>7.04</v>
      </c>
      <c r="C90" s="133">
        <v>22.64</v>
      </c>
      <c r="D90" s="133">
        <v>18.829999999999998</v>
      </c>
      <c r="E90" s="133">
        <v>6.49</v>
      </c>
      <c r="F90" s="133">
        <v>2.75</v>
      </c>
      <c r="G90" s="133">
        <v>75.02</v>
      </c>
      <c r="H90" s="133">
        <v>27.67</v>
      </c>
      <c r="I90" s="133">
        <v>5.96</v>
      </c>
      <c r="J90" s="133">
        <v>0.14000000000000001</v>
      </c>
      <c r="K90" s="133">
        <v>181.66</v>
      </c>
      <c r="L90" s="133">
        <v>21.87</v>
      </c>
      <c r="M90" s="133">
        <v>72.540000000000006</v>
      </c>
      <c r="N90" s="133">
        <v>0</v>
      </c>
      <c r="O90" s="133">
        <v>0</v>
      </c>
      <c r="P90" s="133">
        <v>0.69</v>
      </c>
      <c r="Q90" s="133">
        <v>4.4800000000000004</v>
      </c>
    </row>
    <row r="91" spans="1:17" customFormat="1">
      <c r="A91" s="111" t="s">
        <v>2912</v>
      </c>
      <c r="B91" s="133">
        <v>7.1</v>
      </c>
      <c r="C91" s="133">
        <v>23.39</v>
      </c>
      <c r="D91" s="133">
        <v>19.27</v>
      </c>
      <c r="E91" s="133">
        <v>6.38</v>
      </c>
      <c r="F91" s="133">
        <v>2.81</v>
      </c>
      <c r="G91" s="133">
        <v>75.59</v>
      </c>
      <c r="H91" s="133">
        <v>27.93</v>
      </c>
      <c r="I91" s="133">
        <v>6.05</v>
      </c>
      <c r="J91" s="133">
        <v>0.17</v>
      </c>
      <c r="K91" s="133">
        <v>214.24</v>
      </c>
      <c r="L91" s="133">
        <v>21.8</v>
      </c>
      <c r="M91" s="133">
        <v>76.7</v>
      </c>
      <c r="N91" s="133">
        <v>0</v>
      </c>
      <c r="O91" s="133">
        <v>0</v>
      </c>
      <c r="P91" s="133">
        <v>0.69</v>
      </c>
      <c r="Q91" s="133">
        <v>4.51</v>
      </c>
    </row>
    <row r="92" spans="1:17" customFormat="1">
      <c r="A92" s="111" t="s">
        <v>2913</v>
      </c>
      <c r="B92" s="133">
        <v>7.3</v>
      </c>
      <c r="C92" s="133">
        <v>23.64</v>
      </c>
      <c r="D92" s="133">
        <v>19.559999999999999</v>
      </c>
      <c r="E92" s="133">
        <v>6.46</v>
      </c>
      <c r="F92" s="133">
        <v>2.72</v>
      </c>
      <c r="G92" s="133">
        <v>87.92</v>
      </c>
      <c r="H92" s="133">
        <v>31.94</v>
      </c>
      <c r="I92" s="133">
        <v>6.14</v>
      </c>
      <c r="J92" s="133">
        <v>0.17</v>
      </c>
      <c r="K92" s="133">
        <v>214.57</v>
      </c>
      <c r="L92" s="133">
        <v>21.54</v>
      </c>
      <c r="M92" s="133">
        <v>78.84</v>
      </c>
      <c r="N92" s="133">
        <v>0</v>
      </c>
      <c r="O92" s="133">
        <v>0</v>
      </c>
      <c r="P92" s="133">
        <v>0.7</v>
      </c>
      <c r="Q92" s="133">
        <v>4.53</v>
      </c>
    </row>
    <row r="93" spans="1:17" customFormat="1">
      <c r="A93" s="111" t="s">
        <v>2914</v>
      </c>
      <c r="B93" s="133">
        <v>7.64</v>
      </c>
      <c r="C93" s="133">
        <v>23.63</v>
      </c>
      <c r="D93" s="133">
        <v>19.82</v>
      </c>
      <c r="E93" s="133">
        <v>6.51</v>
      </c>
      <c r="F93" s="133">
        <v>2.7</v>
      </c>
      <c r="G93" s="133">
        <v>87.92</v>
      </c>
      <c r="H93" s="133">
        <v>31.94</v>
      </c>
      <c r="I93" s="133">
        <v>6.23</v>
      </c>
      <c r="J93" s="133">
        <v>0.17</v>
      </c>
      <c r="K93" s="133">
        <v>229.4</v>
      </c>
      <c r="L93" s="133">
        <v>21.37</v>
      </c>
      <c r="M93" s="133">
        <v>78.930000000000007</v>
      </c>
      <c r="N93" s="133">
        <v>0</v>
      </c>
      <c r="O93" s="133">
        <v>0</v>
      </c>
      <c r="P93" s="133">
        <v>0.7</v>
      </c>
      <c r="Q93" s="133">
        <v>4.53</v>
      </c>
    </row>
    <row r="94" spans="1:17" customFormat="1">
      <c r="A94" s="111" t="s">
        <v>2915</v>
      </c>
      <c r="B94" s="133">
        <v>7.79</v>
      </c>
      <c r="C94" s="133">
        <v>24.13</v>
      </c>
      <c r="D94" s="133">
        <v>20.21</v>
      </c>
      <c r="E94" s="133">
        <v>6.15</v>
      </c>
      <c r="F94" s="133">
        <v>2.61</v>
      </c>
      <c r="G94" s="133">
        <v>87.92</v>
      </c>
      <c r="H94" s="133">
        <v>31.94</v>
      </c>
      <c r="I94" s="133">
        <v>6.32</v>
      </c>
      <c r="J94" s="133">
        <v>0.23</v>
      </c>
      <c r="K94" s="133">
        <v>247.72</v>
      </c>
      <c r="L94" s="133">
        <v>21.03</v>
      </c>
      <c r="M94" s="133">
        <v>79.66</v>
      </c>
      <c r="N94" s="133">
        <v>0</v>
      </c>
      <c r="O94" s="133">
        <v>0</v>
      </c>
      <c r="P94" s="133">
        <v>0.71</v>
      </c>
      <c r="Q94" s="133">
        <v>4.54</v>
      </c>
    </row>
    <row r="95" spans="1:17" customFormat="1">
      <c r="A95" s="111" t="s">
        <v>2916</v>
      </c>
      <c r="B95" s="133">
        <v>7.98</v>
      </c>
      <c r="C95" s="133">
        <v>24.07</v>
      </c>
      <c r="D95" s="133">
        <v>20.329999999999998</v>
      </c>
      <c r="E95" s="133">
        <v>6.77</v>
      </c>
      <c r="F95" s="133">
        <v>2.64</v>
      </c>
      <c r="G95" s="133">
        <v>89.48</v>
      </c>
      <c r="H95" s="133">
        <v>31.92</v>
      </c>
      <c r="I95" s="133">
        <v>6.38</v>
      </c>
      <c r="J95" s="133">
        <v>0.15</v>
      </c>
      <c r="K95" s="133">
        <v>208.72</v>
      </c>
      <c r="L95" s="133">
        <v>20.96</v>
      </c>
      <c r="M95" s="133">
        <v>78.45</v>
      </c>
      <c r="N95" s="133">
        <v>0</v>
      </c>
      <c r="O95" s="133">
        <v>0</v>
      </c>
      <c r="P95" s="133">
        <v>0.72</v>
      </c>
      <c r="Q95" s="133">
        <v>4.55</v>
      </c>
    </row>
    <row r="96" spans="1:17" customFormat="1">
      <c r="A96" s="111" t="s">
        <v>2917</v>
      </c>
      <c r="B96" s="133">
        <v>8.15</v>
      </c>
      <c r="C96" s="133">
        <v>24.03</v>
      </c>
      <c r="D96" s="133">
        <v>20.440000000000001</v>
      </c>
      <c r="E96" s="133">
        <v>6.73</v>
      </c>
      <c r="F96" s="133">
        <v>2.5299999999999998</v>
      </c>
      <c r="G96" s="133">
        <v>116.06</v>
      </c>
      <c r="H96" s="133">
        <v>31.54</v>
      </c>
      <c r="I96" s="133">
        <v>6.39</v>
      </c>
      <c r="J96" s="133">
        <v>0.09</v>
      </c>
      <c r="K96" s="133">
        <v>199.95</v>
      </c>
      <c r="L96" s="133">
        <v>20.77</v>
      </c>
      <c r="M96" s="133">
        <v>83.07</v>
      </c>
      <c r="N96" s="133">
        <v>0</v>
      </c>
      <c r="O96" s="133">
        <v>0</v>
      </c>
      <c r="P96" s="133">
        <v>0.72</v>
      </c>
      <c r="Q96" s="133">
        <v>4.5599999999999996</v>
      </c>
    </row>
    <row r="97" spans="1:22" customFormat="1">
      <c r="A97" s="111" t="s">
        <v>2918</v>
      </c>
      <c r="B97" s="133">
        <v>8.19</v>
      </c>
      <c r="C97" s="133">
        <v>23.96</v>
      </c>
      <c r="D97" s="133">
        <v>20.440000000000001</v>
      </c>
      <c r="E97" s="133">
        <v>6.56</v>
      </c>
      <c r="F97" s="133">
        <v>2.62</v>
      </c>
      <c r="G97" s="133">
        <v>116.06</v>
      </c>
      <c r="H97" s="133">
        <v>31.54</v>
      </c>
      <c r="I97" s="133">
        <v>6.46</v>
      </c>
      <c r="J97" s="133">
        <v>0.1</v>
      </c>
      <c r="K97" s="133">
        <v>217.16</v>
      </c>
      <c r="L97" s="133">
        <v>20.79</v>
      </c>
      <c r="M97" s="133">
        <v>79.37</v>
      </c>
      <c r="N97" s="133">
        <v>0</v>
      </c>
      <c r="O97" s="133">
        <v>0</v>
      </c>
      <c r="P97" s="133">
        <v>0.72</v>
      </c>
      <c r="Q97" s="133">
        <v>4.59</v>
      </c>
    </row>
    <row r="98" spans="1:22" customFormat="1">
      <c r="A98" s="111" t="s">
        <v>2919</v>
      </c>
      <c r="B98" s="133">
        <v>8.2899999999999991</v>
      </c>
      <c r="C98" s="133">
        <v>23.79</v>
      </c>
      <c r="D98" s="133">
        <v>20.43</v>
      </c>
      <c r="E98" s="133">
        <v>6.58</v>
      </c>
      <c r="F98" s="133">
        <v>2.64</v>
      </c>
      <c r="G98" s="133">
        <v>116.06</v>
      </c>
      <c r="H98" s="133">
        <v>31.54</v>
      </c>
      <c r="I98" s="133">
        <v>6.54</v>
      </c>
      <c r="J98" s="133">
        <v>0.14000000000000001</v>
      </c>
      <c r="K98" s="133">
        <v>174.32</v>
      </c>
      <c r="L98" s="133">
        <v>20.8</v>
      </c>
      <c r="M98" s="133">
        <v>79.53</v>
      </c>
      <c r="N98" s="133">
        <v>0</v>
      </c>
      <c r="O98" s="133">
        <v>0</v>
      </c>
      <c r="P98" s="133">
        <v>0.72</v>
      </c>
      <c r="Q98" s="133">
        <v>4.59</v>
      </c>
    </row>
    <row r="99" spans="1:22" customFormat="1">
      <c r="A99" s="111" t="s">
        <v>2920</v>
      </c>
      <c r="B99" s="133">
        <v>8.4600000000000009</v>
      </c>
      <c r="C99" s="133">
        <v>24.1</v>
      </c>
      <c r="D99" s="133">
        <v>20.72</v>
      </c>
      <c r="E99" s="133">
        <v>7.04</v>
      </c>
      <c r="F99" s="133">
        <v>2.5299999999999998</v>
      </c>
      <c r="G99" s="133">
        <v>115.87</v>
      </c>
      <c r="H99" s="133">
        <v>31.71</v>
      </c>
      <c r="I99" s="133">
        <v>6.56</v>
      </c>
      <c r="J99" s="133">
        <v>0.17</v>
      </c>
      <c r="K99" s="133">
        <v>226.05</v>
      </c>
      <c r="L99" s="133">
        <v>20.75</v>
      </c>
      <c r="M99" s="133">
        <v>80.45</v>
      </c>
      <c r="N99" s="133">
        <v>0</v>
      </c>
      <c r="O99" s="133">
        <v>0</v>
      </c>
      <c r="P99" s="133">
        <v>0.73</v>
      </c>
      <c r="Q99" s="133">
        <v>4.59</v>
      </c>
    </row>
    <row r="100" spans="1:22" customFormat="1">
      <c r="A100" s="111" t="s">
        <v>2921</v>
      </c>
      <c r="B100" s="133">
        <v>8.6</v>
      </c>
      <c r="C100" s="133">
        <v>24.36</v>
      </c>
      <c r="D100" s="133">
        <v>20.97</v>
      </c>
      <c r="E100" s="133">
        <v>6.94</v>
      </c>
      <c r="F100" s="133">
        <v>2.57</v>
      </c>
      <c r="G100" s="133">
        <v>112.66</v>
      </c>
      <c r="H100" s="133">
        <v>34.340000000000003</v>
      </c>
      <c r="I100" s="133">
        <v>6.59</v>
      </c>
      <c r="J100" s="133">
        <v>0.16</v>
      </c>
      <c r="K100" s="133">
        <v>232.19</v>
      </c>
      <c r="L100" s="133">
        <v>20.48</v>
      </c>
      <c r="M100" s="133">
        <v>85.01</v>
      </c>
      <c r="N100" s="133">
        <v>0</v>
      </c>
      <c r="O100" s="133">
        <v>0</v>
      </c>
      <c r="P100" s="133">
        <v>0.73</v>
      </c>
      <c r="Q100" s="133">
        <v>4.6100000000000003</v>
      </c>
    </row>
    <row r="101" spans="1:22" customFormat="1">
      <c r="A101" s="111" t="s">
        <v>2922</v>
      </c>
      <c r="B101" s="133">
        <v>8.66</v>
      </c>
      <c r="C101" s="133">
        <v>24.12</v>
      </c>
      <c r="D101" s="133">
        <v>20.9</v>
      </c>
      <c r="E101" s="133">
        <v>6.89</v>
      </c>
      <c r="F101" s="133">
        <v>2.59</v>
      </c>
      <c r="G101" s="133">
        <v>112.66</v>
      </c>
      <c r="H101" s="133">
        <v>34.340000000000003</v>
      </c>
      <c r="I101" s="133">
        <v>6.6</v>
      </c>
      <c r="J101" s="133">
        <v>0.16</v>
      </c>
      <c r="K101" s="133">
        <v>232.46</v>
      </c>
      <c r="L101" s="133">
        <v>20.14</v>
      </c>
      <c r="M101" s="133">
        <v>83.2</v>
      </c>
      <c r="N101" s="133">
        <v>0</v>
      </c>
      <c r="O101" s="133">
        <v>0</v>
      </c>
      <c r="P101" s="133">
        <v>0.72</v>
      </c>
      <c r="Q101" s="133">
        <v>4.62</v>
      </c>
    </row>
    <row r="102" spans="1:22" customFormat="1">
      <c r="A102" s="111" t="s">
        <v>2923</v>
      </c>
      <c r="B102" s="133">
        <v>8.8000000000000007</v>
      </c>
      <c r="C102" s="133">
        <v>23.36</v>
      </c>
      <c r="D102" s="133">
        <v>20.62</v>
      </c>
      <c r="E102" s="133">
        <v>6.67</v>
      </c>
      <c r="F102" s="133">
        <v>2.88</v>
      </c>
      <c r="G102" s="133">
        <v>112.66</v>
      </c>
      <c r="H102" s="133">
        <v>34.340000000000003</v>
      </c>
      <c r="I102" s="133">
        <v>6.62</v>
      </c>
      <c r="J102" s="133">
        <v>0.1</v>
      </c>
      <c r="K102" s="133">
        <v>194.89</v>
      </c>
      <c r="L102" s="133">
        <v>19.920000000000002</v>
      </c>
      <c r="M102" s="133">
        <v>85.9</v>
      </c>
      <c r="N102" s="133">
        <v>0</v>
      </c>
      <c r="O102" s="133">
        <v>0</v>
      </c>
      <c r="P102" s="133">
        <v>0.71</v>
      </c>
      <c r="Q102" s="133">
        <v>4.6100000000000003</v>
      </c>
    </row>
    <row r="103" spans="1:22" customFormat="1">
      <c r="A103" s="111" t="s">
        <v>2924</v>
      </c>
      <c r="B103" s="133">
        <v>8.93</v>
      </c>
      <c r="C103" s="133">
        <v>21.39</v>
      </c>
      <c r="D103" s="133">
        <v>19.690000000000001</v>
      </c>
      <c r="E103" s="133">
        <v>6.2</v>
      </c>
      <c r="F103" s="133">
        <v>2.86</v>
      </c>
      <c r="G103" s="133">
        <v>111.74</v>
      </c>
      <c r="H103" s="133">
        <v>34.26</v>
      </c>
      <c r="I103" s="133">
        <v>6.74</v>
      </c>
      <c r="J103" s="133">
        <v>0.1</v>
      </c>
      <c r="K103" s="133">
        <v>178.91</v>
      </c>
      <c r="L103" s="133">
        <v>19.84</v>
      </c>
      <c r="M103" s="133">
        <v>87.75</v>
      </c>
      <c r="N103" s="133">
        <v>0</v>
      </c>
      <c r="O103" s="133">
        <v>0</v>
      </c>
      <c r="P103" s="133">
        <v>0.69</v>
      </c>
      <c r="Q103" s="133">
        <v>4.63</v>
      </c>
    </row>
    <row r="104" spans="1:22" customFormat="1">
      <c r="A104" s="111" t="s">
        <v>2925</v>
      </c>
      <c r="B104" s="133">
        <v>9</v>
      </c>
      <c r="C104" s="133">
        <v>21.54</v>
      </c>
      <c r="D104" s="133">
        <v>19.829999999999998</v>
      </c>
      <c r="E104" s="133">
        <v>6.13</v>
      </c>
      <c r="F104" s="133">
        <v>2.42</v>
      </c>
      <c r="G104" s="133">
        <v>96.1</v>
      </c>
      <c r="H104" s="133">
        <v>33.049999999999997</v>
      </c>
      <c r="I104" s="133">
        <v>7.08</v>
      </c>
      <c r="J104" s="133">
        <v>0.21</v>
      </c>
      <c r="K104" s="133">
        <v>251.94</v>
      </c>
      <c r="L104" s="133">
        <v>19.79</v>
      </c>
      <c r="M104" s="133">
        <v>86.06</v>
      </c>
      <c r="N104" s="133">
        <v>0</v>
      </c>
      <c r="O104" s="133">
        <v>0</v>
      </c>
      <c r="P104" s="133">
        <v>0.69</v>
      </c>
      <c r="Q104" s="133">
        <v>4.62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3.84</v>
      </c>
      <c r="C106" s="183">
        <f>MIN(C9:C104)</f>
        <v>17.66</v>
      </c>
      <c r="D106" s="183">
        <f t="shared" ref="D106:Q106" si="0">MIN(D9:D104)</f>
        <v>14.26</v>
      </c>
      <c r="E106" s="183">
        <f t="shared" si="0"/>
        <v>4.37</v>
      </c>
      <c r="F106" s="183">
        <f t="shared" si="0"/>
        <v>2.42</v>
      </c>
      <c r="G106" s="183">
        <f t="shared" si="0"/>
        <v>49.74</v>
      </c>
      <c r="H106" s="183">
        <f t="shared" si="0"/>
        <v>21.49</v>
      </c>
      <c r="I106" s="183">
        <f t="shared" si="0"/>
        <v>5.09</v>
      </c>
      <c r="J106" s="183">
        <f t="shared" si="0"/>
        <v>0.05</v>
      </c>
      <c r="K106" s="183">
        <f t="shared" si="0"/>
        <v>15</v>
      </c>
      <c r="L106" s="183">
        <f t="shared" si="0"/>
        <v>17.309999999999999</v>
      </c>
      <c r="M106" s="183">
        <f t="shared" si="0"/>
        <v>30.72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16.239999999999998</v>
      </c>
      <c r="C107" s="184">
        <f t="shared" ref="C107:Q107" si="1">MAX(C9:C104)</f>
        <v>27.44</v>
      </c>
      <c r="D107" s="184">
        <f t="shared" si="1"/>
        <v>27.52</v>
      </c>
      <c r="E107" s="184">
        <f t="shared" si="1"/>
        <v>7.04</v>
      </c>
      <c r="F107" s="184">
        <f t="shared" si="1"/>
        <v>6.78</v>
      </c>
      <c r="G107" s="184">
        <f t="shared" si="1"/>
        <v>116.06</v>
      </c>
      <c r="H107" s="184">
        <f t="shared" si="1"/>
        <v>41.52</v>
      </c>
      <c r="I107" s="184">
        <f t="shared" si="1"/>
        <v>9.41</v>
      </c>
      <c r="J107" s="184">
        <f t="shared" si="1"/>
        <v>0.54</v>
      </c>
      <c r="K107" s="184">
        <f t="shared" si="1"/>
        <v>353.13</v>
      </c>
      <c r="L107" s="184">
        <f t="shared" si="1"/>
        <v>31.46</v>
      </c>
      <c r="M107" s="184">
        <f t="shared" si="1"/>
        <v>95.39</v>
      </c>
      <c r="N107" s="184">
        <f t="shared" si="1"/>
        <v>602</v>
      </c>
      <c r="O107" s="184">
        <f t="shared" si="1"/>
        <v>0</v>
      </c>
      <c r="P107" s="184">
        <f t="shared" si="1"/>
        <v>0.86</v>
      </c>
      <c r="Q107" s="184">
        <f t="shared" si="1"/>
        <v>4.97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8.4085416666666664</v>
      </c>
      <c r="C108" s="183">
        <f t="shared" ref="C108:Q108" si="2">AVERAGE(C9:C104)</f>
        <v>22.185208333333332</v>
      </c>
      <c r="D108" s="183">
        <f t="shared" si="2"/>
        <v>19.684583333333325</v>
      </c>
      <c r="E108" s="183">
        <f t="shared" si="2"/>
        <v>5.6883333333333317</v>
      </c>
      <c r="F108" s="183">
        <f t="shared" si="2"/>
        <v>3.5436458333333332</v>
      </c>
      <c r="G108" s="183">
        <f t="shared" si="2"/>
        <v>68.37083333333338</v>
      </c>
      <c r="H108" s="183">
        <f t="shared" si="2"/>
        <v>27.290520833333346</v>
      </c>
      <c r="I108" s="183">
        <f t="shared" si="2"/>
        <v>7.2898958333333352</v>
      </c>
      <c r="J108" s="183">
        <f t="shared" si="2"/>
        <v>0.18166666666666673</v>
      </c>
      <c r="K108" s="183">
        <f t="shared" si="2"/>
        <v>168.25656249999994</v>
      </c>
      <c r="L108" s="183">
        <f t="shared" si="2"/>
        <v>23.420312500000005</v>
      </c>
      <c r="M108" s="183">
        <f t="shared" si="2"/>
        <v>67.393958333333316</v>
      </c>
      <c r="N108" s="183">
        <f t="shared" si="2"/>
        <v>141.32812500000003</v>
      </c>
      <c r="O108" s="183">
        <f t="shared" si="2"/>
        <v>0</v>
      </c>
      <c r="P108" s="183">
        <f t="shared" si="2"/>
        <v>0.69302083333333331</v>
      </c>
      <c r="Q108" s="183">
        <f t="shared" si="2"/>
        <v>4.5556249999999974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3.5394254601162762</v>
      </c>
      <c r="C109" s="183">
        <f t="shared" ref="C109:Q109" si="3">STDEV(C9:C104)</f>
        <v>2.5255548547916091</v>
      </c>
      <c r="D109" s="183">
        <f t="shared" si="3"/>
        <v>3.6370242077444686</v>
      </c>
      <c r="E109" s="183">
        <f t="shared" si="3"/>
        <v>0.63321346972853287</v>
      </c>
      <c r="F109" s="183">
        <f t="shared" si="3"/>
        <v>1.2887661335284308</v>
      </c>
      <c r="G109" s="183">
        <f t="shared" si="3"/>
        <v>18.804222967288574</v>
      </c>
      <c r="H109" s="183">
        <f t="shared" si="3"/>
        <v>5.0510770857190961</v>
      </c>
      <c r="I109" s="183">
        <f t="shared" si="3"/>
        <v>1.449015996273372</v>
      </c>
      <c r="J109" s="183">
        <f t="shared" si="3"/>
        <v>9.1486745277135628E-2</v>
      </c>
      <c r="K109" s="183">
        <f t="shared" si="3"/>
        <v>69.27573173961585</v>
      </c>
      <c r="L109" s="183">
        <f t="shared" si="3"/>
        <v>4.7253806202864341</v>
      </c>
      <c r="M109" s="183">
        <f t="shared" si="3"/>
        <v>22.27703266071742</v>
      </c>
      <c r="N109" s="183">
        <f t="shared" si="3"/>
        <v>220.24299532591627</v>
      </c>
      <c r="O109" s="183">
        <f t="shared" si="3"/>
        <v>0</v>
      </c>
      <c r="P109" s="183">
        <f t="shared" si="3"/>
        <v>9.9484140938373045E-2</v>
      </c>
      <c r="Q109" s="183">
        <f t="shared" si="3"/>
        <v>0.21870341609255139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29/10/2023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R2" s="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L3" s="166" t="s">
        <v>14</v>
      </c>
      <c r="M3" s="146"/>
      <c r="N3" s="179" t="s">
        <v>15</v>
      </c>
      <c r="O3" s="146"/>
      <c r="P3" s="172" t="s">
        <v>15</v>
      </c>
      <c r="Q3" s="146"/>
      <c r="R3" s="2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N4" s="2"/>
      <c r="O4" s="146"/>
      <c r="P4" s="146"/>
      <c r="Q4" s="146"/>
      <c r="R4" s="146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>
      <c r="A9" s="111" t="s">
        <v>2926</v>
      </c>
      <c r="B9" s="133">
        <v>9.24</v>
      </c>
      <c r="C9" s="133">
        <v>21.33</v>
      </c>
      <c r="D9" s="133">
        <v>19.899999999999999</v>
      </c>
      <c r="E9" s="133">
        <v>6.65</v>
      </c>
      <c r="F9" s="133">
        <v>2.57</v>
      </c>
      <c r="G9" s="133">
        <v>96.1</v>
      </c>
      <c r="H9" s="133">
        <v>33.049999999999997</v>
      </c>
      <c r="I9" s="133">
        <v>7.3</v>
      </c>
      <c r="J9" s="133">
        <v>0.14000000000000001</v>
      </c>
      <c r="K9" s="133">
        <v>234.37</v>
      </c>
      <c r="L9" s="133">
        <v>19.66</v>
      </c>
      <c r="M9" s="133">
        <v>86.14</v>
      </c>
      <c r="N9" s="133">
        <v>0</v>
      </c>
      <c r="O9" s="133">
        <v>0</v>
      </c>
      <c r="P9" s="133">
        <v>0.69</v>
      </c>
      <c r="Q9" s="133">
        <v>4.5999999999999996</v>
      </c>
    </row>
    <row r="10" spans="1:21">
      <c r="A10" s="111" t="s">
        <v>2927</v>
      </c>
      <c r="B10" s="133">
        <v>9.33</v>
      </c>
      <c r="C10" s="133">
        <v>21.01</v>
      </c>
      <c r="D10" s="133">
        <v>19.8</v>
      </c>
      <c r="E10" s="133">
        <v>6.26</v>
      </c>
      <c r="F10" s="133">
        <v>2.68</v>
      </c>
      <c r="G10" s="133">
        <v>96.1</v>
      </c>
      <c r="H10" s="133">
        <v>33.049999999999997</v>
      </c>
      <c r="I10" s="133">
        <v>7.35</v>
      </c>
      <c r="J10" s="133">
        <v>0.12</v>
      </c>
      <c r="K10" s="133">
        <v>220.86</v>
      </c>
      <c r="L10" s="133">
        <v>19.61</v>
      </c>
      <c r="M10" s="133">
        <v>86.97</v>
      </c>
      <c r="N10" s="133">
        <v>0</v>
      </c>
      <c r="O10" s="133">
        <v>0</v>
      </c>
      <c r="P10" s="133">
        <v>0.69</v>
      </c>
      <c r="Q10" s="133">
        <v>4.5999999999999996</v>
      </c>
    </row>
    <row r="11" spans="1:21">
      <c r="A11" s="111" t="s">
        <v>2928</v>
      </c>
      <c r="B11" s="133">
        <v>9.4600000000000009</v>
      </c>
      <c r="C11" s="133">
        <v>21.36</v>
      </c>
      <c r="D11" s="133">
        <v>20.100000000000001</v>
      </c>
      <c r="E11" s="133">
        <v>6.42</v>
      </c>
      <c r="F11" s="133">
        <v>2.75</v>
      </c>
      <c r="G11" s="133">
        <v>96.01</v>
      </c>
      <c r="H11" s="133">
        <v>32.93</v>
      </c>
      <c r="I11" s="133">
        <v>7.42</v>
      </c>
      <c r="J11" s="133">
        <v>0.09</v>
      </c>
      <c r="K11" s="133">
        <v>222.46</v>
      </c>
      <c r="L11" s="133">
        <v>19.43</v>
      </c>
      <c r="M11" s="133">
        <v>89.11</v>
      </c>
      <c r="N11" s="133">
        <v>0</v>
      </c>
      <c r="O11" s="133">
        <v>0</v>
      </c>
      <c r="P11" s="133">
        <v>0.7</v>
      </c>
      <c r="Q11" s="133">
        <v>4.5999999999999996</v>
      </c>
    </row>
    <row r="12" spans="1:21">
      <c r="A12" s="111" t="s">
        <v>2929</v>
      </c>
      <c r="B12" s="133">
        <v>9.57</v>
      </c>
      <c r="C12" s="133">
        <v>20.71</v>
      </c>
      <c r="D12" s="133">
        <v>19.850000000000001</v>
      </c>
      <c r="E12" s="133">
        <v>6.43</v>
      </c>
      <c r="F12" s="133">
        <v>2.77</v>
      </c>
      <c r="G12" s="133">
        <v>94.58</v>
      </c>
      <c r="H12" s="133">
        <v>31.15</v>
      </c>
      <c r="I12" s="133">
        <v>7.5</v>
      </c>
      <c r="J12" s="133">
        <v>0.12</v>
      </c>
      <c r="K12" s="133">
        <v>215.36</v>
      </c>
      <c r="L12" s="133">
        <v>19.329999999999998</v>
      </c>
      <c r="M12" s="133">
        <v>87.59</v>
      </c>
      <c r="N12" s="133">
        <v>0</v>
      </c>
      <c r="O12" s="133">
        <v>0</v>
      </c>
      <c r="P12" s="133">
        <v>0.69</v>
      </c>
      <c r="Q12" s="133">
        <v>4.6100000000000003</v>
      </c>
    </row>
    <row r="13" spans="1:21">
      <c r="A13" s="111" t="s">
        <v>2930</v>
      </c>
      <c r="B13" s="133">
        <v>9.65</v>
      </c>
      <c r="C13" s="133">
        <v>21.36</v>
      </c>
      <c r="D13" s="133">
        <v>20.25</v>
      </c>
      <c r="E13" s="133">
        <v>6.32</v>
      </c>
      <c r="F13" s="133">
        <v>2.62</v>
      </c>
      <c r="G13" s="133">
        <v>94.58</v>
      </c>
      <c r="H13" s="133">
        <v>31.15</v>
      </c>
      <c r="I13" s="133">
        <v>7.62</v>
      </c>
      <c r="J13" s="133">
        <v>0.17</v>
      </c>
      <c r="K13" s="133">
        <v>243.84</v>
      </c>
      <c r="L13" s="133">
        <v>19.059999999999999</v>
      </c>
      <c r="M13" s="133">
        <v>89.43</v>
      </c>
      <c r="N13" s="133">
        <v>0</v>
      </c>
      <c r="O13" s="133">
        <v>0</v>
      </c>
      <c r="P13" s="133">
        <v>0.7</v>
      </c>
      <c r="Q13" s="133">
        <v>4.6100000000000003</v>
      </c>
    </row>
    <row r="14" spans="1:21">
      <c r="A14" s="111" t="s">
        <v>2931</v>
      </c>
      <c r="B14" s="133">
        <v>9.6999999999999993</v>
      </c>
      <c r="C14" s="133">
        <v>20.260000000000002</v>
      </c>
      <c r="D14" s="133">
        <v>19.72</v>
      </c>
      <c r="E14" s="133">
        <v>6.27</v>
      </c>
      <c r="F14" s="133">
        <v>2.72</v>
      </c>
      <c r="G14" s="133">
        <v>94.58</v>
      </c>
      <c r="H14" s="133">
        <v>31.15</v>
      </c>
      <c r="I14" s="133">
        <v>7.79</v>
      </c>
      <c r="J14" s="133">
        <v>0.1</v>
      </c>
      <c r="K14" s="133">
        <v>232.71</v>
      </c>
      <c r="L14" s="133">
        <v>19</v>
      </c>
      <c r="M14" s="133">
        <v>90.3</v>
      </c>
      <c r="N14" s="133">
        <v>0</v>
      </c>
      <c r="O14" s="133">
        <v>0</v>
      </c>
      <c r="P14" s="133">
        <v>0.69</v>
      </c>
      <c r="Q14" s="133">
        <v>4.63</v>
      </c>
    </row>
    <row r="15" spans="1:21">
      <c r="A15" s="111" t="s">
        <v>2932</v>
      </c>
      <c r="B15" s="133">
        <v>9.85</v>
      </c>
      <c r="C15" s="133">
        <v>20.77</v>
      </c>
      <c r="D15" s="133">
        <v>20.100000000000001</v>
      </c>
      <c r="E15" s="133">
        <v>6.22</v>
      </c>
      <c r="F15" s="133">
        <v>2.4300000000000002</v>
      </c>
      <c r="G15" s="133">
        <v>94.05</v>
      </c>
      <c r="H15" s="133">
        <v>31.08</v>
      </c>
      <c r="I15" s="133">
        <v>8.1199999999999992</v>
      </c>
      <c r="J15" s="133">
        <v>0.12</v>
      </c>
      <c r="K15" s="133">
        <v>173.77</v>
      </c>
      <c r="L15" s="133">
        <v>18.989999999999998</v>
      </c>
      <c r="M15" s="133">
        <v>87.15</v>
      </c>
      <c r="N15" s="133">
        <v>0</v>
      </c>
      <c r="O15" s="133">
        <v>0</v>
      </c>
      <c r="P15" s="133">
        <v>0.69</v>
      </c>
      <c r="Q15" s="133">
        <v>4.6100000000000003</v>
      </c>
    </row>
    <row r="16" spans="1:21">
      <c r="A16" s="111" t="s">
        <v>2933</v>
      </c>
      <c r="B16" s="133">
        <v>9.66</v>
      </c>
      <c r="C16" s="133">
        <v>20.329999999999998</v>
      </c>
      <c r="D16" s="133">
        <v>19.72</v>
      </c>
      <c r="E16" s="133">
        <v>6.58</v>
      </c>
      <c r="F16" s="133">
        <v>2.68</v>
      </c>
      <c r="G16" s="133">
        <v>82.6</v>
      </c>
      <c r="H16" s="133">
        <v>29.96</v>
      </c>
      <c r="I16" s="133">
        <v>8.35</v>
      </c>
      <c r="J16" s="133">
        <v>0.11</v>
      </c>
      <c r="K16" s="133">
        <v>188.82</v>
      </c>
      <c r="L16" s="133">
        <v>19.04</v>
      </c>
      <c r="M16" s="133">
        <v>86</v>
      </c>
      <c r="N16" s="133">
        <v>0</v>
      </c>
      <c r="O16" s="133">
        <v>0</v>
      </c>
      <c r="P16" s="133">
        <v>0.69</v>
      </c>
      <c r="Q16" s="133">
        <v>4.6100000000000003</v>
      </c>
    </row>
    <row r="17" spans="1:17">
      <c r="A17" s="111" t="s">
        <v>2934</v>
      </c>
      <c r="B17" s="133">
        <v>9.43</v>
      </c>
      <c r="C17" s="133">
        <v>21.3</v>
      </c>
      <c r="D17" s="133">
        <v>20.04</v>
      </c>
      <c r="E17" s="133">
        <v>4.53</v>
      </c>
      <c r="F17" s="133">
        <v>2.5299999999999998</v>
      </c>
      <c r="G17" s="133">
        <v>82.6</v>
      </c>
      <c r="H17" s="133">
        <v>29.96</v>
      </c>
      <c r="I17" s="133">
        <v>8.48</v>
      </c>
      <c r="J17" s="133">
        <v>7.0000000000000007E-2</v>
      </c>
      <c r="K17" s="133">
        <v>209.83</v>
      </c>
      <c r="L17" s="133">
        <v>18.93</v>
      </c>
      <c r="M17" s="133">
        <v>86.83</v>
      </c>
      <c r="N17" s="133">
        <v>0</v>
      </c>
      <c r="O17" s="133">
        <v>0</v>
      </c>
      <c r="P17" s="133">
        <v>0.69</v>
      </c>
      <c r="Q17" s="133">
        <v>4.59</v>
      </c>
    </row>
    <row r="18" spans="1:17">
      <c r="A18" s="111" t="s">
        <v>2935</v>
      </c>
      <c r="B18" s="133">
        <v>9.44</v>
      </c>
      <c r="C18" s="133">
        <v>19.96</v>
      </c>
      <c r="D18" s="133">
        <v>19.350000000000001</v>
      </c>
      <c r="E18" s="133">
        <v>4.83</v>
      </c>
      <c r="F18" s="133">
        <v>2.77</v>
      </c>
      <c r="G18" s="133">
        <v>82.6</v>
      </c>
      <c r="H18" s="133">
        <v>29.96</v>
      </c>
      <c r="I18" s="133">
        <v>8.41</v>
      </c>
      <c r="J18" s="133">
        <v>0.08</v>
      </c>
      <c r="K18" s="133">
        <v>192.41</v>
      </c>
      <c r="L18" s="133">
        <v>18.7</v>
      </c>
      <c r="M18" s="133">
        <v>88.45</v>
      </c>
      <c r="N18" s="133">
        <v>0</v>
      </c>
      <c r="O18" s="133">
        <v>0</v>
      </c>
      <c r="P18" s="133">
        <v>0.67</v>
      </c>
      <c r="Q18" s="133">
        <v>4.63</v>
      </c>
    </row>
    <row r="19" spans="1:17">
      <c r="A19" s="111" t="s">
        <v>2936</v>
      </c>
      <c r="B19" s="133">
        <v>9.33</v>
      </c>
      <c r="C19" s="133">
        <v>20.93</v>
      </c>
      <c r="D19" s="133">
        <v>19.760000000000002</v>
      </c>
      <c r="E19" s="133">
        <v>5.25</v>
      </c>
      <c r="F19" s="133">
        <v>2.5299999999999998</v>
      </c>
      <c r="G19" s="133">
        <v>82.34</v>
      </c>
      <c r="H19" s="133">
        <v>30.22</v>
      </c>
      <c r="I19" s="133">
        <v>8.33</v>
      </c>
      <c r="J19" s="133">
        <v>0.12</v>
      </c>
      <c r="K19" s="133">
        <v>230.11</v>
      </c>
      <c r="L19" s="133">
        <v>18.47</v>
      </c>
      <c r="M19" s="133">
        <v>89.56</v>
      </c>
      <c r="N19" s="133">
        <v>0</v>
      </c>
      <c r="O19" s="133">
        <v>0</v>
      </c>
      <c r="P19" s="133">
        <v>0.68</v>
      </c>
      <c r="Q19" s="133">
        <v>4.6100000000000003</v>
      </c>
    </row>
    <row r="20" spans="1:17">
      <c r="A20" s="111" t="s">
        <v>2937</v>
      </c>
      <c r="B20" s="133">
        <v>9.25</v>
      </c>
      <c r="C20" s="133">
        <v>20.66</v>
      </c>
      <c r="D20" s="133">
        <v>19.559999999999999</v>
      </c>
      <c r="E20" s="133">
        <v>5.43</v>
      </c>
      <c r="F20" s="133">
        <v>2.5499999999999998</v>
      </c>
      <c r="G20" s="133">
        <v>76.58</v>
      </c>
      <c r="H20" s="133">
        <v>34.33</v>
      </c>
      <c r="I20" s="133">
        <v>8.24</v>
      </c>
      <c r="J20" s="133">
        <v>0.04</v>
      </c>
      <c r="K20" s="133">
        <v>211.93</v>
      </c>
      <c r="L20" s="133">
        <v>18.39</v>
      </c>
      <c r="M20" s="133">
        <v>89.31</v>
      </c>
      <c r="N20" s="133">
        <v>0</v>
      </c>
      <c r="O20" s="133">
        <v>0</v>
      </c>
      <c r="P20" s="133">
        <v>0.67</v>
      </c>
      <c r="Q20" s="133">
        <v>4.5999999999999996</v>
      </c>
    </row>
    <row r="21" spans="1:17">
      <c r="A21" s="111" t="s">
        <v>2938</v>
      </c>
      <c r="B21" s="133">
        <v>9.44</v>
      </c>
      <c r="C21" s="133">
        <v>21.38</v>
      </c>
      <c r="D21" s="133">
        <v>20.09</v>
      </c>
      <c r="E21" s="133">
        <v>5.36</v>
      </c>
      <c r="F21" s="133">
        <v>2.66</v>
      </c>
      <c r="G21" s="133">
        <v>76.58</v>
      </c>
      <c r="H21" s="133">
        <v>34.33</v>
      </c>
      <c r="I21" s="133">
        <v>8.1300000000000008</v>
      </c>
      <c r="J21" s="133">
        <v>0.13</v>
      </c>
      <c r="K21" s="133">
        <v>147.06</v>
      </c>
      <c r="L21" s="133">
        <v>18.46</v>
      </c>
      <c r="M21" s="133">
        <v>88.46</v>
      </c>
      <c r="N21" s="133">
        <v>0</v>
      </c>
      <c r="O21" s="133">
        <v>0</v>
      </c>
      <c r="P21" s="133">
        <v>0.68</v>
      </c>
      <c r="Q21" s="133">
        <v>4.6100000000000003</v>
      </c>
    </row>
    <row r="22" spans="1:17">
      <c r="A22" s="111" t="s">
        <v>2939</v>
      </c>
      <c r="B22" s="133">
        <v>9.7799999999999994</v>
      </c>
      <c r="C22" s="133">
        <v>20.98</v>
      </c>
      <c r="D22" s="133">
        <v>20.16</v>
      </c>
      <c r="E22" s="133">
        <v>5.2</v>
      </c>
      <c r="F22" s="133">
        <v>2.68</v>
      </c>
      <c r="G22" s="133">
        <v>76.58</v>
      </c>
      <c r="H22" s="133">
        <v>34.33</v>
      </c>
      <c r="I22" s="133">
        <v>8.01</v>
      </c>
      <c r="J22" s="133">
        <v>0.09</v>
      </c>
      <c r="K22" s="133">
        <v>175.23</v>
      </c>
      <c r="L22" s="133">
        <v>18.52</v>
      </c>
      <c r="M22" s="133">
        <v>89.14</v>
      </c>
      <c r="N22" s="133">
        <v>0</v>
      </c>
      <c r="O22" s="133">
        <v>0</v>
      </c>
      <c r="P22" s="133">
        <v>0.67</v>
      </c>
      <c r="Q22" s="133">
        <v>4.62</v>
      </c>
    </row>
    <row r="23" spans="1:17">
      <c r="A23" s="111" t="s">
        <v>2940</v>
      </c>
      <c r="B23" s="133">
        <v>10.09</v>
      </c>
      <c r="C23" s="133">
        <v>21.78</v>
      </c>
      <c r="D23" s="133">
        <v>20.82</v>
      </c>
      <c r="E23" s="133">
        <v>5.03</v>
      </c>
      <c r="F23" s="133">
        <v>2.54</v>
      </c>
      <c r="G23" s="133">
        <v>76.17</v>
      </c>
      <c r="H23" s="133">
        <v>34.200000000000003</v>
      </c>
      <c r="I23" s="133">
        <v>7.89</v>
      </c>
      <c r="J23" s="133">
        <v>7.0000000000000007E-2</v>
      </c>
      <c r="K23" s="133">
        <v>165.06</v>
      </c>
      <c r="L23" s="133">
        <v>18.350000000000001</v>
      </c>
      <c r="M23" s="133">
        <v>90.85</v>
      </c>
      <c r="N23" s="133">
        <v>0</v>
      </c>
      <c r="O23" s="133">
        <v>0</v>
      </c>
      <c r="P23" s="133">
        <v>0.66</v>
      </c>
      <c r="Q23" s="133">
        <v>4.6399999999999997</v>
      </c>
    </row>
    <row r="24" spans="1:17">
      <c r="A24" s="111" t="s">
        <v>2941</v>
      </c>
      <c r="B24" s="133">
        <v>10.67</v>
      </c>
      <c r="C24" s="133">
        <v>21.14</v>
      </c>
      <c r="D24" s="133">
        <v>20.96</v>
      </c>
      <c r="E24" s="133">
        <v>5.0199999999999996</v>
      </c>
      <c r="F24" s="133">
        <v>2.7</v>
      </c>
      <c r="G24" s="133">
        <v>67.540000000000006</v>
      </c>
      <c r="H24" s="133">
        <v>32.1</v>
      </c>
      <c r="I24" s="133">
        <v>7.81</v>
      </c>
      <c r="J24" s="133">
        <v>7.0000000000000007E-2</v>
      </c>
      <c r="K24" s="133">
        <v>206.42</v>
      </c>
      <c r="L24" s="133">
        <v>18.32</v>
      </c>
      <c r="M24" s="133">
        <v>90.43</v>
      </c>
      <c r="N24" s="133">
        <v>0</v>
      </c>
      <c r="O24" s="133">
        <v>0</v>
      </c>
      <c r="P24" s="133">
        <v>0.66</v>
      </c>
      <c r="Q24" s="133">
        <v>4.68</v>
      </c>
    </row>
    <row r="25" spans="1:17">
      <c r="A25" s="111" t="s">
        <v>2942</v>
      </c>
      <c r="B25" s="133">
        <v>11.46</v>
      </c>
      <c r="C25" s="133">
        <v>21.52</v>
      </c>
      <c r="D25" s="133">
        <v>21.79</v>
      </c>
      <c r="E25" s="133">
        <v>5.3</v>
      </c>
      <c r="F25" s="133">
        <v>2.73</v>
      </c>
      <c r="G25" s="133">
        <v>67.540000000000006</v>
      </c>
      <c r="H25" s="133">
        <v>32.1</v>
      </c>
      <c r="I25" s="133">
        <v>7.7</v>
      </c>
      <c r="J25" s="133">
        <v>0.11</v>
      </c>
      <c r="K25" s="133">
        <v>172.05</v>
      </c>
      <c r="L25" s="133">
        <v>18.28</v>
      </c>
      <c r="M25" s="133">
        <v>91.3</v>
      </c>
      <c r="N25" s="133">
        <v>0</v>
      </c>
      <c r="O25" s="133">
        <v>0</v>
      </c>
      <c r="P25" s="133">
        <v>0.69</v>
      </c>
      <c r="Q25" s="133">
        <v>4.7</v>
      </c>
    </row>
    <row r="26" spans="1:17">
      <c r="A26" s="111" t="s">
        <v>2943</v>
      </c>
      <c r="B26" s="133">
        <v>12.07</v>
      </c>
      <c r="C26" s="133">
        <v>22.19</v>
      </c>
      <c r="D26" s="133">
        <v>22.63</v>
      </c>
      <c r="E26" s="133">
        <v>5.16</v>
      </c>
      <c r="F26" s="133">
        <v>2.95</v>
      </c>
      <c r="G26" s="133">
        <v>67.540000000000006</v>
      </c>
      <c r="H26" s="133">
        <v>32.1</v>
      </c>
      <c r="I26" s="133">
        <v>7.63</v>
      </c>
      <c r="J26" s="133">
        <v>0.1</v>
      </c>
      <c r="K26" s="133">
        <v>186.7</v>
      </c>
      <c r="L26" s="133">
        <v>18.25</v>
      </c>
      <c r="M26" s="133">
        <v>91.67</v>
      </c>
      <c r="N26" s="133">
        <v>0</v>
      </c>
      <c r="O26" s="133">
        <v>0</v>
      </c>
      <c r="P26" s="133">
        <v>0.7</v>
      </c>
      <c r="Q26" s="133">
        <v>4.74</v>
      </c>
    </row>
    <row r="27" spans="1:17">
      <c r="A27" s="111" t="s">
        <v>2944</v>
      </c>
      <c r="B27" s="133">
        <v>12.93</v>
      </c>
      <c r="C27" s="133">
        <v>22.74</v>
      </c>
      <c r="D27" s="133">
        <v>23.6</v>
      </c>
      <c r="E27" s="133">
        <v>5.13</v>
      </c>
      <c r="F27" s="133">
        <v>2.75</v>
      </c>
      <c r="G27" s="133">
        <v>67.7</v>
      </c>
      <c r="H27" s="133">
        <v>32.08</v>
      </c>
      <c r="I27" s="133">
        <v>7.51</v>
      </c>
      <c r="J27" s="133">
        <v>0.1</v>
      </c>
      <c r="K27" s="133">
        <v>150.81</v>
      </c>
      <c r="L27" s="133">
        <v>18.27</v>
      </c>
      <c r="M27" s="133">
        <v>90.73</v>
      </c>
      <c r="N27" s="133">
        <v>0</v>
      </c>
      <c r="O27" s="133">
        <v>0</v>
      </c>
      <c r="P27" s="133">
        <v>0.69</v>
      </c>
      <c r="Q27" s="133">
        <v>4.78</v>
      </c>
    </row>
    <row r="28" spans="1:17">
      <c r="A28" s="111" t="s">
        <v>2945</v>
      </c>
      <c r="B28" s="133">
        <v>14</v>
      </c>
      <c r="C28" s="133">
        <v>23.35</v>
      </c>
      <c r="D28" s="133">
        <v>24.78</v>
      </c>
      <c r="E28" s="133">
        <v>5.1100000000000003</v>
      </c>
      <c r="F28" s="133">
        <v>2.73</v>
      </c>
      <c r="G28" s="133">
        <v>71.03</v>
      </c>
      <c r="H28" s="133">
        <v>31.72</v>
      </c>
      <c r="I28" s="133">
        <v>7.48</v>
      </c>
      <c r="J28" s="133">
        <v>0.14000000000000001</v>
      </c>
      <c r="K28" s="133">
        <v>158.71</v>
      </c>
      <c r="L28" s="133">
        <v>18.23</v>
      </c>
      <c r="M28" s="133">
        <v>91.11</v>
      </c>
      <c r="N28" s="133">
        <v>0</v>
      </c>
      <c r="O28" s="133">
        <v>0</v>
      </c>
      <c r="P28" s="133">
        <v>0.71</v>
      </c>
      <c r="Q28" s="133">
        <v>4.83</v>
      </c>
    </row>
    <row r="29" spans="1:17">
      <c r="A29" s="111" t="s">
        <v>2946</v>
      </c>
      <c r="B29" s="133">
        <v>15.86</v>
      </c>
      <c r="C29" s="133">
        <v>23.93</v>
      </c>
      <c r="D29" s="133">
        <v>26.57</v>
      </c>
      <c r="E29" s="133">
        <v>5.36</v>
      </c>
      <c r="F29" s="133">
        <v>2.76</v>
      </c>
      <c r="G29" s="133">
        <v>71.03</v>
      </c>
      <c r="H29" s="133">
        <v>31.72</v>
      </c>
      <c r="I29" s="133">
        <v>7.46</v>
      </c>
      <c r="J29" s="133">
        <v>0.09</v>
      </c>
      <c r="K29" s="133">
        <v>203.05</v>
      </c>
      <c r="L29" s="133">
        <v>18.13</v>
      </c>
      <c r="M29" s="133">
        <v>92.62</v>
      </c>
      <c r="N29" s="133">
        <v>0</v>
      </c>
      <c r="O29" s="133">
        <v>0</v>
      </c>
      <c r="P29" s="133">
        <v>0.71</v>
      </c>
      <c r="Q29" s="133">
        <v>4.92</v>
      </c>
    </row>
    <row r="30" spans="1:17">
      <c r="A30" s="111" t="s">
        <v>2947</v>
      </c>
      <c r="B30" s="133">
        <v>17.190000000000001</v>
      </c>
      <c r="C30" s="133">
        <v>24.3</v>
      </c>
      <c r="D30" s="133">
        <v>27.83</v>
      </c>
      <c r="E30" s="133">
        <v>5.33</v>
      </c>
      <c r="F30" s="133">
        <v>2.67</v>
      </c>
      <c r="G30" s="133">
        <v>71.03</v>
      </c>
      <c r="H30" s="133">
        <v>31.72</v>
      </c>
      <c r="I30" s="133">
        <v>7.56</v>
      </c>
      <c r="J30" s="133">
        <v>0.1</v>
      </c>
      <c r="K30" s="133">
        <v>139.75</v>
      </c>
      <c r="L30" s="133">
        <v>18.09</v>
      </c>
      <c r="M30" s="133">
        <v>93.89</v>
      </c>
      <c r="N30" s="133">
        <v>0</v>
      </c>
      <c r="O30" s="133">
        <v>0</v>
      </c>
      <c r="P30" s="133">
        <v>0.71</v>
      </c>
      <c r="Q30" s="133">
        <v>5.01</v>
      </c>
    </row>
    <row r="31" spans="1:17">
      <c r="A31" s="111" t="s">
        <v>2948</v>
      </c>
      <c r="B31" s="133">
        <v>18.98</v>
      </c>
      <c r="C31" s="133">
        <v>24.52</v>
      </c>
      <c r="D31" s="133">
        <v>29.38</v>
      </c>
      <c r="E31" s="133">
        <v>5.67</v>
      </c>
      <c r="F31" s="133">
        <v>2.78</v>
      </c>
      <c r="G31" s="133">
        <v>71.09</v>
      </c>
      <c r="H31" s="133">
        <v>31.73</v>
      </c>
      <c r="I31" s="133">
        <v>7.69</v>
      </c>
      <c r="J31" s="133">
        <v>0.13</v>
      </c>
      <c r="K31" s="133">
        <v>68.680000000000007</v>
      </c>
      <c r="L31" s="133">
        <v>18.079999999999998</v>
      </c>
      <c r="M31" s="133">
        <v>91.91</v>
      </c>
      <c r="N31" s="133">
        <v>0</v>
      </c>
      <c r="O31" s="133">
        <v>0</v>
      </c>
      <c r="P31" s="133">
        <v>0.72</v>
      </c>
      <c r="Q31" s="133">
        <v>5.09</v>
      </c>
    </row>
    <row r="32" spans="1:17">
      <c r="A32" s="111" t="s">
        <v>2949</v>
      </c>
      <c r="B32" s="133">
        <v>21.38</v>
      </c>
      <c r="C32" s="133">
        <v>25.41</v>
      </c>
      <c r="D32" s="133">
        <v>31.77</v>
      </c>
      <c r="E32" s="133">
        <v>5.95</v>
      </c>
      <c r="F32" s="133">
        <v>2.64</v>
      </c>
      <c r="G32" s="133">
        <v>72.22</v>
      </c>
      <c r="H32" s="133">
        <v>31.9</v>
      </c>
      <c r="I32" s="133">
        <v>7.75</v>
      </c>
      <c r="J32" s="133">
        <v>7.0000000000000007E-2</v>
      </c>
      <c r="K32" s="133">
        <v>76.08</v>
      </c>
      <c r="L32" s="133">
        <v>18.149999999999999</v>
      </c>
      <c r="M32" s="133">
        <v>90.87</v>
      </c>
      <c r="N32" s="133">
        <v>0</v>
      </c>
      <c r="O32" s="133">
        <v>0</v>
      </c>
      <c r="P32" s="133">
        <v>0.74</v>
      </c>
      <c r="Q32" s="133">
        <v>5.2</v>
      </c>
    </row>
    <row r="33" spans="1:17">
      <c r="A33" s="111" t="s">
        <v>2950</v>
      </c>
      <c r="B33" s="133">
        <v>23.69</v>
      </c>
      <c r="C33" s="133">
        <v>26.19</v>
      </c>
      <c r="D33" s="133">
        <v>34.03</v>
      </c>
      <c r="E33" s="133">
        <v>6</v>
      </c>
      <c r="F33" s="133">
        <v>2.68</v>
      </c>
      <c r="G33" s="133">
        <v>72.22</v>
      </c>
      <c r="H33" s="133">
        <v>31.9</v>
      </c>
      <c r="I33" s="133">
        <v>7.88</v>
      </c>
      <c r="J33" s="133">
        <v>0.08</v>
      </c>
      <c r="K33" s="133">
        <v>8.16</v>
      </c>
      <c r="L33" s="133">
        <v>18.260000000000002</v>
      </c>
      <c r="M33" s="133">
        <v>90.95</v>
      </c>
      <c r="N33" s="133">
        <v>0.2</v>
      </c>
      <c r="O33" s="133">
        <v>0</v>
      </c>
      <c r="P33" s="133">
        <v>0.75</v>
      </c>
      <c r="Q33" s="133">
        <v>5.3</v>
      </c>
    </row>
    <row r="34" spans="1:17">
      <c r="A34" s="111" t="s">
        <v>2951</v>
      </c>
      <c r="B34" s="133">
        <v>25.48</v>
      </c>
      <c r="C34" s="133">
        <v>26.94</v>
      </c>
      <c r="D34" s="133">
        <v>35.86</v>
      </c>
      <c r="E34" s="133">
        <v>6.14</v>
      </c>
      <c r="F34" s="133">
        <v>2.4900000000000002</v>
      </c>
      <c r="G34" s="133">
        <v>72.22</v>
      </c>
      <c r="H34" s="133">
        <v>31.9</v>
      </c>
      <c r="I34" s="133">
        <v>8.2100000000000009</v>
      </c>
      <c r="J34" s="133">
        <v>0.04</v>
      </c>
      <c r="K34" s="133">
        <v>184.26</v>
      </c>
      <c r="L34" s="133">
        <v>18.350000000000001</v>
      </c>
      <c r="M34" s="133">
        <v>90.9</v>
      </c>
      <c r="N34" s="133">
        <v>6.6</v>
      </c>
      <c r="O34" s="133">
        <v>0</v>
      </c>
      <c r="P34" s="133">
        <v>0.79</v>
      </c>
      <c r="Q34" s="133">
        <v>5.41</v>
      </c>
    </row>
    <row r="35" spans="1:17">
      <c r="A35" s="111" t="s">
        <v>2952</v>
      </c>
      <c r="B35" s="133">
        <v>26.73</v>
      </c>
      <c r="C35" s="133">
        <v>27.39</v>
      </c>
      <c r="D35" s="133">
        <v>37.1</v>
      </c>
      <c r="E35" s="133">
        <v>6.04</v>
      </c>
      <c r="F35" s="133">
        <v>2.48</v>
      </c>
      <c r="G35" s="133">
        <v>73.53</v>
      </c>
      <c r="H35" s="133">
        <v>32.47</v>
      </c>
      <c r="I35" s="133">
        <v>8.5500000000000007</v>
      </c>
      <c r="J35" s="133">
        <v>0.08</v>
      </c>
      <c r="K35" s="133">
        <v>72.5</v>
      </c>
      <c r="L35" s="133">
        <v>18.66</v>
      </c>
      <c r="M35" s="133">
        <v>89.64</v>
      </c>
      <c r="N35" s="133">
        <v>17.8</v>
      </c>
      <c r="O35" s="133">
        <v>0</v>
      </c>
      <c r="P35" s="133">
        <v>0.81</v>
      </c>
      <c r="Q35" s="133">
        <v>5.49</v>
      </c>
    </row>
    <row r="36" spans="1:17">
      <c r="A36" s="111" t="s">
        <v>2953</v>
      </c>
      <c r="B36" s="133">
        <v>27.85</v>
      </c>
      <c r="C36" s="133">
        <v>27.83</v>
      </c>
      <c r="D36" s="133">
        <v>38.229999999999997</v>
      </c>
      <c r="E36" s="133">
        <v>6.09</v>
      </c>
      <c r="F36" s="133">
        <v>2.4500000000000002</v>
      </c>
      <c r="G36" s="133">
        <v>95.88</v>
      </c>
      <c r="H36" s="133">
        <v>41.57</v>
      </c>
      <c r="I36" s="133">
        <v>8.74</v>
      </c>
      <c r="J36" s="133">
        <v>0.28000000000000003</v>
      </c>
      <c r="K36" s="133">
        <v>49.85</v>
      </c>
      <c r="L36" s="133">
        <v>19.260000000000002</v>
      </c>
      <c r="M36" s="133">
        <v>85.37</v>
      </c>
      <c r="N36" s="133">
        <v>30.9</v>
      </c>
      <c r="O36" s="133">
        <v>0</v>
      </c>
      <c r="P36" s="133">
        <v>0.82</v>
      </c>
      <c r="Q36" s="133">
        <v>5.57</v>
      </c>
    </row>
    <row r="37" spans="1:17">
      <c r="A37" s="111" t="s">
        <v>2954</v>
      </c>
      <c r="B37" s="133">
        <v>27.95</v>
      </c>
      <c r="C37" s="133">
        <v>28.38</v>
      </c>
      <c r="D37" s="133">
        <v>38.6</v>
      </c>
      <c r="E37" s="133">
        <v>6.49</v>
      </c>
      <c r="F37" s="133">
        <v>2.72</v>
      </c>
      <c r="G37" s="133">
        <v>95.88</v>
      </c>
      <c r="H37" s="133">
        <v>41.57</v>
      </c>
      <c r="I37" s="133">
        <v>8.85</v>
      </c>
      <c r="J37" s="133">
        <v>0.32</v>
      </c>
      <c r="K37" s="133">
        <v>39.31</v>
      </c>
      <c r="L37" s="133">
        <v>19.72</v>
      </c>
      <c r="M37" s="133">
        <v>82.67</v>
      </c>
      <c r="N37" s="133">
        <v>43.3</v>
      </c>
      <c r="O37" s="133">
        <v>0</v>
      </c>
      <c r="P37" s="133">
        <v>0.84</v>
      </c>
      <c r="Q37" s="133">
        <v>5.6</v>
      </c>
    </row>
    <row r="38" spans="1:17">
      <c r="A38" s="111" t="s">
        <v>2955</v>
      </c>
      <c r="B38" s="133">
        <v>27.96</v>
      </c>
      <c r="C38" s="133">
        <v>29.05</v>
      </c>
      <c r="D38" s="133">
        <v>38.94</v>
      </c>
      <c r="E38" s="133">
        <v>6.42</v>
      </c>
      <c r="F38" s="133">
        <v>2.74</v>
      </c>
      <c r="G38" s="133">
        <v>95.88</v>
      </c>
      <c r="H38" s="133">
        <v>41.57</v>
      </c>
      <c r="I38" s="133">
        <v>9</v>
      </c>
      <c r="J38" s="133">
        <v>0.31</v>
      </c>
      <c r="K38" s="133">
        <v>47.97</v>
      </c>
      <c r="L38" s="133">
        <v>20.22</v>
      </c>
      <c r="M38" s="133">
        <v>80.44</v>
      </c>
      <c r="N38" s="133">
        <v>62.4</v>
      </c>
      <c r="O38" s="133">
        <v>0</v>
      </c>
      <c r="P38" s="133">
        <v>0.85</v>
      </c>
      <c r="Q38" s="133">
        <v>5.58</v>
      </c>
    </row>
    <row r="39" spans="1:17">
      <c r="A39" s="111" t="s">
        <v>2956</v>
      </c>
      <c r="B39" s="133">
        <v>27.54</v>
      </c>
      <c r="C39" s="133">
        <v>29.7</v>
      </c>
      <c r="D39" s="133">
        <v>38.950000000000003</v>
      </c>
      <c r="E39" s="133">
        <v>6.74</v>
      </c>
      <c r="F39" s="133">
        <v>2.67</v>
      </c>
      <c r="G39" s="133">
        <v>96.19</v>
      </c>
      <c r="H39" s="133">
        <v>41.64</v>
      </c>
      <c r="I39" s="133">
        <v>9.08</v>
      </c>
      <c r="J39" s="133">
        <v>0.2</v>
      </c>
      <c r="K39" s="133">
        <v>77.23</v>
      </c>
      <c r="L39" s="133">
        <v>21.05</v>
      </c>
      <c r="M39" s="133">
        <v>77.739999999999995</v>
      </c>
      <c r="N39" s="133">
        <v>166.3</v>
      </c>
      <c r="O39" s="133">
        <v>0</v>
      </c>
      <c r="P39" s="133">
        <v>0.86</v>
      </c>
      <c r="Q39" s="133">
        <v>5.57</v>
      </c>
    </row>
    <row r="40" spans="1:17">
      <c r="A40" s="111" t="s">
        <v>2957</v>
      </c>
      <c r="B40" s="133">
        <v>26.69</v>
      </c>
      <c r="C40" s="133">
        <v>29.78</v>
      </c>
      <c r="D40" s="133">
        <v>38.32</v>
      </c>
      <c r="E40" s="133">
        <v>6.42</v>
      </c>
      <c r="F40" s="133">
        <v>2.66</v>
      </c>
      <c r="G40" s="133">
        <v>102.84</v>
      </c>
      <c r="H40" s="133">
        <v>42.7</v>
      </c>
      <c r="I40" s="133">
        <v>9.11</v>
      </c>
      <c r="J40" s="133">
        <v>0.46</v>
      </c>
      <c r="K40" s="133">
        <v>42.44</v>
      </c>
      <c r="L40" s="133">
        <v>21.84</v>
      </c>
      <c r="M40" s="133">
        <v>74.900000000000006</v>
      </c>
      <c r="N40" s="133">
        <v>211.7</v>
      </c>
      <c r="O40" s="133">
        <v>0</v>
      </c>
      <c r="P40" s="133">
        <v>0.87</v>
      </c>
      <c r="Q40" s="133">
        <v>5.57</v>
      </c>
    </row>
    <row r="41" spans="1:17">
      <c r="A41" s="111" t="s">
        <v>2958</v>
      </c>
      <c r="B41" s="133">
        <v>25.74</v>
      </c>
      <c r="C41" s="133">
        <v>29.68</v>
      </c>
      <c r="D41" s="133">
        <v>37.5</v>
      </c>
      <c r="E41" s="133">
        <v>6.53</v>
      </c>
      <c r="F41" s="133">
        <v>2.77</v>
      </c>
      <c r="G41" s="133">
        <v>102.84</v>
      </c>
      <c r="H41" s="133">
        <v>42.7</v>
      </c>
      <c r="I41" s="133">
        <v>9.08</v>
      </c>
      <c r="J41" s="133">
        <v>0.47</v>
      </c>
      <c r="K41" s="133">
        <v>42.27</v>
      </c>
      <c r="L41" s="133">
        <v>22.55</v>
      </c>
      <c r="M41" s="133">
        <v>70.260000000000005</v>
      </c>
      <c r="N41" s="133">
        <v>252.7</v>
      </c>
      <c r="O41" s="133">
        <v>0</v>
      </c>
      <c r="P41" s="133">
        <v>0.88</v>
      </c>
      <c r="Q41" s="133">
        <v>5.53</v>
      </c>
    </row>
    <row r="42" spans="1:17">
      <c r="A42" s="111" t="s">
        <v>2959</v>
      </c>
      <c r="B42" s="133">
        <v>24.37</v>
      </c>
      <c r="C42" s="133">
        <v>30.18</v>
      </c>
      <c r="D42" s="133">
        <v>36.659999999999997</v>
      </c>
      <c r="E42" s="133">
        <v>6.58</v>
      </c>
      <c r="F42" s="133">
        <v>2.66</v>
      </c>
      <c r="G42" s="133">
        <v>102.84</v>
      </c>
      <c r="H42" s="133">
        <v>42.7</v>
      </c>
      <c r="I42" s="133">
        <v>9.09</v>
      </c>
      <c r="J42" s="133">
        <v>0.49</v>
      </c>
      <c r="K42" s="133">
        <v>33.69</v>
      </c>
      <c r="L42" s="133">
        <v>23.42</v>
      </c>
      <c r="M42" s="133">
        <v>68.27</v>
      </c>
      <c r="N42" s="133">
        <v>290.8</v>
      </c>
      <c r="O42" s="133">
        <v>0</v>
      </c>
      <c r="P42" s="133">
        <v>0.89</v>
      </c>
      <c r="Q42" s="133">
        <v>5.46</v>
      </c>
    </row>
    <row r="43" spans="1:17">
      <c r="A43" s="111" t="s">
        <v>2960</v>
      </c>
      <c r="B43" s="133">
        <v>22.86</v>
      </c>
      <c r="C43" s="133">
        <v>30.59</v>
      </c>
      <c r="D43" s="133">
        <v>35.67</v>
      </c>
      <c r="E43" s="133">
        <v>6.67</v>
      </c>
      <c r="F43" s="133">
        <v>2.71</v>
      </c>
      <c r="G43" s="133">
        <v>103.04</v>
      </c>
      <c r="H43" s="133">
        <v>42.68</v>
      </c>
      <c r="I43" s="133">
        <v>9.06</v>
      </c>
      <c r="J43" s="133">
        <v>0.36</v>
      </c>
      <c r="K43" s="133">
        <v>26.72</v>
      </c>
      <c r="L43" s="133">
        <v>24.42</v>
      </c>
      <c r="M43" s="133">
        <v>65.37</v>
      </c>
      <c r="N43" s="133">
        <v>325.8</v>
      </c>
      <c r="O43" s="133">
        <v>0</v>
      </c>
      <c r="P43" s="133">
        <v>0.89</v>
      </c>
      <c r="Q43" s="133">
        <v>5.39</v>
      </c>
    </row>
    <row r="44" spans="1:17">
      <c r="A44" s="111" t="s">
        <v>2961</v>
      </c>
      <c r="B44" s="133">
        <v>21.65</v>
      </c>
      <c r="C44" s="133">
        <v>31.06</v>
      </c>
      <c r="D44" s="133">
        <v>34.94</v>
      </c>
      <c r="E44" s="133">
        <v>6.59</v>
      </c>
      <c r="F44" s="133">
        <v>2.73</v>
      </c>
      <c r="G44" s="133">
        <v>107.31</v>
      </c>
      <c r="H44" s="133">
        <v>42.41</v>
      </c>
      <c r="I44" s="133">
        <v>9.08</v>
      </c>
      <c r="J44" s="133">
        <v>0.39</v>
      </c>
      <c r="K44" s="133">
        <v>35.909999999999997</v>
      </c>
      <c r="L44" s="133">
        <v>25.28</v>
      </c>
      <c r="M44" s="133">
        <v>59.76</v>
      </c>
      <c r="N44" s="133">
        <v>358.1</v>
      </c>
      <c r="O44" s="133">
        <v>0</v>
      </c>
      <c r="P44" s="133">
        <v>0.91</v>
      </c>
      <c r="Q44" s="133">
        <v>5.33</v>
      </c>
    </row>
    <row r="45" spans="1:17">
      <c r="A45" s="111" t="s">
        <v>2962</v>
      </c>
      <c r="B45" s="133">
        <v>20.75</v>
      </c>
      <c r="C45" s="133">
        <v>31.26</v>
      </c>
      <c r="D45" s="133">
        <v>34.32</v>
      </c>
      <c r="E45" s="133">
        <v>6.68</v>
      </c>
      <c r="F45" s="133">
        <v>2.6</v>
      </c>
      <c r="G45" s="133">
        <v>107.31</v>
      </c>
      <c r="H45" s="133">
        <v>42.41</v>
      </c>
      <c r="I45" s="133">
        <v>9.19</v>
      </c>
      <c r="J45" s="133">
        <v>0.01</v>
      </c>
      <c r="K45" s="133">
        <v>15.1</v>
      </c>
      <c r="L45" s="133">
        <v>25.98</v>
      </c>
      <c r="M45" s="133">
        <v>56.06</v>
      </c>
      <c r="N45" s="133">
        <v>374.8</v>
      </c>
      <c r="O45" s="133">
        <v>0</v>
      </c>
      <c r="P45" s="133">
        <v>0.9</v>
      </c>
      <c r="Q45" s="133">
        <v>5.27</v>
      </c>
    </row>
    <row r="46" spans="1:17">
      <c r="A46" s="111" t="s">
        <v>2963</v>
      </c>
      <c r="B46" s="133">
        <v>19.88</v>
      </c>
      <c r="C46" s="133">
        <v>29.58</v>
      </c>
      <c r="D46" s="133">
        <v>32.75</v>
      </c>
      <c r="E46" s="133">
        <v>6.19</v>
      </c>
      <c r="F46" s="133">
        <v>2.99</v>
      </c>
      <c r="G46" s="133">
        <v>107.31</v>
      </c>
      <c r="H46" s="133">
        <v>42.41</v>
      </c>
      <c r="I46" s="133">
        <v>9.2100000000000009</v>
      </c>
      <c r="J46" s="133">
        <v>0.24</v>
      </c>
      <c r="K46" s="133">
        <v>100.49</v>
      </c>
      <c r="L46" s="133">
        <v>26.64</v>
      </c>
      <c r="M46" s="133">
        <v>53.09</v>
      </c>
      <c r="N46" s="133">
        <v>277.7</v>
      </c>
      <c r="O46" s="133">
        <v>0</v>
      </c>
      <c r="P46" s="133">
        <v>0.89</v>
      </c>
      <c r="Q46" s="133">
        <v>5.25</v>
      </c>
    </row>
    <row r="47" spans="1:17">
      <c r="A47" s="111" t="s">
        <v>2964</v>
      </c>
      <c r="B47" s="133">
        <v>18.829999999999998</v>
      </c>
      <c r="C47" s="133">
        <v>28.2</v>
      </c>
      <c r="D47" s="133">
        <v>31.19</v>
      </c>
      <c r="E47" s="133">
        <v>5.73</v>
      </c>
      <c r="F47" s="133">
        <v>2.98</v>
      </c>
      <c r="G47" s="133">
        <v>107.26</v>
      </c>
      <c r="H47" s="133">
        <v>42.53</v>
      </c>
      <c r="I47" s="133">
        <v>9.17</v>
      </c>
      <c r="J47" s="133">
        <v>0.19</v>
      </c>
      <c r="K47" s="133">
        <v>50.38</v>
      </c>
      <c r="L47" s="133">
        <v>27.15</v>
      </c>
      <c r="M47" s="133">
        <v>53.28</v>
      </c>
      <c r="N47" s="133">
        <v>362.4</v>
      </c>
      <c r="O47" s="133">
        <v>0</v>
      </c>
      <c r="P47" s="133">
        <v>0.88</v>
      </c>
      <c r="Q47" s="133">
        <v>5.17</v>
      </c>
    </row>
    <row r="48" spans="1:17">
      <c r="A48" s="111" t="s">
        <v>2965</v>
      </c>
      <c r="B48" s="133">
        <v>17.87</v>
      </c>
      <c r="C48" s="133">
        <v>27.43</v>
      </c>
      <c r="D48" s="133">
        <v>30.01</v>
      </c>
      <c r="E48" s="133">
        <v>6.07</v>
      </c>
      <c r="F48" s="133">
        <v>2.91</v>
      </c>
      <c r="G48" s="133">
        <v>106.26</v>
      </c>
      <c r="H48" s="133">
        <v>44.48</v>
      </c>
      <c r="I48" s="133">
        <v>9.11</v>
      </c>
      <c r="J48" s="133">
        <v>0.28000000000000003</v>
      </c>
      <c r="K48" s="133">
        <v>42.53</v>
      </c>
      <c r="L48" s="133">
        <v>27.72</v>
      </c>
      <c r="M48" s="133">
        <v>51.56</v>
      </c>
      <c r="N48" s="133">
        <v>469</v>
      </c>
      <c r="O48" s="133">
        <v>0</v>
      </c>
      <c r="P48" s="133">
        <v>0.87</v>
      </c>
      <c r="Q48" s="133">
        <v>5.09</v>
      </c>
    </row>
    <row r="49" spans="1:17">
      <c r="A49" s="111" t="s">
        <v>2966</v>
      </c>
      <c r="B49" s="133">
        <v>16.87</v>
      </c>
      <c r="C49" s="133">
        <v>27.14</v>
      </c>
      <c r="D49" s="133">
        <v>29.06</v>
      </c>
      <c r="E49" s="133">
        <v>5.51</v>
      </c>
      <c r="F49" s="133">
        <v>2.95</v>
      </c>
      <c r="G49" s="133">
        <v>106.26</v>
      </c>
      <c r="H49" s="133">
        <v>44.48</v>
      </c>
      <c r="I49" s="133">
        <v>9</v>
      </c>
      <c r="J49" s="133">
        <v>0.15</v>
      </c>
      <c r="K49" s="133">
        <v>27.89</v>
      </c>
      <c r="L49" s="133">
        <v>28.08</v>
      </c>
      <c r="M49" s="133">
        <v>49.69</v>
      </c>
      <c r="N49" s="133">
        <v>484.2</v>
      </c>
      <c r="O49" s="133">
        <v>0</v>
      </c>
      <c r="P49" s="133">
        <v>0.86</v>
      </c>
      <c r="Q49" s="133">
        <v>5.04</v>
      </c>
    </row>
    <row r="50" spans="1:17">
      <c r="A50" s="111" t="s">
        <v>2967</v>
      </c>
      <c r="B50" s="133">
        <v>15.89</v>
      </c>
      <c r="C50" s="133">
        <v>26.8</v>
      </c>
      <c r="D50" s="133">
        <v>28.1</v>
      </c>
      <c r="E50" s="133">
        <v>6.36</v>
      </c>
      <c r="F50" s="133">
        <v>3.03</v>
      </c>
      <c r="G50" s="133">
        <v>106.26</v>
      </c>
      <c r="H50" s="133">
        <v>44.48</v>
      </c>
      <c r="I50" s="133">
        <v>8.9700000000000006</v>
      </c>
      <c r="J50" s="133">
        <v>0.43</v>
      </c>
      <c r="K50" s="133">
        <v>33.54</v>
      </c>
      <c r="L50" s="133">
        <v>28.59</v>
      </c>
      <c r="M50" s="133">
        <v>47.34</v>
      </c>
      <c r="N50" s="133">
        <v>507.9</v>
      </c>
      <c r="O50" s="133">
        <v>0</v>
      </c>
      <c r="P50" s="133">
        <v>0.86</v>
      </c>
      <c r="Q50" s="133">
        <v>4.99</v>
      </c>
    </row>
    <row r="51" spans="1:17">
      <c r="A51" s="111" t="s">
        <v>2968</v>
      </c>
      <c r="B51" s="133">
        <v>14.79</v>
      </c>
      <c r="C51" s="133">
        <v>26.83</v>
      </c>
      <c r="D51" s="133">
        <v>27.23</v>
      </c>
      <c r="E51" s="133">
        <v>6.71</v>
      </c>
      <c r="F51" s="133">
        <v>3.22</v>
      </c>
      <c r="G51" s="133">
        <v>106.31</v>
      </c>
      <c r="H51" s="133">
        <v>44.21</v>
      </c>
      <c r="I51" s="133">
        <v>8.86</v>
      </c>
      <c r="J51" s="133">
        <v>0.32</v>
      </c>
      <c r="K51" s="133">
        <v>23.12</v>
      </c>
      <c r="L51" s="133">
        <v>28.67</v>
      </c>
      <c r="M51" s="133">
        <v>46.2</v>
      </c>
      <c r="N51" s="133">
        <v>495.8</v>
      </c>
      <c r="O51" s="133">
        <v>0</v>
      </c>
      <c r="P51" s="133">
        <v>0.86</v>
      </c>
      <c r="Q51" s="133">
        <v>4.92</v>
      </c>
    </row>
    <row r="52" spans="1:17">
      <c r="A52" s="111" t="s">
        <v>2969</v>
      </c>
      <c r="B52" s="133">
        <v>13.72</v>
      </c>
      <c r="C52" s="133">
        <v>26.39</v>
      </c>
      <c r="D52" s="133">
        <v>26.14</v>
      </c>
      <c r="E52" s="133">
        <v>6.68</v>
      </c>
      <c r="F52" s="133">
        <v>3.34</v>
      </c>
      <c r="G52" s="133">
        <v>107.2</v>
      </c>
      <c r="H52" s="133">
        <v>40.07</v>
      </c>
      <c r="I52" s="133">
        <v>8.82</v>
      </c>
      <c r="J52" s="133">
        <v>0.18</v>
      </c>
      <c r="K52" s="133">
        <v>192.43</v>
      </c>
      <c r="L52" s="133">
        <v>29.31</v>
      </c>
      <c r="M52" s="133">
        <v>42.89</v>
      </c>
      <c r="N52" s="133">
        <v>514.1</v>
      </c>
      <c r="O52" s="133">
        <v>0</v>
      </c>
      <c r="P52" s="133">
        <v>0.85</v>
      </c>
      <c r="Q52" s="133">
        <v>4.87</v>
      </c>
    </row>
    <row r="53" spans="1:17">
      <c r="A53" s="111" t="s">
        <v>2970</v>
      </c>
      <c r="B53" s="133">
        <v>12.49</v>
      </c>
      <c r="C53" s="133">
        <v>26.28</v>
      </c>
      <c r="D53" s="133">
        <v>25.1</v>
      </c>
      <c r="E53" s="133">
        <v>6.78</v>
      </c>
      <c r="F53" s="133">
        <v>3.65</v>
      </c>
      <c r="G53" s="133">
        <v>107.2</v>
      </c>
      <c r="H53" s="133">
        <v>40.07</v>
      </c>
      <c r="I53" s="133">
        <v>8.81</v>
      </c>
      <c r="J53" s="133">
        <v>0.52</v>
      </c>
      <c r="K53" s="133">
        <v>49.01</v>
      </c>
      <c r="L53" s="133">
        <v>29.64</v>
      </c>
      <c r="M53" s="133">
        <v>39.32</v>
      </c>
      <c r="N53" s="133">
        <v>587.5</v>
      </c>
      <c r="O53" s="133">
        <v>0</v>
      </c>
      <c r="P53" s="133">
        <v>0.84</v>
      </c>
      <c r="Q53" s="133">
        <v>4.8099999999999996</v>
      </c>
    </row>
    <row r="54" spans="1:17">
      <c r="A54" s="111" t="s">
        <v>2971</v>
      </c>
      <c r="B54" s="133">
        <v>11.2</v>
      </c>
      <c r="C54" s="133">
        <v>26.29</v>
      </c>
      <c r="D54" s="133">
        <v>24.07</v>
      </c>
      <c r="E54" s="133">
        <v>7</v>
      </c>
      <c r="F54" s="133">
        <v>3.83</v>
      </c>
      <c r="G54" s="133">
        <v>107.2</v>
      </c>
      <c r="H54" s="133">
        <v>40.07</v>
      </c>
      <c r="I54" s="133">
        <v>8.76</v>
      </c>
      <c r="J54" s="133">
        <v>0.23</v>
      </c>
      <c r="K54" s="133">
        <v>83.54</v>
      </c>
      <c r="L54" s="133">
        <v>29.87</v>
      </c>
      <c r="M54" s="133">
        <v>36.76</v>
      </c>
      <c r="N54" s="133">
        <v>575.6</v>
      </c>
      <c r="O54" s="133">
        <v>0</v>
      </c>
      <c r="P54" s="133">
        <v>0.83</v>
      </c>
      <c r="Q54" s="133">
        <v>4.74</v>
      </c>
    </row>
    <row r="55" spans="1:17">
      <c r="A55" s="111" t="s">
        <v>2972</v>
      </c>
      <c r="B55" s="133">
        <v>10.11</v>
      </c>
      <c r="C55" s="133">
        <v>25.48</v>
      </c>
      <c r="D55" s="133">
        <v>22.77</v>
      </c>
      <c r="E55" s="133">
        <v>6.79</v>
      </c>
      <c r="F55" s="133">
        <v>4.62</v>
      </c>
      <c r="G55" s="133">
        <v>106.29</v>
      </c>
      <c r="H55" s="133">
        <v>39.869999999999997</v>
      </c>
      <c r="I55" s="133">
        <v>8.66</v>
      </c>
      <c r="J55" s="133">
        <v>0.21</v>
      </c>
      <c r="K55" s="133">
        <v>87.1</v>
      </c>
      <c r="L55" s="133">
        <v>30</v>
      </c>
      <c r="M55" s="133">
        <v>35.93</v>
      </c>
      <c r="N55" s="133">
        <v>591.29999999999995</v>
      </c>
      <c r="O55" s="133">
        <v>0</v>
      </c>
      <c r="P55" s="133">
        <v>0.81</v>
      </c>
      <c r="Q55" s="133">
        <v>4.66</v>
      </c>
    </row>
    <row r="56" spans="1:17">
      <c r="A56" s="111" t="s">
        <v>2973</v>
      </c>
      <c r="B56" s="133">
        <v>9.1300000000000008</v>
      </c>
      <c r="C56" s="133">
        <v>24.83</v>
      </c>
      <c r="D56" s="133">
        <v>21.65</v>
      </c>
      <c r="E56" s="133">
        <v>7.14</v>
      </c>
      <c r="F56" s="133">
        <v>5.63</v>
      </c>
      <c r="G56" s="133">
        <v>90.74</v>
      </c>
      <c r="H56" s="133">
        <v>36.9</v>
      </c>
      <c r="I56" s="133">
        <v>8.4700000000000006</v>
      </c>
      <c r="J56" s="133">
        <v>0.44</v>
      </c>
      <c r="K56" s="133">
        <v>49.29</v>
      </c>
      <c r="L56" s="133">
        <v>30.4</v>
      </c>
      <c r="M56" s="133">
        <v>34.520000000000003</v>
      </c>
      <c r="N56" s="133">
        <v>609.20000000000005</v>
      </c>
      <c r="O56" s="133">
        <v>0</v>
      </c>
      <c r="P56" s="133">
        <v>0.79</v>
      </c>
      <c r="Q56" s="133">
        <v>4.62</v>
      </c>
    </row>
    <row r="57" spans="1:17">
      <c r="A57" s="111" t="s">
        <v>2974</v>
      </c>
      <c r="B57" s="133">
        <v>8.25</v>
      </c>
      <c r="C57" s="133">
        <v>24.74</v>
      </c>
      <c r="D57" s="133">
        <v>20.9</v>
      </c>
      <c r="E57" s="133">
        <v>6.33</v>
      </c>
      <c r="F57" s="133">
        <v>4.59</v>
      </c>
      <c r="G57" s="133">
        <v>90.74</v>
      </c>
      <c r="H57" s="133">
        <v>36.9</v>
      </c>
      <c r="I57" s="133">
        <v>8.26</v>
      </c>
      <c r="J57" s="133">
        <v>0.22</v>
      </c>
      <c r="K57" s="133">
        <v>122.89</v>
      </c>
      <c r="L57" s="133">
        <v>30.58</v>
      </c>
      <c r="M57" s="133">
        <v>32.909999999999997</v>
      </c>
      <c r="N57" s="133">
        <v>605.1</v>
      </c>
      <c r="O57" s="133">
        <v>0</v>
      </c>
      <c r="P57" s="133">
        <v>0.77</v>
      </c>
      <c r="Q57" s="133">
        <v>4.5199999999999996</v>
      </c>
    </row>
    <row r="58" spans="1:17">
      <c r="A58" s="111" t="s">
        <v>2975</v>
      </c>
      <c r="B58" s="133">
        <v>7.55</v>
      </c>
      <c r="C58" s="133">
        <v>24.02</v>
      </c>
      <c r="D58" s="133">
        <v>19.95</v>
      </c>
      <c r="E58" s="133">
        <v>6.13</v>
      </c>
      <c r="F58" s="133">
        <v>5.0199999999999996</v>
      </c>
      <c r="G58" s="133">
        <v>90.74</v>
      </c>
      <c r="H58" s="133">
        <v>36.9</v>
      </c>
      <c r="I58" s="133">
        <v>8.08</v>
      </c>
      <c r="J58" s="133">
        <v>0.33</v>
      </c>
      <c r="K58" s="133">
        <v>51.23</v>
      </c>
      <c r="L58" s="133">
        <v>30.93</v>
      </c>
      <c r="M58" s="133">
        <v>33.130000000000003</v>
      </c>
      <c r="N58" s="133">
        <v>603</v>
      </c>
      <c r="O58" s="133">
        <v>0</v>
      </c>
      <c r="P58" s="133">
        <v>0.76</v>
      </c>
      <c r="Q58" s="133">
        <v>4.49</v>
      </c>
    </row>
    <row r="59" spans="1:17">
      <c r="A59" s="111" t="s">
        <v>2976</v>
      </c>
      <c r="B59" s="133">
        <v>6.92</v>
      </c>
      <c r="C59" s="133">
        <v>23.14</v>
      </c>
      <c r="D59" s="133">
        <v>18.989999999999998</v>
      </c>
      <c r="E59" s="133">
        <v>6.78</v>
      </c>
      <c r="F59" s="133">
        <v>5.01</v>
      </c>
      <c r="G59" s="133">
        <v>89.89</v>
      </c>
      <c r="H59" s="133">
        <v>36.64</v>
      </c>
      <c r="I59" s="133">
        <v>7.9</v>
      </c>
      <c r="J59" s="133">
        <v>0.4</v>
      </c>
      <c r="K59" s="133">
        <v>46.48</v>
      </c>
      <c r="L59" s="133">
        <v>30.87</v>
      </c>
      <c r="M59" s="133">
        <v>33.36</v>
      </c>
      <c r="N59" s="133">
        <v>588.79999999999995</v>
      </c>
      <c r="O59" s="133">
        <v>0</v>
      </c>
      <c r="P59" s="133">
        <v>0.74</v>
      </c>
      <c r="Q59" s="133">
        <v>4.46</v>
      </c>
    </row>
    <row r="60" spans="1:17">
      <c r="A60" s="111" t="s">
        <v>2977</v>
      </c>
      <c r="B60" s="133">
        <v>6.57</v>
      </c>
      <c r="C60" s="133">
        <v>22.75</v>
      </c>
      <c r="D60" s="133">
        <v>18.510000000000002</v>
      </c>
      <c r="E60" s="133">
        <v>5.98</v>
      </c>
      <c r="F60" s="133">
        <v>4.66</v>
      </c>
      <c r="G60" s="133">
        <v>71.430000000000007</v>
      </c>
      <c r="H60" s="133">
        <v>32.57</v>
      </c>
      <c r="I60" s="133">
        <v>7.7</v>
      </c>
      <c r="J60" s="133">
        <v>0.24</v>
      </c>
      <c r="K60" s="133">
        <v>53.57</v>
      </c>
      <c r="L60" s="133">
        <v>31.04</v>
      </c>
      <c r="M60" s="133">
        <v>32.44</v>
      </c>
      <c r="N60" s="133">
        <v>547.6</v>
      </c>
      <c r="O60" s="133">
        <v>0</v>
      </c>
      <c r="P60" s="133">
        <v>0.73</v>
      </c>
      <c r="Q60" s="133">
        <v>4.42</v>
      </c>
    </row>
    <row r="61" spans="1:17">
      <c r="A61" s="111" t="s">
        <v>2978</v>
      </c>
      <c r="B61" s="133">
        <v>6.18</v>
      </c>
      <c r="C61" s="133">
        <v>22.33</v>
      </c>
      <c r="D61" s="133">
        <v>17.97</v>
      </c>
      <c r="E61" s="133">
        <v>6.4</v>
      </c>
      <c r="F61" s="133">
        <v>4.38</v>
      </c>
      <c r="G61" s="133">
        <v>71.430000000000007</v>
      </c>
      <c r="H61" s="133">
        <v>32.57</v>
      </c>
      <c r="I61" s="133">
        <v>7.47</v>
      </c>
      <c r="J61" s="133">
        <v>0.31</v>
      </c>
      <c r="K61" s="133">
        <v>60.43</v>
      </c>
      <c r="L61" s="133">
        <v>30.91</v>
      </c>
      <c r="M61" s="133">
        <v>33.74</v>
      </c>
      <c r="N61" s="133">
        <v>549.1</v>
      </c>
      <c r="O61" s="133">
        <v>0</v>
      </c>
      <c r="P61" s="133">
        <v>0.71</v>
      </c>
      <c r="Q61" s="133">
        <v>4.3899999999999997</v>
      </c>
    </row>
    <row r="62" spans="1:17">
      <c r="A62" s="111" t="s">
        <v>2979</v>
      </c>
      <c r="B62" s="133">
        <v>5.76</v>
      </c>
      <c r="C62" s="133">
        <v>21.86</v>
      </c>
      <c r="D62" s="133">
        <v>17.39</v>
      </c>
      <c r="E62" s="133">
        <v>6.45</v>
      </c>
      <c r="F62" s="133">
        <v>4.37</v>
      </c>
      <c r="G62" s="133">
        <v>71.430000000000007</v>
      </c>
      <c r="H62" s="133">
        <v>32.57</v>
      </c>
      <c r="I62" s="133">
        <v>7.37</v>
      </c>
      <c r="J62" s="133">
        <v>0.38</v>
      </c>
      <c r="K62" s="133">
        <v>38.79</v>
      </c>
      <c r="L62" s="133">
        <v>31.04</v>
      </c>
      <c r="M62" s="133">
        <v>34.35</v>
      </c>
      <c r="N62" s="133">
        <v>524.29999999999995</v>
      </c>
      <c r="O62" s="133">
        <v>0</v>
      </c>
      <c r="P62" s="133">
        <v>0.71</v>
      </c>
      <c r="Q62" s="133">
        <v>4.3600000000000003</v>
      </c>
    </row>
    <row r="63" spans="1:17">
      <c r="A63" s="111" t="s">
        <v>2980</v>
      </c>
      <c r="B63" s="133">
        <v>5.38</v>
      </c>
      <c r="C63" s="133">
        <v>21.52</v>
      </c>
      <c r="D63" s="133">
        <v>16.91</v>
      </c>
      <c r="E63" s="133">
        <v>5.54</v>
      </c>
      <c r="F63" s="133">
        <v>4.8499999999999996</v>
      </c>
      <c r="G63" s="133">
        <v>71.13</v>
      </c>
      <c r="H63" s="133">
        <v>32.159999999999997</v>
      </c>
      <c r="I63" s="133">
        <v>7.21</v>
      </c>
      <c r="J63" s="133">
        <v>0.21</v>
      </c>
      <c r="K63" s="133">
        <v>60.87</v>
      </c>
      <c r="L63" s="133">
        <v>30.73</v>
      </c>
      <c r="M63" s="133">
        <v>34.51</v>
      </c>
      <c r="N63" s="133">
        <v>488.3</v>
      </c>
      <c r="O63" s="133">
        <v>0</v>
      </c>
      <c r="P63" s="133">
        <v>0.7</v>
      </c>
      <c r="Q63" s="133">
        <v>4.32</v>
      </c>
    </row>
    <row r="64" spans="1:17">
      <c r="A64" s="111" t="s">
        <v>2981</v>
      </c>
      <c r="B64" s="133">
        <v>5.1100000000000003</v>
      </c>
      <c r="C64" s="133">
        <v>21.23</v>
      </c>
      <c r="D64" s="133">
        <v>16.54</v>
      </c>
      <c r="E64" s="133">
        <v>5.91</v>
      </c>
      <c r="F64" s="133">
        <v>5.74</v>
      </c>
      <c r="G64" s="133">
        <v>65.930000000000007</v>
      </c>
      <c r="H64" s="133">
        <v>25.73</v>
      </c>
      <c r="I64" s="133">
        <v>7.04</v>
      </c>
      <c r="J64" s="133">
        <v>0.3</v>
      </c>
      <c r="K64" s="133">
        <v>53.46</v>
      </c>
      <c r="L64" s="133">
        <v>30.83</v>
      </c>
      <c r="M64" s="133">
        <v>35.53</v>
      </c>
      <c r="N64" s="133">
        <v>466.4</v>
      </c>
      <c r="O64" s="133">
        <v>0</v>
      </c>
      <c r="P64" s="133">
        <v>0.69</v>
      </c>
      <c r="Q64" s="133">
        <v>4.32</v>
      </c>
    </row>
    <row r="65" spans="1:17">
      <c r="A65" s="111" t="s">
        <v>2982</v>
      </c>
      <c r="B65" s="133">
        <v>4.6900000000000004</v>
      </c>
      <c r="C65" s="133">
        <v>21.11</v>
      </c>
      <c r="D65" s="133">
        <v>16.14</v>
      </c>
      <c r="E65" s="133">
        <v>6.36</v>
      </c>
      <c r="F65" s="133">
        <v>6.56</v>
      </c>
      <c r="G65" s="133">
        <v>65.930000000000007</v>
      </c>
      <c r="H65" s="133">
        <v>25.73</v>
      </c>
      <c r="I65" s="133">
        <v>6.89</v>
      </c>
      <c r="J65" s="133">
        <v>0.18</v>
      </c>
      <c r="K65" s="133">
        <v>180.51</v>
      </c>
      <c r="L65" s="133">
        <v>30.47</v>
      </c>
      <c r="M65" s="133">
        <v>36.42</v>
      </c>
      <c r="N65" s="133">
        <v>438.9</v>
      </c>
      <c r="O65" s="133">
        <v>0</v>
      </c>
      <c r="P65" s="133">
        <v>0.65</v>
      </c>
      <c r="Q65" s="133">
        <v>4.32</v>
      </c>
    </row>
    <row r="66" spans="1:17">
      <c r="A66" s="111" t="s">
        <v>2983</v>
      </c>
      <c r="B66" s="133">
        <v>4.5</v>
      </c>
      <c r="C66" s="133">
        <v>20.61</v>
      </c>
      <c r="D66" s="133">
        <v>15.72</v>
      </c>
      <c r="E66" s="133">
        <v>6.41</v>
      </c>
      <c r="F66" s="133">
        <v>7.07</v>
      </c>
      <c r="G66" s="133">
        <v>65.930000000000007</v>
      </c>
      <c r="H66" s="133">
        <v>25.73</v>
      </c>
      <c r="I66" s="133">
        <v>6.7</v>
      </c>
      <c r="J66" s="133">
        <v>0.21</v>
      </c>
      <c r="K66" s="133">
        <v>82.84</v>
      </c>
      <c r="L66" s="133">
        <v>30.26</v>
      </c>
      <c r="M66" s="133">
        <v>36.03</v>
      </c>
      <c r="N66" s="133">
        <v>245.4</v>
      </c>
      <c r="O66" s="133">
        <v>0</v>
      </c>
      <c r="P66" s="133">
        <v>0.66</v>
      </c>
      <c r="Q66" s="133">
        <v>4.29</v>
      </c>
    </row>
    <row r="67" spans="1:17">
      <c r="A67" s="111" t="s">
        <v>2984</v>
      </c>
      <c r="B67" s="133">
        <v>4.37</v>
      </c>
      <c r="C67" s="133">
        <v>20.39</v>
      </c>
      <c r="D67" s="133">
        <v>15.51</v>
      </c>
      <c r="E67" s="133">
        <v>6.32</v>
      </c>
      <c r="F67" s="133">
        <v>7.53</v>
      </c>
      <c r="G67" s="133">
        <v>65.680000000000007</v>
      </c>
      <c r="H67" s="133">
        <v>25.84</v>
      </c>
      <c r="I67" s="133">
        <v>6.54</v>
      </c>
      <c r="J67" s="133">
        <v>0.28999999999999998</v>
      </c>
      <c r="K67" s="133">
        <v>154.56</v>
      </c>
      <c r="L67" s="133">
        <v>29.85</v>
      </c>
      <c r="M67" s="133">
        <v>36.549999999999997</v>
      </c>
      <c r="N67" s="133">
        <v>90.1</v>
      </c>
      <c r="O67" s="133">
        <v>0</v>
      </c>
      <c r="P67" s="133">
        <v>0.64</v>
      </c>
      <c r="Q67" s="133">
        <v>4.28</v>
      </c>
    </row>
    <row r="68" spans="1:17">
      <c r="A68" s="111" t="s">
        <v>2985</v>
      </c>
      <c r="B68" s="133">
        <v>4.25</v>
      </c>
      <c r="C68" s="133">
        <v>19.89</v>
      </c>
      <c r="D68" s="133">
        <v>15.15</v>
      </c>
      <c r="E68" s="133">
        <v>6.68</v>
      </c>
      <c r="F68" s="133">
        <v>6.52</v>
      </c>
      <c r="G68" s="133">
        <v>60.3</v>
      </c>
      <c r="H68" s="133">
        <v>27.54</v>
      </c>
      <c r="I68" s="133">
        <v>6.37</v>
      </c>
      <c r="J68" s="133">
        <v>0.37</v>
      </c>
      <c r="K68" s="133">
        <v>166.75</v>
      </c>
      <c r="L68" s="133">
        <v>29.28</v>
      </c>
      <c r="M68" s="133">
        <v>37.93</v>
      </c>
      <c r="N68" s="133">
        <v>77.400000000000006</v>
      </c>
      <c r="O68" s="133">
        <v>0</v>
      </c>
      <c r="P68" s="133">
        <v>0.63</v>
      </c>
      <c r="Q68" s="133">
        <v>4.26</v>
      </c>
    </row>
    <row r="69" spans="1:17">
      <c r="A69" s="111" t="s">
        <v>2986</v>
      </c>
      <c r="B69" s="133">
        <v>4.2</v>
      </c>
      <c r="C69" s="133">
        <v>19.579999999999998</v>
      </c>
      <c r="D69" s="133">
        <v>14.95</v>
      </c>
      <c r="E69" s="133">
        <v>6.71</v>
      </c>
      <c r="F69" s="133">
        <v>6.82</v>
      </c>
      <c r="G69" s="133">
        <v>60.3</v>
      </c>
      <c r="H69" s="133">
        <v>27.54</v>
      </c>
      <c r="I69" s="133">
        <v>6.08</v>
      </c>
      <c r="J69" s="133">
        <v>0.24</v>
      </c>
      <c r="K69" s="133">
        <v>152.61000000000001</v>
      </c>
      <c r="L69" s="133">
        <v>29.13</v>
      </c>
      <c r="M69" s="133">
        <v>39.42</v>
      </c>
      <c r="N69" s="133">
        <v>67.3</v>
      </c>
      <c r="O69" s="133">
        <v>0</v>
      </c>
      <c r="P69" s="133">
        <v>0.61</v>
      </c>
      <c r="Q69" s="133">
        <v>4.28</v>
      </c>
    </row>
    <row r="70" spans="1:17">
      <c r="A70" s="111" t="s">
        <v>2987</v>
      </c>
      <c r="B70" s="133">
        <v>4.21</v>
      </c>
      <c r="C70" s="133">
        <v>19.440000000000001</v>
      </c>
      <c r="D70" s="133">
        <v>14.88</v>
      </c>
      <c r="E70" s="133">
        <v>6.9</v>
      </c>
      <c r="F70" s="133">
        <v>6.64</v>
      </c>
      <c r="G70" s="133">
        <v>60.3</v>
      </c>
      <c r="H70" s="133">
        <v>27.54</v>
      </c>
      <c r="I70" s="133">
        <v>5.97</v>
      </c>
      <c r="J70" s="133">
        <v>0.08</v>
      </c>
      <c r="K70" s="133">
        <v>129.16999999999999</v>
      </c>
      <c r="L70" s="133">
        <v>28.79</v>
      </c>
      <c r="M70" s="133">
        <v>39.880000000000003</v>
      </c>
      <c r="N70" s="133">
        <v>58.9</v>
      </c>
      <c r="O70" s="133">
        <v>0</v>
      </c>
      <c r="P70" s="133">
        <v>0.61</v>
      </c>
      <c r="Q70" s="133">
        <v>4.2699999999999996</v>
      </c>
    </row>
    <row r="71" spans="1:17">
      <c r="A71" s="111" t="s">
        <v>2988</v>
      </c>
      <c r="B71" s="133">
        <v>4.1500000000000004</v>
      </c>
      <c r="C71" s="133">
        <v>19.559999999999999</v>
      </c>
      <c r="D71" s="133">
        <v>14.9</v>
      </c>
      <c r="E71" s="133">
        <v>6.6</v>
      </c>
      <c r="F71" s="133">
        <v>8.49</v>
      </c>
      <c r="G71" s="133">
        <v>59.93</v>
      </c>
      <c r="H71" s="133">
        <v>27.53</v>
      </c>
      <c r="I71" s="133">
        <v>5.75</v>
      </c>
      <c r="J71" s="133">
        <v>0.17</v>
      </c>
      <c r="K71" s="133">
        <v>88.88</v>
      </c>
      <c r="L71" s="133">
        <v>28.51</v>
      </c>
      <c r="M71" s="133">
        <v>39.75</v>
      </c>
      <c r="N71" s="133">
        <v>55.5</v>
      </c>
      <c r="O71" s="133">
        <v>0</v>
      </c>
      <c r="P71" s="133">
        <v>0.59</v>
      </c>
      <c r="Q71" s="133">
        <v>4.24</v>
      </c>
    </row>
    <row r="72" spans="1:17">
      <c r="A72" s="111" t="s">
        <v>2989</v>
      </c>
      <c r="B72" s="133">
        <v>4.1399999999999997</v>
      </c>
      <c r="C72" s="133">
        <v>19.36</v>
      </c>
      <c r="D72" s="133">
        <v>14.79</v>
      </c>
      <c r="E72" s="133">
        <v>6.82</v>
      </c>
      <c r="F72" s="133">
        <v>5.93</v>
      </c>
      <c r="G72" s="133">
        <v>53.61</v>
      </c>
      <c r="H72" s="133">
        <v>27.37</v>
      </c>
      <c r="I72" s="133">
        <v>5.63</v>
      </c>
      <c r="J72" s="133">
        <v>0.28000000000000003</v>
      </c>
      <c r="K72" s="133">
        <v>162.97999999999999</v>
      </c>
      <c r="L72" s="133">
        <v>28.46</v>
      </c>
      <c r="M72" s="133">
        <v>41.91</v>
      </c>
      <c r="N72" s="133">
        <v>41.5</v>
      </c>
      <c r="O72" s="133">
        <v>0</v>
      </c>
      <c r="P72" s="133">
        <v>0.59</v>
      </c>
      <c r="Q72" s="133">
        <v>4.25</v>
      </c>
    </row>
    <row r="73" spans="1:17">
      <c r="A73" s="111" t="s">
        <v>2990</v>
      </c>
      <c r="B73" s="133">
        <v>4.1100000000000003</v>
      </c>
      <c r="C73" s="133">
        <v>19.57</v>
      </c>
      <c r="D73" s="133">
        <v>14.88</v>
      </c>
      <c r="E73" s="133">
        <v>7.11</v>
      </c>
      <c r="F73" s="133">
        <v>6.04</v>
      </c>
      <c r="G73" s="133">
        <v>53.61</v>
      </c>
      <c r="H73" s="133">
        <v>27.37</v>
      </c>
      <c r="I73" s="133">
        <v>5.47</v>
      </c>
      <c r="J73" s="133">
        <v>0.18</v>
      </c>
      <c r="K73" s="133">
        <v>164.24</v>
      </c>
      <c r="L73" s="133">
        <v>28.22</v>
      </c>
      <c r="M73" s="133">
        <v>41.6</v>
      </c>
      <c r="N73" s="133">
        <v>32.6</v>
      </c>
      <c r="O73" s="133">
        <v>0</v>
      </c>
      <c r="P73" s="133">
        <v>0.57999999999999996</v>
      </c>
      <c r="Q73" s="133">
        <v>4.26</v>
      </c>
    </row>
    <row r="74" spans="1:17">
      <c r="A74" s="111" t="s">
        <v>2991</v>
      </c>
      <c r="B74" s="133">
        <v>4.17</v>
      </c>
      <c r="C74" s="133">
        <v>19.260000000000002</v>
      </c>
      <c r="D74" s="133">
        <v>14.75</v>
      </c>
      <c r="E74" s="133">
        <v>6.93</v>
      </c>
      <c r="F74" s="133">
        <v>6.66</v>
      </c>
      <c r="G74" s="133">
        <v>53.61</v>
      </c>
      <c r="H74" s="133">
        <v>27.37</v>
      </c>
      <c r="I74" s="133">
        <v>5.34</v>
      </c>
      <c r="J74" s="133">
        <v>0.25</v>
      </c>
      <c r="K74" s="133">
        <v>170.01</v>
      </c>
      <c r="L74" s="133">
        <v>27.9</v>
      </c>
      <c r="M74" s="133">
        <v>43.64</v>
      </c>
      <c r="N74" s="133">
        <v>24.5</v>
      </c>
      <c r="O74" s="133">
        <v>0</v>
      </c>
      <c r="P74" s="133">
        <v>0.56999999999999995</v>
      </c>
      <c r="Q74" s="133">
        <v>4.2699999999999996</v>
      </c>
    </row>
    <row r="75" spans="1:17">
      <c r="A75" s="111" t="s">
        <v>2992</v>
      </c>
      <c r="B75" s="133">
        <v>4.28</v>
      </c>
      <c r="C75" s="133">
        <v>19.05</v>
      </c>
      <c r="D75" s="133">
        <v>14.74</v>
      </c>
      <c r="E75" s="133">
        <v>6.26</v>
      </c>
      <c r="F75" s="133">
        <v>6.06</v>
      </c>
      <c r="G75" s="133">
        <v>53.68</v>
      </c>
      <c r="H75" s="133">
        <v>27.33</v>
      </c>
      <c r="I75" s="133">
        <v>5.22</v>
      </c>
      <c r="J75" s="133">
        <v>0.28000000000000003</v>
      </c>
      <c r="K75" s="133">
        <v>162.44</v>
      </c>
      <c r="L75" s="133">
        <v>27.51</v>
      </c>
      <c r="M75" s="133">
        <v>46.03</v>
      </c>
      <c r="N75" s="133">
        <v>13.7</v>
      </c>
      <c r="O75" s="133">
        <v>0</v>
      </c>
      <c r="P75" s="133">
        <v>0.56999999999999995</v>
      </c>
      <c r="Q75" s="133">
        <v>4.26</v>
      </c>
    </row>
    <row r="76" spans="1:17">
      <c r="A76" s="111" t="s">
        <v>2993</v>
      </c>
      <c r="B76" s="133">
        <v>4.28</v>
      </c>
      <c r="C76" s="133">
        <v>19.25</v>
      </c>
      <c r="D76" s="133">
        <v>14.84</v>
      </c>
      <c r="E76" s="133">
        <v>6.67</v>
      </c>
      <c r="F76" s="133">
        <v>5.05</v>
      </c>
      <c r="G76" s="133">
        <v>54.95</v>
      </c>
      <c r="H76" s="133">
        <v>26.71</v>
      </c>
      <c r="I76" s="133">
        <v>5.13</v>
      </c>
      <c r="J76" s="133">
        <v>0.23</v>
      </c>
      <c r="K76" s="133">
        <v>165.06</v>
      </c>
      <c r="L76" s="133">
        <v>27.1</v>
      </c>
      <c r="M76" s="133">
        <v>47.11</v>
      </c>
      <c r="N76" s="133">
        <v>4.3</v>
      </c>
      <c r="O76" s="133">
        <v>0</v>
      </c>
      <c r="P76" s="133">
        <v>0.56999999999999995</v>
      </c>
      <c r="Q76" s="133">
        <v>4.26</v>
      </c>
    </row>
    <row r="77" spans="1:17">
      <c r="A77" s="111" t="s">
        <v>2994</v>
      </c>
      <c r="B77" s="133">
        <v>4.3899999999999997</v>
      </c>
      <c r="C77" s="133">
        <v>19.399999999999999</v>
      </c>
      <c r="D77" s="133">
        <v>15.01</v>
      </c>
      <c r="E77" s="133">
        <v>6.57</v>
      </c>
      <c r="F77" s="133">
        <v>4.59</v>
      </c>
      <c r="G77" s="133">
        <v>54.95</v>
      </c>
      <c r="H77" s="133">
        <v>26.71</v>
      </c>
      <c r="I77" s="133">
        <v>5.0599999999999996</v>
      </c>
      <c r="J77" s="133">
        <v>0.2</v>
      </c>
      <c r="K77" s="133">
        <v>172.77</v>
      </c>
      <c r="L77" s="133">
        <v>26.28</v>
      </c>
      <c r="M77" s="133">
        <v>51.29</v>
      </c>
      <c r="N77" s="133">
        <v>0</v>
      </c>
      <c r="O77" s="133">
        <v>0</v>
      </c>
      <c r="P77" s="133">
        <v>0.56000000000000005</v>
      </c>
      <c r="Q77" s="133">
        <v>4.26</v>
      </c>
    </row>
    <row r="78" spans="1:17">
      <c r="A78" s="111" t="s">
        <v>2995</v>
      </c>
      <c r="B78" s="133">
        <v>4.5599999999999996</v>
      </c>
      <c r="C78" s="133">
        <v>19.260000000000002</v>
      </c>
      <c r="D78" s="133">
        <v>15.07</v>
      </c>
      <c r="E78" s="133">
        <v>6.03</v>
      </c>
      <c r="F78" s="133">
        <v>4.25</v>
      </c>
      <c r="G78" s="133">
        <v>54.95</v>
      </c>
      <c r="H78" s="133">
        <v>26.71</v>
      </c>
      <c r="I78" s="133">
        <v>5.01</v>
      </c>
      <c r="J78" s="133">
        <v>0.18</v>
      </c>
      <c r="K78" s="133">
        <v>187.16</v>
      </c>
      <c r="L78" s="133">
        <v>25.38</v>
      </c>
      <c r="M78" s="133">
        <v>56.85</v>
      </c>
      <c r="N78" s="133">
        <v>0</v>
      </c>
      <c r="O78" s="133">
        <v>0</v>
      </c>
      <c r="P78" s="133">
        <v>0.56999999999999995</v>
      </c>
      <c r="Q78" s="133">
        <v>4.2699999999999996</v>
      </c>
    </row>
    <row r="79" spans="1:17">
      <c r="A79" s="111" t="s">
        <v>2996</v>
      </c>
      <c r="B79" s="133">
        <v>4.6100000000000003</v>
      </c>
      <c r="C79" s="133">
        <v>19.649999999999999</v>
      </c>
      <c r="D79" s="133">
        <v>15.32</v>
      </c>
      <c r="E79" s="133">
        <v>6.3</v>
      </c>
      <c r="F79" s="133">
        <v>3.92</v>
      </c>
      <c r="G79" s="133">
        <v>55.18</v>
      </c>
      <c r="H79" s="133">
        <v>27.01</v>
      </c>
      <c r="I79" s="133">
        <v>4.96</v>
      </c>
      <c r="J79" s="133">
        <v>0.27</v>
      </c>
      <c r="K79" s="133">
        <v>168.25</v>
      </c>
      <c r="L79" s="133">
        <v>24.89</v>
      </c>
      <c r="M79" s="133">
        <v>61.03</v>
      </c>
      <c r="N79" s="133">
        <v>0</v>
      </c>
      <c r="O79" s="133">
        <v>0</v>
      </c>
      <c r="P79" s="133">
        <v>0.56999999999999995</v>
      </c>
      <c r="Q79" s="133">
        <v>4.29</v>
      </c>
    </row>
    <row r="80" spans="1:17">
      <c r="A80" s="111" t="s">
        <v>2997</v>
      </c>
      <c r="B80" s="133">
        <v>4.76</v>
      </c>
      <c r="C80" s="133">
        <v>20.29</v>
      </c>
      <c r="D80" s="133">
        <v>15.77</v>
      </c>
      <c r="E80" s="133">
        <v>6.35</v>
      </c>
      <c r="F80" s="133">
        <v>3.41</v>
      </c>
      <c r="G80" s="133">
        <v>60.12</v>
      </c>
      <c r="H80" s="133">
        <v>31.71</v>
      </c>
      <c r="I80" s="133">
        <v>4.95</v>
      </c>
      <c r="J80" s="133">
        <v>0.19</v>
      </c>
      <c r="K80" s="133">
        <v>168.22</v>
      </c>
      <c r="L80" s="133">
        <v>24.44</v>
      </c>
      <c r="M80" s="133">
        <v>62.35</v>
      </c>
      <c r="N80" s="133">
        <v>0</v>
      </c>
      <c r="O80" s="133">
        <v>0</v>
      </c>
      <c r="P80" s="133">
        <v>0.59</v>
      </c>
      <c r="Q80" s="133">
        <v>4.3</v>
      </c>
    </row>
    <row r="81" spans="1:17">
      <c r="A81" s="111" t="s">
        <v>2998</v>
      </c>
      <c r="B81" s="133">
        <v>5.12</v>
      </c>
      <c r="C81" s="133">
        <v>21.15</v>
      </c>
      <c r="D81" s="133">
        <v>16.5</v>
      </c>
      <c r="E81" s="133">
        <v>6.02</v>
      </c>
      <c r="F81" s="133">
        <v>2.98</v>
      </c>
      <c r="G81" s="133">
        <v>60.12</v>
      </c>
      <c r="H81" s="133">
        <v>31.71</v>
      </c>
      <c r="I81" s="133">
        <v>4.97</v>
      </c>
      <c r="J81" s="133">
        <v>0.15</v>
      </c>
      <c r="K81" s="133">
        <v>176.96</v>
      </c>
      <c r="L81" s="133">
        <v>24.3</v>
      </c>
      <c r="M81" s="133">
        <v>61.84</v>
      </c>
      <c r="N81" s="133">
        <v>0</v>
      </c>
      <c r="O81" s="133">
        <v>0</v>
      </c>
      <c r="P81" s="133">
        <v>0.61</v>
      </c>
      <c r="Q81" s="133">
        <v>4.33</v>
      </c>
    </row>
    <row r="82" spans="1:17">
      <c r="A82" s="111" t="s">
        <v>2999</v>
      </c>
      <c r="B82" s="133">
        <v>6.01</v>
      </c>
      <c r="C82" s="133">
        <v>22.93</v>
      </c>
      <c r="D82" s="133">
        <v>18.149999999999999</v>
      </c>
      <c r="E82" s="133">
        <v>6.85</v>
      </c>
      <c r="F82" s="133">
        <v>2.79</v>
      </c>
      <c r="G82" s="133">
        <v>60.12</v>
      </c>
      <c r="H82" s="133">
        <v>31.71</v>
      </c>
      <c r="I82" s="133">
        <v>5.07</v>
      </c>
      <c r="J82" s="133">
        <v>0.13</v>
      </c>
      <c r="K82" s="133">
        <v>190.49</v>
      </c>
      <c r="L82" s="133">
        <v>23.98</v>
      </c>
      <c r="M82" s="133">
        <v>64</v>
      </c>
      <c r="N82" s="133">
        <v>0</v>
      </c>
      <c r="O82" s="133">
        <v>0</v>
      </c>
      <c r="P82" s="133">
        <v>0.67</v>
      </c>
      <c r="Q82" s="133">
        <v>4.3899999999999997</v>
      </c>
    </row>
    <row r="83" spans="1:17">
      <c r="A83" s="111" t="s">
        <v>3000</v>
      </c>
      <c r="B83" s="133">
        <v>7.46</v>
      </c>
      <c r="C83" s="133">
        <v>24.83</v>
      </c>
      <c r="D83" s="133">
        <v>20.3</v>
      </c>
      <c r="E83" s="133">
        <v>7.5</v>
      </c>
      <c r="F83" s="133">
        <v>2.61</v>
      </c>
      <c r="G83" s="133">
        <v>61.27</v>
      </c>
      <c r="H83" s="133">
        <v>31.95</v>
      </c>
      <c r="I83" s="133">
        <v>5.21</v>
      </c>
      <c r="J83" s="133">
        <v>0.17</v>
      </c>
      <c r="K83" s="133">
        <v>192.41</v>
      </c>
      <c r="L83" s="133">
        <v>23.49</v>
      </c>
      <c r="M83" s="133">
        <v>72.650000000000006</v>
      </c>
      <c r="N83" s="133">
        <v>0</v>
      </c>
      <c r="O83" s="133">
        <v>0</v>
      </c>
      <c r="P83" s="133">
        <v>0.73</v>
      </c>
      <c r="Q83" s="133">
        <v>4.49</v>
      </c>
    </row>
    <row r="84" spans="1:17">
      <c r="A84" s="111" t="s">
        <v>3001</v>
      </c>
      <c r="B84" s="133">
        <v>8.23</v>
      </c>
      <c r="C84" s="133">
        <v>26.38</v>
      </c>
      <c r="D84" s="133">
        <v>21.74</v>
      </c>
      <c r="E84" s="133">
        <v>7.86</v>
      </c>
      <c r="F84" s="133">
        <v>2.41</v>
      </c>
      <c r="G84" s="133">
        <v>85.96</v>
      </c>
      <c r="H84" s="133">
        <v>35.53</v>
      </c>
      <c r="I84" s="133">
        <v>5.51</v>
      </c>
      <c r="J84" s="133">
        <v>0.14000000000000001</v>
      </c>
      <c r="K84" s="133">
        <v>197.5</v>
      </c>
      <c r="L84" s="133">
        <v>22.91</v>
      </c>
      <c r="M84" s="133">
        <v>78.92</v>
      </c>
      <c r="N84" s="133">
        <v>0</v>
      </c>
      <c r="O84" s="133">
        <v>0</v>
      </c>
      <c r="P84" s="133">
        <v>0.76</v>
      </c>
      <c r="Q84" s="133">
        <v>4.54</v>
      </c>
    </row>
    <row r="85" spans="1:17">
      <c r="A85" s="111" t="s">
        <v>3002</v>
      </c>
      <c r="B85" s="133">
        <v>8.59</v>
      </c>
      <c r="C85" s="133">
        <v>25.42</v>
      </c>
      <c r="D85" s="133">
        <v>21.52</v>
      </c>
      <c r="E85" s="133">
        <v>7.29</v>
      </c>
      <c r="F85" s="133">
        <v>2.7</v>
      </c>
      <c r="G85" s="133">
        <v>85.96</v>
      </c>
      <c r="H85" s="133">
        <v>35.53</v>
      </c>
      <c r="I85" s="133">
        <v>5.89</v>
      </c>
      <c r="J85" s="133">
        <v>0.14000000000000001</v>
      </c>
      <c r="K85" s="133">
        <v>162.99</v>
      </c>
      <c r="L85" s="133">
        <v>22.59</v>
      </c>
      <c r="M85" s="133">
        <v>76.599999999999994</v>
      </c>
      <c r="N85" s="133">
        <v>0</v>
      </c>
      <c r="O85" s="133">
        <v>0</v>
      </c>
      <c r="P85" s="133">
        <v>0.75</v>
      </c>
      <c r="Q85" s="133">
        <v>4.5599999999999996</v>
      </c>
    </row>
    <row r="86" spans="1:17">
      <c r="A86" s="111" t="s">
        <v>3003</v>
      </c>
      <c r="B86" s="133">
        <v>8.99</v>
      </c>
      <c r="C86" s="133">
        <v>23.54</v>
      </c>
      <c r="D86" s="133">
        <v>20.86</v>
      </c>
      <c r="E86" s="133">
        <v>6.85</v>
      </c>
      <c r="F86" s="133">
        <v>2.94</v>
      </c>
      <c r="G86" s="133">
        <v>85.96</v>
      </c>
      <c r="H86" s="133">
        <v>35.53</v>
      </c>
      <c r="I86" s="133">
        <v>6.09</v>
      </c>
      <c r="J86" s="133">
        <v>0.11</v>
      </c>
      <c r="K86" s="133">
        <v>158.81</v>
      </c>
      <c r="L86" s="133">
        <v>22.51</v>
      </c>
      <c r="M86" s="133">
        <v>73.540000000000006</v>
      </c>
      <c r="N86" s="133">
        <v>0</v>
      </c>
      <c r="O86" s="133">
        <v>0</v>
      </c>
      <c r="P86" s="133">
        <v>0.75</v>
      </c>
      <c r="Q86" s="133">
        <v>4.59</v>
      </c>
    </row>
    <row r="87" spans="1:17">
      <c r="A87" s="111" t="s">
        <v>3004</v>
      </c>
      <c r="B87" s="133">
        <v>9.84</v>
      </c>
      <c r="C87" s="133">
        <v>22.92</v>
      </c>
      <c r="D87" s="133">
        <v>21.22</v>
      </c>
      <c r="E87" s="133">
        <v>6.42</v>
      </c>
      <c r="F87" s="133">
        <v>2.84</v>
      </c>
      <c r="G87" s="133">
        <v>86.73</v>
      </c>
      <c r="H87" s="133">
        <v>35.520000000000003</v>
      </c>
      <c r="I87" s="133">
        <v>6.19</v>
      </c>
      <c r="J87" s="133">
        <v>0.14000000000000001</v>
      </c>
      <c r="K87" s="133">
        <v>168.23</v>
      </c>
      <c r="L87" s="133">
        <v>22.4</v>
      </c>
      <c r="M87" s="133">
        <v>73.86</v>
      </c>
      <c r="N87" s="133">
        <v>0</v>
      </c>
      <c r="O87" s="133">
        <v>0</v>
      </c>
      <c r="P87" s="133">
        <v>0.76</v>
      </c>
      <c r="Q87" s="133">
        <v>4.62</v>
      </c>
    </row>
    <row r="88" spans="1:17">
      <c r="A88" s="111" t="s">
        <v>3005</v>
      </c>
      <c r="B88" s="133">
        <v>10.72</v>
      </c>
      <c r="C88" s="133">
        <v>24.35</v>
      </c>
      <c r="D88" s="133">
        <v>22.67</v>
      </c>
      <c r="E88" s="133">
        <v>7.12</v>
      </c>
      <c r="F88" s="133">
        <v>2.48</v>
      </c>
      <c r="G88" s="133">
        <v>99.94</v>
      </c>
      <c r="H88" s="133">
        <v>35.409999999999997</v>
      </c>
      <c r="I88" s="133">
        <v>6.27</v>
      </c>
      <c r="J88" s="133">
        <v>0.16</v>
      </c>
      <c r="K88" s="133">
        <v>167.86</v>
      </c>
      <c r="L88" s="133">
        <v>22.18</v>
      </c>
      <c r="M88" s="133">
        <v>77.38</v>
      </c>
      <c r="N88" s="133">
        <v>0</v>
      </c>
      <c r="O88" s="133">
        <v>0</v>
      </c>
      <c r="P88" s="133">
        <v>0.8</v>
      </c>
      <c r="Q88" s="133">
        <v>4.6399999999999997</v>
      </c>
    </row>
    <row r="89" spans="1:17">
      <c r="A89" s="111" t="s">
        <v>3006</v>
      </c>
      <c r="B89" s="133">
        <v>12.11</v>
      </c>
      <c r="C89" s="133">
        <v>25.36</v>
      </c>
      <c r="D89" s="133">
        <v>24.31</v>
      </c>
      <c r="E89" s="133">
        <v>6.68</v>
      </c>
      <c r="F89" s="133">
        <v>2.35</v>
      </c>
      <c r="G89" s="133">
        <v>99.94</v>
      </c>
      <c r="H89" s="133">
        <v>35.409999999999997</v>
      </c>
      <c r="I89" s="133">
        <v>6.44</v>
      </c>
      <c r="J89" s="133">
        <v>0.13</v>
      </c>
      <c r="K89" s="133">
        <v>161.02000000000001</v>
      </c>
      <c r="L89" s="133">
        <v>22.03</v>
      </c>
      <c r="M89" s="133">
        <v>80.540000000000006</v>
      </c>
      <c r="N89" s="133">
        <v>0</v>
      </c>
      <c r="O89" s="133">
        <v>0</v>
      </c>
      <c r="P89" s="133">
        <v>0.83</v>
      </c>
      <c r="Q89" s="133">
        <v>4.72</v>
      </c>
    </row>
    <row r="90" spans="1:17">
      <c r="A90" s="111" t="s">
        <v>3007</v>
      </c>
      <c r="B90" s="133">
        <v>13.8</v>
      </c>
      <c r="C90" s="133">
        <v>24.69</v>
      </c>
      <c r="D90" s="133">
        <v>25.32</v>
      </c>
      <c r="E90" s="133">
        <v>6.43</v>
      </c>
      <c r="F90" s="133">
        <v>2.63</v>
      </c>
      <c r="G90" s="133">
        <v>99.94</v>
      </c>
      <c r="H90" s="133">
        <v>35.409999999999997</v>
      </c>
      <c r="I90" s="133">
        <v>6.63</v>
      </c>
      <c r="J90" s="133">
        <v>0.12</v>
      </c>
      <c r="K90" s="133">
        <v>182.39</v>
      </c>
      <c r="L90" s="133">
        <v>21.91</v>
      </c>
      <c r="M90" s="133">
        <v>79.7</v>
      </c>
      <c r="N90" s="133">
        <v>0</v>
      </c>
      <c r="O90" s="133">
        <v>0</v>
      </c>
      <c r="P90" s="133">
        <v>0.86</v>
      </c>
      <c r="Q90" s="133">
        <v>4.8099999999999996</v>
      </c>
    </row>
    <row r="91" spans="1:17">
      <c r="A91" s="111" t="s">
        <v>3008</v>
      </c>
      <c r="B91" s="133">
        <v>15.83</v>
      </c>
      <c r="C91" s="133">
        <v>26.23</v>
      </c>
      <c r="D91" s="133">
        <v>27.75</v>
      </c>
      <c r="E91" s="133">
        <v>6.88</v>
      </c>
      <c r="F91" s="133">
        <v>2.5099999999999998</v>
      </c>
      <c r="G91" s="133">
        <v>100.76</v>
      </c>
      <c r="H91" s="133">
        <v>35.68</v>
      </c>
      <c r="I91" s="133">
        <v>6.86</v>
      </c>
      <c r="J91" s="133">
        <v>0.13</v>
      </c>
      <c r="K91" s="133">
        <v>166.96</v>
      </c>
      <c r="L91" s="133">
        <v>21.82</v>
      </c>
      <c r="M91" s="133">
        <v>81.78</v>
      </c>
      <c r="N91" s="133">
        <v>0</v>
      </c>
      <c r="O91" s="133">
        <v>0</v>
      </c>
      <c r="P91" s="133">
        <v>0.92</v>
      </c>
      <c r="Q91" s="133">
        <v>4.88</v>
      </c>
    </row>
    <row r="92" spans="1:17">
      <c r="A92" s="111" t="s">
        <v>3009</v>
      </c>
      <c r="B92" s="133">
        <v>17.489999999999998</v>
      </c>
      <c r="C92" s="133">
        <v>26.34</v>
      </c>
      <c r="D92" s="133">
        <v>29.14</v>
      </c>
      <c r="E92" s="133">
        <v>6.51</v>
      </c>
      <c r="F92" s="133">
        <v>2.58</v>
      </c>
      <c r="G92" s="133">
        <v>114.73</v>
      </c>
      <c r="H92" s="133">
        <v>39.799999999999997</v>
      </c>
      <c r="I92" s="133">
        <v>7.08</v>
      </c>
      <c r="J92" s="133">
        <v>0.14000000000000001</v>
      </c>
      <c r="K92" s="133">
        <v>204.77</v>
      </c>
      <c r="L92" s="133">
        <v>21.5</v>
      </c>
      <c r="M92" s="133">
        <v>87.53</v>
      </c>
      <c r="N92" s="133">
        <v>0</v>
      </c>
      <c r="O92" s="133">
        <v>0</v>
      </c>
      <c r="P92" s="133">
        <v>0.94</v>
      </c>
      <c r="Q92" s="133">
        <v>4.97</v>
      </c>
    </row>
    <row r="93" spans="1:17">
      <c r="A93" s="111" t="s">
        <v>3010</v>
      </c>
      <c r="B93" s="133">
        <v>18.170000000000002</v>
      </c>
      <c r="C93" s="133">
        <v>26.2</v>
      </c>
      <c r="D93" s="133">
        <v>29.61</v>
      </c>
      <c r="E93" s="133">
        <v>6.66</v>
      </c>
      <c r="F93" s="133">
        <v>2.46</v>
      </c>
      <c r="G93" s="133">
        <v>114.73</v>
      </c>
      <c r="H93" s="133">
        <v>39.799999999999997</v>
      </c>
      <c r="I93" s="133">
        <v>7.41</v>
      </c>
      <c r="J93" s="133">
        <v>0.14000000000000001</v>
      </c>
      <c r="K93" s="133">
        <v>212.74</v>
      </c>
      <c r="L93" s="133">
        <v>21.16</v>
      </c>
      <c r="M93" s="133">
        <v>86.83</v>
      </c>
      <c r="N93" s="133">
        <v>0</v>
      </c>
      <c r="O93" s="133">
        <v>0</v>
      </c>
      <c r="P93" s="133">
        <v>0.96</v>
      </c>
      <c r="Q93" s="133">
        <v>5.0199999999999996</v>
      </c>
    </row>
    <row r="94" spans="1:17">
      <c r="A94" s="111" t="s">
        <v>3011</v>
      </c>
      <c r="B94" s="133">
        <v>18.43</v>
      </c>
      <c r="C94" s="133">
        <v>27.29</v>
      </c>
      <c r="D94" s="133">
        <v>30.38</v>
      </c>
      <c r="E94" s="133">
        <v>7.19</v>
      </c>
      <c r="F94" s="133">
        <v>2.34</v>
      </c>
      <c r="G94" s="133">
        <v>114.73</v>
      </c>
      <c r="H94" s="133">
        <v>39.799999999999997</v>
      </c>
      <c r="I94" s="133">
        <v>7.58</v>
      </c>
      <c r="J94" s="133">
        <v>0.14000000000000001</v>
      </c>
      <c r="K94" s="133">
        <v>206.75</v>
      </c>
      <c r="L94" s="133">
        <v>20.95</v>
      </c>
      <c r="M94" s="133">
        <v>85.28</v>
      </c>
      <c r="N94" s="133">
        <v>0</v>
      </c>
      <c r="O94" s="133">
        <v>0</v>
      </c>
      <c r="P94" s="133">
        <v>0.99</v>
      </c>
      <c r="Q94" s="133">
        <v>5.05</v>
      </c>
    </row>
    <row r="95" spans="1:17">
      <c r="A95" s="111" t="s">
        <v>3012</v>
      </c>
      <c r="B95" s="133">
        <v>18.77</v>
      </c>
      <c r="C95" s="133">
        <v>25.89</v>
      </c>
      <c r="D95" s="133">
        <v>29.93</v>
      </c>
      <c r="E95" s="133">
        <v>6.67</v>
      </c>
      <c r="F95" s="133">
        <v>2.64</v>
      </c>
      <c r="G95" s="133">
        <v>114.55</v>
      </c>
      <c r="H95" s="133">
        <v>39.770000000000003</v>
      </c>
      <c r="I95" s="133">
        <v>7.71</v>
      </c>
      <c r="J95" s="133">
        <v>0.14000000000000001</v>
      </c>
      <c r="K95" s="133">
        <v>215.33</v>
      </c>
      <c r="L95" s="133">
        <v>20.76</v>
      </c>
      <c r="M95" s="133">
        <v>86.17</v>
      </c>
      <c r="N95" s="133">
        <v>0</v>
      </c>
      <c r="O95" s="133">
        <v>0</v>
      </c>
      <c r="P95" s="133">
        <v>0.99</v>
      </c>
      <c r="Q95" s="133">
        <v>5.05</v>
      </c>
    </row>
    <row r="96" spans="1:17">
      <c r="A96" s="111" t="s">
        <v>3013</v>
      </c>
      <c r="B96" s="133">
        <v>18.71</v>
      </c>
      <c r="C96" s="133">
        <v>26.99</v>
      </c>
      <c r="D96" s="133">
        <v>30.46</v>
      </c>
      <c r="E96" s="133">
        <v>6.55</v>
      </c>
      <c r="F96" s="133">
        <v>2.4500000000000002</v>
      </c>
      <c r="G96" s="133">
        <v>111.49</v>
      </c>
      <c r="H96" s="133">
        <v>39.229999999999997</v>
      </c>
      <c r="I96" s="133">
        <v>7.87</v>
      </c>
      <c r="J96" s="133">
        <v>0.12</v>
      </c>
      <c r="K96" s="133">
        <v>153.63999999999999</v>
      </c>
      <c r="L96" s="133">
        <v>20.62</v>
      </c>
      <c r="M96" s="133">
        <v>86.89</v>
      </c>
      <c r="N96" s="133">
        <v>0</v>
      </c>
      <c r="O96" s="133">
        <v>0</v>
      </c>
      <c r="P96" s="133">
        <v>1.01</v>
      </c>
      <c r="Q96" s="133">
        <v>5.05</v>
      </c>
    </row>
    <row r="97" spans="1:21">
      <c r="A97" s="111" t="s">
        <v>3014</v>
      </c>
      <c r="B97" s="133">
        <v>18.62</v>
      </c>
      <c r="C97" s="133">
        <v>26.01</v>
      </c>
      <c r="D97" s="133">
        <v>29.87</v>
      </c>
      <c r="E97" s="133">
        <v>7</v>
      </c>
      <c r="F97" s="133">
        <v>2.75</v>
      </c>
      <c r="G97" s="133">
        <v>111.49</v>
      </c>
      <c r="H97" s="133">
        <v>39.229999999999997</v>
      </c>
      <c r="I97" s="133">
        <v>7.98</v>
      </c>
      <c r="J97" s="133">
        <v>0.11</v>
      </c>
      <c r="K97" s="133">
        <v>193.56</v>
      </c>
      <c r="L97" s="133">
        <v>20.54</v>
      </c>
      <c r="M97" s="133">
        <v>86.89</v>
      </c>
      <c r="N97" s="133">
        <v>0</v>
      </c>
      <c r="O97" s="133">
        <v>0</v>
      </c>
      <c r="P97" s="133">
        <v>1</v>
      </c>
      <c r="Q97" s="133">
        <v>5.0599999999999996</v>
      </c>
    </row>
    <row r="98" spans="1:21">
      <c r="A98" s="111" t="s">
        <v>3015</v>
      </c>
      <c r="B98" s="133">
        <v>18.420000000000002</v>
      </c>
      <c r="C98" s="133">
        <v>26.42</v>
      </c>
      <c r="D98" s="133">
        <v>29.92</v>
      </c>
      <c r="E98" s="133">
        <v>6.28</v>
      </c>
      <c r="F98" s="133">
        <v>2.4300000000000002</v>
      </c>
      <c r="G98" s="133">
        <v>111.49</v>
      </c>
      <c r="H98" s="133">
        <v>39.229999999999997</v>
      </c>
      <c r="I98" s="133">
        <v>8.14</v>
      </c>
      <c r="J98" s="133">
        <v>0.17</v>
      </c>
      <c r="K98" s="133">
        <v>220.62</v>
      </c>
      <c r="L98" s="133">
        <v>20.46</v>
      </c>
      <c r="M98" s="133">
        <v>88.84</v>
      </c>
      <c r="N98" s="133">
        <v>0</v>
      </c>
      <c r="O98" s="133">
        <v>0</v>
      </c>
      <c r="P98" s="133">
        <v>1.02</v>
      </c>
      <c r="Q98" s="133">
        <v>5.07</v>
      </c>
    </row>
    <row r="99" spans="1:21">
      <c r="A99" s="111" t="s">
        <v>3016</v>
      </c>
      <c r="B99" s="133">
        <v>18.55</v>
      </c>
      <c r="C99" s="133">
        <v>25.7</v>
      </c>
      <c r="D99" s="133">
        <v>29.65</v>
      </c>
      <c r="E99" s="133">
        <v>6.64</v>
      </c>
      <c r="F99" s="133">
        <v>2.61</v>
      </c>
      <c r="G99" s="133">
        <v>110.87</v>
      </c>
      <c r="H99" s="133">
        <v>39.24</v>
      </c>
      <c r="I99" s="133">
        <v>8.2200000000000006</v>
      </c>
      <c r="J99" s="133">
        <v>0.15</v>
      </c>
      <c r="K99" s="133">
        <v>230.15</v>
      </c>
      <c r="L99" s="133">
        <v>20.149999999999999</v>
      </c>
      <c r="M99" s="133">
        <v>90.75</v>
      </c>
      <c r="N99" s="133">
        <v>0</v>
      </c>
      <c r="O99" s="133">
        <v>0</v>
      </c>
      <c r="P99" s="133">
        <v>1.01</v>
      </c>
      <c r="Q99" s="133">
        <v>5.07</v>
      </c>
    </row>
    <row r="100" spans="1:21">
      <c r="A100" s="111" t="s">
        <v>3017</v>
      </c>
      <c r="B100" s="133">
        <v>18.559999999999999</v>
      </c>
      <c r="C100" s="133">
        <v>25.54</v>
      </c>
      <c r="D100" s="133">
        <v>29.58</v>
      </c>
      <c r="E100" s="133">
        <v>6.95</v>
      </c>
      <c r="F100" s="133">
        <v>2.64</v>
      </c>
      <c r="G100" s="133">
        <v>100.31</v>
      </c>
      <c r="H100" s="133">
        <v>39.520000000000003</v>
      </c>
      <c r="I100" s="133">
        <v>8.32</v>
      </c>
      <c r="J100" s="133">
        <v>0.14000000000000001</v>
      </c>
      <c r="K100" s="133">
        <v>235.13</v>
      </c>
      <c r="L100" s="133">
        <v>19.91</v>
      </c>
      <c r="M100" s="133">
        <v>89.82</v>
      </c>
      <c r="N100" s="133">
        <v>0</v>
      </c>
      <c r="O100" s="133">
        <v>0</v>
      </c>
      <c r="P100" s="133">
        <v>1.02</v>
      </c>
      <c r="Q100" s="133">
        <v>5.0599999999999996</v>
      </c>
    </row>
    <row r="101" spans="1:21">
      <c r="A101" s="111" t="s">
        <v>3018</v>
      </c>
      <c r="B101" s="133">
        <v>18.36</v>
      </c>
      <c r="C101" s="133">
        <v>25.91</v>
      </c>
      <c r="D101" s="133">
        <v>29.61</v>
      </c>
      <c r="E101" s="133">
        <v>6.84</v>
      </c>
      <c r="F101" s="133">
        <v>2.54</v>
      </c>
      <c r="G101" s="133">
        <v>100.31</v>
      </c>
      <c r="H101" s="133">
        <v>39.520000000000003</v>
      </c>
      <c r="I101" s="133">
        <v>8.36</v>
      </c>
      <c r="J101" s="133">
        <v>0.13</v>
      </c>
      <c r="K101" s="133">
        <v>227.93</v>
      </c>
      <c r="L101" s="133">
        <v>19.72</v>
      </c>
      <c r="M101" s="133">
        <v>89.75</v>
      </c>
      <c r="N101" s="133">
        <v>0</v>
      </c>
      <c r="O101" s="133">
        <v>0</v>
      </c>
      <c r="P101" s="133">
        <v>1.02</v>
      </c>
      <c r="Q101" s="133">
        <v>5.0599999999999996</v>
      </c>
    </row>
    <row r="102" spans="1:21">
      <c r="A102" s="111" t="s">
        <v>3019</v>
      </c>
      <c r="B102" s="133">
        <v>18.13</v>
      </c>
      <c r="C102" s="133">
        <v>24.75</v>
      </c>
      <c r="D102" s="133">
        <v>28.82</v>
      </c>
      <c r="E102" s="133">
        <v>6.57</v>
      </c>
      <c r="F102" s="133">
        <v>2.6</v>
      </c>
      <c r="G102" s="133">
        <v>100.31</v>
      </c>
      <c r="H102" s="133">
        <v>39.520000000000003</v>
      </c>
      <c r="I102" s="133">
        <v>8.4</v>
      </c>
      <c r="J102" s="133">
        <v>0.11</v>
      </c>
      <c r="K102" s="133">
        <v>177.54</v>
      </c>
      <c r="L102" s="133">
        <v>19.760000000000002</v>
      </c>
      <c r="M102" s="133">
        <v>88.11</v>
      </c>
      <c r="N102" s="133">
        <v>0</v>
      </c>
      <c r="O102" s="133">
        <v>0</v>
      </c>
      <c r="P102" s="133">
        <v>1.01</v>
      </c>
      <c r="Q102" s="133">
        <v>5.05</v>
      </c>
    </row>
    <row r="103" spans="1:21">
      <c r="A103" s="111" t="s">
        <v>3020</v>
      </c>
      <c r="B103" s="133">
        <v>17.8</v>
      </c>
      <c r="C103" s="133">
        <v>25.83</v>
      </c>
      <c r="D103" s="133">
        <v>29.12</v>
      </c>
      <c r="E103" s="133">
        <v>6.72</v>
      </c>
      <c r="F103" s="133">
        <v>2.25</v>
      </c>
      <c r="G103" s="133">
        <v>100.17</v>
      </c>
      <c r="H103" s="133">
        <v>39.450000000000003</v>
      </c>
      <c r="I103" s="133">
        <v>8.41</v>
      </c>
      <c r="J103" s="133">
        <v>0.13</v>
      </c>
      <c r="K103" s="133">
        <v>164.06</v>
      </c>
      <c r="L103" s="133">
        <v>19.809999999999999</v>
      </c>
      <c r="M103" s="133">
        <v>90.83</v>
      </c>
      <c r="N103" s="133">
        <v>0</v>
      </c>
      <c r="O103" s="133">
        <v>0</v>
      </c>
      <c r="P103" s="133">
        <v>1.04</v>
      </c>
      <c r="Q103" s="133">
        <v>5.03</v>
      </c>
    </row>
    <row r="104" spans="1:21">
      <c r="A104" s="111" t="s">
        <v>3021</v>
      </c>
      <c r="B104" s="133">
        <v>17.510000000000002</v>
      </c>
      <c r="C104" s="133">
        <v>25.76</v>
      </c>
      <c r="D104" s="133">
        <v>28.85</v>
      </c>
      <c r="E104" s="133">
        <v>6.91</v>
      </c>
      <c r="F104" s="133">
        <v>2.5099999999999998</v>
      </c>
      <c r="G104" s="133">
        <v>97.77</v>
      </c>
      <c r="H104" s="133">
        <v>38.380000000000003</v>
      </c>
      <c r="I104" s="133">
        <v>8.44</v>
      </c>
      <c r="J104" s="133">
        <v>0.17</v>
      </c>
      <c r="K104" s="133">
        <v>156.57</v>
      </c>
      <c r="L104" s="133">
        <v>19.79</v>
      </c>
      <c r="M104" s="133">
        <v>92.14</v>
      </c>
      <c r="N104" s="133">
        <v>0</v>
      </c>
      <c r="O104" s="133">
        <v>0</v>
      </c>
      <c r="P104" s="133">
        <v>1.05</v>
      </c>
      <c r="Q104" s="133">
        <v>5.0599999999999996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4.1100000000000003</v>
      </c>
      <c r="C106" s="183">
        <f>MIN(C9:C104)</f>
        <v>19.05</v>
      </c>
      <c r="D106" s="183">
        <f t="shared" ref="D106:Q106" si="0">MIN(D9:D104)</f>
        <v>14.74</v>
      </c>
      <c r="E106" s="183">
        <f t="shared" si="0"/>
        <v>4.53</v>
      </c>
      <c r="F106" s="183">
        <f t="shared" si="0"/>
        <v>2.25</v>
      </c>
      <c r="G106" s="183">
        <f t="shared" si="0"/>
        <v>53.61</v>
      </c>
      <c r="H106" s="183">
        <f t="shared" si="0"/>
        <v>25.73</v>
      </c>
      <c r="I106" s="183">
        <f t="shared" si="0"/>
        <v>4.95</v>
      </c>
      <c r="J106" s="183">
        <f t="shared" si="0"/>
        <v>0.01</v>
      </c>
      <c r="K106" s="183">
        <f t="shared" si="0"/>
        <v>8.16</v>
      </c>
      <c r="L106" s="183">
        <f t="shared" si="0"/>
        <v>18.079999999999998</v>
      </c>
      <c r="M106" s="183">
        <f t="shared" si="0"/>
        <v>32.44</v>
      </c>
      <c r="N106" s="183">
        <f t="shared" si="0"/>
        <v>0</v>
      </c>
      <c r="O106" s="183">
        <f t="shared" si="0"/>
        <v>0</v>
      </c>
      <c r="P106" s="183">
        <f t="shared" si="0"/>
        <v>0.56000000000000005</v>
      </c>
      <c r="Q106" s="183">
        <f t="shared" si="0"/>
        <v>4.24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27.96</v>
      </c>
      <c r="C107" s="184">
        <f t="shared" ref="C107:Q107" si="1">MAX(C9:C104)</f>
        <v>31.26</v>
      </c>
      <c r="D107" s="184">
        <f t="shared" si="1"/>
        <v>38.950000000000003</v>
      </c>
      <c r="E107" s="184">
        <f t="shared" si="1"/>
        <v>7.86</v>
      </c>
      <c r="F107" s="184">
        <f t="shared" si="1"/>
        <v>8.49</v>
      </c>
      <c r="G107" s="184">
        <f t="shared" si="1"/>
        <v>114.73</v>
      </c>
      <c r="H107" s="184">
        <f t="shared" si="1"/>
        <v>44.48</v>
      </c>
      <c r="I107" s="184">
        <f t="shared" si="1"/>
        <v>9.2100000000000009</v>
      </c>
      <c r="J107" s="184">
        <f t="shared" si="1"/>
        <v>0.52</v>
      </c>
      <c r="K107" s="184">
        <f t="shared" si="1"/>
        <v>243.84</v>
      </c>
      <c r="L107" s="184">
        <f t="shared" si="1"/>
        <v>31.04</v>
      </c>
      <c r="M107" s="184">
        <f t="shared" si="1"/>
        <v>93.89</v>
      </c>
      <c r="N107" s="184">
        <f t="shared" si="1"/>
        <v>609.20000000000005</v>
      </c>
      <c r="O107" s="184">
        <f t="shared" si="1"/>
        <v>0</v>
      </c>
      <c r="P107" s="184">
        <f t="shared" si="1"/>
        <v>1.05</v>
      </c>
      <c r="Q107" s="184">
        <f t="shared" si="1"/>
        <v>5.6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12.848020833333335</v>
      </c>
      <c r="C108" s="183">
        <f t="shared" ref="C108:Q108" si="2">AVERAGE(C9:C104)</f>
        <v>23.960312499999997</v>
      </c>
      <c r="D108" s="183">
        <f t="shared" si="2"/>
        <v>24.172708333333343</v>
      </c>
      <c r="E108" s="183">
        <f t="shared" si="2"/>
        <v>6.323854166666667</v>
      </c>
      <c r="F108" s="183">
        <f t="shared" si="2"/>
        <v>3.4781250000000004</v>
      </c>
      <c r="G108" s="183">
        <f t="shared" si="2"/>
        <v>85.421250000000001</v>
      </c>
      <c r="H108" s="183">
        <f t="shared" si="2"/>
        <v>34.786145833333343</v>
      </c>
      <c r="I108" s="183">
        <f t="shared" si="2"/>
        <v>7.515000000000005</v>
      </c>
      <c r="J108" s="183">
        <f t="shared" si="2"/>
        <v>0.19229166666666672</v>
      </c>
      <c r="K108" s="183">
        <f t="shared" si="2"/>
        <v>138.84770833333329</v>
      </c>
      <c r="L108" s="183">
        <f t="shared" si="2"/>
        <v>23.452812500000004</v>
      </c>
      <c r="M108" s="183">
        <f t="shared" si="2"/>
        <v>68.657604166666673</v>
      </c>
      <c r="N108" s="183">
        <f t="shared" si="2"/>
        <v>136.86249999999998</v>
      </c>
      <c r="O108" s="183">
        <f t="shared" si="2"/>
        <v>0</v>
      </c>
      <c r="P108" s="183">
        <f t="shared" si="2"/>
        <v>0.76937500000000014</v>
      </c>
      <c r="Q108" s="183">
        <f t="shared" si="2"/>
        <v>4.7724999999999991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7.0044233572780641</v>
      </c>
      <c r="C109" s="183">
        <f t="shared" ref="C109:Q109" si="3">STDEV(C9:C104)</f>
        <v>3.3155259813331095</v>
      </c>
      <c r="D109" s="183">
        <f t="shared" si="3"/>
        <v>7.1624468737504818</v>
      </c>
      <c r="E109" s="183">
        <f t="shared" si="3"/>
        <v>0.62772835189429843</v>
      </c>
      <c r="F109" s="183">
        <f t="shared" si="3"/>
        <v>1.4383933379770786</v>
      </c>
      <c r="G109" s="183">
        <f t="shared" si="3"/>
        <v>18.971911717339637</v>
      </c>
      <c r="H109" s="183">
        <f t="shared" si="3"/>
        <v>5.4042977770213794</v>
      </c>
      <c r="I109" s="183">
        <f t="shared" si="3"/>
        <v>1.2558922179700753</v>
      </c>
      <c r="J109" s="183">
        <f t="shared" si="3"/>
        <v>0.11128417078213149</v>
      </c>
      <c r="K109" s="183">
        <f t="shared" si="3"/>
        <v>68.371101797534166</v>
      </c>
      <c r="L109" s="183">
        <f t="shared" si="3"/>
        <v>4.5479415131000547</v>
      </c>
      <c r="M109" s="183">
        <f t="shared" si="3"/>
        <v>21.955071000126921</v>
      </c>
      <c r="N109" s="183">
        <f t="shared" si="3"/>
        <v>213.32221403313815</v>
      </c>
      <c r="O109" s="183">
        <f t="shared" si="3"/>
        <v>0</v>
      </c>
      <c r="P109" s="183">
        <f t="shared" si="3"/>
        <v>0.13213081635855739</v>
      </c>
      <c r="Q109" s="183">
        <f t="shared" si="3"/>
        <v>0.39160398901253768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1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2" t="s">
        <v>55</v>
      </c>
      <c r="B115" s="193" t="s">
        <v>56</v>
      </c>
      <c r="C115" s="193"/>
      <c r="D115" s="19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2"/>
      <c r="E116" s="162"/>
      <c r="F116" s="162"/>
      <c r="G116" s="162"/>
      <c r="H116" s="162"/>
      <c r="I116" s="16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2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30/10/2023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3022</v>
      </c>
      <c r="B9" s="133">
        <v>17.489999999999998</v>
      </c>
      <c r="C9" s="133">
        <v>25.64</v>
      </c>
      <c r="D9" s="133">
        <v>28.77</v>
      </c>
      <c r="E9" s="133">
        <v>6.86</v>
      </c>
      <c r="F9" s="133">
        <v>2.61</v>
      </c>
      <c r="G9" s="133">
        <v>97.77</v>
      </c>
      <c r="H9" s="133">
        <v>38.380000000000003</v>
      </c>
      <c r="I9" s="133">
        <v>8.44</v>
      </c>
      <c r="J9" s="133">
        <v>0.12</v>
      </c>
      <c r="K9" s="133">
        <v>165.36</v>
      </c>
      <c r="L9" s="133">
        <v>19.690000000000001</v>
      </c>
      <c r="M9" s="133">
        <v>90.83</v>
      </c>
      <c r="N9" s="133">
        <v>0</v>
      </c>
      <c r="O9" s="133">
        <v>0</v>
      </c>
      <c r="P9" s="133">
        <v>1.04</v>
      </c>
      <c r="Q9" s="133">
        <v>5.03</v>
      </c>
    </row>
    <row r="10" spans="1:21" customFormat="1">
      <c r="A10" s="111" t="s">
        <v>3023</v>
      </c>
      <c r="B10" s="133">
        <v>17.350000000000001</v>
      </c>
      <c r="C10" s="133">
        <v>25.2</v>
      </c>
      <c r="D10" s="133">
        <v>28.43</v>
      </c>
      <c r="E10" s="133">
        <v>7.14</v>
      </c>
      <c r="F10" s="133">
        <v>2.62</v>
      </c>
      <c r="G10" s="133">
        <v>97.77</v>
      </c>
      <c r="H10" s="133">
        <v>38.380000000000003</v>
      </c>
      <c r="I10" s="133">
        <v>8.4499999999999993</v>
      </c>
      <c r="J10" s="133">
        <v>0.08</v>
      </c>
      <c r="K10" s="133">
        <v>171.1</v>
      </c>
      <c r="L10" s="133">
        <v>19.66</v>
      </c>
      <c r="M10" s="133">
        <v>90.92</v>
      </c>
      <c r="N10" s="133">
        <v>0</v>
      </c>
      <c r="O10" s="133">
        <v>0</v>
      </c>
      <c r="P10" s="133">
        <v>1.03</v>
      </c>
      <c r="Q10" s="133">
        <v>5.03</v>
      </c>
    </row>
    <row r="11" spans="1:21" customFormat="1">
      <c r="A11" s="111" t="s">
        <v>3024</v>
      </c>
      <c r="B11" s="133">
        <v>17</v>
      </c>
      <c r="C11" s="133">
        <v>25.04</v>
      </c>
      <c r="D11" s="133">
        <v>28.06</v>
      </c>
      <c r="E11" s="133">
        <v>7.34</v>
      </c>
      <c r="F11" s="133">
        <v>2.67</v>
      </c>
      <c r="G11" s="133">
        <v>97.19</v>
      </c>
      <c r="H11" s="133">
        <v>38.46</v>
      </c>
      <c r="I11" s="133">
        <v>8.42</v>
      </c>
      <c r="J11" s="133">
        <v>0.14000000000000001</v>
      </c>
      <c r="K11" s="133">
        <v>190.52</v>
      </c>
      <c r="L11" s="133">
        <v>19.559999999999999</v>
      </c>
      <c r="M11" s="133">
        <v>89.88</v>
      </c>
      <c r="N11" s="133">
        <v>0</v>
      </c>
      <c r="O11" s="133">
        <v>0</v>
      </c>
      <c r="P11" s="133">
        <v>1.02</v>
      </c>
      <c r="Q11" s="133">
        <v>4.99</v>
      </c>
    </row>
    <row r="12" spans="1:21" customFormat="1">
      <c r="A12" s="111" t="s">
        <v>3025</v>
      </c>
      <c r="B12" s="133">
        <v>16.72</v>
      </c>
      <c r="C12" s="133">
        <v>24.89</v>
      </c>
      <c r="D12" s="133">
        <v>27.77</v>
      </c>
      <c r="E12" s="133">
        <v>7.16</v>
      </c>
      <c r="F12" s="133">
        <v>2.62</v>
      </c>
      <c r="G12" s="133">
        <v>87.27</v>
      </c>
      <c r="H12" s="133">
        <v>39.81</v>
      </c>
      <c r="I12" s="133">
        <v>8.3800000000000008</v>
      </c>
      <c r="J12" s="133">
        <v>0.09</v>
      </c>
      <c r="K12" s="133">
        <v>202.47</v>
      </c>
      <c r="L12" s="133">
        <v>19.52</v>
      </c>
      <c r="M12" s="133">
        <v>90.76</v>
      </c>
      <c r="N12" s="133">
        <v>0</v>
      </c>
      <c r="O12" s="133">
        <v>0</v>
      </c>
      <c r="P12" s="133">
        <v>1.01</v>
      </c>
      <c r="Q12" s="133">
        <v>5</v>
      </c>
    </row>
    <row r="13" spans="1:21" customFormat="1">
      <c r="A13" s="111" t="s">
        <v>3026</v>
      </c>
      <c r="B13" s="133">
        <v>16.52</v>
      </c>
      <c r="C13" s="133">
        <v>24.78</v>
      </c>
      <c r="D13" s="133">
        <v>27.55</v>
      </c>
      <c r="E13" s="133">
        <v>7.49</v>
      </c>
      <c r="F13" s="133">
        <v>2.67</v>
      </c>
      <c r="G13" s="133">
        <v>87.27</v>
      </c>
      <c r="H13" s="133">
        <v>39.81</v>
      </c>
      <c r="I13" s="133">
        <v>8.34</v>
      </c>
      <c r="J13" s="133">
        <v>0.08</v>
      </c>
      <c r="K13" s="133">
        <v>182.98</v>
      </c>
      <c r="L13" s="133">
        <v>19.38</v>
      </c>
      <c r="M13" s="133">
        <v>90.3</v>
      </c>
      <c r="N13" s="133">
        <v>0</v>
      </c>
      <c r="O13" s="133">
        <v>0</v>
      </c>
      <c r="P13" s="133">
        <v>1.01</v>
      </c>
      <c r="Q13" s="133">
        <v>4.99</v>
      </c>
    </row>
    <row r="14" spans="1:21" customFormat="1">
      <c r="A14" s="111" t="s">
        <v>3027</v>
      </c>
      <c r="B14" s="133">
        <v>16.38</v>
      </c>
      <c r="C14" s="133">
        <v>25.17</v>
      </c>
      <c r="D14" s="133">
        <v>27.63</v>
      </c>
      <c r="E14" s="133">
        <v>7.43</v>
      </c>
      <c r="F14" s="133">
        <v>2.78</v>
      </c>
      <c r="G14" s="133">
        <v>87.27</v>
      </c>
      <c r="H14" s="133">
        <v>39.81</v>
      </c>
      <c r="I14" s="133">
        <v>8.2799999999999994</v>
      </c>
      <c r="J14" s="133">
        <v>7.0000000000000007E-2</v>
      </c>
      <c r="K14" s="133">
        <v>176.59</v>
      </c>
      <c r="L14" s="133">
        <v>19.329999999999998</v>
      </c>
      <c r="M14" s="133">
        <v>90.17</v>
      </c>
      <c r="N14" s="133">
        <v>0</v>
      </c>
      <c r="O14" s="133">
        <v>0</v>
      </c>
      <c r="P14" s="133">
        <v>1</v>
      </c>
      <c r="Q14" s="133">
        <v>4.97</v>
      </c>
    </row>
    <row r="15" spans="1:21" customFormat="1">
      <c r="A15" s="111" t="s">
        <v>3028</v>
      </c>
      <c r="B15" s="133">
        <v>18.02</v>
      </c>
      <c r="C15" s="133">
        <v>25.77</v>
      </c>
      <c r="D15" s="133">
        <v>29.27</v>
      </c>
      <c r="E15" s="133">
        <v>7.48</v>
      </c>
      <c r="F15" s="133">
        <v>2.68</v>
      </c>
      <c r="G15" s="133">
        <v>87.01</v>
      </c>
      <c r="H15" s="133">
        <v>39.53</v>
      </c>
      <c r="I15" s="133">
        <v>8.2799999999999994</v>
      </c>
      <c r="J15" s="133">
        <v>0.12</v>
      </c>
      <c r="K15" s="133">
        <v>153.97999999999999</v>
      </c>
      <c r="L15" s="133">
        <v>19.329999999999998</v>
      </c>
      <c r="M15" s="133">
        <v>88.24</v>
      </c>
      <c r="N15" s="133">
        <v>0</v>
      </c>
      <c r="O15" s="133">
        <v>0</v>
      </c>
      <c r="P15" s="133">
        <v>1.01</v>
      </c>
      <c r="Q15" s="133">
        <v>5.03</v>
      </c>
    </row>
    <row r="16" spans="1:21" customFormat="1">
      <c r="A16" s="111" t="s">
        <v>3029</v>
      </c>
      <c r="B16" s="133">
        <v>20.03</v>
      </c>
      <c r="C16" s="133">
        <v>26.68</v>
      </c>
      <c r="D16" s="133">
        <v>31.35</v>
      </c>
      <c r="E16" s="133">
        <v>7.46</v>
      </c>
      <c r="F16" s="133">
        <v>2.52</v>
      </c>
      <c r="G16" s="133">
        <v>81.37</v>
      </c>
      <c r="H16" s="133">
        <v>35.06</v>
      </c>
      <c r="I16" s="133">
        <v>8.16</v>
      </c>
      <c r="J16" s="133">
        <v>0.02</v>
      </c>
      <c r="K16" s="133">
        <v>266.85000000000002</v>
      </c>
      <c r="L16" s="133">
        <v>19.14</v>
      </c>
      <c r="M16" s="133">
        <v>88.35</v>
      </c>
      <c r="N16" s="133">
        <v>0</v>
      </c>
      <c r="O16" s="133">
        <v>0</v>
      </c>
      <c r="P16" s="133">
        <v>0.99</v>
      </c>
      <c r="Q16" s="133">
        <v>5.13</v>
      </c>
    </row>
    <row r="17" spans="1:17" customFormat="1">
      <c r="A17" s="111" t="s">
        <v>3030</v>
      </c>
      <c r="B17" s="133">
        <v>21.77</v>
      </c>
      <c r="C17" s="133">
        <v>27.54</v>
      </c>
      <c r="D17" s="133">
        <v>33.19</v>
      </c>
      <c r="E17" s="133">
        <v>4.1900000000000004</v>
      </c>
      <c r="F17" s="133">
        <v>2.64</v>
      </c>
      <c r="G17" s="133">
        <v>81.37</v>
      </c>
      <c r="H17" s="133">
        <v>35.06</v>
      </c>
      <c r="I17" s="133">
        <v>8.1199999999999992</v>
      </c>
      <c r="J17" s="133">
        <v>0.09</v>
      </c>
      <c r="K17" s="133">
        <v>180.91</v>
      </c>
      <c r="L17" s="133">
        <v>19.11</v>
      </c>
      <c r="M17" s="133">
        <v>86.77</v>
      </c>
      <c r="N17" s="133">
        <v>0</v>
      </c>
      <c r="O17" s="133">
        <v>0</v>
      </c>
      <c r="P17" s="133">
        <v>1</v>
      </c>
      <c r="Q17" s="133">
        <v>5.2</v>
      </c>
    </row>
    <row r="18" spans="1:17" customFormat="1">
      <c r="A18" s="111" t="s">
        <v>3031</v>
      </c>
      <c r="B18" s="133">
        <v>22.5</v>
      </c>
      <c r="C18" s="133">
        <v>28.36</v>
      </c>
      <c r="D18" s="133">
        <v>34.21</v>
      </c>
      <c r="E18" s="133">
        <v>4.8</v>
      </c>
      <c r="F18" s="133">
        <v>2.54</v>
      </c>
      <c r="G18" s="133">
        <v>81.37</v>
      </c>
      <c r="H18" s="133">
        <v>35.06</v>
      </c>
      <c r="I18" s="133">
        <v>8.0399999999999991</v>
      </c>
      <c r="J18" s="133">
        <v>0.11</v>
      </c>
      <c r="K18" s="133">
        <v>142.44999999999999</v>
      </c>
      <c r="L18" s="133">
        <v>19.21</v>
      </c>
      <c r="M18" s="133">
        <v>87.14</v>
      </c>
      <c r="N18" s="133">
        <v>0</v>
      </c>
      <c r="O18" s="133">
        <v>0</v>
      </c>
      <c r="P18" s="133">
        <v>0.99</v>
      </c>
      <c r="Q18" s="133">
        <v>5.26</v>
      </c>
    </row>
    <row r="19" spans="1:17" customFormat="1">
      <c r="A19" s="111" t="s">
        <v>3032</v>
      </c>
      <c r="B19" s="133">
        <v>22.79</v>
      </c>
      <c r="C19" s="133">
        <v>28.64</v>
      </c>
      <c r="D19" s="133">
        <v>34.590000000000003</v>
      </c>
      <c r="E19" s="133">
        <v>4.7699999999999996</v>
      </c>
      <c r="F19" s="133">
        <v>2.44</v>
      </c>
      <c r="G19" s="133">
        <v>81.27</v>
      </c>
      <c r="H19" s="133">
        <v>35.15</v>
      </c>
      <c r="I19" s="133">
        <v>7.97</v>
      </c>
      <c r="J19" s="133">
        <v>0.08</v>
      </c>
      <c r="K19" s="133">
        <v>252.46</v>
      </c>
      <c r="L19" s="133">
        <v>19.04</v>
      </c>
      <c r="M19" s="133">
        <v>88.15</v>
      </c>
      <c r="N19" s="133">
        <v>0</v>
      </c>
      <c r="O19" s="133">
        <v>0</v>
      </c>
      <c r="P19" s="133">
        <v>0.98</v>
      </c>
      <c r="Q19" s="133">
        <v>5.29</v>
      </c>
    </row>
    <row r="20" spans="1:17" customFormat="1">
      <c r="A20" s="111" t="s">
        <v>3033</v>
      </c>
      <c r="B20" s="133">
        <v>23.51</v>
      </c>
      <c r="C20" s="133">
        <v>29.03</v>
      </c>
      <c r="D20" s="133">
        <v>35.369999999999997</v>
      </c>
      <c r="E20" s="133">
        <v>5.1100000000000003</v>
      </c>
      <c r="F20" s="133">
        <v>2.4500000000000002</v>
      </c>
      <c r="G20" s="133">
        <v>79.06</v>
      </c>
      <c r="H20" s="133">
        <v>36.630000000000003</v>
      </c>
      <c r="I20" s="133">
        <v>7.92</v>
      </c>
      <c r="J20" s="133">
        <v>0.08</v>
      </c>
      <c r="K20" s="133">
        <v>146.91999999999999</v>
      </c>
      <c r="L20" s="133">
        <v>19.100000000000001</v>
      </c>
      <c r="M20" s="133">
        <v>88.14</v>
      </c>
      <c r="N20" s="133">
        <v>0</v>
      </c>
      <c r="O20" s="133">
        <v>0</v>
      </c>
      <c r="P20" s="133">
        <v>0.99</v>
      </c>
      <c r="Q20" s="133">
        <v>5.34</v>
      </c>
    </row>
    <row r="21" spans="1:17" customFormat="1">
      <c r="A21" s="111" t="s">
        <v>3034</v>
      </c>
      <c r="B21" s="133">
        <v>24.56</v>
      </c>
      <c r="C21" s="133">
        <v>29.26</v>
      </c>
      <c r="D21" s="133">
        <v>36.33</v>
      </c>
      <c r="E21" s="133">
        <v>4.9400000000000004</v>
      </c>
      <c r="F21" s="133">
        <v>2.5</v>
      </c>
      <c r="G21" s="133">
        <v>79.06</v>
      </c>
      <c r="H21" s="133">
        <v>36.630000000000003</v>
      </c>
      <c r="I21" s="133">
        <v>7.9</v>
      </c>
      <c r="J21" s="133">
        <v>0.11</v>
      </c>
      <c r="K21" s="133">
        <v>157.63</v>
      </c>
      <c r="L21" s="133">
        <v>19.149999999999999</v>
      </c>
      <c r="M21" s="133">
        <v>88.32</v>
      </c>
      <c r="N21" s="133">
        <v>0</v>
      </c>
      <c r="O21" s="133">
        <v>0</v>
      </c>
      <c r="P21" s="133">
        <v>1.01</v>
      </c>
      <c r="Q21" s="133">
        <v>5.38</v>
      </c>
    </row>
    <row r="22" spans="1:17" customFormat="1">
      <c r="A22" s="111" t="s">
        <v>3035</v>
      </c>
      <c r="B22" s="133">
        <v>25.27</v>
      </c>
      <c r="C22" s="133">
        <v>29.19</v>
      </c>
      <c r="D22" s="133">
        <v>36.86</v>
      </c>
      <c r="E22" s="133">
        <v>5.46</v>
      </c>
      <c r="F22" s="133">
        <v>2.4900000000000002</v>
      </c>
      <c r="G22" s="133">
        <v>79.06</v>
      </c>
      <c r="H22" s="133">
        <v>36.630000000000003</v>
      </c>
      <c r="I22" s="133">
        <v>8.01</v>
      </c>
      <c r="J22" s="133">
        <v>0.13</v>
      </c>
      <c r="K22" s="133">
        <v>215.55</v>
      </c>
      <c r="L22" s="133">
        <v>18.97</v>
      </c>
      <c r="M22" s="133">
        <v>90.08</v>
      </c>
      <c r="N22" s="133">
        <v>0</v>
      </c>
      <c r="O22" s="133">
        <v>0</v>
      </c>
      <c r="P22" s="133">
        <v>1.02</v>
      </c>
      <c r="Q22" s="133">
        <v>5.43</v>
      </c>
    </row>
    <row r="23" spans="1:17" customFormat="1">
      <c r="A23" s="111" t="s">
        <v>3036</v>
      </c>
      <c r="B23" s="133">
        <v>25.32</v>
      </c>
      <c r="C23" s="133">
        <v>29.15</v>
      </c>
      <c r="D23" s="133">
        <v>36.89</v>
      </c>
      <c r="E23" s="133">
        <v>5.68</v>
      </c>
      <c r="F23" s="133">
        <v>2.44</v>
      </c>
      <c r="G23" s="133">
        <v>79.81</v>
      </c>
      <c r="H23" s="133">
        <v>37.01</v>
      </c>
      <c r="I23" s="133">
        <v>8.2799999999999994</v>
      </c>
      <c r="J23" s="133">
        <v>0.17</v>
      </c>
      <c r="K23" s="133">
        <v>234.08</v>
      </c>
      <c r="L23" s="133">
        <v>18.63</v>
      </c>
      <c r="M23" s="133">
        <v>94.02</v>
      </c>
      <c r="N23" s="133">
        <v>0</v>
      </c>
      <c r="O23" s="133">
        <v>0</v>
      </c>
      <c r="P23" s="133">
        <v>1.03</v>
      </c>
      <c r="Q23" s="133">
        <v>5.44</v>
      </c>
    </row>
    <row r="24" spans="1:17" customFormat="1">
      <c r="A24" s="111" t="s">
        <v>3037</v>
      </c>
      <c r="B24" s="133">
        <v>24.94</v>
      </c>
      <c r="C24" s="133">
        <v>28.89</v>
      </c>
      <c r="D24" s="133">
        <v>36.450000000000003</v>
      </c>
      <c r="E24" s="133">
        <v>5.12</v>
      </c>
      <c r="F24" s="133">
        <v>2.39</v>
      </c>
      <c r="G24" s="133">
        <v>95.99</v>
      </c>
      <c r="H24" s="133">
        <v>42.99</v>
      </c>
      <c r="I24" s="133">
        <v>8.6199999999999992</v>
      </c>
      <c r="J24" s="133">
        <v>0.1</v>
      </c>
      <c r="K24" s="133">
        <v>191.91</v>
      </c>
      <c r="L24" s="133">
        <v>18.53</v>
      </c>
      <c r="M24" s="133">
        <v>95.17</v>
      </c>
      <c r="N24" s="133">
        <v>0</v>
      </c>
      <c r="O24" s="133">
        <v>0</v>
      </c>
      <c r="P24" s="133">
        <v>1.03</v>
      </c>
      <c r="Q24" s="133">
        <v>5.43</v>
      </c>
    </row>
    <row r="25" spans="1:17" customFormat="1">
      <c r="A25" s="111" t="s">
        <v>3038</v>
      </c>
      <c r="B25" s="133">
        <v>24.47</v>
      </c>
      <c r="C25" s="133">
        <v>28.46</v>
      </c>
      <c r="D25" s="133">
        <v>35.85</v>
      </c>
      <c r="E25" s="133">
        <v>5.42</v>
      </c>
      <c r="F25" s="133">
        <v>2.48</v>
      </c>
      <c r="G25" s="133">
        <v>95.99</v>
      </c>
      <c r="H25" s="133">
        <v>42.99</v>
      </c>
      <c r="I25" s="133">
        <v>8.7799999999999994</v>
      </c>
      <c r="J25" s="133">
        <v>0.1</v>
      </c>
      <c r="K25" s="133">
        <v>195.61</v>
      </c>
      <c r="L25" s="133">
        <v>18.52</v>
      </c>
      <c r="M25" s="133">
        <v>94.87</v>
      </c>
      <c r="N25" s="133">
        <v>0</v>
      </c>
      <c r="O25" s="133">
        <v>0</v>
      </c>
      <c r="P25" s="133">
        <v>1.04</v>
      </c>
      <c r="Q25" s="133">
        <v>5.41</v>
      </c>
    </row>
    <row r="26" spans="1:17" customFormat="1">
      <c r="A26" s="111" t="s">
        <v>3039</v>
      </c>
      <c r="B26" s="133">
        <v>24.03</v>
      </c>
      <c r="C26" s="133">
        <v>27.79</v>
      </c>
      <c r="D26" s="133">
        <v>35.14</v>
      </c>
      <c r="E26" s="133">
        <v>5.58</v>
      </c>
      <c r="F26" s="133">
        <v>2.64</v>
      </c>
      <c r="G26" s="133">
        <v>95.99</v>
      </c>
      <c r="H26" s="133">
        <v>42.99</v>
      </c>
      <c r="I26" s="133">
        <v>8.8800000000000008</v>
      </c>
      <c r="J26" s="133">
        <v>0.11</v>
      </c>
      <c r="K26" s="133">
        <v>216.05</v>
      </c>
      <c r="L26" s="133">
        <v>18.47</v>
      </c>
      <c r="M26" s="133">
        <v>96.52</v>
      </c>
      <c r="N26" s="133">
        <v>0</v>
      </c>
      <c r="O26" s="133">
        <v>0</v>
      </c>
      <c r="P26" s="133">
        <v>1.05</v>
      </c>
      <c r="Q26" s="133">
        <v>5.38</v>
      </c>
    </row>
    <row r="27" spans="1:17" customFormat="1">
      <c r="A27" s="111" t="s">
        <v>3040</v>
      </c>
      <c r="B27" s="133">
        <v>23.35</v>
      </c>
      <c r="C27" s="133">
        <v>27.72</v>
      </c>
      <c r="D27" s="133">
        <v>34.56</v>
      </c>
      <c r="E27" s="133">
        <v>5.42</v>
      </c>
      <c r="F27" s="133">
        <v>2.5099999999999998</v>
      </c>
      <c r="G27" s="133">
        <v>95.98</v>
      </c>
      <c r="H27" s="133">
        <v>42.94</v>
      </c>
      <c r="I27" s="133">
        <v>9</v>
      </c>
      <c r="J27" s="133">
        <v>0.09</v>
      </c>
      <c r="K27" s="133">
        <v>221.4</v>
      </c>
      <c r="L27" s="133">
        <v>18.41</v>
      </c>
      <c r="M27" s="133">
        <v>97.74</v>
      </c>
      <c r="N27" s="133">
        <v>0</v>
      </c>
      <c r="O27" s="133">
        <v>0</v>
      </c>
      <c r="P27" s="133">
        <v>1.05</v>
      </c>
      <c r="Q27" s="133">
        <v>5.33</v>
      </c>
    </row>
    <row r="28" spans="1:17" customFormat="1">
      <c r="A28" s="111" t="s">
        <v>3041</v>
      </c>
      <c r="B28" s="133">
        <v>23.08</v>
      </c>
      <c r="C28" s="133">
        <v>27.3</v>
      </c>
      <c r="D28" s="133">
        <v>34.130000000000003</v>
      </c>
      <c r="E28" s="133">
        <v>5.35</v>
      </c>
      <c r="F28" s="133">
        <v>2.5299999999999998</v>
      </c>
      <c r="G28" s="133">
        <v>95.67</v>
      </c>
      <c r="H28" s="133">
        <v>42.25</v>
      </c>
      <c r="I28" s="133">
        <v>9.1300000000000008</v>
      </c>
      <c r="J28" s="133">
        <v>7.0000000000000007E-2</v>
      </c>
      <c r="K28" s="133">
        <v>214.66</v>
      </c>
      <c r="L28" s="133">
        <v>18.3</v>
      </c>
      <c r="M28" s="133">
        <v>97.91</v>
      </c>
      <c r="N28" s="133">
        <v>0</v>
      </c>
      <c r="O28" s="133">
        <v>0</v>
      </c>
      <c r="P28" s="133">
        <v>1.05</v>
      </c>
      <c r="Q28" s="133">
        <v>5.3</v>
      </c>
    </row>
    <row r="29" spans="1:17" customFormat="1">
      <c r="A29" s="111" t="s">
        <v>3042</v>
      </c>
      <c r="B29" s="133">
        <v>24.39</v>
      </c>
      <c r="C29" s="133">
        <v>25.38</v>
      </c>
      <c r="D29" s="133">
        <v>34.17</v>
      </c>
      <c r="E29" s="133">
        <v>4.84</v>
      </c>
      <c r="F29" s="133">
        <v>2.78</v>
      </c>
      <c r="G29" s="133">
        <v>95.67</v>
      </c>
      <c r="H29" s="133">
        <v>42.25</v>
      </c>
      <c r="I29" s="133">
        <v>9.2200000000000006</v>
      </c>
      <c r="J29" s="133">
        <v>0.09</v>
      </c>
      <c r="K29" s="133">
        <v>177.66</v>
      </c>
      <c r="L29" s="133">
        <v>18.28</v>
      </c>
      <c r="M29" s="133">
        <v>96.07</v>
      </c>
      <c r="N29" s="133">
        <v>0</v>
      </c>
      <c r="O29" s="133">
        <v>0</v>
      </c>
      <c r="P29" s="133">
        <v>1.02</v>
      </c>
      <c r="Q29" s="133">
        <v>5.35</v>
      </c>
    </row>
    <row r="30" spans="1:17" customFormat="1">
      <c r="A30" s="111" t="s">
        <v>3043</v>
      </c>
      <c r="B30" s="133">
        <v>27.52</v>
      </c>
      <c r="C30" s="133">
        <v>24.84</v>
      </c>
      <c r="D30" s="133">
        <v>36.4</v>
      </c>
      <c r="E30" s="133">
        <v>4.97</v>
      </c>
      <c r="F30" s="133">
        <v>2.69</v>
      </c>
      <c r="G30" s="133">
        <v>95.67</v>
      </c>
      <c r="H30" s="133">
        <v>42.25</v>
      </c>
      <c r="I30" s="133">
        <v>9.2899999999999991</v>
      </c>
      <c r="J30" s="133">
        <v>0.08</v>
      </c>
      <c r="K30" s="133">
        <v>218.63</v>
      </c>
      <c r="L30" s="133">
        <v>18.309999999999999</v>
      </c>
      <c r="M30" s="133">
        <v>94.9</v>
      </c>
      <c r="N30" s="133">
        <v>0</v>
      </c>
      <c r="O30" s="133">
        <v>0</v>
      </c>
      <c r="P30" s="133">
        <v>1.01</v>
      </c>
      <c r="Q30" s="133">
        <v>5.44</v>
      </c>
    </row>
    <row r="31" spans="1:17" customFormat="1">
      <c r="A31" s="111" t="s">
        <v>3044</v>
      </c>
      <c r="B31" s="133">
        <v>29.71</v>
      </c>
      <c r="C31" s="133">
        <v>26.33</v>
      </c>
      <c r="D31" s="133">
        <v>38.93</v>
      </c>
      <c r="E31" s="133">
        <v>4.82</v>
      </c>
      <c r="F31" s="133">
        <v>2.4700000000000002</v>
      </c>
      <c r="G31" s="133">
        <v>96.09</v>
      </c>
      <c r="H31" s="133">
        <v>42.44</v>
      </c>
      <c r="I31" s="133">
        <v>9.35</v>
      </c>
      <c r="J31" s="133">
        <v>0.05</v>
      </c>
      <c r="K31" s="133">
        <v>173.74</v>
      </c>
      <c r="L31" s="133">
        <v>18.36</v>
      </c>
      <c r="M31" s="133">
        <v>95.82</v>
      </c>
      <c r="N31" s="133">
        <v>0</v>
      </c>
      <c r="O31" s="133">
        <v>0</v>
      </c>
      <c r="P31" s="133">
        <v>1.03</v>
      </c>
      <c r="Q31" s="133">
        <v>5.5</v>
      </c>
    </row>
    <row r="32" spans="1:17" customFormat="1">
      <c r="A32" s="111" t="s">
        <v>3045</v>
      </c>
      <c r="B32" s="133">
        <v>31.4</v>
      </c>
      <c r="C32" s="133">
        <v>26.83</v>
      </c>
      <c r="D32" s="133">
        <v>40.549999999999997</v>
      </c>
      <c r="E32" s="133">
        <v>5.2</v>
      </c>
      <c r="F32" s="133">
        <v>2.5</v>
      </c>
      <c r="G32" s="133">
        <v>105.2</v>
      </c>
      <c r="H32" s="133">
        <v>45.33</v>
      </c>
      <c r="I32" s="133">
        <v>9.44</v>
      </c>
      <c r="J32" s="133">
        <v>7.0000000000000007E-2</v>
      </c>
      <c r="K32" s="133">
        <v>168.37</v>
      </c>
      <c r="L32" s="133">
        <v>18.25</v>
      </c>
      <c r="M32" s="133">
        <v>95.24</v>
      </c>
      <c r="N32" s="133">
        <v>0</v>
      </c>
      <c r="O32" s="133">
        <v>0</v>
      </c>
      <c r="P32" s="133">
        <v>1.04</v>
      </c>
      <c r="Q32" s="133">
        <v>5.57</v>
      </c>
    </row>
    <row r="33" spans="1:17" customFormat="1">
      <c r="A33" s="111" t="s">
        <v>3046</v>
      </c>
      <c r="B33" s="133">
        <v>34.26</v>
      </c>
      <c r="C33" s="133">
        <v>27.21</v>
      </c>
      <c r="D33" s="133">
        <v>43.04</v>
      </c>
      <c r="E33" s="133">
        <v>4.6900000000000004</v>
      </c>
      <c r="F33" s="133">
        <v>2.4700000000000002</v>
      </c>
      <c r="G33" s="133">
        <v>105.2</v>
      </c>
      <c r="H33" s="133">
        <v>45.33</v>
      </c>
      <c r="I33" s="133">
        <v>9.59</v>
      </c>
      <c r="J33" s="133">
        <v>0.03</v>
      </c>
      <c r="K33" s="133">
        <v>262.33999999999997</v>
      </c>
      <c r="L33" s="133">
        <v>18.309999999999999</v>
      </c>
      <c r="M33" s="133">
        <v>93.9</v>
      </c>
      <c r="N33" s="133">
        <v>0.2</v>
      </c>
      <c r="O33" s="133">
        <v>0</v>
      </c>
      <c r="P33" s="133">
        <v>1.05</v>
      </c>
      <c r="Q33" s="133">
        <v>5.7</v>
      </c>
    </row>
    <row r="34" spans="1:17" customFormat="1">
      <c r="A34" s="111" t="s">
        <v>3047</v>
      </c>
      <c r="B34" s="133">
        <v>36.26</v>
      </c>
      <c r="C34" s="133">
        <v>27.07</v>
      </c>
      <c r="D34" s="133">
        <v>44.57</v>
      </c>
      <c r="E34" s="133">
        <v>5.26</v>
      </c>
      <c r="F34" s="133">
        <v>2.69</v>
      </c>
      <c r="G34" s="133">
        <v>105.2</v>
      </c>
      <c r="H34" s="133">
        <v>45.33</v>
      </c>
      <c r="I34" s="133">
        <v>9.68</v>
      </c>
      <c r="J34" s="133">
        <v>0.17</v>
      </c>
      <c r="K34" s="133">
        <v>175.42</v>
      </c>
      <c r="L34" s="133">
        <v>18.52</v>
      </c>
      <c r="M34" s="133">
        <v>93.78</v>
      </c>
      <c r="N34" s="133">
        <v>6.2</v>
      </c>
      <c r="O34" s="133">
        <v>0</v>
      </c>
      <c r="P34" s="133">
        <v>1.05</v>
      </c>
      <c r="Q34" s="133">
        <v>5.78</v>
      </c>
    </row>
    <row r="35" spans="1:17" customFormat="1">
      <c r="A35" s="111" t="s">
        <v>3048</v>
      </c>
      <c r="B35" s="133">
        <v>36.75</v>
      </c>
      <c r="C35" s="133">
        <v>27.57</v>
      </c>
      <c r="D35" s="133">
        <v>45.23</v>
      </c>
      <c r="E35" s="133">
        <v>4.74</v>
      </c>
      <c r="F35" s="133">
        <v>2.61</v>
      </c>
      <c r="G35" s="133">
        <v>105.37</v>
      </c>
      <c r="H35" s="133">
        <v>45.59</v>
      </c>
      <c r="I35" s="133">
        <v>9.83</v>
      </c>
      <c r="J35" s="133">
        <v>0.13</v>
      </c>
      <c r="K35" s="133">
        <v>176.05</v>
      </c>
      <c r="L35" s="133">
        <v>18.79</v>
      </c>
      <c r="M35" s="133">
        <v>96.99</v>
      </c>
      <c r="N35" s="133">
        <v>17.7</v>
      </c>
      <c r="O35" s="133">
        <v>0</v>
      </c>
      <c r="P35" s="133">
        <v>1.05</v>
      </c>
      <c r="Q35" s="133">
        <v>5.83</v>
      </c>
    </row>
    <row r="36" spans="1:17" customFormat="1">
      <c r="A36" s="111" t="s">
        <v>3049</v>
      </c>
      <c r="B36" s="133">
        <v>36.29</v>
      </c>
      <c r="C36" s="133">
        <v>27.34</v>
      </c>
      <c r="D36" s="133">
        <v>44.74</v>
      </c>
      <c r="E36" s="133">
        <v>4.9000000000000004</v>
      </c>
      <c r="F36" s="133">
        <v>2.52</v>
      </c>
      <c r="G36" s="133">
        <v>108.25</v>
      </c>
      <c r="H36" s="133">
        <v>49.73</v>
      </c>
      <c r="I36" s="133">
        <v>9.92</v>
      </c>
      <c r="J36" s="133">
        <v>0.19</v>
      </c>
      <c r="K36" s="133">
        <v>191.05</v>
      </c>
      <c r="L36" s="133">
        <v>19.03</v>
      </c>
      <c r="M36" s="133">
        <v>97.35</v>
      </c>
      <c r="N36" s="133">
        <v>30.9</v>
      </c>
      <c r="O36" s="133">
        <v>0</v>
      </c>
      <c r="P36" s="133">
        <v>1.06</v>
      </c>
      <c r="Q36" s="133">
        <v>5.86</v>
      </c>
    </row>
    <row r="37" spans="1:17" customFormat="1">
      <c r="A37" s="111" t="s">
        <v>3050</v>
      </c>
      <c r="B37" s="133">
        <v>35.549999999999997</v>
      </c>
      <c r="C37" s="133">
        <v>27.35</v>
      </c>
      <c r="D37" s="133">
        <v>44.15</v>
      </c>
      <c r="E37" s="133">
        <v>4.8600000000000003</v>
      </c>
      <c r="F37" s="133">
        <v>2.5099999999999998</v>
      </c>
      <c r="G37" s="133">
        <v>108.25</v>
      </c>
      <c r="H37" s="133">
        <v>49.73</v>
      </c>
      <c r="I37" s="133">
        <v>9.9700000000000006</v>
      </c>
      <c r="J37" s="133">
        <v>0.17</v>
      </c>
      <c r="K37" s="133">
        <v>249.05</v>
      </c>
      <c r="L37" s="133">
        <v>19.579999999999998</v>
      </c>
      <c r="M37" s="133">
        <v>92.33</v>
      </c>
      <c r="N37" s="133">
        <v>43.2</v>
      </c>
      <c r="O37" s="133">
        <v>0</v>
      </c>
      <c r="P37" s="133">
        <v>1.06</v>
      </c>
      <c r="Q37" s="133">
        <v>5.8</v>
      </c>
    </row>
    <row r="38" spans="1:17" customFormat="1">
      <c r="A38" s="111" t="s">
        <v>3051</v>
      </c>
      <c r="B38" s="133">
        <v>34.78</v>
      </c>
      <c r="C38" s="133">
        <v>25.74</v>
      </c>
      <c r="D38" s="133">
        <v>42.69</v>
      </c>
      <c r="E38" s="133">
        <v>4.57</v>
      </c>
      <c r="F38" s="133">
        <v>2.68</v>
      </c>
      <c r="G38" s="133">
        <v>108.25</v>
      </c>
      <c r="H38" s="133">
        <v>49.73</v>
      </c>
      <c r="I38" s="133">
        <v>9.98</v>
      </c>
      <c r="J38" s="133">
        <v>0.14000000000000001</v>
      </c>
      <c r="K38" s="133">
        <v>230.17</v>
      </c>
      <c r="L38" s="133">
        <v>20.34</v>
      </c>
      <c r="M38" s="133">
        <v>88.45</v>
      </c>
      <c r="N38" s="133">
        <v>61.3</v>
      </c>
      <c r="O38" s="133">
        <v>0</v>
      </c>
      <c r="P38" s="133">
        <v>1.05</v>
      </c>
      <c r="Q38" s="133">
        <v>5.76</v>
      </c>
    </row>
    <row r="39" spans="1:17" customFormat="1">
      <c r="A39" s="111" t="s">
        <v>3052</v>
      </c>
      <c r="B39" s="133">
        <v>33.950000000000003</v>
      </c>
      <c r="C39" s="133">
        <v>26.73</v>
      </c>
      <c r="D39" s="133">
        <v>42.54</v>
      </c>
      <c r="E39" s="133">
        <v>4.57</v>
      </c>
      <c r="F39" s="133">
        <v>2.41</v>
      </c>
      <c r="G39" s="133">
        <v>108.17</v>
      </c>
      <c r="H39" s="133">
        <v>49.62</v>
      </c>
      <c r="I39" s="133">
        <v>9.99</v>
      </c>
      <c r="J39" s="133">
        <v>0.09</v>
      </c>
      <c r="K39" s="133">
        <v>70.010000000000005</v>
      </c>
      <c r="L39" s="133">
        <v>21.51</v>
      </c>
      <c r="M39" s="133">
        <v>79.36</v>
      </c>
      <c r="N39" s="133">
        <v>154.6</v>
      </c>
      <c r="O39" s="133">
        <v>0</v>
      </c>
      <c r="P39" s="133">
        <v>1.06</v>
      </c>
      <c r="Q39" s="133">
        <v>5.73</v>
      </c>
    </row>
    <row r="40" spans="1:17" customFormat="1">
      <c r="A40" s="111" t="s">
        <v>3053</v>
      </c>
      <c r="B40" s="133">
        <v>33.700000000000003</v>
      </c>
      <c r="C40" s="133">
        <v>26.32</v>
      </c>
      <c r="D40" s="133">
        <v>42.13</v>
      </c>
      <c r="E40" s="133">
        <v>4.29</v>
      </c>
      <c r="F40" s="133">
        <v>2.4700000000000002</v>
      </c>
      <c r="G40" s="133">
        <v>106.47</v>
      </c>
      <c r="H40" s="133">
        <v>47.97</v>
      </c>
      <c r="I40" s="133">
        <v>9.9499999999999993</v>
      </c>
      <c r="J40" s="133">
        <v>0.19</v>
      </c>
      <c r="K40" s="133">
        <v>50.98</v>
      </c>
      <c r="L40" s="133">
        <v>22.68</v>
      </c>
      <c r="M40" s="133">
        <v>72.31</v>
      </c>
      <c r="N40" s="133">
        <v>199.5</v>
      </c>
      <c r="O40" s="133">
        <v>0</v>
      </c>
      <c r="P40" s="133">
        <v>1.06</v>
      </c>
      <c r="Q40" s="133">
        <v>5.73</v>
      </c>
    </row>
    <row r="41" spans="1:17" customFormat="1">
      <c r="A41" s="111" t="s">
        <v>3054</v>
      </c>
      <c r="B41" s="133">
        <v>32.83</v>
      </c>
      <c r="C41" s="133">
        <v>27.32</v>
      </c>
      <c r="D41" s="133">
        <v>41.96</v>
      </c>
      <c r="E41" s="133">
        <v>5.19</v>
      </c>
      <c r="F41" s="133">
        <v>2.5499999999999998</v>
      </c>
      <c r="G41" s="133">
        <v>106.47</v>
      </c>
      <c r="H41" s="133">
        <v>47.97</v>
      </c>
      <c r="I41" s="133">
        <v>10.01</v>
      </c>
      <c r="J41" s="133">
        <v>0.16</v>
      </c>
      <c r="K41" s="133">
        <v>102.67</v>
      </c>
      <c r="L41" s="133">
        <v>23.8</v>
      </c>
      <c r="M41" s="133">
        <v>66.37</v>
      </c>
      <c r="N41" s="133">
        <v>236.3</v>
      </c>
      <c r="O41" s="133">
        <v>0</v>
      </c>
      <c r="P41" s="133">
        <v>1.07</v>
      </c>
      <c r="Q41" s="133">
        <v>5.69</v>
      </c>
    </row>
    <row r="42" spans="1:17" customFormat="1">
      <c r="A42" s="111" t="s">
        <v>3055</v>
      </c>
      <c r="B42" s="133">
        <v>31.6</v>
      </c>
      <c r="C42" s="133">
        <v>26.1</v>
      </c>
      <c r="D42" s="133">
        <v>40.33</v>
      </c>
      <c r="E42" s="133">
        <v>5.1100000000000003</v>
      </c>
      <c r="F42" s="133">
        <v>2.79</v>
      </c>
      <c r="G42" s="133">
        <v>106.47</v>
      </c>
      <c r="H42" s="133">
        <v>47.97</v>
      </c>
      <c r="I42" s="133">
        <v>10</v>
      </c>
      <c r="J42" s="133">
        <v>0.16</v>
      </c>
      <c r="K42" s="133">
        <v>142.27000000000001</v>
      </c>
      <c r="L42" s="133">
        <v>24.91</v>
      </c>
      <c r="M42" s="133">
        <v>62.15</v>
      </c>
      <c r="N42" s="133">
        <v>278.2</v>
      </c>
      <c r="O42" s="133">
        <v>0</v>
      </c>
      <c r="P42" s="133">
        <v>1.04</v>
      </c>
      <c r="Q42" s="133">
        <v>5.65</v>
      </c>
    </row>
    <row r="43" spans="1:17" customFormat="1">
      <c r="A43" s="111" t="s">
        <v>3056</v>
      </c>
      <c r="B43" s="133">
        <v>30.26</v>
      </c>
      <c r="C43" s="133">
        <v>26.16</v>
      </c>
      <c r="D43" s="133">
        <v>39.28</v>
      </c>
      <c r="E43" s="133">
        <v>4.45</v>
      </c>
      <c r="F43" s="133">
        <v>2.7</v>
      </c>
      <c r="G43" s="133">
        <v>106.45</v>
      </c>
      <c r="H43" s="133">
        <v>47.97</v>
      </c>
      <c r="I43" s="133">
        <v>10.01</v>
      </c>
      <c r="J43" s="133">
        <v>0.27</v>
      </c>
      <c r="K43" s="133">
        <v>123.46</v>
      </c>
      <c r="L43" s="133">
        <v>25.94</v>
      </c>
      <c r="M43" s="133">
        <v>58.87</v>
      </c>
      <c r="N43" s="133">
        <v>311.7</v>
      </c>
      <c r="O43" s="133">
        <v>0</v>
      </c>
      <c r="P43" s="133">
        <v>1.04</v>
      </c>
      <c r="Q43" s="133">
        <v>5.58</v>
      </c>
    </row>
    <row r="44" spans="1:17" customFormat="1">
      <c r="A44" s="111" t="s">
        <v>3057</v>
      </c>
      <c r="B44" s="133">
        <v>28.88</v>
      </c>
      <c r="C44" s="133">
        <v>27.65</v>
      </c>
      <c r="D44" s="133">
        <v>38.96</v>
      </c>
      <c r="E44" s="133">
        <v>4.75</v>
      </c>
      <c r="F44" s="133">
        <v>2.6</v>
      </c>
      <c r="G44" s="133">
        <v>105.98</v>
      </c>
      <c r="H44" s="133">
        <v>48.03</v>
      </c>
      <c r="I44" s="133">
        <v>9.99</v>
      </c>
      <c r="J44" s="133">
        <v>0.08</v>
      </c>
      <c r="K44" s="133">
        <v>196.21</v>
      </c>
      <c r="L44" s="133">
        <v>26.56</v>
      </c>
      <c r="M44" s="133">
        <v>59.04</v>
      </c>
      <c r="N44" s="133">
        <v>332.9</v>
      </c>
      <c r="O44" s="133">
        <v>0</v>
      </c>
      <c r="P44" s="133">
        <v>1.04</v>
      </c>
      <c r="Q44" s="133">
        <v>5.5</v>
      </c>
    </row>
    <row r="45" spans="1:17" customFormat="1">
      <c r="A45" s="111" t="s">
        <v>3058</v>
      </c>
      <c r="B45" s="133">
        <v>27.44</v>
      </c>
      <c r="C45" s="133">
        <v>27.04</v>
      </c>
      <c r="D45" s="133">
        <v>37.479999999999997</v>
      </c>
      <c r="E45" s="133">
        <v>4.83</v>
      </c>
      <c r="F45" s="133">
        <v>2.87</v>
      </c>
      <c r="G45" s="133">
        <v>105.98</v>
      </c>
      <c r="H45" s="133">
        <v>48.03</v>
      </c>
      <c r="I45" s="133">
        <v>9.89</v>
      </c>
      <c r="J45" s="133">
        <v>0.19</v>
      </c>
      <c r="K45" s="133">
        <v>201.57</v>
      </c>
      <c r="L45" s="133">
        <v>26.88</v>
      </c>
      <c r="M45" s="133">
        <v>59.33</v>
      </c>
      <c r="N45" s="133">
        <v>340.5</v>
      </c>
      <c r="O45" s="133">
        <v>0</v>
      </c>
      <c r="P45" s="133">
        <v>1.02</v>
      </c>
      <c r="Q45" s="133">
        <v>5.48</v>
      </c>
    </row>
    <row r="46" spans="1:17" customFormat="1">
      <c r="A46" s="111" t="s">
        <v>3059</v>
      </c>
      <c r="B46" s="133">
        <v>25.95</v>
      </c>
      <c r="C46" s="133">
        <v>26.65</v>
      </c>
      <c r="D46" s="133">
        <v>36.08</v>
      </c>
      <c r="E46" s="133">
        <v>4.9400000000000004</v>
      </c>
      <c r="F46" s="133">
        <v>2.92</v>
      </c>
      <c r="G46" s="133">
        <v>105.98</v>
      </c>
      <c r="H46" s="133">
        <v>48.03</v>
      </c>
      <c r="I46" s="133">
        <v>9.85</v>
      </c>
      <c r="J46" s="133">
        <v>0.11</v>
      </c>
      <c r="K46" s="133">
        <v>135.53</v>
      </c>
      <c r="L46" s="133">
        <v>27.3</v>
      </c>
      <c r="M46" s="133">
        <v>56.77</v>
      </c>
      <c r="N46" s="133">
        <v>265</v>
      </c>
      <c r="O46" s="133">
        <v>0</v>
      </c>
      <c r="P46" s="133">
        <v>1.01</v>
      </c>
      <c r="Q46" s="133">
        <v>5.42</v>
      </c>
    </row>
    <row r="47" spans="1:17" customFormat="1">
      <c r="A47" s="111" t="s">
        <v>3060</v>
      </c>
      <c r="B47" s="133">
        <v>23.89</v>
      </c>
      <c r="C47" s="133">
        <v>27</v>
      </c>
      <c r="D47" s="133">
        <v>34.619999999999997</v>
      </c>
      <c r="E47" s="133">
        <v>5.4</v>
      </c>
      <c r="F47" s="133">
        <v>3.29</v>
      </c>
      <c r="G47" s="133">
        <v>106.05</v>
      </c>
      <c r="H47" s="133">
        <v>47.96</v>
      </c>
      <c r="I47" s="133">
        <v>9.93</v>
      </c>
      <c r="J47" s="133">
        <v>0.32</v>
      </c>
      <c r="K47" s="133">
        <v>162.66999999999999</v>
      </c>
      <c r="L47" s="133">
        <v>28.16</v>
      </c>
      <c r="M47" s="133">
        <v>52.44</v>
      </c>
      <c r="N47" s="133">
        <v>352.5</v>
      </c>
      <c r="O47" s="133">
        <v>0</v>
      </c>
      <c r="P47" s="133">
        <v>1.02</v>
      </c>
      <c r="Q47" s="133">
        <v>5.36</v>
      </c>
    </row>
    <row r="48" spans="1:17" customFormat="1">
      <c r="A48" s="111" t="s">
        <v>3061</v>
      </c>
      <c r="B48" s="133">
        <v>21.04</v>
      </c>
      <c r="C48" s="133">
        <v>28.09</v>
      </c>
      <c r="D48" s="133">
        <v>32.9</v>
      </c>
      <c r="E48" s="133">
        <v>5.24</v>
      </c>
      <c r="F48" s="133">
        <v>3.31</v>
      </c>
      <c r="G48" s="133">
        <v>107.58</v>
      </c>
      <c r="H48" s="133">
        <v>46.84</v>
      </c>
      <c r="I48" s="133">
        <v>10.130000000000001</v>
      </c>
      <c r="J48" s="133">
        <v>0.17</v>
      </c>
      <c r="K48" s="133">
        <v>201.42</v>
      </c>
      <c r="L48" s="133">
        <v>28.4</v>
      </c>
      <c r="M48" s="133">
        <v>49.88</v>
      </c>
      <c r="N48" s="133">
        <v>445.7</v>
      </c>
      <c r="O48" s="133">
        <v>0</v>
      </c>
      <c r="P48" s="133">
        <v>1.01</v>
      </c>
      <c r="Q48" s="133">
        <v>5.21</v>
      </c>
    </row>
    <row r="49" spans="1:17" customFormat="1">
      <c r="A49" s="111" t="s">
        <v>3062</v>
      </c>
      <c r="B49" s="133">
        <v>18.02</v>
      </c>
      <c r="C49" s="133">
        <v>28.73</v>
      </c>
      <c r="D49" s="133">
        <v>30.81</v>
      </c>
      <c r="E49" s="133">
        <v>4.54</v>
      </c>
      <c r="F49" s="133">
        <v>3.4</v>
      </c>
      <c r="G49" s="133">
        <v>107.58</v>
      </c>
      <c r="H49" s="133">
        <v>46.84</v>
      </c>
      <c r="I49" s="133">
        <v>10.15</v>
      </c>
      <c r="J49" s="133">
        <v>0.15</v>
      </c>
      <c r="K49" s="133">
        <v>134.69</v>
      </c>
      <c r="L49" s="133">
        <v>29.03</v>
      </c>
      <c r="M49" s="133">
        <v>49.14</v>
      </c>
      <c r="N49" s="133">
        <v>474.7</v>
      </c>
      <c r="O49" s="133">
        <v>0</v>
      </c>
      <c r="P49" s="133">
        <v>0.99</v>
      </c>
      <c r="Q49" s="133">
        <v>5.05</v>
      </c>
    </row>
    <row r="50" spans="1:17" customFormat="1">
      <c r="A50" s="111" t="s">
        <v>3063</v>
      </c>
      <c r="B50" s="133">
        <v>15.11</v>
      </c>
      <c r="C50" s="133">
        <v>29.24</v>
      </c>
      <c r="D50" s="133">
        <v>28.74</v>
      </c>
      <c r="E50" s="133">
        <v>5.29</v>
      </c>
      <c r="F50" s="133">
        <v>3.41</v>
      </c>
      <c r="G50" s="133">
        <v>107.58</v>
      </c>
      <c r="H50" s="133">
        <v>46.84</v>
      </c>
      <c r="I50" s="133">
        <v>10.050000000000001</v>
      </c>
      <c r="J50" s="133">
        <v>0.32</v>
      </c>
      <c r="K50" s="133">
        <v>169.59</v>
      </c>
      <c r="L50" s="133">
        <v>29.53</v>
      </c>
      <c r="M50" s="133">
        <v>46.58</v>
      </c>
      <c r="N50" s="133">
        <v>497.6</v>
      </c>
      <c r="O50" s="133">
        <v>0</v>
      </c>
      <c r="P50" s="133">
        <v>0.97</v>
      </c>
      <c r="Q50" s="133">
        <v>4.92</v>
      </c>
    </row>
    <row r="51" spans="1:17" customFormat="1">
      <c r="A51" s="111" t="s">
        <v>3064</v>
      </c>
      <c r="B51" s="133">
        <v>12.7</v>
      </c>
      <c r="C51" s="133">
        <v>29.7</v>
      </c>
      <c r="D51" s="133">
        <v>27.05</v>
      </c>
      <c r="E51" s="133">
        <v>7.08</v>
      </c>
      <c r="F51" s="133">
        <v>5.33</v>
      </c>
      <c r="G51" s="133">
        <v>107.12</v>
      </c>
      <c r="H51" s="133">
        <v>46.7</v>
      </c>
      <c r="I51" s="133">
        <v>9.7799999999999994</v>
      </c>
      <c r="J51" s="133">
        <v>0.46</v>
      </c>
      <c r="K51" s="133">
        <v>49.04</v>
      </c>
      <c r="L51" s="133">
        <v>29.18</v>
      </c>
      <c r="M51" s="133">
        <v>46.23</v>
      </c>
      <c r="N51" s="133">
        <v>504.1</v>
      </c>
      <c r="O51" s="133">
        <v>0</v>
      </c>
      <c r="P51" s="133">
        <v>0.95</v>
      </c>
      <c r="Q51" s="133">
        <v>4.83</v>
      </c>
    </row>
    <row r="52" spans="1:17" customFormat="1">
      <c r="A52" s="111" t="s">
        <v>3065</v>
      </c>
      <c r="B52" s="133">
        <v>9.09</v>
      </c>
      <c r="C52" s="133">
        <v>28.55</v>
      </c>
      <c r="D52" s="133">
        <v>23.56</v>
      </c>
      <c r="E52" s="133">
        <v>11.6</v>
      </c>
      <c r="F52" s="133">
        <v>11.79</v>
      </c>
      <c r="G52" s="133">
        <v>97.15</v>
      </c>
      <c r="H52" s="133">
        <v>44.51</v>
      </c>
      <c r="I52" s="133">
        <v>9.5</v>
      </c>
      <c r="J52" s="133">
        <v>0.32</v>
      </c>
      <c r="K52" s="133">
        <v>168.82</v>
      </c>
      <c r="L52" s="133">
        <v>29.94</v>
      </c>
      <c r="M52" s="133">
        <v>44.4</v>
      </c>
      <c r="N52" s="133">
        <v>471.6</v>
      </c>
      <c r="O52" s="133">
        <v>0</v>
      </c>
      <c r="P52" s="133">
        <v>0.9</v>
      </c>
      <c r="Q52" s="133">
        <v>4.6900000000000004</v>
      </c>
    </row>
    <row r="53" spans="1:17" customFormat="1">
      <c r="A53" s="111" t="s">
        <v>3066</v>
      </c>
      <c r="B53" s="133">
        <v>5.42</v>
      </c>
      <c r="C53" s="133">
        <v>26.51</v>
      </c>
      <c r="D53" s="133">
        <v>19.55</v>
      </c>
      <c r="E53" s="133">
        <v>12.66</v>
      </c>
      <c r="F53" s="133">
        <v>12.89</v>
      </c>
      <c r="G53" s="133">
        <v>97.15</v>
      </c>
      <c r="H53" s="133">
        <v>44.51</v>
      </c>
      <c r="I53" s="133">
        <v>9.16</v>
      </c>
      <c r="J53" s="133">
        <v>0.18</v>
      </c>
      <c r="K53" s="133">
        <v>125.84</v>
      </c>
      <c r="L53" s="133">
        <v>29.76</v>
      </c>
      <c r="M53" s="133">
        <v>44</v>
      </c>
      <c r="N53" s="133">
        <v>524.1</v>
      </c>
      <c r="O53" s="133">
        <v>0</v>
      </c>
      <c r="P53" s="133">
        <v>0.83</v>
      </c>
      <c r="Q53" s="133">
        <v>4.51</v>
      </c>
    </row>
    <row r="54" spans="1:17" customFormat="1">
      <c r="A54" s="111" t="s">
        <v>3067</v>
      </c>
      <c r="B54" s="133">
        <v>3.78</v>
      </c>
      <c r="C54" s="133">
        <v>25.05</v>
      </c>
      <c r="D54" s="133">
        <v>17.47</v>
      </c>
      <c r="E54" s="133">
        <v>14.2</v>
      </c>
      <c r="F54" s="133">
        <v>18.510000000000002</v>
      </c>
      <c r="G54" s="133">
        <v>97.15</v>
      </c>
      <c r="H54" s="133">
        <v>44.51</v>
      </c>
      <c r="I54" s="133">
        <v>8.33</v>
      </c>
      <c r="J54" s="133">
        <v>0.33</v>
      </c>
      <c r="K54" s="133">
        <v>50</v>
      </c>
      <c r="L54" s="133">
        <v>29.88</v>
      </c>
      <c r="M54" s="133">
        <v>43.77</v>
      </c>
      <c r="N54" s="133">
        <v>543.5</v>
      </c>
      <c r="O54" s="133">
        <v>0</v>
      </c>
      <c r="P54" s="133">
        <v>0.78</v>
      </c>
      <c r="Q54" s="133">
        <v>4.38</v>
      </c>
    </row>
    <row r="55" spans="1:17" customFormat="1">
      <c r="A55" s="111" t="s">
        <v>3068</v>
      </c>
      <c r="B55" s="133">
        <v>3.14</v>
      </c>
      <c r="C55" s="133">
        <v>23.61</v>
      </c>
      <c r="D55" s="133">
        <v>16.21</v>
      </c>
      <c r="E55" s="133">
        <v>15.15</v>
      </c>
      <c r="F55" s="133">
        <v>21.6</v>
      </c>
      <c r="G55" s="133">
        <v>96.53</v>
      </c>
      <c r="H55" s="133">
        <v>43.97</v>
      </c>
      <c r="I55" s="133">
        <v>7.62</v>
      </c>
      <c r="J55" s="133">
        <v>0.14000000000000001</v>
      </c>
      <c r="K55" s="133">
        <v>53.27</v>
      </c>
      <c r="L55" s="133">
        <v>30.24</v>
      </c>
      <c r="M55" s="133">
        <v>42.01</v>
      </c>
      <c r="N55" s="133">
        <v>526.1</v>
      </c>
      <c r="O55" s="133">
        <v>0</v>
      </c>
      <c r="P55" s="133">
        <v>0.73</v>
      </c>
      <c r="Q55" s="133">
        <v>4.33</v>
      </c>
    </row>
    <row r="56" spans="1:17" customFormat="1">
      <c r="A56" s="111" t="s">
        <v>3069</v>
      </c>
      <c r="B56" s="133">
        <v>2.91</v>
      </c>
      <c r="C56" s="133">
        <v>23.23</v>
      </c>
      <c r="D56" s="133">
        <v>15.82</v>
      </c>
      <c r="E56" s="133">
        <v>14.85</v>
      </c>
      <c r="F56" s="133">
        <v>16.940000000000001</v>
      </c>
      <c r="G56" s="133">
        <v>83.24</v>
      </c>
      <c r="H56" s="133">
        <v>35.71</v>
      </c>
      <c r="I56" s="133">
        <v>6.79</v>
      </c>
      <c r="J56" s="133">
        <v>0.66</v>
      </c>
      <c r="K56" s="133">
        <v>37.130000000000003</v>
      </c>
      <c r="L56" s="133">
        <v>30.08</v>
      </c>
      <c r="M56" s="133">
        <v>41.55</v>
      </c>
      <c r="N56" s="133">
        <v>539.79999999999995</v>
      </c>
      <c r="O56" s="133">
        <v>0</v>
      </c>
      <c r="P56" s="133">
        <v>0.71</v>
      </c>
      <c r="Q56" s="133">
        <v>4.29</v>
      </c>
    </row>
    <row r="57" spans="1:17" customFormat="1">
      <c r="A57" s="111" t="s">
        <v>3070</v>
      </c>
      <c r="B57" s="133">
        <v>2.77</v>
      </c>
      <c r="C57" s="133">
        <v>23.36</v>
      </c>
      <c r="D57" s="133">
        <v>15.78</v>
      </c>
      <c r="E57" s="133">
        <v>15.2</v>
      </c>
      <c r="F57" s="133">
        <v>14.94</v>
      </c>
      <c r="G57" s="133">
        <v>83.24</v>
      </c>
      <c r="H57" s="133">
        <v>35.71</v>
      </c>
      <c r="I57" s="133">
        <v>5.98</v>
      </c>
      <c r="J57" s="133">
        <v>0.27</v>
      </c>
      <c r="K57" s="133">
        <v>72.08</v>
      </c>
      <c r="L57" s="133">
        <v>30.17</v>
      </c>
      <c r="M57" s="133">
        <v>41.45</v>
      </c>
      <c r="N57" s="133">
        <v>522</v>
      </c>
      <c r="O57" s="133">
        <v>0</v>
      </c>
      <c r="P57" s="133">
        <v>0.68</v>
      </c>
      <c r="Q57" s="133">
        <v>4.28</v>
      </c>
    </row>
    <row r="58" spans="1:17" customFormat="1">
      <c r="A58" s="111" t="s">
        <v>3071</v>
      </c>
      <c r="B58" s="133">
        <v>2.76</v>
      </c>
      <c r="C58" s="133">
        <v>22.94</v>
      </c>
      <c r="D58" s="133">
        <v>15.55</v>
      </c>
      <c r="E58" s="133">
        <v>14.17</v>
      </c>
      <c r="F58" s="133">
        <v>16.89</v>
      </c>
      <c r="G58" s="133">
        <v>83.24</v>
      </c>
      <c r="H58" s="133">
        <v>35.71</v>
      </c>
      <c r="I58" s="133">
        <v>5.61</v>
      </c>
      <c r="J58" s="133">
        <v>0.52</v>
      </c>
      <c r="K58" s="133">
        <v>35.19</v>
      </c>
      <c r="L58" s="133">
        <v>30.29</v>
      </c>
      <c r="M58" s="133">
        <v>40.56</v>
      </c>
      <c r="N58" s="133">
        <v>538.70000000000005</v>
      </c>
      <c r="O58" s="133">
        <v>0</v>
      </c>
      <c r="P58" s="133">
        <v>0.66</v>
      </c>
      <c r="Q58" s="133">
        <v>4.29</v>
      </c>
    </row>
    <row r="59" spans="1:17" customFormat="1">
      <c r="A59" s="111" t="s">
        <v>3072</v>
      </c>
      <c r="B59" s="133">
        <v>2.7</v>
      </c>
      <c r="C59" s="133">
        <v>22.66</v>
      </c>
      <c r="D59" s="133">
        <v>15.36</v>
      </c>
      <c r="E59" s="133">
        <v>17.829999999999998</v>
      </c>
      <c r="F59" s="133">
        <v>19.68</v>
      </c>
      <c r="G59" s="133">
        <v>82.52</v>
      </c>
      <c r="H59" s="133">
        <v>35.44</v>
      </c>
      <c r="I59" s="133">
        <v>5.31</v>
      </c>
      <c r="J59" s="133">
        <v>0.56000000000000005</v>
      </c>
      <c r="K59" s="133">
        <v>52.4</v>
      </c>
      <c r="L59" s="133">
        <v>30.28</v>
      </c>
      <c r="M59" s="133">
        <v>40.369999999999997</v>
      </c>
      <c r="N59" s="133">
        <v>522.9</v>
      </c>
      <c r="O59" s="133">
        <v>0</v>
      </c>
      <c r="P59" s="133">
        <v>0.63</v>
      </c>
      <c r="Q59" s="133">
        <v>4.3099999999999996</v>
      </c>
    </row>
    <row r="60" spans="1:17" customFormat="1">
      <c r="A60" s="111" t="s">
        <v>3073</v>
      </c>
      <c r="B60" s="133">
        <v>2.44</v>
      </c>
      <c r="C60" s="133">
        <v>23.5</v>
      </c>
      <c r="D60" s="133">
        <v>15.59</v>
      </c>
      <c r="E60" s="133">
        <v>12.95</v>
      </c>
      <c r="F60" s="133">
        <v>12.36</v>
      </c>
      <c r="G60" s="133">
        <v>67.099999999999994</v>
      </c>
      <c r="H60" s="133">
        <v>31.2</v>
      </c>
      <c r="I60" s="133">
        <v>4.51</v>
      </c>
      <c r="J60" s="133">
        <v>0.45</v>
      </c>
      <c r="K60" s="133">
        <v>55.94</v>
      </c>
      <c r="L60" s="133">
        <v>30.39</v>
      </c>
      <c r="M60" s="133">
        <v>40.26</v>
      </c>
      <c r="N60" s="133">
        <v>480.3</v>
      </c>
      <c r="O60" s="133">
        <v>0</v>
      </c>
      <c r="P60" s="133">
        <v>0.63</v>
      </c>
      <c r="Q60" s="133">
        <v>4.29</v>
      </c>
    </row>
    <row r="61" spans="1:17" customFormat="1">
      <c r="A61" s="111" t="s">
        <v>3074</v>
      </c>
      <c r="B61" s="133">
        <v>2.41</v>
      </c>
      <c r="C61" s="133">
        <v>23.84</v>
      </c>
      <c r="D61" s="133">
        <v>15.74</v>
      </c>
      <c r="E61" s="133">
        <v>9.4499999999999993</v>
      </c>
      <c r="F61" s="133">
        <v>7.57</v>
      </c>
      <c r="G61" s="133">
        <v>67.099999999999994</v>
      </c>
      <c r="H61" s="133">
        <v>31.2</v>
      </c>
      <c r="I61" s="133">
        <v>4.05</v>
      </c>
      <c r="J61" s="133">
        <v>0.48</v>
      </c>
      <c r="K61" s="133">
        <v>38.4</v>
      </c>
      <c r="L61" s="133">
        <v>30.56</v>
      </c>
      <c r="M61" s="133">
        <v>40.54</v>
      </c>
      <c r="N61" s="133">
        <v>506.2</v>
      </c>
      <c r="O61" s="133">
        <v>0</v>
      </c>
      <c r="P61" s="133">
        <v>0.62</v>
      </c>
      <c r="Q61" s="133">
        <v>4.3099999999999996</v>
      </c>
    </row>
    <row r="62" spans="1:17" customFormat="1">
      <c r="A62" s="111" t="s">
        <v>3075</v>
      </c>
      <c r="B62" s="133">
        <v>2.4</v>
      </c>
      <c r="C62" s="133">
        <v>23.16</v>
      </c>
      <c r="D62" s="133">
        <v>15.37</v>
      </c>
      <c r="E62" s="133">
        <v>12.11</v>
      </c>
      <c r="F62" s="133">
        <v>17.079999999999998</v>
      </c>
      <c r="G62" s="133">
        <v>67.099999999999994</v>
      </c>
      <c r="H62" s="133">
        <v>31.2</v>
      </c>
      <c r="I62" s="133">
        <v>3.97</v>
      </c>
      <c r="J62" s="133">
        <v>0.2</v>
      </c>
      <c r="K62" s="133">
        <v>115.85</v>
      </c>
      <c r="L62" s="133">
        <v>30.83</v>
      </c>
      <c r="M62" s="133">
        <v>40.75</v>
      </c>
      <c r="N62" s="133">
        <v>486.2</v>
      </c>
      <c r="O62" s="133">
        <v>0</v>
      </c>
      <c r="P62" s="133">
        <v>0.61</v>
      </c>
      <c r="Q62" s="133">
        <v>4.32</v>
      </c>
    </row>
    <row r="63" spans="1:17" customFormat="1">
      <c r="A63" s="111" t="s">
        <v>3076</v>
      </c>
      <c r="B63" s="133">
        <v>1.98</v>
      </c>
      <c r="C63" s="133">
        <v>21.44</v>
      </c>
      <c r="D63" s="133">
        <v>14.14</v>
      </c>
      <c r="E63" s="133">
        <v>12.67</v>
      </c>
      <c r="F63" s="133">
        <v>14.94</v>
      </c>
      <c r="G63" s="133">
        <v>67.069999999999993</v>
      </c>
      <c r="H63" s="133">
        <v>31.03</v>
      </c>
      <c r="I63" s="133">
        <v>3.98</v>
      </c>
      <c r="J63" s="133">
        <v>0.22</v>
      </c>
      <c r="K63" s="133">
        <v>116.23</v>
      </c>
      <c r="L63" s="133">
        <v>30.93</v>
      </c>
      <c r="M63" s="133">
        <v>40.090000000000003</v>
      </c>
      <c r="N63" s="133">
        <v>452.1</v>
      </c>
      <c r="O63" s="133">
        <v>0</v>
      </c>
      <c r="P63" s="133">
        <v>0.57999999999999996</v>
      </c>
      <c r="Q63" s="133">
        <v>4.29</v>
      </c>
    </row>
    <row r="64" spans="1:17" customFormat="1">
      <c r="A64" s="111" t="s">
        <v>3077</v>
      </c>
      <c r="B64" s="133">
        <v>1.98</v>
      </c>
      <c r="C64" s="133">
        <v>22.49</v>
      </c>
      <c r="D64" s="133">
        <v>14.68</v>
      </c>
      <c r="E64" s="133">
        <v>9.4499999999999993</v>
      </c>
      <c r="F64" s="133">
        <v>9.6</v>
      </c>
      <c r="G64" s="133">
        <v>66.63</v>
      </c>
      <c r="H64" s="133">
        <v>28.42</v>
      </c>
      <c r="I64" s="133">
        <v>3.79</v>
      </c>
      <c r="J64" s="133">
        <v>0.4</v>
      </c>
      <c r="K64" s="133">
        <v>52.34</v>
      </c>
      <c r="L64" s="133">
        <v>30.58</v>
      </c>
      <c r="M64" s="133">
        <v>39.799999999999997</v>
      </c>
      <c r="N64" s="133">
        <v>452.4</v>
      </c>
      <c r="O64" s="133">
        <v>0</v>
      </c>
      <c r="P64" s="133">
        <v>0.59</v>
      </c>
      <c r="Q64" s="133">
        <v>4.3</v>
      </c>
    </row>
    <row r="65" spans="1:17" customFormat="1">
      <c r="A65" s="111" t="s">
        <v>3078</v>
      </c>
      <c r="B65" s="133">
        <v>2.25</v>
      </c>
      <c r="C65" s="133">
        <v>22.3</v>
      </c>
      <c r="D65" s="133">
        <v>14.81</v>
      </c>
      <c r="E65" s="133">
        <v>8.67</v>
      </c>
      <c r="F65" s="133">
        <v>7.29</v>
      </c>
      <c r="G65" s="133">
        <v>66.63</v>
      </c>
      <c r="H65" s="133">
        <v>28.42</v>
      </c>
      <c r="I65" s="133">
        <v>3.6</v>
      </c>
      <c r="J65" s="133">
        <v>0.16</v>
      </c>
      <c r="K65" s="133">
        <v>142.33000000000001</v>
      </c>
      <c r="L65" s="133">
        <v>30.63</v>
      </c>
      <c r="M65" s="133">
        <v>37.94</v>
      </c>
      <c r="N65" s="133">
        <v>470.6</v>
      </c>
      <c r="O65" s="133">
        <v>0</v>
      </c>
      <c r="P65" s="133">
        <v>0.52</v>
      </c>
      <c r="Q65" s="133">
        <v>4.28</v>
      </c>
    </row>
    <row r="66" spans="1:17" customFormat="1">
      <c r="A66" s="111" t="s">
        <v>3079</v>
      </c>
      <c r="B66" s="133">
        <v>2.5299999999999998</v>
      </c>
      <c r="C66" s="133">
        <v>22.58</v>
      </c>
      <c r="D66" s="133">
        <v>15.18</v>
      </c>
      <c r="E66" s="133">
        <v>8.8699999999999992</v>
      </c>
      <c r="F66" s="133">
        <v>6.15</v>
      </c>
      <c r="G66" s="133">
        <v>66.63</v>
      </c>
      <c r="H66" s="133">
        <v>28.42</v>
      </c>
      <c r="I66" s="133">
        <v>3.61</v>
      </c>
      <c r="J66" s="133">
        <v>0.43</v>
      </c>
      <c r="K66" s="133">
        <v>60.47</v>
      </c>
      <c r="L66" s="133">
        <v>30.26</v>
      </c>
      <c r="M66" s="133">
        <v>39.340000000000003</v>
      </c>
      <c r="N66" s="133">
        <v>261.8</v>
      </c>
      <c r="O66" s="133">
        <v>0</v>
      </c>
      <c r="P66" s="133">
        <v>0.54</v>
      </c>
      <c r="Q66" s="133">
        <v>4.29</v>
      </c>
    </row>
    <row r="67" spans="1:17" customFormat="1">
      <c r="A67" s="111" t="s">
        <v>3080</v>
      </c>
      <c r="B67" s="133">
        <v>3.78</v>
      </c>
      <c r="C67" s="133">
        <v>24.69</v>
      </c>
      <c r="D67" s="133">
        <v>17.28</v>
      </c>
      <c r="E67" s="133">
        <v>9.3699999999999992</v>
      </c>
      <c r="F67" s="133">
        <v>8.7899999999999991</v>
      </c>
      <c r="G67" s="133">
        <v>66.88</v>
      </c>
      <c r="H67" s="133">
        <v>28.46</v>
      </c>
      <c r="I67" s="133">
        <v>3.63</v>
      </c>
      <c r="J67" s="133">
        <v>0.5</v>
      </c>
      <c r="K67" s="133">
        <v>37.35</v>
      </c>
      <c r="L67" s="133">
        <v>29.7</v>
      </c>
      <c r="M67" s="133">
        <v>41.24</v>
      </c>
      <c r="N67" s="133">
        <v>96.2</v>
      </c>
      <c r="O67" s="133">
        <v>0</v>
      </c>
      <c r="P67" s="133">
        <v>0.54</v>
      </c>
      <c r="Q67" s="133">
        <v>4.28</v>
      </c>
    </row>
    <row r="68" spans="1:17" customFormat="1">
      <c r="A68" s="111" t="s">
        <v>3081</v>
      </c>
      <c r="B68" s="133">
        <v>3.35</v>
      </c>
      <c r="C68" s="133">
        <v>22.51</v>
      </c>
      <c r="D68" s="133">
        <v>15.8</v>
      </c>
      <c r="E68" s="133">
        <v>9.86</v>
      </c>
      <c r="F68" s="133">
        <v>8.52</v>
      </c>
      <c r="G68" s="133">
        <v>72.209999999999994</v>
      </c>
      <c r="H68" s="133">
        <v>29.01</v>
      </c>
      <c r="I68" s="133">
        <v>3.62</v>
      </c>
      <c r="J68" s="133">
        <v>0.31</v>
      </c>
      <c r="K68" s="133">
        <v>70.64</v>
      </c>
      <c r="L68" s="133">
        <v>29.09</v>
      </c>
      <c r="M68" s="133">
        <v>42.8</v>
      </c>
      <c r="N68" s="133">
        <v>84.2</v>
      </c>
      <c r="O68" s="133">
        <v>0</v>
      </c>
      <c r="P68" s="133">
        <v>0.53</v>
      </c>
      <c r="Q68" s="133">
        <v>4.28</v>
      </c>
    </row>
    <row r="69" spans="1:17" customFormat="1">
      <c r="A69" s="111" t="s">
        <v>3082</v>
      </c>
      <c r="B69" s="133">
        <v>3.39</v>
      </c>
      <c r="C69" s="133">
        <v>21.17</v>
      </c>
      <c r="D69" s="133">
        <v>15.13</v>
      </c>
      <c r="E69" s="133">
        <v>7.71</v>
      </c>
      <c r="F69" s="133">
        <v>6.84</v>
      </c>
      <c r="G69" s="133">
        <v>72.209999999999994</v>
      </c>
      <c r="H69" s="133">
        <v>29.01</v>
      </c>
      <c r="I69" s="133">
        <v>4.01</v>
      </c>
      <c r="J69" s="133">
        <v>0.41</v>
      </c>
      <c r="K69" s="133">
        <v>43.28</v>
      </c>
      <c r="L69" s="133">
        <v>29.04</v>
      </c>
      <c r="M69" s="133">
        <v>43.02</v>
      </c>
      <c r="N69" s="133">
        <v>74.5</v>
      </c>
      <c r="O69" s="133">
        <v>0</v>
      </c>
      <c r="P69" s="133">
        <v>0.51</v>
      </c>
      <c r="Q69" s="133">
        <v>4.28</v>
      </c>
    </row>
    <row r="70" spans="1:17" customFormat="1">
      <c r="A70" s="111" t="s">
        <v>3083</v>
      </c>
      <c r="B70" s="133">
        <v>3.48</v>
      </c>
      <c r="C70" s="133">
        <v>20.83</v>
      </c>
      <c r="D70" s="133">
        <v>15.02</v>
      </c>
      <c r="E70" s="133">
        <v>7.95</v>
      </c>
      <c r="F70" s="133">
        <v>7</v>
      </c>
      <c r="G70" s="133">
        <v>72.209999999999994</v>
      </c>
      <c r="H70" s="133">
        <v>29.01</v>
      </c>
      <c r="I70" s="133">
        <v>4.08</v>
      </c>
      <c r="J70" s="133">
        <v>0.22</v>
      </c>
      <c r="K70" s="133">
        <v>111.59</v>
      </c>
      <c r="L70" s="133">
        <v>28.72</v>
      </c>
      <c r="M70" s="133">
        <v>43.23</v>
      </c>
      <c r="N70" s="133">
        <v>69.5</v>
      </c>
      <c r="O70" s="133">
        <v>0</v>
      </c>
      <c r="P70" s="133">
        <v>0.51</v>
      </c>
      <c r="Q70" s="133">
        <v>4.28</v>
      </c>
    </row>
    <row r="71" spans="1:17" customFormat="1">
      <c r="A71" s="111" t="s">
        <v>3084</v>
      </c>
      <c r="B71" s="133">
        <v>3.53</v>
      </c>
      <c r="C71" s="133">
        <v>20.170000000000002</v>
      </c>
      <c r="D71" s="133">
        <v>14.72</v>
      </c>
      <c r="E71" s="133">
        <v>7.31</v>
      </c>
      <c r="F71" s="133">
        <v>6.42</v>
      </c>
      <c r="G71" s="133">
        <v>71.77</v>
      </c>
      <c r="H71" s="133">
        <v>29.07</v>
      </c>
      <c r="I71" s="133">
        <v>4.0999999999999996</v>
      </c>
      <c r="J71" s="133">
        <v>0.3</v>
      </c>
      <c r="K71" s="133">
        <v>160.15</v>
      </c>
      <c r="L71" s="133">
        <v>28.6</v>
      </c>
      <c r="M71" s="133">
        <v>44.51</v>
      </c>
      <c r="N71" s="133">
        <v>67.7</v>
      </c>
      <c r="O71" s="133">
        <v>0</v>
      </c>
      <c r="P71" s="133">
        <v>0.49</v>
      </c>
      <c r="Q71" s="133">
        <v>4.24</v>
      </c>
    </row>
    <row r="72" spans="1:17" customFormat="1">
      <c r="A72" s="111" t="s">
        <v>3085</v>
      </c>
      <c r="B72" s="133">
        <v>3.57</v>
      </c>
      <c r="C72" s="133">
        <v>19.649999999999999</v>
      </c>
      <c r="D72" s="133">
        <v>14.48</v>
      </c>
      <c r="E72" s="133">
        <v>8.02</v>
      </c>
      <c r="F72" s="133">
        <v>8.49</v>
      </c>
      <c r="G72" s="133">
        <v>64.3</v>
      </c>
      <c r="H72" s="133">
        <v>29.98</v>
      </c>
      <c r="I72" s="133">
        <v>4.0999999999999996</v>
      </c>
      <c r="J72" s="133">
        <v>0.42</v>
      </c>
      <c r="K72" s="133">
        <v>46.09</v>
      </c>
      <c r="L72" s="133">
        <v>28.38</v>
      </c>
      <c r="M72" s="133">
        <v>44.68</v>
      </c>
      <c r="N72" s="133">
        <v>50.2</v>
      </c>
      <c r="O72" s="133">
        <v>0</v>
      </c>
      <c r="P72" s="133">
        <v>0.49</v>
      </c>
      <c r="Q72" s="133">
        <v>4.24</v>
      </c>
    </row>
    <row r="73" spans="1:17" customFormat="1">
      <c r="A73" s="111" t="s">
        <v>3086</v>
      </c>
      <c r="B73" s="133">
        <v>3.66</v>
      </c>
      <c r="C73" s="133">
        <v>19.95</v>
      </c>
      <c r="D73" s="133">
        <v>14.71</v>
      </c>
      <c r="E73" s="133">
        <v>7.71</v>
      </c>
      <c r="F73" s="133">
        <v>7.24</v>
      </c>
      <c r="G73" s="133">
        <v>64.3</v>
      </c>
      <c r="H73" s="133">
        <v>29.98</v>
      </c>
      <c r="I73" s="133">
        <v>4.09</v>
      </c>
      <c r="J73" s="133">
        <v>0.36</v>
      </c>
      <c r="K73" s="133">
        <v>51.97</v>
      </c>
      <c r="L73" s="133">
        <v>28.21</v>
      </c>
      <c r="M73" s="133">
        <v>45.75</v>
      </c>
      <c r="N73" s="133">
        <v>41.9</v>
      </c>
      <c r="O73" s="133">
        <v>0</v>
      </c>
      <c r="P73" s="133">
        <v>0.49</v>
      </c>
      <c r="Q73" s="133">
        <v>4.25</v>
      </c>
    </row>
    <row r="74" spans="1:17" customFormat="1">
      <c r="A74" s="111" t="s">
        <v>3087</v>
      </c>
      <c r="B74" s="133">
        <v>3.83</v>
      </c>
      <c r="C74" s="133">
        <v>20.23</v>
      </c>
      <c r="D74" s="133">
        <v>14.99</v>
      </c>
      <c r="E74" s="133">
        <v>7.43</v>
      </c>
      <c r="F74" s="133">
        <v>6.9</v>
      </c>
      <c r="G74" s="133">
        <v>64.3</v>
      </c>
      <c r="H74" s="133">
        <v>29.98</v>
      </c>
      <c r="I74" s="133">
        <v>4.08</v>
      </c>
      <c r="J74" s="133">
        <v>0.35</v>
      </c>
      <c r="K74" s="133">
        <v>56.62</v>
      </c>
      <c r="L74" s="133">
        <v>28.01</v>
      </c>
      <c r="M74" s="133">
        <v>45.71</v>
      </c>
      <c r="N74" s="133">
        <v>31</v>
      </c>
      <c r="O74" s="133">
        <v>0</v>
      </c>
      <c r="P74" s="133">
        <v>0.49</v>
      </c>
      <c r="Q74" s="133">
        <v>4.24</v>
      </c>
    </row>
    <row r="75" spans="1:17" customFormat="1">
      <c r="A75" s="111" t="s">
        <v>3088</v>
      </c>
      <c r="B75" s="133">
        <v>3.95</v>
      </c>
      <c r="C75" s="133">
        <v>20.21</v>
      </c>
      <c r="D75" s="133">
        <v>15.08</v>
      </c>
      <c r="E75" s="133">
        <v>7.69</v>
      </c>
      <c r="F75" s="133">
        <v>7.66</v>
      </c>
      <c r="G75" s="133">
        <v>64.64</v>
      </c>
      <c r="H75" s="133">
        <v>30.11</v>
      </c>
      <c r="I75" s="133">
        <v>4.12</v>
      </c>
      <c r="J75" s="133">
        <v>0.33</v>
      </c>
      <c r="K75" s="133">
        <v>56.1</v>
      </c>
      <c r="L75" s="133">
        <v>27.76</v>
      </c>
      <c r="M75" s="133">
        <v>48.07</v>
      </c>
      <c r="N75" s="133">
        <v>19.5</v>
      </c>
      <c r="O75" s="133">
        <v>0</v>
      </c>
      <c r="P75" s="133">
        <v>0.5</v>
      </c>
      <c r="Q75" s="133">
        <v>4.26</v>
      </c>
    </row>
    <row r="76" spans="1:17" customFormat="1">
      <c r="A76" s="111" t="s">
        <v>3089</v>
      </c>
      <c r="B76" s="133">
        <v>4.5599999999999996</v>
      </c>
      <c r="C76" s="133">
        <v>21.04</v>
      </c>
      <c r="D76" s="133">
        <v>16.010000000000002</v>
      </c>
      <c r="E76" s="133">
        <v>8.23</v>
      </c>
      <c r="F76" s="133">
        <v>7.58</v>
      </c>
      <c r="G76" s="133">
        <v>71.900000000000006</v>
      </c>
      <c r="H76" s="133">
        <v>32.130000000000003</v>
      </c>
      <c r="I76" s="133">
        <v>4.12</v>
      </c>
      <c r="J76" s="133">
        <v>0.27</v>
      </c>
      <c r="K76" s="133">
        <v>67.36</v>
      </c>
      <c r="L76" s="133">
        <v>27.41</v>
      </c>
      <c r="M76" s="133">
        <v>49.55</v>
      </c>
      <c r="N76" s="133">
        <v>7.6</v>
      </c>
      <c r="O76" s="133">
        <v>0</v>
      </c>
      <c r="P76" s="133">
        <v>0.5</v>
      </c>
      <c r="Q76" s="133">
        <v>4.26</v>
      </c>
    </row>
    <row r="77" spans="1:17" customFormat="1">
      <c r="A77" s="111" t="s">
        <v>3090</v>
      </c>
      <c r="B77" s="133">
        <v>4.57</v>
      </c>
      <c r="C77" s="133">
        <v>21.21</v>
      </c>
      <c r="D77" s="133">
        <v>16.100000000000001</v>
      </c>
      <c r="E77" s="133">
        <v>6.72</v>
      </c>
      <c r="F77" s="133">
        <v>5.27</v>
      </c>
      <c r="G77" s="133">
        <v>71.900000000000006</v>
      </c>
      <c r="H77" s="133">
        <v>32.130000000000003</v>
      </c>
      <c r="I77" s="133">
        <v>4.0999999999999996</v>
      </c>
      <c r="J77" s="133">
        <v>0.12</v>
      </c>
      <c r="K77" s="133">
        <v>87.43</v>
      </c>
      <c r="L77" s="133">
        <v>26.87</v>
      </c>
      <c r="M77" s="133">
        <v>53.78</v>
      </c>
      <c r="N77" s="133">
        <v>0.3</v>
      </c>
      <c r="O77" s="133">
        <v>0</v>
      </c>
      <c r="P77" s="133">
        <v>0.5</v>
      </c>
      <c r="Q77" s="133">
        <v>4.2699999999999996</v>
      </c>
    </row>
    <row r="78" spans="1:17" customFormat="1">
      <c r="A78" s="111" t="s">
        <v>3091</v>
      </c>
      <c r="B78" s="133">
        <v>4.55</v>
      </c>
      <c r="C78" s="133">
        <v>20.76</v>
      </c>
      <c r="D78" s="133">
        <v>15.85</v>
      </c>
      <c r="E78" s="133">
        <v>5.26</v>
      </c>
      <c r="F78" s="133">
        <v>3.89</v>
      </c>
      <c r="G78" s="133">
        <v>71.900000000000006</v>
      </c>
      <c r="H78" s="133">
        <v>32.130000000000003</v>
      </c>
      <c r="I78" s="133">
        <v>4.1500000000000004</v>
      </c>
      <c r="J78" s="133">
        <v>0.1</v>
      </c>
      <c r="K78" s="133">
        <v>142.6</v>
      </c>
      <c r="L78" s="133">
        <v>25.89</v>
      </c>
      <c r="M78" s="133">
        <v>58.69</v>
      </c>
      <c r="N78" s="133">
        <v>0</v>
      </c>
      <c r="O78" s="133">
        <v>0</v>
      </c>
      <c r="P78" s="133">
        <v>0.51</v>
      </c>
      <c r="Q78" s="133">
        <v>4.28</v>
      </c>
    </row>
    <row r="79" spans="1:17" customFormat="1">
      <c r="A79" s="111" t="s">
        <v>3092</v>
      </c>
      <c r="B79" s="133">
        <v>4.8099999999999996</v>
      </c>
      <c r="C79" s="133">
        <v>22.64</v>
      </c>
      <c r="D79" s="133">
        <v>17.04</v>
      </c>
      <c r="E79" s="133">
        <v>5.4</v>
      </c>
      <c r="F79" s="133">
        <v>2.89</v>
      </c>
      <c r="G79" s="133">
        <v>72.72</v>
      </c>
      <c r="H79" s="133">
        <v>32.11</v>
      </c>
      <c r="I79" s="133">
        <v>4.21</v>
      </c>
      <c r="J79" s="133">
        <v>0.14000000000000001</v>
      </c>
      <c r="K79" s="133">
        <v>128.24</v>
      </c>
      <c r="L79" s="133">
        <v>25.41</v>
      </c>
      <c r="M79" s="133">
        <v>61.5</v>
      </c>
      <c r="N79" s="133">
        <v>0</v>
      </c>
      <c r="O79" s="133">
        <v>0</v>
      </c>
      <c r="P79" s="133">
        <v>0.54</v>
      </c>
      <c r="Q79" s="133">
        <v>4.3099999999999996</v>
      </c>
    </row>
    <row r="80" spans="1:17" customFormat="1">
      <c r="A80" s="111" t="s">
        <v>3093</v>
      </c>
      <c r="B80" s="133">
        <v>5.32</v>
      </c>
      <c r="C80" s="133">
        <v>22.08</v>
      </c>
      <c r="D80" s="133">
        <v>17.16</v>
      </c>
      <c r="E80" s="133">
        <v>5.23</v>
      </c>
      <c r="F80" s="133">
        <v>2.82</v>
      </c>
      <c r="G80" s="133">
        <v>86.64</v>
      </c>
      <c r="H80" s="133">
        <v>31.72</v>
      </c>
      <c r="I80" s="133">
        <v>4.28</v>
      </c>
      <c r="J80" s="133">
        <v>0.2</v>
      </c>
      <c r="K80" s="133">
        <v>169.03</v>
      </c>
      <c r="L80" s="133">
        <v>25.17</v>
      </c>
      <c r="M80" s="133">
        <v>63.28</v>
      </c>
      <c r="N80" s="133">
        <v>0</v>
      </c>
      <c r="O80" s="133">
        <v>0</v>
      </c>
      <c r="P80" s="133">
        <v>0.54</v>
      </c>
      <c r="Q80" s="133">
        <v>4.3600000000000003</v>
      </c>
    </row>
    <row r="81" spans="1:17" customFormat="1">
      <c r="A81" s="111" t="s">
        <v>3094</v>
      </c>
      <c r="B81" s="133">
        <v>5.64</v>
      </c>
      <c r="C81" s="133">
        <v>21.77</v>
      </c>
      <c r="D81" s="133">
        <v>17.25</v>
      </c>
      <c r="E81" s="133">
        <v>5.08</v>
      </c>
      <c r="F81" s="133">
        <v>2.82</v>
      </c>
      <c r="G81" s="133">
        <v>86.64</v>
      </c>
      <c r="H81" s="133">
        <v>31.72</v>
      </c>
      <c r="I81" s="133">
        <v>4.37</v>
      </c>
      <c r="J81" s="133">
        <v>0.26</v>
      </c>
      <c r="K81" s="133">
        <v>171.9</v>
      </c>
      <c r="L81" s="133">
        <v>24.75</v>
      </c>
      <c r="M81" s="133">
        <v>68.010000000000005</v>
      </c>
      <c r="N81" s="133">
        <v>0</v>
      </c>
      <c r="O81" s="133">
        <v>0</v>
      </c>
      <c r="P81" s="133">
        <v>0.55000000000000004</v>
      </c>
      <c r="Q81" s="133">
        <v>4.3600000000000003</v>
      </c>
    </row>
    <row r="82" spans="1:17" customFormat="1">
      <c r="A82" s="111" t="s">
        <v>3095</v>
      </c>
      <c r="B82" s="133">
        <v>6.12</v>
      </c>
      <c r="C82" s="133">
        <v>23.46</v>
      </c>
      <c r="D82" s="133">
        <v>18.510000000000002</v>
      </c>
      <c r="E82" s="133">
        <v>5.92</v>
      </c>
      <c r="F82" s="133">
        <v>2.57</v>
      </c>
      <c r="G82" s="133">
        <v>86.64</v>
      </c>
      <c r="H82" s="133">
        <v>31.72</v>
      </c>
      <c r="I82" s="133">
        <v>4.4800000000000004</v>
      </c>
      <c r="J82" s="133">
        <v>0.21</v>
      </c>
      <c r="K82" s="133">
        <v>173.09</v>
      </c>
      <c r="L82" s="133">
        <v>24.15</v>
      </c>
      <c r="M82" s="133">
        <v>77.09</v>
      </c>
      <c r="N82" s="133">
        <v>0</v>
      </c>
      <c r="O82" s="133">
        <v>0</v>
      </c>
      <c r="P82" s="133">
        <v>0.6</v>
      </c>
      <c r="Q82" s="133">
        <v>4.37</v>
      </c>
    </row>
    <row r="83" spans="1:17" customFormat="1">
      <c r="A83" s="111" t="s">
        <v>3096</v>
      </c>
      <c r="B83" s="133">
        <v>6.43</v>
      </c>
      <c r="C83" s="133">
        <v>22.99</v>
      </c>
      <c r="D83" s="133">
        <v>18.52</v>
      </c>
      <c r="E83" s="133">
        <v>5.87</v>
      </c>
      <c r="F83" s="133">
        <v>2.77</v>
      </c>
      <c r="G83" s="133">
        <v>87.51</v>
      </c>
      <c r="H83" s="133">
        <v>31.97</v>
      </c>
      <c r="I83" s="133">
        <v>4.6100000000000003</v>
      </c>
      <c r="J83" s="133">
        <v>0.2</v>
      </c>
      <c r="K83" s="133">
        <v>171.35</v>
      </c>
      <c r="L83" s="133">
        <v>23.77</v>
      </c>
      <c r="M83" s="133">
        <v>79.05</v>
      </c>
      <c r="N83" s="133">
        <v>0</v>
      </c>
      <c r="O83" s="133">
        <v>0</v>
      </c>
      <c r="P83" s="133">
        <v>0.61</v>
      </c>
      <c r="Q83" s="133">
        <v>4.4000000000000004</v>
      </c>
    </row>
    <row r="84" spans="1:17" customFormat="1">
      <c r="A84" s="111" t="s">
        <v>3097</v>
      </c>
      <c r="B84" s="133">
        <v>6.84</v>
      </c>
      <c r="C84" s="133">
        <v>22.96</v>
      </c>
      <c r="D84" s="133">
        <v>18.84</v>
      </c>
      <c r="E84" s="133">
        <v>6.1</v>
      </c>
      <c r="F84" s="133">
        <v>2.72</v>
      </c>
      <c r="G84" s="133">
        <v>102.22</v>
      </c>
      <c r="H84" s="133">
        <v>35.83</v>
      </c>
      <c r="I84" s="133">
        <v>4.8</v>
      </c>
      <c r="J84" s="133">
        <v>0.18</v>
      </c>
      <c r="K84" s="133">
        <v>174.66</v>
      </c>
      <c r="L84" s="133">
        <v>23.43</v>
      </c>
      <c r="M84" s="133">
        <v>79.78</v>
      </c>
      <c r="N84" s="133">
        <v>0</v>
      </c>
      <c r="O84" s="133">
        <v>0</v>
      </c>
      <c r="P84" s="133">
        <v>0.62</v>
      </c>
      <c r="Q84" s="133">
        <v>4.42</v>
      </c>
    </row>
    <row r="85" spans="1:17" customFormat="1">
      <c r="A85" s="111" t="s">
        <v>3098</v>
      </c>
      <c r="B85" s="133">
        <v>7.42</v>
      </c>
      <c r="C85" s="133">
        <v>24.39</v>
      </c>
      <c r="D85" s="133">
        <v>20.04</v>
      </c>
      <c r="E85" s="133">
        <v>6.06</v>
      </c>
      <c r="F85" s="133">
        <v>2.57</v>
      </c>
      <c r="G85" s="133">
        <v>102.22</v>
      </c>
      <c r="H85" s="133">
        <v>35.83</v>
      </c>
      <c r="I85" s="133">
        <v>5</v>
      </c>
      <c r="J85" s="133">
        <v>0.18</v>
      </c>
      <c r="K85" s="133">
        <v>180.07</v>
      </c>
      <c r="L85" s="133">
        <v>23.15</v>
      </c>
      <c r="M85" s="133">
        <v>82.04</v>
      </c>
      <c r="N85" s="133">
        <v>0</v>
      </c>
      <c r="O85" s="133">
        <v>0</v>
      </c>
      <c r="P85" s="133">
        <v>0.66</v>
      </c>
      <c r="Q85" s="133">
        <v>4.46</v>
      </c>
    </row>
    <row r="86" spans="1:17" customFormat="1">
      <c r="A86" s="111" t="s">
        <v>3099</v>
      </c>
      <c r="B86" s="133">
        <v>7.9</v>
      </c>
      <c r="C86" s="133">
        <v>23.27</v>
      </c>
      <c r="D86" s="133">
        <v>19.84</v>
      </c>
      <c r="E86" s="133">
        <v>6.12</v>
      </c>
      <c r="F86" s="133">
        <v>2.85</v>
      </c>
      <c r="G86" s="133">
        <v>102.22</v>
      </c>
      <c r="H86" s="133">
        <v>35.83</v>
      </c>
      <c r="I86" s="133">
        <v>5.16</v>
      </c>
      <c r="J86" s="133">
        <v>0.14000000000000001</v>
      </c>
      <c r="K86" s="133">
        <v>181.85</v>
      </c>
      <c r="L86" s="133">
        <v>22.81</v>
      </c>
      <c r="M86" s="133">
        <v>83.9</v>
      </c>
      <c r="N86" s="133">
        <v>0</v>
      </c>
      <c r="O86" s="133">
        <v>0</v>
      </c>
      <c r="P86" s="133">
        <v>0.69</v>
      </c>
      <c r="Q86" s="133">
        <v>4.49</v>
      </c>
    </row>
    <row r="87" spans="1:17" customFormat="1">
      <c r="A87" s="111" t="s">
        <v>3100</v>
      </c>
      <c r="B87" s="133">
        <v>7.97</v>
      </c>
      <c r="C87" s="133">
        <v>23.14</v>
      </c>
      <c r="D87" s="133">
        <v>19.829999999999998</v>
      </c>
      <c r="E87" s="133">
        <v>6.78</v>
      </c>
      <c r="F87" s="133">
        <v>3.01</v>
      </c>
      <c r="G87" s="133">
        <v>101.75</v>
      </c>
      <c r="H87" s="133">
        <v>35.950000000000003</v>
      </c>
      <c r="I87" s="133">
        <v>5.33</v>
      </c>
      <c r="J87" s="133">
        <v>0.14000000000000001</v>
      </c>
      <c r="K87" s="133">
        <v>179.96</v>
      </c>
      <c r="L87" s="133">
        <v>22.69</v>
      </c>
      <c r="M87" s="133">
        <v>83.46</v>
      </c>
      <c r="N87" s="133">
        <v>0</v>
      </c>
      <c r="O87" s="133">
        <v>0</v>
      </c>
      <c r="P87" s="133">
        <v>0.73</v>
      </c>
      <c r="Q87" s="133">
        <v>4.5</v>
      </c>
    </row>
    <row r="88" spans="1:17" customFormat="1">
      <c r="A88" s="111" t="s">
        <v>3101</v>
      </c>
      <c r="B88" s="133">
        <v>8.35</v>
      </c>
      <c r="C88" s="133">
        <v>24.06</v>
      </c>
      <c r="D88" s="133">
        <v>20.62</v>
      </c>
      <c r="E88" s="133">
        <v>7.08</v>
      </c>
      <c r="F88" s="133">
        <v>2.88</v>
      </c>
      <c r="G88" s="133">
        <v>93.74</v>
      </c>
      <c r="H88" s="133">
        <v>38.25</v>
      </c>
      <c r="I88" s="133">
        <v>5.59</v>
      </c>
      <c r="J88" s="133">
        <v>0.12</v>
      </c>
      <c r="K88" s="133">
        <v>140.47</v>
      </c>
      <c r="L88" s="133">
        <v>22.65</v>
      </c>
      <c r="M88" s="133">
        <v>80.510000000000005</v>
      </c>
      <c r="N88" s="133">
        <v>0</v>
      </c>
      <c r="O88" s="133">
        <v>0</v>
      </c>
      <c r="P88" s="133">
        <v>0.78</v>
      </c>
      <c r="Q88" s="133">
        <v>4.53</v>
      </c>
    </row>
    <row r="89" spans="1:17" customFormat="1">
      <c r="A89" s="111" t="s">
        <v>3102</v>
      </c>
      <c r="B89" s="133">
        <v>9.85</v>
      </c>
      <c r="C89" s="133">
        <v>25.62</v>
      </c>
      <c r="D89" s="133">
        <v>22.64</v>
      </c>
      <c r="E89" s="133">
        <v>7.54</v>
      </c>
      <c r="F89" s="133">
        <v>2.68</v>
      </c>
      <c r="G89" s="133">
        <v>93.74</v>
      </c>
      <c r="H89" s="133">
        <v>38.25</v>
      </c>
      <c r="I89" s="133">
        <v>6.12</v>
      </c>
      <c r="J89" s="133">
        <v>0.16</v>
      </c>
      <c r="K89" s="133">
        <v>152.25</v>
      </c>
      <c r="L89" s="133">
        <v>22.85</v>
      </c>
      <c r="M89" s="133">
        <v>78.58</v>
      </c>
      <c r="N89" s="133">
        <v>0</v>
      </c>
      <c r="O89" s="133">
        <v>0</v>
      </c>
      <c r="P89" s="133">
        <v>0.83</v>
      </c>
      <c r="Q89" s="133">
        <v>4.59</v>
      </c>
    </row>
    <row r="90" spans="1:17" customFormat="1">
      <c r="A90" s="111" t="s">
        <v>3103</v>
      </c>
      <c r="B90" s="133">
        <v>11.02</v>
      </c>
      <c r="C90" s="133">
        <v>26.82</v>
      </c>
      <c r="D90" s="133">
        <v>24.2</v>
      </c>
      <c r="E90" s="133">
        <v>7.31</v>
      </c>
      <c r="F90" s="133">
        <v>2.82</v>
      </c>
      <c r="G90" s="133">
        <v>93.74</v>
      </c>
      <c r="H90" s="133">
        <v>38.25</v>
      </c>
      <c r="I90" s="133">
        <v>6.51</v>
      </c>
      <c r="J90" s="133">
        <v>0.17</v>
      </c>
      <c r="K90" s="133">
        <v>167.42</v>
      </c>
      <c r="L90" s="133">
        <v>22.62</v>
      </c>
      <c r="M90" s="133">
        <v>81.44</v>
      </c>
      <c r="N90" s="133">
        <v>0</v>
      </c>
      <c r="O90" s="133">
        <v>0</v>
      </c>
      <c r="P90" s="133">
        <v>0.86</v>
      </c>
      <c r="Q90" s="133">
        <v>4.68</v>
      </c>
    </row>
    <row r="91" spans="1:17" customFormat="1">
      <c r="A91" s="111" t="s">
        <v>3104</v>
      </c>
      <c r="B91" s="133">
        <v>11.47</v>
      </c>
      <c r="C91" s="133">
        <v>27.26</v>
      </c>
      <c r="D91" s="133">
        <v>24.79</v>
      </c>
      <c r="E91" s="133">
        <v>7.4</v>
      </c>
      <c r="F91" s="133">
        <v>2.94</v>
      </c>
      <c r="G91" s="133">
        <v>94.44</v>
      </c>
      <c r="H91" s="133">
        <v>38.51</v>
      </c>
      <c r="I91" s="133">
        <v>6.88</v>
      </c>
      <c r="J91" s="133">
        <v>0.19</v>
      </c>
      <c r="K91" s="133">
        <v>228.6</v>
      </c>
      <c r="L91" s="133">
        <v>22.24</v>
      </c>
      <c r="M91" s="133">
        <v>85.93</v>
      </c>
      <c r="N91" s="133">
        <v>0</v>
      </c>
      <c r="O91" s="133">
        <v>0</v>
      </c>
      <c r="P91" s="133">
        <v>0.88</v>
      </c>
      <c r="Q91" s="133">
        <v>4.7</v>
      </c>
    </row>
    <row r="92" spans="1:17" customFormat="1">
      <c r="A92" s="111" t="s">
        <v>3105</v>
      </c>
      <c r="B92" s="133">
        <v>11.6</v>
      </c>
      <c r="C92" s="133">
        <v>27.36</v>
      </c>
      <c r="D92" s="133">
        <v>24.94</v>
      </c>
      <c r="E92" s="133">
        <v>7.96</v>
      </c>
      <c r="F92" s="133">
        <v>2.69</v>
      </c>
      <c r="G92" s="133">
        <v>106.34</v>
      </c>
      <c r="H92" s="133">
        <v>42.46</v>
      </c>
      <c r="I92" s="133">
        <v>7.16</v>
      </c>
      <c r="J92" s="133">
        <v>0.12</v>
      </c>
      <c r="K92" s="133">
        <v>183.18</v>
      </c>
      <c r="L92" s="133">
        <v>21.82</v>
      </c>
      <c r="M92" s="133">
        <v>86.63</v>
      </c>
      <c r="N92" s="133">
        <v>0</v>
      </c>
      <c r="O92" s="133">
        <v>0</v>
      </c>
      <c r="P92" s="133">
        <v>0.91</v>
      </c>
      <c r="Q92" s="133">
        <v>4.72</v>
      </c>
    </row>
    <row r="93" spans="1:17" customFormat="1">
      <c r="A93" s="111" t="s">
        <v>3106</v>
      </c>
      <c r="B93" s="133">
        <v>11.72</v>
      </c>
      <c r="C93" s="133">
        <v>27.19</v>
      </c>
      <c r="D93" s="133">
        <v>24.96</v>
      </c>
      <c r="E93" s="133">
        <v>8.48</v>
      </c>
      <c r="F93" s="133">
        <v>2.61</v>
      </c>
      <c r="G93" s="133">
        <v>106.34</v>
      </c>
      <c r="H93" s="133">
        <v>42.46</v>
      </c>
      <c r="I93" s="133">
        <v>7.45</v>
      </c>
      <c r="J93" s="133">
        <v>0.12</v>
      </c>
      <c r="K93" s="133">
        <v>181</v>
      </c>
      <c r="L93" s="133">
        <v>21.71</v>
      </c>
      <c r="M93" s="133">
        <v>87.48</v>
      </c>
      <c r="N93" s="133">
        <v>0</v>
      </c>
      <c r="O93" s="133">
        <v>0</v>
      </c>
      <c r="P93" s="133">
        <v>0.92</v>
      </c>
      <c r="Q93" s="133">
        <v>4.74</v>
      </c>
    </row>
    <row r="94" spans="1:17" customFormat="1">
      <c r="A94" s="111" t="s">
        <v>3107</v>
      </c>
      <c r="B94" s="133">
        <v>12.49</v>
      </c>
      <c r="C94" s="133">
        <v>27.64</v>
      </c>
      <c r="D94" s="133">
        <v>25.81</v>
      </c>
      <c r="E94" s="133">
        <v>8.23</v>
      </c>
      <c r="F94" s="133">
        <v>2.59</v>
      </c>
      <c r="G94" s="133">
        <v>106.34</v>
      </c>
      <c r="H94" s="133">
        <v>42.46</v>
      </c>
      <c r="I94" s="133">
        <v>7.83</v>
      </c>
      <c r="J94" s="133">
        <v>0.12</v>
      </c>
      <c r="K94" s="133">
        <v>181.84</v>
      </c>
      <c r="L94" s="133">
        <v>21.73</v>
      </c>
      <c r="M94" s="133">
        <v>83.61</v>
      </c>
      <c r="N94" s="133">
        <v>0</v>
      </c>
      <c r="O94" s="133">
        <v>0</v>
      </c>
      <c r="P94" s="133">
        <v>0.96</v>
      </c>
      <c r="Q94" s="133">
        <v>4.76</v>
      </c>
    </row>
    <row r="95" spans="1:17" customFormat="1">
      <c r="A95" s="111" t="s">
        <v>3108</v>
      </c>
      <c r="B95" s="133">
        <v>14.37</v>
      </c>
      <c r="C95" s="133">
        <v>28.4</v>
      </c>
      <c r="D95" s="133">
        <v>27.71</v>
      </c>
      <c r="E95" s="133">
        <v>8.41</v>
      </c>
      <c r="F95" s="133">
        <v>2.61</v>
      </c>
      <c r="G95" s="133">
        <v>106.52</v>
      </c>
      <c r="H95" s="133">
        <v>42.54</v>
      </c>
      <c r="I95" s="133">
        <v>8.26</v>
      </c>
      <c r="J95" s="133">
        <v>0.15</v>
      </c>
      <c r="K95" s="133">
        <v>182.22</v>
      </c>
      <c r="L95" s="133">
        <v>21.63</v>
      </c>
      <c r="M95" s="133">
        <v>85.05</v>
      </c>
      <c r="N95" s="133">
        <v>0</v>
      </c>
      <c r="O95" s="133">
        <v>0</v>
      </c>
      <c r="P95" s="133">
        <v>0.99</v>
      </c>
      <c r="Q95" s="133">
        <v>4.84</v>
      </c>
    </row>
    <row r="96" spans="1:17" customFormat="1">
      <c r="A96" s="111" t="s">
        <v>3109</v>
      </c>
      <c r="B96" s="133">
        <v>15.39</v>
      </c>
      <c r="C96" s="133">
        <v>28.68</v>
      </c>
      <c r="D96" s="133">
        <v>28.68</v>
      </c>
      <c r="E96" s="133">
        <v>8.66</v>
      </c>
      <c r="F96" s="133">
        <v>2.52</v>
      </c>
      <c r="G96" s="133">
        <v>109.64</v>
      </c>
      <c r="H96" s="133">
        <v>43.78</v>
      </c>
      <c r="I96" s="133">
        <v>8.61</v>
      </c>
      <c r="J96" s="133">
        <v>0.14000000000000001</v>
      </c>
      <c r="K96" s="133">
        <v>188.28</v>
      </c>
      <c r="L96" s="133">
        <v>21.39</v>
      </c>
      <c r="M96" s="133">
        <v>89.78</v>
      </c>
      <c r="N96" s="133">
        <v>0</v>
      </c>
      <c r="O96" s="133">
        <v>0</v>
      </c>
      <c r="P96" s="133">
        <v>1</v>
      </c>
      <c r="Q96" s="133">
        <v>4.9000000000000004</v>
      </c>
    </row>
    <row r="97" spans="1:22" customFormat="1">
      <c r="A97" s="111" t="s">
        <v>3110</v>
      </c>
      <c r="B97" s="133">
        <v>15.4</v>
      </c>
      <c r="C97" s="133">
        <v>28.46</v>
      </c>
      <c r="D97" s="133">
        <v>28.57</v>
      </c>
      <c r="E97" s="133">
        <v>8.7100000000000009</v>
      </c>
      <c r="F97" s="133">
        <v>2.54</v>
      </c>
      <c r="G97" s="133">
        <v>109.64</v>
      </c>
      <c r="H97" s="133">
        <v>43.78</v>
      </c>
      <c r="I97" s="133">
        <v>8.8800000000000008</v>
      </c>
      <c r="J97" s="133">
        <v>0.18</v>
      </c>
      <c r="K97" s="133">
        <v>229.32</v>
      </c>
      <c r="L97" s="133">
        <v>21.11</v>
      </c>
      <c r="M97" s="133">
        <v>88.22</v>
      </c>
      <c r="N97" s="133">
        <v>0</v>
      </c>
      <c r="O97" s="133">
        <v>0</v>
      </c>
      <c r="P97" s="133">
        <v>1.01</v>
      </c>
      <c r="Q97" s="133">
        <v>4.92</v>
      </c>
    </row>
    <row r="98" spans="1:22" customFormat="1">
      <c r="A98" s="111" t="s">
        <v>3111</v>
      </c>
      <c r="B98" s="133">
        <v>15.13</v>
      </c>
      <c r="C98" s="133">
        <v>28.34</v>
      </c>
      <c r="D98" s="133">
        <v>28.29</v>
      </c>
      <c r="E98" s="133">
        <v>8.9700000000000006</v>
      </c>
      <c r="F98" s="133">
        <v>2.62</v>
      </c>
      <c r="G98" s="133">
        <v>109.64</v>
      </c>
      <c r="H98" s="133">
        <v>43.78</v>
      </c>
      <c r="I98" s="133">
        <v>9.1</v>
      </c>
      <c r="J98" s="133">
        <v>0.14000000000000001</v>
      </c>
      <c r="K98" s="133">
        <v>227.27</v>
      </c>
      <c r="L98" s="133">
        <v>20.9</v>
      </c>
      <c r="M98" s="133">
        <v>86.45</v>
      </c>
      <c r="N98" s="133">
        <v>0</v>
      </c>
      <c r="O98" s="133">
        <v>0</v>
      </c>
      <c r="P98" s="133">
        <v>1.02</v>
      </c>
      <c r="Q98" s="133">
        <v>4.95</v>
      </c>
    </row>
    <row r="99" spans="1:22" customFormat="1">
      <c r="A99" s="111" t="s">
        <v>3112</v>
      </c>
      <c r="B99" s="133">
        <v>14.84</v>
      </c>
      <c r="C99" s="133">
        <v>28.14</v>
      </c>
      <c r="D99" s="133">
        <v>27.95</v>
      </c>
      <c r="E99" s="133">
        <v>8.69</v>
      </c>
      <c r="F99" s="133">
        <v>2.5</v>
      </c>
      <c r="G99" s="133">
        <v>108.96</v>
      </c>
      <c r="H99" s="133">
        <v>43.69</v>
      </c>
      <c r="I99" s="133">
        <v>9.4</v>
      </c>
      <c r="J99" s="133">
        <v>0.12</v>
      </c>
      <c r="K99" s="133">
        <v>205.85</v>
      </c>
      <c r="L99" s="133">
        <v>20.8</v>
      </c>
      <c r="M99" s="133">
        <v>87.16</v>
      </c>
      <c r="N99" s="133">
        <v>0</v>
      </c>
      <c r="O99" s="133">
        <v>0</v>
      </c>
      <c r="P99" s="133">
        <v>1.01</v>
      </c>
      <c r="Q99" s="133">
        <v>4.9400000000000004</v>
      </c>
    </row>
    <row r="100" spans="1:22" customFormat="1">
      <c r="A100" s="111" t="s">
        <v>3113</v>
      </c>
      <c r="B100" s="133">
        <v>14.66</v>
      </c>
      <c r="C100" s="133">
        <v>28.03</v>
      </c>
      <c r="D100" s="133">
        <v>27.76</v>
      </c>
      <c r="E100" s="133">
        <v>8.6</v>
      </c>
      <c r="F100" s="133">
        <v>2.4</v>
      </c>
      <c r="G100" s="133">
        <v>97.42</v>
      </c>
      <c r="H100" s="133">
        <v>42.22</v>
      </c>
      <c r="I100" s="133">
        <v>9.58</v>
      </c>
      <c r="J100" s="133">
        <v>0.12</v>
      </c>
      <c r="K100" s="133">
        <v>211.21</v>
      </c>
      <c r="L100" s="133">
        <v>20.78</v>
      </c>
      <c r="M100" s="133">
        <v>90.35</v>
      </c>
      <c r="N100" s="133">
        <v>0</v>
      </c>
      <c r="O100" s="133">
        <v>0</v>
      </c>
      <c r="P100" s="133">
        <v>1.01</v>
      </c>
      <c r="Q100" s="133">
        <v>4.92</v>
      </c>
    </row>
    <row r="101" spans="1:22" customFormat="1">
      <c r="A101" s="111" t="s">
        <v>3114</v>
      </c>
      <c r="B101" s="133">
        <v>14.55</v>
      </c>
      <c r="C101" s="133">
        <v>27.55</v>
      </c>
      <c r="D101" s="133">
        <v>27.42</v>
      </c>
      <c r="E101" s="133">
        <v>7.9</v>
      </c>
      <c r="F101" s="133">
        <v>2.5</v>
      </c>
      <c r="G101" s="133">
        <v>97.42</v>
      </c>
      <c r="H101" s="133">
        <v>42.22</v>
      </c>
      <c r="I101" s="133">
        <v>9.6999999999999993</v>
      </c>
      <c r="J101" s="133">
        <v>0.11</v>
      </c>
      <c r="K101" s="133">
        <v>197.47</v>
      </c>
      <c r="L101" s="133">
        <v>20.63</v>
      </c>
      <c r="M101" s="133">
        <v>90.62</v>
      </c>
      <c r="N101" s="133">
        <v>0</v>
      </c>
      <c r="O101" s="133">
        <v>0</v>
      </c>
      <c r="P101" s="133">
        <v>1.01</v>
      </c>
      <c r="Q101" s="133">
        <v>4.92</v>
      </c>
    </row>
    <row r="102" spans="1:22" customFormat="1">
      <c r="A102" s="111" t="s">
        <v>3115</v>
      </c>
      <c r="B102" s="133">
        <v>15.23</v>
      </c>
      <c r="C102" s="133">
        <v>27.64</v>
      </c>
      <c r="D102" s="133">
        <v>28.01</v>
      </c>
      <c r="E102" s="133">
        <v>8.82</v>
      </c>
      <c r="F102" s="133">
        <v>2.48</v>
      </c>
      <c r="G102" s="133">
        <v>97.42</v>
      </c>
      <c r="H102" s="133">
        <v>42.22</v>
      </c>
      <c r="I102" s="133">
        <v>9.83</v>
      </c>
      <c r="J102" s="133">
        <v>0.19</v>
      </c>
      <c r="K102" s="133">
        <v>234.5</v>
      </c>
      <c r="L102" s="133">
        <v>20.55</v>
      </c>
      <c r="M102" s="133">
        <v>88.9</v>
      </c>
      <c r="N102" s="133">
        <v>0</v>
      </c>
      <c r="O102" s="133">
        <v>0</v>
      </c>
      <c r="P102" s="133">
        <v>1.02</v>
      </c>
      <c r="Q102" s="133">
        <v>4.9400000000000004</v>
      </c>
    </row>
    <row r="103" spans="1:22" customFormat="1">
      <c r="A103" s="111" t="s">
        <v>3116</v>
      </c>
      <c r="B103" s="133">
        <v>15.76</v>
      </c>
      <c r="C103" s="133">
        <v>27.63</v>
      </c>
      <c r="D103" s="133">
        <v>28.43</v>
      </c>
      <c r="E103" s="133">
        <v>8.33</v>
      </c>
      <c r="F103" s="133">
        <v>2.63</v>
      </c>
      <c r="G103" s="133">
        <v>97.29</v>
      </c>
      <c r="H103" s="133">
        <v>42.28</v>
      </c>
      <c r="I103" s="133">
        <v>10.07</v>
      </c>
      <c r="J103" s="133">
        <v>0.13</v>
      </c>
      <c r="K103" s="133">
        <v>208.89</v>
      </c>
      <c r="L103" s="133">
        <v>20.32</v>
      </c>
      <c r="M103" s="133">
        <v>91.92</v>
      </c>
      <c r="N103" s="133">
        <v>0</v>
      </c>
      <c r="O103" s="133">
        <v>0</v>
      </c>
      <c r="P103" s="133">
        <v>1.01</v>
      </c>
      <c r="Q103" s="133">
        <v>4.96</v>
      </c>
    </row>
    <row r="104" spans="1:22" customFormat="1">
      <c r="A104" s="111" t="s">
        <v>3117</v>
      </c>
      <c r="B104" s="133">
        <v>15.75</v>
      </c>
      <c r="C104" s="133">
        <v>27.39</v>
      </c>
      <c r="D104" s="133">
        <v>28.3</v>
      </c>
      <c r="E104" s="133">
        <v>9.33</v>
      </c>
      <c r="F104" s="133">
        <v>2.5299999999999998</v>
      </c>
      <c r="G104" s="133">
        <v>95.13</v>
      </c>
      <c r="H104" s="133">
        <v>43.31</v>
      </c>
      <c r="I104" s="133">
        <v>10.24</v>
      </c>
      <c r="J104" s="133">
        <v>0.17</v>
      </c>
      <c r="K104" s="133">
        <v>191.6</v>
      </c>
      <c r="L104" s="133">
        <v>20.18</v>
      </c>
      <c r="M104" s="133">
        <v>92.8</v>
      </c>
      <c r="N104" s="133">
        <v>0</v>
      </c>
      <c r="O104" s="133">
        <v>0</v>
      </c>
      <c r="P104" s="133">
        <v>1.01</v>
      </c>
      <c r="Q104" s="133">
        <v>4.95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1.98</v>
      </c>
      <c r="C106" s="183">
        <f>MIN(C9:C104)</f>
        <v>19.649999999999999</v>
      </c>
      <c r="D106" s="183">
        <f t="shared" ref="D106:Q106" si="0">MIN(D9:D104)</f>
        <v>14.14</v>
      </c>
      <c r="E106" s="183">
        <f t="shared" si="0"/>
        <v>4.1900000000000004</v>
      </c>
      <c r="F106" s="183">
        <f t="shared" si="0"/>
        <v>2.39</v>
      </c>
      <c r="G106" s="183">
        <f t="shared" si="0"/>
        <v>64.3</v>
      </c>
      <c r="H106" s="183">
        <f t="shared" si="0"/>
        <v>28.42</v>
      </c>
      <c r="I106" s="183">
        <f t="shared" si="0"/>
        <v>3.6</v>
      </c>
      <c r="J106" s="183">
        <f t="shared" si="0"/>
        <v>0.02</v>
      </c>
      <c r="K106" s="183">
        <f t="shared" si="0"/>
        <v>35.19</v>
      </c>
      <c r="L106" s="183">
        <f t="shared" si="0"/>
        <v>18.25</v>
      </c>
      <c r="M106" s="183">
        <f t="shared" si="0"/>
        <v>37.94</v>
      </c>
      <c r="N106" s="183">
        <f t="shared" si="0"/>
        <v>0</v>
      </c>
      <c r="O106" s="183">
        <f t="shared" si="0"/>
        <v>0</v>
      </c>
      <c r="P106" s="183">
        <f t="shared" si="0"/>
        <v>0.49</v>
      </c>
      <c r="Q106" s="183">
        <f t="shared" si="0"/>
        <v>4.24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36.75</v>
      </c>
      <c r="C107" s="184">
        <f t="shared" ref="C107:Q107" si="1">MAX(C9:C104)</f>
        <v>29.7</v>
      </c>
      <c r="D107" s="184">
        <f t="shared" si="1"/>
        <v>45.23</v>
      </c>
      <c r="E107" s="184">
        <f t="shared" si="1"/>
        <v>17.829999999999998</v>
      </c>
      <c r="F107" s="184">
        <f t="shared" si="1"/>
        <v>21.6</v>
      </c>
      <c r="G107" s="184">
        <f t="shared" si="1"/>
        <v>109.64</v>
      </c>
      <c r="H107" s="184">
        <f t="shared" si="1"/>
        <v>49.73</v>
      </c>
      <c r="I107" s="184">
        <f t="shared" si="1"/>
        <v>10.24</v>
      </c>
      <c r="J107" s="184">
        <f t="shared" si="1"/>
        <v>0.66</v>
      </c>
      <c r="K107" s="184">
        <f t="shared" si="1"/>
        <v>266.85000000000002</v>
      </c>
      <c r="L107" s="184">
        <f t="shared" si="1"/>
        <v>30.93</v>
      </c>
      <c r="M107" s="184">
        <f t="shared" si="1"/>
        <v>97.91</v>
      </c>
      <c r="N107" s="184">
        <f t="shared" si="1"/>
        <v>543.5</v>
      </c>
      <c r="O107" s="184">
        <f t="shared" si="1"/>
        <v>0</v>
      </c>
      <c r="P107" s="184">
        <f t="shared" si="1"/>
        <v>1.07</v>
      </c>
      <c r="Q107" s="184">
        <f t="shared" si="1"/>
        <v>5.86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15.293645833333334</v>
      </c>
      <c r="C108" s="183">
        <f t="shared" ref="C108:Q108" si="2">AVERAGE(C9:C104)</f>
        <v>25.494166666666676</v>
      </c>
      <c r="D108" s="183">
        <f t="shared" si="2"/>
        <v>26.935833333333331</v>
      </c>
      <c r="E108" s="183">
        <f t="shared" si="2"/>
        <v>7.4041666666666677</v>
      </c>
      <c r="F108" s="183">
        <f t="shared" si="2"/>
        <v>4.9956249999999995</v>
      </c>
      <c r="G108" s="183">
        <f t="shared" si="2"/>
        <v>91.186354166666675</v>
      </c>
      <c r="H108" s="183">
        <f t="shared" si="2"/>
        <v>39.147395833333341</v>
      </c>
      <c r="I108" s="183">
        <f t="shared" si="2"/>
        <v>7.4047916666666707</v>
      </c>
      <c r="J108" s="183">
        <f t="shared" si="2"/>
        <v>0.19645833333333348</v>
      </c>
      <c r="K108" s="183">
        <f t="shared" si="2"/>
        <v>151.99020833333336</v>
      </c>
      <c r="L108" s="183">
        <f t="shared" si="2"/>
        <v>23.796250000000011</v>
      </c>
      <c r="M108" s="183">
        <f t="shared" si="2"/>
        <v>71.447708333333324</v>
      </c>
      <c r="N108" s="183">
        <f t="shared" si="2"/>
        <v>129.1010416666667</v>
      </c>
      <c r="O108" s="183">
        <f t="shared" si="2"/>
        <v>0</v>
      </c>
      <c r="P108" s="183">
        <f t="shared" si="2"/>
        <v>0.85302083333333334</v>
      </c>
      <c r="Q108" s="183">
        <f t="shared" si="2"/>
        <v>4.885937499999998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10.67477421132266</v>
      </c>
      <c r="C109" s="183">
        <f t="shared" ref="C109:Q109" si="3">STDEV(C9:C104)</f>
        <v>2.7111316987041953</v>
      </c>
      <c r="D109" s="183">
        <f t="shared" si="3"/>
        <v>9.5765536781703169</v>
      </c>
      <c r="E109" s="183">
        <f t="shared" si="3"/>
        <v>2.8646097067366423</v>
      </c>
      <c r="F109" s="183">
        <f t="shared" si="3"/>
        <v>4.5227173509785175</v>
      </c>
      <c r="G109" s="183">
        <f t="shared" si="3"/>
        <v>14.533806044767706</v>
      </c>
      <c r="H109" s="183">
        <f t="shared" si="3"/>
        <v>6.4201623597754818</v>
      </c>
      <c r="I109" s="183">
        <f t="shared" si="3"/>
        <v>2.3285111480657803</v>
      </c>
      <c r="J109" s="183">
        <f t="shared" si="3"/>
        <v>0.12833327637273717</v>
      </c>
      <c r="K109" s="183">
        <f t="shared" si="3"/>
        <v>62.575641216373874</v>
      </c>
      <c r="L109" s="183">
        <f t="shared" si="3"/>
        <v>4.4446183306626761</v>
      </c>
      <c r="M109" s="183">
        <f t="shared" si="3"/>
        <v>21.348542239357148</v>
      </c>
      <c r="N109" s="183">
        <f t="shared" si="3"/>
        <v>197.45889778557202</v>
      </c>
      <c r="O109" s="183">
        <f t="shared" si="3"/>
        <v>0</v>
      </c>
      <c r="P109" s="183">
        <f t="shared" si="3"/>
        <v>0.21128738120422799</v>
      </c>
      <c r="Q109" s="183">
        <f t="shared" si="3"/>
        <v>0.51599179537543638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9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2" t="s">
        <v>0</v>
      </c>
      <c r="B1" s="144" t="s">
        <v>1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>
      <c r="A2" s="152" t="s">
        <v>2</v>
      </c>
      <c r="B2" s="147" t="str">
        <f>$A$9</f>
        <v>31/10/2023 00:15</v>
      </c>
      <c r="C2" s="192" t="s">
        <v>3</v>
      </c>
      <c r="D2" s="192"/>
      <c r="E2" s="192"/>
      <c r="F2" s="192"/>
      <c r="G2" s="148" t="s">
        <v>4</v>
      </c>
      <c r="H2" s="149"/>
      <c r="I2" s="149"/>
      <c r="J2" s="48" t="s">
        <v>5</v>
      </c>
      <c r="K2" s="146"/>
      <c r="L2" s="164" t="s">
        <v>6</v>
      </c>
      <c r="M2" s="146"/>
      <c r="N2" s="179" t="s">
        <v>7</v>
      </c>
      <c r="O2" s="165"/>
      <c r="P2" s="171" t="s">
        <v>8</v>
      </c>
      <c r="Q2" s="165"/>
      <c r="S2"/>
      <c r="T2"/>
      <c r="U2"/>
    </row>
    <row r="3" spans="1:21">
      <c r="A3" s="152" t="s">
        <v>9</v>
      </c>
      <c r="B3" s="146" t="s">
        <v>10</v>
      </c>
      <c r="C3" s="192" t="s">
        <v>11</v>
      </c>
      <c r="D3" s="192"/>
      <c r="E3" s="192"/>
      <c r="F3" s="192"/>
      <c r="G3" s="150" t="s">
        <v>12</v>
      </c>
      <c r="H3" s="149"/>
      <c r="I3" s="149"/>
      <c r="J3" s="48" t="s">
        <v>13</v>
      </c>
      <c r="K3"/>
      <c r="L3" s="166" t="s">
        <v>14</v>
      </c>
      <c r="M3" s="146"/>
      <c r="N3" s="179" t="s">
        <v>15</v>
      </c>
      <c r="O3" s="146"/>
      <c r="P3" s="172" t="s">
        <v>15</v>
      </c>
      <c r="Q3" s="146"/>
      <c r="S3"/>
      <c r="T3"/>
      <c r="U3"/>
    </row>
    <row r="4" spans="1:21">
      <c r="A4" s="152" t="s">
        <v>16</v>
      </c>
      <c r="B4" s="146" t="s">
        <v>17</v>
      </c>
      <c r="C4" s="192" t="s">
        <v>18</v>
      </c>
      <c r="D4" s="192"/>
      <c r="E4" s="192"/>
      <c r="F4" s="192"/>
      <c r="G4" s="151" t="s">
        <v>19</v>
      </c>
      <c r="H4" s="149"/>
      <c r="I4" s="149"/>
      <c r="J4" s="48" t="s">
        <v>20</v>
      </c>
      <c r="K4" s="168"/>
      <c r="L4" s="169" t="s">
        <v>21</v>
      </c>
      <c r="M4" s="146"/>
      <c r="O4" s="146"/>
      <c r="P4" s="146"/>
      <c r="Q4" s="146"/>
      <c r="R4" s="146"/>
      <c r="S4"/>
      <c r="T4"/>
      <c r="U4"/>
    </row>
    <row r="5" spans="1:21">
      <c r="A5" s="152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>
      <c r="A6" s="152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>
      <c r="A7" s="152" t="s">
        <v>22</v>
      </c>
      <c r="B7" s="178" t="s">
        <v>23</v>
      </c>
      <c r="C7" s="178" t="s">
        <v>24</v>
      </c>
      <c r="D7" s="178" t="s">
        <v>25</v>
      </c>
      <c r="E7" s="178" t="s">
        <v>26</v>
      </c>
      <c r="F7" s="178" t="s">
        <v>27</v>
      </c>
      <c r="G7" s="178" t="s">
        <v>28</v>
      </c>
      <c r="H7" s="178" t="s">
        <v>29</v>
      </c>
      <c r="I7" s="178" t="s">
        <v>30</v>
      </c>
      <c r="J7" s="178" t="s">
        <v>31</v>
      </c>
      <c r="K7" s="178" t="s">
        <v>32</v>
      </c>
      <c r="L7" s="178" t="s">
        <v>33</v>
      </c>
      <c r="M7" s="178" t="s">
        <v>34</v>
      </c>
      <c r="N7" s="178" t="s">
        <v>35</v>
      </c>
      <c r="O7" s="178" t="s">
        <v>36</v>
      </c>
      <c r="P7" s="178" t="s">
        <v>37</v>
      </c>
      <c r="Q7" s="178" t="s">
        <v>38</v>
      </c>
      <c r="R7" s="173"/>
      <c r="S7" s="174"/>
      <c r="T7" s="173"/>
      <c r="U7" s="173"/>
    </row>
    <row r="8" spans="1:21">
      <c r="A8" s="152"/>
      <c r="B8" s="113" t="s">
        <v>39</v>
      </c>
      <c r="C8" s="113" t="s">
        <v>39</v>
      </c>
      <c r="D8" s="113" t="s">
        <v>40</v>
      </c>
      <c r="E8" s="113" t="s">
        <v>39</v>
      </c>
      <c r="F8" s="113" t="s">
        <v>39</v>
      </c>
      <c r="G8" s="113" t="s">
        <v>39</v>
      </c>
      <c r="H8" s="113" t="s">
        <v>39</v>
      </c>
      <c r="I8" s="113" t="s">
        <v>39</v>
      </c>
      <c r="J8" s="113" t="s">
        <v>41</v>
      </c>
      <c r="K8" s="113" t="s">
        <v>42</v>
      </c>
      <c r="L8" s="180" t="s">
        <v>43</v>
      </c>
      <c r="M8" s="113" t="s">
        <v>44</v>
      </c>
      <c r="N8" s="113" t="s">
        <v>45</v>
      </c>
      <c r="O8" s="180" t="s">
        <v>46</v>
      </c>
      <c r="P8" s="113" t="s">
        <v>47</v>
      </c>
      <c r="Q8" s="113" t="s">
        <v>39</v>
      </c>
      <c r="R8" s="173"/>
      <c r="S8" s="174"/>
      <c r="T8" s="173"/>
      <c r="U8" s="173"/>
    </row>
    <row r="9" spans="1:21" customFormat="1">
      <c r="A9" s="111" t="s">
        <v>3118</v>
      </c>
      <c r="B9" s="133">
        <v>14.6</v>
      </c>
      <c r="C9" s="133">
        <v>26.94</v>
      </c>
      <c r="D9" s="133">
        <v>27.13</v>
      </c>
      <c r="E9" s="133">
        <v>9.31</v>
      </c>
      <c r="F9" s="133">
        <v>2.38</v>
      </c>
      <c r="G9" s="133">
        <v>95.13</v>
      </c>
      <c r="H9" s="133">
        <v>43.31</v>
      </c>
      <c r="I9" s="133">
        <v>10.4</v>
      </c>
      <c r="J9" s="133">
        <v>0.14000000000000001</v>
      </c>
      <c r="K9" s="133">
        <v>209.79</v>
      </c>
      <c r="L9" s="133">
        <v>20.04</v>
      </c>
      <c r="M9" s="133">
        <v>90.3</v>
      </c>
      <c r="N9" s="133">
        <v>0</v>
      </c>
      <c r="O9" s="133">
        <v>0</v>
      </c>
      <c r="P9" s="133">
        <v>1.01</v>
      </c>
      <c r="Q9" s="133">
        <v>4.96</v>
      </c>
    </row>
    <row r="10" spans="1:21" customFormat="1">
      <c r="A10" s="111" t="s">
        <v>3119</v>
      </c>
      <c r="B10" s="133">
        <v>14.44</v>
      </c>
      <c r="C10" s="133">
        <v>26.62</v>
      </c>
      <c r="D10" s="133">
        <v>26.84</v>
      </c>
      <c r="E10" s="133">
        <v>9.77</v>
      </c>
      <c r="F10" s="133">
        <v>2.5</v>
      </c>
      <c r="G10" s="133">
        <v>95.13</v>
      </c>
      <c r="H10" s="133">
        <v>43.31</v>
      </c>
      <c r="I10" s="133">
        <v>10.64</v>
      </c>
      <c r="J10" s="133">
        <v>0.11</v>
      </c>
      <c r="K10" s="133">
        <v>215.53</v>
      </c>
      <c r="L10" s="133">
        <v>19.89</v>
      </c>
      <c r="M10" s="133">
        <v>90.65</v>
      </c>
      <c r="N10" s="133">
        <v>0</v>
      </c>
      <c r="O10" s="133">
        <v>0</v>
      </c>
      <c r="P10" s="133">
        <v>1.01</v>
      </c>
      <c r="Q10" s="133">
        <v>4.9800000000000004</v>
      </c>
    </row>
    <row r="11" spans="1:21" customFormat="1">
      <c r="A11" s="111" t="s">
        <v>3120</v>
      </c>
      <c r="B11" s="133">
        <v>14.17</v>
      </c>
      <c r="C11" s="133">
        <v>27.09</v>
      </c>
      <c r="D11" s="133">
        <v>26.87</v>
      </c>
      <c r="E11" s="133">
        <v>8.85</v>
      </c>
      <c r="F11" s="133">
        <v>2.52</v>
      </c>
      <c r="G11" s="133">
        <v>95.23</v>
      </c>
      <c r="H11" s="133">
        <v>43.39</v>
      </c>
      <c r="I11" s="133">
        <v>10.95</v>
      </c>
      <c r="J11" s="133">
        <v>0.11</v>
      </c>
      <c r="K11" s="133">
        <v>228.77</v>
      </c>
      <c r="L11" s="133">
        <v>19.86</v>
      </c>
      <c r="M11" s="133">
        <v>90.9</v>
      </c>
      <c r="N11" s="133">
        <v>0</v>
      </c>
      <c r="O11" s="133">
        <v>0</v>
      </c>
      <c r="P11" s="133">
        <v>1</v>
      </c>
      <c r="Q11" s="133">
        <v>4.9400000000000004</v>
      </c>
    </row>
    <row r="12" spans="1:21" customFormat="1">
      <c r="A12" s="111" t="s">
        <v>3121</v>
      </c>
      <c r="B12" s="133">
        <v>14.11</v>
      </c>
      <c r="C12" s="133">
        <v>25.12</v>
      </c>
      <c r="D12" s="133">
        <v>25.79</v>
      </c>
      <c r="E12" s="133">
        <v>8.6</v>
      </c>
      <c r="F12" s="133">
        <v>2.89</v>
      </c>
      <c r="G12" s="133">
        <v>96.93</v>
      </c>
      <c r="H12" s="133">
        <v>44.64</v>
      </c>
      <c r="I12" s="133">
        <v>11.26</v>
      </c>
      <c r="J12" s="133">
        <v>0.08</v>
      </c>
      <c r="K12" s="133">
        <v>218.66</v>
      </c>
      <c r="L12" s="133">
        <v>19.82</v>
      </c>
      <c r="M12" s="133">
        <v>90.15</v>
      </c>
      <c r="N12" s="133">
        <v>0</v>
      </c>
      <c r="O12" s="133">
        <v>0</v>
      </c>
      <c r="P12" s="133">
        <v>0.96</v>
      </c>
      <c r="Q12" s="133">
        <v>4.91</v>
      </c>
    </row>
    <row r="13" spans="1:21" customFormat="1">
      <c r="A13" s="111" t="s">
        <v>3122</v>
      </c>
      <c r="B13" s="133">
        <v>14.11</v>
      </c>
      <c r="C13" s="133">
        <v>22.94</v>
      </c>
      <c r="D13" s="133">
        <v>24.66</v>
      </c>
      <c r="E13" s="133">
        <v>7.59</v>
      </c>
      <c r="F13" s="133">
        <v>2.68</v>
      </c>
      <c r="G13" s="133">
        <v>96.93</v>
      </c>
      <c r="H13" s="133">
        <v>44.64</v>
      </c>
      <c r="I13" s="133">
        <v>11.47</v>
      </c>
      <c r="J13" s="133">
        <v>0.11</v>
      </c>
      <c r="K13" s="133">
        <v>236.35</v>
      </c>
      <c r="L13" s="133">
        <v>19.78</v>
      </c>
      <c r="M13" s="133">
        <v>92.01</v>
      </c>
      <c r="N13" s="133">
        <v>0</v>
      </c>
      <c r="O13" s="133">
        <v>0</v>
      </c>
      <c r="P13" s="133">
        <v>0.92</v>
      </c>
      <c r="Q13" s="133">
        <v>4.88</v>
      </c>
    </row>
    <row r="14" spans="1:21" customFormat="1">
      <c r="A14" s="111" t="s">
        <v>3123</v>
      </c>
      <c r="B14" s="133">
        <v>13.96</v>
      </c>
      <c r="C14" s="133">
        <v>23.75</v>
      </c>
      <c r="D14" s="133">
        <v>24.96</v>
      </c>
      <c r="E14" s="133">
        <v>7.42</v>
      </c>
      <c r="F14" s="133">
        <v>2.35</v>
      </c>
      <c r="G14" s="133">
        <v>96.93</v>
      </c>
      <c r="H14" s="133">
        <v>44.64</v>
      </c>
      <c r="I14" s="133">
        <v>11.47</v>
      </c>
      <c r="J14" s="133">
        <v>0.09</v>
      </c>
      <c r="K14" s="133">
        <v>246.68</v>
      </c>
      <c r="L14" s="133">
        <v>19.690000000000001</v>
      </c>
      <c r="M14" s="133">
        <v>94.45</v>
      </c>
      <c r="N14" s="133">
        <v>0</v>
      </c>
      <c r="O14" s="133">
        <v>0</v>
      </c>
      <c r="P14" s="133">
        <v>0.92</v>
      </c>
      <c r="Q14" s="133">
        <v>4.83</v>
      </c>
    </row>
    <row r="15" spans="1:21" customFormat="1">
      <c r="A15" s="111" t="s">
        <v>3124</v>
      </c>
      <c r="B15" s="133">
        <v>13.86</v>
      </c>
      <c r="C15" s="133">
        <v>23.36</v>
      </c>
      <c r="D15" s="133">
        <v>24.67</v>
      </c>
      <c r="E15" s="133">
        <v>7.69</v>
      </c>
      <c r="F15" s="133">
        <v>2.5</v>
      </c>
      <c r="G15" s="133">
        <v>97.71</v>
      </c>
      <c r="H15" s="133">
        <v>44.44</v>
      </c>
      <c r="I15" s="133">
        <v>11.42</v>
      </c>
      <c r="J15" s="133">
        <v>7.0000000000000007E-2</v>
      </c>
      <c r="K15" s="133">
        <v>195.42</v>
      </c>
      <c r="L15" s="133">
        <v>19.57</v>
      </c>
      <c r="M15" s="133">
        <v>93.23</v>
      </c>
      <c r="N15" s="133">
        <v>0</v>
      </c>
      <c r="O15" s="133">
        <v>0</v>
      </c>
      <c r="P15" s="133">
        <v>0.91</v>
      </c>
      <c r="Q15" s="133">
        <v>4.84</v>
      </c>
    </row>
    <row r="16" spans="1:21" customFormat="1">
      <c r="A16" s="111" t="s">
        <v>3125</v>
      </c>
      <c r="B16" s="133">
        <v>13.71</v>
      </c>
      <c r="C16" s="133">
        <v>21.67</v>
      </c>
      <c r="D16" s="133">
        <v>23.67</v>
      </c>
      <c r="E16" s="133">
        <v>7.47</v>
      </c>
      <c r="F16" s="133">
        <v>2.67</v>
      </c>
      <c r="G16" s="133">
        <v>114.45</v>
      </c>
      <c r="H16" s="133">
        <v>41.33</v>
      </c>
      <c r="I16" s="133">
        <v>11.43</v>
      </c>
      <c r="J16" s="133">
        <v>0.14000000000000001</v>
      </c>
      <c r="K16" s="133">
        <v>206.78</v>
      </c>
      <c r="L16" s="133">
        <v>19.5</v>
      </c>
      <c r="M16" s="133">
        <v>93.24</v>
      </c>
      <c r="N16" s="133">
        <v>0</v>
      </c>
      <c r="O16" s="133">
        <v>0</v>
      </c>
      <c r="P16" s="133">
        <v>0.87</v>
      </c>
      <c r="Q16" s="133">
        <v>4.83</v>
      </c>
    </row>
    <row r="17" spans="1:17" customFormat="1">
      <c r="A17" s="111" t="s">
        <v>3126</v>
      </c>
      <c r="B17" s="133">
        <v>13.45</v>
      </c>
      <c r="C17" s="133">
        <v>23.27</v>
      </c>
      <c r="D17" s="133">
        <v>24.3</v>
      </c>
      <c r="E17" s="133">
        <v>5.08</v>
      </c>
      <c r="F17" s="133">
        <v>2.27</v>
      </c>
      <c r="G17" s="133">
        <v>114.45</v>
      </c>
      <c r="H17" s="133">
        <v>41.33</v>
      </c>
      <c r="I17" s="133">
        <v>11.5</v>
      </c>
      <c r="J17" s="133">
        <v>0.09</v>
      </c>
      <c r="K17" s="133">
        <v>189.65</v>
      </c>
      <c r="L17" s="133">
        <v>19.32</v>
      </c>
      <c r="M17" s="133">
        <v>93.84</v>
      </c>
      <c r="N17" s="133">
        <v>0</v>
      </c>
      <c r="O17" s="133">
        <v>0</v>
      </c>
      <c r="P17" s="133">
        <v>0.88</v>
      </c>
      <c r="Q17" s="133">
        <v>4.79</v>
      </c>
    </row>
    <row r="18" spans="1:17" customFormat="1">
      <c r="A18" s="111" t="s">
        <v>3127</v>
      </c>
      <c r="B18" s="133">
        <v>13.42</v>
      </c>
      <c r="C18" s="133">
        <v>22.84</v>
      </c>
      <c r="D18" s="133">
        <v>24.04</v>
      </c>
      <c r="E18" s="133">
        <v>5.73</v>
      </c>
      <c r="F18" s="133">
        <v>2.44</v>
      </c>
      <c r="G18" s="133">
        <v>114.45</v>
      </c>
      <c r="H18" s="133">
        <v>41.33</v>
      </c>
      <c r="I18" s="133">
        <v>11.45</v>
      </c>
      <c r="J18" s="133">
        <v>0.05</v>
      </c>
      <c r="K18" s="133">
        <v>213.26</v>
      </c>
      <c r="L18" s="133">
        <v>19.18</v>
      </c>
      <c r="M18" s="133">
        <v>94.11</v>
      </c>
      <c r="N18" s="133">
        <v>0</v>
      </c>
      <c r="O18" s="133">
        <v>0</v>
      </c>
      <c r="P18" s="133">
        <v>0.87</v>
      </c>
      <c r="Q18" s="133">
        <v>4.8</v>
      </c>
    </row>
    <row r="19" spans="1:17" customFormat="1">
      <c r="A19" s="111" t="s">
        <v>3128</v>
      </c>
      <c r="B19" s="133">
        <v>13.24</v>
      </c>
      <c r="C19" s="133">
        <v>20.96</v>
      </c>
      <c r="D19" s="133">
        <v>22.92</v>
      </c>
      <c r="E19" s="133">
        <v>5.66</v>
      </c>
      <c r="F19" s="133">
        <v>2.81</v>
      </c>
      <c r="G19" s="133">
        <v>114.69</v>
      </c>
      <c r="H19" s="133">
        <v>41.41</v>
      </c>
      <c r="I19" s="133">
        <v>11.43</v>
      </c>
      <c r="J19" s="133">
        <v>0.06</v>
      </c>
      <c r="K19" s="133">
        <v>244.38</v>
      </c>
      <c r="L19" s="133">
        <v>19.11</v>
      </c>
      <c r="M19" s="133">
        <v>93.83</v>
      </c>
      <c r="N19" s="133">
        <v>0</v>
      </c>
      <c r="O19" s="133">
        <v>0</v>
      </c>
      <c r="P19" s="133">
        <v>0.85</v>
      </c>
      <c r="Q19" s="133">
        <v>4.78</v>
      </c>
    </row>
    <row r="20" spans="1:17" customFormat="1">
      <c r="A20" s="111" t="s">
        <v>3129</v>
      </c>
      <c r="B20" s="133">
        <v>12.95</v>
      </c>
      <c r="C20" s="133">
        <v>22.56</v>
      </c>
      <c r="D20" s="133">
        <v>23.52</v>
      </c>
      <c r="E20" s="133">
        <v>5.87</v>
      </c>
      <c r="F20" s="133">
        <v>2.39</v>
      </c>
      <c r="G20" s="133">
        <v>119.94</v>
      </c>
      <c r="H20" s="133">
        <v>42.7</v>
      </c>
      <c r="I20" s="133">
        <v>11.34</v>
      </c>
      <c r="J20" s="133">
        <v>0.02</v>
      </c>
      <c r="K20" s="133">
        <v>188.47</v>
      </c>
      <c r="L20" s="133">
        <v>19.170000000000002</v>
      </c>
      <c r="M20" s="133">
        <v>93.41</v>
      </c>
      <c r="N20" s="133">
        <v>0</v>
      </c>
      <c r="O20" s="133">
        <v>0</v>
      </c>
      <c r="P20" s="133">
        <v>0.85</v>
      </c>
      <c r="Q20" s="133">
        <v>4.76</v>
      </c>
    </row>
    <row r="21" spans="1:17" customFormat="1">
      <c r="A21" s="111" t="s">
        <v>3130</v>
      </c>
      <c r="B21" s="133">
        <v>12.73</v>
      </c>
      <c r="C21" s="133">
        <v>22.52</v>
      </c>
      <c r="D21" s="133">
        <v>23.33</v>
      </c>
      <c r="E21" s="133">
        <v>5.42</v>
      </c>
      <c r="F21" s="133">
        <v>2.57</v>
      </c>
      <c r="G21" s="133">
        <v>119.94</v>
      </c>
      <c r="H21" s="133">
        <v>42.7</v>
      </c>
      <c r="I21" s="133">
        <v>11.22</v>
      </c>
      <c r="J21" s="133">
        <v>0.18</v>
      </c>
      <c r="K21" s="133">
        <v>24.86</v>
      </c>
      <c r="L21" s="133">
        <v>19.14</v>
      </c>
      <c r="M21" s="133">
        <v>92.14</v>
      </c>
      <c r="N21" s="133">
        <v>0</v>
      </c>
      <c r="O21" s="133">
        <v>0</v>
      </c>
      <c r="P21" s="133">
        <v>0.84</v>
      </c>
      <c r="Q21" s="133">
        <v>4.75</v>
      </c>
    </row>
    <row r="22" spans="1:17" customFormat="1">
      <c r="A22" s="111" t="s">
        <v>3131</v>
      </c>
      <c r="B22" s="133">
        <v>12.73</v>
      </c>
      <c r="C22" s="133">
        <v>21.46</v>
      </c>
      <c r="D22" s="133">
        <v>22.77</v>
      </c>
      <c r="E22" s="133">
        <v>5.13</v>
      </c>
      <c r="F22" s="133">
        <v>2.73</v>
      </c>
      <c r="G22" s="133">
        <v>119.94</v>
      </c>
      <c r="H22" s="133">
        <v>42.7</v>
      </c>
      <c r="I22" s="133">
        <v>11.1</v>
      </c>
      <c r="J22" s="133">
        <v>0.27</v>
      </c>
      <c r="K22" s="133">
        <v>29.04</v>
      </c>
      <c r="L22" s="133">
        <v>19.309999999999999</v>
      </c>
      <c r="M22" s="133">
        <v>90.08</v>
      </c>
      <c r="N22" s="133">
        <v>0</v>
      </c>
      <c r="O22" s="133">
        <v>0</v>
      </c>
      <c r="P22" s="133">
        <v>0.81</v>
      </c>
      <c r="Q22" s="133">
        <v>4.7699999999999996</v>
      </c>
    </row>
    <row r="23" spans="1:17" customFormat="1">
      <c r="A23" s="111" t="s">
        <v>3132</v>
      </c>
      <c r="B23" s="133">
        <v>12.96</v>
      </c>
      <c r="C23" s="133">
        <v>22.67</v>
      </c>
      <c r="D23" s="133">
        <v>23.59</v>
      </c>
      <c r="E23" s="133">
        <v>4.87</v>
      </c>
      <c r="F23" s="133">
        <v>2.54</v>
      </c>
      <c r="G23" s="133">
        <v>119.15</v>
      </c>
      <c r="H23" s="133">
        <v>42.5</v>
      </c>
      <c r="I23" s="133">
        <v>10.89</v>
      </c>
      <c r="J23" s="133">
        <v>0.27</v>
      </c>
      <c r="K23" s="133">
        <v>37.82</v>
      </c>
      <c r="L23" s="133">
        <v>19.39</v>
      </c>
      <c r="M23" s="133">
        <v>89.29</v>
      </c>
      <c r="N23" s="133">
        <v>0</v>
      </c>
      <c r="O23" s="133">
        <v>0</v>
      </c>
      <c r="P23" s="133">
        <v>0.81</v>
      </c>
      <c r="Q23" s="133">
        <v>4.75</v>
      </c>
    </row>
    <row r="24" spans="1:17" customFormat="1">
      <c r="A24" s="111" t="s">
        <v>3133</v>
      </c>
      <c r="B24" s="133">
        <v>13.38</v>
      </c>
      <c r="C24" s="133">
        <v>22.14</v>
      </c>
      <c r="D24" s="133">
        <v>23.65</v>
      </c>
      <c r="E24" s="133">
        <v>4.59</v>
      </c>
      <c r="F24" s="133">
        <v>2.65</v>
      </c>
      <c r="G24" s="133">
        <v>102.31</v>
      </c>
      <c r="H24" s="133">
        <v>39.39</v>
      </c>
      <c r="I24" s="133">
        <v>10.68</v>
      </c>
      <c r="J24" s="133">
        <v>0.28999999999999998</v>
      </c>
      <c r="K24" s="133">
        <v>23.79</v>
      </c>
      <c r="L24" s="133">
        <v>19.440000000000001</v>
      </c>
      <c r="M24" s="133">
        <v>89.06</v>
      </c>
      <c r="N24" s="133">
        <v>0</v>
      </c>
      <c r="O24" s="133">
        <v>0</v>
      </c>
      <c r="P24" s="133">
        <v>0.8</v>
      </c>
      <c r="Q24" s="133">
        <v>4.79</v>
      </c>
    </row>
    <row r="25" spans="1:17" customFormat="1">
      <c r="A25" s="111" t="s">
        <v>3134</v>
      </c>
      <c r="B25" s="133">
        <v>13.78</v>
      </c>
      <c r="C25" s="133">
        <v>23.62</v>
      </c>
      <c r="D25" s="133">
        <v>24.74</v>
      </c>
      <c r="E25" s="133">
        <v>4.97</v>
      </c>
      <c r="F25" s="133">
        <v>2.33</v>
      </c>
      <c r="G25" s="133">
        <v>102.31</v>
      </c>
      <c r="H25" s="133">
        <v>39.39</v>
      </c>
      <c r="I25" s="133">
        <v>10.52</v>
      </c>
      <c r="J25" s="133">
        <v>0.25</v>
      </c>
      <c r="K25" s="133">
        <v>38.06</v>
      </c>
      <c r="L25" s="133">
        <v>19.37</v>
      </c>
      <c r="M25" s="133">
        <v>89.09</v>
      </c>
      <c r="N25" s="133">
        <v>0</v>
      </c>
      <c r="O25" s="133">
        <v>0</v>
      </c>
      <c r="P25" s="133">
        <v>0.81</v>
      </c>
      <c r="Q25" s="133">
        <v>4.83</v>
      </c>
    </row>
    <row r="26" spans="1:17" customFormat="1">
      <c r="A26" s="111" t="s">
        <v>3135</v>
      </c>
      <c r="B26" s="133">
        <v>14.42</v>
      </c>
      <c r="C26" s="133">
        <v>22.73</v>
      </c>
      <c r="D26" s="133">
        <v>24.79</v>
      </c>
      <c r="E26" s="133">
        <v>4.71</v>
      </c>
      <c r="F26" s="133">
        <v>2.76</v>
      </c>
      <c r="G26" s="133">
        <v>102.31</v>
      </c>
      <c r="H26" s="133">
        <v>39.39</v>
      </c>
      <c r="I26" s="133">
        <v>10.31</v>
      </c>
      <c r="J26" s="133">
        <v>0.21</v>
      </c>
      <c r="K26" s="133">
        <v>34.119999999999997</v>
      </c>
      <c r="L26" s="133">
        <v>19.37</v>
      </c>
      <c r="M26" s="133">
        <v>88.27</v>
      </c>
      <c r="N26" s="133">
        <v>0</v>
      </c>
      <c r="O26" s="133">
        <v>0</v>
      </c>
      <c r="P26" s="133">
        <v>0.79</v>
      </c>
      <c r="Q26" s="133">
        <v>4.8600000000000003</v>
      </c>
    </row>
    <row r="27" spans="1:17" customFormat="1">
      <c r="A27" s="111" t="s">
        <v>3136</v>
      </c>
      <c r="B27" s="133">
        <v>14.79</v>
      </c>
      <c r="C27" s="133">
        <v>24.03</v>
      </c>
      <c r="D27" s="133">
        <v>25.76</v>
      </c>
      <c r="E27" s="133">
        <v>4.91</v>
      </c>
      <c r="F27" s="133">
        <v>2.48</v>
      </c>
      <c r="G27" s="133">
        <v>102.41</v>
      </c>
      <c r="H27" s="133">
        <v>39.33</v>
      </c>
      <c r="I27" s="133">
        <v>10.18</v>
      </c>
      <c r="J27" s="133">
        <v>0.08</v>
      </c>
      <c r="K27" s="133">
        <v>89.07</v>
      </c>
      <c r="L27" s="133">
        <v>19.25</v>
      </c>
      <c r="M27" s="133">
        <v>88.67</v>
      </c>
      <c r="N27" s="133">
        <v>0</v>
      </c>
      <c r="O27" s="133">
        <v>0</v>
      </c>
      <c r="P27" s="133">
        <v>0.81</v>
      </c>
      <c r="Q27" s="133">
        <v>4.88</v>
      </c>
    </row>
    <row r="28" spans="1:17" customFormat="1">
      <c r="A28" s="111" t="s">
        <v>3137</v>
      </c>
      <c r="B28" s="133">
        <v>14.89</v>
      </c>
      <c r="C28" s="133">
        <v>23.3</v>
      </c>
      <c r="D28" s="133">
        <v>25.47</v>
      </c>
      <c r="E28" s="133">
        <v>4.84</v>
      </c>
      <c r="F28" s="133">
        <v>2.75</v>
      </c>
      <c r="G28" s="133">
        <v>104.6</v>
      </c>
      <c r="H28" s="133">
        <v>38.43</v>
      </c>
      <c r="I28" s="133">
        <v>9.9600000000000009</v>
      </c>
      <c r="J28" s="133">
        <v>7.0000000000000007E-2</v>
      </c>
      <c r="K28" s="133">
        <v>125.22</v>
      </c>
      <c r="L28" s="133">
        <v>19.11</v>
      </c>
      <c r="M28" s="133">
        <v>89.12</v>
      </c>
      <c r="N28" s="133">
        <v>0</v>
      </c>
      <c r="O28" s="133">
        <v>0</v>
      </c>
      <c r="P28" s="133">
        <v>0.79</v>
      </c>
      <c r="Q28" s="133">
        <v>4.87</v>
      </c>
    </row>
    <row r="29" spans="1:17" customFormat="1">
      <c r="A29" s="111" t="s">
        <v>3138</v>
      </c>
      <c r="B29" s="133">
        <v>15.05</v>
      </c>
      <c r="C29" s="133">
        <v>24.17</v>
      </c>
      <c r="D29" s="133">
        <v>26.05</v>
      </c>
      <c r="E29" s="133">
        <v>4.7300000000000004</v>
      </c>
      <c r="F29" s="133">
        <v>2.5</v>
      </c>
      <c r="G29" s="133">
        <v>104.6</v>
      </c>
      <c r="H29" s="133">
        <v>38.43</v>
      </c>
      <c r="I29" s="133">
        <v>9.81</v>
      </c>
      <c r="J29" s="133">
        <v>0.03</v>
      </c>
      <c r="K29" s="133">
        <v>46.1</v>
      </c>
      <c r="L29" s="133">
        <v>18.97</v>
      </c>
      <c r="M29" s="133">
        <v>90.48</v>
      </c>
      <c r="N29" s="133">
        <v>0</v>
      </c>
      <c r="O29" s="133">
        <v>0</v>
      </c>
      <c r="P29" s="133">
        <v>0.79</v>
      </c>
      <c r="Q29" s="133">
        <v>4.88</v>
      </c>
    </row>
    <row r="30" spans="1:17" customFormat="1">
      <c r="A30" s="111" t="s">
        <v>3139</v>
      </c>
      <c r="B30" s="133">
        <v>15.4</v>
      </c>
      <c r="C30" s="133">
        <v>25.56</v>
      </c>
      <c r="D30" s="133">
        <v>27.06</v>
      </c>
      <c r="E30" s="133">
        <v>5.07</v>
      </c>
      <c r="F30" s="133">
        <v>2.41</v>
      </c>
      <c r="G30" s="133">
        <v>104.6</v>
      </c>
      <c r="H30" s="133">
        <v>38.43</v>
      </c>
      <c r="I30" s="133">
        <v>9.61</v>
      </c>
      <c r="J30" s="133">
        <v>0.12</v>
      </c>
      <c r="K30" s="133">
        <v>162.54</v>
      </c>
      <c r="L30" s="133">
        <v>18.87</v>
      </c>
      <c r="M30" s="133">
        <v>90.89</v>
      </c>
      <c r="N30" s="133">
        <v>0</v>
      </c>
      <c r="O30" s="133">
        <v>0</v>
      </c>
      <c r="P30" s="133">
        <v>0.81</v>
      </c>
      <c r="Q30" s="133">
        <v>4.88</v>
      </c>
    </row>
    <row r="31" spans="1:17" customFormat="1">
      <c r="A31" s="111" t="s">
        <v>3140</v>
      </c>
      <c r="B31" s="133">
        <v>15.35</v>
      </c>
      <c r="C31" s="133">
        <v>25.65</v>
      </c>
      <c r="D31" s="133">
        <v>27.06</v>
      </c>
      <c r="E31" s="133">
        <v>5.31</v>
      </c>
      <c r="F31" s="133">
        <v>2.54</v>
      </c>
      <c r="G31" s="133">
        <v>104.2</v>
      </c>
      <c r="H31" s="133">
        <v>38.549999999999997</v>
      </c>
      <c r="I31" s="133">
        <v>9.4499999999999993</v>
      </c>
      <c r="J31" s="133">
        <v>0.14000000000000001</v>
      </c>
      <c r="K31" s="133">
        <v>150.55000000000001</v>
      </c>
      <c r="L31" s="133">
        <v>18.899999999999999</v>
      </c>
      <c r="M31" s="133">
        <v>92.74</v>
      </c>
      <c r="N31" s="133">
        <v>0</v>
      </c>
      <c r="O31" s="133">
        <v>0</v>
      </c>
      <c r="P31" s="133">
        <v>0.82</v>
      </c>
      <c r="Q31" s="133">
        <v>4.92</v>
      </c>
    </row>
    <row r="32" spans="1:17" customFormat="1">
      <c r="A32" s="111" t="s">
        <v>3141</v>
      </c>
      <c r="B32" s="133">
        <v>15.13</v>
      </c>
      <c r="C32" s="133">
        <v>25.92</v>
      </c>
      <c r="D32" s="133">
        <v>27.03</v>
      </c>
      <c r="E32" s="133">
        <v>5.45</v>
      </c>
      <c r="F32" s="133">
        <v>2.69</v>
      </c>
      <c r="G32" s="133">
        <v>95.46</v>
      </c>
      <c r="H32" s="133">
        <v>40.47</v>
      </c>
      <c r="I32" s="133">
        <v>9.3000000000000007</v>
      </c>
      <c r="J32" s="133">
        <v>0.11</v>
      </c>
      <c r="K32" s="133">
        <v>212.42</v>
      </c>
      <c r="L32" s="133">
        <v>18.78</v>
      </c>
      <c r="M32" s="133">
        <v>92.01</v>
      </c>
      <c r="N32" s="133">
        <v>0</v>
      </c>
      <c r="O32" s="133">
        <v>0</v>
      </c>
      <c r="P32" s="133">
        <v>0.83</v>
      </c>
      <c r="Q32" s="133">
        <v>4.9400000000000004</v>
      </c>
    </row>
    <row r="33" spans="1:17" customFormat="1">
      <c r="A33" s="111" t="s">
        <v>3142</v>
      </c>
      <c r="B33" s="133">
        <v>15.06</v>
      </c>
      <c r="C33" s="133">
        <v>26.1</v>
      </c>
      <c r="D33" s="133">
        <v>27.06</v>
      </c>
      <c r="E33" s="133">
        <v>5.5</v>
      </c>
      <c r="F33" s="133">
        <v>2.73</v>
      </c>
      <c r="G33" s="133">
        <v>95.46</v>
      </c>
      <c r="H33" s="133">
        <v>40.47</v>
      </c>
      <c r="I33" s="133">
        <v>9.08</v>
      </c>
      <c r="J33" s="133">
        <v>0.09</v>
      </c>
      <c r="K33" s="133">
        <v>206.36</v>
      </c>
      <c r="L33" s="133">
        <v>18.64</v>
      </c>
      <c r="M33" s="133">
        <v>92.69</v>
      </c>
      <c r="N33" s="133">
        <v>0.1</v>
      </c>
      <c r="O33" s="133">
        <v>0</v>
      </c>
      <c r="P33" s="133">
        <v>0.82</v>
      </c>
      <c r="Q33" s="133">
        <v>4.9400000000000004</v>
      </c>
    </row>
    <row r="34" spans="1:17" customFormat="1">
      <c r="A34" s="111" t="s">
        <v>3143</v>
      </c>
      <c r="B34" s="133">
        <v>15.34</v>
      </c>
      <c r="C34" s="133">
        <v>26.05</v>
      </c>
      <c r="D34" s="133">
        <v>27.26</v>
      </c>
      <c r="E34" s="133">
        <v>5.54</v>
      </c>
      <c r="F34" s="133">
        <v>2.56</v>
      </c>
      <c r="G34" s="133">
        <v>95.46</v>
      </c>
      <c r="H34" s="133">
        <v>40.47</v>
      </c>
      <c r="I34" s="133">
        <v>8.98</v>
      </c>
      <c r="J34" s="133">
        <v>0.09</v>
      </c>
      <c r="K34" s="133">
        <v>130.91</v>
      </c>
      <c r="L34" s="133">
        <v>18.86</v>
      </c>
      <c r="M34" s="133">
        <v>92.45</v>
      </c>
      <c r="N34" s="133">
        <v>5.9</v>
      </c>
      <c r="O34" s="133">
        <v>0</v>
      </c>
      <c r="P34" s="133">
        <v>0.82</v>
      </c>
      <c r="Q34" s="133">
        <v>4.9400000000000004</v>
      </c>
    </row>
    <row r="35" spans="1:17" customFormat="1">
      <c r="A35" s="111" t="s">
        <v>3144</v>
      </c>
      <c r="B35" s="133">
        <v>15.85</v>
      </c>
      <c r="C35" s="133">
        <v>26.3</v>
      </c>
      <c r="D35" s="133">
        <v>27.8</v>
      </c>
      <c r="E35" s="133">
        <v>5.34</v>
      </c>
      <c r="F35" s="133">
        <v>2.59</v>
      </c>
      <c r="G35" s="133">
        <v>95.46</v>
      </c>
      <c r="H35" s="133">
        <v>40.33</v>
      </c>
      <c r="I35" s="133">
        <v>8.8699999999999992</v>
      </c>
      <c r="J35" s="133">
        <v>0.08</v>
      </c>
      <c r="K35" s="133">
        <v>121.51</v>
      </c>
      <c r="L35" s="133">
        <v>19.3</v>
      </c>
      <c r="M35" s="133">
        <v>90.77</v>
      </c>
      <c r="N35" s="133">
        <v>17</v>
      </c>
      <c r="O35" s="133">
        <v>0</v>
      </c>
      <c r="P35" s="133">
        <v>0.82</v>
      </c>
      <c r="Q35" s="133">
        <v>4.9800000000000004</v>
      </c>
    </row>
    <row r="36" spans="1:17" customFormat="1">
      <c r="A36" s="111" t="s">
        <v>3145</v>
      </c>
      <c r="B36" s="133">
        <v>16.440000000000001</v>
      </c>
      <c r="C36" s="133">
        <v>26.58</v>
      </c>
      <c r="D36" s="133">
        <v>28.42</v>
      </c>
      <c r="E36" s="133">
        <v>5.29</v>
      </c>
      <c r="F36" s="133">
        <v>2.78</v>
      </c>
      <c r="G36" s="133">
        <v>95.57</v>
      </c>
      <c r="H36" s="133">
        <v>38.14</v>
      </c>
      <c r="I36" s="133">
        <v>8.76</v>
      </c>
      <c r="J36" s="133">
        <v>0.33</v>
      </c>
      <c r="K36" s="133">
        <v>43.2</v>
      </c>
      <c r="L36" s="133">
        <v>19.82</v>
      </c>
      <c r="M36" s="133">
        <v>87.35</v>
      </c>
      <c r="N36" s="133">
        <v>31</v>
      </c>
      <c r="O36" s="133">
        <v>0</v>
      </c>
      <c r="P36" s="133">
        <v>0.83</v>
      </c>
      <c r="Q36" s="133">
        <v>5</v>
      </c>
    </row>
    <row r="37" spans="1:17" customFormat="1">
      <c r="A37" s="111" t="s">
        <v>3146</v>
      </c>
      <c r="B37" s="133">
        <v>16.829999999999998</v>
      </c>
      <c r="C37" s="133">
        <v>27.07</v>
      </c>
      <c r="D37" s="133">
        <v>28.99</v>
      </c>
      <c r="E37" s="133">
        <v>5.53</v>
      </c>
      <c r="F37" s="133">
        <v>2.72</v>
      </c>
      <c r="G37" s="133">
        <v>95.57</v>
      </c>
      <c r="H37" s="133">
        <v>38.14</v>
      </c>
      <c r="I37" s="133">
        <v>8.6999999999999993</v>
      </c>
      <c r="J37" s="133">
        <v>0.45</v>
      </c>
      <c r="K37" s="133">
        <v>43.74</v>
      </c>
      <c r="L37" s="133">
        <v>20.34</v>
      </c>
      <c r="M37" s="133">
        <v>84.53</v>
      </c>
      <c r="N37" s="133">
        <v>44</v>
      </c>
      <c r="O37" s="133">
        <v>0</v>
      </c>
      <c r="P37" s="133">
        <v>0.84</v>
      </c>
      <c r="Q37" s="133">
        <v>5.03</v>
      </c>
    </row>
    <row r="38" spans="1:17" customFormat="1">
      <c r="A38" s="111" t="s">
        <v>3147</v>
      </c>
      <c r="B38" s="133">
        <v>16.8</v>
      </c>
      <c r="C38" s="133">
        <v>27.63</v>
      </c>
      <c r="D38" s="133">
        <v>29.26</v>
      </c>
      <c r="E38" s="133">
        <v>5.71</v>
      </c>
      <c r="F38" s="133">
        <v>2.68</v>
      </c>
      <c r="G38" s="133">
        <v>95.57</v>
      </c>
      <c r="H38" s="133">
        <v>38.14</v>
      </c>
      <c r="I38" s="133">
        <v>8.69</v>
      </c>
      <c r="J38" s="133">
        <v>0.37</v>
      </c>
      <c r="K38" s="133">
        <v>31.21</v>
      </c>
      <c r="L38" s="133">
        <v>20.84</v>
      </c>
      <c r="M38" s="133">
        <v>84.03</v>
      </c>
      <c r="N38" s="133">
        <v>60.4</v>
      </c>
      <c r="O38" s="133">
        <v>0</v>
      </c>
      <c r="P38" s="133">
        <v>0.84</v>
      </c>
      <c r="Q38" s="133">
        <v>5.03</v>
      </c>
    </row>
    <row r="39" spans="1:17" customFormat="1">
      <c r="A39" s="111" t="s">
        <v>3148</v>
      </c>
      <c r="B39" s="133">
        <v>16.86</v>
      </c>
      <c r="C39" s="133">
        <v>27.57</v>
      </c>
      <c r="D39" s="133">
        <v>29.28</v>
      </c>
      <c r="E39" s="133">
        <v>5.77</v>
      </c>
      <c r="F39" s="133">
        <v>2.67</v>
      </c>
      <c r="G39" s="133">
        <v>95.77</v>
      </c>
      <c r="H39" s="133">
        <v>38.32</v>
      </c>
      <c r="I39" s="133">
        <v>8.68</v>
      </c>
      <c r="J39" s="133">
        <v>0.33</v>
      </c>
      <c r="K39" s="133">
        <v>57.11</v>
      </c>
      <c r="L39" s="133">
        <v>21.58</v>
      </c>
      <c r="M39" s="133">
        <v>80.19</v>
      </c>
      <c r="N39" s="133">
        <v>146.9</v>
      </c>
      <c r="O39" s="133">
        <v>0</v>
      </c>
      <c r="P39" s="133">
        <v>0.86</v>
      </c>
      <c r="Q39" s="133">
        <v>5.03</v>
      </c>
    </row>
    <row r="40" spans="1:17" customFormat="1">
      <c r="A40" s="111" t="s">
        <v>3149</v>
      </c>
      <c r="B40" s="133">
        <v>16.46</v>
      </c>
      <c r="C40" s="133">
        <v>27.69</v>
      </c>
      <c r="D40" s="133">
        <v>29.01</v>
      </c>
      <c r="E40" s="133">
        <v>6.03</v>
      </c>
      <c r="F40" s="133">
        <v>2.68</v>
      </c>
      <c r="G40" s="133">
        <v>100.08</v>
      </c>
      <c r="H40" s="133">
        <v>41.17</v>
      </c>
      <c r="I40" s="133">
        <v>8.73</v>
      </c>
      <c r="J40" s="133">
        <v>0.28999999999999998</v>
      </c>
      <c r="K40" s="133">
        <v>65.19</v>
      </c>
      <c r="L40" s="133">
        <v>22.71</v>
      </c>
      <c r="M40" s="133">
        <v>76.47</v>
      </c>
      <c r="N40" s="133">
        <v>183.6</v>
      </c>
      <c r="O40" s="133">
        <v>0</v>
      </c>
      <c r="P40" s="133">
        <v>0.86</v>
      </c>
      <c r="Q40" s="133">
        <v>5.03</v>
      </c>
    </row>
    <row r="41" spans="1:17" customFormat="1">
      <c r="A41" s="111" t="s">
        <v>3150</v>
      </c>
      <c r="B41" s="133">
        <v>15.76</v>
      </c>
      <c r="C41" s="133">
        <v>28.04</v>
      </c>
      <c r="D41" s="133">
        <v>28.64</v>
      </c>
      <c r="E41" s="133">
        <v>5.97</v>
      </c>
      <c r="F41" s="133">
        <v>2.91</v>
      </c>
      <c r="G41" s="133">
        <v>100.08</v>
      </c>
      <c r="H41" s="133">
        <v>41.17</v>
      </c>
      <c r="I41" s="133">
        <v>8.73</v>
      </c>
      <c r="J41" s="133">
        <v>0.41</v>
      </c>
      <c r="K41" s="133">
        <v>37.869999999999997</v>
      </c>
      <c r="L41" s="133">
        <v>23.39</v>
      </c>
      <c r="M41" s="133">
        <v>76.430000000000007</v>
      </c>
      <c r="N41" s="133">
        <v>219.7</v>
      </c>
      <c r="O41" s="133">
        <v>0</v>
      </c>
      <c r="P41" s="133">
        <v>0.86</v>
      </c>
      <c r="Q41" s="133">
        <v>4.99</v>
      </c>
    </row>
    <row r="42" spans="1:17" customFormat="1">
      <c r="A42" s="111" t="s">
        <v>3151</v>
      </c>
      <c r="B42" s="133">
        <v>15.45</v>
      </c>
      <c r="C42" s="133">
        <v>28.55</v>
      </c>
      <c r="D42" s="133">
        <v>28.66</v>
      </c>
      <c r="E42" s="133">
        <v>5.46</v>
      </c>
      <c r="F42" s="133">
        <v>2.75</v>
      </c>
      <c r="G42" s="133">
        <v>100.08</v>
      </c>
      <c r="H42" s="133">
        <v>41.17</v>
      </c>
      <c r="I42" s="133">
        <v>8.7200000000000006</v>
      </c>
      <c r="J42" s="133">
        <v>0.26</v>
      </c>
      <c r="K42" s="133">
        <v>86.77</v>
      </c>
      <c r="L42" s="133">
        <v>24.57</v>
      </c>
      <c r="M42" s="133">
        <v>69.67</v>
      </c>
      <c r="N42" s="133">
        <v>259.7</v>
      </c>
      <c r="O42" s="133">
        <v>0</v>
      </c>
      <c r="P42" s="133">
        <v>0.87</v>
      </c>
      <c r="Q42" s="133">
        <v>4.99</v>
      </c>
    </row>
    <row r="43" spans="1:17" customFormat="1">
      <c r="A43" s="111" t="s">
        <v>3152</v>
      </c>
      <c r="B43" s="133">
        <v>14.31</v>
      </c>
      <c r="C43" s="133">
        <v>28.76</v>
      </c>
      <c r="D43" s="133">
        <v>27.86</v>
      </c>
      <c r="E43" s="133">
        <v>5.8</v>
      </c>
      <c r="F43" s="133">
        <v>2.97</v>
      </c>
      <c r="G43" s="133">
        <v>100.14</v>
      </c>
      <c r="H43" s="133">
        <v>41.12</v>
      </c>
      <c r="I43" s="133">
        <v>8.69</v>
      </c>
      <c r="J43" s="133">
        <v>0.42</v>
      </c>
      <c r="K43" s="133">
        <v>53.42</v>
      </c>
      <c r="L43" s="133">
        <v>25.29</v>
      </c>
      <c r="M43" s="133">
        <v>64.31</v>
      </c>
      <c r="N43" s="133">
        <v>300.5</v>
      </c>
      <c r="O43" s="133">
        <v>0</v>
      </c>
      <c r="P43" s="133">
        <v>0.85</v>
      </c>
      <c r="Q43" s="133">
        <v>4.96</v>
      </c>
    </row>
    <row r="44" spans="1:17" customFormat="1">
      <c r="A44" s="111" t="s">
        <v>3153</v>
      </c>
      <c r="B44" s="133">
        <v>12.86</v>
      </c>
      <c r="C44" s="133">
        <v>29.07</v>
      </c>
      <c r="D44" s="133">
        <v>26.86</v>
      </c>
      <c r="E44" s="133">
        <v>6.29</v>
      </c>
      <c r="F44" s="133">
        <v>3.19</v>
      </c>
      <c r="G44" s="133">
        <v>101.51</v>
      </c>
      <c r="H44" s="133">
        <v>40.46</v>
      </c>
      <c r="I44" s="133">
        <v>8.68</v>
      </c>
      <c r="J44" s="133">
        <v>0.28000000000000003</v>
      </c>
      <c r="K44" s="133">
        <v>100.1</v>
      </c>
      <c r="L44" s="133">
        <v>26.01</v>
      </c>
      <c r="M44" s="133">
        <v>63.14</v>
      </c>
      <c r="N44" s="133">
        <v>331.7</v>
      </c>
      <c r="O44" s="133">
        <v>0</v>
      </c>
      <c r="P44" s="133">
        <v>0.84</v>
      </c>
      <c r="Q44" s="133">
        <v>4.88</v>
      </c>
    </row>
    <row r="45" spans="1:17" customFormat="1">
      <c r="A45" s="111" t="s">
        <v>3154</v>
      </c>
      <c r="B45" s="133">
        <v>11.51</v>
      </c>
      <c r="C45" s="133">
        <v>28.6</v>
      </c>
      <c r="D45" s="133">
        <v>25.52</v>
      </c>
      <c r="E45" s="133">
        <v>6.13</v>
      </c>
      <c r="F45" s="133">
        <v>3.24</v>
      </c>
      <c r="G45" s="133">
        <v>101.51</v>
      </c>
      <c r="H45" s="133">
        <v>40.46</v>
      </c>
      <c r="I45" s="133">
        <v>8.6</v>
      </c>
      <c r="J45" s="133">
        <v>0.37</v>
      </c>
      <c r="K45" s="133">
        <v>56.98</v>
      </c>
      <c r="L45" s="133">
        <v>26.66</v>
      </c>
      <c r="M45" s="133">
        <v>62.27</v>
      </c>
      <c r="N45" s="133">
        <v>339.1</v>
      </c>
      <c r="O45" s="133">
        <v>0</v>
      </c>
      <c r="P45" s="133">
        <v>0.83</v>
      </c>
      <c r="Q45" s="133">
        <v>4.8499999999999996</v>
      </c>
    </row>
    <row r="46" spans="1:17" customFormat="1">
      <c r="A46" s="111" t="s">
        <v>3155</v>
      </c>
      <c r="B46" s="133">
        <v>10.08</v>
      </c>
      <c r="C46" s="133">
        <v>28.46</v>
      </c>
      <c r="D46" s="133">
        <v>24.3</v>
      </c>
      <c r="E46" s="133">
        <v>6.03</v>
      </c>
      <c r="F46" s="133">
        <v>3.81</v>
      </c>
      <c r="G46" s="133">
        <v>101.51</v>
      </c>
      <c r="H46" s="133">
        <v>40.46</v>
      </c>
      <c r="I46" s="133">
        <v>8.42</v>
      </c>
      <c r="J46" s="133">
        <v>0.36</v>
      </c>
      <c r="K46" s="133">
        <v>64.5</v>
      </c>
      <c r="L46" s="133">
        <v>27.35</v>
      </c>
      <c r="M46" s="133">
        <v>59.06</v>
      </c>
      <c r="N46" s="133">
        <v>259.60000000000002</v>
      </c>
      <c r="O46" s="133">
        <v>0</v>
      </c>
      <c r="P46" s="133">
        <v>0.82</v>
      </c>
      <c r="Q46" s="133">
        <v>4.75</v>
      </c>
    </row>
    <row r="47" spans="1:17" customFormat="1">
      <c r="A47" s="111" t="s">
        <v>3156</v>
      </c>
      <c r="B47" s="133">
        <v>8.8800000000000008</v>
      </c>
      <c r="C47" s="133">
        <v>28.11</v>
      </c>
      <c r="D47" s="133">
        <v>23.16</v>
      </c>
      <c r="E47" s="133">
        <v>5.67</v>
      </c>
      <c r="F47" s="133">
        <v>3.66</v>
      </c>
      <c r="G47" s="133">
        <v>100.87</v>
      </c>
      <c r="H47" s="133">
        <v>40.4</v>
      </c>
      <c r="I47" s="133">
        <v>8.2799999999999994</v>
      </c>
      <c r="J47" s="133">
        <v>0.38</v>
      </c>
      <c r="K47" s="133">
        <v>146.80000000000001</v>
      </c>
      <c r="L47" s="133">
        <v>27.97</v>
      </c>
      <c r="M47" s="133">
        <v>56.44</v>
      </c>
      <c r="N47" s="133">
        <v>359.6</v>
      </c>
      <c r="O47" s="133">
        <v>0</v>
      </c>
      <c r="P47" s="133">
        <v>0.82</v>
      </c>
      <c r="Q47" s="133">
        <v>4.67</v>
      </c>
    </row>
    <row r="48" spans="1:17" customFormat="1">
      <c r="A48" s="111" t="s">
        <v>3157</v>
      </c>
      <c r="B48" s="133">
        <v>7.74</v>
      </c>
      <c r="C48" s="133">
        <v>27.81</v>
      </c>
      <c r="D48" s="133">
        <v>22.09</v>
      </c>
      <c r="E48" s="133">
        <v>6.02</v>
      </c>
      <c r="F48" s="133">
        <v>3.88</v>
      </c>
      <c r="G48" s="133">
        <v>87.23</v>
      </c>
      <c r="H48" s="133">
        <v>39.590000000000003</v>
      </c>
      <c r="I48" s="133">
        <v>8.0399999999999991</v>
      </c>
      <c r="J48" s="133">
        <v>0.52</v>
      </c>
      <c r="K48" s="133">
        <v>41.2</v>
      </c>
      <c r="L48" s="133">
        <v>28.24</v>
      </c>
      <c r="M48" s="133">
        <v>56.78</v>
      </c>
      <c r="N48" s="133">
        <v>434.8</v>
      </c>
      <c r="O48" s="133">
        <v>0</v>
      </c>
      <c r="P48" s="133">
        <v>0.81</v>
      </c>
      <c r="Q48" s="133">
        <v>4.6100000000000003</v>
      </c>
    </row>
    <row r="49" spans="1:17" customFormat="1">
      <c r="A49" s="111" t="s">
        <v>3158</v>
      </c>
      <c r="B49" s="133">
        <v>7.09</v>
      </c>
      <c r="C49" s="133">
        <v>27.81</v>
      </c>
      <c r="D49" s="133">
        <v>21.56</v>
      </c>
      <c r="E49" s="133">
        <v>5.55</v>
      </c>
      <c r="F49" s="133">
        <v>4.03</v>
      </c>
      <c r="G49" s="133">
        <v>87.23</v>
      </c>
      <c r="H49" s="133">
        <v>39.590000000000003</v>
      </c>
      <c r="I49" s="133">
        <v>7.86</v>
      </c>
      <c r="J49" s="133">
        <v>0.32</v>
      </c>
      <c r="K49" s="133">
        <v>67.66</v>
      </c>
      <c r="L49" s="133">
        <v>28.48</v>
      </c>
      <c r="M49" s="133">
        <v>57.76</v>
      </c>
      <c r="N49" s="133">
        <v>457.8</v>
      </c>
      <c r="O49" s="133">
        <v>0</v>
      </c>
      <c r="P49" s="133">
        <v>0.8</v>
      </c>
      <c r="Q49" s="133">
        <v>4.57</v>
      </c>
    </row>
    <row r="50" spans="1:17" customFormat="1">
      <c r="A50" s="111" t="s">
        <v>3159</v>
      </c>
      <c r="B50" s="133">
        <v>6.5</v>
      </c>
      <c r="C50" s="133">
        <v>27.67</v>
      </c>
      <c r="D50" s="133">
        <v>21.02</v>
      </c>
      <c r="E50" s="133">
        <v>7.34</v>
      </c>
      <c r="F50" s="133">
        <v>3.88</v>
      </c>
      <c r="G50" s="133">
        <v>87.23</v>
      </c>
      <c r="H50" s="133">
        <v>39.590000000000003</v>
      </c>
      <c r="I50" s="133">
        <v>7.65</v>
      </c>
      <c r="J50" s="133">
        <v>0.19</v>
      </c>
      <c r="K50" s="133">
        <v>99.75</v>
      </c>
      <c r="L50" s="133">
        <v>28.98</v>
      </c>
      <c r="M50" s="133">
        <v>55.36</v>
      </c>
      <c r="N50" s="133">
        <v>500.8</v>
      </c>
      <c r="O50" s="133">
        <v>0</v>
      </c>
      <c r="P50" s="133">
        <v>0.8</v>
      </c>
      <c r="Q50" s="133">
        <v>4.5599999999999996</v>
      </c>
    </row>
    <row r="51" spans="1:17" customFormat="1">
      <c r="A51" s="111" t="s">
        <v>3160</v>
      </c>
      <c r="B51" s="133">
        <v>6.17</v>
      </c>
      <c r="C51" s="133">
        <v>26.06</v>
      </c>
      <c r="D51" s="133">
        <v>19.91</v>
      </c>
      <c r="E51" s="133">
        <v>6.94</v>
      </c>
      <c r="F51" s="133">
        <v>4.18</v>
      </c>
      <c r="G51" s="133">
        <v>86.86</v>
      </c>
      <c r="H51" s="133">
        <v>39.409999999999997</v>
      </c>
      <c r="I51" s="133">
        <v>7.55</v>
      </c>
      <c r="J51" s="133">
        <v>0.27</v>
      </c>
      <c r="K51" s="133">
        <v>126.83</v>
      </c>
      <c r="L51" s="133">
        <v>29.37</v>
      </c>
      <c r="M51" s="133">
        <v>52.41</v>
      </c>
      <c r="N51" s="133">
        <v>508.5</v>
      </c>
      <c r="O51" s="133">
        <v>0</v>
      </c>
      <c r="P51" s="133">
        <v>0.78</v>
      </c>
      <c r="Q51" s="133">
        <v>4.5</v>
      </c>
    </row>
    <row r="52" spans="1:17" customFormat="1">
      <c r="A52" s="111" t="s">
        <v>3161</v>
      </c>
      <c r="B52" s="133">
        <v>5.82</v>
      </c>
      <c r="C52" s="133">
        <v>23.63</v>
      </c>
      <c r="D52" s="133">
        <v>18.36</v>
      </c>
      <c r="E52" s="133">
        <v>7.4</v>
      </c>
      <c r="F52" s="133">
        <v>5.0999999999999996</v>
      </c>
      <c r="G52" s="133">
        <v>80.510000000000005</v>
      </c>
      <c r="H52" s="133">
        <v>35.799999999999997</v>
      </c>
      <c r="I52" s="133">
        <v>7.4</v>
      </c>
      <c r="J52" s="133">
        <v>0.32</v>
      </c>
      <c r="K52" s="133">
        <v>62.67</v>
      </c>
      <c r="L52" s="133">
        <v>29.56</v>
      </c>
      <c r="M52" s="133">
        <v>51.15</v>
      </c>
      <c r="N52" s="133">
        <v>493.5</v>
      </c>
      <c r="O52" s="133">
        <v>0</v>
      </c>
      <c r="P52" s="133">
        <v>0.74</v>
      </c>
      <c r="Q52" s="133">
        <v>4.4800000000000004</v>
      </c>
    </row>
    <row r="53" spans="1:17" customFormat="1">
      <c r="A53" s="111" t="s">
        <v>3162</v>
      </c>
      <c r="B53" s="133">
        <v>5.54</v>
      </c>
      <c r="C53" s="133">
        <v>22.28</v>
      </c>
      <c r="D53" s="133">
        <v>17.440000000000001</v>
      </c>
      <c r="E53" s="133">
        <v>6.73</v>
      </c>
      <c r="F53" s="133">
        <v>5.05</v>
      </c>
      <c r="G53" s="133">
        <v>80.510000000000005</v>
      </c>
      <c r="H53" s="133">
        <v>35.799999999999997</v>
      </c>
      <c r="I53" s="133">
        <v>7.27</v>
      </c>
      <c r="J53" s="133">
        <v>0.46</v>
      </c>
      <c r="K53" s="133">
        <v>57.34</v>
      </c>
      <c r="L53" s="133">
        <v>29.35</v>
      </c>
      <c r="M53" s="133">
        <v>51</v>
      </c>
      <c r="N53" s="133">
        <v>455.7</v>
      </c>
      <c r="O53" s="133">
        <v>0</v>
      </c>
      <c r="P53" s="133">
        <v>0.72</v>
      </c>
      <c r="Q53" s="133">
        <v>4.41</v>
      </c>
    </row>
    <row r="54" spans="1:17" customFormat="1">
      <c r="A54" s="111" t="s">
        <v>3163</v>
      </c>
      <c r="B54" s="133">
        <v>5.25</v>
      </c>
      <c r="C54" s="133">
        <v>21.55</v>
      </c>
      <c r="D54" s="133">
        <v>16.82</v>
      </c>
      <c r="E54" s="133">
        <v>6.83</v>
      </c>
      <c r="F54" s="133">
        <v>5.87</v>
      </c>
      <c r="G54" s="133">
        <v>80.510000000000005</v>
      </c>
      <c r="H54" s="133">
        <v>35.799999999999997</v>
      </c>
      <c r="I54" s="133">
        <v>7.12</v>
      </c>
      <c r="J54" s="133">
        <v>0.47</v>
      </c>
      <c r="K54" s="133">
        <v>53.1</v>
      </c>
      <c r="L54" s="133">
        <v>29.87</v>
      </c>
      <c r="M54" s="133">
        <v>49.71</v>
      </c>
      <c r="N54" s="133">
        <v>551</v>
      </c>
      <c r="O54" s="133">
        <v>0</v>
      </c>
      <c r="P54" s="133">
        <v>0.71</v>
      </c>
      <c r="Q54" s="133">
        <v>4.38</v>
      </c>
    </row>
    <row r="55" spans="1:17" customFormat="1">
      <c r="A55" s="111" t="s">
        <v>3164</v>
      </c>
      <c r="B55" s="133">
        <v>5.03</v>
      </c>
      <c r="C55" s="133">
        <v>20.97</v>
      </c>
      <c r="D55" s="133">
        <v>16.350000000000001</v>
      </c>
      <c r="E55" s="133">
        <v>7.37</v>
      </c>
      <c r="F55" s="133">
        <v>6.85</v>
      </c>
      <c r="G55" s="133">
        <v>80.41</v>
      </c>
      <c r="H55" s="133">
        <v>35.75</v>
      </c>
      <c r="I55" s="133">
        <v>7</v>
      </c>
      <c r="J55" s="133">
        <v>0.35</v>
      </c>
      <c r="K55" s="133">
        <v>79.34</v>
      </c>
      <c r="L55" s="133">
        <v>29.71</v>
      </c>
      <c r="M55" s="133">
        <v>49.48</v>
      </c>
      <c r="N55" s="133">
        <v>512</v>
      </c>
      <c r="O55" s="133">
        <v>0</v>
      </c>
      <c r="P55" s="133">
        <v>0.69</v>
      </c>
      <c r="Q55" s="133">
        <v>4.3600000000000003</v>
      </c>
    </row>
    <row r="56" spans="1:17" customFormat="1">
      <c r="A56" s="111" t="s">
        <v>3165</v>
      </c>
      <c r="B56" s="133">
        <v>4.84</v>
      </c>
      <c r="C56" s="133">
        <v>20.21</v>
      </c>
      <c r="D56" s="133">
        <v>15.79</v>
      </c>
      <c r="E56" s="133">
        <v>7.09</v>
      </c>
      <c r="F56" s="133">
        <v>7.33</v>
      </c>
      <c r="G56" s="133">
        <v>78.37</v>
      </c>
      <c r="H56" s="133">
        <v>35</v>
      </c>
      <c r="I56" s="133">
        <v>6.87</v>
      </c>
      <c r="J56" s="133">
        <v>0.32</v>
      </c>
      <c r="K56" s="133">
        <v>82.33</v>
      </c>
      <c r="L56" s="133">
        <v>30.3</v>
      </c>
      <c r="M56" s="133">
        <v>49.19</v>
      </c>
      <c r="N56" s="133">
        <v>541.9</v>
      </c>
      <c r="O56" s="133">
        <v>0</v>
      </c>
      <c r="P56" s="133">
        <v>0.69</v>
      </c>
      <c r="Q56" s="133">
        <v>4.33</v>
      </c>
    </row>
    <row r="57" spans="1:17" customFormat="1">
      <c r="A57" s="111" t="s">
        <v>3166</v>
      </c>
      <c r="B57" s="133">
        <v>4.55</v>
      </c>
      <c r="C57" s="133">
        <v>20</v>
      </c>
      <c r="D57" s="133">
        <v>15.45</v>
      </c>
      <c r="E57" s="133">
        <v>7.01</v>
      </c>
      <c r="F57" s="133">
        <v>7.44</v>
      </c>
      <c r="G57" s="133">
        <v>78.37</v>
      </c>
      <c r="H57" s="133">
        <v>35</v>
      </c>
      <c r="I57" s="133">
        <v>6.73</v>
      </c>
      <c r="J57" s="133">
        <v>0.25</v>
      </c>
      <c r="K57" s="133">
        <v>92.5</v>
      </c>
      <c r="L57" s="133">
        <v>30.19</v>
      </c>
      <c r="M57" s="133">
        <v>48.33</v>
      </c>
      <c r="N57" s="133">
        <v>445.2</v>
      </c>
      <c r="O57" s="133">
        <v>0</v>
      </c>
      <c r="P57" s="133">
        <v>0.68</v>
      </c>
      <c r="Q57" s="133">
        <v>4.3</v>
      </c>
    </row>
    <row r="58" spans="1:17" customFormat="1">
      <c r="A58" s="111" t="s">
        <v>3167</v>
      </c>
      <c r="B58" s="133">
        <v>4.37</v>
      </c>
      <c r="C58" s="133">
        <v>19.29</v>
      </c>
      <c r="D58" s="133">
        <v>14.93</v>
      </c>
      <c r="E58" s="133">
        <v>7.42</v>
      </c>
      <c r="F58" s="133">
        <v>7.18</v>
      </c>
      <c r="G58" s="133">
        <v>78.37</v>
      </c>
      <c r="H58" s="133">
        <v>35</v>
      </c>
      <c r="I58" s="133">
        <v>6.66</v>
      </c>
      <c r="J58" s="133">
        <v>0.41</v>
      </c>
      <c r="K58" s="133">
        <v>66.13</v>
      </c>
      <c r="L58" s="133">
        <v>29.95</v>
      </c>
      <c r="M58" s="133">
        <v>47.9</v>
      </c>
      <c r="N58" s="133">
        <v>389.6</v>
      </c>
      <c r="O58" s="133">
        <v>0</v>
      </c>
      <c r="P58" s="133">
        <v>0.67</v>
      </c>
      <c r="Q58" s="133">
        <v>4.2699999999999996</v>
      </c>
    </row>
    <row r="59" spans="1:17" customFormat="1">
      <c r="A59" s="111" t="s">
        <v>3168</v>
      </c>
      <c r="B59" s="133">
        <v>4.2300000000000004</v>
      </c>
      <c r="C59" s="133">
        <v>18.920000000000002</v>
      </c>
      <c r="D59" s="133">
        <v>14.63</v>
      </c>
      <c r="E59" s="133">
        <v>7.5</v>
      </c>
      <c r="F59" s="133">
        <v>7.35</v>
      </c>
      <c r="G59" s="133">
        <v>78.16</v>
      </c>
      <c r="H59" s="133">
        <v>34.6</v>
      </c>
      <c r="I59" s="133">
        <v>6.58</v>
      </c>
      <c r="J59" s="133">
        <v>0.31</v>
      </c>
      <c r="K59" s="133">
        <v>69.47</v>
      </c>
      <c r="L59" s="133">
        <v>29.38</v>
      </c>
      <c r="M59" s="133">
        <v>50.08</v>
      </c>
      <c r="N59" s="133">
        <v>292.89999999999998</v>
      </c>
      <c r="O59" s="133">
        <v>0</v>
      </c>
      <c r="P59" s="133">
        <v>0.67</v>
      </c>
      <c r="Q59" s="133">
        <v>4.24</v>
      </c>
    </row>
    <row r="60" spans="1:17" customFormat="1">
      <c r="A60" s="111" t="s">
        <v>3169</v>
      </c>
      <c r="B60" s="133">
        <v>4.26</v>
      </c>
      <c r="C60" s="133">
        <v>18.420000000000002</v>
      </c>
      <c r="D60" s="133">
        <v>14.4</v>
      </c>
      <c r="E60" s="133">
        <v>7.29</v>
      </c>
      <c r="F60" s="133">
        <v>7.1</v>
      </c>
      <c r="G60" s="133">
        <v>73.760000000000005</v>
      </c>
      <c r="H60" s="133">
        <v>28.46</v>
      </c>
      <c r="I60" s="133">
        <v>6.42</v>
      </c>
      <c r="J60" s="133">
        <v>0.56999999999999995</v>
      </c>
      <c r="K60" s="133">
        <v>48.98</v>
      </c>
      <c r="L60" s="133">
        <v>29.47</v>
      </c>
      <c r="M60" s="133">
        <v>50.94</v>
      </c>
      <c r="N60" s="133">
        <v>321.39999999999998</v>
      </c>
      <c r="O60" s="133">
        <v>0</v>
      </c>
      <c r="P60" s="133">
        <v>0.65</v>
      </c>
      <c r="Q60" s="133">
        <v>4.25</v>
      </c>
    </row>
    <row r="61" spans="1:17" customFormat="1">
      <c r="A61" s="111" t="s">
        <v>3170</v>
      </c>
      <c r="B61" s="133">
        <v>4.1900000000000004</v>
      </c>
      <c r="C61" s="133">
        <v>18.32</v>
      </c>
      <c r="D61" s="133">
        <v>14.29</v>
      </c>
      <c r="E61" s="133">
        <v>7.63</v>
      </c>
      <c r="F61" s="133">
        <v>7.42</v>
      </c>
      <c r="G61" s="133">
        <v>73.760000000000005</v>
      </c>
      <c r="H61" s="133">
        <v>28.46</v>
      </c>
      <c r="I61" s="133">
        <v>6.31</v>
      </c>
      <c r="J61" s="133">
        <v>0.52</v>
      </c>
      <c r="K61" s="133">
        <v>55.32</v>
      </c>
      <c r="L61" s="133">
        <v>29.72</v>
      </c>
      <c r="M61" s="133">
        <v>49.22</v>
      </c>
      <c r="N61" s="133">
        <v>467.7</v>
      </c>
      <c r="O61" s="133">
        <v>0</v>
      </c>
      <c r="P61" s="133">
        <v>0.65</v>
      </c>
      <c r="Q61" s="133">
        <v>4.25</v>
      </c>
    </row>
    <row r="62" spans="1:17" customFormat="1">
      <c r="A62" s="111" t="s">
        <v>3171</v>
      </c>
      <c r="B62" s="133">
        <v>4.12</v>
      </c>
      <c r="C62" s="133">
        <v>18.059999999999999</v>
      </c>
      <c r="D62" s="133">
        <v>14.09</v>
      </c>
      <c r="E62" s="133">
        <v>7.11</v>
      </c>
      <c r="F62" s="133">
        <v>6.27</v>
      </c>
      <c r="G62" s="133">
        <v>73.760000000000005</v>
      </c>
      <c r="H62" s="133">
        <v>28.46</v>
      </c>
      <c r="I62" s="133">
        <v>6.23</v>
      </c>
      <c r="J62" s="133">
        <v>0.39</v>
      </c>
      <c r="K62" s="133">
        <v>53.43</v>
      </c>
      <c r="L62" s="133">
        <v>30.4</v>
      </c>
      <c r="M62" s="133">
        <v>46.63</v>
      </c>
      <c r="N62" s="133">
        <v>466</v>
      </c>
      <c r="O62" s="133">
        <v>0</v>
      </c>
      <c r="P62" s="133">
        <v>0.65</v>
      </c>
      <c r="Q62" s="133">
        <v>4.24</v>
      </c>
    </row>
    <row r="63" spans="1:17" customFormat="1">
      <c r="A63" s="111" t="s">
        <v>3172</v>
      </c>
      <c r="B63" s="133">
        <v>4.1500000000000004</v>
      </c>
      <c r="C63" s="133">
        <v>18.18</v>
      </c>
      <c r="D63" s="133">
        <v>14.18</v>
      </c>
      <c r="E63" s="133">
        <v>7.99</v>
      </c>
      <c r="F63" s="133">
        <v>8.5399999999999991</v>
      </c>
      <c r="G63" s="133">
        <v>73.45</v>
      </c>
      <c r="H63" s="133">
        <v>28.47</v>
      </c>
      <c r="I63" s="133">
        <v>6.13</v>
      </c>
      <c r="J63" s="133">
        <v>0.71</v>
      </c>
      <c r="K63" s="133">
        <v>38.270000000000003</v>
      </c>
      <c r="L63" s="133">
        <v>30.23</v>
      </c>
      <c r="M63" s="133">
        <v>47.97</v>
      </c>
      <c r="N63" s="133">
        <v>380.2</v>
      </c>
      <c r="O63" s="133">
        <v>0</v>
      </c>
      <c r="P63" s="133">
        <v>0.64</v>
      </c>
      <c r="Q63" s="133">
        <v>4.22</v>
      </c>
    </row>
    <row r="64" spans="1:17" customFormat="1">
      <c r="A64" s="111" t="s">
        <v>3173</v>
      </c>
      <c r="B64" s="133">
        <v>4.18</v>
      </c>
      <c r="C64" s="133">
        <v>17.93</v>
      </c>
      <c r="D64" s="133">
        <v>14.07</v>
      </c>
      <c r="E64" s="133">
        <v>7.53</v>
      </c>
      <c r="F64" s="133">
        <v>8.43</v>
      </c>
      <c r="G64" s="133">
        <v>68.33</v>
      </c>
      <c r="H64" s="133">
        <v>28.55</v>
      </c>
      <c r="I64" s="133">
        <v>6.05</v>
      </c>
      <c r="J64" s="133">
        <v>0.43</v>
      </c>
      <c r="K64" s="133">
        <v>59.3</v>
      </c>
      <c r="L64" s="133">
        <v>29.95</v>
      </c>
      <c r="M64" s="133">
        <v>46.77</v>
      </c>
      <c r="N64" s="133">
        <v>351.6</v>
      </c>
      <c r="O64" s="133">
        <v>0</v>
      </c>
      <c r="P64" s="133">
        <v>0.64</v>
      </c>
      <c r="Q64" s="133">
        <v>4.22</v>
      </c>
    </row>
    <row r="65" spans="1:17" customFormat="1">
      <c r="A65" s="111" t="s">
        <v>3174</v>
      </c>
      <c r="B65" s="133">
        <v>4.18</v>
      </c>
      <c r="C65" s="133">
        <v>17.46</v>
      </c>
      <c r="D65" s="133">
        <v>13.82</v>
      </c>
      <c r="E65" s="133">
        <v>6.79</v>
      </c>
      <c r="F65" s="133">
        <v>7.28</v>
      </c>
      <c r="G65" s="133">
        <v>68.33</v>
      </c>
      <c r="H65" s="133">
        <v>28.55</v>
      </c>
      <c r="I65" s="133">
        <v>5.9</v>
      </c>
      <c r="J65" s="133">
        <v>0.37</v>
      </c>
      <c r="K65" s="133">
        <v>49.93</v>
      </c>
      <c r="L65" s="133">
        <v>30.45</v>
      </c>
      <c r="M65" s="133">
        <v>45.41</v>
      </c>
      <c r="N65" s="133">
        <v>424.5</v>
      </c>
      <c r="O65" s="133">
        <v>0</v>
      </c>
      <c r="P65" s="133">
        <v>0.67</v>
      </c>
      <c r="Q65" s="133">
        <v>4.2300000000000004</v>
      </c>
    </row>
    <row r="66" spans="1:17" customFormat="1">
      <c r="A66" s="111" t="s">
        <v>3175</v>
      </c>
      <c r="B66" s="133">
        <v>4.26</v>
      </c>
      <c r="C66" s="133">
        <v>17.5</v>
      </c>
      <c r="D66" s="133">
        <v>13.91</v>
      </c>
      <c r="E66" s="133">
        <v>7.57</v>
      </c>
      <c r="F66" s="133">
        <v>8.5299999999999994</v>
      </c>
      <c r="G66" s="133">
        <v>68.33</v>
      </c>
      <c r="H66" s="133">
        <v>28.55</v>
      </c>
      <c r="I66" s="133">
        <v>5.88</v>
      </c>
      <c r="J66" s="133">
        <v>0.39</v>
      </c>
      <c r="K66" s="133">
        <v>55.34</v>
      </c>
      <c r="L66" s="133">
        <v>30.33</v>
      </c>
      <c r="M66" s="133">
        <v>45.45</v>
      </c>
      <c r="N66" s="133">
        <v>281.5</v>
      </c>
      <c r="O66" s="133">
        <v>0</v>
      </c>
      <c r="P66" s="133">
        <v>0.69</v>
      </c>
      <c r="Q66" s="133">
        <v>4.22</v>
      </c>
    </row>
    <row r="67" spans="1:17" customFormat="1">
      <c r="A67" s="111" t="s">
        <v>3176</v>
      </c>
      <c r="B67" s="133">
        <v>4.17</v>
      </c>
      <c r="C67" s="133">
        <v>17.47</v>
      </c>
      <c r="D67" s="133">
        <v>13.82</v>
      </c>
      <c r="E67" s="133">
        <v>7.49</v>
      </c>
      <c r="F67" s="133">
        <v>10.76</v>
      </c>
      <c r="G67" s="133">
        <v>68.16</v>
      </c>
      <c r="H67" s="133">
        <v>28.33</v>
      </c>
      <c r="I67" s="133">
        <v>5.83</v>
      </c>
      <c r="J67" s="133">
        <v>0.68</v>
      </c>
      <c r="K67" s="133">
        <v>43.07</v>
      </c>
      <c r="L67" s="133">
        <v>29.37</v>
      </c>
      <c r="M67" s="133">
        <v>47.04</v>
      </c>
      <c r="N67" s="133">
        <v>105.6</v>
      </c>
      <c r="O67" s="133">
        <v>0</v>
      </c>
      <c r="P67" s="133">
        <v>0.68</v>
      </c>
      <c r="Q67" s="133">
        <v>4.2300000000000004</v>
      </c>
    </row>
    <row r="68" spans="1:17" customFormat="1">
      <c r="A68" s="111" t="s">
        <v>3177</v>
      </c>
      <c r="B68" s="133">
        <v>4.1399999999999997</v>
      </c>
      <c r="C68" s="133">
        <v>17.399999999999999</v>
      </c>
      <c r="D68" s="133">
        <v>13.76</v>
      </c>
      <c r="E68" s="133">
        <v>6.87</v>
      </c>
      <c r="F68" s="133">
        <v>8.93</v>
      </c>
      <c r="G68" s="133">
        <v>65.37</v>
      </c>
      <c r="H68" s="133">
        <v>24.87</v>
      </c>
      <c r="I68" s="133">
        <v>5.72</v>
      </c>
      <c r="J68" s="133">
        <v>0.11</v>
      </c>
      <c r="K68" s="133">
        <v>161.66</v>
      </c>
      <c r="L68" s="133">
        <v>29.26</v>
      </c>
      <c r="M68" s="133">
        <v>46.58</v>
      </c>
      <c r="N68" s="133">
        <v>115.3</v>
      </c>
      <c r="O68" s="133">
        <v>0</v>
      </c>
      <c r="P68" s="133">
        <v>0.66</v>
      </c>
      <c r="Q68" s="133">
        <v>4.24</v>
      </c>
    </row>
    <row r="69" spans="1:17" customFormat="1">
      <c r="A69" s="111" t="s">
        <v>3178</v>
      </c>
      <c r="B69" s="133">
        <v>4.09</v>
      </c>
      <c r="C69" s="133">
        <v>17.47</v>
      </c>
      <c r="D69" s="133">
        <v>13.76</v>
      </c>
      <c r="E69" s="133">
        <v>5.96</v>
      </c>
      <c r="F69" s="133">
        <v>6.79</v>
      </c>
      <c r="G69" s="133">
        <v>65.37</v>
      </c>
      <c r="H69" s="133">
        <v>24.87</v>
      </c>
      <c r="I69" s="133">
        <v>5.59</v>
      </c>
      <c r="J69" s="133">
        <v>0.5</v>
      </c>
      <c r="K69" s="133">
        <v>48.85</v>
      </c>
      <c r="L69" s="133">
        <v>29.53</v>
      </c>
      <c r="M69" s="133">
        <v>47.33</v>
      </c>
      <c r="N69" s="133">
        <v>103</v>
      </c>
      <c r="O69" s="133">
        <v>0</v>
      </c>
      <c r="P69" s="133">
        <v>0.67</v>
      </c>
      <c r="Q69" s="133">
        <v>4.25</v>
      </c>
    </row>
    <row r="70" spans="1:17" customFormat="1">
      <c r="A70" s="111" t="s">
        <v>3179</v>
      </c>
      <c r="B70" s="133">
        <v>4.13</v>
      </c>
      <c r="C70" s="133">
        <v>17.93</v>
      </c>
      <c r="D70" s="133">
        <v>14.03</v>
      </c>
      <c r="E70" s="133">
        <v>6.78</v>
      </c>
      <c r="F70" s="133">
        <v>8.91</v>
      </c>
      <c r="G70" s="133">
        <v>65.37</v>
      </c>
      <c r="H70" s="133">
        <v>24.87</v>
      </c>
      <c r="I70" s="133">
        <v>5.62</v>
      </c>
      <c r="J70" s="133">
        <v>0.6</v>
      </c>
      <c r="K70" s="133">
        <v>48.07</v>
      </c>
      <c r="L70" s="133">
        <v>29.05</v>
      </c>
      <c r="M70" s="133">
        <v>48.22</v>
      </c>
      <c r="N70" s="133">
        <v>89.5</v>
      </c>
      <c r="O70" s="133">
        <v>0</v>
      </c>
      <c r="P70" s="133">
        <v>0.7</v>
      </c>
      <c r="Q70" s="133">
        <v>4.22</v>
      </c>
    </row>
    <row r="71" spans="1:17" customFormat="1">
      <c r="A71" s="111" t="s">
        <v>3180</v>
      </c>
      <c r="B71" s="133">
        <v>4.26</v>
      </c>
      <c r="C71" s="133">
        <v>18.22</v>
      </c>
      <c r="D71" s="133">
        <v>14.29</v>
      </c>
      <c r="E71" s="133">
        <v>6.96</v>
      </c>
      <c r="F71" s="133">
        <v>8.85</v>
      </c>
      <c r="G71" s="133">
        <v>65.03</v>
      </c>
      <c r="H71" s="133">
        <v>24.88</v>
      </c>
      <c r="I71" s="133">
        <v>5.62</v>
      </c>
      <c r="J71" s="133">
        <v>0.21</v>
      </c>
      <c r="K71" s="133">
        <v>141.97999999999999</v>
      </c>
      <c r="L71" s="133">
        <v>28.95</v>
      </c>
      <c r="M71" s="133">
        <v>48.63</v>
      </c>
      <c r="N71" s="133">
        <v>57.6</v>
      </c>
      <c r="O71" s="133">
        <v>0</v>
      </c>
      <c r="P71" s="133">
        <v>0.71</v>
      </c>
      <c r="Q71" s="133">
        <v>4.2300000000000004</v>
      </c>
    </row>
    <row r="72" spans="1:17" customFormat="1">
      <c r="A72" s="111" t="s">
        <v>3181</v>
      </c>
      <c r="B72" s="133">
        <v>4.1500000000000004</v>
      </c>
      <c r="C72" s="133">
        <v>18.62</v>
      </c>
      <c r="D72" s="133">
        <v>14.41</v>
      </c>
      <c r="E72" s="133">
        <v>6.76</v>
      </c>
      <c r="F72" s="133">
        <v>6.41</v>
      </c>
      <c r="G72" s="133">
        <v>59.19</v>
      </c>
      <c r="H72" s="133">
        <v>25.17</v>
      </c>
      <c r="I72" s="133">
        <v>5.5</v>
      </c>
      <c r="J72" s="133">
        <v>0.22</v>
      </c>
      <c r="K72" s="133">
        <v>140</v>
      </c>
      <c r="L72" s="133">
        <v>28.68</v>
      </c>
      <c r="M72" s="133">
        <v>51.06</v>
      </c>
      <c r="N72" s="133">
        <v>53.6</v>
      </c>
      <c r="O72" s="133">
        <v>0</v>
      </c>
      <c r="P72" s="133">
        <v>0.72</v>
      </c>
      <c r="Q72" s="133">
        <v>4.2300000000000004</v>
      </c>
    </row>
    <row r="73" spans="1:17" customFormat="1">
      <c r="A73" s="111" t="s">
        <v>3182</v>
      </c>
      <c r="B73" s="133">
        <v>4.04</v>
      </c>
      <c r="C73" s="133">
        <v>18.899999999999999</v>
      </c>
      <c r="D73" s="133">
        <v>14.47</v>
      </c>
      <c r="E73" s="133">
        <v>6.59</v>
      </c>
      <c r="F73" s="133">
        <v>7.86</v>
      </c>
      <c r="G73" s="133">
        <v>59.19</v>
      </c>
      <c r="H73" s="133">
        <v>25.17</v>
      </c>
      <c r="I73" s="133">
        <v>5.41</v>
      </c>
      <c r="J73" s="133">
        <v>0.2</v>
      </c>
      <c r="K73" s="133">
        <v>162.34</v>
      </c>
      <c r="L73" s="133">
        <v>28.59</v>
      </c>
      <c r="M73" s="133">
        <v>50.12</v>
      </c>
      <c r="N73" s="133">
        <v>42.2</v>
      </c>
      <c r="O73" s="133">
        <v>0</v>
      </c>
      <c r="P73" s="133">
        <v>0.7</v>
      </c>
      <c r="Q73" s="133">
        <v>4.2300000000000004</v>
      </c>
    </row>
    <row r="74" spans="1:17" customFormat="1">
      <c r="A74" s="111" t="s">
        <v>3183</v>
      </c>
      <c r="B74" s="133">
        <v>4.01</v>
      </c>
      <c r="C74" s="133">
        <v>18.75</v>
      </c>
      <c r="D74" s="133">
        <v>14.36</v>
      </c>
      <c r="E74" s="133">
        <v>6.2</v>
      </c>
      <c r="F74" s="133">
        <v>7.1</v>
      </c>
      <c r="G74" s="133">
        <v>59.19</v>
      </c>
      <c r="H74" s="133">
        <v>25.17</v>
      </c>
      <c r="I74" s="133">
        <v>5.37</v>
      </c>
      <c r="J74" s="133">
        <v>0.14000000000000001</v>
      </c>
      <c r="K74" s="133">
        <v>147.78</v>
      </c>
      <c r="L74" s="133">
        <v>28.25</v>
      </c>
      <c r="M74" s="133">
        <v>52.35</v>
      </c>
      <c r="N74" s="133">
        <v>30.6</v>
      </c>
      <c r="O74" s="133">
        <v>0</v>
      </c>
      <c r="P74" s="133">
        <v>0.7</v>
      </c>
      <c r="Q74" s="133">
        <v>4.21</v>
      </c>
    </row>
    <row r="75" spans="1:17" customFormat="1">
      <c r="A75" s="111" t="s">
        <v>3184</v>
      </c>
      <c r="B75" s="133">
        <v>4.08</v>
      </c>
      <c r="C75" s="133">
        <v>18.68</v>
      </c>
      <c r="D75" s="133">
        <v>14.38</v>
      </c>
      <c r="E75" s="133">
        <v>6.02</v>
      </c>
      <c r="F75" s="133">
        <v>6.54</v>
      </c>
      <c r="G75" s="133">
        <v>58.94</v>
      </c>
      <c r="H75" s="133">
        <v>25.24</v>
      </c>
      <c r="I75" s="133">
        <v>5.36</v>
      </c>
      <c r="J75" s="133">
        <v>0.15</v>
      </c>
      <c r="K75" s="133">
        <v>114.93</v>
      </c>
      <c r="L75" s="133">
        <v>27.88</v>
      </c>
      <c r="M75" s="133">
        <v>53.66</v>
      </c>
      <c r="N75" s="133">
        <v>17.7</v>
      </c>
      <c r="O75" s="133">
        <v>0</v>
      </c>
      <c r="P75" s="133">
        <v>0.7</v>
      </c>
      <c r="Q75" s="133">
        <v>4.22</v>
      </c>
    </row>
    <row r="76" spans="1:17" customFormat="1">
      <c r="A76" s="111" t="s">
        <v>3185</v>
      </c>
      <c r="B76" s="133">
        <v>4.1399999999999997</v>
      </c>
      <c r="C76" s="133">
        <v>18.97</v>
      </c>
      <c r="D76" s="133">
        <v>14.58</v>
      </c>
      <c r="E76" s="133">
        <v>6.65</v>
      </c>
      <c r="F76" s="133">
        <v>6.28</v>
      </c>
      <c r="G76" s="133">
        <v>54.65</v>
      </c>
      <c r="H76" s="133">
        <v>26.32</v>
      </c>
      <c r="I76" s="133">
        <v>5.34</v>
      </c>
      <c r="J76" s="133">
        <v>0.18</v>
      </c>
      <c r="K76" s="133">
        <v>154.4</v>
      </c>
      <c r="L76" s="133">
        <v>27.34</v>
      </c>
      <c r="M76" s="133">
        <v>57.49</v>
      </c>
      <c r="N76" s="133">
        <v>6.8</v>
      </c>
      <c r="O76" s="133">
        <v>0</v>
      </c>
      <c r="P76" s="133">
        <v>0.7</v>
      </c>
      <c r="Q76" s="133">
        <v>4.26</v>
      </c>
    </row>
    <row r="77" spans="1:17" customFormat="1">
      <c r="A77" s="111" t="s">
        <v>3186</v>
      </c>
      <c r="B77" s="133">
        <v>4.33</v>
      </c>
      <c r="C77" s="133">
        <v>19.149999999999999</v>
      </c>
      <c r="D77" s="133">
        <v>14.83</v>
      </c>
      <c r="E77" s="133">
        <v>5.83</v>
      </c>
      <c r="F77" s="133">
        <v>5.43</v>
      </c>
      <c r="G77" s="133">
        <v>54.65</v>
      </c>
      <c r="H77" s="133">
        <v>26.32</v>
      </c>
      <c r="I77" s="133">
        <v>5.3</v>
      </c>
      <c r="J77" s="133">
        <v>0.19</v>
      </c>
      <c r="K77" s="133">
        <v>152.4</v>
      </c>
      <c r="L77" s="133">
        <v>26.7</v>
      </c>
      <c r="M77" s="133">
        <v>60.57</v>
      </c>
      <c r="N77" s="133">
        <v>0.2</v>
      </c>
      <c r="O77" s="133">
        <v>0</v>
      </c>
      <c r="P77" s="133">
        <v>0.7</v>
      </c>
      <c r="Q77" s="133">
        <v>4.26</v>
      </c>
    </row>
    <row r="78" spans="1:17" customFormat="1">
      <c r="A78" s="111" t="s">
        <v>3187</v>
      </c>
      <c r="B78" s="133">
        <v>4.49</v>
      </c>
      <c r="C78" s="133">
        <v>19.52</v>
      </c>
      <c r="D78" s="133">
        <v>15.15</v>
      </c>
      <c r="E78" s="133">
        <v>5.87</v>
      </c>
      <c r="F78" s="133">
        <v>4.58</v>
      </c>
      <c r="G78" s="133">
        <v>54.65</v>
      </c>
      <c r="H78" s="133">
        <v>26.32</v>
      </c>
      <c r="I78" s="133">
        <v>5.3</v>
      </c>
      <c r="J78" s="133">
        <v>0.22</v>
      </c>
      <c r="K78" s="133">
        <v>158.69999999999999</v>
      </c>
      <c r="L78" s="133">
        <v>26.37</v>
      </c>
      <c r="M78" s="133">
        <v>61.84</v>
      </c>
      <c r="N78" s="133">
        <v>0</v>
      </c>
      <c r="O78" s="133">
        <v>0</v>
      </c>
      <c r="P78" s="133">
        <v>0.7</v>
      </c>
      <c r="Q78" s="133">
        <v>4.3</v>
      </c>
    </row>
    <row r="79" spans="1:17" customFormat="1">
      <c r="A79" s="111" t="s">
        <v>3188</v>
      </c>
      <c r="B79" s="133">
        <v>4.75</v>
      </c>
      <c r="C79" s="133">
        <v>20</v>
      </c>
      <c r="D79" s="133">
        <v>15.61</v>
      </c>
      <c r="E79" s="133">
        <v>6.04</v>
      </c>
      <c r="F79" s="133">
        <v>3.74</v>
      </c>
      <c r="G79" s="133">
        <v>54.98</v>
      </c>
      <c r="H79" s="133">
        <v>26.25</v>
      </c>
      <c r="I79" s="133">
        <v>5.32</v>
      </c>
      <c r="J79" s="133">
        <v>0.18</v>
      </c>
      <c r="K79" s="133">
        <v>159.55000000000001</v>
      </c>
      <c r="L79" s="133">
        <v>25.8</v>
      </c>
      <c r="M79" s="133">
        <v>64.3</v>
      </c>
      <c r="N79" s="133">
        <v>0</v>
      </c>
      <c r="O79" s="133">
        <v>0</v>
      </c>
      <c r="P79" s="133">
        <v>0.72</v>
      </c>
      <c r="Q79" s="133">
        <v>4.3099999999999996</v>
      </c>
    </row>
    <row r="80" spans="1:17" customFormat="1">
      <c r="A80" s="111" t="s">
        <v>3189</v>
      </c>
      <c r="B80" s="133">
        <v>4.9400000000000004</v>
      </c>
      <c r="C80" s="133">
        <v>20.88</v>
      </c>
      <c r="D80" s="133">
        <v>16.23</v>
      </c>
      <c r="E80" s="133">
        <v>5.93</v>
      </c>
      <c r="F80" s="133">
        <v>3.35</v>
      </c>
      <c r="G80" s="133">
        <v>60.71</v>
      </c>
      <c r="H80" s="133">
        <v>25.22</v>
      </c>
      <c r="I80" s="133">
        <v>5.31</v>
      </c>
      <c r="J80" s="133">
        <v>0.17</v>
      </c>
      <c r="K80" s="133">
        <v>162.71</v>
      </c>
      <c r="L80" s="133">
        <v>25.59</v>
      </c>
      <c r="M80" s="133">
        <v>66.16</v>
      </c>
      <c r="N80" s="133">
        <v>0</v>
      </c>
      <c r="O80" s="133">
        <v>0</v>
      </c>
      <c r="P80" s="133">
        <v>0.74</v>
      </c>
      <c r="Q80" s="133">
        <v>4.3099999999999996</v>
      </c>
    </row>
    <row r="81" spans="1:17" customFormat="1">
      <c r="A81" s="111" t="s">
        <v>3190</v>
      </c>
      <c r="B81" s="133">
        <v>5.18</v>
      </c>
      <c r="C81" s="133">
        <v>21.46</v>
      </c>
      <c r="D81" s="133">
        <v>16.72</v>
      </c>
      <c r="E81" s="133">
        <v>4.05</v>
      </c>
      <c r="F81" s="133">
        <v>3.16</v>
      </c>
      <c r="G81" s="133">
        <v>60.71</v>
      </c>
      <c r="H81" s="133">
        <v>25.22</v>
      </c>
      <c r="I81" s="133">
        <v>5.33</v>
      </c>
      <c r="J81" s="133">
        <v>0.12</v>
      </c>
      <c r="K81" s="133">
        <v>114.56</v>
      </c>
      <c r="L81" s="133">
        <v>25.22</v>
      </c>
      <c r="M81" s="133">
        <v>70.34</v>
      </c>
      <c r="N81" s="133">
        <v>0</v>
      </c>
      <c r="O81" s="133">
        <v>0</v>
      </c>
      <c r="P81" s="133">
        <v>0.75</v>
      </c>
      <c r="Q81" s="133">
        <v>4.34</v>
      </c>
    </row>
    <row r="82" spans="1:17" customFormat="1">
      <c r="A82" s="111" t="s">
        <v>3191</v>
      </c>
      <c r="B82" s="133">
        <v>5.56</v>
      </c>
      <c r="C82" s="133">
        <v>22.39</v>
      </c>
      <c r="D82" s="133">
        <v>17.510000000000002</v>
      </c>
      <c r="E82" s="133">
        <v>5.17</v>
      </c>
      <c r="F82" s="133">
        <v>2.91</v>
      </c>
      <c r="G82" s="133">
        <v>60.71</v>
      </c>
      <c r="H82" s="133">
        <v>25.22</v>
      </c>
      <c r="I82" s="133">
        <v>5.46</v>
      </c>
      <c r="J82" s="133">
        <v>0.15</v>
      </c>
      <c r="K82" s="133">
        <v>137.18</v>
      </c>
      <c r="L82" s="133">
        <v>25.26</v>
      </c>
      <c r="M82" s="133">
        <v>69.319999999999993</v>
      </c>
      <c r="N82" s="133">
        <v>0</v>
      </c>
      <c r="O82" s="133">
        <v>0</v>
      </c>
      <c r="P82" s="133">
        <v>0.77</v>
      </c>
      <c r="Q82" s="133">
        <v>4.38</v>
      </c>
    </row>
    <row r="83" spans="1:17" customFormat="1">
      <c r="A83" s="111" t="s">
        <v>3192</v>
      </c>
      <c r="B83" s="133">
        <v>6.01</v>
      </c>
      <c r="C83" s="133">
        <v>23.11</v>
      </c>
      <c r="D83" s="133">
        <v>18.239999999999998</v>
      </c>
      <c r="E83" s="133">
        <v>5.07</v>
      </c>
      <c r="F83" s="133">
        <v>2.75</v>
      </c>
      <c r="G83" s="133">
        <v>61.86</v>
      </c>
      <c r="H83" s="133">
        <v>25.25</v>
      </c>
      <c r="I83" s="133">
        <v>5.6</v>
      </c>
      <c r="J83" s="133">
        <v>0.14000000000000001</v>
      </c>
      <c r="K83" s="133">
        <v>145.78</v>
      </c>
      <c r="L83" s="133">
        <v>25.13</v>
      </c>
      <c r="M83" s="133">
        <v>70.7</v>
      </c>
      <c r="N83" s="133">
        <v>0</v>
      </c>
      <c r="O83" s="133">
        <v>0</v>
      </c>
      <c r="P83" s="133">
        <v>0.81</v>
      </c>
      <c r="Q83" s="133">
        <v>4.42</v>
      </c>
    </row>
    <row r="84" spans="1:17" customFormat="1">
      <c r="A84" s="111" t="s">
        <v>3193</v>
      </c>
      <c r="B84" s="133">
        <v>6.35</v>
      </c>
      <c r="C84" s="133">
        <v>24.22</v>
      </c>
      <c r="D84" s="133">
        <v>19.100000000000001</v>
      </c>
      <c r="E84" s="133">
        <v>5.0599999999999996</v>
      </c>
      <c r="F84" s="133">
        <v>2.58</v>
      </c>
      <c r="G84" s="133">
        <v>81.36</v>
      </c>
      <c r="H84" s="133">
        <v>25.72</v>
      </c>
      <c r="I84" s="133">
        <v>5.79</v>
      </c>
      <c r="J84" s="133">
        <v>0.16</v>
      </c>
      <c r="K84" s="133">
        <v>101.54</v>
      </c>
      <c r="L84" s="133">
        <v>25.03</v>
      </c>
      <c r="M84" s="133">
        <v>71.39</v>
      </c>
      <c r="N84" s="133">
        <v>0</v>
      </c>
      <c r="O84" s="133">
        <v>0</v>
      </c>
      <c r="P84" s="133">
        <v>0.83</v>
      </c>
      <c r="Q84" s="133">
        <v>4.46</v>
      </c>
    </row>
    <row r="85" spans="1:17" customFormat="1">
      <c r="A85" s="111" t="s">
        <v>3194</v>
      </c>
      <c r="B85" s="133">
        <v>6.87</v>
      </c>
      <c r="C85" s="133">
        <v>24.8</v>
      </c>
      <c r="D85" s="133">
        <v>19.82</v>
      </c>
      <c r="E85" s="133">
        <v>4.8099999999999996</v>
      </c>
      <c r="F85" s="133">
        <v>2.66</v>
      </c>
      <c r="G85" s="133">
        <v>81.36</v>
      </c>
      <c r="H85" s="133">
        <v>25.72</v>
      </c>
      <c r="I85" s="133">
        <v>6.09</v>
      </c>
      <c r="J85" s="133">
        <v>0.18</v>
      </c>
      <c r="K85" s="133">
        <v>87.61</v>
      </c>
      <c r="L85" s="133">
        <v>25.02</v>
      </c>
      <c r="M85" s="133">
        <v>70.97</v>
      </c>
      <c r="N85" s="133">
        <v>0</v>
      </c>
      <c r="O85" s="133">
        <v>0</v>
      </c>
      <c r="P85" s="133">
        <v>0.85</v>
      </c>
      <c r="Q85" s="133">
        <v>4.5</v>
      </c>
    </row>
    <row r="86" spans="1:17" customFormat="1">
      <c r="A86" s="111" t="s">
        <v>3195</v>
      </c>
      <c r="B86" s="133">
        <v>7.35</v>
      </c>
      <c r="C86" s="133">
        <v>25.02</v>
      </c>
      <c r="D86" s="133">
        <v>20.32</v>
      </c>
      <c r="E86" s="133">
        <v>5.22</v>
      </c>
      <c r="F86" s="133">
        <v>2.6</v>
      </c>
      <c r="G86" s="133">
        <v>81.36</v>
      </c>
      <c r="H86" s="133">
        <v>25.72</v>
      </c>
      <c r="I86" s="133">
        <v>6.31</v>
      </c>
      <c r="J86" s="133">
        <v>0.15</v>
      </c>
      <c r="K86" s="133">
        <v>141.11000000000001</v>
      </c>
      <c r="L86" s="133">
        <v>24.8</v>
      </c>
      <c r="M86" s="133">
        <v>71.61</v>
      </c>
      <c r="N86" s="133">
        <v>0</v>
      </c>
      <c r="O86" s="133">
        <v>0</v>
      </c>
      <c r="P86" s="133">
        <v>0.86</v>
      </c>
      <c r="Q86" s="133">
        <v>4.53</v>
      </c>
    </row>
    <row r="87" spans="1:17" customFormat="1">
      <c r="A87" s="111" t="s">
        <v>3196</v>
      </c>
      <c r="B87" s="133">
        <v>7.54</v>
      </c>
      <c r="C87" s="133">
        <v>25.43</v>
      </c>
      <c r="D87" s="133">
        <v>20.68</v>
      </c>
      <c r="E87" s="133">
        <v>5.15</v>
      </c>
      <c r="F87" s="133">
        <v>2.5499999999999998</v>
      </c>
      <c r="G87" s="133">
        <v>83.1</v>
      </c>
      <c r="H87" s="133">
        <v>26.02</v>
      </c>
      <c r="I87" s="133">
        <v>6.48</v>
      </c>
      <c r="J87" s="133">
        <v>0.14000000000000001</v>
      </c>
      <c r="K87" s="133">
        <v>133.34</v>
      </c>
      <c r="L87" s="133">
        <v>24.56</v>
      </c>
      <c r="M87" s="133">
        <v>72.209999999999994</v>
      </c>
      <c r="N87" s="133">
        <v>0</v>
      </c>
      <c r="O87" s="133">
        <v>0</v>
      </c>
      <c r="P87" s="133">
        <v>0.87</v>
      </c>
      <c r="Q87" s="133">
        <v>4.55</v>
      </c>
    </row>
    <row r="88" spans="1:17" customFormat="1">
      <c r="A88" s="111" t="s">
        <v>3197</v>
      </c>
      <c r="B88" s="133">
        <v>7.71</v>
      </c>
      <c r="C88" s="133">
        <v>25.64</v>
      </c>
      <c r="D88" s="133">
        <v>20.93</v>
      </c>
      <c r="E88" s="133">
        <v>5.25</v>
      </c>
      <c r="F88" s="133">
        <v>2.61</v>
      </c>
      <c r="G88" s="133">
        <v>112.59</v>
      </c>
      <c r="H88" s="133">
        <v>30.75</v>
      </c>
      <c r="I88" s="133">
        <v>6.67</v>
      </c>
      <c r="J88" s="133">
        <v>0.11</v>
      </c>
      <c r="K88" s="133">
        <v>118.35</v>
      </c>
      <c r="L88" s="133">
        <v>24.39</v>
      </c>
      <c r="M88" s="133">
        <v>71.209999999999994</v>
      </c>
      <c r="N88" s="133">
        <v>0</v>
      </c>
      <c r="O88" s="133">
        <v>0</v>
      </c>
      <c r="P88" s="133">
        <v>0.88</v>
      </c>
      <c r="Q88" s="133">
        <v>4.5599999999999996</v>
      </c>
    </row>
    <row r="89" spans="1:17" customFormat="1">
      <c r="A89" s="111" t="s">
        <v>3198</v>
      </c>
      <c r="B89" s="133">
        <v>7.76</v>
      </c>
      <c r="C89" s="133">
        <v>25.71</v>
      </c>
      <c r="D89" s="133">
        <v>21</v>
      </c>
      <c r="E89" s="133">
        <v>5.23</v>
      </c>
      <c r="F89" s="133">
        <v>2.81</v>
      </c>
      <c r="G89" s="133">
        <v>112.59</v>
      </c>
      <c r="H89" s="133">
        <v>30.75</v>
      </c>
      <c r="I89" s="133">
        <v>6.81</v>
      </c>
      <c r="J89" s="133">
        <v>0.21</v>
      </c>
      <c r="K89" s="133">
        <v>70.25</v>
      </c>
      <c r="L89" s="133">
        <v>24.43</v>
      </c>
      <c r="M89" s="133">
        <v>69.75</v>
      </c>
      <c r="N89" s="133">
        <v>0</v>
      </c>
      <c r="O89" s="133">
        <v>0</v>
      </c>
      <c r="P89" s="133">
        <v>0.9</v>
      </c>
      <c r="Q89" s="133">
        <v>4.55</v>
      </c>
    </row>
    <row r="90" spans="1:17" customFormat="1">
      <c r="A90" s="111" t="s">
        <v>3199</v>
      </c>
      <c r="B90" s="133">
        <v>7.8</v>
      </c>
      <c r="C90" s="133">
        <v>26.84</v>
      </c>
      <c r="D90" s="133">
        <v>21.62</v>
      </c>
      <c r="E90" s="133">
        <v>5.28</v>
      </c>
      <c r="F90" s="133">
        <v>2.67</v>
      </c>
      <c r="G90" s="133">
        <v>112.59</v>
      </c>
      <c r="H90" s="133">
        <v>30.75</v>
      </c>
      <c r="I90" s="133">
        <v>6.94</v>
      </c>
      <c r="J90" s="133">
        <v>0.28999999999999998</v>
      </c>
      <c r="K90" s="133">
        <v>52.67</v>
      </c>
      <c r="L90" s="133">
        <v>24.26</v>
      </c>
      <c r="M90" s="133">
        <v>70.3</v>
      </c>
      <c r="N90" s="133">
        <v>0</v>
      </c>
      <c r="O90" s="133">
        <v>0</v>
      </c>
      <c r="P90" s="133">
        <v>0.9</v>
      </c>
      <c r="Q90" s="133">
        <v>4.5599999999999996</v>
      </c>
    </row>
    <row r="91" spans="1:17" customFormat="1">
      <c r="A91" s="111" t="s">
        <v>3200</v>
      </c>
      <c r="B91" s="133">
        <v>8.08</v>
      </c>
      <c r="C91" s="133">
        <v>25.53</v>
      </c>
      <c r="D91" s="133">
        <v>21.17</v>
      </c>
      <c r="E91" s="133">
        <v>4.8099999999999996</v>
      </c>
      <c r="F91" s="133">
        <v>2.98</v>
      </c>
      <c r="G91" s="133">
        <v>112.13</v>
      </c>
      <c r="H91" s="133">
        <v>30.74</v>
      </c>
      <c r="I91" s="133">
        <v>6.97</v>
      </c>
      <c r="J91" s="133">
        <v>0.17</v>
      </c>
      <c r="K91" s="133">
        <v>67.66</v>
      </c>
      <c r="L91" s="133">
        <v>24.24</v>
      </c>
      <c r="M91" s="133">
        <v>71.13</v>
      </c>
      <c r="N91" s="133">
        <v>0</v>
      </c>
      <c r="O91" s="133">
        <v>0</v>
      </c>
      <c r="P91" s="133">
        <v>0.89</v>
      </c>
      <c r="Q91" s="133">
        <v>4.57</v>
      </c>
    </row>
    <row r="92" spans="1:17" customFormat="1">
      <c r="A92" s="111" t="s">
        <v>3201</v>
      </c>
      <c r="B92" s="133">
        <v>8.35</v>
      </c>
      <c r="C92" s="133">
        <v>23.26</v>
      </c>
      <c r="D92" s="133">
        <v>20.2</v>
      </c>
      <c r="E92" s="133">
        <v>4.43</v>
      </c>
      <c r="F92" s="133">
        <v>3.1</v>
      </c>
      <c r="G92" s="133">
        <v>102.25</v>
      </c>
      <c r="H92" s="133">
        <v>30.62</v>
      </c>
      <c r="I92" s="133">
        <v>7</v>
      </c>
      <c r="J92" s="133">
        <v>0.18</v>
      </c>
      <c r="K92" s="133">
        <v>163.77000000000001</v>
      </c>
      <c r="L92" s="133">
        <v>24</v>
      </c>
      <c r="M92" s="133">
        <v>73.87</v>
      </c>
      <c r="N92" s="133">
        <v>0</v>
      </c>
      <c r="O92" s="133">
        <v>0</v>
      </c>
      <c r="P92" s="133">
        <v>0.86</v>
      </c>
      <c r="Q92" s="133">
        <v>4.5599999999999996</v>
      </c>
    </row>
    <row r="93" spans="1:17" customFormat="1">
      <c r="A93" s="111" t="s">
        <v>3202</v>
      </c>
      <c r="B93" s="133">
        <v>8.23</v>
      </c>
      <c r="C93" s="133">
        <v>21.84</v>
      </c>
      <c r="D93" s="133">
        <v>19.37</v>
      </c>
      <c r="E93" s="133">
        <v>4.08</v>
      </c>
      <c r="F93" s="133">
        <v>3.08</v>
      </c>
      <c r="G93" s="133">
        <v>102.25</v>
      </c>
      <c r="H93" s="133">
        <v>30.62</v>
      </c>
      <c r="I93" s="133">
        <v>7</v>
      </c>
      <c r="J93" s="133">
        <v>0.2</v>
      </c>
      <c r="K93" s="133">
        <v>187.94</v>
      </c>
      <c r="L93" s="133">
        <v>23.48</v>
      </c>
      <c r="M93" s="133">
        <v>76.19</v>
      </c>
      <c r="N93" s="133">
        <v>0</v>
      </c>
      <c r="O93" s="133">
        <v>0</v>
      </c>
      <c r="P93" s="133">
        <v>0.84</v>
      </c>
      <c r="Q93" s="133">
        <v>4.55</v>
      </c>
    </row>
    <row r="94" spans="1:17" customFormat="1">
      <c r="A94" s="111" t="s">
        <v>3203</v>
      </c>
      <c r="B94" s="133">
        <v>8.0299999999999994</v>
      </c>
      <c r="C94" s="133">
        <v>20.92</v>
      </c>
      <c r="D94" s="133">
        <v>18.72</v>
      </c>
      <c r="E94" s="133">
        <v>3.93</v>
      </c>
      <c r="F94" s="133">
        <v>2.96</v>
      </c>
      <c r="G94" s="133">
        <v>102.25</v>
      </c>
      <c r="H94" s="133">
        <v>30.62</v>
      </c>
      <c r="I94" s="133">
        <v>6.98</v>
      </c>
      <c r="J94" s="133">
        <v>0.15</v>
      </c>
      <c r="K94" s="133">
        <v>218.6</v>
      </c>
      <c r="L94" s="133">
        <v>22.87</v>
      </c>
      <c r="M94" s="133">
        <v>81.540000000000006</v>
      </c>
      <c r="N94" s="133">
        <v>0</v>
      </c>
      <c r="O94" s="133">
        <v>0</v>
      </c>
      <c r="P94" s="133">
        <v>0.83</v>
      </c>
      <c r="Q94" s="133">
        <v>4.51</v>
      </c>
    </row>
    <row r="95" spans="1:17" customFormat="1">
      <c r="A95" s="111" t="s">
        <v>3204</v>
      </c>
      <c r="B95" s="133">
        <v>7.82</v>
      </c>
      <c r="C95" s="133">
        <v>21.6</v>
      </c>
      <c r="D95" s="133">
        <v>18.91</v>
      </c>
      <c r="E95" s="133">
        <v>3.75</v>
      </c>
      <c r="F95" s="133">
        <v>2.65</v>
      </c>
      <c r="G95" s="133">
        <v>100.98</v>
      </c>
      <c r="H95" s="133">
        <v>30.75</v>
      </c>
      <c r="I95" s="133">
        <v>6.96</v>
      </c>
      <c r="J95" s="133">
        <v>0.15</v>
      </c>
      <c r="K95" s="133">
        <v>232.68</v>
      </c>
      <c r="L95" s="133">
        <v>22.34</v>
      </c>
      <c r="M95" s="133">
        <v>84.12</v>
      </c>
      <c r="N95" s="133">
        <v>0</v>
      </c>
      <c r="O95" s="133">
        <v>0</v>
      </c>
      <c r="P95" s="133">
        <v>0.83</v>
      </c>
      <c r="Q95" s="133">
        <v>4.46</v>
      </c>
    </row>
    <row r="96" spans="1:17" customFormat="1">
      <c r="A96" s="111" t="s">
        <v>3205</v>
      </c>
      <c r="B96" s="133">
        <v>7.99</v>
      </c>
      <c r="C96" s="133">
        <v>22.3</v>
      </c>
      <c r="D96" s="133">
        <v>19.41</v>
      </c>
      <c r="E96" s="133">
        <v>4.13</v>
      </c>
      <c r="F96" s="133">
        <v>2.61</v>
      </c>
      <c r="G96" s="133">
        <v>79.430000000000007</v>
      </c>
      <c r="H96" s="133">
        <v>32.65</v>
      </c>
      <c r="I96" s="133">
        <v>6.94</v>
      </c>
      <c r="J96" s="133">
        <v>7.0000000000000007E-2</v>
      </c>
      <c r="K96" s="133">
        <v>176.85</v>
      </c>
      <c r="L96" s="133">
        <v>22.12</v>
      </c>
      <c r="M96" s="133">
        <v>84.13</v>
      </c>
      <c r="N96" s="133">
        <v>0</v>
      </c>
      <c r="O96" s="133">
        <v>0</v>
      </c>
      <c r="P96" s="133">
        <v>0.84</v>
      </c>
      <c r="Q96" s="133">
        <v>4.47</v>
      </c>
    </row>
    <row r="97" spans="1:22" customFormat="1">
      <c r="A97" s="111" t="s">
        <v>3206</v>
      </c>
      <c r="B97" s="133">
        <v>7.97</v>
      </c>
      <c r="C97" s="133">
        <v>20.54</v>
      </c>
      <c r="D97" s="133">
        <v>18.47</v>
      </c>
      <c r="E97" s="133">
        <v>3.99</v>
      </c>
      <c r="F97" s="133">
        <v>2.97</v>
      </c>
      <c r="G97" s="133">
        <v>79.430000000000007</v>
      </c>
      <c r="H97" s="133">
        <v>32.65</v>
      </c>
      <c r="I97" s="133">
        <v>6.98</v>
      </c>
      <c r="J97" s="133">
        <v>0.08</v>
      </c>
      <c r="K97" s="133">
        <v>119.45</v>
      </c>
      <c r="L97" s="133">
        <v>22.1</v>
      </c>
      <c r="M97" s="133">
        <v>83.23</v>
      </c>
      <c r="N97" s="133">
        <v>0</v>
      </c>
      <c r="O97" s="133">
        <v>0</v>
      </c>
      <c r="P97" s="133">
        <v>0.82</v>
      </c>
      <c r="Q97" s="133">
        <v>4.49</v>
      </c>
    </row>
    <row r="98" spans="1:22" customFormat="1">
      <c r="A98" s="111" t="s">
        <v>3207</v>
      </c>
      <c r="B98" s="133">
        <v>7.92</v>
      </c>
      <c r="C98" s="133">
        <v>21.09</v>
      </c>
      <c r="D98" s="133">
        <v>18.72</v>
      </c>
      <c r="E98" s="133">
        <v>3.56</v>
      </c>
      <c r="F98" s="133">
        <v>2.69</v>
      </c>
      <c r="G98" s="133">
        <v>79.430000000000007</v>
      </c>
      <c r="H98" s="133">
        <v>32.65</v>
      </c>
      <c r="I98" s="133">
        <v>6.97</v>
      </c>
      <c r="J98" s="133">
        <v>0.16</v>
      </c>
      <c r="K98" s="133">
        <v>93.77</v>
      </c>
      <c r="L98" s="133">
        <v>21.97</v>
      </c>
      <c r="M98" s="133">
        <v>83.97</v>
      </c>
      <c r="N98" s="133">
        <v>0</v>
      </c>
      <c r="O98" s="133">
        <v>0</v>
      </c>
      <c r="P98" s="133">
        <v>0.83</v>
      </c>
      <c r="Q98" s="133">
        <v>4.47</v>
      </c>
    </row>
    <row r="99" spans="1:22" customFormat="1">
      <c r="A99" s="111" t="s">
        <v>3208</v>
      </c>
      <c r="B99" s="133">
        <v>8.0500000000000007</v>
      </c>
      <c r="C99" s="133">
        <v>20.82</v>
      </c>
      <c r="D99" s="133">
        <v>18.690000000000001</v>
      </c>
      <c r="E99" s="133">
        <v>4.0999999999999996</v>
      </c>
      <c r="F99" s="133">
        <v>2.76</v>
      </c>
      <c r="G99" s="133">
        <v>78.86</v>
      </c>
      <c r="H99" s="133">
        <v>32.479999999999997</v>
      </c>
      <c r="I99" s="133">
        <v>6.95</v>
      </c>
      <c r="J99" s="133">
        <v>0.08</v>
      </c>
      <c r="K99" s="133">
        <v>140.68</v>
      </c>
      <c r="L99" s="133">
        <v>21.95</v>
      </c>
      <c r="M99" s="133">
        <v>85.04</v>
      </c>
      <c r="N99" s="133">
        <v>0</v>
      </c>
      <c r="O99" s="133">
        <v>0</v>
      </c>
      <c r="P99" s="133">
        <v>0.83</v>
      </c>
      <c r="Q99" s="133">
        <v>4.51</v>
      </c>
    </row>
    <row r="100" spans="1:22" customFormat="1">
      <c r="A100" s="111" t="s">
        <v>3209</v>
      </c>
      <c r="B100" s="133">
        <v>8</v>
      </c>
      <c r="C100" s="133">
        <v>19.11</v>
      </c>
      <c r="D100" s="133">
        <v>17.75</v>
      </c>
      <c r="E100" s="133">
        <v>3.83</v>
      </c>
      <c r="F100" s="133">
        <v>2.95</v>
      </c>
      <c r="G100" s="133">
        <v>69.25</v>
      </c>
      <c r="H100" s="133">
        <v>29.97</v>
      </c>
      <c r="I100" s="133">
        <v>6.97</v>
      </c>
      <c r="J100" s="133">
        <v>7.0000000000000007E-2</v>
      </c>
      <c r="K100" s="133">
        <v>150.01</v>
      </c>
      <c r="L100" s="133">
        <v>21.78</v>
      </c>
      <c r="M100" s="133">
        <v>87.47</v>
      </c>
      <c r="N100" s="133">
        <v>0</v>
      </c>
      <c r="O100" s="133">
        <v>0</v>
      </c>
      <c r="P100" s="133">
        <v>0.8</v>
      </c>
      <c r="Q100" s="133">
        <v>4.49</v>
      </c>
    </row>
    <row r="101" spans="1:22" customFormat="1">
      <c r="A101" s="111" t="s">
        <v>3210</v>
      </c>
      <c r="B101" s="133">
        <v>7.89</v>
      </c>
      <c r="C101" s="133">
        <v>20.03</v>
      </c>
      <c r="D101" s="133">
        <v>18.14</v>
      </c>
      <c r="E101" s="133">
        <v>3.95</v>
      </c>
      <c r="F101" s="133">
        <v>2.65</v>
      </c>
      <c r="G101" s="133">
        <v>69.25</v>
      </c>
      <c r="H101" s="133">
        <v>29.97</v>
      </c>
      <c r="I101" s="133">
        <v>6.96</v>
      </c>
      <c r="J101" s="133">
        <v>0.08</v>
      </c>
      <c r="K101" s="133">
        <v>155.07</v>
      </c>
      <c r="L101" s="133">
        <v>21.57</v>
      </c>
      <c r="M101" s="133">
        <v>88.87</v>
      </c>
      <c r="N101" s="133">
        <v>0</v>
      </c>
      <c r="O101" s="133">
        <v>0</v>
      </c>
      <c r="P101" s="133">
        <v>0.81</v>
      </c>
      <c r="Q101" s="133">
        <v>4.4800000000000004</v>
      </c>
    </row>
    <row r="102" spans="1:22" customFormat="1">
      <c r="A102" s="111" t="s">
        <v>3211</v>
      </c>
      <c r="B102" s="133">
        <v>8.11</v>
      </c>
      <c r="C102" s="133">
        <v>19.989999999999998</v>
      </c>
      <c r="D102" s="133">
        <v>18.29</v>
      </c>
      <c r="E102" s="133">
        <v>4.03</v>
      </c>
      <c r="F102" s="133">
        <v>2.58</v>
      </c>
      <c r="G102" s="133">
        <v>69.25</v>
      </c>
      <c r="H102" s="133">
        <v>29.97</v>
      </c>
      <c r="I102" s="133">
        <v>6.92</v>
      </c>
      <c r="J102" s="133">
        <v>7.0000000000000007E-2</v>
      </c>
      <c r="K102" s="133">
        <v>162.08000000000001</v>
      </c>
      <c r="L102" s="133">
        <v>21.43</v>
      </c>
      <c r="M102" s="133">
        <v>91.05</v>
      </c>
      <c r="N102" s="133">
        <v>0</v>
      </c>
      <c r="O102" s="133">
        <v>0</v>
      </c>
      <c r="P102" s="133">
        <v>0.81</v>
      </c>
      <c r="Q102" s="133">
        <v>4.4800000000000004</v>
      </c>
    </row>
    <row r="103" spans="1:22" customFormat="1">
      <c r="A103" s="111" t="s">
        <v>3212</v>
      </c>
      <c r="B103" s="133">
        <v>8</v>
      </c>
      <c r="C103" s="133">
        <v>18.59</v>
      </c>
      <c r="D103" s="133">
        <v>17.48</v>
      </c>
      <c r="E103" s="133">
        <v>3.52</v>
      </c>
      <c r="F103" s="133">
        <v>2.81</v>
      </c>
      <c r="G103" s="133">
        <v>68.430000000000007</v>
      </c>
      <c r="H103" s="133">
        <v>29.93</v>
      </c>
      <c r="I103" s="133">
        <v>6.93</v>
      </c>
      <c r="J103" s="133">
        <v>0.08</v>
      </c>
      <c r="K103" s="133">
        <v>159.72</v>
      </c>
      <c r="L103" s="133">
        <v>21.3</v>
      </c>
      <c r="M103" s="133">
        <v>91.61</v>
      </c>
      <c r="N103" s="133">
        <v>0</v>
      </c>
      <c r="O103" s="133">
        <v>0</v>
      </c>
      <c r="P103" s="133">
        <v>0.79</v>
      </c>
      <c r="Q103" s="133">
        <v>4.51</v>
      </c>
    </row>
    <row r="104" spans="1:22" customFormat="1">
      <c r="A104" s="111" t="s">
        <v>3213</v>
      </c>
      <c r="B104" s="133">
        <v>8.0399999999999991</v>
      </c>
      <c r="C104" s="133">
        <v>19.21</v>
      </c>
      <c r="D104" s="133">
        <v>17.829999999999998</v>
      </c>
      <c r="E104" s="133">
        <v>3.65</v>
      </c>
      <c r="F104" s="133">
        <v>2.56</v>
      </c>
      <c r="G104" s="133">
        <v>54.51</v>
      </c>
      <c r="H104" s="133">
        <v>29.31</v>
      </c>
      <c r="I104" s="133">
        <v>6.87</v>
      </c>
      <c r="J104" s="133">
        <v>7.0000000000000007E-2</v>
      </c>
      <c r="K104" s="133">
        <v>159.63999999999999</v>
      </c>
      <c r="L104" s="133">
        <v>21.11</v>
      </c>
      <c r="M104" s="133">
        <v>91.46</v>
      </c>
      <c r="N104" s="133">
        <v>0</v>
      </c>
      <c r="O104" s="133">
        <v>0</v>
      </c>
      <c r="P104" s="133">
        <v>0.79</v>
      </c>
      <c r="Q104" s="133">
        <v>4.49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4.01</v>
      </c>
      <c r="C106" s="183">
        <f>MIN(C9:C104)</f>
        <v>17.399999999999999</v>
      </c>
      <c r="D106" s="183">
        <f t="shared" ref="D106:Q106" si="0">MIN(D9:D104)</f>
        <v>13.76</v>
      </c>
      <c r="E106" s="183">
        <f t="shared" si="0"/>
        <v>3.52</v>
      </c>
      <c r="F106" s="183">
        <f t="shared" si="0"/>
        <v>2.27</v>
      </c>
      <c r="G106" s="183">
        <f t="shared" si="0"/>
        <v>54.51</v>
      </c>
      <c r="H106" s="183">
        <f t="shared" si="0"/>
        <v>24.87</v>
      </c>
      <c r="I106" s="183">
        <f t="shared" si="0"/>
        <v>5.3</v>
      </c>
      <c r="J106" s="183">
        <f t="shared" si="0"/>
        <v>0.02</v>
      </c>
      <c r="K106" s="183">
        <f t="shared" si="0"/>
        <v>23.79</v>
      </c>
      <c r="L106" s="183">
        <f t="shared" si="0"/>
        <v>18.64</v>
      </c>
      <c r="M106" s="183">
        <f t="shared" si="0"/>
        <v>45.41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4.21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16.86</v>
      </c>
      <c r="C107" s="184">
        <f t="shared" ref="C107:Q107" si="1">MAX(C9:C104)</f>
        <v>29.07</v>
      </c>
      <c r="D107" s="184">
        <f t="shared" si="1"/>
        <v>29.28</v>
      </c>
      <c r="E107" s="184">
        <f t="shared" si="1"/>
        <v>9.77</v>
      </c>
      <c r="F107" s="184">
        <f t="shared" si="1"/>
        <v>10.76</v>
      </c>
      <c r="G107" s="184">
        <f t="shared" si="1"/>
        <v>119.94</v>
      </c>
      <c r="H107" s="184">
        <f t="shared" si="1"/>
        <v>44.64</v>
      </c>
      <c r="I107" s="184">
        <f t="shared" si="1"/>
        <v>11.5</v>
      </c>
      <c r="J107" s="184">
        <f t="shared" si="1"/>
        <v>0.71</v>
      </c>
      <c r="K107" s="184">
        <f t="shared" si="1"/>
        <v>246.68</v>
      </c>
      <c r="L107" s="184">
        <f t="shared" si="1"/>
        <v>30.45</v>
      </c>
      <c r="M107" s="184">
        <f t="shared" si="1"/>
        <v>94.45</v>
      </c>
      <c r="N107" s="184">
        <f t="shared" si="1"/>
        <v>551</v>
      </c>
      <c r="O107" s="184">
        <f t="shared" si="1"/>
        <v>0</v>
      </c>
      <c r="P107" s="184">
        <f t="shared" si="1"/>
        <v>1.01</v>
      </c>
      <c r="Q107" s="184">
        <f t="shared" si="1"/>
        <v>5.03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9.2908333333333317</v>
      </c>
      <c r="C108" s="183">
        <f t="shared" ref="C108:Q108" si="2">AVERAGE(C9:C104)</f>
        <v>22.801562500000014</v>
      </c>
      <c r="D108" s="183">
        <f t="shared" si="2"/>
        <v>20.714895833333326</v>
      </c>
      <c r="E108" s="183">
        <f t="shared" si="2"/>
        <v>5.898020833333331</v>
      </c>
      <c r="F108" s="183">
        <f t="shared" si="2"/>
        <v>4.0539583333333349</v>
      </c>
      <c r="G108" s="183">
        <f t="shared" si="2"/>
        <v>87.01354166666664</v>
      </c>
      <c r="H108" s="183">
        <f t="shared" si="2"/>
        <v>34.375833333333311</v>
      </c>
      <c r="I108" s="183">
        <f t="shared" si="2"/>
        <v>7.8491666666666715</v>
      </c>
      <c r="J108" s="183">
        <f t="shared" si="2"/>
        <v>0.23104166666666659</v>
      </c>
      <c r="K108" s="183">
        <f t="shared" si="2"/>
        <v>116.23583333333339</v>
      </c>
      <c r="L108" s="183">
        <f t="shared" si="2"/>
        <v>24.206354166666667</v>
      </c>
      <c r="M108" s="183">
        <f t="shared" si="2"/>
        <v>72.084687500000015</v>
      </c>
      <c r="N108" s="183">
        <f t="shared" si="2"/>
        <v>119.34895833333337</v>
      </c>
      <c r="O108" s="183">
        <f t="shared" si="2"/>
        <v>0</v>
      </c>
      <c r="P108" s="183">
        <f t="shared" si="2"/>
        <v>0.79666666666666686</v>
      </c>
      <c r="Q108" s="183">
        <f t="shared" si="2"/>
        <v>4.5887500000000028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4.4360118804517228</v>
      </c>
      <c r="C109" s="183">
        <f t="shared" ref="C109:Q109" si="3">STDEV(C9:C104)</f>
        <v>3.4646018463810586</v>
      </c>
      <c r="D109" s="183">
        <f t="shared" si="3"/>
        <v>4.973477020480332</v>
      </c>
      <c r="E109" s="183">
        <f t="shared" si="3"/>
        <v>1.3349256788235382</v>
      </c>
      <c r="F109" s="183">
        <f t="shared" si="3"/>
        <v>2.1345141092192685</v>
      </c>
      <c r="G109" s="183">
        <f t="shared" si="3"/>
        <v>18.585546108916827</v>
      </c>
      <c r="H109" s="183">
        <f t="shared" si="3"/>
        <v>6.5190525089185689</v>
      </c>
      <c r="I109" s="183">
        <f t="shared" si="3"/>
        <v>1.9866113262043592</v>
      </c>
      <c r="J109" s="183">
        <f t="shared" si="3"/>
        <v>0.15295323789464602</v>
      </c>
      <c r="K109" s="183">
        <f t="shared" si="3"/>
        <v>63.138871647998606</v>
      </c>
      <c r="L109" s="183">
        <f t="shared" si="3"/>
        <v>4.1084552404424644</v>
      </c>
      <c r="M109" s="183">
        <f t="shared" si="3"/>
        <v>17.344357732832627</v>
      </c>
      <c r="N109" s="183">
        <f t="shared" si="3"/>
        <v>180.52512815018397</v>
      </c>
      <c r="O109" s="183">
        <f t="shared" si="3"/>
        <v>0</v>
      </c>
      <c r="P109" s="183">
        <f t="shared" si="3"/>
        <v>8.5257093134967363E-2</v>
      </c>
      <c r="Q109" s="183">
        <f t="shared" si="3"/>
        <v>0.27275302111302518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2" t="s">
        <v>53</v>
      </c>
      <c r="B111" s="146" t="str">
        <f>IF(B110&gt;=87,"&gt;90%",IF(B110&lt;=87,"&lt;90%"))</f>
        <v>&gt;90%</v>
      </c>
      <c r="C111" s="146" t="str">
        <f t="shared" ref="C111:Q111" si="5">IF(C110&gt;=87,"&gt;90%",IF(C110&lt;=87,"&lt;90%"))</f>
        <v>&gt;90%</v>
      </c>
      <c r="D111" s="146" t="str">
        <f t="shared" si="5"/>
        <v>&gt;90%</v>
      </c>
      <c r="E111" s="146" t="str">
        <f t="shared" si="5"/>
        <v>&gt;90%</v>
      </c>
      <c r="F111" s="146" t="str">
        <f t="shared" si="5"/>
        <v>&gt;90%</v>
      </c>
      <c r="G111" s="146" t="str">
        <f t="shared" si="5"/>
        <v>&gt;90%</v>
      </c>
      <c r="H111" s="146" t="str">
        <f t="shared" si="5"/>
        <v>&gt;90%</v>
      </c>
      <c r="I111" s="146" t="str">
        <f t="shared" si="5"/>
        <v>&gt;90%</v>
      </c>
      <c r="J111" s="146" t="str">
        <f t="shared" si="5"/>
        <v>&gt;90%</v>
      </c>
      <c r="K111" s="146" t="str">
        <f t="shared" si="5"/>
        <v>&gt;90%</v>
      </c>
      <c r="L111" s="146" t="str">
        <f t="shared" si="5"/>
        <v>&gt;90%</v>
      </c>
      <c r="M111" s="146" t="str">
        <f t="shared" si="5"/>
        <v>&gt;90%</v>
      </c>
      <c r="N111" s="146" t="str">
        <f t="shared" si="5"/>
        <v>&gt;90%</v>
      </c>
      <c r="O111" s="146" t="str">
        <f t="shared" si="5"/>
        <v>&gt;90%</v>
      </c>
      <c r="P111" s="146" t="str">
        <f t="shared" si="5"/>
        <v>&gt;90%</v>
      </c>
      <c r="Q111" s="146" t="str">
        <f t="shared" si="5"/>
        <v>&gt;90%</v>
      </c>
      <c r="R111" s="174"/>
      <c r="S111" s="174"/>
      <c r="T111" s="174"/>
      <c r="U111" s="174"/>
    </row>
    <row r="112" spans="1:22">
      <c r="A112" s="152" t="s">
        <v>54</v>
      </c>
      <c r="B112" s="146" t="str">
        <f>IF(B110&gt;=87,"OK",IF(B110&lt;=87,"LESS"))</f>
        <v>OK</v>
      </c>
      <c r="C112" s="146" t="str">
        <f t="shared" ref="C112:Q112" si="6">IF(C110&gt;=87,"OK",IF(C110&lt;=87,"LESS"))</f>
        <v>OK</v>
      </c>
      <c r="D112" s="146" t="str">
        <f t="shared" si="6"/>
        <v>OK</v>
      </c>
      <c r="E112" s="146" t="str">
        <f t="shared" si="6"/>
        <v>OK</v>
      </c>
      <c r="F112" s="146" t="str">
        <f t="shared" si="6"/>
        <v>OK</v>
      </c>
      <c r="G112" s="146" t="str">
        <f t="shared" si="6"/>
        <v>OK</v>
      </c>
      <c r="H112" s="146" t="str">
        <f t="shared" si="6"/>
        <v>OK</v>
      </c>
      <c r="I112" s="146" t="str">
        <f t="shared" si="6"/>
        <v>OK</v>
      </c>
      <c r="J112" s="146" t="str">
        <f t="shared" si="6"/>
        <v>OK</v>
      </c>
      <c r="K112" s="146" t="str">
        <f t="shared" si="6"/>
        <v>OK</v>
      </c>
      <c r="L112" s="146" t="str">
        <f t="shared" si="6"/>
        <v>OK</v>
      </c>
      <c r="M112" s="146" t="str">
        <f t="shared" si="6"/>
        <v>OK</v>
      </c>
      <c r="N112" s="146" t="str">
        <f t="shared" si="6"/>
        <v>OK</v>
      </c>
      <c r="O112" s="146" t="str">
        <f t="shared" si="6"/>
        <v>OK</v>
      </c>
      <c r="P112" s="146" t="str">
        <f t="shared" si="6"/>
        <v>OK</v>
      </c>
      <c r="Q112" s="146" t="str">
        <f t="shared" si="6"/>
        <v>OK</v>
      </c>
      <c r="R112" s="174"/>
      <c r="S112" s="174"/>
      <c r="T112" s="174"/>
      <c r="U112" s="174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2" t="s">
        <v>55</v>
      </c>
      <c r="B115" s="193" t="s">
        <v>56</v>
      </c>
      <c r="C115" s="193"/>
      <c r="D115" s="193"/>
    </row>
    <row r="116" spans="1:21">
      <c r="D116" s="162"/>
      <c r="E116" s="162"/>
      <c r="F116" s="162"/>
      <c r="G116" s="162"/>
      <c r="H116" s="162"/>
      <c r="I116" s="162"/>
    </row>
    <row r="117" spans="1:21" ht="15.75">
      <c r="A117" s="185" t="s">
        <v>57</v>
      </c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A39" sqref="A9:A39"/>
    </sheetView>
  </sheetViews>
  <sheetFormatPr defaultColWidth="8.85546875" defaultRowHeight="15"/>
  <cols>
    <col min="1" max="1" width="15.85546875" style="142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3" t="s">
        <v>0</v>
      </c>
      <c r="B1" s="144" t="s">
        <v>58</v>
      </c>
      <c r="C1" s="145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s="2" customFormat="1">
      <c r="A2" s="143" t="s">
        <v>2</v>
      </c>
      <c r="B2" s="147" t="str">
        <f>$A$9</f>
        <v>01/10/2023 00:15</v>
      </c>
      <c r="C2"/>
      <c r="D2" s="48" t="s">
        <v>3</v>
      </c>
      <c r="E2" s="48"/>
      <c r="F2" s="48"/>
      <c r="G2" s="148" t="s">
        <v>4</v>
      </c>
      <c r="H2" s="149"/>
      <c r="I2" s="149"/>
      <c r="J2" s="149"/>
      <c r="K2" s="146"/>
      <c r="L2" s="48" t="s">
        <v>5</v>
      </c>
      <c r="M2" s="146"/>
      <c r="N2" s="164" t="s">
        <v>6</v>
      </c>
      <c r="P2" s="165" t="s">
        <v>7</v>
      </c>
      <c r="Q2" s="146"/>
      <c r="R2" s="171" t="s">
        <v>8</v>
      </c>
      <c r="S2"/>
      <c r="T2"/>
      <c r="U2"/>
    </row>
    <row r="3" spans="1:21" s="2" customFormat="1">
      <c r="A3" s="143" t="s">
        <v>9</v>
      </c>
      <c r="B3" s="146" t="s">
        <v>10</v>
      </c>
      <c r="C3"/>
      <c r="D3" s="48" t="s">
        <v>11</v>
      </c>
      <c r="E3" s="48"/>
      <c r="F3" s="48"/>
      <c r="G3" s="150" t="s">
        <v>12</v>
      </c>
      <c r="H3" s="149"/>
      <c r="I3" s="143"/>
      <c r="J3" s="149"/>
      <c r="K3"/>
      <c r="L3" s="48" t="s">
        <v>13</v>
      </c>
      <c r="M3" s="146"/>
      <c r="N3" s="166" t="s">
        <v>14</v>
      </c>
      <c r="O3" s="146"/>
      <c r="P3" s="167" t="s">
        <v>15</v>
      </c>
      <c r="Q3" s="146"/>
      <c r="R3" s="172" t="s">
        <v>15</v>
      </c>
      <c r="S3"/>
      <c r="T3"/>
      <c r="U3"/>
    </row>
    <row r="4" spans="1:21" s="2" customFormat="1">
      <c r="A4" s="143" t="s">
        <v>16</v>
      </c>
      <c r="B4" s="146" t="s">
        <v>59</v>
      </c>
      <c r="C4"/>
      <c r="D4" s="48" t="s">
        <v>18</v>
      </c>
      <c r="E4" s="48"/>
      <c r="F4" s="48"/>
      <c r="G4" s="151" t="s">
        <v>19</v>
      </c>
      <c r="H4" s="149"/>
      <c r="I4" s="143"/>
      <c r="J4" s="149"/>
      <c r="K4" s="168"/>
      <c r="L4" s="48" t="s">
        <v>20</v>
      </c>
      <c r="M4" s="146"/>
      <c r="N4" s="169" t="s">
        <v>21</v>
      </c>
      <c r="O4" s="146"/>
      <c r="P4" s="146"/>
      <c r="Q4" s="146"/>
      <c r="R4" s="146"/>
      <c r="S4"/>
      <c r="T4"/>
      <c r="U4"/>
    </row>
    <row r="5" spans="1:21" s="2" customFormat="1">
      <c r="A5" s="143"/>
      <c r="B5" s="146"/>
      <c r="C5" s="146"/>
      <c r="D5" s="146"/>
      <c r="E5" s="146"/>
      <c r="F5" s="146"/>
      <c r="G5" s="146"/>
      <c r="H5" s="152"/>
      <c r="I5" s="152"/>
      <c r="J5" s="152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spans="1:21" s="2" customFormat="1">
      <c r="A6" s="143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/>
    </row>
    <row r="7" spans="1:21" s="2" customFormat="1">
      <c r="A7" s="153" t="s">
        <v>22</v>
      </c>
      <c r="B7" s="154" t="s">
        <v>23</v>
      </c>
      <c r="C7" s="154" t="s">
        <v>24</v>
      </c>
      <c r="D7" s="154" t="s">
        <v>25</v>
      </c>
      <c r="E7" s="154" t="s">
        <v>26</v>
      </c>
      <c r="F7" s="154" t="s">
        <v>27</v>
      </c>
      <c r="G7" s="154" t="s">
        <v>28</v>
      </c>
      <c r="H7" s="154" t="s">
        <v>29</v>
      </c>
      <c r="I7" s="154" t="s">
        <v>30</v>
      </c>
      <c r="J7" s="154" t="s">
        <v>31</v>
      </c>
      <c r="K7" s="154" t="s">
        <v>32</v>
      </c>
      <c r="L7" s="154" t="s">
        <v>33</v>
      </c>
      <c r="M7" s="154" t="s">
        <v>34</v>
      </c>
      <c r="N7" s="154" t="s">
        <v>35</v>
      </c>
      <c r="O7" s="154" t="s">
        <v>36</v>
      </c>
      <c r="P7" s="154" t="s">
        <v>37</v>
      </c>
      <c r="Q7" s="154" t="s">
        <v>38</v>
      </c>
      <c r="R7" s="173"/>
      <c r="S7" s="174"/>
      <c r="T7" s="173"/>
      <c r="U7" s="173"/>
    </row>
    <row r="8" spans="1:21" s="2" customFormat="1">
      <c r="A8" s="153"/>
      <c r="B8" s="155" t="s">
        <v>39</v>
      </c>
      <c r="C8" s="155" t="s">
        <v>39</v>
      </c>
      <c r="D8" s="155" t="s">
        <v>40</v>
      </c>
      <c r="E8" s="155" t="s">
        <v>39</v>
      </c>
      <c r="F8" s="155" t="s">
        <v>39</v>
      </c>
      <c r="G8" s="155" t="s">
        <v>39</v>
      </c>
      <c r="H8" s="155" t="s">
        <v>39</v>
      </c>
      <c r="I8" s="155" t="s">
        <v>39</v>
      </c>
      <c r="J8" s="155" t="s">
        <v>41</v>
      </c>
      <c r="K8" s="155" t="s">
        <v>42</v>
      </c>
      <c r="L8" s="170" t="s">
        <v>43</v>
      </c>
      <c r="M8" s="155" t="s">
        <v>44</v>
      </c>
      <c r="N8" s="155" t="s">
        <v>45</v>
      </c>
      <c r="O8" s="170" t="s">
        <v>46</v>
      </c>
      <c r="P8" s="155" t="s">
        <v>47</v>
      </c>
      <c r="Q8" s="113" t="s">
        <v>39</v>
      </c>
      <c r="R8" s="173"/>
      <c r="S8" s="174"/>
      <c r="T8" s="173"/>
      <c r="U8" s="173"/>
    </row>
    <row r="9" spans="1:21">
      <c r="A9" s="156" t="str">
        <f>'01'!$B$2</f>
        <v>01/10/2023 00:15</v>
      </c>
      <c r="B9" s="94">
        <f>'01'!B108</f>
        <v>12.375104166666665</v>
      </c>
      <c r="C9" s="94">
        <f>'01'!C108</f>
        <v>22.994375000000005</v>
      </c>
      <c r="D9" s="94">
        <f>'01'!D108</f>
        <v>23.288958333333323</v>
      </c>
      <c r="E9" s="94">
        <f>'01'!E108</f>
        <v>7.3362499999999997</v>
      </c>
      <c r="F9" s="94">
        <f>'01'!F108</f>
        <v>4.1719791666666657</v>
      </c>
      <c r="G9" s="94">
        <f>'01'!G108</f>
        <v>31.516770833333329</v>
      </c>
      <c r="H9" s="94">
        <f>'01'!H108</f>
        <v>13.449062500000002</v>
      </c>
      <c r="I9" s="94">
        <f>'01'!I108</f>
        <v>6.0677083333333348</v>
      </c>
      <c r="J9" s="94">
        <f>'01'!J108</f>
        <v>0.37812499999999982</v>
      </c>
      <c r="K9" s="94">
        <f>'01'!K108</f>
        <v>231.7597916666667</v>
      </c>
      <c r="L9" s="94">
        <f>'01'!L108</f>
        <v>27.705312500000002</v>
      </c>
      <c r="M9" s="94">
        <f>'01'!M108</f>
        <v>86.107604166666704</v>
      </c>
      <c r="N9" s="94">
        <f>'01'!N108</f>
        <v>141.91041666666666</v>
      </c>
      <c r="O9" s="94">
        <f>'01'!O108</f>
        <v>2.0833333333333333E-3</v>
      </c>
      <c r="P9" s="94">
        <f>'01'!P108</f>
        <v>0.69854166666666673</v>
      </c>
      <c r="Q9" s="94">
        <f>'01'!Q108</f>
        <v>3.8449999999999993</v>
      </c>
      <c r="R9" s="159"/>
      <c r="S9" s="159"/>
      <c r="T9" s="159"/>
      <c r="U9" s="159"/>
    </row>
    <row r="10" spans="1:21">
      <c r="A10" s="156" t="str">
        <f>'02'!$B$2</f>
        <v>02/10/2023 00:15</v>
      </c>
      <c r="B10" s="94">
        <f>'02'!B108</f>
        <v>13.490000000000007</v>
      </c>
      <c r="C10" s="94">
        <f>'02'!C108</f>
        <v>23.261145833333334</v>
      </c>
      <c r="D10" s="94">
        <f>'02'!D108</f>
        <v>24.322395833333346</v>
      </c>
      <c r="E10" s="94">
        <f>'02'!E108</f>
        <v>7.8313541666666664</v>
      </c>
      <c r="F10" s="94">
        <f>'02'!F108</f>
        <v>3.783437499999998</v>
      </c>
      <c r="G10" s="94">
        <f>'02'!G108</f>
        <v>31.119999999999987</v>
      </c>
      <c r="H10" s="94">
        <f>'02'!H108</f>
        <v>12.480520833333337</v>
      </c>
      <c r="I10" s="94">
        <f>'02'!I108</f>
        <v>5.4208333333333343</v>
      </c>
      <c r="J10" s="94">
        <f>'02'!J108</f>
        <v>0.31197916666666681</v>
      </c>
      <c r="K10" s="94">
        <f>'02'!K108</f>
        <v>241.39916666666662</v>
      </c>
      <c r="L10" s="94">
        <f>'02'!L108</f>
        <v>27.889479166666689</v>
      </c>
      <c r="M10" s="94">
        <f>'02'!M108</f>
        <v>85.90291666666667</v>
      </c>
      <c r="N10" s="94">
        <f>'02'!N108</f>
        <v>124.09374999999999</v>
      </c>
      <c r="O10" s="94">
        <f>'02'!O108</f>
        <v>4.1666666666666664E-2</v>
      </c>
      <c r="P10" s="94">
        <f>'02'!P108</f>
        <v>0.65041666666666675</v>
      </c>
      <c r="Q10" s="94">
        <f>'02'!Q108</f>
        <v>3.9425352112676042</v>
      </c>
      <c r="R10" s="159"/>
      <c r="S10" s="159"/>
      <c r="T10" s="159"/>
      <c r="U10" s="159"/>
    </row>
    <row r="11" spans="1:21">
      <c r="A11" s="156" t="str">
        <f>'03'!$B$2</f>
        <v>03/10/2023 00:15</v>
      </c>
      <c r="B11" s="94">
        <f>'03'!B108</f>
        <v>18.283510638297873</v>
      </c>
      <c r="C11" s="94">
        <f>'03'!C108</f>
        <v>25.176276595744675</v>
      </c>
      <c r="D11" s="94">
        <f>'03'!D108</f>
        <v>29.166808510638297</v>
      </c>
      <c r="E11" s="94">
        <f>'03'!E108</f>
        <v>7.5701063829787287</v>
      </c>
      <c r="F11" s="94">
        <f>'03'!F108</f>
        <v>3.9241489361702127</v>
      </c>
      <c r="G11" s="94">
        <f>'03'!G108</f>
        <v>35.27627659574469</v>
      </c>
      <c r="H11" s="94">
        <f>'03'!H108</f>
        <v>11.096808510638303</v>
      </c>
      <c r="I11" s="94">
        <f>'03'!I108</f>
        <v>4.4750000000000014</v>
      </c>
      <c r="J11" s="94">
        <f>'03'!J108</f>
        <v>0.49627659574468086</v>
      </c>
      <c r="K11" s="94">
        <f>'03'!K108</f>
        <v>214.16542553191493</v>
      </c>
      <c r="L11" s="94">
        <f>'03'!L108</f>
        <v>27.352659574468092</v>
      </c>
      <c r="M11" s="94">
        <f>'03'!M108</f>
        <v>81.480638297872346</v>
      </c>
      <c r="N11" s="94">
        <f>'03'!N108</f>
        <v>137.37765957446808</v>
      </c>
      <c r="O11" s="94">
        <f>'03'!O108</f>
        <v>2.1276595744680851E-2</v>
      </c>
      <c r="P11" s="94">
        <f>'03'!P108</f>
        <v>0.63531914893617025</v>
      </c>
      <c r="Q11" s="94">
        <f>'03'!Q108</f>
        <v>4.2683544303797465</v>
      </c>
      <c r="R11" s="159"/>
      <c r="S11" s="159"/>
      <c r="T11" s="159"/>
      <c r="U11" s="159"/>
    </row>
    <row r="12" spans="1:21">
      <c r="A12" s="156" t="str">
        <f>'04'!$B$2</f>
        <v>04/10/2023 00:15</v>
      </c>
      <c r="B12" s="94">
        <f>'04'!B108</f>
        <v>10.4315625</v>
      </c>
      <c r="C12" s="94">
        <f>'04'!C108</f>
        <v>25.633124999999989</v>
      </c>
      <c r="D12" s="94">
        <f>'04'!D108</f>
        <v>23.107916666666664</v>
      </c>
      <c r="E12" s="94">
        <f>'04'!E108</f>
        <v>6.7536458333333336</v>
      </c>
      <c r="F12" s="94">
        <f>'04'!F108</f>
        <v>5.2678124999999998</v>
      </c>
      <c r="G12" s="94">
        <f>'04'!G108</f>
        <v>48.785520833333351</v>
      </c>
      <c r="H12" s="94">
        <f>'04'!H108</f>
        <v>13.3903125</v>
      </c>
      <c r="I12" s="94">
        <f>'04'!I108</f>
        <v>4.4762499999999994</v>
      </c>
      <c r="J12" s="94">
        <f>'04'!J108</f>
        <v>0.45958333333333323</v>
      </c>
      <c r="K12" s="94">
        <f>'04'!K108</f>
        <v>278.55729166666669</v>
      </c>
      <c r="L12" s="94">
        <f>'04'!L108</f>
        <v>27.709270833333331</v>
      </c>
      <c r="M12" s="94">
        <f>'04'!M108</f>
        <v>59.455729166666636</v>
      </c>
      <c r="N12" s="94">
        <f>'04'!N108</f>
        <v>199.41666666666677</v>
      </c>
      <c r="O12" s="94">
        <f>'04'!O108</f>
        <v>0</v>
      </c>
      <c r="P12" s="94">
        <f>'04'!P108</f>
        <v>0.60468749999999993</v>
      </c>
      <c r="Q12" s="94">
        <f>'04'!Q108</f>
        <v>3.7131249999999985</v>
      </c>
      <c r="R12" s="159"/>
      <c r="S12" s="159"/>
      <c r="T12" s="159"/>
      <c r="U12" s="159"/>
    </row>
    <row r="13" spans="1:21">
      <c r="A13" s="156" t="str">
        <f>'05'!$B$2</f>
        <v>05/10/2023 00:15</v>
      </c>
      <c r="B13" s="94">
        <f>'05'!B108</f>
        <v>8.8858333333333288</v>
      </c>
      <c r="C13" s="94">
        <f>'05'!C108</f>
        <v>26.291041666666676</v>
      </c>
      <c r="D13" s="94">
        <f>'05'!D108</f>
        <v>22.212187499999999</v>
      </c>
      <c r="E13" s="94">
        <f>'05'!E108</f>
        <v>6.8964583333333307</v>
      </c>
      <c r="F13" s="94">
        <f>'05'!F108</f>
        <v>5.0800000000000018</v>
      </c>
      <c r="G13" s="94">
        <f>'05'!G108</f>
        <v>61.574791666666634</v>
      </c>
      <c r="H13" s="94">
        <f>'05'!H108</f>
        <v>18.042395833333334</v>
      </c>
      <c r="I13" s="94">
        <f>'05'!I108</f>
        <v>6.6689583333333351</v>
      </c>
      <c r="J13" s="94">
        <f>'05'!J108</f>
        <v>0.32177083333333328</v>
      </c>
      <c r="K13" s="94">
        <f>'05'!K108</f>
        <v>225.89291666666665</v>
      </c>
      <c r="L13" s="94">
        <f>'05'!L108</f>
        <v>27.133645833333322</v>
      </c>
      <c r="M13" s="94">
        <f>'05'!M108</f>
        <v>67.598958333333314</v>
      </c>
      <c r="N13" s="94">
        <f>'05'!N108</f>
        <v>191.43854166666668</v>
      </c>
      <c r="O13" s="94">
        <f>'05'!O108</f>
        <v>0</v>
      </c>
      <c r="P13" s="94">
        <f>'05'!P108</f>
        <v>0.71895833333333314</v>
      </c>
      <c r="Q13" s="94">
        <f>'05'!Q108</f>
        <v>3.7334375000000004</v>
      </c>
      <c r="R13" s="159"/>
      <c r="S13" s="159"/>
      <c r="T13" s="159"/>
      <c r="U13" s="159"/>
    </row>
    <row r="14" spans="1:21">
      <c r="A14" s="156" t="str">
        <f>'06'!$B$2</f>
        <v>06/10/2023 00:15</v>
      </c>
      <c r="B14" s="94">
        <f>'06'!B108</f>
        <v>10.324062500000002</v>
      </c>
      <c r="C14" s="94">
        <f>'06'!C108</f>
        <v>25.351666666666659</v>
      </c>
      <c r="D14" s="94">
        <f>'06'!D108</f>
        <v>22.876562499999991</v>
      </c>
      <c r="E14" s="94">
        <f>'06'!E108</f>
        <v>8.1046875000000043</v>
      </c>
      <c r="F14" s="94">
        <f>'06'!F108</f>
        <v>6.218333333333331</v>
      </c>
      <c r="G14" s="94">
        <f>'06'!G108</f>
        <v>60.290666666666667</v>
      </c>
      <c r="H14" s="94">
        <f>'06'!H108</f>
        <v>16.560111111111109</v>
      </c>
      <c r="I14" s="94">
        <f>'06'!I108</f>
        <v>5.9603125000000015</v>
      </c>
      <c r="J14" s="94">
        <f>'06'!J108</f>
        <v>0.21177083333333338</v>
      </c>
      <c r="K14" s="94">
        <f>'06'!K108</f>
        <v>189.85218749999999</v>
      </c>
      <c r="L14" s="94">
        <f>'06'!L108</f>
        <v>27.359374999999996</v>
      </c>
      <c r="M14" s="94">
        <f>'06'!M108</f>
        <v>75.434375000000031</v>
      </c>
      <c r="N14" s="94">
        <f>'06'!N108</f>
        <v>153.90208333333334</v>
      </c>
      <c r="O14" s="94">
        <f>'06'!O108</f>
        <v>0</v>
      </c>
      <c r="P14" s="94">
        <f>'06'!P108</f>
        <v>0.77083333333333381</v>
      </c>
      <c r="Q14" s="94">
        <f>'06'!Q108</f>
        <v>3.7379166666666683</v>
      </c>
      <c r="R14" s="159"/>
      <c r="S14" s="159"/>
      <c r="T14" s="159"/>
      <c r="U14" s="159"/>
    </row>
    <row r="15" spans="1:21">
      <c r="A15" s="156" t="str">
        <f>'07'!$B$2</f>
        <v>07/10/2023 00:15</v>
      </c>
      <c r="B15" s="94">
        <f>'07'!B108</f>
        <v>13.944375000000006</v>
      </c>
      <c r="C15" s="94">
        <f>'07'!C108</f>
        <v>29.043229166666681</v>
      </c>
      <c r="D15" s="94">
        <f>'07'!D108</f>
        <v>27.708437500000006</v>
      </c>
      <c r="E15" s="94">
        <f>'07'!E108</f>
        <v>8.770624999999999</v>
      </c>
      <c r="F15" s="94">
        <f>'07'!F108</f>
        <v>5.2744791666666666</v>
      </c>
      <c r="G15" s="94">
        <f>'07'!G108</f>
        <v>77.876145833333325</v>
      </c>
      <c r="H15" s="94">
        <f>'07'!H108</f>
        <v>26.014583333333338</v>
      </c>
      <c r="I15" s="94">
        <f>'07'!I108</f>
        <v>6.255416666666668</v>
      </c>
      <c r="J15" s="94">
        <f>'07'!J108</f>
        <v>0.22312500000000005</v>
      </c>
      <c r="K15" s="94">
        <f>'07'!K108</f>
        <v>161.97885416666671</v>
      </c>
      <c r="L15" s="94">
        <f>'07'!L108</f>
        <v>27.296875000000011</v>
      </c>
      <c r="M15" s="94">
        <f>'07'!M108</f>
        <v>67.19083333333333</v>
      </c>
      <c r="N15" s="94">
        <f>'07'!N108</f>
        <v>181.984375</v>
      </c>
      <c r="O15" s="94">
        <f>'07'!O108</f>
        <v>0</v>
      </c>
      <c r="P15" s="94">
        <f>'07'!P108</f>
        <v>0.85479166666666684</v>
      </c>
      <c r="Q15" s="94">
        <f>'07'!Q108</f>
        <v>4.0671875000000002</v>
      </c>
      <c r="R15" s="159"/>
      <c r="S15" s="159"/>
      <c r="T15" s="159"/>
      <c r="U15" s="159"/>
    </row>
    <row r="16" spans="1:21">
      <c r="A16" s="156" t="str">
        <f>'08'!$B$2</f>
        <v>08/10/2023 00:15</v>
      </c>
      <c r="B16" s="94">
        <f>'08'!B108</f>
        <v>9.9778125000000006</v>
      </c>
      <c r="C16" s="94">
        <f>'08'!C108</f>
        <v>25.243854166666679</v>
      </c>
      <c r="D16" s="94">
        <f>'08'!D108</f>
        <v>22.541979166666668</v>
      </c>
      <c r="E16" s="94">
        <f>'08'!E108</f>
        <v>7.6856250000000008</v>
      </c>
      <c r="F16" s="94">
        <f>'08'!F108</f>
        <v>5.1534374999999999</v>
      </c>
      <c r="G16" s="94">
        <f>'08'!G108</f>
        <v>61.877395833333374</v>
      </c>
      <c r="H16" s="94">
        <f>'08'!H108</f>
        <v>21.389479166666685</v>
      </c>
      <c r="I16" s="94">
        <f>'08'!I108</f>
        <v>6.1104166666666666</v>
      </c>
      <c r="J16" s="94">
        <f>'08'!J108</f>
        <v>0.18979166666666661</v>
      </c>
      <c r="K16" s="94">
        <f>'08'!K108</f>
        <v>177.68864583333331</v>
      </c>
      <c r="L16" s="94">
        <f>'08'!L108</f>
        <v>27.756249999999998</v>
      </c>
      <c r="M16" s="94">
        <f>'08'!M108</f>
        <v>72.685208333333321</v>
      </c>
      <c r="N16" s="94">
        <f>'08'!N108</f>
        <v>177.01979166666661</v>
      </c>
      <c r="O16" s="94">
        <f>'08'!O108</f>
        <v>0</v>
      </c>
      <c r="P16" s="94">
        <f>'08'!P108</f>
        <v>0.69958333333333345</v>
      </c>
      <c r="Q16" s="94">
        <f>'08'!Q108</f>
        <v>3.7029166666666669</v>
      </c>
      <c r="R16" s="159"/>
      <c r="S16" s="159"/>
      <c r="T16" s="159"/>
      <c r="U16" s="159"/>
    </row>
    <row r="17" spans="1:21">
      <c r="A17" s="156" t="str">
        <f>'09'!$B$2</f>
        <v>09/10/2023 00:15</v>
      </c>
      <c r="B17" s="94">
        <f>'09'!B108</f>
        <v>9.6395833333333361</v>
      </c>
      <c r="C17" s="94">
        <f>'09'!C108</f>
        <v>24.407083333333336</v>
      </c>
      <c r="D17" s="94">
        <f>'09'!D108</f>
        <v>21.833020833333336</v>
      </c>
      <c r="E17" s="94">
        <f>'09'!E108</f>
        <v>8.0806250000000066</v>
      </c>
      <c r="F17" s="94">
        <f>'09'!F108</f>
        <v>6.6598958333333327</v>
      </c>
      <c r="G17" s="94">
        <f>'09'!G108</f>
        <v>56.130000000000045</v>
      </c>
      <c r="H17" s="94">
        <f>'09'!H108</f>
        <v>18.461249999999996</v>
      </c>
      <c r="I17" s="94">
        <f>'09'!I108</f>
        <v>5.1392708333333337</v>
      </c>
      <c r="J17" s="94">
        <f>'09'!J108</f>
        <v>0.23510416666666667</v>
      </c>
      <c r="K17" s="94">
        <f>'09'!K108</f>
        <v>169.98052083333334</v>
      </c>
      <c r="L17" s="94">
        <f>'09'!L108</f>
        <v>28.25395833333333</v>
      </c>
      <c r="M17" s="94">
        <f>'09'!M108</f>
        <v>73.803333333333356</v>
      </c>
      <c r="N17" s="94">
        <f>'09'!N108</f>
        <v>170.71875</v>
      </c>
      <c r="O17" s="94">
        <f>'09'!O108</f>
        <v>0</v>
      </c>
      <c r="P17" s="94">
        <f>'09'!P108</f>
        <v>0.60322916666666648</v>
      </c>
      <c r="Q17" s="94">
        <f>'09'!Q108</f>
        <v>3.692499999999999</v>
      </c>
      <c r="R17" s="159"/>
      <c r="S17" s="159"/>
      <c r="T17" s="159"/>
      <c r="U17" s="159"/>
    </row>
    <row r="18" spans="1:21">
      <c r="A18" s="156" t="str">
        <f>'10'!$B$2</f>
        <v>10/10/2023 00:15</v>
      </c>
      <c r="B18" s="94">
        <f>'10'!B108</f>
        <v>9.1392553191489405</v>
      </c>
      <c r="C18" s="94">
        <f>'10'!C108</f>
        <v>25.044787234042552</v>
      </c>
      <c r="D18" s="94">
        <f>'10'!D108</f>
        <v>21.48744680851064</v>
      </c>
      <c r="E18" s="94">
        <f>'10'!E108</f>
        <v>7.6704166666666707</v>
      </c>
      <c r="F18" s="94">
        <f>'10'!F108</f>
        <v>5.9803124999999975</v>
      </c>
      <c r="G18" s="94">
        <f>'10'!G108</f>
        <v>61.010312500000019</v>
      </c>
      <c r="H18" s="94">
        <f>'10'!H108</f>
        <v>19.444166666666657</v>
      </c>
      <c r="I18" s="94">
        <f>'10'!I108</f>
        <v>30.255312499999985</v>
      </c>
      <c r="J18" s="94">
        <f>'10'!J108</f>
        <v>0.25312499999999999</v>
      </c>
      <c r="K18" s="94">
        <f>'10'!K108</f>
        <v>147.39354166666661</v>
      </c>
      <c r="L18" s="94">
        <f>'10'!L108</f>
        <v>28.322395833333331</v>
      </c>
      <c r="M18" s="94">
        <f>'10'!M108</f>
        <v>74.522604166666696</v>
      </c>
      <c r="N18" s="94">
        <f>'10'!N108</f>
        <v>161.40312500000002</v>
      </c>
      <c r="O18" s="94">
        <f>'10'!O108</f>
        <v>0</v>
      </c>
      <c r="P18" s="94">
        <f>'10'!P108</f>
        <v>0.67031914893617028</v>
      </c>
      <c r="Q18" s="94">
        <f>'10'!Q108</f>
        <v>3.6676041666666674</v>
      </c>
      <c r="R18" s="159"/>
      <c r="S18" s="159"/>
      <c r="T18" s="159"/>
      <c r="U18" s="159"/>
    </row>
    <row r="19" spans="1:21">
      <c r="A19" s="156" t="str">
        <f>'11'!$B$2</f>
        <v>11/10/2023 00:15</v>
      </c>
      <c r="B19" s="94">
        <f>'11'!B108</f>
        <v>10.488229166666667</v>
      </c>
      <c r="C19" s="94">
        <f>'11'!C108</f>
        <v>23.008645833333336</v>
      </c>
      <c r="D19" s="94">
        <f>'11'!D108</f>
        <v>21.106979166666665</v>
      </c>
      <c r="E19" s="94">
        <f>'11'!E108</f>
        <v>8.571666666666669</v>
      </c>
      <c r="F19" s="94">
        <f>'11'!F108</f>
        <v>5.8785416666666643</v>
      </c>
      <c r="G19" s="94">
        <f>'11'!G108</f>
        <v>59.988125000000018</v>
      </c>
      <c r="H19" s="94">
        <f>'11'!H108</f>
        <v>20.15635416666667</v>
      </c>
      <c r="I19" s="94">
        <f>'11'!I108</f>
        <v>13.88229166666668</v>
      </c>
      <c r="J19" s="94">
        <f>'11'!J108</f>
        <v>0.22906250000000006</v>
      </c>
      <c r="K19" s="94">
        <f>'11'!K108</f>
        <v>161.75541666666663</v>
      </c>
      <c r="L19" s="94">
        <f>'11'!L108</f>
        <v>28.255729166666679</v>
      </c>
      <c r="M19" s="94">
        <f>'11'!M108</f>
        <v>73.579166666666637</v>
      </c>
      <c r="N19" s="94">
        <f>'11'!N108</f>
        <v>169.68229166666669</v>
      </c>
      <c r="O19" s="94">
        <f>'11'!O108</f>
        <v>0</v>
      </c>
      <c r="P19" s="94">
        <f>'11'!P108</f>
        <v>0.65968750000000009</v>
      </c>
      <c r="Q19" s="94">
        <f>'11'!Q108</f>
        <v>3.6864583333333347</v>
      </c>
      <c r="R19" s="159"/>
      <c r="S19" s="159"/>
      <c r="T19" s="159"/>
      <c r="U19" s="159"/>
    </row>
    <row r="20" spans="1:21">
      <c r="A20" s="156">
        <f>'12'!$B$2</f>
        <v>45211.010416666664</v>
      </c>
      <c r="B20" s="94">
        <f>'12'!B108</f>
        <v>8.4970329670329683</v>
      </c>
      <c r="C20" s="94">
        <f>'12'!C108</f>
        <v>22.589340659340664</v>
      </c>
      <c r="D20" s="94">
        <f>'12'!D108</f>
        <v>19.610219780219779</v>
      </c>
      <c r="E20" s="94">
        <f>'12'!E108</f>
        <v>7.3553932584269646</v>
      </c>
      <c r="F20" s="94">
        <f>'12'!F108</f>
        <v>6.4052688172043002</v>
      </c>
      <c r="G20" s="94">
        <f>'12'!G108</f>
        <v>48.003908045977006</v>
      </c>
      <c r="H20" s="94">
        <f>'12'!H108</f>
        <v>17.131954022988502</v>
      </c>
      <c r="I20" s="94">
        <f>'12'!I108</f>
        <v>22.166666666666661</v>
      </c>
      <c r="J20" s="94">
        <f>'12'!J108</f>
        <v>0.17343750000000002</v>
      </c>
      <c r="K20" s="94">
        <f>'12'!K108</f>
        <v>198.94249999999997</v>
      </c>
      <c r="L20" s="94">
        <f>'12'!L108</f>
        <v>27.914895833333336</v>
      </c>
      <c r="M20" s="94">
        <f>'12'!M108</f>
        <v>75.26979166666662</v>
      </c>
      <c r="N20" s="94">
        <f>'12'!N108</f>
        <v>134.25937500000001</v>
      </c>
      <c r="O20" s="94">
        <f>'12'!O108</f>
        <v>0</v>
      </c>
      <c r="P20" s="94">
        <f>'12'!P108</f>
        <v>0.6614583333333337</v>
      </c>
      <c r="Q20" s="94">
        <f>'12'!Q108</f>
        <v>4.4582291666666674</v>
      </c>
      <c r="R20" s="159"/>
      <c r="S20" s="159"/>
      <c r="T20" s="159"/>
      <c r="U20" s="159"/>
    </row>
    <row r="21" spans="1:21" s="141" customFormat="1">
      <c r="A21" s="156" t="str">
        <f>'13'!$B$2</f>
        <v>13/10/2023 00:15</v>
      </c>
      <c r="B21" s="157">
        <f>'13'!B108</f>
        <v>11.424687500000003</v>
      </c>
      <c r="C21" s="157">
        <f>'13'!C108</f>
        <v>22.455208333333335</v>
      </c>
      <c r="D21" s="157">
        <f>'13'!D108</f>
        <v>22.244583333333335</v>
      </c>
      <c r="E21" s="157">
        <f>'13'!E108</f>
        <v>7.4546874999999959</v>
      </c>
      <c r="F21" s="157">
        <f>'13'!F108</f>
        <v>4.415729166666666</v>
      </c>
      <c r="G21" s="157">
        <f>'13'!G108</f>
        <v>58.876354166666708</v>
      </c>
      <c r="H21" s="157">
        <f>'13'!H108</f>
        <v>21.344479166666655</v>
      </c>
      <c r="I21" s="157">
        <f>'13'!I108</f>
        <v>10.748749999999996</v>
      </c>
      <c r="J21" s="157">
        <f>'13'!J108</f>
        <v>0.17031250000000012</v>
      </c>
      <c r="K21" s="157">
        <f>'13'!K108</f>
        <v>179.26843749999998</v>
      </c>
      <c r="L21" s="157">
        <f>'13'!L108</f>
        <v>27.983541666666653</v>
      </c>
      <c r="M21" s="157">
        <f>'13'!M108</f>
        <v>76.156249999999986</v>
      </c>
      <c r="N21" s="157">
        <f>'13'!N108</f>
        <v>143.40937500000004</v>
      </c>
      <c r="O21" s="157">
        <f>'13'!O108</f>
        <v>0</v>
      </c>
      <c r="P21" s="157">
        <f>'13'!P108</f>
        <v>0.67979166666666668</v>
      </c>
      <c r="Q21" s="157">
        <f>'13'!Q108</f>
        <v>5.409166666666664</v>
      </c>
      <c r="R21" s="175"/>
      <c r="S21" s="175"/>
      <c r="T21" s="175"/>
      <c r="U21" s="175"/>
    </row>
    <row r="22" spans="1:21" s="141" customFormat="1">
      <c r="A22" s="156" t="str">
        <f>'14'!$B$2</f>
        <v>14/10/2023 00:15</v>
      </c>
      <c r="B22" s="158">
        <f>'14'!B108</f>
        <v>10.187604166666667</v>
      </c>
      <c r="C22" s="158">
        <f>'14'!C108</f>
        <v>24.975208333333324</v>
      </c>
      <c r="D22" s="158">
        <f>'14'!D108</f>
        <v>22.569479166666664</v>
      </c>
      <c r="E22" s="158">
        <f>'14'!E108</f>
        <v>7.4006250000000016</v>
      </c>
      <c r="F22" s="158">
        <f>'14'!F108</f>
        <v>5.1368750000000007</v>
      </c>
      <c r="G22" s="158">
        <f>'14'!G108</f>
        <v>67.059479166666634</v>
      </c>
      <c r="H22" s="158">
        <f>'14'!H108</f>
        <v>22.669479166666651</v>
      </c>
      <c r="I22" s="158">
        <f>'14'!I108</f>
        <v>7.782604166666669</v>
      </c>
      <c r="J22" s="158">
        <f>'14'!J108</f>
        <v>0.22145833333333331</v>
      </c>
      <c r="K22" s="158">
        <f>'14'!K108</f>
        <v>151.7782291666667</v>
      </c>
      <c r="L22" s="158">
        <f>'14'!L108</f>
        <v>27.730312499999997</v>
      </c>
      <c r="M22" s="158">
        <f>'14'!M108</f>
        <v>73.051354166666599</v>
      </c>
      <c r="N22" s="158">
        <f>'14'!N108</f>
        <v>136.73854166666669</v>
      </c>
      <c r="O22" s="158">
        <f>'14'!O108</f>
        <v>0</v>
      </c>
      <c r="P22" s="158">
        <f>'14'!P108</f>
        <v>0.80885416666666654</v>
      </c>
      <c r="Q22" s="158">
        <f>'14'!Q108</f>
        <v>5.4578125000000002</v>
      </c>
      <c r="R22" s="176"/>
      <c r="S22" s="176"/>
      <c r="T22" s="176"/>
      <c r="U22" s="176"/>
    </row>
    <row r="23" spans="1:21">
      <c r="A23" s="156" t="str">
        <f>'15'!$B$2</f>
        <v>15/10/2023 00:15</v>
      </c>
      <c r="B23" s="94">
        <f>'15'!B108</f>
        <v>10.523020833333335</v>
      </c>
      <c r="C23" s="94">
        <f>'15'!C108</f>
        <v>22.798020833333329</v>
      </c>
      <c r="D23" s="94">
        <f>'15'!D108</f>
        <v>21.701145833333332</v>
      </c>
      <c r="E23" s="94">
        <f>'15'!E108</f>
        <v>6.8438541666666666</v>
      </c>
      <c r="F23" s="94">
        <f>'15'!F108</f>
        <v>4.4122916666666674</v>
      </c>
      <c r="G23" s="94">
        <f>'15'!G108</f>
        <v>47.58697916666668</v>
      </c>
      <c r="H23" s="94">
        <f>'15'!H108</f>
        <v>19.524895833333339</v>
      </c>
      <c r="I23" s="94">
        <f>'15'!I108</f>
        <v>6.8172916666666685</v>
      </c>
      <c r="J23" s="94">
        <f>'15'!J108</f>
        <v>0.16645833333333335</v>
      </c>
      <c r="K23" s="94">
        <f>'15'!K108</f>
        <v>196.14249999999993</v>
      </c>
      <c r="L23" s="94">
        <f>'15'!L108</f>
        <v>27.227916666666676</v>
      </c>
      <c r="M23" s="94">
        <f>'15'!M108</f>
        <v>74.943958333333356</v>
      </c>
      <c r="N23" s="94">
        <f>'15'!N108</f>
        <v>136.9</v>
      </c>
      <c r="O23" s="94">
        <f>'15'!O108</f>
        <v>0</v>
      </c>
      <c r="P23" s="94">
        <f>'15'!P108</f>
        <v>0.66854166666666659</v>
      </c>
      <c r="Q23" s="94">
        <f>'15'!Q108</f>
        <v>5.376875000000001</v>
      </c>
      <c r="R23" s="159"/>
      <c r="S23" s="159"/>
      <c r="T23" s="159"/>
      <c r="U23" s="159"/>
    </row>
    <row r="24" spans="1:21">
      <c r="A24" s="156" t="str">
        <f>'16'!$B$2</f>
        <v>16/10/2023 00:15</v>
      </c>
      <c r="B24" s="94">
        <f>'16'!B108</f>
        <v>10.61875</v>
      </c>
      <c r="C24" s="94">
        <f>'16'!C108</f>
        <v>22.930312500000003</v>
      </c>
      <c r="D24" s="94">
        <f>'16'!D108</f>
        <v>21.84760416666666</v>
      </c>
      <c r="E24" s="94">
        <f>'16'!E108</f>
        <v>7.0216666666666674</v>
      </c>
      <c r="F24" s="94">
        <f>'16'!F108</f>
        <v>3.9026041666666678</v>
      </c>
      <c r="G24" s="94">
        <f>'16'!G108</f>
        <v>41.389791666666682</v>
      </c>
      <c r="H24" s="94">
        <f>'16'!H108</f>
        <v>17.797812500000006</v>
      </c>
      <c r="I24" s="94">
        <f>'16'!I108</f>
        <v>5.365729166666668</v>
      </c>
      <c r="J24" s="94">
        <f>'16'!J108</f>
        <v>0.17854166666666668</v>
      </c>
      <c r="K24" s="94">
        <f>'16'!K108</f>
        <v>183.30114583333338</v>
      </c>
      <c r="L24" s="94">
        <f>'16'!L108</f>
        <v>26.925104166666667</v>
      </c>
      <c r="M24" s="94">
        <f>'16'!M108</f>
        <v>70.501979166666672</v>
      </c>
      <c r="N24" s="94">
        <f>'16'!N108</f>
        <v>164.87395833333335</v>
      </c>
      <c r="O24" s="94">
        <f>'16'!O108</f>
        <v>0</v>
      </c>
      <c r="P24" s="94">
        <f>'16'!P108</f>
        <v>0.55697916666666625</v>
      </c>
      <c r="Q24" s="94">
        <f>'16'!Q108</f>
        <v>5.3591666666666669</v>
      </c>
      <c r="R24" s="159"/>
      <c r="S24" s="159"/>
      <c r="T24" s="159"/>
      <c r="U24" s="159"/>
    </row>
    <row r="25" spans="1:21">
      <c r="A25" s="156" t="str">
        <f>'17'!$B$2</f>
        <v>17/10/2023 00:15</v>
      </c>
      <c r="B25" s="94">
        <f>'17'!B108</f>
        <v>10.816770833333329</v>
      </c>
      <c r="C25" s="94">
        <f>'17'!C108</f>
        <v>24.142499999999995</v>
      </c>
      <c r="D25" s="94">
        <f>'17'!D108</f>
        <v>22.638854166666661</v>
      </c>
      <c r="E25" s="94">
        <f>'17'!E108</f>
        <v>7.2835416666666655</v>
      </c>
      <c r="F25" s="94">
        <f>'17'!F108</f>
        <v>3.9369791666666671</v>
      </c>
      <c r="G25" s="94">
        <f>'17'!G108</f>
        <v>51.868645833333325</v>
      </c>
      <c r="H25" s="94">
        <f>'17'!H108</f>
        <v>21.073854166666681</v>
      </c>
      <c r="I25" s="94">
        <f>'17'!I108</f>
        <v>6.3784374999999978</v>
      </c>
      <c r="J25" s="94">
        <f>'17'!J108</f>
        <v>0.20666666666666667</v>
      </c>
      <c r="K25" s="94">
        <f>'17'!K108</f>
        <v>158.81624999999997</v>
      </c>
      <c r="L25" s="94">
        <f>'17'!L108</f>
        <v>26.748541666666664</v>
      </c>
      <c r="M25" s="94">
        <f>'17'!M108</f>
        <v>71.821458333333311</v>
      </c>
      <c r="N25" s="94">
        <f>'17'!N108</f>
        <v>154.45104166666667</v>
      </c>
      <c r="O25" s="94">
        <f>'17'!O108</f>
        <v>0</v>
      </c>
      <c r="P25" s="94">
        <f>'17'!P108</f>
        <v>0.68062499999999992</v>
      </c>
      <c r="Q25" s="94">
        <f>'17'!Q108</f>
        <v>5.4181250000000007</v>
      </c>
      <c r="R25" s="159"/>
      <c r="S25" s="159"/>
      <c r="T25" s="159"/>
      <c r="U25" s="159"/>
    </row>
    <row r="26" spans="1:21">
      <c r="A26" s="156" t="str">
        <f>'18'!$B$2</f>
        <v>18/10/2023 00:15</v>
      </c>
      <c r="B26" s="94">
        <f>'18'!B108</f>
        <v>11.81191489361702</v>
      </c>
      <c r="C26" s="94">
        <f>'18'!C108</f>
        <v>27.354787234042547</v>
      </c>
      <c r="D26" s="94">
        <f>'18'!D108</f>
        <v>25.115106382978734</v>
      </c>
      <c r="E26" s="94">
        <f>'18'!E108</f>
        <v>10.087812499999997</v>
      </c>
      <c r="F26" s="94">
        <f>'18'!F108</f>
        <v>4.819062500000002</v>
      </c>
      <c r="G26" s="94">
        <f>'18'!G108</f>
        <v>72.019462365591423</v>
      </c>
      <c r="H26" s="94">
        <f>'18'!H108</f>
        <v>25.948709677419359</v>
      </c>
      <c r="I26" s="94">
        <f>'18'!I108</f>
        <v>5.2245833333333316</v>
      </c>
      <c r="J26" s="94">
        <f>'18'!J108</f>
        <v>0.26395833333333324</v>
      </c>
      <c r="K26" s="94">
        <f>'18'!K108</f>
        <v>122.92218750000002</v>
      </c>
      <c r="L26" s="94">
        <f>'18'!L108</f>
        <v>26.483541666666667</v>
      </c>
      <c r="M26" s="94">
        <f>'18'!M108</f>
        <v>76.004999999999995</v>
      </c>
      <c r="N26" s="94">
        <f>'18'!N108</f>
        <v>138.02812499999996</v>
      </c>
      <c r="O26" s="94">
        <f>'18'!O108</f>
        <v>0</v>
      </c>
      <c r="P26" s="94">
        <f>'18'!P108</f>
        <v>0.70531250000000012</v>
      </c>
      <c r="Q26" s="94">
        <f>'18'!Q108</f>
        <v>5.2997826086956499</v>
      </c>
      <c r="R26" s="159"/>
      <c r="S26" s="159"/>
      <c r="T26" s="159"/>
      <c r="U26" s="159"/>
    </row>
    <row r="27" spans="1:21">
      <c r="A27" s="156" t="str">
        <f>'19'!$B$2</f>
        <v>19/10/2023 00:15</v>
      </c>
      <c r="B27" s="94">
        <f>'19'!B108</f>
        <v>20.653541666666673</v>
      </c>
      <c r="C27" s="94">
        <f>'19'!C108</f>
        <v>25.710312500000011</v>
      </c>
      <c r="D27" s="94">
        <f>'19'!D108</f>
        <v>31.346666666666664</v>
      </c>
      <c r="E27" s="94">
        <f>'19'!E108</f>
        <v>8.7526041666666661</v>
      </c>
      <c r="F27" s="94">
        <f>'19'!F108</f>
        <v>5.2934375000000014</v>
      </c>
      <c r="G27" s="94">
        <f>'19'!G108</f>
        <v>82.029101123595524</v>
      </c>
      <c r="H27" s="94">
        <f>'19'!H108</f>
        <v>29.896179775280917</v>
      </c>
      <c r="I27" s="94">
        <f>'19'!I108</f>
        <v>7.3793749999999996</v>
      </c>
      <c r="J27" s="94">
        <f>'19'!J108</f>
        <v>0.26635416666666661</v>
      </c>
      <c r="K27" s="94">
        <f>'19'!K108</f>
        <v>85.394583333333301</v>
      </c>
      <c r="L27" s="94">
        <f>'19'!L108</f>
        <v>26.838541666666661</v>
      </c>
      <c r="M27" s="94">
        <f>'19'!M108</f>
        <v>79.750416666666666</v>
      </c>
      <c r="N27" s="94">
        <f>'19'!N108</f>
        <v>135.66250000000002</v>
      </c>
      <c r="O27" s="94">
        <f>'19'!O108</f>
        <v>0</v>
      </c>
      <c r="P27" s="94">
        <f>'19'!P108</f>
        <v>0.78010416666666682</v>
      </c>
      <c r="Q27" s="94">
        <f>'19'!Q108</f>
        <v>5.1089583333333328</v>
      </c>
      <c r="R27" s="159"/>
      <c r="S27" s="159"/>
      <c r="T27" s="159"/>
      <c r="U27" s="159"/>
    </row>
    <row r="28" spans="1:21">
      <c r="A28" s="156" t="str">
        <f>'20'!$B$2</f>
        <v>20/10/2023 00:15</v>
      </c>
      <c r="B28" s="94">
        <f>'20'!B108</f>
        <v>17.2340625</v>
      </c>
      <c r="C28" s="94">
        <f>'20'!C108</f>
        <v>21.880416666666662</v>
      </c>
      <c r="D28" s="94">
        <f>'20'!D108</f>
        <v>26.603958333333324</v>
      </c>
      <c r="E28" s="94">
        <f>'20'!E108</f>
        <v>7.4164583333333312</v>
      </c>
      <c r="F28" s="94">
        <f>'20'!F108</f>
        <v>3.8745833333333333</v>
      </c>
      <c r="G28" s="94">
        <f>'20'!G108</f>
        <v>80.631458333333327</v>
      </c>
      <c r="H28" s="94">
        <f>'20'!H108</f>
        <v>31.035208333333347</v>
      </c>
      <c r="I28" s="94">
        <f>'20'!I108</f>
        <v>6.0069791666666648</v>
      </c>
      <c r="J28" s="94">
        <f>'20'!J108</f>
        <v>0.35260416666666661</v>
      </c>
      <c r="K28" s="94">
        <f>'20'!K108</f>
        <v>95.122916666666654</v>
      </c>
      <c r="L28" s="94">
        <f>'20'!L108</f>
        <v>26.097812500000003</v>
      </c>
      <c r="M28" s="94">
        <f>'20'!M108</f>
        <v>77.677499999999995</v>
      </c>
      <c r="N28" s="94">
        <f>'20'!N108</f>
        <v>143.37604166666668</v>
      </c>
      <c r="O28" s="94">
        <f>'20'!O108</f>
        <v>0</v>
      </c>
      <c r="P28" s="94">
        <f>'20'!P108</f>
        <v>0.75333333333333341</v>
      </c>
      <c r="Q28" s="94">
        <f>'20'!Q108</f>
        <v>5.0681250000000011</v>
      </c>
      <c r="R28" s="159"/>
      <c r="S28" s="159"/>
      <c r="T28" s="159"/>
      <c r="U28" s="159"/>
    </row>
    <row r="29" spans="1:21">
      <c r="A29" s="156" t="str">
        <f>'21'!$B$2</f>
        <v>21/10/2023 00:15</v>
      </c>
      <c r="B29" s="94">
        <f>'21'!B108</f>
        <v>15.222916666666668</v>
      </c>
      <c r="C29" s="94">
        <f>'21'!C108</f>
        <v>22.3403125</v>
      </c>
      <c r="D29" s="94">
        <f>'21'!D108</f>
        <v>25.230625000000007</v>
      </c>
      <c r="E29" s="94">
        <f>'21'!E108</f>
        <v>6.1452083333333336</v>
      </c>
      <c r="F29" s="94">
        <f>'21'!F108</f>
        <v>3.5541666666666667</v>
      </c>
      <c r="G29" s="94">
        <f>'21'!G108</f>
        <v>72.309791666666655</v>
      </c>
      <c r="H29" s="94">
        <f>'21'!H108</f>
        <v>24.038020833333331</v>
      </c>
      <c r="I29" s="94">
        <f>'21'!I108</f>
        <v>5.9184375000000005</v>
      </c>
      <c r="J29" s="94">
        <f>'21'!J108</f>
        <v>0.28500000000000014</v>
      </c>
      <c r="K29" s="94">
        <f>'21'!K108</f>
        <v>102.69656250000003</v>
      </c>
      <c r="L29" s="94">
        <f>'21'!L108</f>
        <v>24.953958333333333</v>
      </c>
      <c r="M29" s="94">
        <f>'21'!M108</f>
        <v>68.333854166666654</v>
      </c>
      <c r="N29" s="94">
        <f>'21'!N108</f>
        <v>161.84062500000002</v>
      </c>
      <c r="O29" s="94">
        <f>'21'!O108</f>
        <v>0</v>
      </c>
      <c r="P29" s="94">
        <f>'21'!P108</f>
        <v>0.69822916666666679</v>
      </c>
      <c r="Q29" s="94">
        <f>'21'!Q108</f>
        <v>4.9693750000000021</v>
      </c>
      <c r="R29" s="159"/>
      <c r="S29" s="159"/>
      <c r="T29" s="159"/>
      <c r="U29" s="159"/>
    </row>
    <row r="30" spans="1:21">
      <c r="A30" s="156" t="str">
        <f>'22'!$B$2</f>
        <v>22/10/2023 00:15</v>
      </c>
      <c r="B30" s="94">
        <f>'22'!B108</f>
        <v>20.302708333333332</v>
      </c>
      <c r="C30" s="94">
        <f>'22'!C108</f>
        <v>23.724999999999998</v>
      </c>
      <c r="D30" s="94">
        <f>'22'!D108</f>
        <v>30.027500000000007</v>
      </c>
      <c r="E30" s="94">
        <f>'22'!E108</f>
        <v>5.3447916666666666</v>
      </c>
      <c r="F30" s="94">
        <f>'22'!F108</f>
        <v>3.7898958333333344</v>
      </c>
      <c r="G30" s="94">
        <f>'22'!G108</f>
        <v>78.08177083333338</v>
      </c>
      <c r="H30" s="94">
        <f>'22'!H108</f>
        <v>24.967916666666667</v>
      </c>
      <c r="I30" s="94">
        <f>'22'!I108</f>
        <v>6.8512500000000003</v>
      </c>
      <c r="J30" s="94">
        <f>'22'!J108</f>
        <v>0.28999999999999998</v>
      </c>
      <c r="K30" s="94">
        <f>'22'!K108</f>
        <v>128.51260416666673</v>
      </c>
      <c r="L30" s="94">
        <f>'22'!L108</f>
        <v>24.800729166666667</v>
      </c>
      <c r="M30" s="94">
        <f>'22'!M108</f>
        <v>68.237291666666692</v>
      </c>
      <c r="N30" s="94">
        <f>'22'!N108</f>
        <v>156.39270833333333</v>
      </c>
      <c r="O30" s="94">
        <f>'22'!O108</f>
        <v>0</v>
      </c>
      <c r="P30" s="94">
        <f>'22'!P108</f>
        <v>0.78739583333333341</v>
      </c>
      <c r="Q30" s="94">
        <f>'22'!Q108</f>
        <v>5.197916666666667</v>
      </c>
      <c r="R30" s="159"/>
      <c r="S30" s="159"/>
      <c r="T30" s="159"/>
      <c r="U30" s="159"/>
    </row>
    <row r="31" spans="1:21">
      <c r="A31" s="156" t="str">
        <f>'23'!$B$2</f>
        <v>23/10/2023 00:15</v>
      </c>
      <c r="B31" s="94">
        <f>'23'!B108</f>
        <v>19.19978723404256</v>
      </c>
      <c r="C31" s="94">
        <f>'23'!C108</f>
        <v>27.130851063829788</v>
      </c>
      <c r="D31" s="94">
        <f>'23'!D108</f>
        <v>30.922234042553182</v>
      </c>
      <c r="E31" s="94">
        <f>'23'!E108</f>
        <v>6.8015957446808502</v>
      </c>
      <c r="F31" s="94">
        <f>'23'!F108</f>
        <v>4.3214893617021248</v>
      </c>
      <c r="G31" s="94">
        <f>'23'!G108</f>
        <v>85.154680851063816</v>
      </c>
      <c r="H31" s="94">
        <f>'23'!H108</f>
        <v>28.836914893617017</v>
      </c>
      <c r="I31" s="94">
        <f>'23'!I108</f>
        <v>6.3903191489361708</v>
      </c>
      <c r="J31" s="94">
        <f>'23'!J108</f>
        <v>0.328936170212766</v>
      </c>
      <c r="K31" s="94">
        <f>'23'!K108</f>
        <v>92.17978723404255</v>
      </c>
      <c r="L31" s="94">
        <f>'23'!L108</f>
        <v>23.902446808510629</v>
      </c>
      <c r="M31" s="94">
        <f>'23'!M108</f>
        <v>67.588510638297876</v>
      </c>
      <c r="N31" s="94">
        <f>'23'!N108</f>
        <v>147.218085106383</v>
      </c>
      <c r="O31" s="94">
        <f>'23'!O108</f>
        <v>0</v>
      </c>
      <c r="P31" s="94">
        <f>'23'!P108</f>
        <v>0.88595744680851085</v>
      </c>
      <c r="Q31" s="94">
        <f>'23'!Q108</f>
        <v>5.1409677419354853</v>
      </c>
      <c r="R31" s="159"/>
      <c r="S31" s="177"/>
      <c r="T31" s="159"/>
      <c r="U31" s="159"/>
    </row>
    <row r="32" spans="1:21">
      <c r="A32" s="156" t="str">
        <f>'24'!$B$2</f>
        <v>24/10/2023 00:15</v>
      </c>
      <c r="B32" s="94">
        <f>'24'!B108</f>
        <v>21.440729166666674</v>
      </c>
      <c r="C32" s="94">
        <f>'24'!C108</f>
        <v>25.721874999999997</v>
      </c>
      <c r="D32" s="94">
        <f>'24'!D108</f>
        <v>31.984062499999993</v>
      </c>
      <c r="E32" s="94">
        <f>'24'!E108</f>
        <v>6.1335416666666687</v>
      </c>
      <c r="F32" s="94">
        <f>'24'!F108</f>
        <v>3.623020833333332</v>
      </c>
      <c r="G32" s="94">
        <f>'24'!G108</f>
        <v>90.169062499999939</v>
      </c>
      <c r="H32" s="94">
        <f>'24'!H108</f>
        <v>35.033437499999991</v>
      </c>
      <c r="I32" s="94">
        <f>'24'!I108</f>
        <v>7.2173958333333372</v>
      </c>
      <c r="J32" s="94">
        <f>'24'!J108</f>
        <v>0.26885416666666673</v>
      </c>
      <c r="K32" s="94">
        <f>'24'!K108</f>
        <v>101.38239583333335</v>
      </c>
      <c r="L32" s="94">
        <f>'24'!L108</f>
        <v>23.936145833333338</v>
      </c>
      <c r="M32" s="94">
        <f>'24'!M108</f>
        <v>70.603124999999991</v>
      </c>
      <c r="N32" s="94">
        <f>'24'!N108</f>
        <v>142.23437500000003</v>
      </c>
      <c r="O32" s="94">
        <f>'24'!O108</f>
        <v>0</v>
      </c>
      <c r="P32" s="94">
        <f>'24'!P108</f>
        <v>0.92510416666666673</v>
      </c>
      <c r="Q32" s="94">
        <f>'24'!Q108</f>
        <v>5.2046875000000012</v>
      </c>
      <c r="R32" s="159"/>
      <c r="S32" s="159"/>
      <c r="T32" s="159"/>
      <c r="U32" s="159"/>
    </row>
    <row r="33" spans="1:21">
      <c r="A33" s="156" t="str">
        <f>'25'!$B$2</f>
        <v>25/10/2023 00:15</v>
      </c>
      <c r="B33" s="94">
        <f>'25'!B108</f>
        <v>14.217499999999992</v>
      </c>
      <c r="C33" s="94">
        <f>'25'!C108</f>
        <v>22.965208333333333</v>
      </c>
      <c r="D33" s="94">
        <f>'25'!D108</f>
        <v>24.750937499999992</v>
      </c>
      <c r="E33" s="94">
        <f>'25'!E108</f>
        <v>6.0916666666666686</v>
      </c>
      <c r="F33" s="94">
        <f>'25'!F108</f>
        <v>3.5371875000000004</v>
      </c>
      <c r="G33" s="94">
        <f>'25'!G108</f>
        <v>77.47760416666668</v>
      </c>
      <c r="H33" s="94">
        <f>'25'!H108</f>
        <v>31.137083333333337</v>
      </c>
      <c r="I33" s="94">
        <f>'25'!I108</f>
        <v>7.7793750000000053</v>
      </c>
      <c r="J33" s="94">
        <f>'25'!J108</f>
        <v>0.26697916666666671</v>
      </c>
      <c r="K33" s="94">
        <f>'25'!K108</f>
        <v>141.89218750000001</v>
      </c>
      <c r="L33" s="94">
        <f>'25'!L108</f>
        <v>23.756145833333335</v>
      </c>
      <c r="M33" s="94">
        <f>'25'!M108</f>
        <v>71.228437500000027</v>
      </c>
      <c r="N33" s="94">
        <f>'25'!N108</f>
        <v>132.49687500000005</v>
      </c>
      <c r="O33" s="94">
        <f>'25'!O108</f>
        <v>0</v>
      </c>
      <c r="P33" s="94">
        <f>'25'!P108</f>
        <v>0.86249999999999993</v>
      </c>
      <c r="Q33" s="94">
        <f>'25'!Q108</f>
        <v>4.8597916666666672</v>
      </c>
      <c r="R33" s="159"/>
      <c r="S33" s="177"/>
      <c r="T33" s="159"/>
      <c r="U33" s="159"/>
    </row>
    <row r="34" spans="1:21">
      <c r="A34" s="156" t="str">
        <f>'26'!$B$2</f>
        <v>26/10/2023 00:15</v>
      </c>
      <c r="B34" s="94">
        <f>'26'!B108</f>
        <v>10.494062499999997</v>
      </c>
      <c r="C34" s="94">
        <f>'26'!C108</f>
        <v>23.029895833333327</v>
      </c>
      <c r="D34" s="94">
        <f>'26'!D108</f>
        <v>21.798124999999995</v>
      </c>
      <c r="E34" s="94">
        <f>'26'!E108</f>
        <v>6.0772916666666665</v>
      </c>
      <c r="F34" s="94">
        <f>'26'!F108</f>
        <v>3.7843750000000012</v>
      </c>
      <c r="G34" s="94">
        <f>'26'!G108</f>
        <v>72.934791666666698</v>
      </c>
      <c r="H34" s="94">
        <f>'26'!H108</f>
        <v>29.958333333333329</v>
      </c>
      <c r="I34" s="94">
        <f>'26'!I108</f>
        <v>7.52072916666667</v>
      </c>
      <c r="J34" s="94">
        <f>'26'!J108</f>
        <v>0.22812500000000011</v>
      </c>
      <c r="K34" s="94">
        <f>'26'!K108</f>
        <v>134.35166666666669</v>
      </c>
      <c r="L34" s="94">
        <f>'26'!L108</f>
        <v>23.596562499999994</v>
      </c>
      <c r="M34" s="94">
        <f>'26'!M108</f>
        <v>67.700208333333336</v>
      </c>
      <c r="N34" s="94">
        <f>'26'!N108</f>
        <v>131.09166666666667</v>
      </c>
      <c r="O34" s="94">
        <f>'26'!O108</f>
        <v>0</v>
      </c>
      <c r="P34" s="94">
        <f>'26'!P108</f>
        <v>0.82250000000000034</v>
      </c>
      <c r="Q34" s="94">
        <f>'26'!Q108</f>
        <v>4.637812499999999</v>
      </c>
      <c r="R34" s="159"/>
      <c r="S34" s="159"/>
      <c r="T34" s="159"/>
      <c r="U34" s="159"/>
    </row>
    <row r="35" spans="1:21">
      <c r="A35" s="156" t="str">
        <f>'27'!$B$2</f>
        <v>27/10/2023 00:15</v>
      </c>
      <c r="B35" s="94">
        <f>'27'!B108</f>
        <v>14.634583333333333</v>
      </c>
      <c r="C35" s="94">
        <f>'27'!C108</f>
        <v>24.390937500000007</v>
      </c>
      <c r="D35" s="94">
        <f>'27'!D108</f>
        <v>25.830000000000009</v>
      </c>
      <c r="E35" s="94">
        <f>'27'!E108</f>
        <v>5.7573958333333328</v>
      </c>
      <c r="F35" s="94">
        <f>'27'!F108</f>
        <v>3.8056249999999978</v>
      </c>
      <c r="G35" s="94">
        <f>'27'!G108</f>
        <v>76.66635416666665</v>
      </c>
      <c r="H35" s="94">
        <f>'27'!H108</f>
        <v>29.126770833333314</v>
      </c>
      <c r="I35" s="94">
        <f>'27'!I108</f>
        <v>7.804479166666666</v>
      </c>
      <c r="J35" s="94">
        <f>'27'!J108</f>
        <v>0.27406249999999999</v>
      </c>
      <c r="K35" s="94">
        <f>'27'!K108</f>
        <v>147.37572916666667</v>
      </c>
      <c r="L35" s="94">
        <f>'27'!L108</f>
        <v>23.584687500000005</v>
      </c>
      <c r="M35" s="94">
        <f>'27'!M108</f>
        <v>66.703854166666659</v>
      </c>
      <c r="N35" s="94">
        <f>'27'!N108</f>
        <v>142.61770833333335</v>
      </c>
      <c r="O35" s="94">
        <f>'27'!O108</f>
        <v>0</v>
      </c>
      <c r="P35" s="94">
        <f>'27'!P108</f>
        <v>0.79895833333333355</v>
      </c>
      <c r="Q35" s="94">
        <f>'27'!Q108</f>
        <v>4.8298958333333308</v>
      </c>
      <c r="R35" s="159"/>
      <c r="S35" s="159"/>
      <c r="T35" s="159"/>
      <c r="U35" s="159"/>
    </row>
    <row r="36" spans="1:21">
      <c r="A36" s="156" t="str">
        <f>'28'!$B$2</f>
        <v>28/10/2023 00:15</v>
      </c>
      <c r="B36" s="94">
        <f>'28'!B108</f>
        <v>8.4085416666666664</v>
      </c>
      <c r="C36" s="94">
        <f>'28'!C108</f>
        <v>22.185208333333332</v>
      </c>
      <c r="D36" s="94">
        <f>'28'!D108</f>
        <v>19.684583333333325</v>
      </c>
      <c r="E36" s="94">
        <f>'28'!E108</f>
        <v>5.6883333333333317</v>
      </c>
      <c r="F36" s="94">
        <f>'28'!F108</f>
        <v>3.5436458333333332</v>
      </c>
      <c r="G36" s="94">
        <f>'28'!G108</f>
        <v>68.37083333333338</v>
      </c>
      <c r="H36" s="94">
        <f>'28'!H108</f>
        <v>27.290520833333346</v>
      </c>
      <c r="I36" s="94">
        <f>'28'!I108</f>
        <v>7.2898958333333352</v>
      </c>
      <c r="J36" s="94">
        <f>'28'!J108</f>
        <v>0.18166666666666673</v>
      </c>
      <c r="K36" s="94">
        <f>'28'!K108</f>
        <v>168.25656249999994</v>
      </c>
      <c r="L36" s="94">
        <f>'28'!L108</f>
        <v>23.420312500000005</v>
      </c>
      <c r="M36" s="94">
        <f>'28'!M108</f>
        <v>67.393958333333316</v>
      </c>
      <c r="N36" s="94">
        <f>'28'!N108</f>
        <v>141.32812500000003</v>
      </c>
      <c r="O36" s="94">
        <f>'28'!O108</f>
        <v>0</v>
      </c>
      <c r="P36" s="94">
        <f>'28'!P108</f>
        <v>0.69302083333333331</v>
      </c>
      <c r="Q36" s="94">
        <f>'28'!Q108</f>
        <v>4.5556249999999974</v>
      </c>
      <c r="R36" s="159"/>
      <c r="S36" s="159"/>
      <c r="T36" s="159"/>
      <c r="U36" s="159"/>
    </row>
    <row r="37" spans="1:21" s="2" customFormat="1">
      <c r="A37" s="156" t="str">
        <f>'29'!$B$2</f>
        <v>29/10/2023 00:15</v>
      </c>
      <c r="B37" s="94">
        <f>'29'!B108</f>
        <v>12.848020833333335</v>
      </c>
      <c r="C37" s="94">
        <f>'29'!C108</f>
        <v>23.960312499999997</v>
      </c>
      <c r="D37" s="94">
        <f>'29'!D108</f>
        <v>24.172708333333343</v>
      </c>
      <c r="E37" s="94">
        <f>'29'!E108</f>
        <v>6.323854166666667</v>
      </c>
      <c r="F37" s="94">
        <f>'29'!F108</f>
        <v>3.4781250000000004</v>
      </c>
      <c r="G37" s="94">
        <f>'29'!G108</f>
        <v>85.421250000000001</v>
      </c>
      <c r="H37" s="94">
        <f>'29'!H108</f>
        <v>34.786145833333343</v>
      </c>
      <c r="I37" s="94">
        <f>'29'!I108</f>
        <v>7.515000000000005</v>
      </c>
      <c r="J37" s="94">
        <f>'29'!J108</f>
        <v>0.19229166666666672</v>
      </c>
      <c r="K37" s="94">
        <f>'29'!K108</f>
        <v>138.84770833333329</v>
      </c>
      <c r="L37" s="94">
        <f>'29'!L108</f>
        <v>23.452812500000004</v>
      </c>
      <c r="M37" s="94">
        <f>'29'!M108</f>
        <v>68.657604166666673</v>
      </c>
      <c r="N37" s="94">
        <f>'29'!N108</f>
        <v>136.86249999999998</v>
      </c>
      <c r="O37" s="94">
        <f>'29'!O108</f>
        <v>0</v>
      </c>
      <c r="P37" s="94">
        <f>'29'!P108</f>
        <v>0.76937500000000014</v>
      </c>
      <c r="Q37" s="94">
        <f>'29'!Q108</f>
        <v>4.7724999999999991</v>
      </c>
      <c r="R37" s="159"/>
      <c r="S37" s="159"/>
      <c r="T37" s="159"/>
      <c r="U37" s="159"/>
    </row>
    <row r="38" spans="1:21" s="2" customFormat="1">
      <c r="A38" s="156" t="str">
        <f>'30'!$B$2</f>
        <v>30/10/2023 00:15</v>
      </c>
      <c r="B38" s="94">
        <f>'30'!B108</f>
        <v>15.293645833333334</v>
      </c>
      <c r="C38" s="94">
        <f>'30'!C108</f>
        <v>25.494166666666676</v>
      </c>
      <c r="D38" s="94">
        <f>'30'!D108</f>
        <v>26.935833333333331</v>
      </c>
      <c r="E38" s="94">
        <f>'30'!E108</f>
        <v>7.4041666666666677</v>
      </c>
      <c r="F38" s="94">
        <f>'30'!F108</f>
        <v>4.9956249999999995</v>
      </c>
      <c r="G38" s="94">
        <f>'30'!G108</f>
        <v>91.186354166666675</v>
      </c>
      <c r="H38" s="94">
        <f>'30'!H108</f>
        <v>39.147395833333341</v>
      </c>
      <c r="I38" s="94">
        <f>'30'!I108</f>
        <v>7.4047916666666707</v>
      </c>
      <c r="J38" s="94">
        <f>'30'!J108</f>
        <v>0.19645833333333348</v>
      </c>
      <c r="K38" s="94">
        <f>'30'!K108</f>
        <v>151.99020833333336</v>
      </c>
      <c r="L38" s="94">
        <f>'30'!L108</f>
        <v>23.796250000000011</v>
      </c>
      <c r="M38" s="94">
        <f>'30'!M108</f>
        <v>71.447708333333324</v>
      </c>
      <c r="N38" s="94">
        <f>'30'!N108</f>
        <v>129.1010416666667</v>
      </c>
      <c r="O38" s="94">
        <f>'30'!O108</f>
        <v>0</v>
      </c>
      <c r="P38" s="94">
        <f>'30'!P108</f>
        <v>0.85302083333333334</v>
      </c>
      <c r="Q38" s="94">
        <f>'30'!Q108</f>
        <v>4.885937499999998</v>
      </c>
      <c r="R38" s="159"/>
      <c r="S38" s="159"/>
      <c r="T38" s="159"/>
      <c r="U38" s="159"/>
    </row>
    <row r="39" spans="1:21" s="2" customFormat="1">
      <c r="A39" s="156" t="str">
        <f>'31'!$B$2</f>
        <v>31/10/2023 00:15</v>
      </c>
      <c r="B39" s="94">
        <f>'31'!B108</f>
        <v>9.2908333333333317</v>
      </c>
      <c r="C39" s="94">
        <f>'31'!C108</f>
        <v>22.801562500000014</v>
      </c>
      <c r="D39" s="94">
        <f>'31'!D108</f>
        <v>20.714895833333326</v>
      </c>
      <c r="E39" s="94">
        <f>'31'!E108</f>
        <v>5.898020833333331</v>
      </c>
      <c r="F39" s="94">
        <f>'31'!F108</f>
        <v>4.0539583333333349</v>
      </c>
      <c r="G39" s="94">
        <f>'31'!G108</f>
        <v>87.01354166666664</v>
      </c>
      <c r="H39" s="94">
        <f>'31'!H108</f>
        <v>34.375833333333311</v>
      </c>
      <c r="I39" s="94">
        <f>'31'!I108</f>
        <v>7.8491666666666715</v>
      </c>
      <c r="J39" s="94">
        <f>'31'!J108</f>
        <v>0.23104166666666659</v>
      </c>
      <c r="K39" s="94">
        <f>'31'!K108</f>
        <v>116.23583333333339</v>
      </c>
      <c r="L39" s="94">
        <f>'31'!L108</f>
        <v>24.206354166666667</v>
      </c>
      <c r="M39" s="94">
        <f>'31'!M108</f>
        <v>72.084687500000015</v>
      </c>
      <c r="N39" s="94">
        <f>'31'!N108</f>
        <v>119.34895833333337</v>
      </c>
      <c r="O39" s="94">
        <f>'31'!O108</f>
        <v>0</v>
      </c>
      <c r="P39" s="94">
        <f>'31'!P108</f>
        <v>0.79666666666666686</v>
      </c>
      <c r="Q39" s="94">
        <f>'31'!Q108</f>
        <v>4.5887500000000028</v>
      </c>
      <c r="R39" s="159"/>
      <c r="S39" s="159"/>
      <c r="T39" s="159"/>
      <c r="U39" s="159"/>
    </row>
    <row r="40" spans="1:21" s="2" customFormat="1">
      <c r="A40" s="143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60"/>
      <c r="S40" s="160"/>
      <c r="T40" s="160"/>
      <c r="U40" s="160"/>
    </row>
    <row r="41" spans="1:21" s="2" customFormat="1">
      <c r="A41" s="143" t="s">
        <v>48</v>
      </c>
      <c r="B41" s="160">
        <f t="shared" ref="B41:Q41" si="0">MIN(B9:B39)</f>
        <v>8.4085416666666664</v>
      </c>
      <c r="C41" s="160">
        <f t="shared" si="0"/>
        <v>21.880416666666662</v>
      </c>
      <c r="D41" s="160">
        <f t="shared" si="0"/>
        <v>19.610219780219779</v>
      </c>
      <c r="E41" s="160">
        <f t="shared" si="0"/>
        <v>5.3447916666666666</v>
      </c>
      <c r="F41" s="160">
        <f t="shared" si="0"/>
        <v>3.4781250000000004</v>
      </c>
      <c r="G41" s="160">
        <f t="shared" si="0"/>
        <v>31.119999999999987</v>
      </c>
      <c r="H41" s="160">
        <f t="shared" si="0"/>
        <v>11.096808510638303</v>
      </c>
      <c r="I41" s="160">
        <f t="shared" si="0"/>
        <v>4.4750000000000014</v>
      </c>
      <c r="J41" s="160">
        <f t="shared" si="0"/>
        <v>0.16645833333333335</v>
      </c>
      <c r="K41" s="160">
        <f t="shared" si="0"/>
        <v>85.394583333333301</v>
      </c>
      <c r="L41" s="160">
        <f t="shared" si="0"/>
        <v>23.420312500000005</v>
      </c>
      <c r="M41" s="160">
        <f t="shared" si="0"/>
        <v>59.455729166666636</v>
      </c>
      <c r="N41" s="160">
        <f t="shared" si="0"/>
        <v>119.34895833333337</v>
      </c>
      <c r="O41" s="160">
        <f t="shared" si="0"/>
        <v>0</v>
      </c>
      <c r="P41" s="160">
        <f t="shared" si="0"/>
        <v>0.55697916666666625</v>
      </c>
      <c r="Q41" s="160">
        <f t="shared" si="0"/>
        <v>3.6676041666666674</v>
      </c>
      <c r="R41" s="160"/>
      <c r="S41" s="160"/>
      <c r="T41" s="160"/>
      <c r="U41" s="160"/>
    </row>
    <row r="42" spans="1:21" s="2" customFormat="1">
      <c r="A42" s="143" t="s">
        <v>49</v>
      </c>
      <c r="B42" s="160">
        <f t="shared" ref="B42:Q42" si="1">MAX(B9:B39)</f>
        <v>21.440729166666674</v>
      </c>
      <c r="C42" s="160">
        <f t="shared" si="1"/>
        <v>29.043229166666681</v>
      </c>
      <c r="D42" s="160">
        <f t="shared" si="1"/>
        <v>31.984062499999993</v>
      </c>
      <c r="E42" s="160">
        <f t="shared" si="1"/>
        <v>10.087812499999997</v>
      </c>
      <c r="F42" s="160">
        <f t="shared" si="1"/>
        <v>6.6598958333333327</v>
      </c>
      <c r="G42" s="160">
        <f t="shared" si="1"/>
        <v>91.186354166666675</v>
      </c>
      <c r="H42" s="160">
        <f t="shared" si="1"/>
        <v>39.147395833333341</v>
      </c>
      <c r="I42" s="160">
        <f t="shared" si="1"/>
        <v>30.255312499999985</v>
      </c>
      <c r="J42" s="160">
        <f t="shared" si="1"/>
        <v>0.49627659574468086</v>
      </c>
      <c r="K42" s="160">
        <f t="shared" si="1"/>
        <v>278.55729166666669</v>
      </c>
      <c r="L42" s="160">
        <f t="shared" si="1"/>
        <v>28.322395833333331</v>
      </c>
      <c r="M42" s="160">
        <f t="shared" si="1"/>
        <v>86.107604166666704</v>
      </c>
      <c r="N42" s="160">
        <f t="shared" si="1"/>
        <v>199.41666666666677</v>
      </c>
      <c r="O42" s="160">
        <f t="shared" si="1"/>
        <v>4.1666666666666664E-2</v>
      </c>
      <c r="P42" s="160">
        <f t="shared" si="1"/>
        <v>0.92510416666666673</v>
      </c>
      <c r="Q42" s="160">
        <f t="shared" si="1"/>
        <v>5.4578125000000002</v>
      </c>
      <c r="R42" s="160"/>
      <c r="S42" s="160"/>
      <c r="T42" s="160"/>
      <c r="U42" s="160"/>
    </row>
    <row r="43" spans="1:21" s="2" customFormat="1">
      <c r="A43" s="143" t="s">
        <v>50</v>
      </c>
      <c r="B43" s="160">
        <f t="shared" ref="B43:Q43" si="2">AVERAGE(B9:B39)</f>
        <v>12.90645299092923</v>
      </c>
      <c r="C43" s="160">
        <f t="shared" si="2"/>
        <v>24.323763477000014</v>
      </c>
      <c r="D43" s="160">
        <f t="shared" si="2"/>
        <v>24.367155339512923</v>
      </c>
      <c r="E43" s="160">
        <f t="shared" si="2"/>
        <v>7.1791603350350499</v>
      </c>
      <c r="F43" s="160">
        <f t="shared" si="2"/>
        <v>4.5831072187659121</v>
      </c>
      <c r="G43" s="160">
        <f t="shared" si="2"/>
        <v>65.151523246730306</v>
      </c>
      <c r="H43" s="160">
        <f t="shared" si="2"/>
        <v>23.729225499711458</v>
      </c>
      <c r="I43" s="160">
        <f t="shared" si="2"/>
        <v>8.1330008865248224</v>
      </c>
      <c r="J43" s="160">
        <f t="shared" si="2"/>
        <v>0.25977164836421868</v>
      </c>
      <c r="K43" s="160">
        <f t="shared" si="2"/>
        <v>161.15592756234273</v>
      </c>
      <c r="L43" s="160">
        <f t="shared" si="2"/>
        <v>26.206179506977804</v>
      </c>
      <c r="M43" s="160">
        <f t="shared" si="2"/>
        <v>72.674784374285068</v>
      </c>
      <c r="N43" s="160">
        <f t="shared" si="2"/>
        <v>149.5864218714253</v>
      </c>
      <c r="O43" s="160">
        <f t="shared" si="2"/>
        <v>2.0976321207961564E-3</v>
      </c>
      <c r="P43" s="160">
        <f t="shared" si="2"/>
        <v>0.73400308853809204</v>
      </c>
      <c r="Q43" s="160">
        <f t="shared" si="2"/>
        <v>4.6018237363100596</v>
      </c>
      <c r="R43" s="160"/>
      <c r="S43" s="160"/>
      <c r="T43" s="160"/>
      <c r="U43" s="160"/>
    </row>
    <row r="44" spans="1:21" s="2" customFormat="1">
      <c r="A44" s="143" t="s">
        <v>51</v>
      </c>
      <c r="B44" s="160">
        <f t="shared" ref="B44:Q44" si="3">STDEV(B9:B39)</f>
        <v>3.8520901556928604</v>
      </c>
      <c r="C44" s="160">
        <f t="shared" si="3"/>
        <v>1.7319602059186887</v>
      </c>
      <c r="D44" s="160">
        <f t="shared" si="3"/>
        <v>3.4551205662683224</v>
      </c>
      <c r="E44" s="160">
        <f t="shared" si="3"/>
        <v>1.0572492734832288</v>
      </c>
      <c r="F44" s="160">
        <f t="shared" si="3"/>
        <v>0.94467201669920364</v>
      </c>
      <c r="G44" s="160">
        <f t="shared" si="3"/>
        <v>17.23259847161464</v>
      </c>
      <c r="H44" s="160">
        <f t="shared" si="3"/>
        <v>7.3550434572612096</v>
      </c>
      <c r="I44" s="160">
        <f t="shared" si="3"/>
        <v>5.2501570588390791</v>
      </c>
      <c r="J44" s="160">
        <f t="shared" si="3"/>
        <v>8.0305117385960578E-2</v>
      </c>
      <c r="K44" s="160">
        <f t="shared" si="3"/>
        <v>46.70536095366986</v>
      </c>
      <c r="L44" s="160">
        <f t="shared" si="3"/>
        <v>1.7971491195246205</v>
      </c>
      <c r="M44" s="160">
        <f t="shared" si="3"/>
        <v>5.6848125041174589</v>
      </c>
      <c r="N44" s="160">
        <f t="shared" si="3"/>
        <v>19.688217037080907</v>
      </c>
      <c r="O44" s="160">
        <f t="shared" si="3"/>
        <v>8.2799819634090804E-3</v>
      </c>
      <c r="P44" s="160">
        <f t="shared" si="3"/>
        <v>9.0860066296184636E-2</v>
      </c>
      <c r="Q44" s="160">
        <f t="shared" si="3"/>
        <v>0.64869988107199106</v>
      </c>
      <c r="R44" s="146"/>
      <c r="S44" s="146"/>
      <c r="T44" s="146"/>
      <c r="U44" s="146"/>
    </row>
    <row r="45" spans="1:21" s="2" customFormat="1">
      <c r="A45" s="143" t="s">
        <v>52</v>
      </c>
      <c r="B45" s="146">
        <f t="shared" ref="B45:Q45" si="4">COUNT(B9:B39)</f>
        <v>31</v>
      </c>
      <c r="C45" s="146">
        <f t="shared" si="4"/>
        <v>31</v>
      </c>
      <c r="D45" s="146">
        <f t="shared" si="4"/>
        <v>31</v>
      </c>
      <c r="E45" s="146">
        <f t="shared" si="4"/>
        <v>31</v>
      </c>
      <c r="F45" s="146">
        <f t="shared" si="4"/>
        <v>31</v>
      </c>
      <c r="G45" s="146">
        <f t="shared" si="4"/>
        <v>31</v>
      </c>
      <c r="H45" s="146">
        <f t="shared" si="4"/>
        <v>31</v>
      </c>
      <c r="I45" s="146">
        <f t="shared" si="4"/>
        <v>31</v>
      </c>
      <c r="J45" s="146">
        <f t="shared" si="4"/>
        <v>31</v>
      </c>
      <c r="K45" s="146">
        <f t="shared" si="4"/>
        <v>31</v>
      </c>
      <c r="L45" s="146">
        <f t="shared" si="4"/>
        <v>31</v>
      </c>
      <c r="M45" s="146">
        <f t="shared" si="4"/>
        <v>31</v>
      </c>
      <c r="N45" s="146">
        <f t="shared" si="4"/>
        <v>31</v>
      </c>
      <c r="O45" s="146">
        <f t="shared" si="4"/>
        <v>31</v>
      </c>
      <c r="P45" s="146">
        <f t="shared" si="4"/>
        <v>31</v>
      </c>
      <c r="Q45" s="146">
        <f t="shared" si="4"/>
        <v>31</v>
      </c>
      <c r="R45" s="146"/>
      <c r="S45" s="146"/>
      <c r="T45" s="146"/>
      <c r="U45" s="146"/>
    </row>
    <row r="46" spans="1:21">
      <c r="A46" s="143" t="s">
        <v>53</v>
      </c>
      <c r="B46" s="146" t="str">
        <f>IF(B45&gt;=28,"&gt;90%",IF(B45&lt;=28,"&lt;90%"))</f>
        <v>&gt;90%</v>
      </c>
      <c r="C46" s="146" t="str">
        <f t="shared" ref="C46:Q46" si="5">IF(C45&gt;=28,"&gt;90%",IF(C45&lt;=28,"&lt;90%"))</f>
        <v>&gt;90%</v>
      </c>
      <c r="D46" s="146" t="str">
        <f t="shared" si="5"/>
        <v>&gt;90%</v>
      </c>
      <c r="E46" s="146" t="str">
        <f t="shared" si="5"/>
        <v>&gt;90%</v>
      </c>
      <c r="F46" s="146" t="str">
        <f t="shared" si="5"/>
        <v>&gt;90%</v>
      </c>
      <c r="G46" s="146" t="str">
        <f t="shared" si="5"/>
        <v>&gt;90%</v>
      </c>
      <c r="H46" s="146" t="str">
        <f t="shared" si="5"/>
        <v>&gt;90%</v>
      </c>
      <c r="I46" s="146" t="str">
        <f t="shared" si="5"/>
        <v>&gt;90%</v>
      </c>
      <c r="J46" s="146" t="str">
        <f t="shared" si="5"/>
        <v>&gt;90%</v>
      </c>
      <c r="K46" s="146" t="str">
        <f t="shared" si="5"/>
        <v>&gt;90%</v>
      </c>
      <c r="L46" s="146" t="str">
        <f t="shared" si="5"/>
        <v>&gt;90%</v>
      </c>
      <c r="M46" s="146" t="str">
        <f t="shared" si="5"/>
        <v>&gt;90%</v>
      </c>
      <c r="N46" s="146" t="str">
        <f t="shared" si="5"/>
        <v>&gt;90%</v>
      </c>
      <c r="O46" s="146" t="str">
        <f t="shared" si="5"/>
        <v>&gt;90%</v>
      </c>
      <c r="P46" s="146" t="str">
        <f t="shared" si="5"/>
        <v>&gt;90%</v>
      </c>
      <c r="Q46" s="146" t="str">
        <f t="shared" si="5"/>
        <v>&gt;90%</v>
      </c>
      <c r="R46" s="146"/>
      <c r="S46" s="146"/>
      <c r="T46" s="146"/>
      <c r="U46" s="146"/>
    </row>
    <row r="47" spans="1:21">
      <c r="A47" s="143" t="s">
        <v>54</v>
      </c>
      <c r="B47" s="146" t="str">
        <f>IF(B45&gt;=28,"OK",IF(B45&lt;=28,"LESS"))</f>
        <v>OK</v>
      </c>
      <c r="C47" s="146" t="str">
        <f t="shared" ref="C47:Q47" si="6">IF(C45&gt;=28,"OK",IF(C45&lt;=28,"LESS"))</f>
        <v>OK</v>
      </c>
      <c r="D47" s="146" t="str">
        <f t="shared" si="6"/>
        <v>OK</v>
      </c>
      <c r="E47" s="146" t="str">
        <f t="shared" si="6"/>
        <v>OK</v>
      </c>
      <c r="F47" s="146" t="str">
        <f t="shared" si="6"/>
        <v>OK</v>
      </c>
      <c r="G47" s="146" t="str">
        <f t="shared" si="6"/>
        <v>OK</v>
      </c>
      <c r="H47" s="146" t="str">
        <f t="shared" si="6"/>
        <v>OK</v>
      </c>
      <c r="I47" s="146" t="str">
        <f t="shared" si="6"/>
        <v>OK</v>
      </c>
      <c r="J47" s="146" t="str">
        <f t="shared" si="6"/>
        <v>OK</v>
      </c>
      <c r="K47" s="146" t="str">
        <f t="shared" si="6"/>
        <v>OK</v>
      </c>
      <c r="L47" s="146" t="str">
        <f t="shared" si="6"/>
        <v>OK</v>
      </c>
      <c r="M47" s="146" t="str">
        <f t="shared" si="6"/>
        <v>OK</v>
      </c>
      <c r="N47" s="146" t="str">
        <f t="shared" si="6"/>
        <v>OK</v>
      </c>
      <c r="O47" s="146" t="str">
        <f t="shared" si="6"/>
        <v>OK</v>
      </c>
      <c r="P47" s="146" t="str">
        <f t="shared" si="6"/>
        <v>OK</v>
      </c>
      <c r="Q47" s="146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3" t="s">
        <v>55</v>
      </c>
      <c r="B50" s="193" t="s">
        <v>56</v>
      </c>
      <c r="C50" s="193"/>
      <c r="D50" s="19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1"/>
      <c r="B51" s="2"/>
      <c r="C51" s="2"/>
      <c r="D51" s="162"/>
      <c r="E51" s="162"/>
      <c r="F51" s="162"/>
      <c r="G51" s="162"/>
      <c r="H51" s="162"/>
      <c r="I51" s="162"/>
      <c r="J51" s="2"/>
      <c r="K51" s="2"/>
      <c r="L51" s="2"/>
      <c r="M51" s="2"/>
      <c r="N51" s="2"/>
      <c r="O51" s="2"/>
      <c r="P51" s="2"/>
    </row>
    <row r="52" spans="1:16" ht="15.75">
      <c r="A52" s="163" t="s">
        <v>57</v>
      </c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</row>
    <row r="53" spans="1:16">
      <c r="A53" s="16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I7" zoomScale="85" zoomScaleNormal="85" workbookViewId="0">
      <selection activeCell="U29" sqref="U29"/>
    </sheetView>
  </sheetViews>
  <sheetFormatPr defaultColWidth="8.85546875" defaultRowHeight="15"/>
  <cols>
    <col min="1" max="1" width="4.5703125" style="2" customWidth="1"/>
    <col min="2" max="2" width="16.140625" style="85" customWidth="1"/>
    <col min="3" max="3" width="10.28515625" style="2" customWidth="1"/>
    <col min="4" max="7" width="9.140625" style="2" customWidth="1"/>
    <col min="8" max="8" width="9.140625" style="87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8" customWidth="1"/>
    <col min="16" max="16" width="10.85546875" style="88" customWidth="1"/>
    <col min="17" max="17" width="15.42578125" style="88" customWidth="1"/>
    <col min="18" max="18" width="13.42578125" style="88" customWidth="1"/>
    <col min="19" max="19" width="16.85546875" style="89" customWidth="1"/>
    <col min="20" max="20" width="10" style="89" customWidth="1"/>
    <col min="21" max="21" width="12.85546875" style="88" customWidth="1"/>
    <col min="22" max="22" width="10.7109375" style="88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0" t="s">
        <v>60</v>
      </c>
      <c r="D1" s="200" t="s">
        <v>61</v>
      </c>
      <c r="E1" s="200"/>
      <c r="F1" s="200"/>
      <c r="G1" s="200"/>
      <c r="H1" s="200"/>
      <c r="I1" s="200"/>
      <c r="J1" s="201"/>
    </row>
    <row r="2" spans="2:24" ht="22.5" customHeight="1">
      <c r="B2" s="2"/>
      <c r="C2" s="90" t="s">
        <v>2</v>
      </c>
      <c r="D2" s="202" t="s">
        <v>238</v>
      </c>
      <c r="E2" s="203"/>
      <c r="F2" s="203"/>
      <c r="G2" s="203"/>
      <c r="H2" s="203"/>
      <c r="I2" s="203"/>
      <c r="J2" s="204"/>
    </row>
    <row r="4" spans="2:24">
      <c r="S4" s="88"/>
      <c r="T4" s="88"/>
      <c r="U4" s="89"/>
      <c r="V4" s="89"/>
      <c r="W4" s="88"/>
      <c r="X4" s="88"/>
    </row>
    <row r="5" spans="2:24">
      <c r="B5" s="91"/>
      <c r="C5" s="92"/>
      <c r="D5" s="92"/>
      <c r="E5" s="92"/>
      <c r="F5" s="92"/>
      <c r="G5" s="198" t="s">
        <v>62</v>
      </c>
      <c r="H5" s="198"/>
      <c r="I5" s="92"/>
      <c r="J5" s="92"/>
      <c r="K5" s="92"/>
      <c r="L5" s="92"/>
      <c r="M5" s="106"/>
      <c r="O5" s="107"/>
      <c r="P5" s="108"/>
      <c r="Q5" s="108"/>
      <c r="R5" s="108"/>
      <c r="S5" s="126" t="s">
        <v>63</v>
      </c>
      <c r="T5" s="108"/>
      <c r="U5" s="127"/>
      <c r="V5" s="127"/>
      <c r="W5" s="108"/>
      <c r="X5" s="128"/>
    </row>
    <row r="6" spans="2:24">
      <c r="B6" s="93"/>
      <c r="C6" s="6"/>
      <c r="D6" s="6"/>
      <c r="E6" s="6"/>
      <c r="F6" s="6"/>
      <c r="G6" s="6"/>
      <c r="H6" s="94"/>
      <c r="I6" s="6"/>
      <c r="J6" s="6"/>
      <c r="K6" s="6"/>
      <c r="L6" s="6"/>
      <c r="M6" s="109"/>
      <c r="O6" s="110"/>
      <c r="P6" s="111"/>
      <c r="Q6" s="111"/>
      <c r="R6" s="111"/>
      <c r="S6" s="111"/>
      <c r="T6" s="111"/>
      <c r="U6" s="129"/>
      <c r="V6" s="129"/>
      <c r="W6" s="111"/>
      <c r="X6" s="130"/>
    </row>
    <row r="7" spans="2:24" ht="15.75">
      <c r="B7" s="95" t="s">
        <v>64</v>
      </c>
      <c r="C7" s="96" t="s">
        <v>65</v>
      </c>
      <c r="D7" s="96" t="s">
        <v>66</v>
      </c>
      <c r="E7" s="96" t="s">
        <v>67</v>
      </c>
      <c r="F7" s="96" t="s">
        <v>68</v>
      </c>
      <c r="G7" s="96" t="s">
        <v>69</v>
      </c>
      <c r="H7" s="97" t="s">
        <v>70</v>
      </c>
      <c r="I7" s="96" t="s">
        <v>71</v>
      </c>
      <c r="J7" s="96" t="s">
        <v>72</v>
      </c>
      <c r="K7" s="96" t="s">
        <v>73</v>
      </c>
      <c r="L7" s="96" t="s">
        <v>54</v>
      </c>
      <c r="M7" s="39" t="s">
        <v>74</v>
      </c>
      <c r="O7" s="112" t="s">
        <v>64</v>
      </c>
      <c r="P7" s="113" t="s">
        <v>65</v>
      </c>
      <c r="Q7" s="113" t="s">
        <v>75</v>
      </c>
      <c r="R7" s="113" t="s">
        <v>11</v>
      </c>
      <c r="S7" s="113" t="s">
        <v>76</v>
      </c>
      <c r="T7" s="113" t="s">
        <v>77</v>
      </c>
      <c r="U7" s="131" t="s">
        <v>78</v>
      </c>
      <c r="V7" s="131" t="s">
        <v>79</v>
      </c>
      <c r="W7" s="113" t="s">
        <v>54</v>
      </c>
      <c r="X7" s="132" t="s">
        <v>74</v>
      </c>
    </row>
    <row r="8" spans="2:24" ht="15.75">
      <c r="B8" s="81">
        <v>45211.584722222222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4">
        <v>200.2</v>
      </c>
      <c r="I8" s="6">
        <v>0</v>
      </c>
      <c r="J8" s="94">
        <f>F8/H8</f>
        <v>0.99900099900099903</v>
      </c>
      <c r="K8" s="94">
        <f>(H8-F8)*100/F8</f>
        <v>9.9999999999994316E-2</v>
      </c>
      <c r="L8" s="6" t="s">
        <v>80</v>
      </c>
      <c r="M8" s="114" t="s">
        <v>56</v>
      </c>
      <c r="O8" s="81">
        <v>45205.497916666667</v>
      </c>
      <c r="P8" s="111" t="s">
        <v>63</v>
      </c>
      <c r="Q8" s="111">
        <v>5028.38</v>
      </c>
      <c r="R8" s="111">
        <v>3864.29</v>
      </c>
      <c r="S8" s="133" t="s">
        <v>81</v>
      </c>
      <c r="T8" s="133">
        <v>860.79</v>
      </c>
      <c r="U8" s="129">
        <v>0.9738</v>
      </c>
      <c r="V8" s="129">
        <v>0.97740000000000005</v>
      </c>
      <c r="W8" s="6" t="s">
        <v>80</v>
      </c>
      <c r="X8" s="114" t="s">
        <v>56</v>
      </c>
    </row>
    <row r="9" spans="2:24" ht="15.75">
      <c r="B9" s="81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4"/>
      <c r="I9" s="6">
        <v>0</v>
      </c>
      <c r="J9" s="94" t="e">
        <f t="shared" ref="J9:J14" si="0">F9/H9</f>
        <v>#DIV/0!</v>
      </c>
      <c r="K9" s="94">
        <f t="shared" ref="K9:K14" si="1">(H9-F9)*100/F9</f>
        <v>-100</v>
      </c>
      <c r="L9" s="6" t="s">
        <v>80</v>
      </c>
      <c r="M9" s="114" t="s">
        <v>56</v>
      </c>
      <c r="O9" s="81">
        <v>45211.538194444445</v>
      </c>
      <c r="P9" s="111" t="s">
        <v>63</v>
      </c>
      <c r="Q9" s="111">
        <v>4896.76</v>
      </c>
      <c r="R9" s="111">
        <v>3783.55</v>
      </c>
      <c r="S9" s="133" t="s">
        <v>81</v>
      </c>
      <c r="T9" s="133">
        <v>844.86</v>
      </c>
      <c r="U9" s="129">
        <v>0.97740000000000005</v>
      </c>
      <c r="V9" s="129">
        <v>0.99960000000000004</v>
      </c>
      <c r="W9" s="6" t="s">
        <v>80</v>
      </c>
      <c r="X9" s="114" t="s">
        <v>56</v>
      </c>
    </row>
    <row r="10" spans="2:24" ht="15.75">
      <c r="B10" s="81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4"/>
      <c r="I10" s="6">
        <v>0</v>
      </c>
      <c r="J10" s="94" t="e">
        <f t="shared" si="0"/>
        <v>#DIV/0!</v>
      </c>
      <c r="K10" s="94">
        <f t="shared" si="1"/>
        <v>-100</v>
      </c>
      <c r="L10" s="6" t="s">
        <v>80</v>
      </c>
      <c r="M10" s="114" t="s">
        <v>56</v>
      </c>
      <c r="O10" s="81">
        <v>45218.487500000003</v>
      </c>
      <c r="P10" s="111" t="s">
        <v>63</v>
      </c>
      <c r="Q10" s="111">
        <v>4910.5</v>
      </c>
      <c r="R10" s="111">
        <v>3760.58</v>
      </c>
      <c r="S10" s="133" t="s">
        <v>81</v>
      </c>
      <c r="T10" s="133">
        <v>897.6</v>
      </c>
      <c r="U10" s="129">
        <v>0.99960000000000004</v>
      </c>
      <c r="V10" s="129">
        <v>0.96220000000000006</v>
      </c>
      <c r="W10" s="6" t="s">
        <v>80</v>
      </c>
      <c r="X10" s="114" t="s">
        <v>56</v>
      </c>
    </row>
    <row r="11" spans="2:24" ht="15.75">
      <c r="B11" s="81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4"/>
      <c r="I11" s="6">
        <v>0</v>
      </c>
      <c r="J11" s="94" t="e">
        <f t="shared" si="0"/>
        <v>#DIV/0!</v>
      </c>
      <c r="K11" s="94">
        <f t="shared" si="1"/>
        <v>-100</v>
      </c>
      <c r="L11" s="6" t="s">
        <v>80</v>
      </c>
      <c r="M11" s="114" t="s">
        <v>56</v>
      </c>
      <c r="O11" s="81"/>
      <c r="P11" s="111" t="s">
        <v>63</v>
      </c>
      <c r="Q11" s="111"/>
      <c r="R11" s="111"/>
      <c r="S11" s="133" t="s">
        <v>81</v>
      </c>
      <c r="T11" s="133"/>
      <c r="U11" s="129"/>
      <c r="V11" s="129"/>
      <c r="W11" s="6" t="s">
        <v>80</v>
      </c>
      <c r="X11" s="114" t="s">
        <v>56</v>
      </c>
    </row>
    <row r="12" spans="2:24" ht="15.75">
      <c r="B12" s="81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4"/>
      <c r="I12" s="6">
        <v>0</v>
      </c>
      <c r="J12" s="94" t="e">
        <f t="shared" si="0"/>
        <v>#DIV/0!</v>
      </c>
      <c r="K12" s="94">
        <f t="shared" si="1"/>
        <v>-100</v>
      </c>
      <c r="L12" s="6" t="s">
        <v>80</v>
      </c>
      <c r="M12" s="114" t="s">
        <v>56</v>
      </c>
      <c r="O12" s="81"/>
      <c r="P12" s="111" t="s">
        <v>63</v>
      </c>
      <c r="Q12" s="111"/>
      <c r="R12" s="111"/>
      <c r="S12" s="133" t="s">
        <v>81</v>
      </c>
      <c r="T12" s="133"/>
      <c r="U12" s="129"/>
      <c r="V12" s="129"/>
      <c r="W12" s="6" t="s">
        <v>80</v>
      </c>
      <c r="X12" s="114" t="s">
        <v>56</v>
      </c>
    </row>
    <row r="13" spans="2:24" ht="15.75">
      <c r="B13" s="81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4"/>
      <c r="I13" s="6">
        <v>0</v>
      </c>
      <c r="J13" s="94" t="e">
        <f t="shared" si="0"/>
        <v>#DIV/0!</v>
      </c>
      <c r="K13" s="94">
        <f t="shared" si="1"/>
        <v>-100</v>
      </c>
      <c r="L13" s="6" t="s">
        <v>80</v>
      </c>
      <c r="M13" s="114" t="s">
        <v>56</v>
      </c>
      <c r="O13" s="81"/>
      <c r="P13" s="111" t="s">
        <v>63</v>
      </c>
      <c r="Q13" s="111"/>
      <c r="R13" s="111"/>
      <c r="S13" s="133" t="s">
        <v>81</v>
      </c>
      <c r="T13" s="133"/>
      <c r="U13" s="129"/>
      <c r="V13" s="129"/>
      <c r="W13" s="6" t="s">
        <v>80</v>
      </c>
      <c r="X13" s="114" t="s">
        <v>56</v>
      </c>
    </row>
    <row r="14" spans="2:24" ht="15.75">
      <c r="B14" s="81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4"/>
      <c r="I14" s="6">
        <v>0</v>
      </c>
      <c r="J14" s="94" t="e">
        <f t="shared" si="0"/>
        <v>#DIV/0!</v>
      </c>
      <c r="K14" s="94">
        <f t="shared" si="1"/>
        <v>-100</v>
      </c>
      <c r="L14" s="6" t="s">
        <v>80</v>
      </c>
      <c r="M14" s="114" t="s">
        <v>56</v>
      </c>
      <c r="O14" s="81"/>
      <c r="P14" s="111" t="s">
        <v>63</v>
      </c>
      <c r="Q14" s="111"/>
      <c r="R14" s="111"/>
      <c r="S14" s="133" t="s">
        <v>81</v>
      </c>
      <c r="T14" s="133"/>
      <c r="U14" s="129"/>
      <c r="V14" s="129"/>
      <c r="W14" s="6" t="s">
        <v>80</v>
      </c>
      <c r="X14" s="114" t="s">
        <v>56</v>
      </c>
    </row>
    <row r="15" spans="2:24" ht="15.75">
      <c r="B15" s="81"/>
      <c r="C15" s="6"/>
      <c r="D15" s="6"/>
      <c r="E15" s="6"/>
      <c r="F15" s="6"/>
      <c r="G15" s="6"/>
      <c r="H15" s="94"/>
      <c r="I15" s="6"/>
      <c r="J15" s="94"/>
      <c r="K15" s="94"/>
      <c r="L15" s="6"/>
      <c r="M15" s="115"/>
      <c r="O15" s="81"/>
      <c r="P15" s="111" t="s">
        <v>63</v>
      </c>
      <c r="Q15" s="111"/>
      <c r="R15" s="111"/>
      <c r="S15" s="133" t="s">
        <v>81</v>
      </c>
      <c r="T15" s="133"/>
      <c r="U15" s="129"/>
      <c r="V15" s="129"/>
      <c r="W15" s="6" t="s">
        <v>80</v>
      </c>
      <c r="X15" s="114"/>
    </row>
    <row r="16" spans="2:24" ht="15.75">
      <c r="B16" s="81"/>
      <c r="C16" s="6"/>
      <c r="D16" s="6"/>
      <c r="E16" s="6"/>
      <c r="F16" s="6"/>
      <c r="G16" s="6"/>
      <c r="H16" s="94"/>
      <c r="I16" s="6"/>
      <c r="J16" s="94"/>
      <c r="K16" s="94"/>
      <c r="L16" s="6"/>
      <c r="M16" s="115"/>
      <c r="O16" s="81"/>
      <c r="P16" s="111" t="s">
        <v>63</v>
      </c>
      <c r="Q16" s="111"/>
      <c r="R16" s="111"/>
      <c r="S16" s="133" t="s">
        <v>81</v>
      </c>
      <c r="T16" s="133"/>
      <c r="U16" s="129"/>
      <c r="V16" s="129"/>
      <c r="W16" s="6" t="s">
        <v>80</v>
      </c>
      <c r="X16" s="114"/>
    </row>
    <row r="17" spans="2:24" ht="15.75">
      <c r="B17" s="81"/>
      <c r="C17" s="6"/>
      <c r="D17" s="6"/>
      <c r="E17" s="6"/>
      <c r="F17" s="6"/>
      <c r="G17" s="6"/>
      <c r="H17" s="94"/>
      <c r="I17" s="6"/>
      <c r="J17" s="94"/>
      <c r="K17" s="94"/>
      <c r="L17" s="6"/>
      <c r="M17" s="115"/>
      <c r="O17" s="81"/>
      <c r="P17" s="111" t="s">
        <v>63</v>
      </c>
      <c r="Q17" s="111"/>
      <c r="R17" s="111"/>
      <c r="S17" s="133" t="s">
        <v>81</v>
      </c>
      <c r="T17" s="133"/>
      <c r="U17" s="129"/>
      <c r="V17" s="129"/>
      <c r="W17" s="6"/>
      <c r="X17" s="114"/>
    </row>
    <row r="18" spans="2:24" ht="15.75">
      <c r="B18" s="82"/>
      <c r="C18" s="6"/>
      <c r="D18" s="6"/>
      <c r="E18" s="6"/>
      <c r="F18" s="6"/>
      <c r="G18" s="6"/>
      <c r="H18" s="94"/>
      <c r="I18" s="6"/>
      <c r="J18" s="94"/>
      <c r="K18" s="94"/>
      <c r="L18" s="6"/>
      <c r="M18" s="115"/>
      <c r="O18" s="116"/>
      <c r="P18" s="111"/>
      <c r="Q18" s="111"/>
      <c r="R18" s="111"/>
      <c r="S18" s="133"/>
      <c r="T18" s="133"/>
      <c r="U18" s="129"/>
      <c r="V18" s="129"/>
      <c r="W18" s="6"/>
      <c r="X18" s="114"/>
    </row>
    <row r="19" spans="2:24" ht="15.75">
      <c r="B19" s="82"/>
      <c r="C19" s="6"/>
      <c r="D19" s="6"/>
      <c r="E19" s="6"/>
      <c r="F19" s="6"/>
      <c r="G19" s="6"/>
      <c r="H19" s="94"/>
      <c r="I19" s="6"/>
      <c r="J19" s="94"/>
      <c r="K19" s="94"/>
      <c r="L19" s="6"/>
      <c r="M19" s="115"/>
      <c r="O19" s="117"/>
      <c r="P19" s="111"/>
      <c r="Q19" s="111"/>
      <c r="R19" s="111"/>
      <c r="S19" s="133"/>
      <c r="T19" s="133"/>
      <c r="U19" s="129"/>
      <c r="V19" s="129"/>
      <c r="W19" s="6"/>
      <c r="X19" s="114"/>
    </row>
    <row r="20" spans="2:24" ht="15.75">
      <c r="B20" s="82"/>
      <c r="C20" s="6"/>
      <c r="D20" s="6"/>
      <c r="E20" s="6"/>
      <c r="F20" s="6"/>
      <c r="G20" s="6"/>
      <c r="H20" s="94"/>
      <c r="I20" s="6"/>
      <c r="J20" s="94"/>
      <c r="K20" s="94"/>
      <c r="L20" s="6"/>
      <c r="M20" s="115"/>
      <c r="O20" s="117"/>
      <c r="P20" s="111"/>
      <c r="Q20" s="111"/>
      <c r="R20" s="111"/>
      <c r="S20" s="133"/>
      <c r="T20" s="133"/>
      <c r="U20" s="129"/>
      <c r="V20" s="129"/>
      <c r="W20" s="6"/>
      <c r="X20" s="114"/>
    </row>
    <row r="21" spans="2:24">
      <c r="B21" s="98"/>
      <c r="C21" s="196" t="s">
        <v>82</v>
      </c>
      <c r="D21" s="196"/>
      <c r="E21" s="196"/>
      <c r="F21" s="196"/>
      <c r="G21" s="196"/>
      <c r="H21" s="196"/>
      <c r="I21" s="118">
        <f>COUNT(B8:B20)</f>
        <v>1</v>
      </c>
      <c r="J21" s="119"/>
      <c r="K21" s="119"/>
      <c r="L21" s="105"/>
      <c r="M21" s="120"/>
      <c r="O21" s="121"/>
      <c r="P21" s="199" t="s">
        <v>83</v>
      </c>
      <c r="Q21" s="199"/>
      <c r="R21" s="199"/>
      <c r="S21" s="199"/>
      <c r="T21" s="134">
        <f>COUNT(O8:O20)</f>
        <v>3</v>
      </c>
      <c r="U21" s="135"/>
      <c r="V21" s="135"/>
      <c r="W21" s="136"/>
      <c r="X21" s="137"/>
    </row>
    <row r="22" spans="2:24">
      <c r="C22" s="99"/>
      <c r="D22" s="99"/>
      <c r="E22" s="99"/>
      <c r="F22" s="99"/>
      <c r="G22" s="99"/>
      <c r="H22" s="100"/>
      <c r="J22" s="87"/>
      <c r="K22" s="87"/>
      <c r="S22" s="88"/>
      <c r="T22" s="88"/>
      <c r="U22" s="89"/>
      <c r="V22" s="89"/>
      <c r="W22" s="88"/>
      <c r="X22" s="88"/>
    </row>
    <row r="23" spans="2:24">
      <c r="J23" s="87"/>
      <c r="K23" s="87"/>
      <c r="S23" s="88"/>
      <c r="T23" s="88"/>
      <c r="U23" s="89"/>
      <c r="V23" s="89"/>
      <c r="W23" s="88"/>
      <c r="X23" s="88"/>
    </row>
    <row r="24" spans="2:24">
      <c r="B24" s="91"/>
      <c r="C24" s="101"/>
      <c r="D24" s="101"/>
      <c r="E24" s="101"/>
      <c r="F24" s="101"/>
      <c r="G24" s="197" t="s">
        <v>84</v>
      </c>
      <c r="H24" s="197"/>
      <c r="I24" s="92"/>
      <c r="J24" s="122"/>
      <c r="K24" s="122"/>
      <c r="L24" s="92"/>
      <c r="M24" s="106"/>
      <c r="O24" s="107"/>
      <c r="P24" s="108"/>
      <c r="Q24" s="108"/>
      <c r="R24" s="108"/>
      <c r="S24" s="126" t="s">
        <v>29</v>
      </c>
      <c r="T24" s="108"/>
      <c r="U24" s="127"/>
      <c r="V24" s="127"/>
      <c r="W24" s="108"/>
      <c r="X24" s="128"/>
    </row>
    <row r="25" spans="2:24">
      <c r="B25" s="102"/>
      <c r="C25" s="103"/>
      <c r="D25" s="103"/>
      <c r="E25" s="103"/>
      <c r="F25" s="103"/>
      <c r="G25" s="104"/>
      <c r="H25" s="104"/>
      <c r="I25" s="104"/>
      <c r="J25" s="123"/>
      <c r="K25" s="123"/>
      <c r="L25" s="104"/>
      <c r="M25" s="124"/>
      <c r="O25" s="110"/>
      <c r="P25" s="111"/>
      <c r="Q25" s="111"/>
      <c r="R25" s="111"/>
      <c r="S25" s="111"/>
      <c r="T25" s="111"/>
      <c r="U25" s="129"/>
      <c r="V25" s="129"/>
      <c r="W25" s="111"/>
      <c r="X25" s="130"/>
    </row>
    <row r="26" spans="2:24" ht="15.75">
      <c r="B26" s="95" t="s">
        <v>64</v>
      </c>
      <c r="C26" s="96" t="s">
        <v>65</v>
      </c>
      <c r="D26" s="96" t="s">
        <v>66</v>
      </c>
      <c r="E26" s="96" t="s">
        <v>67</v>
      </c>
      <c r="F26" s="96" t="s">
        <v>68</v>
      </c>
      <c r="G26" s="96" t="s">
        <v>69</v>
      </c>
      <c r="H26" s="97" t="s">
        <v>70</v>
      </c>
      <c r="I26" s="96" t="s">
        <v>71</v>
      </c>
      <c r="J26" s="96" t="s">
        <v>72</v>
      </c>
      <c r="K26" s="96" t="s">
        <v>73</v>
      </c>
      <c r="L26" s="96" t="s">
        <v>54</v>
      </c>
      <c r="M26" s="39" t="s">
        <v>74</v>
      </c>
      <c r="O26" s="112" t="s">
        <v>64</v>
      </c>
      <c r="P26" s="113" t="s">
        <v>65</v>
      </c>
      <c r="Q26" s="113" t="s">
        <v>75</v>
      </c>
      <c r="R26" s="113" t="s">
        <v>11</v>
      </c>
      <c r="S26" s="113" t="s">
        <v>76</v>
      </c>
      <c r="T26" s="113" t="s">
        <v>77</v>
      </c>
      <c r="U26" s="131" t="s">
        <v>78</v>
      </c>
      <c r="V26" s="131" t="s">
        <v>79</v>
      </c>
      <c r="W26" s="113" t="s">
        <v>54</v>
      </c>
      <c r="X26" s="132" t="s">
        <v>74</v>
      </c>
    </row>
    <row r="27" spans="2:24" ht="15.75">
      <c r="B27" s="81">
        <v>45211.557638888888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4">
        <v>200.6</v>
      </c>
      <c r="I27" s="6">
        <v>0</v>
      </c>
      <c r="J27" s="94">
        <f>F27/H27</f>
        <v>0.99700897308075775</v>
      </c>
      <c r="K27" s="94">
        <f>(H27-F27)*100/F27</f>
        <v>0.29999999999999716</v>
      </c>
      <c r="L27" s="6" t="s">
        <v>80</v>
      </c>
      <c r="M27" s="114" t="s">
        <v>56</v>
      </c>
      <c r="O27" s="81">
        <v>45205.497916666667</v>
      </c>
      <c r="P27" s="111" t="s">
        <v>29</v>
      </c>
      <c r="Q27" s="111">
        <v>4735.78</v>
      </c>
      <c r="R27" s="111">
        <v>3671.88</v>
      </c>
      <c r="S27" s="133" t="s">
        <v>86</v>
      </c>
      <c r="T27" s="133">
        <v>788.05</v>
      </c>
      <c r="U27" s="129">
        <v>0.92310000000000003</v>
      </c>
      <c r="V27" s="129">
        <v>0.92420000000000002</v>
      </c>
      <c r="W27" s="6" t="s">
        <v>80</v>
      </c>
      <c r="X27" s="114" t="s">
        <v>56</v>
      </c>
    </row>
    <row r="28" spans="2:24" ht="15.75">
      <c r="B28" s="81"/>
      <c r="C28" s="6" t="s">
        <v>85</v>
      </c>
      <c r="D28" s="6" t="s">
        <v>39</v>
      </c>
      <c r="E28" s="6">
        <v>0</v>
      </c>
      <c r="F28" s="6">
        <v>200</v>
      </c>
      <c r="G28" s="6"/>
      <c r="H28" s="94"/>
      <c r="I28" s="6">
        <v>0</v>
      </c>
      <c r="J28" s="94" t="e">
        <f t="shared" ref="J28:J33" si="2">F28/H28</f>
        <v>#DIV/0!</v>
      </c>
      <c r="K28" s="94">
        <f t="shared" ref="K28:K33" si="3">(H28-F28)*100/F28</f>
        <v>-100</v>
      </c>
      <c r="L28" s="6" t="s">
        <v>80</v>
      </c>
      <c r="M28" s="114" t="s">
        <v>56</v>
      </c>
      <c r="O28" s="81">
        <v>45211.538194444445</v>
      </c>
      <c r="P28" s="111" t="s">
        <v>29</v>
      </c>
      <c r="Q28" s="111">
        <v>4558.05</v>
      </c>
      <c r="R28" s="111">
        <v>3528.64</v>
      </c>
      <c r="S28" s="133" t="s">
        <v>86</v>
      </c>
      <c r="T28" s="133">
        <v>792.27</v>
      </c>
      <c r="U28" s="129">
        <v>0.92420000000000002</v>
      </c>
      <c r="V28" s="129">
        <v>0.9204</v>
      </c>
      <c r="W28" s="6" t="s">
        <v>80</v>
      </c>
      <c r="X28" s="114" t="s">
        <v>56</v>
      </c>
    </row>
    <row r="29" spans="2:24" ht="15.75">
      <c r="B29" s="81"/>
      <c r="C29" s="6" t="s">
        <v>85</v>
      </c>
      <c r="D29" s="6" t="s">
        <v>39</v>
      </c>
      <c r="E29" s="6">
        <v>0</v>
      </c>
      <c r="F29" s="6">
        <v>200</v>
      </c>
      <c r="G29" s="6"/>
      <c r="H29" s="94"/>
      <c r="I29" s="6">
        <v>0</v>
      </c>
      <c r="J29" s="94" t="e">
        <f t="shared" si="2"/>
        <v>#DIV/0!</v>
      </c>
      <c r="K29" s="94">
        <f t="shared" si="3"/>
        <v>-100</v>
      </c>
      <c r="L29" s="6" t="s">
        <v>80</v>
      </c>
      <c r="M29" s="114" t="s">
        <v>56</v>
      </c>
      <c r="O29" s="81">
        <v>45218.487500000003</v>
      </c>
      <c r="P29" s="111" t="s">
        <v>29</v>
      </c>
      <c r="Q29" s="111">
        <v>4458.3599999999997</v>
      </c>
      <c r="R29" s="111">
        <v>3447.71</v>
      </c>
      <c r="S29" s="133" t="s">
        <v>86</v>
      </c>
      <c r="T29" s="133">
        <v>794.76</v>
      </c>
      <c r="U29" s="129">
        <v>0.9204</v>
      </c>
      <c r="V29" s="129">
        <v>0.91369999999999996</v>
      </c>
      <c r="W29" s="6" t="s">
        <v>80</v>
      </c>
      <c r="X29" s="114" t="s">
        <v>56</v>
      </c>
    </row>
    <row r="30" spans="2:24" ht="15.75">
      <c r="B30" s="81"/>
      <c r="C30" s="6" t="s">
        <v>85</v>
      </c>
      <c r="D30" s="6" t="s">
        <v>39</v>
      </c>
      <c r="E30" s="6">
        <v>0</v>
      </c>
      <c r="F30" s="6">
        <v>200</v>
      </c>
      <c r="G30" s="6"/>
      <c r="H30" s="94"/>
      <c r="I30" s="6">
        <v>0</v>
      </c>
      <c r="J30" s="94" t="e">
        <f t="shared" si="2"/>
        <v>#DIV/0!</v>
      </c>
      <c r="K30" s="94">
        <f t="shared" si="3"/>
        <v>-100</v>
      </c>
      <c r="L30" s="6" t="s">
        <v>80</v>
      </c>
      <c r="M30" s="114" t="s">
        <v>56</v>
      </c>
      <c r="O30" s="81"/>
      <c r="P30" s="111" t="s">
        <v>29</v>
      </c>
      <c r="Q30" s="111"/>
      <c r="R30" s="111"/>
      <c r="S30" s="133" t="s">
        <v>86</v>
      </c>
      <c r="T30" s="133"/>
      <c r="U30" s="129"/>
      <c r="V30" s="129"/>
      <c r="W30" s="6" t="s">
        <v>80</v>
      </c>
      <c r="X30" s="114" t="s">
        <v>56</v>
      </c>
    </row>
    <row r="31" spans="2:24" ht="15.75">
      <c r="B31" s="81"/>
      <c r="C31" s="6" t="s">
        <v>85</v>
      </c>
      <c r="D31" s="6" t="s">
        <v>39</v>
      </c>
      <c r="E31" s="6">
        <v>0</v>
      </c>
      <c r="F31" s="6">
        <v>200</v>
      </c>
      <c r="G31" s="6"/>
      <c r="H31" s="94"/>
      <c r="I31" s="6">
        <v>0</v>
      </c>
      <c r="J31" s="94" t="e">
        <f t="shared" si="2"/>
        <v>#DIV/0!</v>
      </c>
      <c r="K31" s="94">
        <f t="shared" si="3"/>
        <v>-100</v>
      </c>
      <c r="L31" s="6" t="s">
        <v>80</v>
      </c>
      <c r="M31" s="114" t="s">
        <v>56</v>
      </c>
      <c r="O31" s="81"/>
      <c r="P31" s="111" t="s">
        <v>29</v>
      </c>
      <c r="Q31" s="111"/>
      <c r="R31" s="111"/>
      <c r="S31" s="133" t="s">
        <v>86</v>
      </c>
      <c r="T31" s="133"/>
      <c r="U31" s="129"/>
      <c r="V31" s="129"/>
      <c r="W31" s="6" t="s">
        <v>80</v>
      </c>
      <c r="X31" s="114" t="s">
        <v>56</v>
      </c>
    </row>
    <row r="32" spans="2:24" ht="15.75">
      <c r="B32" s="81"/>
      <c r="C32" s="6" t="s">
        <v>85</v>
      </c>
      <c r="D32" s="6" t="s">
        <v>39</v>
      </c>
      <c r="E32" s="6">
        <v>0</v>
      </c>
      <c r="F32" s="6">
        <v>200</v>
      </c>
      <c r="G32" s="6"/>
      <c r="H32" s="94"/>
      <c r="I32" s="6">
        <v>0</v>
      </c>
      <c r="J32" s="94" t="e">
        <f t="shared" si="2"/>
        <v>#DIV/0!</v>
      </c>
      <c r="K32" s="94">
        <f t="shared" si="3"/>
        <v>-100</v>
      </c>
      <c r="L32" s="6" t="s">
        <v>80</v>
      </c>
      <c r="M32" s="114" t="s">
        <v>56</v>
      </c>
      <c r="O32" s="81"/>
      <c r="P32" s="111" t="s">
        <v>29</v>
      </c>
      <c r="Q32" s="111"/>
      <c r="R32" s="111"/>
      <c r="S32" s="133" t="s">
        <v>86</v>
      </c>
      <c r="T32" s="133"/>
      <c r="U32" s="129"/>
      <c r="V32" s="129"/>
      <c r="W32" s="6" t="s">
        <v>80</v>
      </c>
      <c r="X32" s="114" t="s">
        <v>56</v>
      </c>
    </row>
    <row r="33" spans="2:24" ht="15.75">
      <c r="B33" s="81"/>
      <c r="C33" s="6" t="s">
        <v>85</v>
      </c>
      <c r="D33" s="6" t="s">
        <v>39</v>
      </c>
      <c r="E33" s="6">
        <v>0</v>
      </c>
      <c r="F33" s="6">
        <v>200</v>
      </c>
      <c r="G33" s="6"/>
      <c r="H33" s="94"/>
      <c r="I33" s="6">
        <v>0</v>
      </c>
      <c r="J33" s="94" t="e">
        <f t="shared" si="2"/>
        <v>#DIV/0!</v>
      </c>
      <c r="K33" s="94">
        <f t="shared" si="3"/>
        <v>-100</v>
      </c>
      <c r="L33" s="6" t="s">
        <v>80</v>
      </c>
      <c r="M33" s="114" t="s">
        <v>56</v>
      </c>
      <c r="O33" s="81"/>
      <c r="P33" s="111" t="s">
        <v>29</v>
      </c>
      <c r="Q33" s="111"/>
      <c r="R33" s="111"/>
      <c r="S33" s="133" t="s">
        <v>86</v>
      </c>
      <c r="T33" s="133"/>
      <c r="U33" s="129"/>
      <c r="V33" s="129"/>
      <c r="W33" s="6" t="s">
        <v>80</v>
      </c>
      <c r="X33" s="114" t="s">
        <v>56</v>
      </c>
    </row>
    <row r="34" spans="2:24" ht="15.75">
      <c r="B34" s="81"/>
      <c r="C34" s="6"/>
      <c r="D34" s="6"/>
      <c r="E34" s="6"/>
      <c r="F34" s="6"/>
      <c r="G34" s="6"/>
      <c r="H34" s="94"/>
      <c r="I34" s="6"/>
      <c r="J34" s="94"/>
      <c r="K34" s="94"/>
      <c r="L34" s="6"/>
      <c r="M34" s="115"/>
      <c r="O34" s="81"/>
      <c r="P34" s="111" t="s">
        <v>29</v>
      </c>
      <c r="Q34" s="111"/>
      <c r="R34" s="111"/>
      <c r="S34" s="133" t="s">
        <v>86</v>
      </c>
      <c r="T34" s="133"/>
      <c r="U34" s="129"/>
      <c r="V34" s="129"/>
      <c r="W34" s="6" t="s">
        <v>80</v>
      </c>
      <c r="X34" s="114"/>
    </row>
    <row r="35" spans="2:24" ht="15.75">
      <c r="B35" s="81"/>
      <c r="C35" s="6"/>
      <c r="D35" s="6"/>
      <c r="E35" s="6"/>
      <c r="F35" s="6"/>
      <c r="G35" s="6"/>
      <c r="H35" s="94"/>
      <c r="I35" s="6"/>
      <c r="J35" s="94"/>
      <c r="K35" s="94"/>
      <c r="L35" s="6"/>
      <c r="M35" s="115"/>
      <c r="O35" s="81"/>
      <c r="P35" s="111" t="s">
        <v>29</v>
      </c>
      <c r="Q35" s="111"/>
      <c r="R35" s="111"/>
      <c r="S35" s="133" t="s">
        <v>86</v>
      </c>
      <c r="T35" s="133"/>
      <c r="U35" s="129"/>
      <c r="V35" s="129"/>
      <c r="W35" s="6" t="s">
        <v>80</v>
      </c>
      <c r="X35" s="114"/>
    </row>
    <row r="36" spans="2:24" ht="15.75">
      <c r="B36" s="81"/>
      <c r="C36" s="6"/>
      <c r="D36" s="6"/>
      <c r="E36" s="6"/>
      <c r="F36" s="6"/>
      <c r="G36" s="6"/>
      <c r="H36" s="94"/>
      <c r="I36" s="6"/>
      <c r="J36" s="94"/>
      <c r="K36" s="94"/>
      <c r="L36" s="6"/>
      <c r="M36" s="115"/>
      <c r="O36" s="81"/>
      <c r="P36" s="111" t="s">
        <v>29</v>
      </c>
      <c r="Q36" s="111"/>
      <c r="R36" s="111"/>
      <c r="S36" s="133" t="s">
        <v>86</v>
      </c>
      <c r="T36" s="133"/>
      <c r="U36" s="129"/>
      <c r="V36" s="129"/>
      <c r="W36" s="6"/>
      <c r="X36" s="114"/>
    </row>
    <row r="37" spans="2:24" ht="15.75">
      <c r="B37" s="82"/>
      <c r="C37" s="6"/>
      <c r="D37" s="6"/>
      <c r="E37" s="6"/>
      <c r="F37" s="6"/>
      <c r="G37" s="6"/>
      <c r="H37" s="94"/>
      <c r="I37" s="6"/>
      <c r="J37" s="94"/>
      <c r="K37" s="94"/>
      <c r="L37" s="6"/>
      <c r="M37" s="115"/>
      <c r="O37" s="116"/>
      <c r="P37" s="111" t="s">
        <v>29</v>
      </c>
      <c r="Q37" s="111"/>
      <c r="R37" s="111"/>
      <c r="S37" s="133" t="s">
        <v>86</v>
      </c>
      <c r="T37" s="133"/>
      <c r="U37" s="129"/>
      <c r="V37" s="129"/>
      <c r="W37" s="6"/>
      <c r="X37" s="114"/>
    </row>
    <row r="38" spans="2:24" ht="15.75">
      <c r="B38" s="82"/>
      <c r="C38" s="6"/>
      <c r="D38" s="6"/>
      <c r="E38" s="6"/>
      <c r="F38" s="6"/>
      <c r="G38" s="6"/>
      <c r="H38" s="94"/>
      <c r="I38" s="6"/>
      <c r="J38" s="94"/>
      <c r="K38" s="94"/>
      <c r="L38" s="6"/>
      <c r="M38" s="115"/>
      <c r="O38" s="117"/>
      <c r="P38" s="111"/>
      <c r="Q38" s="111"/>
      <c r="R38" s="111"/>
      <c r="S38" s="133"/>
      <c r="T38" s="133"/>
      <c r="U38" s="129"/>
      <c r="V38" s="129"/>
      <c r="W38" s="6"/>
      <c r="X38" s="114"/>
    </row>
    <row r="39" spans="2:24" ht="15.75">
      <c r="B39" s="82"/>
      <c r="C39" s="6"/>
      <c r="D39" s="6"/>
      <c r="E39" s="6"/>
      <c r="F39" s="6"/>
      <c r="G39" s="6"/>
      <c r="H39" s="94"/>
      <c r="I39" s="6"/>
      <c r="J39" s="94"/>
      <c r="K39" s="94"/>
      <c r="L39" s="6"/>
      <c r="M39" s="115"/>
      <c r="O39" s="117"/>
      <c r="P39" s="111"/>
      <c r="Q39" s="111"/>
      <c r="R39" s="111"/>
      <c r="S39" s="133"/>
      <c r="T39" s="133"/>
      <c r="U39" s="129"/>
      <c r="V39" s="129"/>
      <c r="W39" s="6"/>
      <c r="X39" s="114"/>
    </row>
    <row r="40" spans="2:24" ht="15.75">
      <c r="B40" s="93"/>
      <c r="C40" s="6"/>
      <c r="D40" s="6"/>
      <c r="E40" s="6"/>
      <c r="F40" s="6"/>
      <c r="G40" s="6"/>
      <c r="H40" s="94"/>
      <c r="I40" s="6"/>
      <c r="J40" s="94"/>
      <c r="K40" s="94"/>
      <c r="L40" s="6"/>
      <c r="M40" s="115"/>
      <c r="O40" s="121"/>
      <c r="P40" s="199" t="s">
        <v>87</v>
      </c>
      <c r="Q40" s="199"/>
      <c r="R40" s="199"/>
      <c r="S40" s="199"/>
      <c r="T40" s="134">
        <f>COUNT(O27:O39)</f>
        <v>3</v>
      </c>
      <c r="U40" s="135"/>
      <c r="V40" s="135"/>
      <c r="W40" s="136"/>
      <c r="X40" s="137"/>
    </row>
    <row r="41" spans="2:24">
      <c r="B41" s="98"/>
      <c r="C41" s="105"/>
      <c r="D41" s="196" t="s">
        <v>88</v>
      </c>
      <c r="E41" s="196"/>
      <c r="F41" s="196"/>
      <c r="G41" s="196"/>
      <c r="H41" s="196"/>
      <c r="I41" s="196"/>
      <c r="J41" s="125">
        <f>COUNT(B27:B39)</f>
        <v>1</v>
      </c>
      <c r="K41" s="119"/>
      <c r="L41" s="105"/>
      <c r="M41" s="120"/>
      <c r="S41" s="88"/>
      <c r="T41" s="88"/>
      <c r="U41" s="89"/>
      <c r="V41" s="89"/>
      <c r="W41" s="88"/>
      <c r="X41" s="88"/>
    </row>
    <row r="44" spans="2:24">
      <c r="B44" s="91"/>
      <c r="C44" s="101"/>
      <c r="D44" s="101"/>
      <c r="E44" s="101"/>
      <c r="F44" s="101"/>
      <c r="G44" s="197" t="s">
        <v>38</v>
      </c>
      <c r="H44" s="197"/>
      <c r="I44" s="92"/>
      <c r="J44" s="122"/>
      <c r="K44" s="122"/>
      <c r="L44" s="92"/>
      <c r="M44" s="106"/>
    </row>
    <row r="45" spans="2:24">
      <c r="B45" s="93"/>
      <c r="C45" s="6"/>
      <c r="D45" s="6"/>
      <c r="E45" s="6"/>
      <c r="F45" s="6"/>
      <c r="G45" s="6"/>
      <c r="H45" s="94"/>
      <c r="I45" s="6"/>
      <c r="J45" s="94"/>
      <c r="K45" s="94"/>
      <c r="L45" s="6"/>
      <c r="M45" s="109"/>
    </row>
    <row r="46" spans="2:24" ht="15.75">
      <c r="B46" s="95" t="s">
        <v>64</v>
      </c>
      <c r="C46" s="96" t="s">
        <v>65</v>
      </c>
      <c r="D46" s="96" t="s">
        <v>66</v>
      </c>
      <c r="E46" s="96" t="s">
        <v>67</v>
      </c>
      <c r="F46" s="96" t="s">
        <v>68</v>
      </c>
      <c r="G46" s="96" t="s">
        <v>69</v>
      </c>
      <c r="H46" s="97" t="s">
        <v>70</v>
      </c>
      <c r="I46" s="96" t="s">
        <v>71</v>
      </c>
      <c r="J46" s="96" t="s">
        <v>72</v>
      </c>
      <c r="K46" s="96" t="s">
        <v>73</v>
      </c>
      <c r="L46" s="96" t="s">
        <v>54</v>
      </c>
      <c r="M46" s="39" t="s">
        <v>74</v>
      </c>
    </row>
    <row r="47" spans="2:24" ht="15.75">
      <c r="B47" s="81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4"/>
      <c r="I47" s="6">
        <v>0</v>
      </c>
      <c r="J47" s="94" t="e">
        <f>F47/H47</f>
        <v>#DIV/0!</v>
      </c>
      <c r="K47" s="94">
        <f>(H47-F47)*100/F47</f>
        <v>-100</v>
      </c>
      <c r="L47" s="6" t="s">
        <v>80</v>
      </c>
      <c r="M47" s="114" t="s">
        <v>56</v>
      </c>
    </row>
    <row r="48" spans="2:24" ht="15.75">
      <c r="B48" s="81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4"/>
      <c r="I48" s="6">
        <v>0</v>
      </c>
      <c r="J48" s="94" t="e">
        <f>F48/H48</f>
        <v>#DIV/0!</v>
      </c>
      <c r="K48" s="94">
        <f>(H48-F48)*100/F48</f>
        <v>-100</v>
      </c>
      <c r="L48" s="6" t="s">
        <v>80</v>
      </c>
      <c r="M48" s="114" t="s">
        <v>56</v>
      </c>
    </row>
    <row r="49" spans="2:13" ht="15.75">
      <c r="B49" s="81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4"/>
      <c r="I49" s="6">
        <v>0</v>
      </c>
      <c r="J49" s="94" t="e">
        <f>F49/H49</f>
        <v>#DIV/0!</v>
      </c>
      <c r="K49" s="94">
        <f>(H49-F49)*100/F49</f>
        <v>-100</v>
      </c>
      <c r="L49" s="6" t="s">
        <v>80</v>
      </c>
      <c r="M49" s="114" t="s">
        <v>56</v>
      </c>
    </row>
    <row r="50" spans="2:13" ht="15.75">
      <c r="B50" s="81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4"/>
      <c r="I50" s="6">
        <v>0</v>
      </c>
      <c r="J50" s="94" t="e">
        <f>F50/H50</f>
        <v>#DIV/0!</v>
      </c>
      <c r="K50" s="94">
        <f>(H50-F50)*100/F50</f>
        <v>-100</v>
      </c>
      <c r="L50" s="6" t="s">
        <v>80</v>
      </c>
      <c r="M50" s="114" t="s">
        <v>56</v>
      </c>
    </row>
    <row r="51" spans="2:13" ht="15.75">
      <c r="B51" s="81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4"/>
      <c r="I51" s="6">
        <v>0</v>
      </c>
      <c r="J51" s="94" t="e">
        <f>F51/H51</f>
        <v>#DIV/0!</v>
      </c>
      <c r="K51" s="94">
        <f>(H51-F51)*100/F51</f>
        <v>-100</v>
      </c>
      <c r="L51" s="6" t="s">
        <v>80</v>
      </c>
      <c r="M51" s="114" t="s">
        <v>56</v>
      </c>
    </row>
    <row r="52" spans="2:13" ht="15.75">
      <c r="B52" s="82"/>
      <c r="C52" s="6"/>
      <c r="D52" s="6"/>
      <c r="E52" s="6"/>
      <c r="F52" s="6"/>
      <c r="G52" s="6"/>
      <c r="H52" s="94"/>
      <c r="I52" s="6"/>
      <c r="J52" s="94"/>
      <c r="K52" s="94"/>
      <c r="L52" s="6"/>
      <c r="M52" s="114" t="s">
        <v>56</v>
      </c>
    </row>
    <row r="53" spans="2:13" ht="15.75">
      <c r="B53" s="82"/>
      <c r="C53" s="6"/>
      <c r="D53" s="6"/>
      <c r="E53" s="6"/>
      <c r="F53" s="6"/>
      <c r="G53" s="6"/>
      <c r="H53" s="94"/>
      <c r="I53" s="6"/>
      <c r="J53" s="94"/>
      <c r="K53" s="94"/>
      <c r="L53" s="6"/>
      <c r="M53" s="114" t="s">
        <v>56</v>
      </c>
    </row>
    <row r="54" spans="2:13" ht="15.75">
      <c r="B54" s="82"/>
      <c r="C54" s="6"/>
      <c r="D54" s="6"/>
      <c r="E54" s="6"/>
      <c r="F54" s="6"/>
      <c r="G54" s="6"/>
      <c r="H54" s="94"/>
      <c r="I54" s="6"/>
      <c r="J54" s="94"/>
      <c r="K54" s="94"/>
      <c r="L54" s="6"/>
      <c r="M54" s="115"/>
    </row>
    <row r="55" spans="2:13" ht="15.75">
      <c r="B55" s="82"/>
      <c r="C55" s="6"/>
      <c r="D55" s="6"/>
      <c r="E55" s="6"/>
      <c r="F55" s="6"/>
      <c r="G55" s="6"/>
      <c r="H55" s="94"/>
      <c r="I55" s="6"/>
      <c r="J55" s="94"/>
      <c r="K55" s="94"/>
      <c r="L55" s="6"/>
      <c r="M55" s="115"/>
    </row>
    <row r="56" spans="2:13" ht="15.75">
      <c r="B56" s="82"/>
      <c r="C56" s="6"/>
      <c r="D56" s="6"/>
      <c r="E56" s="6"/>
      <c r="F56" s="6"/>
      <c r="G56" s="6"/>
      <c r="H56" s="94"/>
      <c r="I56" s="6"/>
      <c r="J56" s="94"/>
      <c r="K56" s="94"/>
      <c r="L56" s="6"/>
      <c r="M56" s="115"/>
    </row>
    <row r="57" spans="2:13" ht="15.75">
      <c r="B57" s="82"/>
      <c r="C57" s="6"/>
      <c r="D57" s="6"/>
      <c r="E57" s="6"/>
      <c r="F57" s="6"/>
      <c r="G57" s="6"/>
      <c r="H57" s="94"/>
      <c r="I57" s="6"/>
      <c r="J57" s="94"/>
      <c r="K57" s="94"/>
      <c r="L57" s="6"/>
      <c r="M57" s="115"/>
    </row>
    <row r="58" spans="2:13" ht="15.75">
      <c r="B58" s="82"/>
      <c r="C58" s="6"/>
      <c r="D58" s="6"/>
      <c r="E58" s="6"/>
      <c r="F58" s="6"/>
      <c r="G58" s="6"/>
      <c r="H58" s="94"/>
      <c r="I58" s="6"/>
      <c r="J58" s="94"/>
      <c r="K58" s="94"/>
      <c r="L58" s="6"/>
      <c r="M58" s="115"/>
    </row>
    <row r="59" spans="2:13" ht="15.75">
      <c r="B59" s="82"/>
      <c r="C59" s="6"/>
      <c r="D59" s="6"/>
      <c r="E59" s="6"/>
      <c r="F59" s="6"/>
      <c r="G59" s="6"/>
      <c r="H59" s="94"/>
      <c r="I59" s="6"/>
      <c r="J59" s="94"/>
      <c r="K59" s="94"/>
      <c r="L59" s="6"/>
      <c r="M59" s="115"/>
    </row>
    <row r="60" spans="2:13" ht="15.75">
      <c r="B60" s="93"/>
      <c r="C60" s="6"/>
      <c r="D60" s="6"/>
      <c r="E60" s="6"/>
      <c r="F60" s="6"/>
      <c r="G60" s="6"/>
      <c r="H60" s="94"/>
      <c r="I60" s="6"/>
      <c r="J60" s="94"/>
      <c r="K60" s="94"/>
      <c r="L60" s="6"/>
      <c r="M60" s="115"/>
    </row>
    <row r="61" spans="2:13">
      <c r="B61" s="98"/>
      <c r="C61" s="105"/>
      <c r="D61" s="196" t="s">
        <v>89</v>
      </c>
      <c r="E61" s="196"/>
      <c r="F61" s="196"/>
      <c r="G61" s="196"/>
      <c r="H61" s="196"/>
      <c r="I61" s="196"/>
      <c r="J61" s="125">
        <f>COUNT(B47:B59)</f>
        <v>0</v>
      </c>
      <c r="K61" s="119"/>
      <c r="L61" s="105"/>
      <c r="M61" s="120"/>
    </row>
    <row r="64" spans="2:13">
      <c r="B64" s="91"/>
      <c r="C64" s="101"/>
      <c r="D64" s="101"/>
      <c r="E64" s="101"/>
      <c r="F64" s="101"/>
      <c r="G64" s="197" t="s">
        <v>37</v>
      </c>
      <c r="H64" s="197"/>
      <c r="I64" s="92"/>
      <c r="J64" s="122"/>
      <c r="K64" s="122"/>
      <c r="L64" s="92"/>
      <c r="M64" s="106"/>
    </row>
    <row r="65" spans="2:13">
      <c r="B65" s="93"/>
      <c r="C65" s="6"/>
      <c r="D65" s="6"/>
      <c r="E65" s="6"/>
      <c r="F65" s="6"/>
      <c r="G65" s="6"/>
      <c r="H65" s="94"/>
      <c r="I65" s="6"/>
      <c r="J65" s="94"/>
      <c r="K65" s="94"/>
      <c r="L65" s="6"/>
      <c r="M65" s="109"/>
    </row>
    <row r="66" spans="2:13" ht="15.75">
      <c r="B66" s="95" t="s">
        <v>64</v>
      </c>
      <c r="C66" s="96" t="s">
        <v>65</v>
      </c>
      <c r="D66" s="96" t="s">
        <v>66</v>
      </c>
      <c r="E66" s="96" t="s">
        <v>67</v>
      </c>
      <c r="F66" s="96" t="s">
        <v>68</v>
      </c>
      <c r="G66" s="96" t="s">
        <v>69</v>
      </c>
      <c r="H66" s="97" t="s">
        <v>70</v>
      </c>
      <c r="I66" s="96" t="s">
        <v>71</v>
      </c>
      <c r="J66" s="96" t="s">
        <v>72</v>
      </c>
      <c r="K66" s="96" t="s">
        <v>73</v>
      </c>
      <c r="L66" s="96" t="s">
        <v>54</v>
      </c>
      <c r="M66" s="39" t="s">
        <v>74</v>
      </c>
    </row>
    <row r="67" spans="2:13" ht="15.75">
      <c r="B67" s="81">
        <v>45209.597916666666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8">
        <v>4.9000000000000004</v>
      </c>
      <c r="I67" s="6">
        <v>0</v>
      </c>
      <c r="J67" s="94">
        <f>F67/H67</f>
        <v>1.0204081632653061</v>
      </c>
      <c r="K67" s="94">
        <f>(H67-F67)*100/F67</f>
        <v>-1.9999999999999929</v>
      </c>
      <c r="L67" s="6" t="s">
        <v>80</v>
      </c>
      <c r="M67" s="114" t="s">
        <v>56</v>
      </c>
    </row>
    <row r="68" spans="2:13" ht="15.75">
      <c r="B68" s="81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4"/>
      <c r="I68" s="6">
        <v>0</v>
      </c>
      <c r="J68" s="94" t="e">
        <f t="shared" ref="J68:J73" si="4">F68/H68</f>
        <v>#DIV/0!</v>
      </c>
      <c r="K68" s="94">
        <f t="shared" ref="K68:K73" si="5">(H68-F68)*100/F68</f>
        <v>-100</v>
      </c>
      <c r="L68" s="6" t="s">
        <v>80</v>
      </c>
      <c r="M68" s="114" t="s">
        <v>56</v>
      </c>
    </row>
    <row r="69" spans="2:13" ht="15.75">
      <c r="B69" s="81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4"/>
      <c r="I69" s="6">
        <v>0</v>
      </c>
      <c r="J69" s="94" t="e">
        <f t="shared" si="4"/>
        <v>#DIV/0!</v>
      </c>
      <c r="K69" s="94">
        <f t="shared" si="5"/>
        <v>-100</v>
      </c>
      <c r="L69" s="6" t="s">
        <v>80</v>
      </c>
      <c r="M69" s="114" t="s">
        <v>56</v>
      </c>
    </row>
    <row r="70" spans="2:13" ht="15.75">
      <c r="B70" s="81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4"/>
      <c r="I70" s="6">
        <v>0</v>
      </c>
      <c r="J70" s="94" t="e">
        <f t="shared" si="4"/>
        <v>#DIV/0!</v>
      </c>
      <c r="K70" s="94">
        <f t="shared" si="5"/>
        <v>-100</v>
      </c>
      <c r="L70" s="6" t="s">
        <v>80</v>
      </c>
      <c r="M70" s="114" t="s">
        <v>56</v>
      </c>
    </row>
    <row r="71" spans="2:13" ht="15.75">
      <c r="B71" s="81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8"/>
      <c r="I71" s="6">
        <v>0</v>
      </c>
      <c r="J71" s="94" t="e">
        <f t="shared" si="4"/>
        <v>#DIV/0!</v>
      </c>
      <c r="K71" s="94">
        <f t="shared" si="5"/>
        <v>-100</v>
      </c>
      <c r="L71" s="6" t="s">
        <v>80</v>
      </c>
      <c r="M71" s="114" t="s">
        <v>56</v>
      </c>
    </row>
    <row r="72" spans="2:13" ht="15.75">
      <c r="B72" s="81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8"/>
      <c r="I72" s="6">
        <v>0</v>
      </c>
      <c r="J72" s="94" t="e">
        <f t="shared" si="4"/>
        <v>#DIV/0!</v>
      </c>
      <c r="K72" s="94">
        <f t="shared" si="5"/>
        <v>-100</v>
      </c>
      <c r="L72" s="6" t="s">
        <v>80</v>
      </c>
      <c r="M72" s="114" t="s">
        <v>56</v>
      </c>
    </row>
    <row r="73" spans="2:13" ht="15.75">
      <c r="B73" s="81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8"/>
      <c r="I73" s="6">
        <v>0</v>
      </c>
      <c r="J73" s="94" t="e">
        <f t="shared" si="4"/>
        <v>#DIV/0!</v>
      </c>
      <c r="K73" s="94">
        <f t="shared" si="5"/>
        <v>-100</v>
      </c>
      <c r="L73" s="6" t="s">
        <v>80</v>
      </c>
      <c r="M73" s="114" t="s">
        <v>56</v>
      </c>
    </row>
    <row r="74" spans="2:13" ht="15.75">
      <c r="B74" s="81"/>
      <c r="C74" s="6"/>
      <c r="D74" s="6"/>
      <c r="E74" s="6"/>
      <c r="F74" s="6"/>
      <c r="G74" s="6"/>
      <c r="H74" s="138"/>
      <c r="I74" s="6"/>
      <c r="J74" s="94"/>
      <c r="K74" s="94"/>
      <c r="L74" s="6"/>
      <c r="M74" s="115"/>
    </row>
    <row r="75" spans="2:13" ht="15.75">
      <c r="B75" s="81"/>
      <c r="C75" s="6"/>
      <c r="D75" s="6"/>
      <c r="E75" s="6"/>
      <c r="F75" s="6"/>
      <c r="G75" s="6"/>
      <c r="H75" s="138"/>
      <c r="I75" s="6"/>
      <c r="J75" s="94"/>
      <c r="K75" s="94"/>
      <c r="L75" s="6"/>
      <c r="M75" s="115"/>
    </row>
    <row r="76" spans="2:13" ht="15.75">
      <c r="B76" s="81"/>
      <c r="C76" s="6"/>
      <c r="D76" s="6"/>
      <c r="E76" s="6"/>
      <c r="F76" s="6"/>
      <c r="G76" s="6"/>
      <c r="H76" s="138"/>
      <c r="I76" s="6"/>
      <c r="J76" s="94"/>
      <c r="K76" s="94"/>
      <c r="L76" s="6"/>
      <c r="M76" s="115"/>
    </row>
    <row r="77" spans="2:13" ht="15.75">
      <c r="B77" s="82"/>
      <c r="C77" s="6"/>
      <c r="D77" s="6"/>
      <c r="E77" s="6"/>
      <c r="F77" s="6"/>
      <c r="G77" s="6"/>
      <c r="H77" s="138"/>
      <c r="I77" s="6"/>
      <c r="J77" s="94"/>
      <c r="K77" s="94"/>
      <c r="L77" s="6"/>
      <c r="M77" s="115"/>
    </row>
    <row r="78" spans="2:13" ht="15.75">
      <c r="B78" s="82"/>
      <c r="C78" s="6"/>
      <c r="D78" s="6"/>
      <c r="E78" s="6"/>
      <c r="F78" s="6"/>
      <c r="G78" s="6"/>
      <c r="H78" s="138"/>
      <c r="I78" s="6"/>
      <c r="J78" s="94"/>
      <c r="K78" s="94"/>
      <c r="L78" s="6"/>
      <c r="M78" s="115"/>
    </row>
    <row r="79" spans="2:13" ht="15.75">
      <c r="B79" s="82"/>
      <c r="C79" s="6"/>
      <c r="D79" s="6"/>
      <c r="E79" s="6"/>
      <c r="F79" s="6"/>
      <c r="G79" s="6"/>
      <c r="H79" s="138"/>
      <c r="I79" s="6"/>
      <c r="J79" s="94"/>
      <c r="K79" s="94"/>
      <c r="L79" s="6"/>
      <c r="M79" s="115"/>
    </row>
    <row r="80" spans="2:13" ht="15.75">
      <c r="B80" s="93"/>
      <c r="C80" s="6"/>
      <c r="D80" s="6"/>
      <c r="E80" s="6"/>
      <c r="F80" s="6"/>
      <c r="G80" s="6"/>
      <c r="H80" s="138"/>
      <c r="I80" s="6"/>
      <c r="J80" s="94"/>
      <c r="K80" s="94"/>
      <c r="L80" s="6"/>
      <c r="M80" s="115"/>
    </row>
    <row r="81" spans="2:13">
      <c r="B81" s="98"/>
      <c r="C81" s="105"/>
      <c r="D81" s="196" t="s">
        <v>90</v>
      </c>
      <c r="E81" s="196"/>
      <c r="F81" s="196"/>
      <c r="G81" s="196"/>
      <c r="H81" s="196"/>
      <c r="I81" s="196"/>
      <c r="J81" s="125">
        <f>COUNT(B67:B79)</f>
        <v>1</v>
      </c>
      <c r="K81" s="119"/>
      <c r="L81" s="105"/>
      <c r="M81" s="120"/>
    </row>
    <row r="84" spans="2:13">
      <c r="B84" s="91"/>
      <c r="C84" s="101"/>
      <c r="D84" s="101"/>
      <c r="E84" s="101"/>
      <c r="F84" s="101"/>
      <c r="G84" s="197" t="s">
        <v>91</v>
      </c>
      <c r="H84" s="197"/>
      <c r="I84" s="92"/>
      <c r="J84" s="122"/>
      <c r="K84" s="122"/>
      <c r="L84" s="92"/>
      <c r="M84" s="106"/>
    </row>
    <row r="85" spans="2:13">
      <c r="B85" s="93"/>
      <c r="C85" s="6"/>
      <c r="D85" s="6"/>
      <c r="E85" s="6"/>
      <c r="F85" s="6"/>
      <c r="G85" s="6"/>
      <c r="H85" s="94"/>
      <c r="I85" s="6"/>
      <c r="J85" s="94"/>
      <c r="K85" s="94"/>
      <c r="L85" s="6"/>
      <c r="M85" s="109"/>
    </row>
    <row r="86" spans="2:13" ht="15.75">
      <c r="B86" s="95" t="s">
        <v>64</v>
      </c>
      <c r="C86" s="96" t="s">
        <v>65</v>
      </c>
      <c r="D86" s="96" t="s">
        <v>66</v>
      </c>
      <c r="E86" s="96" t="s">
        <v>67</v>
      </c>
      <c r="F86" s="96" t="s">
        <v>68</v>
      </c>
      <c r="G86" s="96" t="s">
        <v>69</v>
      </c>
      <c r="H86" s="97" t="s">
        <v>70</v>
      </c>
      <c r="I86" s="96" t="s">
        <v>71</v>
      </c>
      <c r="J86" s="96" t="s">
        <v>72</v>
      </c>
      <c r="K86" s="96" t="s">
        <v>73</v>
      </c>
      <c r="L86" s="96" t="s">
        <v>54</v>
      </c>
      <c r="M86" s="39" t="s">
        <v>74</v>
      </c>
    </row>
    <row r="87" spans="2:13" ht="15.75">
      <c r="B87" s="81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4"/>
      <c r="I87" s="6">
        <v>0</v>
      </c>
      <c r="J87" s="94" t="e">
        <f t="shared" ref="J87:J92" si="6">F87/H87</f>
        <v>#DIV/0!</v>
      </c>
      <c r="K87" s="94">
        <f t="shared" ref="K87:K92" si="7">(H87-F87)*100/F87</f>
        <v>-100</v>
      </c>
      <c r="L87" s="6" t="s">
        <v>80</v>
      </c>
      <c r="M87" s="114" t="s">
        <v>56</v>
      </c>
    </row>
    <row r="88" spans="2:13" ht="15.75">
      <c r="B88" s="81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4"/>
      <c r="I88" s="6">
        <v>0</v>
      </c>
      <c r="J88" s="94" t="e">
        <f t="shared" si="6"/>
        <v>#DIV/0!</v>
      </c>
      <c r="K88" s="94">
        <f t="shared" si="7"/>
        <v>-100</v>
      </c>
      <c r="L88" s="6" t="s">
        <v>80</v>
      </c>
      <c r="M88" s="114" t="s">
        <v>56</v>
      </c>
    </row>
    <row r="89" spans="2:13" ht="15.75">
      <c r="B89" s="81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4"/>
      <c r="I89" s="6">
        <v>0</v>
      </c>
      <c r="J89" s="94" t="e">
        <f t="shared" si="6"/>
        <v>#DIV/0!</v>
      </c>
      <c r="K89" s="94">
        <f t="shared" si="7"/>
        <v>-100</v>
      </c>
      <c r="L89" s="6" t="s">
        <v>80</v>
      </c>
      <c r="M89" s="114" t="s">
        <v>56</v>
      </c>
    </row>
    <row r="90" spans="2:13" ht="15.75">
      <c r="B90" s="81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4"/>
      <c r="I90" s="6">
        <v>0</v>
      </c>
      <c r="J90" s="94" t="e">
        <f t="shared" si="6"/>
        <v>#DIV/0!</v>
      </c>
      <c r="K90" s="94">
        <f t="shared" si="7"/>
        <v>-100</v>
      </c>
      <c r="L90" s="6" t="s">
        <v>80</v>
      </c>
      <c r="M90" s="114" t="s">
        <v>56</v>
      </c>
    </row>
    <row r="91" spans="2:13" ht="15.75">
      <c r="B91" s="81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4"/>
      <c r="I91" s="6">
        <v>0</v>
      </c>
      <c r="J91" s="94" t="e">
        <f t="shared" si="6"/>
        <v>#DIV/0!</v>
      </c>
      <c r="K91" s="94">
        <f t="shared" si="7"/>
        <v>-100</v>
      </c>
      <c r="L91" s="6" t="s">
        <v>80</v>
      </c>
      <c r="M91" s="114" t="s">
        <v>56</v>
      </c>
    </row>
    <row r="92" spans="2:13" ht="15.75">
      <c r="B92" s="81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4"/>
      <c r="I92" s="6">
        <v>0</v>
      </c>
      <c r="J92" s="94" t="e">
        <f t="shared" si="6"/>
        <v>#DIV/0!</v>
      </c>
      <c r="K92" s="94">
        <f t="shared" si="7"/>
        <v>-100</v>
      </c>
      <c r="L92" s="6" t="s">
        <v>80</v>
      </c>
      <c r="M92" s="114" t="s">
        <v>56</v>
      </c>
    </row>
    <row r="93" spans="2:13" ht="15.75">
      <c r="B93" s="82"/>
      <c r="C93" s="6"/>
      <c r="D93" s="6"/>
      <c r="E93" s="6"/>
      <c r="F93" s="6"/>
      <c r="G93" s="6"/>
      <c r="H93" s="94"/>
      <c r="I93" s="6"/>
      <c r="J93" s="94"/>
      <c r="K93" s="94"/>
      <c r="L93" s="6"/>
      <c r="M93" s="114" t="s">
        <v>56</v>
      </c>
    </row>
    <row r="94" spans="2:13" ht="15.75">
      <c r="B94" s="82"/>
      <c r="C94" s="6"/>
      <c r="D94" s="6"/>
      <c r="E94" s="6"/>
      <c r="F94" s="6"/>
      <c r="G94" s="6"/>
      <c r="H94" s="94"/>
      <c r="I94" s="6"/>
      <c r="J94" s="94"/>
      <c r="K94" s="94"/>
      <c r="L94" s="6"/>
      <c r="M94" s="115"/>
    </row>
    <row r="95" spans="2:13" ht="15.75">
      <c r="B95" s="82"/>
      <c r="C95" s="6"/>
      <c r="D95" s="6"/>
      <c r="E95" s="6"/>
      <c r="F95" s="6"/>
      <c r="G95" s="6"/>
      <c r="H95" s="94"/>
      <c r="I95" s="6"/>
      <c r="J95" s="94"/>
      <c r="K95" s="94"/>
      <c r="L95" s="6"/>
      <c r="M95" s="115"/>
    </row>
    <row r="96" spans="2:13" ht="15.75">
      <c r="B96" s="82"/>
      <c r="C96" s="6"/>
      <c r="D96" s="6"/>
      <c r="E96" s="6"/>
      <c r="F96" s="6"/>
      <c r="G96" s="6"/>
      <c r="H96" s="94"/>
      <c r="I96" s="6"/>
      <c r="J96" s="94"/>
      <c r="K96" s="94"/>
      <c r="L96" s="6"/>
      <c r="M96" s="115"/>
    </row>
    <row r="97" spans="2:13" ht="15.75">
      <c r="B97" s="82"/>
      <c r="C97" s="6"/>
      <c r="D97" s="6"/>
      <c r="E97" s="6"/>
      <c r="F97" s="6"/>
      <c r="G97" s="6"/>
      <c r="H97" s="94"/>
      <c r="I97" s="6"/>
      <c r="J97" s="94"/>
      <c r="K97" s="94"/>
      <c r="L97" s="6"/>
      <c r="M97" s="115"/>
    </row>
    <row r="98" spans="2:13" ht="15.75">
      <c r="B98" s="82"/>
      <c r="C98" s="6"/>
      <c r="D98" s="6"/>
      <c r="E98" s="6"/>
      <c r="F98" s="6"/>
      <c r="G98" s="6"/>
      <c r="H98" s="94"/>
      <c r="I98" s="6"/>
      <c r="J98" s="94"/>
      <c r="K98" s="94"/>
      <c r="L98" s="6"/>
      <c r="M98" s="115"/>
    </row>
    <row r="99" spans="2:13" ht="15.75">
      <c r="B99" s="82"/>
      <c r="C99" s="6"/>
      <c r="D99" s="6"/>
      <c r="E99" s="6"/>
      <c r="F99" s="6"/>
      <c r="G99" s="6"/>
      <c r="H99" s="94"/>
      <c r="I99" s="6"/>
      <c r="J99" s="94"/>
      <c r="K99" s="94"/>
      <c r="L99" s="6"/>
      <c r="M99" s="115"/>
    </row>
    <row r="100" spans="2:13" ht="15.75">
      <c r="B100" s="93"/>
      <c r="C100" s="6"/>
      <c r="D100" s="6"/>
      <c r="E100" s="6"/>
      <c r="F100" s="6"/>
      <c r="G100" s="6"/>
      <c r="H100" s="94"/>
      <c r="I100" s="6"/>
      <c r="J100" s="94"/>
      <c r="K100" s="94"/>
      <c r="L100" s="6"/>
      <c r="M100" s="115"/>
    </row>
    <row r="101" spans="2:13">
      <c r="B101" s="98"/>
      <c r="C101" s="105"/>
      <c r="D101" s="196" t="s">
        <v>92</v>
      </c>
      <c r="E101" s="196"/>
      <c r="F101" s="196"/>
      <c r="G101" s="196"/>
      <c r="H101" s="196"/>
      <c r="I101" s="196"/>
      <c r="J101" s="125">
        <f>COUNT(B87:B99)</f>
        <v>0</v>
      </c>
      <c r="K101" s="119"/>
      <c r="L101" s="105"/>
      <c r="M101" s="120"/>
    </row>
    <row r="104" spans="2:13">
      <c r="B104" s="91"/>
      <c r="C104" s="92"/>
      <c r="D104" s="92"/>
      <c r="E104" s="92"/>
      <c r="F104" s="92"/>
      <c r="G104" s="198" t="s">
        <v>93</v>
      </c>
      <c r="H104" s="198"/>
      <c r="I104" s="92"/>
      <c r="J104" s="92"/>
      <c r="K104" s="92"/>
      <c r="L104" s="92"/>
      <c r="M104" s="106"/>
    </row>
    <row r="105" spans="2:13">
      <c r="B105" s="93"/>
      <c r="C105" s="6"/>
      <c r="D105" s="6"/>
      <c r="E105" s="6"/>
      <c r="F105" s="6"/>
      <c r="G105" s="6"/>
      <c r="H105" s="94"/>
      <c r="I105" s="6"/>
      <c r="J105" s="6"/>
      <c r="K105" s="6"/>
      <c r="L105" s="6"/>
      <c r="M105" s="109"/>
    </row>
    <row r="106" spans="2:13" ht="15.75">
      <c r="B106" s="139" t="s">
        <v>64</v>
      </c>
      <c r="C106" s="96" t="s">
        <v>65</v>
      </c>
      <c r="D106" s="96" t="s">
        <v>66</v>
      </c>
      <c r="E106" s="96" t="s">
        <v>67</v>
      </c>
      <c r="F106" s="96" t="s">
        <v>68</v>
      </c>
      <c r="G106" s="96" t="s">
        <v>69</v>
      </c>
      <c r="H106" s="97" t="s">
        <v>70</v>
      </c>
      <c r="I106" s="96" t="s">
        <v>71</v>
      </c>
      <c r="J106" s="96" t="s">
        <v>72</v>
      </c>
      <c r="K106" s="96" t="s">
        <v>73</v>
      </c>
      <c r="L106" s="96" t="s">
        <v>54</v>
      </c>
      <c r="M106" s="140" t="s">
        <v>74</v>
      </c>
    </row>
    <row r="107" spans="2:13" ht="15.75">
      <c r="B107" s="81">
        <v>45211.540972222225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4">
        <v>320.89999999999998</v>
      </c>
      <c r="I107" s="6">
        <f>G107-E107</f>
        <v>0</v>
      </c>
      <c r="J107" s="94">
        <f>F107/H107</f>
        <v>0.99719538797133067</v>
      </c>
      <c r="K107" s="94">
        <f>(H107-F107)*100/F107</f>
        <v>0.28124999999999289</v>
      </c>
      <c r="L107" s="6" t="s">
        <v>80</v>
      </c>
      <c r="M107" s="114" t="s">
        <v>56</v>
      </c>
    </row>
    <row r="108" spans="2:13" ht="15.75">
      <c r="B108" s="81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4"/>
      <c r="I108" s="6">
        <f>G108-E108</f>
        <v>0</v>
      </c>
      <c r="J108" s="94" t="e">
        <f>F108/H108</f>
        <v>#DIV/0!</v>
      </c>
      <c r="K108" s="94">
        <f>(H108-F108)*100/F108</f>
        <v>-100</v>
      </c>
      <c r="L108" s="6" t="s">
        <v>80</v>
      </c>
      <c r="M108" s="114" t="s">
        <v>56</v>
      </c>
    </row>
    <row r="109" spans="2:13" ht="15.75">
      <c r="B109" s="81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4"/>
      <c r="I109" s="6">
        <f t="shared" ref="I109:I115" si="8">G109-E109</f>
        <v>0</v>
      </c>
      <c r="J109" s="94" t="e">
        <f t="shared" ref="J109:J115" si="9">F109/H109</f>
        <v>#DIV/0!</v>
      </c>
      <c r="K109" s="94">
        <f t="shared" ref="K109:K115" si="10">(H109-F109)*100/F109</f>
        <v>-100</v>
      </c>
      <c r="L109" s="6" t="s">
        <v>80</v>
      </c>
      <c r="M109" s="114" t="s">
        <v>56</v>
      </c>
    </row>
    <row r="110" spans="2:13" ht="15.75">
      <c r="B110" s="81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4"/>
      <c r="I110" s="6">
        <f t="shared" si="8"/>
        <v>0</v>
      </c>
      <c r="J110" s="94" t="e">
        <f t="shared" si="9"/>
        <v>#DIV/0!</v>
      </c>
      <c r="K110" s="94">
        <f t="shared" si="10"/>
        <v>-100</v>
      </c>
      <c r="L110" s="6" t="s">
        <v>80</v>
      </c>
      <c r="M110" s="114" t="s">
        <v>56</v>
      </c>
    </row>
    <row r="111" spans="2:13" ht="15.75">
      <c r="B111" s="81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4"/>
      <c r="I111" s="6">
        <f t="shared" si="8"/>
        <v>0</v>
      </c>
      <c r="J111" s="94" t="e">
        <f t="shared" si="9"/>
        <v>#DIV/0!</v>
      </c>
      <c r="K111" s="94">
        <f t="shared" si="10"/>
        <v>-100</v>
      </c>
      <c r="L111" s="6" t="s">
        <v>80</v>
      </c>
      <c r="M111" s="114" t="s">
        <v>56</v>
      </c>
    </row>
    <row r="112" spans="2:13" ht="15.75">
      <c r="B112" s="81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4"/>
      <c r="I112" s="6">
        <f t="shared" si="8"/>
        <v>0</v>
      </c>
      <c r="J112" s="94" t="e">
        <f t="shared" si="9"/>
        <v>#DIV/0!</v>
      </c>
      <c r="K112" s="94">
        <f t="shared" si="10"/>
        <v>-100</v>
      </c>
      <c r="L112" s="6" t="s">
        <v>80</v>
      </c>
      <c r="M112" s="114" t="s">
        <v>56</v>
      </c>
    </row>
    <row r="113" spans="2:13" ht="15.75">
      <c r="B113" s="81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4"/>
      <c r="I113" s="6">
        <f t="shared" si="8"/>
        <v>0</v>
      </c>
      <c r="J113" s="94" t="e">
        <f t="shared" si="9"/>
        <v>#DIV/0!</v>
      </c>
      <c r="K113" s="94">
        <f t="shared" si="10"/>
        <v>-100</v>
      </c>
      <c r="L113" s="6" t="s">
        <v>80</v>
      </c>
      <c r="M113" s="114" t="s">
        <v>56</v>
      </c>
    </row>
    <row r="114" spans="2:13" ht="15.75">
      <c r="B114" s="81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4"/>
      <c r="I114" s="6">
        <f t="shared" si="8"/>
        <v>0</v>
      </c>
      <c r="J114" s="94" t="e">
        <f t="shared" si="9"/>
        <v>#DIV/0!</v>
      </c>
      <c r="K114" s="94">
        <f t="shared" si="10"/>
        <v>-100</v>
      </c>
      <c r="L114" s="6" t="s">
        <v>80</v>
      </c>
      <c r="M114" s="115"/>
    </row>
    <row r="115" spans="2:13" ht="15.75">
      <c r="B115" s="81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4"/>
      <c r="I115" s="6">
        <f t="shared" si="8"/>
        <v>0</v>
      </c>
      <c r="J115" s="94" t="e">
        <f t="shared" si="9"/>
        <v>#DIV/0!</v>
      </c>
      <c r="K115" s="94">
        <f t="shared" si="10"/>
        <v>-100</v>
      </c>
      <c r="L115" s="6" t="s">
        <v>80</v>
      </c>
      <c r="M115" s="115"/>
    </row>
    <row r="116" spans="2:13" ht="15.75">
      <c r="B116" s="82"/>
      <c r="C116" s="6"/>
      <c r="D116" s="6"/>
      <c r="E116" s="6"/>
      <c r="F116" s="6"/>
      <c r="G116" s="6"/>
      <c r="H116" s="94"/>
      <c r="I116" s="6"/>
      <c r="J116" s="94"/>
      <c r="K116" s="94"/>
      <c r="L116" s="6"/>
      <c r="M116" s="115"/>
    </row>
    <row r="117" spans="2:13" ht="15.75">
      <c r="B117" s="82"/>
      <c r="C117" s="6"/>
      <c r="D117" s="6"/>
      <c r="E117" s="6"/>
      <c r="F117" s="6"/>
      <c r="G117" s="6"/>
      <c r="H117" s="94"/>
      <c r="I117" s="6"/>
      <c r="J117" s="94"/>
      <c r="K117" s="94"/>
      <c r="L117" s="6"/>
      <c r="M117" s="115"/>
    </row>
    <row r="118" spans="2:13" ht="15.75">
      <c r="B118" s="93"/>
      <c r="C118" s="6"/>
      <c r="D118" s="6"/>
      <c r="E118" s="6"/>
      <c r="F118" s="6"/>
      <c r="G118" s="6"/>
      <c r="H118" s="94"/>
      <c r="I118" s="6"/>
      <c r="J118" s="94"/>
      <c r="K118" s="94"/>
      <c r="L118" s="6"/>
      <c r="M118" s="115"/>
    </row>
    <row r="119" spans="2:13">
      <c r="B119" s="98"/>
      <c r="C119" s="196" t="s">
        <v>94</v>
      </c>
      <c r="D119" s="196"/>
      <c r="E119" s="196"/>
      <c r="F119" s="196"/>
      <c r="G119" s="196"/>
      <c r="H119" s="196"/>
      <c r="I119" s="125">
        <f>COUNT(B107:B118)</f>
        <v>1</v>
      </c>
      <c r="J119" s="119"/>
      <c r="K119" s="119"/>
      <c r="L119" s="105"/>
      <c r="M119" s="120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9" sqref="C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5" t="s">
        <v>95</v>
      </c>
      <c r="C2" s="205"/>
      <c r="D2" s="207" t="str">
        <f>'MONTHLY 31'!$B$2</f>
        <v>01/10/2023 00:15</v>
      </c>
      <c r="E2" s="207"/>
    </row>
    <row r="3" spans="2:5">
      <c r="B3" s="205" t="s">
        <v>96</v>
      </c>
      <c r="C3" s="205"/>
      <c r="D3" s="207"/>
      <c r="E3" s="207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111" t="s">
        <v>440</v>
      </c>
      <c r="C8" s="111" t="s">
        <v>441</v>
      </c>
      <c r="D8" s="80">
        <f t="shared" ref="D8:D13" si="0">C8-B8</f>
        <v>1.0416666671517305E-2</v>
      </c>
    </row>
    <row r="9" spans="2:5" s="2" customFormat="1">
      <c r="B9" s="111" t="s">
        <v>443</v>
      </c>
      <c r="C9" s="111" t="s">
        <v>444</v>
      </c>
      <c r="D9" s="80">
        <f t="shared" si="0"/>
        <v>1.0416666671517305E-2</v>
      </c>
    </row>
    <row r="10" spans="2:5" s="2" customFormat="1">
      <c r="B10" s="81"/>
      <c r="C10" s="81"/>
      <c r="D10" s="80">
        <f t="shared" si="0"/>
        <v>0</v>
      </c>
    </row>
    <row r="11" spans="2:5" s="2" customFormat="1">
      <c r="B11" s="82"/>
      <c r="C11" s="82"/>
      <c r="D11" s="80">
        <f t="shared" si="0"/>
        <v>0</v>
      </c>
    </row>
    <row r="12" spans="2:5">
      <c r="B12" s="82"/>
      <c r="C12" s="82"/>
      <c r="D12" s="80">
        <f t="shared" si="0"/>
        <v>0</v>
      </c>
    </row>
    <row r="13" spans="2:5">
      <c r="B13" s="82"/>
      <c r="C13" s="82"/>
      <c r="D13" s="80">
        <f t="shared" si="0"/>
        <v>0</v>
      </c>
    </row>
    <row r="14" spans="2:5">
      <c r="B14" s="82"/>
      <c r="C14" s="82"/>
      <c r="D14" s="80">
        <f t="shared" ref="D14:D23" si="1">C14-B14</f>
        <v>0</v>
      </c>
    </row>
    <row r="15" spans="2:5">
      <c r="B15" s="81"/>
      <c r="C15" s="81"/>
      <c r="D15" s="80">
        <f t="shared" si="1"/>
        <v>0</v>
      </c>
    </row>
    <row r="16" spans="2:5">
      <c r="B16" s="81"/>
      <c r="C16" s="81"/>
      <c r="D16" s="80">
        <f t="shared" si="1"/>
        <v>0</v>
      </c>
    </row>
    <row r="17" spans="2:4">
      <c r="B17" s="81"/>
      <c r="C17" s="81"/>
      <c r="D17" s="80">
        <f t="shared" si="1"/>
        <v>0</v>
      </c>
    </row>
    <row r="18" spans="2:4">
      <c r="B18" s="81"/>
      <c r="C18" s="81"/>
      <c r="D18" s="80">
        <f t="shared" si="1"/>
        <v>0</v>
      </c>
    </row>
    <row r="19" spans="2:4">
      <c r="B19" s="82"/>
      <c r="C19" s="81"/>
      <c r="D19" s="80">
        <f t="shared" si="1"/>
        <v>0</v>
      </c>
    </row>
    <row r="20" spans="2:4">
      <c r="B20" s="82"/>
      <c r="C20" s="81"/>
      <c r="D20" s="80">
        <f t="shared" si="1"/>
        <v>0</v>
      </c>
    </row>
    <row r="21" spans="2:4">
      <c r="B21" s="82"/>
      <c r="C21" s="81"/>
      <c r="D21" s="80">
        <f t="shared" si="1"/>
        <v>0</v>
      </c>
    </row>
    <row r="22" spans="2:4">
      <c r="B22" s="82"/>
      <c r="C22" s="81"/>
      <c r="D22" s="80">
        <f t="shared" si="1"/>
        <v>0</v>
      </c>
    </row>
    <row r="23" spans="2:4">
      <c r="B23" s="82"/>
      <c r="C23" s="81"/>
      <c r="D23" s="80">
        <f t="shared" si="1"/>
        <v>0</v>
      </c>
    </row>
    <row r="24" spans="2:4">
      <c r="B24" s="83" t="s">
        <v>100</v>
      </c>
      <c r="C24" s="81"/>
      <c r="D24" s="80">
        <f>SUM(D7:D23)</f>
        <v>2.083333334303461E-2</v>
      </c>
    </row>
    <row r="25" spans="2:4">
      <c r="B25" s="84"/>
      <c r="C25" s="85"/>
      <c r="D25" s="86"/>
    </row>
    <row r="26" spans="2:4">
      <c r="B26" s="84"/>
      <c r="C26" s="85"/>
      <c r="D26" s="86"/>
    </row>
    <row r="27" spans="2:4">
      <c r="B27" s="84"/>
      <c r="C27" s="85"/>
      <c r="D27" s="86"/>
    </row>
    <row r="28" spans="2:4">
      <c r="B28" s="84"/>
      <c r="C28" s="85"/>
      <c r="D28" s="86"/>
    </row>
    <row r="29" spans="2:4">
      <c r="B29" s="84"/>
      <c r="C29" s="85"/>
      <c r="D29" s="86"/>
    </row>
    <row r="30" spans="2:4">
      <c r="B30" s="84"/>
      <c r="C30" s="85"/>
      <c r="D30" s="86"/>
    </row>
    <row r="31" spans="2:4">
      <c r="B31" s="84"/>
      <c r="C31" s="85"/>
      <c r="D31" s="86"/>
    </row>
    <row r="32" spans="2:4">
      <c r="B32" s="84"/>
      <c r="C32" s="85"/>
      <c r="D32" s="86"/>
    </row>
    <row r="33" spans="2:4">
      <c r="B33" s="84"/>
      <c r="C33" s="85"/>
      <c r="D33" s="86"/>
    </row>
    <row r="34" spans="2:4">
      <c r="B34" s="84"/>
      <c r="C34" s="85"/>
      <c r="D34" s="86"/>
    </row>
    <row r="35" spans="2:4">
      <c r="B35" s="84"/>
      <c r="C35" s="85"/>
      <c r="D35" s="86"/>
    </row>
    <row r="36" spans="2:4">
      <c r="B36" s="84"/>
      <c r="C36" s="85"/>
      <c r="D36" s="86"/>
    </row>
    <row r="37" spans="2:4">
      <c r="B37" s="84"/>
      <c r="C37" s="85"/>
      <c r="D37" s="86"/>
    </row>
    <row r="38" spans="2:4">
      <c r="B38" s="84"/>
      <c r="C38" s="85"/>
      <c r="D38" s="86"/>
    </row>
    <row r="39" spans="2:4">
      <c r="B39" s="84"/>
      <c r="C39" s="85"/>
      <c r="D39" s="86"/>
    </row>
    <row r="40" spans="2:4">
      <c r="B40" s="84"/>
      <c r="C40" s="85"/>
      <c r="D40" s="86"/>
    </row>
    <row r="41" spans="2:4">
      <c r="B41" s="84"/>
      <c r="C41" s="85"/>
      <c r="D41" s="86"/>
    </row>
    <row r="42" spans="2:4">
      <c r="B42" s="84"/>
      <c r="C42" s="85"/>
      <c r="D42" s="86"/>
    </row>
    <row r="43" spans="2:4">
      <c r="B43" s="84"/>
      <c r="C43" s="85"/>
      <c r="D43" s="86"/>
    </row>
    <row r="44" spans="2:4" ht="15.75">
      <c r="B44" s="206" t="s">
        <v>100</v>
      </c>
      <c r="C44" s="206"/>
      <c r="D44" s="86">
        <f>SUM(D11:D42)</f>
        <v>2.083333334303461E-2</v>
      </c>
    </row>
    <row r="45" spans="2:4">
      <c r="B45" s="84"/>
      <c r="C45" s="85"/>
      <c r="D45" s="86"/>
    </row>
    <row r="46" spans="2:4">
      <c r="B46" s="85"/>
      <c r="C46" s="85"/>
      <c r="D46" s="86"/>
    </row>
    <row r="47" spans="2:4">
      <c r="B47" s="85"/>
      <c r="C47" s="85"/>
      <c r="D47" s="86"/>
    </row>
    <row r="48" spans="2:4">
      <c r="B48" s="85"/>
      <c r="C48" s="85"/>
      <c r="D48" s="86"/>
    </row>
    <row r="49" spans="2:4">
      <c r="B49" s="85"/>
      <c r="C49" s="85"/>
      <c r="D49" s="86"/>
    </row>
    <row r="50" spans="2:4">
      <c r="B50" s="84"/>
      <c r="C50" s="85"/>
      <c r="D50" s="86"/>
    </row>
    <row r="51" spans="2:4">
      <c r="B51" s="84"/>
      <c r="C51" s="85"/>
      <c r="D51" s="86"/>
    </row>
    <row r="52" spans="2:4">
      <c r="B52" s="84"/>
      <c r="C52" s="85"/>
      <c r="D52" s="86"/>
    </row>
    <row r="53" spans="2:4">
      <c r="B53" s="84"/>
      <c r="C53" s="85"/>
      <c r="D53" s="86"/>
    </row>
    <row r="54" spans="2:4">
      <c r="B54" s="85"/>
      <c r="C54" s="85"/>
      <c r="D54" s="86"/>
    </row>
    <row r="55" spans="2:4">
      <c r="D55" s="86"/>
    </row>
    <row r="56" spans="2:4">
      <c r="D56" s="86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8" t="s">
        <v>101</v>
      </c>
      <c r="C2" s="208"/>
      <c r="D2" s="208"/>
      <c r="E2" s="208"/>
      <c r="F2" s="209">
        <v>1</v>
      </c>
      <c r="G2" s="210"/>
      <c r="H2" s="210"/>
    </row>
    <row r="3" spans="2:24" customFormat="1" ht="15" customHeight="1">
      <c r="B3" s="208"/>
      <c r="C3" s="208"/>
      <c r="D3" s="208"/>
      <c r="E3" s="208"/>
      <c r="F3" s="210"/>
      <c r="G3" s="210"/>
      <c r="H3" s="210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3" t="s">
        <v>93</v>
      </c>
      <c r="C12" s="224" t="s">
        <v>102</v>
      </c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46"/>
      <c r="U12" s="45"/>
    </row>
    <row r="13" spans="2:24" ht="15" customHeight="1">
      <c r="B13" s="214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4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4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4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4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4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5" t="s">
        <v>84</v>
      </c>
      <c r="C25" s="226" t="s">
        <v>102</v>
      </c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11"/>
      <c r="S25" s="56"/>
      <c r="T25" s="57"/>
    </row>
    <row r="26" spans="2:28" ht="15" customHeight="1">
      <c r="B26" s="215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5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6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7" t="s">
        <v>37</v>
      </c>
      <c r="C36" s="228" t="s">
        <v>102</v>
      </c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9"/>
    </row>
    <row r="37" spans="2:25" ht="15.75" customHeight="1">
      <c r="B37" s="218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8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8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9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20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20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20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2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5" t="s">
        <v>196</v>
      </c>
      <c r="C61" s="226" t="s">
        <v>102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11"/>
      <c r="S61" s="65"/>
      <c r="T61" s="66"/>
    </row>
    <row r="62" spans="2:20" ht="15.75">
      <c r="B62" s="215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21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2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6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5" t="s">
        <v>213</v>
      </c>
      <c r="C69" s="226" t="s">
        <v>102</v>
      </c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11"/>
      <c r="S69" s="65"/>
      <c r="T69" s="66"/>
    </row>
    <row r="70" spans="2:20" ht="15.75">
      <c r="B70" s="215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2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6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2" t="s">
        <v>91</v>
      </c>
      <c r="C77" s="211" t="s">
        <v>102</v>
      </c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70"/>
      <c r="S77" s="70"/>
      <c r="T77" s="15"/>
    </row>
    <row r="78" spans="2:20">
      <c r="B78" s="223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3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3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3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3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2023-11-16T15:13:30Z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