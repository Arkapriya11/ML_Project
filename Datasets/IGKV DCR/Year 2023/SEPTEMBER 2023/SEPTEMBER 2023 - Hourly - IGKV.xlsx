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815" windowHeight="7815" tabRatio="913" firstSheet="6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0" sheetId="39" r:id="rId31"/>
  </sheets>
  <calcPr calcId="124519"/>
</workbook>
</file>

<file path=xl/calcChain.xml><?xml version="1.0" encoding="utf-8"?>
<calcChain xmlns="http://schemas.openxmlformats.org/spreadsheetml/2006/main">
  <c r="H38" i="19"/>
  <c r="G38"/>
  <c r="C38"/>
  <c r="D38"/>
  <c r="B38"/>
  <c r="Q38" i="39" l="1"/>
  <c r="P38"/>
  <c r="I38"/>
  <c r="B38"/>
  <c r="A38"/>
  <c r="Q37"/>
  <c r="J37"/>
  <c r="I37"/>
  <c r="B37"/>
  <c r="A37"/>
  <c r="P36"/>
  <c r="K36"/>
  <c r="H36"/>
  <c r="C36"/>
  <c r="P35"/>
  <c r="K35"/>
  <c r="G33"/>
  <c r="I31"/>
  <c r="P30"/>
  <c r="O30"/>
  <c r="J30"/>
  <c r="H30"/>
  <c r="G30"/>
  <c r="Q29"/>
  <c r="P29"/>
  <c r="M29"/>
  <c r="I29"/>
  <c r="H29"/>
  <c r="E29"/>
  <c r="A29"/>
  <c r="Q28"/>
  <c r="I28"/>
  <c r="A28"/>
  <c r="N27"/>
  <c r="L27"/>
  <c r="K27"/>
  <c r="D27"/>
  <c r="M26"/>
  <c r="J26"/>
  <c r="C26"/>
  <c r="B26"/>
  <c r="M25"/>
  <c r="D25"/>
  <c r="B25"/>
  <c r="O24"/>
  <c r="K24"/>
  <c r="C24"/>
  <c r="P23"/>
  <c r="O23"/>
  <c r="N23"/>
  <c r="F21"/>
  <c r="C21"/>
  <c r="D20"/>
  <c r="C20"/>
  <c r="E19"/>
  <c r="F18"/>
  <c r="E18"/>
  <c r="D18"/>
  <c r="K17"/>
  <c r="G17"/>
  <c r="D17"/>
  <c r="C17"/>
  <c r="I15"/>
  <c r="P14"/>
  <c r="N14"/>
  <c r="J14"/>
  <c r="H14"/>
  <c r="F14"/>
  <c r="K13"/>
  <c r="L12"/>
  <c r="M11"/>
  <c r="N10"/>
  <c r="M10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H36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I36"/>
  <c r="H36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O36"/>
  <c r="O36" i="39" s="1"/>
  <c r="N36" i="33"/>
  <c r="N36" i="39" s="1"/>
  <c r="M36" i="33"/>
  <c r="M36" i="39" s="1"/>
  <c r="L36" i="33"/>
  <c r="L36" i="39" s="1"/>
  <c r="K36" i="33"/>
  <c r="J36"/>
  <c r="J36" i="39" s="1"/>
  <c r="I36" i="33"/>
  <c r="I36" i="39" s="1"/>
  <c r="H36" i="33"/>
  <c r="G36"/>
  <c r="G36" i="39" s="1"/>
  <c r="F36" i="33"/>
  <c r="F36" i="39" s="1"/>
  <c r="E36" i="33"/>
  <c r="E36" i="39" s="1"/>
  <c r="D36" i="33"/>
  <c r="D36" i="39" s="1"/>
  <c r="C36" i="33"/>
  <c r="B36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O36"/>
  <c r="O35" i="39" s="1"/>
  <c r="N36" i="32"/>
  <c r="N35" i="39" s="1"/>
  <c r="M36" i="32"/>
  <c r="M35" i="39" s="1"/>
  <c r="L36" i="32"/>
  <c r="L35" i="39" s="1"/>
  <c r="K36" i="32"/>
  <c r="J36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F36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H36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O36"/>
  <c r="N36"/>
  <c r="N30" i="39" s="1"/>
  <c r="M36" i="27"/>
  <c r="M30" i="39" s="1"/>
  <c r="L36" i="27"/>
  <c r="L30" i="39" s="1"/>
  <c r="K36" i="27"/>
  <c r="K30" i="39" s="1"/>
  <c r="J36" i="27"/>
  <c r="I36"/>
  <c r="I30" i="39" s="1"/>
  <c r="H36" i="27"/>
  <c r="G36"/>
  <c r="F36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K40" i="26"/>
  <c r="Q38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9" i="39" s="1"/>
  <c r="N36" i="26"/>
  <c r="N29" i="39" s="1"/>
  <c r="M36" i="26"/>
  <c r="L36"/>
  <c r="L29" i="39" s="1"/>
  <c r="K36" i="26"/>
  <c r="K29" i="39" s="1"/>
  <c r="J36" i="26"/>
  <c r="J29" i="39" s="1"/>
  <c r="I36" i="26"/>
  <c r="H36"/>
  <c r="G36"/>
  <c r="G29" i="39" s="1"/>
  <c r="F36" i="26"/>
  <c r="F29" i="39" s="1"/>
  <c r="E36" i="26"/>
  <c r="D3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9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H36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O39" i="24"/>
  <c r="Q38"/>
  <c r="Q40" s="1"/>
  <c r="P38"/>
  <c r="P40" s="1"/>
  <c r="O38"/>
  <c r="O40" s="1"/>
  <c r="N38"/>
  <c r="N40" s="1"/>
  <c r="M38"/>
  <c r="M39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M36"/>
  <c r="M27" i="39" s="1"/>
  <c r="L36" i="24"/>
  <c r="K36"/>
  <c r="J36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C36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N26" i="39" s="1"/>
  <c r="M36" i="23"/>
  <c r="L36"/>
  <c r="L26" i="39" s="1"/>
  <c r="K36" i="23"/>
  <c r="K26" i="39" s="1"/>
  <c r="J36" i="23"/>
  <c r="I36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L36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C36"/>
  <c r="C25" i="39" s="1"/>
  <c r="B36" i="2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N36"/>
  <c r="N24" i="39" s="1"/>
  <c r="M36" i="21"/>
  <c r="M24" i="39" s="1"/>
  <c r="L36" i="21"/>
  <c r="L24" i="39" s="1"/>
  <c r="K36" i="21"/>
  <c r="J36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B36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O36"/>
  <c r="N36"/>
  <c r="M36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40"/>
  <c r="G40"/>
  <c r="F38"/>
  <c r="F40" s="1"/>
  <c r="E38"/>
  <c r="E40" s="1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E36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C36"/>
  <c r="B36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D3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I39" i="15"/>
  <c r="Q38"/>
  <c r="Q40" s="1"/>
  <c r="P38"/>
  <c r="P40" s="1"/>
  <c r="O38"/>
  <c r="O40" s="1"/>
  <c r="N38"/>
  <c r="N40" s="1"/>
  <c r="M38"/>
  <c r="M40" s="1"/>
  <c r="L38"/>
  <c r="L40" s="1"/>
  <c r="K38"/>
  <c r="K39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E36"/>
  <c r="D36"/>
  <c r="C36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J36"/>
  <c r="J17" i="39" s="1"/>
  <c r="I36" i="14"/>
  <c r="I17" i="39" s="1"/>
  <c r="H36" i="14"/>
  <c r="H17" i="39" s="1"/>
  <c r="G36" i="14"/>
  <c r="F36"/>
  <c r="F17" i="39" s="1"/>
  <c r="E36" i="14"/>
  <c r="E17" i="39" s="1"/>
  <c r="D36" i="14"/>
  <c r="C36"/>
  <c r="B36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D39" i="11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O36"/>
  <c r="O14" i="39" s="1"/>
  <c r="N36" i="11"/>
  <c r="M36"/>
  <c r="M14" i="39" s="1"/>
  <c r="L36" i="11"/>
  <c r="L14" i="39" s="1"/>
  <c r="K36" i="11"/>
  <c r="K14" i="39" s="1"/>
  <c r="J36" i="11"/>
  <c r="I36"/>
  <c r="I14" i="39" s="1"/>
  <c r="H36" i="11"/>
  <c r="G36"/>
  <c r="G14" i="39" s="1"/>
  <c r="F36" i="11"/>
  <c r="E36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39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K36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39" s="1"/>
  <c r="J38"/>
  <c r="J39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M36"/>
  <c r="L36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H39" i="40" l="1"/>
  <c r="G39"/>
  <c r="F39"/>
  <c r="E39"/>
  <c r="D39"/>
  <c r="C39"/>
  <c r="B39"/>
  <c r="Q39"/>
  <c r="P39"/>
  <c r="O39"/>
  <c r="N39"/>
  <c r="M39"/>
  <c r="L39"/>
  <c r="K39"/>
  <c r="J39"/>
  <c r="I39"/>
  <c r="E39" i="43"/>
  <c r="D39"/>
  <c r="C39"/>
  <c r="B39"/>
  <c r="Q39"/>
  <c r="P39"/>
  <c r="O39"/>
  <c r="N39"/>
  <c r="M39"/>
  <c r="L39"/>
  <c r="K39"/>
  <c r="J39"/>
  <c r="I39"/>
  <c r="H39"/>
  <c r="G39"/>
  <c r="F39"/>
  <c r="C39" i="33"/>
  <c r="B39"/>
  <c r="Q39"/>
  <c r="P39"/>
  <c r="O39"/>
  <c r="N39"/>
  <c r="M39"/>
  <c r="L39"/>
  <c r="K39"/>
  <c r="J39"/>
  <c r="I39"/>
  <c r="H39"/>
  <c r="G39"/>
  <c r="F39"/>
  <c r="E39"/>
  <c r="D39"/>
  <c r="C39" i="32"/>
  <c r="B39"/>
  <c r="Q39"/>
  <c r="P39"/>
  <c r="O39"/>
  <c r="N39"/>
  <c r="M39"/>
  <c r="L39"/>
  <c r="K39"/>
  <c r="J39"/>
  <c r="I39"/>
  <c r="H39"/>
  <c r="G39"/>
  <c r="F39"/>
  <c r="E39"/>
  <c r="D39"/>
  <c r="E39" i="31"/>
  <c r="D39"/>
  <c r="C39"/>
  <c r="B39"/>
  <c r="Q39"/>
  <c r="P39"/>
  <c r="O39"/>
  <c r="N39"/>
  <c r="M39"/>
  <c r="L39"/>
  <c r="K39"/>
  <c r="J39"/>
  <c r="I39"/>
  <c r="H39"/>
  <c r="G39"/>
  <c r="F39"/>
  <c r="F40" i="30"/>
  <c r="D39"/>
  <c r="C39"/>
  <c r="B39"/>
  <c r="Q39"/>
  <c r="P39"/>
  <c r="O39"/>
  <c r="N39"/>
  <c r="M39"/>
  <c r="L39"/>
  <c r="K39"/>
  <c r="E39"/>
  <c r="J39"/>
  <c r="I39"/>
  <c r="H39"/>
  <c r="G39"/>
  <c r="H39" i="29"/>
  <c r="G39"/>
  <c r="F39"/>
  <c r="E39"/>
  <c r="D39"/>
  <c r="C39"/>
  <c r="B39"/>
  <c r="Q39"/>
  <c r="P39"/>
  <c r="O39"/>
  <c r="N39"/>
  <c r="M39"/>
  <c r="L39"/>
  <c r="K39"/>
  <c r="J39"/>
  <c r="I39"/>
  <c r="H39" i="28"/>
  <c r="I40"/>
  <c r="G39"/>
  <c r="F39"/>
  <c r="E39"/>
  <c r="D39"/>
  <c r="C39"/>
  <c r="B39"/>
  <c r="Q39"/>
  <c r="P39"/>
  <c r="O39"/>
  <c r="N39"/>
  <c r="M39"/>
  <c r="L39"/>
  <c r="K39"/>
  <c r="J39"/>
  <c r="E39" i="27"/>
  <c r="D39"/>
  <c r="C40"/>
  <c r="B39"/>
  <c r="Q39"/>
  <c r="P39"/>
  <c r="O39"/>
  <c r="N39"/>
  <c r="M39"/>
  <c r="L39"/>
  <c r="K39"/>
  <c r="J39"/>
  <c r="I39"/>
  <c r="H39"/>
  <c r="G39"/>
  <c r="F39"/>
  <c r="C39" i="26"/>
  <c r="P39"/>
  <c r="O39"/>
  <c r="N39"/>
  <c r="M39"/>
  <c r="L39"/>
  <c r="J39"/>
  <c r="I39"/>
  <c r="H39"/>
  <c r="G39"/>
  <c r="E39"/>
  <c r="F39"/>
  <c r="D39"/>
  <c r="B39"/>
  <c r="Q39"/>
  <c r="O39" i="25"/>
  <c r="N39"/>
  <c r="M39"/>
  <c r="L39"/>
  <c r="K39"/>
  <c r="J39"/>
  <c r="I39"/>
  <c r="H39"/>
  <c r="G39"/>
  <c r="F39"/>
  <c r="E40"/>
  <c r="D39"/>
  <c r="C39"/>
  <c r="B39"/>
  <c r="Q39"/>
  <c r="P39"/>
  <c r="L40" i="24"/>
  <c r="K39"/>
  <c r="J39"/>
  <c r="I39"/>
  <c r="H39"/>
  <c r="G39"/>
  <c r="F39"/>
  <c r="E40"/>
  <c r="M40"/>
  <c r="D39"/>
  <c r="C39"/>
  <c r="B39"/>
  <c r="Q39"/>
  <c r="P39"/>
  <c r="N39"/>
  <c r="K39" i="23"/>
  <c r="J39"/>
  <c r="I39"/>
  <c r="G39"/>
  <c r="H39"/>
  <c r="F39"/>
  <c r="E39"/>
  <c r="D39"/>
  <c r="C39"/>
  <c r="B39"/>
  <c r="Q39"/>
  <c r="O39"/>
  <c r="N39"/>
  <c r="P39"/>
  <c r="M39"/>
  <c r="L39"/>
  <c r="J39" i="22"/>
  <c r="I40"/>
  <c r="H39"/>
  <c r="G39"/>
  <c r="F39"/>
  <c r="E39"/>
  <c r="D39"/>
  <c r="C39"/>
  <c r="B39"/>
  <c r="Q39"/>
  <c r="P40"/>
  <c r="O39"/>
  <c r="N39"/>
  <c r="M39"/>
  <c r="L39"/>
  <c r="K39"/>
  <c r="I39" i="21"/>
  <c r="H39"/>
  <c r="G39"/>
  <c r="F39"/>
  <c r="E39"/>
  <c r="D39"/>
  <c r="C39"/>
  <c r="B39"/>
  <c r="Q39"/>
  <c r="P39"/>
  <c r="O39"/>
  <c r="N39"/>
  <c r="M39"/>
  <c r="L39"/>
  <c r="K39"/>
  <c r="J39"/>
  <c r="E39" i="20"/>
  <c r="D39"/>
  <c r="C39"/>
  <c r="B39"/>
  <c r="H40"/>
  <c r="Q39"/>
  <c r="F39"/>
  <c r="P39"/>
  <c r="O39"/>
  <c r="N39"/>
  <c r="M39"/>
  <c r="G40"/>
  <c r="L39"/>
  <c r="K39"/>
  <c r="J39"/>
  <c r="I39"/>
  <c r="L40" i="19"/>
  <c r="J39"/>
  <c r="I39"/>
  <c r="H39"/>
  <c r="G39"/>
  <c r="M39"/>
  <c r="F39"/>
  <c r="E39"/>
  <c r="D39"/>
  <c r="C39"/>
  <c r="B39"/>
  <c r="Q39"/>
  <c r="P39"/>
  <c r="O39"/>
  <c r="N39"/>
  <c r="K39"/>
  <c r="K39" i="18"/>
  <c r="J39"/>
  <c r="I39"/>
  <c r="H39"/>
  <c r="G39"/>
  <c r="F39"/>
  <c r="E39"/>
  <c r="D39"/>
  <c r="C39"/>
  <c r="B39"/>
  <c r="Q39"/>
  <c r="P39"/>
  <c r="O39"/>
  <c r="N39"/>
  <c r="M39"/>
  <c r="L39"/>
  <c r="J39" i="17"/>
  <c r="I39"/>
  <c r="H39"/>
  <c r="K39"/>
  <c r="G39"/>
  <c r="F39"/>
  <c r="E39"/>
  <c r="D39"/>
  <c r="C39"/>
  <c r="B39"/>
  <c r="Q39"/>
  <c r="P39"/>
  <c r="O39"/>
  <c r="N39"/>
  <c r="M39"/>
  <c r="L39"/>
  <c r="K39" i="16"/>
  <c r="L39"/>
  <c r="J39"/>
  <c r="I39"/>
  <c r="H39"/>
  <c r="G39"/>
  <c r="F39"/>
  <c r="E39"/>
  <c r="D39"/>
  <c r="C39"/>
  <c r="B39"/>
  <c r="Q39"/>
  <c r="P39"/>
  <c r="O39"/>
  <c r="N39"/>
  <c r="M39"/>
  <c r="H39" i="15"/>
  <c r="G39"/>
  <c r="F39"/>
  <c r="E39"/>
  <c r="J40"/>
  <c r="D39"/>
  <c r="C39"/>
  <c r="K40"/>
  <c r="B39"/>
  <c r="Q39"/>
  <c r="P39"/>
  <c r="O39"/>
  <c r="N39"/>
  <c r="M39"/>
  <c r="L39"/>
  <c r="I39" i="14"/>
  <c r="H39"/>
  <c r="G39"/>
  <c r="F39"/>
  <c r="E39"/>
  <c r="D39"/>
  <c r="C39"/>
  <c r="B39"/>
  <c r="Q39"/>
  <c r="P39"/>
  <c r="O39"/>
  <c r="N39"/>
  <c r="M40"/>
  <c r="L39"/>
  <c r="K39"/>
  <c r="J39"/>
  <c r="J39" i="13"/>
  <c r="I39"/>
  <c r="K39"/>
  <c r="H39"/>
  <c r="G39"/>
  <c r="F39"/>
  <c r="E39"/>
  <c r="D39"/>
  <c r="C39"/>
  <c r="B39"/>
  <c r="Q39"/>
  <c r="P39"/>
  <c r="O39"/>
  <c r="N39"/>
  <c r="M39"/>
  <c r="L39"/>
  <c r="K39" i="12"/>
  <c r="L39"/>
  <c r="J39"/>
  <c r="I39"/>
  <c r="H39"/>
  <c r="G39"/>
  <c r="F39"/>
  <c r="E39"/>
  <c r="D39"/>
  <c r="C39"/>
  <c r="B39"/>
  <c r="Q39"/>
  <c r="P40"/>
  <c r="O39"/>
  <c r="N39"/>
  <c r="M39"/>
  <c r="I39" i="11"/>
  <c r="H39"/>
  <c r="G39"/>
  <c r="F39"/>
  <c r="E39"/>
  <c r="C39"/>
  <c r="B39"/>
  <c r="Q39"/>
  <c r="P39"/>
  <c r="O39"/>
  <c r="N39"/>
  <c r="M39"/>
  <c r="L39"/>
  <c r="K39"/>
  <c r="J39"/>
  <c r="I39" i="10"/>
  <c r="H40"/>
  <c r="G39"/>
  <c r="F39"/>
  <c r="J40"/>
  <c r="E39"/>
  <c r="D39"/>
  <c r="C39"/>
  <c r="B39"/>
  <c r="Q39"/>
  <c r="P40"/>
  <c r="O39"/>
  <c r="N39"/>
  <c r="M39"/>
  <c r="L39"/>
  <c r="K39"/>
  <c r="J39" i="9"/>
  <c r="I39"/>
  <c r="H39"/>
  <c r="G39"/>
  <c r="F39"/>
  <c r="E39"/>
  <c r="K39"/>
  <c r="D39"/>
  <c r="C39"/>
  <c r="B39"/>
  <c r="Q39"/>
  <c r="P39"/>
  <c r="O39"/>
  <c r="N39"/>
  <c r="M39"/>
  <c r="L39"/>
  <c r="M44" i="39"/>
  <c r="M45" s="1"/>
  <c r="K39" i="8"/>
  <c r="J39"/>
  <c r="I39"/>
  <c r="H39"/>
  <c r="G39"/>
  <c r="F39"/>
  <c r="L40"/>
  <c r="E39"/>
  <c r="D39"/>
  <c r="C39"/>
  <c r="B39"/>
  <c r="Q39"/>
  <c r="P39"/>
  <c r="O39"/>
  <c r="N39"/>
  <c r="M39"/>
  <c r="J44" i="39"/>
  <c r="J45" s="1"/>
  <c r="I40" i="3"/>
  <c r="I44" i="39"/>
  <c r="I45" s="1"/>
  <c r="H39" i="3"/>
  <c r="H44" i="39"/>
  <c r="H45" s="1"/>
  <c r="G39" i="3"/>
  <c r="G44" i="39"/>
  <c r="G46" s="1"/>
  <c r="F39" i="3"/>
  <c r="L39"/>
  <c r="J40"/>
  <c r="F44" i="39"/>
  <c r="F46" s="1"/>
  <c r="E39" i="3"/>
  <c r="E44" i="39"/>
  <c r="E46" s="1"/>
  <c r="D39" i="3"/>
  <c r="D44" i="39"/>
  <c r="D46" s="1"/>
  <c r="C39" i="3"/>
  <c r="K40"/>
  <c r="C44" i="39"/>
  <c r="C45" s="1"/>
  <c r="B39" i="3"/>
  <c r="K44" i="39"/>
  <c r="K46" s="1"/>
  <c r="B44"/>
  <c r="B45" s="1"/>
  <c r="Q39" i="3"/>
  <c r="L44" i="39"/>
  <c r="L45" s="1"/>
  <c r="Q44"/>
  <c r="Q45" s="1"/>
  <c r="P39" i="3"/>
  <c r="P44" i="39"/>
  <c r="P46" s="1"/>
  <c r="O39" i="3"/>
  <c r="O44" i="39"/>
  <c r="O45" s="1"/>
  <c r="N39" i="3"/>
  <c r="N44" i="39"/>
  <c r="N46" s="1"/>
  <c r="M39" i="3"/>
  <c r="O39" i="2"/>
  <c r="N39"/>
  <c r="M39"/>
  <c r="L39"/>
  <c r="K39"/>
  <c r="C39"/>
  <c r="J39"/>
  <c r="I39"/>
  <c r="H39"/>
  <c r="G39"/>
  <c r="F40"/>
  <c r="E39"/>
  <c r="D39"/>
  <c r="B39"/>
  <c r="Q39"/>
  <c r="P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E45" l="1"/>
  <c r="L46"/>
  <c r="N45"/>
  <c r="F45"/>
  <c r="D45"/>
  <c r="O46"/>
  <c r="M46"/>
  <c r="P45"/>
  <c r="B46"/>
  <c r="J46"/>
  <c r="C46"/>
  <c r="Q46"/>
  <c r="I46"/>
  <c r="K45"/>
  <c r="H46"/>
  <c r="G45"/>
</calcChain>
</file>

<file path=xl/sharedStrings.xml><?xml version="1.0" encoding="utf-8"?>
<sst xmlns="http://schemas.openxmlformats.org/spreadsheetml/2006/main" count="2473" uniqueCount="467">
  <si>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</si>
  <si>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</si>
  <si>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</si>
  <si>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</si>
  <si>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</si>
  <si>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</si>
  <si>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</si>
  <si>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</si>
  <si>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</si>
  <si>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</si>
  <si>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</si>
  <si>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</si>
  <si>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</si>
  <si>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</si>
  <si>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</si>
  <si>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</si>
  <si>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</si>
  <si>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</si>
  <si>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</si>
  <si>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</si>
  <si>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</si>
  <si>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</si>
  <si>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</si>
  <si>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</si>
  <si>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</si>
  <si>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</si>
  <si>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</si>
  <si>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</si>
  <si>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</si>
  <si>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</si>
  <si>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</si>
  <si>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</si>
  <si>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</si>
  <si>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</si>
  <si>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</si>
  <si>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</si>
  <si>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</si>
  <si>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</si>
  <si>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</si>
  <si>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</si>
  <si>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</si>
  <si>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</si>
  <si>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</si>
  <si>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</si>
  <si>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</si>
  <si>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</si>
  <si>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</si>
  <si>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</si>
  <si>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</si>
  <si>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</si>
  <si>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</si>
  <si>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</si>
  <si>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</si>
  <si>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</si>
  <si>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</si>
  <si>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</si>
  <si>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</si>
  <si>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</si>
  <si>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</si>
  <si>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</si>
  <si>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14/09/2023 01:00</t>
  </si>
  <si>
    <t>14/09/2023 02:00</t>
  </si>
  <si>
    <t>14/09/2023 03:00</t>
  </si>
  <si>
    <t>14/09/2023 04:00</t>
  </si>
  <si>
    <t>14/09/2023 05:00</t>
  </si>
  <si>
    <t>14/09/2023 06:00</t>
  </si>
  <si>
    <t>14/09/2023 07:00</t>
  </si>
  <si>
    <t>14/09/2023 08:00</t>
  </si>
  <si>
    <t>14/09/2023 09:00</t>
  </si>
  <si>
    <t>14/09/2023 10:00</t>
  </si>
  <si>
    <t>14/09/2023 11:00</t>
  </si>
  <si>
    <t>14/09/2023 12:00</t>
  </si>
  <si>
    <t>14/09/2023 13:00</t>
  </si>
  <si>
    <t>14/09/2023 14:00</t>
  </si>
  <si>
    <t>14/09/2023 15:00</t>
  </si>
  <si>
    <t>14/09/2023 16:00</t>
  </si>
  <si>
    <t>14/09/2023 17:00</t>
  </si>
  <si>
    <t>14/09/2023 18:00</t>
  </si>
  <si>
    <t>14/09/2023 19:00</t>
  </si>
  <si>
    <t>14/09/2023 20:00</t>
  </si>
  <si>
    <t>14/09/2023 21:00</t>
  </si>
  <si>
    <t>14/09/2023 22:00</t>
  </si>
  <si>
    <t>14/09/2023 23:00</t>
  </si>
  <si>
    <t>14/09/2023 24:00</t>
  </si>
  <si>
    <t>15/09/2023 01:00</t>
  </si>
  <si>
    <t>15/09/2023 02:00</t>
  </si>
  <si>
    <t>15/09/2023 03:00</t>
  </si>
  <si>
    <t>15/09/2023 04:00</t>
  </si>
  <si>
    <t>15/09/2023 05:00</t>
  </si>
  <si>
    <t>15/09/2023 06:00</t>
  </si>
  <si>
    <t>15/09/2023 07:00</t>
  </si>
  <si>
    <t>15/09/2023 08:00</t>
  </si>
  <si>
    <t>15/09/2023 09:00</t>
  </si>
  <si>
    <t>15/09/2023 10:00</t>
  </si>
  <si>
    <t>15/09/2023 11:00</t>
  </si>
  <si>
    <t>15/09/2023 12:00</t>
  </si>
  <si>
    <t>15/09/2023 13:00</t>
  </si>
  <si>
    <t>15/09/2023 14:00</t>
  </si>
  <si>
    <t>15/09/2023 15:00</t>
  </si>
  <si>
    <t>15/09/2023 16:00</t>
  </si>
  <si>
    <t>15/09/2023 17:00</t>
  </si>
  <si>
    <t>15/09/2023 18:00</t>
  </si>
  <si>
    <t>15/09/2023 19:00</t>
  </si>
  <si>
    <t>15/09/2023 20:00</t>
  </si>
  <si>
    <t>15/09/2023 21:00</t>
  </si>
  <si>
    <t>15/09/2023 22:00</t>
  </si>
  <si>
    <t>15/09/2023 23:00</t>
  </si>
  <si>
    <t>15/09/2023 24:00</t>
  </si>
  <si>
    <t>16/09/2023 01:00</t>
  </si>
  <si>
    <t>16/09/2023 02:00</t>
  </si>
  <si>
    <t>16/09/2023 03:00</t>
  </si>
  <si>
    <t>16/09/2023 04:00</t>
  </si>
  <si>
    <t>16/09/2023 05:00</t>
  </si>
  <si>
    <t>16/09/2023 06:00</t>
  </si>
  <si>
    <t>16/09/2023 07:00</t>
  </si>
  <si>
    <t>16/09/2023 08:00</t>
  </si>
  <si>
    <t>16/09/2023 09:00</t>
  </si>
  <si>
    <t>16/09/2023 10:00</t>
  </si>
  <si>
    <t>16/09/2023 11:00</t>
  </si>
  <si>
    <t>16/09/2023 12:00</t>
  </si>
  <si>
    <t>16/09/2023 13:00</t>
  </si>
  <si>
    <t>16/09/2023 14:00</t>
  </si>
  <si>
    <t>16/09/2023 15:00</t>
  </si>
  <si>
    <t>16/09/2023 16:00</t>
  </si>
  <si>
    <t>16/09/2023 17:00</t>
  </si>
  <si>
    <t>16/09/2023 18:00</t>
  </si>
  <si>
    <t>16/09/2023 19:00</t>
  </si>
  <si>
    <t>16/09/2023 20:00</t>
  </si>
  <si>
    <t>16/09/2023 21:00</t>
  </si>
  <si>
    <t>16/09/2023 22:00</t>
  </si>
  <si>
    <t>16/09/2023 23:00</t>
  </si>
  <si>
    <t>16/09/2023 24:00</t>
  </si>
  <si>
    <t>17/09/2023 01:00</t>
  </si>
  <si>
    <t>17/09/2023 02:00</t>
  </si>
  <si>
    <t>17/09/2023 03:00</t>
  </si>
  <si>
    <t>17/09/2023 04:00</t>
  </si>
  <si>
    <t>17/09/2023 05:00</t>
  </si>
  <si>
    <t>17/09/2023 06:00</t>
  </si>
  <si>
    <t>17/09/2023 07:00</t>
  </si>
  <si>
    <t>17/09/2023 08:00</t>
  </si>
  <si>
    <t>17/09/2023 09:00</t>
  </si>
  <si>
    <t>17/09/2023 10:00</t>
  </si>
  <si>
    <t>17/09/2023 11:00</t>
  </si>
  <si>
    <t>17/09/2023 12:00</t>
  </si>
  <si>
    <t>17/09/2023 13:00</t>
  </si>
  <si>
    <t>17/09/2023 14:00</t>
  </si>
  <si>
    <t>17/09/2023 15:00</t>
  </si>
  <si>
    <t>17/09/2023 16:00</t>
  </si>
  <si>
    <t>17/09/2023 17:00</t>
  </si>
  <si>
    <t>17/09/2023 18:00</t>
  </si>
  <si>
    <t>17/09/2023 19:00</t>
  </si>
  <si>
    <t>17/09/2023 20:00</t>
  </si>
  <si>
    <t>17/09/2023 21:00</t>
  </si>
  <si>
    <t>17/09/2023 22:00</t>
  </si>
  <si>
    <t>17/09/2023 23:00</t>
  </si>
  <si>
    <t>17/09/2023 24:00</t>
  </si>
  <si>
    <t>18/09/2023 01:00</t>
  </si>
  <si>
    <t>18/09/2023 02:00</t>
  </si>
  <si>
    <t>18/09/2023 03:00</t>
  </si>
  <si>
    <t>18/09/2023 04:00</t>
  </si>
  <si>
    <t>18/09/2023 05:00</t>
  </si>
  <si>
    <t>18/09/2023 06:00</t>
  </si>
  <si>
    <t>18/09/2023 07:00</t>
  </si>
  <si>
    <t>18/09/2023 08:00</t>
  </si>
  <si>
    <t>18/09/2023 09:00</t>
  </si>
  <si>
    <t>18/09/2023 10:00</t>
  </si>
  <si>
    <t>18/09/2023 11:00</t>
  </si>
  <si>
    <t>18/09/2023 12:00</t>
  </si>
  <si>
    <t>18/09/2023 13:00</t>
  </si>
  <si>
    <t>18/09/2023 14:00</t>
  </si>
  <si>
    <t>18/09/2023 15:00</t>
  </si>
  <si>
    <t>18/09/2023 16:00</t>
  </si>
  <si>
    <t>18/09/2023 17:00</t>
  </si>
  <si>
    <t>18/09/2023 18:00</t>
  </si>
  <si>
    <t>18/09/2023 19:00</t>
  </si>
  <si>
    <t>18/09/2023 20:00</t>
  </si>
  <si>
    <t>18/09/2023 21:00</t>
  </si>
  <si>
    <t>18/09/2023 22:00</t>
  </si>
  <si>
    <t>18/09/2023 23:00</t>
  </si>
  <si>
    <t>18/09/2023 24:00</t>
  </si>
  <si>
    <t>19/09/2023 01:00</t>
  </si>
  <si>
    <t>19/09/2023 02:00</t>
  </si>
  <si>
    <t>19/09/2023 03:00</t>
  </si>
  <si>
    <t>19/09/2023 04:00</t>
  </si>
  <si>
    <t>19/09/2023 05:00</t>
  </si>
  <si>
    <t>19/09/2023 06:00</t>
  </si>
  <si>
    <t>19/09/2023 07:00</t>
  </si>
  <si>
    <t>19/09/2023 08:00</t>
  </si>
  <si>
    <t>19/09/2023 09:00</t>
  </si>
  <si>
    <t>19/09/2023 10:00</t>
  </si>
  <si>
    <t>19/09/2023 11:00</t>
  </si>
  <si>
    <t>19/09/2023 12:00</t>
  </si>
  <si>
    <t>19/09/2023 13:00</t>
  </si>
  <si>
    <t>19/09/2023 14:00</t>
  </si>
  <si>
    <t>19/09/2023 15:00</t>
  </si>
  <si>
    <t>19/09/2023 16:00</t>
  </si>
  <si>
    <t>19/09/2023 17:00</t>
  </si>
  <si>
    <t>19/09/2023 18:00</t>
  </si>
  <si>
    <t>19/09/2023 19:00</t>
  </si>
  <si>
    <t>19/09/2023 20:00</t>
  </si>
  <si>
    <t>19/09/2023 21:00</t>
  </si>
  <si>
    <t>19/09/2023 22:00</t>
  </si>
  <si>
    <t>19/09/2023 23:00</t>
  </si>
  <si>
    <t>19/09/2023 24:00</t>
  </si>
  <si>
    <t>20/09/2023 01:00</t>
  </si>
  <si>
    <t>20/09/2023 02:00</t>
  </si>
  <si>
    <t>20/09/2023 03:00</t>
  </si>
  <si>
    <t>20/09/2023 04:00</t>
  </si>
  <si>
    <t>20/09/2023 05:00</t>
  </si>
  <si>
    <t>20/09/2023 06:00</t>
  </si>
  <si>
    <t>20/09/2023 07:00</t>
  </si>
  <si>
    <t>20/09/2023 08:00</t>
  </si>
  <si>
    <t>20/09/2023 09:00</t>
  </si>
  <si>
    <t>20/09/2023 10:00</t>
  </si>
  <si>
    <t>20/09/2023 11:00</t>
  </si>
  <si>
    <t>20/09/2023 12:00</t>
  </si>
  <si>
    <t>20/09/2023 13:00</t>
  </si>
  <si>
    <t>20/09/2023 14:00</t>
  </si>
  <si>
    <t>20/09/2023 15:00</t>
  </si>
  <si>
    <t>20/09/2023 16:00</t>
  </si>
  <si>
    <t>20/09/2023 17:00</t>
  </si>
  <si>
    <t>20/09/2023 18:00</t>
  </si>
  <si>
    <t>20/09/2023 19:00</t>
  </si>
  <si>
    <t>20/09/2023 20:00</t>
  </si>
  <si>
    <t>20/09/2023 21:00</t>
  </si>
  <si>
    <t>20/09/2023 22:00</t>
  </si>
  <si>
    <t>20/09/2023 23:00</t>
  </si>
  <si>
    <t>20/09/2023 24:00</t>
  </si>
  <si>
    <t>21/09/2023 01:00</t>
  </si>
  <si>
    <t>21/09/2023 02:00</t>
  </si>
  <si>
    <t>21/09/2023 03:00</t>
  </si>
  <si>
    <t>21/09/2023 04:00</t>
  </si>
  <si>
    <t>21/09/2023 05:00</t>
  </si>
  <si>
    <t>21/09/2023 06:00</t>
  </si>
  <si>
    <t>21/09/2023 07:00</t>
  </si>
  <si>
    <t>21/09/2023 08:00</t>
  </si>
  <si>
    <t>21/09/2023 09:00</t>
  </si>
  <si>
    <t>21/09/2023 10:00</t>
  </si>
  <si>
    <t>21/09/2023 11:00</t>
  </si>
  <si>
    <t>21/09/2023 12:00</t>
  </si>
  <si>
    <t>21/09/2023 13:00</t>
  </si>
  <si>
    <t>21/09/2023 14:00</t>
  </si>
  <si>
    <t>21/09/2023 15:00</t>
  </si>
  <si>
    <t>21/09/2023 16:00</t>
  </si>
  <si>
    <t>21/09/2023 17:00</t>
  </si>
  <si>
    <t>21/09/2023 18:00</t>
  </si>
  <si>
    <t>21/09/2023 19:00</t>
  </si>
  <si>
    <t>21/09/2023 20:00</t>
  </si>
  <si>
    <t>21/09/2023 21:00</t>
  </si>
  <si>
    <t>21/09/2023 22:00</t>
  </si>
  <si>
    <t>21/09/2023 23:00</t>
  </si>
  <si>
    <t>21/09/2023 24:00</t>
  </si>
  <si>
    <t>22/09/2023 01:00</t>
  </si>
  <si>
    <t>22/09/2023 02:00</t>
  </si>
  <si>
    <t>22/09/2023 03:00</t>
  </si>
  <si>
    <t>22/09/2023 04:00</t>
  </si>
  <si>
    <t>22/09/2023 05:00</t>
  </si>
  <si>
    <t>22/09/2023 06:00</t>
  </si>
  <si>
    <t>22/09/2023 07:00</t>
  </si>
  <si>
    <t>22/09/2023 08:00</t>
  </si>
  <si>
    <t>22/09/2023 09:00</t>
  </si>
  <si>
    <t>22/09/2023 10:00</t>
  </si>
  <si>
    <t>22/09/2023 11:00</t>
  </si>
  <si>
    <t>22/09/2023 12:00</t>
  </si>
  <si>
    <t>22/09/2023 13:00</t>
  </si>
  <si>
    <t>22/09/2023 14:00</t>
  </si>
  <si>
    <t>22/09/2023 15:00</t>
  </si>
  <si>
    <t>22/09/2023 16:00</t>
  </si>
  <si>
    <t>22/09/2023 17:00</t>
  </si>
  <si>
    <t>22/09/2023 18:00</t>
  </si>
  <si>
    <t>22/09/2023 19:00</t>
  </si>
  <si>
    <t>22/09/2023 20:00</t>
  </si>
  <si>
    <t>22/09/2023 21:00</t>
  </si>
  <si>
    <t>22/09/2023 22:00</t>
  </si>
  <si>
    <t>22/09/2023 23:00</t>
  </si>
  <si>
    <t>22/09/2023 24:00</t>
  </si>
  <si>
    <t>23/09/2023 01:00</t>
  </si>
  <si>
    <t>23/09/2023 02:00</t>
  </si>
  <si>
    <t>23/09/2023 03:00</t>
  </si>
  <si>
    <t>23/09/2023 04:00</t>
  </si>
  <si>
    <t>23/09/2023 05:00</t>
  </si>
  <si>
    <t>23/09/2023 06:00</t>
  </si>
  <si>
    <t>23/09/2023 07:00</t>
  </si>
  <si>
    <t>23/09/2023 08:00</t>
  </si>
  <si>
    <t>23/09/2023 09:00</t>
  </si>
  <si>
    <t>23/09/2023 10:00</t>
  </si>
  <si>
    <t>23/09/2023 11:00</t>
  </si>
  <si>
    <t>23/09/2023 12:00</t>
  </si>
  <si>
    <t>23/09/2023 13:00</t>
  </si>
  <si>
    <t>23/09/2023 14:00</t>
  </si>
  <si>
    <t>23/09/2023 15:00</t>
  </si>
  <si>
    <t>23/09/2023 16:00</t>
  </si>
  <si>
    <t>23/09/2023 17:00</t>
  </si>
  <si>
    <t>23/09/2023 18:00</t>
  </si>
  <si>
    <t>23/09/2023 19:00</t>
  </si>
  <si>
    <t>23/09/2023 20:00</t>
  </si>
  <si>
    <t>23/09/2023 21:00</t>
  </si>
  <si>
    <t>23/09/2023 22:00</t>
  </si>
  <si>
    <t>23/09/2023 23:00</t>
  </si>
  <si>
    <t>23/09/2023 24:00</t>
  </si>
  <si>
    <t>24/09/2023 01:00</t>
  </si>
  <si>
    <t>24/09/2023 02:00</t>
  </si>
  <si>
    <t>24/09/2023 03:00</t>
  </si>
  <si>
    <t>24/09/2023 04:00</t>
  </si>
  <si>
    <t>24/09/2023 05:00</t>
  </si>
  <si>
    <t>24/09/2023 06:00</t>
  </si>
  <si>
    <t>24/09/2023 07:00</t>
  </si>
  <si>
    <t>24/09/2023 08:00</t>
  </si>
  <si>
    <t>24/09/2023 09:00</t>
  </si>
  <si>
    <t>24/09/2023 10:00</t>
  </si>
  <si>
    <t>24/09/2023 11:00</t>
  </si>
  <si>
    <t>24/09/2023 12:00</t>
  </si>
  <si>
    <t>24/09/2023 13:00</t>
  </si>
  <si>
    <t>24/09/2023 14:00</t>
  </si>
  <si>
    <t>24/09/2023 15:00</t>
  </si>
  <si>
    <t>24/09/2023 16:00</t>
  </si>
  <si>
    <t>24/09/2023 17:00</t>
  </si>
  <si>
    <t>24/09/2023 18:00</t>
  </si>
  <si>
    <t>24/09/2023 19:00</t>
  </si>
  <si>
    <t>24/09/2023 20:00</t>
  </si>
  <si>
    <t>24/09/2023 21:00</t>
  </si>
  <si>
    <t>24/09/2023 22:00</t>
  </si>
  <si>
    <t>24/09/2023 23:00</t>
  </si>
  <si>
    <t>24/09/2023 24:00</t>
  </si>
  <si>
    <t>25/09/2023 01:00</t>
  </si>
  <si>
    <t>25/09/2023 02:00</t>
  </si>
  <si>
    <t>25/09/2023 03:00</t>
  </si>
  <si>
    <t>25/09/2023 04:00</t>
  </si>
  <si>
    <t>25/09/2023 05:00</t>
  </si>
  <si>
    <t>25/09/2023 06:00</t>
  </si>
  <si>
    <t>25/09/2023 07:00</t>
  </si>
  <si>
    <t>25/09/2023 08:00</t>
  </si>
  <si>
    <t>25/09/2023 09:00</t>
  </si>
  <si>
    <t>25/09/2023 10:00</t>
  </si>
  <si>
    <t>25/09/2023 11:00</t>
  </si>
  <si>
    <t>25/09/2023 12:00</t>
  </si>
  <si>
    <t>25/09/2023 13:00</t>
  </si>
  <si>
    <t>25/09/2023 14:00</t>
  </si>
  <si>
    <t>25/09/2023 15:00</t>
  </si>
  <si>
    <t>25/09/2023 16:00</t>
  </si>
  <si>
    <t>25/09/2023 17:00</t>
  </si>
  <si>
    <t>25/09/2023 18:00</t>
  </si>
  <si>
    <t>25/09/2023 19:00</t>
  </si>
  <si>
    <t>25/09/2023 20:00</t>
  </si>
  <si>
    <t>25/09/2023 21:00</t>
  </si>
  <si>
    <t>25/09/2023 22:00</t>
  </si>
  <si>
    <t>25/09/2023 23:00</t>
  </si>
  <si>
    <t>25/09/2023 24:00</t>
  </si>
  <si>
    <t>26/09/2023 01:00</t>
  </si>
  <si>
    <t>26/09/2023 02:00</t>
  </si>
  <si>
    <t>26/09/2023 03:00</t>
  </si>
  <si>
    <t>26/09/2023 04:00</t>
  </si>
  <si>
    <t>26/09/2023 05:00</t>
  </si>
  <si>
    <t>26/09/2023 06:00</t>
  </si>
  <si>
    <t>26/09/2023 07:00</t>
  </si>
  <si>
    <t>26/09/2023 08:00</t>
  </si>
  <si>
    <t>26/09/2023 09:00</t>
  </si>
  <si>
    <t>26/09/2023 11:00</t>
  </si>
  <si>
    <t>26/09/2023 12:00</t>
  </si>
  <si>
    <t>26/09/2023 13:00</t>
  </si>
  <si>
    <t>26/09/2023 14:00</t>
  </si>
  <si>
    <t>26/09/2023 15:00</t>
  </si>
  <si>
    <t>26/09/2023 16:00</t>
  </si>
  <si>
    <t>26/09/2023 17:00</t>
  </si>
  <si>
    <t>26/09/2023 18:00</t>
  </si>
  <si>
    <t>26/09/2023 19:00</t>
  </si>
  <si>
    <t>26/09/2023 20:00</t>
  </si>
  <si>
    <t>26/09/2023 21:00</t>
  </si>
  <si>
    <t>26/09/2023 22:00</t>
  </si>
  <si>
    <t>26/09/2023 23:00</t>
  </si>
  <si>
    <t>26/09/2023 24:00</t>
  </si>
  <si>
    <t>27/09/2023 01:00</t>
  </si>
  <si>
    <t>27/09/2023 02:00</t>
  </si>
  <si>
    <t>27/09/2023 03:00</t>
  </si>
  <si>
    <t>27/09/2023 04:00</t>
  </si>
  <si>
    <t>27/09/2023 05:00</t>
  </si>
  <si>
    <t>27/09/2023 06:00</t>
  </si>
  <si>
    <t>27/09/2023 07:00</t>
  </si>
  <si>
    <t>27/09/2023 08:00</t>
  </si>
  <si>
    <t>27/09/2023 09:00</t>
  </si>
  <si>
    <t>27/09/2023 10:00</t>
  </si>
  <si>
    <t>27/09/2023 11:00</t>
  </si>
  <si>
    <t>27/09/2023 12:00</t>
  </si>
  <si>
    <t>27/09/2023 13:00</t>
  </si>
  <si>
    <t>27/09/2023 14:00</t>
  </si>
  <si>
    <t>27/09/2023 15:00</t>
  </si>
  <si>
    <t>27/09/2023 16:00</t>
  </si>
  <si>
    <t>27/09/2023 17:00</t>
  </si>
  <si>
    <t>27/09/2023 18:00</t>
  </si>
  <si>
    <t>27/09/2023 19:00</t>
  </si>
  <si>
    <t>27/09/2023 20:00</t>
  </si>
  <si>
    <t>27/09/2023 21:00</t>
  </si>
  <si>
    <t>27/09/2023 22:00</t>
  </si>
  <si>
    <t>27/09/2023 23:00</t>
  </si>
  <si>
    <t>27/09/2023 24:00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</si>
  <si>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</si>
  <si>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</si>
  <si>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</si>
  <si>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</si>
  <si>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</si>
  <si>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</si>
  <si>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</si>
  <si>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</si>
  <si>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</si>
  <si>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</si>
  <si>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</si>
  <si>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</si>
  <si>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</si>
  <si>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14:00</t>
  </si>
  <si>
    <t>28/09/2023 15:00</t>
  </si>
  <si>
    <t>28/09/2023 16:00</t>
  </si>
  <si>
    <t>28/09/2023 17:00</t>
  </si>
  <si>
    <t>28/09/2023 18:00</t>
  </si>
  <si>
    <t>28/09/2023 19:00</t>
  </si>
  <si>
    <t>28/09/2023 20:00</t>
  </si>
  <si>
    <t>28/09/2023 21:00</t>
  </si>
  <si>
    <t>28/09/2023 22:00</t>
  </si>
  <si>
    <t>28/09/2023 23:00</t>
  </si>
  <si>
    <t>28/09/2023 24:00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</si>
  <si>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</si>
  <si>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</si>
  <si>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</si>
  <si>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</si>
  <si>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</si>
  <si>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</si>
  <si>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07:00</t>
  </si>
  <si>
    <t>29/09/2023 08:00</t>
  </si>
  <si>
    <t>29/09/2023 09:00</t>
  </si>
  <si>
    <t>29/09/2023 10:00</t>
  </si>
  <si>
    <t>29/09/2023 11:00</t>
  </si>
  <si>
    <t>29/09/2023 12:00</t>
  </si>
  <si>
    <t>29/09/2023 13:00</t>
  </si>
  <si>
    <t>29/09/2023 14:00</t>
  </si>
  <si>
    <t>29/09/2023 15:00</t>
  </si>
  <si>
    <t>29/09/2023 16:00</t>
  </si>
  <si>
    <t>29/09/2023 17:00</t>
  </si>
  <si>
    <t>29/09/2023 18:00</t>
  </si>
  <si>
    <t>29/09/2023 19:00</t>
  </si>
  <si>
    <t>29/09/2023 20:00</t>
  </si>
  <si>
    <t>29/09/2023 21:00</t>
  </si>
  <si>
    <t>29/09/2023 22:00</t>
  </si>
  <si>
    <t>29/09/2023 23:00</t>
  </si>
  <si>
    <t>29/09/2023 24:00</t>
  </si>
  <si>
    <t>30/09/2023 01:00</t>
  </si>
  <si>
    <t>30/09/2023 02:00</t>
  </si>
  <si>
    <t>30/09/2023 03:00</t>
  </si>
  <si>
    <t>30/09/2023 04:00</t>
  </si>
  <si>
    <t>30/09/2023 05:00</t>
  </si>
  <si>
    <t>30/09/2023 06:00</t>
  </si>
  <si>
    <t>30/09/2023 07:00</t>
  </si>
  <si>
    <t>30/09/2023 08:00</t>
  </si>
  <si>
    <t>30/09/2023 09:00</t>
  </si>
  <si>
    <t>30/09/2023 10:00</t>
  </si>
  <si>
    <t>30/09/2023 11:00</t>
  </si>
  <si>
    <t>30/09/2023 12:00</t>
  </si>
  <si>
    <t>30/09/2023 13:00</t>
  </si>
  <si>
    <t>30/09/2023 14:00</t>
  </si>
  <si>
    <t>30/09/2023 15:00</t>
  </si>
  <si>
    <t>30/09/2023 16:00</t>
  </si>
  <si>
    <t>30/09/2023 17:00</t>
  </si>
  <si>
    <t>30/09/2023 18:00</t>
  </si>
  <si>
    <t>30/09/2023 19:00</t>
  </si>
  <si>
    <t>30/09/2023 20:00</t>
  </si>
  <si>
    <t>30/09/2023 21:00</t>
  </si>
  <si>
    <t>30/09/2023 22:00</t>
  </si>
  <si>
    <t>30/09/2023 23:00</t>
  </si>
  <si>
    <t>30/09/2023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</si>
</sst>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45170.041666666664</v>
      </c>
      <c r="B9" s="50">
        <v>9.93</v>
      </c>
      <c r="C9" s="50">
        <v>17.739999999999998</v>
      </c>
      <c r="D9" s="50">
        <v>18.59</v>
      </c>
      <c r="E9" s="50">
        <v>9.1300000000000008</v>
      </c>
      <c r="F9" s="50">
        <v>5.97</v>
      </c>
      <c r="G9" s="50">
        <v>55.21</v>
      </c>
      <c r="H9" s="50">
        <v>18.100000000000001</v>
      </c>
      <c r="I9" s="50">
        <v>19</v>
      </c>
      <c r="J9" s="50">
        <v>0.25</v>
      </c>
      <c r="K9" s="50">
        <v>256.91000000000003</v>
      </c>
      <c r="L9" s="50">
        <v>27.59</v>
      </c>
      <c r="M9" s="50">
        <v>97.26</v>
      </c>
      <c r="N9" s="50">
        <v>0</v>
      </c>
      <c r="O9" s="50">
        <v>0</v>
      </c>
      <c r="P9" s="50">
        <v>0.78</v>
      </c>
      <c r="Q9" s="50">
        <v>4.71</v>
      </c>
    </row>
    <row r="10" spans="1:21" customFormat="1">
      <c r="A10" s="49">
        <v>45170.083333333336</v>
      </c>
      <c r="B10" s="50">
        <v>10.73</v>
      </c>
      <c r="C10" s="50">
        <v>16.239999999999998</v>
      </c>
      <c r="D10" s="50">
        <v>18.420000000000002</v>
      </c>
      <c r="E10" s="50">
        <v>8.5</v>
      </c>
      <c r="F10" s="50">
        <v>7.02</v>
      </c>
      <c r="G10" s="50">
        <v>51.74</v>
      </c>
      <c r="H10" s="50">
        <v>18.48</v>
      </c>
      <c r="I10" s="50">
        <v>18.93</v>
      </c>
      <c r="J10" s="50">
        <v>0.28999999999999998</v>
      </c>
      <c r="K10" s="50">
        <v>206</v>
      </c>
      <c r="L10" s="50">
        <v>27.15</v>
      </c>
      <c r="M10" s="50">
        <v>95.87</v>
      </c>
      <c r="N10" s="50">
        <v>0</v>
      </c>
      <c r="O10" s="50">
        <v>0</v>
      </c>
      <c r="P10" s="50">
        <v>0.76</v>
      </c>
      <c r="Q10" s="50">
        <v>4.6900000000000004</v>
      </c>
    </row>
    <row r="11" spans="1:21" customFormat="1">
      <c r="A11" s="49">
        <v>45170.125</v>
      </c>
      <c r="B11" s="50">
        <v>10.36</v>
      </c>
      <c r="C11" s="50">
        <v>15.01</v>
      </c>
      <c r="D11" s="50">
        <v>17.5</v>
      </c>
      <c r="E11" s="50">
        <v>8.27</v>
      </c>
      <c r="F11" s="50">
        <v>7.14</v>
      </c>
      <c r="G11" s="50">
        <v>49.88</v>
      </c>
      <c r="H11" s="50">
        <v>20.73</v>
      </c>
      <c r="I11" s="50">
        <v>17.690000000000001</v>
      </c>
      <c r="J11" s="50">
        <v>0.24</v>
      </c>
      <c r="K11" s="50">
        <v>200.93</v>
      </c>
      <c r="L11" s="50">
        <v>26.8</v>
      </c>
      <c r="M11" s="50">
        <v>98.01</v>
      </c>
      <c r="N11" s="50">
        <v>0</v>
      </c>
      <c r="O11" s="50">
        <v>0</v>
      </c>
      <c r="P11" s="50">
        <v>0.72</v>
      </c>
      <c r="Q11" s="50">
        <v>4.67</v>
      </c>
    </row>
    <row r="12" spans="1:21" customFormat="1">
      <c r="A12" s="49">
        <v>45170.166666666664</v>
      </c>
      <c r="B12" s="50">
        <v>10.83</v>
      </c>
      <c r="C12" s="50">
        <v>16.190000000000001</v>
      </c>
      <c r="D12" s="50">
        <v>18.489999999999998</v>
      </c>
      <c r="E12" s="50">
        <v>8.5</v>
      </c>
      <c r="F12" s="50">
        <v>5.74</v>
      </c>
      <c r="G12" s="50">
        <v>47.24</v>
      </c>
      <c r="H12" s="50">
        <v>20.73</v>
      </c>
      <c r="I12" s="50">
        <v>16.399999999999999</v>
      </c>
      <c r="J12" s="50">
        <v>0.18</v>
      </c>
      <c r="K12" s="50">
        <v>218.04</v>
      </c>
      <c r="L12" s="50">
        <v>26.55</v>
      </c>
      <c r="M12" s="50">
        <v>99.14</v>
      </c>
      <c r="N12" s="50">
        <v>0</v>
      </c>
      <c r="O12" s="50">
        <v>0</v>
      </c>
      <c r="P12" s="50">
        <v>0.74</v>
      </c>
      <c r="Q12" s="50">
        <v>4.6900000000000004</v>
      </c>
    </row>
    <row r="13" spans="1:21" customFormat="1">
      <c r="A13" s="49">
        <v>45170.208333333336</v>
      </c>
      <c r="B13" s="50">
        <v>11.53</v>
      </c>
      <c r="C13" s="50">
        <v>16.03</v>
      </c>
      <c r="D13" s="50">
        <v>18.97</v>
      </c>
      <c r="E13" s="50">
        <v>8.52</v>
      </c>
      <c r="F13" s="50">
        <v>5.07</v>
      </c>
      <c r="G13" s="50">
        <v>44.74</v>
      </c>
      <c r="H13" s="50">
        <v>15.85</v>
      </c>
      <c r="I13" s="50">
        <v>14.42</v>
      </c>
      <c r="J13" s="50">
        <v>0.18</v>
      </c>
      <c r="K13" s="50">
        <v>222.02</v>
      </c>
      <c r="L13" s="50">
        <v>26.43</v>
      </c>
      <c r="M13" s="50">
        <v>109.6</v>
      </c>
      <c r="N13" s="50">
        <v>0</v>
      </c>
      <c r="O13" s="50">
        <v>0</v>
      </c>
      <c r="P13" s="50">
        <v>0.73</v>
      </c>
      <c r="Q13" s="50">
        <v>4.74</v>
      </c>
    </row>
    <row r="14" spans="1:21" customFormat="1">
      <c r="A14" s="49">
        <v>45170.25</v>
      </c>
      <c r="B14" s="50">
        <v>11.84</v>
      </c>
      <c r="C14" s="50">
        <v>16.32</v>
      </c>
      <c r="D14" s="50">
        <v>19.38</v>
      </c>
      <c r="E14" s="50">
        <v>8.17</v>
      </c>
      <c r="F14" s="50">
        <v>4.99</v>
      </c>
      <c r="G14" s="50">
        <v>43.79</v>
      </c>
      <c r="H14" s="50">
        <v>16.309999999999999</v>
      </c>
      <c r="I14" s="50">
        <v>13.08</v>
      </c>
      <c r="J14" s="50">
        <v>0.15</v>
      </c>
      <c r="K14" s="50">
        <v>198.88</v>
      </c>
      <c r="L14" s="50">
        <v>26.32</v>
      </c>
      <c r="M14" s="50">
        <v>102.19</v>
      </c>
      <c r="N14" s="50">
        <v>1.1000000000000001</v>
      </c>
      <c r="O14" s="50">
        <v>0</v>
      </c>
      <c r="P14" s="50">
        <v>0.72</v>
      </c>
      <c r="Q14" s="50">
        <v>4.75</v>
      </c>
    </row>
    <row r="15" spans="1:21" customFormat="1">
      <c r="A15" s="49">
        <v>45170.291666666664</v>
      </c>
      <c r="B15" s="50">
        <v>12.53</v>
      </c>
      <c r="C15" s="50">
        <v>16.059999999999999</v>
      </c>
      <c r="D15" s="50">
        <v>19.79</v>
      </c>
      <c r="E15" s="50">
        <v>8.09</v>
      </c>
      <c r="F15" s="50">
        <v>5.12</v>
      </c>
      <c r="G15" s="50">
        <v>40.71</v>
      </c>
      <c r="H15" s="50">
        <v>16.62</v>
      </c>
      <c r="I15" s="50">
        <v>12.56</v>
      </c>
      <c r="J15" s="50">
        <v>0.2</v>
      </c>
      <c r="K15" s="50">
        <v>246.13</v>
      </c>
      <c r="L15" s="50">
        <v>27.46</v>
      </c>
      <c r="M15" s="50">
        <v>100.7</v>
      </c>
      <c r="N15" s="50">
        <v>59.3</v>
      </c>
      <c r="O15" s="50">
        <v>0</v>
      </c>
      <c r="P15" s="50">
        <v>0.71</v>
      </c>
      <c r="Q15" s="50">
        <v>4.79</v>
      </c>
    </row>
    <row r="16" spans="1:21" customFormat="1">
      <c r="A16" s="49">
        <v>45170.333333333336</v>
      </c>
      <c r="B16" s="50">
        <v>13.07</v>
      </c>
      <c r="C16" s="50">
        <v>16.82</v>
      </c>
      <c r="D16" s="50">
        <v>20.62</v>
      </c>
      <c r="E16" s="50">
        <v>8.41</v>
      </c>
      <c r="F16" s="50">
        <v>6.48</v>
      </c>
      <c r="G16" s="50">
        <v>40.75</v>
      </c>
      <c r="H16" s="50">
        <v>16.62</v>
      </c>
      <c r="I16" s="50">
        <v>11.58</v>
      </c>
      <c r="J16" s="50">
        <v>0.19</v>
      </c>
      <c r="K16" s="50">
        <v>264.57</v>
      </c>
      <c r="L16" s="50">
        <v>29.61</v>
      </c>
      <c r="M16" s="50">
        <v>93.29</v>
      </c>
      <c r="N16" s="50">
        <v>241.3</v>
      </c>
      <c r="O16" s="50">
        <v>0</v>
      </c>
      <c r="P16" s="50">
        <v>0.7</v>
      </c>
      <c r="Q16" s="50">
        <v>4.76</v>
      </c>
    </row>
    <row r="17" spans="1:17" customFormat="1">
      <c r="A17" s="49">
        <v>45170.375</v>
      </c>
      <c r="B17" s="50">
        <v>13.24</v>
      </c>
      <c r="C17" s="50">
        <v>17.579999999999998</v>
      </c>
      <c r="D17" s="50">
        <v>21.16</v>
      </c>
      <c r="E17" s="50">
        <v>8.49</v>
      </c>
      <c r="F17" s="50">
        <v>7.61</v>
      </c>
      <c r="G17" s="50">
        <v>37.19</v>
      </c>
      <c r="H17" s="50">
        <v>16.940000000000001</v>
      </c>
      <c r="I17" s="50">
        <v>11.93</v>
      </c>
      <c r="J17" s="50">
        <v>0.26</v>
      </c>
      <c r="K17" s="50">
        <v>284.64999999999998</v>
      </c>
      <c r="L17" s="50">
        <v>31.6</v>
      </c>
      <c r="M17" s="50">
        <v>78.73</v>
      </c>
      <c r="N17" s="50">
        <v>291.39999999999998</v>
      </c>
      <c r="O17" s="50">
        <v>0</v>
      </c>
      <c r="P17" s="50">
        <v>0.71</v>
      </c>
      <c r="Q17" s="50">
        <v>4.76</v>
      </c>
    </row>
    <row r="18" spans="1:17" customFormat="1">
      <c r="A18" s="49">
        <v>45170.416666666664</v>
      </c>
      <c r="B18" s="50">
        <v>11.7</v>
      </c>
      <c r="C18" s="50">
        <v>18.399999999999999</v>
      </c>
      <c r="D18" s="50">
        <v>19.84</v>
      </c>
      <c r="E18" s="50">
        <v>7.98</v>
      </c>
      <c r="F18" s="50">
        <v>11.09</v>
      </c>
      <c r="G18" s="50">
        <v>40.799999999999997</v>
      </c>
      <c r="H18" s="50">
        <v>16.940000000000001</v>
      </c>
      <c r="I18" s="50">
        <v>11.24</v>
      </c>
      <c r="J18" s="50">
        <v>0.34</v>
      </c>
      <c r="K18" s="50">
        <v>344.22</v>
      </c>
      <c r="L18" s="50">
        <v>33.049999999999997</v>
      </c>
      <c r="M18" s="50">
        <v>70.099999999999994</v>
      </c>
      <c r="N18" s="50">
        <v>518</v>
      </c>
      <c r="O18" s="50">
        <v>0</v>
      </c>
      <c r="P18" s="50">
        <v>0.71</v>
      </c>
      <c r="Q18" s="50">
        <v>4.68</v>
      </c>
    </row>
    <row r="19" spans="1:17" customFormat="1">
      <c r="A19" s="49">
        <v>45170.458333333336</v>
      </c>
      <c r="B19" s="50">
        <v>9.6199999999999992</v>
      </c>
      <c r="C19" s="50">
        <v>18.91</v>
      </c>
      <c r="D19" s="50">
        <v>18.690000000000001</v>
      </c>
      <c r="E19" s="50">
        <v>12.47</v>
      </c>
      <c r="F19" s="50">
        <v>13.1</v>
      </c>
      <c r="G19" s="50">
        <v>45.49</v>
      </c>
      <c r="H19" s="50">
        <v>14.51</v>
      </c>
      <c r="I19" s="50">
        <v>11.33</v>
      </c>
      <c r="J19" s="50">
        <v>0.31</v>
      </c>
      <c r="K19" s="50">
        <v>307.36</v>
      </c>
      <c r="L19" s="50">
        <v>34.65</v>
      </c>
      <c r="M19" s="50">
        <v>61.94</v>
      </c>
      <c r="N19" s="50">
        <v>713.2</v>
      </c>
      <c r="O19" s="50">
        <v>0</v>
      </c>
      <c r="P19" s="50">
        <v>0.7</v>
      </c>
      <c r="Q19" s="50">
        <v>4.6100000000000003</v>
      </c>
    </row>
    <row r="20" spans="1:17" customFormat="1">
      <c r="A20" s="49">
        <v>45170.5</v>
      </c>
      <c r="B20" s="50">
        <v>7.46</v>
      </c>
      <c r="C20" s="50">
        <v>19.02</v>
      </c>
      <c r="D20" s="50">
        <v>17.25</v>
      </c>
      <c r="E20" s="50">
        <v>13.75</v>
      </c>
      <c r="F20" s="50">
        <v>12.9</v>
      </c>
      <c r="G20" s="50">
        <v>53.72</v>
      </c>
      <c r="H20" s="50">
        <v>17.78</v>
      </c>
      <c r="I20" s="50">
        <v>10.199999999999999</v>
      </c>
      <c r="J20" s="50">
        <v>0.51</v>
      </c>
      <c r="K20" s="50">
        <v>31.34</v>
      </c>
      <c r="L20" s="50">
        <v>34.93</v>
      </c>
      <c r="M20" s="50">
        <v>60.28</v>
      </c>
      <c r="N20" s="50">
        <v>836.2</v>
      </c>
      <c r="O20" s="50">
        <v>0</v>
      </c>
      <c r="P20" s="50">
        <v>0.71</v>
      </c>
      <c r="Q20" s="50">
        <v>4.4800000000000004</v>
      </c>
    </row>
    <row r="21" spans="1:17" customFormat="1">
      <c r="A21" s="49">
        <v>45170.541666666664</v>
      </c>
      <c r="B21" s="50">
        <v>6.81</v>
      </c>
      <c r="C21" s="50">
        <v>18.829999999999998</v>
      </c>
      <c r="D21" s="50">
        <v>16.649999999999999</v>
      </c>
      <c r="E21" s="50">
        <v>14.22</v>
      </c>
      <c r="F21" s="50">
        <v>11.55</v>
      </c>
      <c r="G21" s="50">
        <v>55.76</v>
      </c>
      <c r="H21" s="50">
        <v>18.100000000000001</v>
      </c>
      <c r="I21" s="50">
        <v>9.4499999999999993</v>
      </c>
      <c r="J21" s="50">
        <v>0.73</v>
      </c>
      <c r="K21" s="50">
        <v>298.68</v>
      </c>
      <c r="L21" s="50">
        <v>35.39</v>
      </c>
      <c r="M21" s="50">
        <v>69.540000000000006</v>
      </c>
      <c r="N21" s="50">
        <v>866</v>
      </c>
      <c r="O21" s="50">
        <v>0</v>
      </c>
      <c r="P21" s="50">
        <v>0.67</v>
      </c>
      <c r="Q21" s="50">
        <v>4.38</v>
      </c>
    </row>
    <row r="22" spans="1:17" customFormat="1">
      <c r="A22" s="49">
        <v>45170.583333333336</v>
      </c>
      <c r="B22" s="50">
        <v>6.37</v>
      </c>
      <c r="C22" s="50">
        <v>17.82</v>
      </c>
      <c r="D22" s="50">
        <v>15.74</v>
      </c>
      <c r="E22" s="50">
        <v>14.99</v>
      </c>
      <c r="F22" s="50">
        <v>19.59</v>
      </c>
      <c r="G22" s="50">
        <v>55.85</v>
      </c>
      <c r="H22" s="50">
        <v>18.100000000000001</v>
      </c>
      <c r="I22" s="50">
        <v>9.3000000000000007</v>
      </c>
      <c r="J22" s="50">
        <v>0.63</v>
      </c>
      <c r="K22" s="50">
        <v>283.57</v>
      </c>
      <c r="L22" s="50">
        <v>32.880000000000003</v>
      </c>
      <c r="M22" s="50">
        <v>68.97</v>
      </c>
      <c r="N22" s="50">
        <v>508</v>
      </c>
      <c r="O22" s="50">
        <v>0</v>
      </c>
      <c r="P22" s="50">
        <v>0.65</v>
      </c>
      <c r="Q22" s="50">
        <v>4.29</v>
      </c>
    </row>
    <row r="23" spans="1:17" customFormat="1">
      <c r="A23" s="49">
        <v>45170.625</v>
      </c>
      <c r="B23" s="50">
        <v>5.55</v>
      </c>
      <c r="C23" s="50">
        <v>14.43</v>
      </c>
      <c r="D23" s="50">
        <v>13.34</v>
      </c>
      <c r="E23" s="50">
        <v>13.53</v>
      </c>
      <c r="F23" s="50">
        <v>23.51</v>
      </c>
      <c r="G23" s="50">
        <v>52.75</v>
      </c>
      <c r="H23" s="50">
        <v>18.02</v>
      </c>
      <c r="I23" s="50">
        <v>7.75</v>
      </c>
      <c r="J23" s="50">
        <v>0.39</v>
      </c>
      <c r="K23" s="50">
        <v>163.1</v>
      </c>
      <c r="L23" s="50">
        <v>32.369999999999997</v>
      </c>
      <c r="M23" s="50">
        <v>74.06</v>
      </c>
      <c r="N23" s="50">
        <v>284</v>
      </c>
      <c r="O23" s="50">
        <v>0</v>
      </c>
      <c r="P23" s="50">
        <v>0.57999999999999996</v>
      </c>
      <c r="Q23" s="50">
        <v>4.2300000000000004</v>
      </c>
    </row>
    <row r="24" spans="1:17" customFormat="1">
      <c r="A24" s="49">
        <v>45170.666666666664</v>
      </c>
      <c r="B24" s="50">
        <v>5.65</v>
      </c>
      <c r="C24" s="50">
        <v>14.32</v>
      </c>
      <c r="D24" s="50">
        <v>13.36</v>
      </c>
      <c r="E24" s="50">
        <v>12.37</v>
      </c>
      <c r="F24" s="50">
        <v>18.420000000000002</v>
      </c>
      <c r="G24" s="50">
        <v>51.69</v>
      </c>
      <c r="H24" s="50">
        <v>18.02</v>
      </c>
      <c r="I24" s="50">
        <v>6.72</v>
      </c>
      <c r="J24" s="50">
        <v>0.28999999999999998</v>
      </c>
      <c r="K24" s="50">
        <v>230.64</v>
      </c>
      <c r="L24" s="50">
        <v>33.14</v>
      </c>
      <c r="M24" s="50">
        <v>70.790000000000006</v>
      </c>
      <c r="N24" s="50">
        <v>314.5</v>
      </c>
      <c r="O24" s="50">
        <v>0</v>
      </c>
      <c r="P24" s="50">
        <v>0.61</v>
      </c>
      <c r="Q24" s="50">
        <v>4.22</v>
      </c>
    </row>
    <row r="25" spans="1:17" customFormat="1">
      <c r="A25" s="49">
        <v>45170.708333333336</v>
      </c>
      <c r="B25" s="50">
        <v>5.54</v>
      </c>
      <c r="C25" s="50">
        <v>12.78</v>
      </c>
      <c r="D25" s="50">
        <v>12.47</v>
      </c>
      <c r="E25" s="50">
        <v>11.16</v>
      </c>
      <c r="F25" s="50">
        <v>23.11</v>
      </c>
      <c r="G25" s="50">
        <v>51.8</v>
      </c>
      <c r="H25" s="50">
        <v>17.649999999999999</v>
      </c>
      <c r="I25" s="50">
        <v>6.74</v>
      </c>
      <c r="J25" s="50">
        <v>0.18</v>
      </c>
      <c r="K25" s="50">
        <v>224.42</v>
      </c>
      <c r="L25" s="50">
        <v>32.24</v>
      </c>
      <c r="M25" s="50">
        <v>72.81</v>
      </c>
      <c r="N25" s="50">
        <v>104.6</v>
      </c>
      <c r="O25" s="50">
        <v>0</v>
      </c>
      <c r="P25" s="50">
        <v>0.56999999999999995</v>
      </c>
      <c r="Q25" s="50">
        <v>4.21</v>
      </c>
    </row>
    <row r="26" spans="1:17" customFormat="1">
      <c r="A26" s="49">
        <v>45170.75</v>
      </c>
      <c r="B26" s="50">
        <v>6.35</v>
      </c>
      <c r="C26" s="50">
        <v>15.56</v>
      </c>
      <c r="D26" s="50">
        <v>14.57</v>
      </c>
      <c r="E26" s="50">
        <v>11.25</v>
      </c>
      <c r="F26" s="50">
        <v>24.01</v>
      </c>
      <c r="G26" s="50">
        <v>50.77</v>
      </c>
      <c r="H26" s="50">
        <v>16.68</v>
      </c>
      <c r="I26" s="50">
        <v>5.5</v>
      </c>
      <c r="J26" s="50">
        <v>0.24</v>
      </c>
      <c r="K26" s="50">
        <v>182.6</v>
      </c>
      <c r="L26" s="50">
        <v>31.77</v>
      </c>
      <c r="M26" s="50">
        <v>73.599999999999994</v>
      </c>
      <c r="N26" s="50">
        <v>41.6</v>
      </c>
      <c r="O26" s="50">
        <v>0</v>
      </c>
      <c r="P26" s="50">
        <v>0.66</v>
      </c>
      <c r="Q26" s="50">
        <v>4.18</v>
      </c>
    </row>
    <row r="27" spans="1:17" customFormat="1">
      <c r="A27" s="49">
        <v>45170.791666666664</v>
      </c>
      <c r="B27" s="50">
        <v>6.63</v>
      </c>
      <c r="C27" s="50">
        <v>20.21</v>
      </c>
      <c r="D27" s="50">
        <v>17.2</v>
      </c>
      <c r="E27" s="50">
        <v>8.93</v>
      </c>
      <c r="F27" s="50">
        <v>12.76</v>
      </c>
      <c r="G27" s="50">
        <v>65.36</v>
      </c>
      <c r="H27" s="50">
        <v>17.79</v>
      </c>
      <c r="I27" s="50">
        <v>6.59</v>
      </c>
      <c r="J27" s="50">
        <v>0.28999999999999998</v>
      </c>
      <c r="K27" s="50">
        <v>248.59</v>
      </c>
      <c r="L27" s="50">
        <v>30.82</v>
      </c>
      <c r="M27" s="50">
        <v>78.47</v>
      </c>
      <c r="N27" s="50">
        <v>0</v>
      </c>
      <c r="O27" s="50">
        <v>0</v>
      </c>
      <c r="P27" s="50">
        <v>0.79</v>
      </c>
      <c r="Q27" s="50">
        <v>4.3</v>
      </c>
    </row>
    <row r="28" spans="1:17" customFormat="1">
      <c r="A28" s="49">
        <v>45170.833333333336</v>
      </c>
      <c r="B28" s="50">
        <v>7.55</v>
      </c>
      <c r="C28" s="50">
        <v>17.39</v>
      </c>
      <c r="D28" s="50">
        <v>16.46</v>
      </c>
      <c r="E28" s="50">
        <v>8.33</v>
      </c>
      <c r="F28" s="50">
        <v>12.04</v>
      </c>
      <c r="G28" s="50">
        <v>66.290000000000006</v>
      </c>
      <c r="H28" s="50">
        <v>17.79</v>
      </c>
      <c r="I28" s="50">
        <v>6.39</v>
      </c>
      <c r="J28" s="50">
        <v>0.23</v>
      </c>
      <c r="K28" s="50">
        <v>232.9</v>
      </c>
      <c r="L28" s="50">
        <v>30</v>
      </c>
      <c r="M28" s="50">
        <v>82.42</v>
      </c>
      <c r="N28" s="50">
        <v>0</v>
      </c>
      <c r="O28" s="50">
        <v>0</v>
      </c>
      <c r="P28" s="50">
        <v>0.78</v>
      </c>
      <c r="Q28" s="50">
        <v>4.3600000000000003</v>
      </c>
    </row>
    <row r="29" spans="1:17" customFormat="1">
      <c r="A29" s="49">
        <v>45170.875</v>
      </c>
      <c r="B29" s="50">
        <v>13.75</v>
      </c>
      <c r="C29" s="50">
        <v>23.71</v>
      </c>
      <c r="D29" s="50">
        <v>24.76</v>
      </c>
      <c r="E29" s="50">
        <v>8.86</v>
      </c>
      <c r="F29" s="50">
        <v>6.88</v>
      </c>
      <c r="G29" s="50">
        <v>67.48</v>
      </c>
      <c r="H29" s="50">
        <v>18.260000000000002</v>
      </c>
      <c r="I29" s="50">
        <v>7.37</v>
      </c>
      <c r="J29" s="50">
        <v>0.18</v>
      </c>
      <c r="K29" s="50">
        <v>287.77999999999997</v>
      </c>
      <c r="L29" s="50">
        <v>29.55</v>
      </c>
      <c r="M29" s="50">
        <v>81.52</v>
      </c>
      <c r="N29" s="50">
        <v>0</v>
      </c>
      <c r="O29" s="50">
        <v>0</v>
      </c>
      <c r="P29" s="50">
        <v>0.92</v>
      </c>
      <c r="Q29" s="50">
        <v>4.59</v>
      </c>
    </row>
    <row r="30" spans="1:17" customFormat="1">
      <c r="A30" s="49">
        <v>45170.916666666664</v>
      </c>
      <c r="B30" s="50">
        <v>13.54</v>
      </c>
      <c r="C30" s="50">
        <v>22.66</v>
      </c>
      <c r="D30" s="50">
        <v>24.04</v>
      </c>
      <c r="E30" s="50">
        <v>16.91</v>
      </c>
      <c r="F30" s="50">
        <v>5.63</v>
      </c>
      <c r="G30" s="50">
        <v>71.78</v>
      </c>
      <c r="H30" s="50">
        <v>18.260000000000002</v>
      </c>
      <c r="I30" s="50">
        <v>7.26</v>
      </c>
      <c r="J30" s="50">
        <v>0.2</v>
      </c>
      <c r="K30" s="50">
        <v>229.81</v>
      </c>
      <c r="L30" s="50">
        <v>29.4</v>
      </c>
      <c r="M30" s="50">
        <v>81.099999999999994</v>
      </c>
      <c r="N30" s="50">
        <v>0</v>
      </c>
      <c r="O30" s="50">
        <v>0</v>
      </c>
      <c r="P30" s="50">
        <v>0.89</v>
      </c>
      <c r="Q30" s="50">
        <v>4.7300000000000004</v>
      </c>
    </row>
    <row r="31" spans="1:17" customFormat="1">
      <c r="A31" s="49">
        <v>45170.958333333336</v>
      </c>
      <c r="B31" s="50">
        <v>9.77</v>
      </c>
      <c r="C31" s="50">
        <v>19.77</v>
      </c>
      <c r="D31" s="50">
        <v>19.52</v>
      </c>
      <c r="E31" s="50">
        <v>14.74</v>
      </c>
      <c r="F31" s="50">
        <v>5.13</v>
      </c>
      <c r="G31" s="50">
        <v>71.959999999999994</v>
      </c>
      <c r="H31" s="50">
        <v>19.2</v>
      </c>
      <c r="I31" s="50">
        <v>6.87</v>
      </c>
      <c r="J31" s="50">
        <v>0.24</v>
      </c>
      <c r="K31" s="50">
        <v>187.52</v>
      </c>
      <c r="L31" s="50">
        <v>28.65</v>
      </c>
      <c r="M31" s="50">
        <v>89.17</v>
      </c>
      <c r="N31" s="50">
        <v>0</v>
      </c>
      <c r="O31" s="50">
        <v>0</v>
      </c>
      <c r="P31" s="50">
        <v>0.9</v>
      </c>
      <c r="Q31" s="50">
        <v>4.75</v>
      </c>
    </row>
    <row r="32" spans="1:17" customFormat="1">
      <c r="A32" s="49">
        <v>45171</v>
      </c>
      <c r="B32" s="50">
        <v>10.64</v>
      </c>
      <c r="C32" s="50">
        <v>18.57</v>
      </c>
      <c r="D32" s="50">
        <v>19.48</v>
      </c>
      <c r="E32" s="50">
        <v>7.81</v>
      </c>
      <c r="F32" s="50">
        <v>8.18</v>
      </c>
      <c r="G32" s="50">
        <v>68.5</v>
      </c>
      <c r="H32" s="50">
        <v>19.2</v>
      </c>
      <c r="I32" s="50">
        <v>7.46</v>
      </c>
      <c r="J32" s="50">
        <v>0.15</v>
      </c>
      <c r="K32" s="50">
        <v>250.31</v>
      </c>
      <c r="L32" s="50">
        <v>27.82</v>
      </c>
      <c r="M32" s="50">
        <v>90.72</v>
      </c>
      <c r="N32" s="50">
        <v>0</v>
      </c>
      <c r="O32" s="50">
        <v>0</v>
      </c>
      <c r="P32" s="50">
        <v>0.85</v>
      </c>
      <c r="Q32" s="50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5.54</v>
      </c>
      <c r="C34" s="40">
        <f t="shared" si="0"/>
        <v>12.78</v>
      </c>
      <c r="D34" s="40">
        <f t="shared" si="0"/>
        <v>12.47</v>
      </c>
      <c r="E34" s="40">
        <f t="shared" si="0"/>
        <v>7.81</v>
      </c>
      <c r="F34" s="40">
        <f t="shared" si="0"/>
        <v>4.99</v>
      </c>
      <c r="G34" s="40">
        <f t="shared" si="0"/>
        <v>37.19</v>
      </c>
      <c r="H34" s="40">
        <f t="shared" si="0"/>
        <v>14.51</v>
      </c>
      <c r="I34" s="40">
        <f t="shared" si="0"/>
        <v>5.5</v>
      </c>
      <c r="J34" s="40">
        <f t="shared" si="0"/>
        <v>0.15</v>
      </c>
      <c r="K34" s="40">
        <f t="shared" si="0"/>
        <v>31.34</v>
      </c>
      <c r="L34" s="40">
        <f t="shared" si="0"/>
        <v>26.32</v>
      </c>
      <c r="M34" s="40">
        <f t="shared" si="0"/>
        <v>60.28</v>
      </c>
      <c r="N34" s="40">
        <f t="shared" si="0"/>
        <v>0</v>
      </c>
      <c r="O34" s="40">
        <f t="shared" si="0"/>
        <v>0</v>
      </c>
      <c r="P34" s="40">
        <f t="shared" si="0"/>
        <v>0.56999999999999995</v>
      </c>
      <c r="Q34" s="40">
        <f t="shared" si="0"/>
        <v>4.18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13.75</v>
      </c>
      <c r="C35" s="33">
        <f t="shared" si="1"/>
        <v>23.71</v>
      </c>
      <c r="D35" s="33">
        <f t="shared" si="1"/>
        <v>24.76</v>
      </c>
      <c r="E35" s="33">
        <f t="shared" si="1"/>
        <v>16.91</v>
      </c>
      <c r="F35" s="33">
        <f t="shared" si="1"/>
        <v>24.01</v>
      </c>
      <c r="G35" s="33">
        <f t="shared" si="1"/>
        <v>71.959999999999994</v>
      </c>
      <c r="H35" s="33">
        <f t="shared" si="1"/>
        <v>20.73</v>
      </c>
      <c r="I35" s="33">
        <f t="shared" si="1"/>
        <v>19</v>
      </c>
      <c r="J35" s="33">
        <f t="shared" si="1"/>
        <v>0.73</v>
      </c>
      <c r="K35" s="33">
        <f t="shared" si="1"/>
        <v>344.22</v>
      </c>
      <c r="L35" s="33">
        <f t="shared" si="1"/>
        <v>35.39</v>
      </c>
      <c r="M35" s="33">
        <f t="shared" si="1"/>
        <v>109.6</v>
      </c>
      <c r="N35" s="33">
        <f t="shared" si="1"/>
        <v>866</v>
      </c>
      <c r="O35" s="33">
        <f t="shared" si="1"/>
        <v>0</v>
      </c>
      <c r="P35" s="33">
        <f t="shared" si="1"/>
        <v>0.92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9.6245833333333337</v>
      </c>
      <c r="C36" s="40">
        <f t="shared" si="2"/>
        <v>17.515416666666663</v>
      </c>
      <c r="D36" s="40">
        <f t="shared" si="2"/>
        <v>18.178749999999997</v>
      </c>
      <c r="E36" s="40">
        <f t="shared" si="2"/>
        <v>10.557500000000001</v>
      </c>
      <c r="F36" s="40">
        <f t="shared" si="2"/>
        <v>10.959999999999999</v>
      </c>
      <c r="G36" s="40">
        <f t="shared" si="2"/>
        <v>53.385416666666657</v>
      </c>
      <c r="H36" s="40">
        <f t="shared" si="2"/>
        <v>17.778333333333332</v>
      </c>
      <c r="I36" s="40">
        <f t="shared" si="2"/>
        <v>10.656666666666668</v>
      </c>
      <c r="J36" s="40">
        <f t="shared" si="2"/>
        <v>0.28541666666666671</v>
      </c>
      <c r="K36" s="40">
        <f t="shared" si="2"/>
        <v>233.37375000000006</v>
      </c>
      <c r="L36" s="40">
        <f t="shared" si="2"/>
        <v>30.257083333333327</v>
      </c>
      <c r="M36" s="40">
        <f t="shared" si="2"/>
        <v>83.344999999999985</v>
      </c>
      <c r="N36" s="40">
        <f t="shared" si="2"/>
        <v>199.13333333333335</v>
      </c>
      <c r="O36" s="40">
        <f t="shared" si="2"/>
        <v>0</v>
      </c>
      <c r="P36" s="40">
        <f t="shared" si="2"/>
        <v>0.7316666666666668</v>
      </c>
      <c r="Q36" s="40">
        <f t="shared" si="2"/>
        <v>4.5566666666666675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2.7914293972282618</v>
      </c>
      <c r="C37" s="40">
        <f t="shared" ref="C37:Q37" si="3">STDEV(C9:C32)</f>
        <v>2.5285689012573647</v>
      </c>
      <c r="D37" s="40">
        <f t="shared" si="3"/>
        <v>3.020106984140166</v>
      </c>
      <c r="E37" s="40">
        <f t="shared" si="3"/>
        <v>2.8204952540752219</v>
      </c>
      <c r="F37" s="40">
        <f t="shared" si="3"/>
        <v>6.336365711887427</v>
      </c>
      <c r="G37" s="40">
        <f t="shared" si="3"/>
        <v>10.365299961752326</v>
      </c>
      <c r="H37" s="40">
        <f t="shared" si="3"/>
        <v>1.3943852211378471</v>
      </c>
      <c r="I37" s="40">
        <f t="shared" si="3"/>
        <v>4.1622544755024942</v>
      </c>
      <c r="J37" s="40">
        <f t="shared" si="3"/>
        <v>0.14705749146881783</v>
      </c>
      <c r="K37" s="40">
        <f t="shared" si="3"/>
        <v>61.232233328285091</v>
      </c>
      <c r="L37" s="40">
        <f t="shared" si="3"/>
        <v>2.9039036383082779</v>
      </c>
      <c r="M37" s="40">
        <f t="shared" si="3"/>
        <v>13.854561327058308</v>
      </c>
      <c r="N37" s="40">
        <f t="shared" si="3"/>
        <v>285.24786882055173</v>
      </c>
      <c r="O37" s="40">
        <f t="shared" si="3"/>
        <v>0</v>
      </c>
      <c r="P37" s="40">
        <f t="shared" si="3"/>
        <v>9.2203304037123596E-2</v>
      </c>
      <c r="Q37" s="40">
        <f t="shared" si="3"/>
        <v>0.22026992663480977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45171.041666666664</v>
      </c>
      <c r="B9" s="50">
        <v>9.81</v>
      </c>
      <c r="C9" s="50">
        <v>14.93</v>
      </c>
      <c r="D9" s="50">
        <v>17.010000000000002</v>
      </c>
      <c r="E9" s="50">
        <v>7.36</v>
      </c>
      <c r="F9" s="50">
        <v>8.02</v>
      </c>
      <c r="G9" s="50">
        <v>56.86</v>
      </c>
      <c r="H9" s="50">
        <v>16.82</v>
      </c>
      <c r="I9" s="50">
        <v>6.73</v>
      </c>
      <c r="J9" s="50">
        <v>0.13</v>
      </c>
      <c r="K9" s="50">
        <v>197.61</v>
      </c>
      <c r="L9" s="50">
        <v>27.69</v>
      </c>
      <c r="M9" s="50">
        <v>89.32</v>
      </c>
      <c r="N9" s="50">
        <v>0</v>
      </c>
      <c r="O9" s="50">
        <v>0</v>
      </c>
      <c r="P9" s="50">
        <v>0.79</v>
      </c>
      <c r="Q9" s="50">
        <v>4.7</v>
      </c>
    </row>
    <row r="10" spans="1:21" customFormat="1">
      <c r="A10" s="49">
        <v>45171.083333333336</v>
      </c>
      <c r="B10" s="50">
        <v>11.16</v>
      </c>
      <c r="C10" s="50">
        <v>17.09</v>
      </c>
      <c r="D10" s="50">
        <v>19.04</v>
      </c>
      <c r="E10" s="50">
        <v>7.7</v>
      </c>
      <c r="F10" s="50">
        <v>6.44</v>
      </c>
      <c r="G10" s="50">
        <v>50.9</v>
      </c>
      <c r="H10" s="50">
        <v>16</v>
      </c>
      <c r="I10" s="50">
        <v>7.59</v>
      </c>
      <c r="J10" s="50">
        <v>0.13</v>
      </c>
      <c r="K10" s="50">
        <v>226.12</v>
      </c>
      <c r="L10" s="50">
        <v>27.35</v>
      </c>
      <c r="M10" s="50">
        <v>92.07</v>
      </c>
      <c r="N10" s="50">
        <v>0</v>
      </c>
      <c r="O10" s="50">
        <v>0</v>
      </c>
      <c r="P10" s="50">
        <v>0.82</v>
      </c>
      <c r="Q10" s="50">
        <v>4.79</v>
      </c>
    </row>
    <row r="11" spans="1:21" customFormat="1">
      <c r="A11" s="49">
        <v>45171.125</v>
      </c>
      <c r="B11" s="50">
        <v>10.41</v>
      </c>
      <c r="C11" s="50">
        <v>13.65</v>
      </c>
      <c r="D11" s="50">
        <v>16.829999999999998</v>
      </c>
      <c r="E11" s="50">
        <v>7.2</v>
      </c>
      <c r="F11" s="50">
        <v>8.52</v>
      </c>
      <c r="G11" s="50">
        <v>46.44</v>
      </c>
      <c r="H11" s="50">
        <v>15.1</v>
      </c>
      <c r="I11" s="50">
        <v>7.67</v>
      </c>
      <c r="J11" s="50">
        <v>0.17</v>
      </c>
      <c r="K11" s="50">
        <v>202.04</v>
      </c>
      <c r="L11" s="50">
        <v>27.24</v>
      </c>
      <c r="M11" s="50">
        <v>91.93</v>
      </c>
      <c r="N11" s="50">
        <v>0</v>
      </c>
      <c r="O11" s="50">
        <v>0</v>
      </c>
      <c r="P11" s="50">
        <v>0.76</v>
      </c>
      <c r="Q11" s="50">
        <v>4.6900000000000004</v>
      </c>
    </row>
    <row r="12" spans="1:21" customFormat="1">
      <c r="A12" s="49">
        <v>45171.166666666664</v>
      </c>
      <c r="B12" s="50">
        <v>11.05</v>
      </c>
      <c r="C12" s="50">
        <v>15.38</v>
      </c>
      <c r="D12" s="50">
        <v>18.25</v>
      </c>
      <c r="E12" s="50">
        <v>8.01</v>
      </c>
      <c r="F12" s="50">
        <v>7.5</v>
      </c>
      <c r="G12" s="50">
        <v>38.21</v>
      </c>
      <c r="H12" s="50">
        <v>15.1</v>
      </c>
      <c r="I12" s="50">
        <v>6.7</v>
      </c>
      <c r="J12" s="50">
        <v>0.18</v>
      </c>
      <c r="K12" s="50">
        <v>198.46</v>
      </c>
      <c r="L12" s="50">
        <v>27.09</v>
      </c>
      <c r="M12" s="50">
        <v>95.19</v>
      </c>
      <c r="N12" s="50">
        <v>0</v>
      </c>
      <c r="O12" s="50">
        <v>0</v>
      </c>
      <c r="P12" s="50">
        <v>0.71</v>
      </c>
      <c r="Q12" s="50">
        <v>4.71</v>
      </c>
    </row>
    <row r="13" spans="1:21" customFormat="1">
      <c r="A13" s="49">
        <v>45171.208333333336</v>
      </c>
      <c r="B13" s="50">
        <v>13.09</v>
      </c>
      <c r="C13" s="50">
        <v>15.41</v>
      </c>
      <c r="D13" s="50">
        <v>19.68</v>
      </c>
      <c r="E13" s="50">
        <v>7.62</v>
      </c>
      <c r="F13" s="50">
        <v>7.09</v>
      </c>
      <c r="G13" s="50">
        <v>37.67</v>
      </c>
      <c r="H13" s="50">
        <v>13.58</v>
      </c>
      <c r="I13" s="50">
        <v>6.34</v>
      </c>
      <c r="J13" s="50">
        <v>0.14000000000000001</v>
      </c>
      <c r="K13" s="50">
        <v>181.33</v>
      </c>
      <c r="L13" s="50">
        <v>26.88</v>
      </c>
      <c r="M13" s="50">
        <v>94.81</v>
      </c>
      <c r="N13" s="50">
        <v>0</v>
      </c>
      <c r="O13" s="50">
        <v>0</v>
      </c>
      <c r="P13" s="50">
        <v>0.67</v>
      </c>
      <c r="Q13" s="50">
        <v>4.66</v>
      </c>
    </row>
    <row r="14" spans="1:21" customFormat="1">
      <c r="A14" s="49">
        <v>45171.25</v>
      </c>
      <c r="B14" s="50">
        <v>13.41</v>
      </c>
      <c r="C14" s="50">
        <v>17.04</v>
      </c>
      <c r="D14" s="50">
        <v>21.01</v>
      </c>
      <c r="E14" s="50">
        <v>7.76</v>
      </c>
      <c r="F14" s="50">
        <v>5.51</v>
      </c>
      <c r="G14" s="50">
        <v>37.74</v>
      </c>
      <c r="H14" s="50">
        <v>13.58</v>
      </c>
      <c r="I14" s="50">
        <v>6.47</v>
      </c>
      <c r="J14" s="50">
        <v>0.21</v>
      </c>
      <c r="K14" s="50">
        <v>194.07</v>
      </c>
      <c r="L14" s="50">
        <v>26.84</v>
      </c>
      <c r="M14" s="50">
        <v>95.9</v>
      </c>
      <c r="N14" s="50">
        <v>7.3</v>
      </c>
      <c r="O14" s="50">
        <v>0</v>
      </c>
      <c r="P14" s="50">
        <v>0.68</v>
      </c>
      <c r="Q14" s="50">
        <v>4.79</v>
      </c>
    </row>
    <row r="15" spans="1:21" customFormat="1">
      <c r="A15" s="49">
        <v>45171.291666666664</v>
      </c>
      <c r="B15" s="50">
        <v>14.89</v>
      </c>
      <c r="C15" s="50">
        <v>16.93</v>
      </c>
      <c r="D15" s="50">
        <v>22.06</v>
      </c>
      <c r="E15" s="50">
        <v>8.49</v>
      </c>
      <c r="F15" s="50">
        <v>5.23</v>
      </c>
      <c r="G15" s="50">
        <v>34.130000000000003</v>
      </c>
      <c r="H15" s="50">
        <v>13.6</v>
      </c>
      <c r="I15" s="50">
        <v>6.55</v>
      </c>
      <c r="J15" s="50">
        <v>0.22</v>
      </c>
      <c r="K15" s="50">
        <v>258.89</v>
      </c>
      <c r="L15" s="50">
        <v>27.99</v>
      </c>
      <c r="M15" s="50">
        <v>94.19</v>
      </c>
      <c r="N15" s="50">
        <v>57.1</v>
      </c>
      <c r="O15" s="50">
        <v>0</v>
      </c>
      <c r="P15" s="50">
        <v>0.68</v>
      </c>
      <c r="Q15" s="50">
        <v>4.8600000000000003</v>
      </c>
    </row>
    <row r="16" spans="1:21" customFormat="1">
      <c r="A16" s="49">
        <v>45171.333333333336</v>
      </c>
      <c r="B16" s="50">
        <v>14.86</v>
      </c>
      <c r="C16" s="50">
        <v>18.329999999999998</v>
      </c>
      <c r="D16" s="50">
        <v>22.85</v>
      </c>
      <c r="E16" s="50">
        <v>11.8</v>
      </c>
      <c r="F16" s="50">
        <v>6.95</v>
      </c>
      <c r="G16" s="50">
        <v>38.58</v>
      </c>
      <c r="H16" s="50">
        <v>13.6</v>
      </c>
      <c r="I16" s="50">
        <v>6.82</v>
      </c>
      <c r="J16" s="50">
        <v>0.25</v>
      </c>
      <c r="K16" s="50">
        <v>269.39</v>
      </c>
      <c r="L16" s="50">
        <v>29.84</v>
      </c>
      <c r="M16" s="50">
        <v>84.63</v>
      </c>
      <c r="N16" s="50">
        <v>172.1</v>
      </c>
      <c r="O16" s="50">
        <v>0</v>
      </c>
      <c r="P16" s="50">
        <v>0.7</v>
      </c>
      <c r="Q16" s="50">
        <v>4.95</v>
      </c>
    </row>
    <row r="17" spans="1:17" customFormat="1">
      <c r="A17" s="49">
        <v>45171.375</v>
      </c>
      <c r="B17" s="50">
        <v>16.29</v>
      </c>
      <c r="C17" s="50">
        <v>20.95</v>
      </c>
      <c r="D17" s="50">
        <v>25.17</v>
      </c>
      <c r="E17" s="50">
        <v>38.58</v>
      </c>
      <c r="F17" s="50">
        <v>8.58</v>
      </c>
      <c r="G17" s="50">
        <v>62.27</v>
      </c>
      <c r="H17" s="50">
        <v>26.72</v>
      </c>
      <c r="I17" s="50">
        <v>7.32</v>
      </c>
      <c r="J17" s="50">
        <v>0.26</v>
      </c>
      <c r="K17" s="50">
        <v>337.97</v>
      </c>
      <c r="L17" s="50">
        <v>32.270000000000003</v>
      </c>
      <c r="M17" s="50">
        <v>75.209999999999994</v>
      </c>
      <c r="N17" s="50">
        <v>263.5</v>
      </c>
      <c r="O17" s="50">
        <v>0</v>
      </c>
      <c r="P17" s="50">
        <v>0.8</v>
      </c>
      <c r="Q17" s="50">
        <v>5.08</v>
      </c>
    </row>
    <row r="18" spans="1:17" customFormat="1">
      <c r="A18" s="49">
        <v>45171.416666666664</v>
      </c>
      <c r="B18" s="50">
        <v>15.46</v>
      </c>
      <c r="C18" s="50">
        <v>22.61</v>
      </c>
      <c r="D18" s="50">
        <v>25.52</v>
      </c>
      <c r="E18" s="50">
        <v>52.61</v>
      </c>
      <c r="F18" s="50">
        <v>9.06</v>
      </c>
      <c r="G18" s="50">
        <v>84.31</v>
      </c>
      <c r="H18" s="50">
        <v>27.12</v>
      </c>
      <c r="I18" s="50">
        <v>7.52</v>
      </c>
      <c r="J18" s="50">
        <v>0.45</v>
      </c>
      <c r="K18" s="50">
        <v>333.45</v>
      </c>
      <c r="L18" s="50">
        <v>33.700000000000003</v>
      </c>
      <c r="M18" s="50">
        <v>69.47</v>
      </c>
      <c r="N18" s="50">
        <v>513.9</v>
      </c>
      <c r="O18" s="50">
        <v>0</v>
      </c>
      <c r="P18" s="50">
        <v>0.85</v>
      </c>
      <c r="Q18" s="50">
        <v>5.09</v>
      </c>
    </row>
    <row r="19" spans="1:17" customFormat="1">
      <c r="A19" s="49">
        <v>45171.458333333336</v>
      </c>
      <c r="B19" s="50">
        <v>15.03</v>
      </c>
      <c r="C19" s="50">
        <v>22.19</v>
      </c>
      <c r="D19" s="50">
        <v>24.95</v>
      </c>
      <c r="E19" s="50">
        <v>34.950000000000003</v>
      </c>
      <c r="F19" s="50">
        <v>13.33</v>
      </c>
      <c r="G19" s="50">
        <v>100.89</v>
      </c>
      <c r="H19" s="50">
        <v>27.66</v>
      </c>
      <c r="I19" s="50">
        <v>7.41</v>
      </c>
      <c r="J19" s="50">
        <v>0.68</v>
      </c>
      <c r="K19" s="50">
        <v>50.43</v>
      </c>
      <c r="L19" s="50">
        <v>34.49</v>
      </c>
      <c r="M19" s="50">
        <v>63.15</v>
      </c>
      <c r="N19" s="50">
        <v>490.9</v>
      </c>
      <c r="O19" s="50">
        <v>0</v>
      </c>
      <c r="P19" s="50">
        <v>0.84</v>
      </c>
      <c r="Q19" s="50">
        <v>5.1100000000000003</v>
      </c>
    </row>
    <row r="20" spans="1:17" customFormat="1">
      <c r="A20" s="49">
        <v>45171.5</v>
      </c>
      <c r="B20" s="50">
        <v>13.22</v>
      </c>
      <c r="C20" s="50">
        <v>21.71</v>
      </c>
      <c r="D20" s="50">
        <v>23.29</v>
      </c>
      <c r="E20" s="50">
        <v>15.76</v>
      </c>
      <c r="F20" s="50">
        <v>16.440000000000001</v>
      </c>
      <c r="G20" s="50">
        <v>101.8</v>
      </c>
      <c r="H20" s="50">
        <v>27.66</v>
      </c>
      <c r="I20" s="50">
        <v>6.88</v>
      </c>
      <c r="J20" s="50">
        <v>1.01</v>
      </c>
      <c r="K20" s="50">
        <v>47.67</v>
      </c>
      <c r="L20" s="50">
        <v>34.409999999999997</v>
      </c>
      <c r="M20" s="50">
        <v>65.94</v>
      </c>
      <c r="N20" s="50">
        <v>803.7</v>
      </c>
      <c r="O20" s="50">
        <v>0</v>
      </c>
      <c r="P20" s="50">
        <v>0.81</v>
      </c>
      <c r="Q20" s="50">
        <v>5.0199999999999996</v>
      </c>
    </row>
    <row r="21" spans="1:17" customFormat="1">
      <c r="A21" s="49">
        <v>45171.541666666664</v>
      </c>
      <c r="B21" s="50">
        <v>11.72</v>
      </c>
      <c r="C21" s="50">
        <v>21.52</v>
      </c>
      <c r="D21" s="50">
        <v>21.99</v>
      </c>
      <c r="E21" s="50">
        <v>14.11</v>
      </c>
      <c r="F21" s="50">
        <v>18.3</v>
      </c>
      <c r="G21" s="50">
        <v>97.48</v>
      </c>
      <c r="H21" s="50">
        <v>25.83</v>
      </c>
      <c r="I21" s="50">
        <v>6.18</v>
      </c>
      <c r="J21" s="50">
        <v>1.08</v>
      </c>
      <c r="K21" s="50">
        <v>241.61</v>
      </c>
      <c r="L21" s="50">
        <v>34.58</v>
      </c>
      <c r="M21" s="50">
        <v>60.65</v>
      </c>
      <c r="N21" s="50">
        <v>815.4</v>
      </c>
      <c r="O21" s="50">
        <v>0</v>
      </c>
      <c r="P21" s="50">
        <v>0.74</v>
      </c>
      <c r="Q21" s="50">
        <v>4.8499999999999996</v>
      </c>
    </row>
    <row r="22" spans="1:17" customFormat="1">
      <c r="A22" s="49">
        <v>45171.583333333336</v>
      </c>
      <c r="B22" s="50">
        <v>8.9700000000000006</v>
      </c>
      <c r="C22" s="50">
        <v>19.14</v>
      </c>
      <c r="D22" s="50">
        <v>18.55</v>
      </c>
      <c r="E22" s="50">
        <v>9.5</v>
      </c>
      <c r="F22" s="50">
        <v>14.58</v>
      </c>
      <c r="G22" s="50">
        <v>89.72</v>
      </c>
      <c r="H22" s="50">
        <v>23.83</v>
      </c>
      <c r="I22" s="50">
        <v>5.91</v>
      </c>
      <c r="J22" s="50">
        <v>0.41</v>
      </c>
      <c r="K22" s="50">
        <v>309.36</v>
      </c>
      <c r="L22" s="50">
        <v>34.950000000000003</v>
      </c>
      <c r="M22" s="50">
        <v>62.42</v>
      </c>
      <c r="N22" s="50">
        <v>694.6</v>
      </c>
      <c r="O22" s="50">
        <v>0</v>
      </c>
      <c r="P22" s="50">
        <v>0.7</v>
      </c>
      <c r="Q22" s="50">
        <v>4.67</v>
      </c>
    </row>
    <row r="23" spans="1:17" customFormat="1">
      <c r="A23" s="49">
        <v>45171.625</v>
      </c>
      <c r="B23" s="50">
        <v>7.77</v>
      </c>
      <c r="C23" s="50">
        <v>18.54</v>
      </c>
      <c r="D23" s="50">
        <v>17.27</v>
      </c>
      <c r="E23" s="50">
        <v>7.38</v>
      </c>
      <c r="F23" s="50">
        <v>15.52</v>
      </c>
      <c r="G23" s="50">
        <v>74.73</v>
      </c>
      <c r="H23" s="50">
        <v>20.96</v>
      </c>
      <c r="I23" s="50">
        <v>5.62</v>
      </c>
      <c r="J23" s="50">
        <v>0.48</v>
      </c>
      <c r="K23" s="50">
        <v>353.72</v>
      </c>
      <c r="L23" s="50">
        <v>35.35</v>
      </c>
      <c r="M23" s="50">
        <v>54.55</v>
      </c>
      <c r="N23" s="50">
        <v>706.9</v>
      </c>
      <c r="O23" s="50">
        <v>0</v>
      </c>
      <c r="P23" s="50">
        <v>0.62</v>
      </c>
      <c r="Q23" s="50">
        <v>4.46</v>
      </c>
    </row>
    <row r="24" spans="1:17" customFormat="1">
      <c r="A24" s="49">
        <v>45171.666666666664</v>
      </c>
      <c r="B24" s="50">
        <v>8.92</v>
      </c>
      <c r="C24" s="50">
        <v>19.95</v>
      </c>
      <c r="D24" s="50">
        <v>18.93</v>
      </c>
      <c r="E24" s="50">
        <v>6.93</v>
      </c>
      <c r="F24" s="50">
        <v>14.9</v>
      </c>
      <c r="G24" s="50">
        <v>60.84</v>
      </c>
      <c r="H24" s="50">
        <v>18.11</v>
      </c>
      <c r="I24" s="50">
        <v>5.12</v>
      </c>
      <c r="J24" s="50">
        <v>0.28000000000000003</v>
      </c>
      <c r="K24" s="50">
        <v>340.56</v>
      </c>
      <c r="L24" s="50">
        <v>34.159999999999997</v>
      </c>
      <c r="M24" s="50">
        <v>59.98</v>
      </c>
      <c r="N24" s="50">
        <v>146.19999999999999</v>
      </c>
      <c r="O24" s="50">
        <v>0</v>
      </c>
      <c r="P24" s="50">
        <v>0.6</v>
      </c>
      <c r="Q24" s="50">
        <v>4.4800000000000004</v>
      </c>
    </row>
    <row r="25" spans="1:17" customFormat="1">
      <c r="A25" s="49">
        <v>45171.708333333336</v>
      </c>
      <c r="B25" s="50">
        <v>11.78</v>
      </c>
      <c r="C25" s="50">
        <v>21.75</v>
      </c>
      <c r="D25" s="50">
        <v>22.04</v>
      </c>
      <c r="E25" s="50">
        <v>8.4600000000000009</v>
      </c>
      <c r="F25" s="50">
        <v>21.2</v>
      </c>
      <c r="G25" s="50">
        <v>70.430000000000007</v>
      </c>
      <c r="H25" s="50">
        <v>18.28</v>
      </c>
      <c r="I25" s="50">
        <v>4.72</v>
      </c>
      <c r="J25" s="50">
        <v>0.28999999999999998</v>
      </c>
      <c r="K25" s="50">
        <v>195.68</v>
      </c>
      <c r="L25" s="50">
        <v>32.869999999999997</v>
      </c>
      <c r="M25" s="50">
        <v>74.650000000000006</v>
      </c>
      <c r="N25" s="50">
        <v>63.6</v>
      </c>
      <c r="O25" s="50">
        <v>0</v>
      </c>
      <c r="P25" s="50">
        <v>0.64</v>
      </c>
      <c r="Q25" s="50">
        <v>4.5599999999999996</v>
      </c>
    </row>
    <row r="26" spans="1:17" customFormat="1">
      <c r="A26" s="49">
        <v>45171.75</v>
      </c>
      <c r="B26" s="50">
        <v>8.92</v>
      </c>
      <c r="C26" s="50">
        <v>17.100000000000001</v>
      </c>
      <c r="D26" s="50">
        <v>17.440000000000001</v>
      </c>
      <c r="E26" s="50">
        <v>7.1</v>
      </c>
      <c r="F26" s="50">
        <v>21.26</v>
      </c>
      <c r="G26" s="50">
        <v>71.06</v>
      </c>
      <c r="H26" s="50">
        <v>18.28</v>
      </c>
      <c r="I26" s="50">
        <v>3.93</v>
      </c>
      <c r="J26" s="50">
        <v>0.82</v>
      </c>
      <c r="K26" s="50">
        <v>312.95999999999998</v>
      </c>
      <c r="L26" s="50">
        <v>31.33</v>
      </c>
      <c r="M26" s="50">
        <v>80.489999999999995</v>
      </c>
      <c r="N26" s="50">
        <v>17.100000000000001</v>
      </c>
      <c r="O26" s="50">
        <v>11.2</v>
      </c>
      <c r="P26" s="50">
        <v>0.56999999999999995</v>
      </c>
      <c r="Q26" s="50">
        <v>4.57</v>
      </c>
    </row>
    <row r="27" spans="1:17" customFormat="1">
      <c r="A27" s="49">
        <v>45171.791666666664</v>
      </c>
      <c r="B27" s="50">
        <v>7.87</v>
      </c>
      <c r="C27" s="50">
        <v>19.14</v>
      </c>
      <c r="D27" s="50">
        <v>17.37</v>
      </c>
      <c r="E27" s="50">
        <v>6.28</v>
      </c>
      <c r="F27" s="50">
        <v>8.8000000000000007</v>
      </c>
      <c r="G27" s="50">
        <v>57.47</v>
      </c>
      <c r="H27" s="50">
        <v>14.62</v>
      </c>
      <c r="I27" s="50">
        <v>4.74</v>
      </c>
      <c r="J27" s="50">
        <v>0.52</v>
      </c>
      <c r="K27" s="50">
        <v>277.33</v>
      </c>
      <c r="L27" s="50">
        <v>24.73</v>
      </c>
      <c r="M27" s="50">
        <v>100.13</v>
      </c>
      <c r="N27" s="50">
        <v>0</v>
      </c>
      <c r="O27" s="50">
        <v>2</v>
      </c>
      <c r="P27" s="50">
        <v>0.54</v>
      </c>
      <c r="Q27" s="50">
        <v>4.42</v>
      </c>
    </row>
    <row r="28" spans="1:17" customFormat="1">
      <c r="A28" s="49">
        <v>45171.833333333336</v>
      </c>
      <c r="B28" s="50">
        <v>8.1999999999999993</v>
      </c>
      <c r="C28" s="50">
        <v>19.93</v>
      </c>
      <c r="D28" s="50">
        <v>18.100000000000001</v>
      </c>
      <c r="E28" s="50">
        <v>6.81</v>
      </c>
      <c r="F28" s="50">
        <v>7.63</v>
      </c>
      <c r="G28" s="50">
        <v>39.61</v>
      </c>
      <c r="H28" s="50">
        <v>12.39</v>
      </c>
      <c r="I28" s="50">
        <v>4.88</v>
      </c>
      <c r="J28" s="50">
        <v>0.56000000000000005</v>
      </c>
      <c r="K28" s="50">
        <v>261.02999999999997</v>
      </c>
      <c r="L28" s="50">
        <v>25.33</v>
      </c>
      <c r="M28" s="50">
        <v>100.82</v>
      </c>
      <c r="N28" s="50">
        <v>0</v>
      </c>
      <c r="O28" s="50">
        <v>0</v>
      </c>
      <c r="P28" s="50">
        <v>0.56000000000000005</v>
      </c>
      <c r="Q28" s="50">
        <v>4.49</v>
      </c>
    </row>
    <row r="29" spans="1:17" customFormat="1">
      <c r="A29" s="49">
        <v>45171.875</v>
      </c>
      <c r="B29" s="50">
        <v>8.4600000000000009</v>
      </c>
      <c r="C29" s="50">
        <v>18.27</v>
      </c>
      <c r="D29" s="50">
        <v>17.420000000000002</v>
      </c>
      <c r="E29" s="50">
        <v>6.68</v>
      </c>
      <c r="F29" s="50">
        <v>6.24</v>
      </c>
      <c r="G29" s="50">
        <v>24.62</v>
      </c>
      <c r="H29" s="50">
        <v>10.93</v>
      </c>
      <c r="I29" s="50">
        <v>4.83</v>
      </c>
      <c r="J29" s="50">
        <v>0.36</v>
      </c>
      <c r="K29" s="50">
        <v>253.52</v>
      </c>
      <c r="L29" s="50">
        <v>25.38</v>
      </c>
      <c r="M29" s="50">
        <v>97.78</v>
      </c>
      <c r="N29" s="50">
        <v>0</v>
      </c>
      <c r="O29" s="50">
        <v>0</v>
      </c>
      <c r="P29" s="50">
        <v>0.56000000000000005</v>
      </c>
      <c r="Q29" s="50">
        <v>4.45</v>
      </c>
    </row>
    <row r="30" spans="1:17" customFormat="1">
      <c r="A30" s="49">
        <v>45171.916666666664</v>
      </c>
      <c r="B30" s="50">
        <v>8.3000000000000007</v>
      </c>
      <c r="C30" s="50">
        <v>16.96</v>
      </c>
      <c r="D30" s="50">
        <v>16.87</v>
      </c>
      <c r="E30" s="50">
        <v>6.28</v>
      </c>
      <c r="F30" s="50">
        <v>7.54</v>
      </c>
      <c r="G30" s="50">
        <v>18.86</v>
      </c>
      <c r="H30" s="50">
        <v>7.66</v>
      </c>
      <c r="I30" s="50">
        <v>4.78</v>
      </c>
      <c r="J30" s="50">
        <v>0.21</v>
      </c>
      <c r="K30" s="50">
        <v>242.17</v>
      </c>
      <c r="L30" s="50">
        <v>25.28</v>
      </c>
      <c r="M30" s="50">
        <v>95.65</v>
      </c>
      <c r="N30" s="50">
        <v>0</v>
      </c>
      <c r="O30" s="50">
        <v>0</v>
      </c>
      <c r="P30" s="50">
        <v>0.53</v>
      </c>
      <c r="Q30" s="50">
        <v>4.42</v>
      </c>
    </row>
    <row r="31" spans="1:17" customFormat="1">
      <c r="A31" s="49">
        <v>45171.958333333336</v>
      </c>
      <c r="B31" s="50">
        <v>8.65</v>
      </c>
      <c r="C31" s="50">
        <v>16.87</v>
      </c>
      <c r="D31" s="50">
        <v>17.100000000000001</v>
      </c>
      <c r="E31" s="50">
        <v>6.81</v>
      </c>
      <c r="F31" s="50">
        <v>6.77</v>
      </c>
      <c r="G31" s="50">
        <v>12.56</v>
      </c>
      <c r="H31" s="50">
        <v>5.58</v>
      </c>
      <c r="I31" s="50">
        <v>4.72</v>
      </c>
      <c r="J31" s="50">
        <v>0.25</v>
      </c>
      <c r="K31" s="50">
        <v>243.19</v>
      </c>
      <c r="L31" s="50">
        <v>25.69</v>
      </c>
      <c r="M31" s="50">
        <v>95.19</v>
      </c>
      <c r="N31" s="50">
        <v>0</v>
      </c>
      <c r="O31" s="50">
        <v>0</v>
      </c>
      <c r="P31" s="50">
        <v>0.53</v>
      </c>
      <c r="Q31" s="50">
        <v>4.4400000000000004</v>
      </c>
    </row>
    <row r="32" spans="1:17" customFormat="1">
      <c r="A32" s="49">
        <v>45172</v>
      </c>
      <c r="B32" s="50">
        <v>8.32</v>
      </c>
      <c r="C32" s="50">
        <v>16.97</v>
      </c>
      <c r="D32" s="50">
        <v>16.82</v>
      </c>
      <c r="E32" s="50">
        <v>6.68</v>
      </c>
      <c r="F32" s="50">
        <v>7.34</v>
      </c>
      <c r="G32" s="50">
        <v>17.27</v>
      </c>
      <c r="H32" s="50">
        <v>6.33</v>
      </c>
      <c r="I32" s="50">
        <v>4.47</v>
      </c>
      <c r="J32" s="50">
        <v>0.49</v>
      </c>
      <c r="K32" s="50">
        <v>273.91000000000003</v>
      </c>
      <c r="L32" s="50">
        <v>25.68</v>
      </c>
      <c r="M32" s="50">
        <v>94.56</v>
      </c>
      <c r="N32" s="50">
        <v>0</v>
      </c>
      <c r="O32" s="50">
        <v>0</v>
      </c>
      <c r="P32" s="50">
        <v>0.51</v>
      </c>
      <c r="Q32" s="50">
        <v>4.4400000000000004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7.77</v>
      </c>
      <c r="C34" s="40">
        <f t="shared" si="0"/>
        <v>13.65</v>
      </c>
      <c r="D34" s="40">
        <f t="shared" si="0"/>
        <v>16.82</v>
      </c>
      <c r="E34" s="40">
        <f t="shared" si="0"/>
        <v>6.28</v>
      </c>
      <c r="F34" s="40">
        <f t="shared" si="0"/>
        <v>5.23</v>
      </c>
      <c r="G34" s="40">
        <f t="shared" si="0"/>
        <v>12.56</v>
      </c>
      <c r="H34" s="40">
        <f t="shared" si="0"/>
        <v>5.58</v>
      </c>
      <c r="I34" s="40">
        <f t="shared" si="0"/>
        <v>3.93</v>
      </c>
      <c r="J34" s="40">
        <f t="shared" si="0"/>
        <v>0.13</v>
      </c>
      <c r="K34" s="40">
        <f t="shared" si="0"/>
        <v>47.67</v>
      </c>
      <c r="L34" s="40">
        <f t="shared" si="0"/>
        <v>24.73</v>
      </c>
      <c r="M34" s="40">
        <f t="shared" si="0"/>
        <v>54.55</v>
      </c>
      <c r="N34" s="40">
        <f t="shared" si="0"/>
        <v>0</v>
      </c>
      <c r="O34" s="40">
        <f t="shared" si="0"/>
        <v>0</v>
      </c>
      <c r="P34" s="40">
        <f t="shared" si="0"/>
        <v>0.51</v>
      </c>
      <c r="Q34" s="40">
        <f t="shared" si="0"/>
        <v>4.42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16.29</v>
      </c>
      <c r="C35" s="33">
        <f t="shared" si="1"/>
        <v>22.61</v>
      </c>
      <c r="D35" s="33">
        <f t="shared" si="1"/>
        <v>25.52</v>
      </c>
      <c r="E35" s="33">
        <f t="shared" si="1"/>
        <v>52.61</v>
      </c>
      <c r="F35" s="33">
        <f t="shared" si="1"/>
        <v>21.26</v>
      </c>
      <c r="G35" s="33">
        <f t="shared" si="1"/>
        <v>101.8</v>
      </c>
      <c r="H35" s="33">
        <f t="shared" si="1"/>
        <v>27.66</v>
      </c>
      <c r="I35" s="33">
        <f t="shared" si="1"/>
        <v>7.67</v>
      </c>
      <c r="J35" s="33">
        <f t="shared" si="1"/>
        <v>1.08</v>
      </c>
      <c r="K35" s="33">
        <f t="shared" si="1"/>
        <v>353.72</v>
      </c>
      <c r="L35" s="33">
        <f t="shared" si="1"/>
        <v>35.35</v>
      </c>
      <c r="M35" s="33">
        <f t="shared" si="1"/>
        <v>100.82</v>
      </c>
      <c r="N35" s="33">
        <f t="shared" si="1"/>
        <v>815.4</v>
      </c>
      <c r="O35" s="33">
        <f t="shared" si="1"/>
        <v>11.2</v>
      </c>
      <c r="P35" s="33">
        <f t="shared" si="1"/>
        <v>0.85</v>
      </c>
      <c r="Q35" s="33">
        <f t="shared" si="1"/>
        <v>5.1100000000000003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11.106666666666667</v>
      </c>
      <c r="C36" s="40">
        <f t="shared" si="2"/>
        <v>18.431666666666668</v>
      </c>
      <c r="D36" s="40">
        <f t="shared" si="2"/>
        <v>19.815000000000001</v>
      </c>
      <c r="E36" s="40">
        <f t="shared" si="2"/>
        <v>12.535833333333331</v>
      </c>
      <c r="F36" s="40">
        <f t="shared" si="2"/>
        <v>10.531250000000002</v>
      </c>
      <c r="G36" s="40">
        <f t="shared" si="2"/>
        <v>55.185416666666647</v>
      </c>
      <c r="H36" s="40">
        <f t="shared" si="2"/>
        <v>17.055833333333329</v>
      </c>
      <c r="I36" s="40">
        <f t="shared" si="2"/>
        <v>5.9958333333333327</v>
      </c>
      <c r="J36" s="40">
        <f t="shared" si="2"/>
        <v>0.39916666666666673</v>
      </c>
      <c r="K36" s="40">
        <f t="shared" si="2"/>
        <v>241.76958333333332</v>
      </c>
      <c r="L36" s="40">
        <f t="shared" si="2"/>
        <v>29.630000000000006</v>
      </c>
      <c r="M36" s="40">
        <f t="shared" si="2"/>
        <v>82.861666666666679</v>
      </c>
      <c r="N36" s="40">
        <f t="shared" si="2"/>
        <v>198.01250000000002</v>
      </c>
      <c r="O36" s="40">
        <f t="shared" si="2"/>
        <v>0.54999999999999993</v>
      </c>
      <c r="P36" s="40">
        <f t="shared" si="2"/>
        <v>0.67541666666666667</v>
      </c>
      <c r="Q36" s="40">
        <f t="shared" si="2"/>
        <v>4.6958333333333329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2.7912046124219949</v>
      </c>
      <c r="C37" s="40">
        <f t="shared" ref="C37:Q37" si="3">STDEV(C9:C32)</f>
        <v>2.4925936669272337</v>
      </c>
      <c r="D37" s="40">
        <f t="shared" si="3"/>
        <v>2.9417859112834903</v>
      </c>
      <c r="E37" s="40">
        <f t="shared" si="3"/>
        <v>11.957036100925709</v>
      </c>
      <c r="F37" s="40">
        <f t="shared" si="3"/>
        <v>5.0031992482202092</v>
      </c>
      <c r="G37" s="40">
        <f t="shared" si="3"/>
        <v>26.794071696547221</v>
      </c>
      <c r="H37" s="40">
        <f t="shared" si="3"/>
        <v>6.6559061165166815</v>
      </c>
      <c r="I37" s="40">
        <f t="shared" si="3"/>
        <v>1.1614717674858357</v>
      </c>
      <c r="J37" s="40">
        <f t="shared" si="3"/>
        <v>0.26852117828656602</v>
      </c>
      <c r="K37" s="40">
        <f t="shared" si="3"/>
        <v>78.419344246128276</v>
      </c>
      <c r="L37" s="40">
        <f t="shared" si="3"/>
        <v>3.8405807984684799</v>
      </c>
      <c r="M37" s="40">
        <f t="shared" si="3"/>
        <v>15.212628525888139</v>
      </c>
      <c r="N37" s="40">
        <f t="shared" si="3"/>
        <v>293.78526661566059</v>
      </c>
      <c r="O37" s="40">
        <f t="shared" si="3"/>
        <v>2.304815375044925</v>
      </c>
      <c r="P37" s="40">
        <f t="shared" si="3"/>
        <v>0.10930528316388054</v>
      </c>
      <c r="Q37" s="40">
        <f t="shared" si="3"/>
        <v>0.23192796232915297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45172.041666666664</v>
      </c>
      <c r="B9" s="50">
        <v>8.8699999999999992</v>
      </c>
      <c r="C9" s="50">
        <v>16.93</v>
      </c>
      <c r="D9" s="50">
        <v>17.21</v>
      </c>
      <c r="E9" s="50">
        <v>6.69</v>
      </c>
      <c r="F9" s="50">
        <v>7.23</v>
      </c>
      <c r="G9" s="50">
        <v>17.54</v>
      </c>
      <c r="H9" s="50">
        <v>6.46</v>
      </c>
      <c r="I9" s="50">
        <v>4.3099999999999996</v>
      </c>
      <c r="J9" s="50">
        <v>0.36</v>
      </c>
      <c r="K9" s="50">
        <v>263.02999999999997</v>
      </c>
      <c r="L9" s="50">
        <v>25.38</v>
      </c>
      <c r="M9" s="50">
        <v>93.7</v>
      </c>
      <c r="N9" s="50">
        <v>0</v>
      </c>
      <c r="O9" s="50">
        <v>0</v>
      </c>
      <c r="P9" s="50">
        <v>0.5</v>
      </c>
      <c r="Q9" s="50">
        <v>4.4000000000000004</v>
      </c>
    </row>
    <row r="10" spans="1:21" customFormat="1">
      <c r="A10" s="49">
        <v>45172.083333333336</v>
      </c>
      <c r="B10" s="50">
        <v>9.16</v>
      </c>
      <c r="C10" s="50">
        <v>17.34</v>
      </c>
      <c r="D10" s="50">
        <v>17.5</v>
      </c>
      <c r="E10" s="50">
        <v>7.05</v>
      </c>
      <c r="F10" s="50">
        <v>6.36</v>
      </c>
      <c r="G10" s="50">
        <v>12.99</v>
      </c>
      <c r="H10" s="50">
        <v>6.46</v>
      </c>
      <c r="I10" s="50">
        <v>4.32</v>
      </c>
      <c r="J10" s="50">
        <v>0.3</v>
      </c>
      <c r="K10" s="50">
        <v>256.55</v>
      </c>
      <c r="L10" s="50">
        <v>25.33</v>
      </c>
      <c r="M10" s="50">
        <v>94.45</v>
      </c>
      <c r="N10" s="50">
        <v>0</v>
      </c>
      <c r="O10" s="50">
        <v>0</v>
      </c>
      <c r="P10" s="50">
        <v>0.5</v>
      </c>
      <c r="Q10" s="50">
        <v>4.41</v>
      </c>
    </row>
    <row r="11" spans="1:21" customFormat="1">
      <c r="A11" s="49">
        <v>45172.125</v>
      </c>
      <c r="B11" s="50">
        <v>9.39</v>
      </c>
      <c r="C11" s="50">
        <v>16.77</v>
      </c>
      <c r="D11" s="50">
        <v>17.510000000000002</v>
      </c>
      <c r="E11" s="50">
        <v>8.7100000000000009</v>
      </c>
      <c r="F11" s="50">
        <v>6.2</v>
      </c>
      <c r="G11" s="50">
        <v>12.89</v>
      </c>
      <c r="H11" s="50">
        <v>4.58</v>
      </c>
      <c r="I11" s="50">
        <v>4.21</v>
      </c>
      <c r="J11" s="50">
        <v>0.13</v>
      </c>
      <c r="K11" s="50">
        <v>220.14</v>
      </c>
      <c r="L11" s="50">
        <v>25.21</v>
      </c>
      <c r="M11" s="50">
        <v>95.6</v>
      </c>
      <c r="N11" s="50">
        <v>0</v>
      </c>
      <c r="O11" s="50">
        <v>0</v>
      </c>
      <c r="P11" s="50">
        <v>0.48</v>
      </c>
      <c r="Q11" s="50">
        <v>4.42</v>
      </c>
    </row>
    <row r="12" spans="1:21" customFormat="1">
      <c r="A12" s="49">
        <v>45172.166666666664</v>
      </c>
      <c r="B12" s="50">
        <v>9.68</v>
      </c>
      <c r="C12" s="50">
        <v>16.72</v>
      </c>
      <c r="D12" s="50">
        <v>17.84</v>
      </c>
      <c r="E12" s="50">
        <v>8.74</v>
      </c>
      <c r="F12" s="50">
        <v>6.07</v>
      </c>
      <c r="G12" s="50">
        <v>12.98</v>
      </c>
      <c r="H12" s="50">
        <v>3.48</v>
      </c>
      <c r="I12" s="50">
        <v>4.1500000000000004</v>
      </c>
      <c r="J12" s="50">
        <v>0.22</v>
      </c>
      <c r="K12" s="50">
        <v>257.66000000000003</v>
      </c>
      <c r="L12" s="50">
        <v>25.12</v>
      </c>
      <c r="M12" s="50">
        <v>95.8</v>
      </c>
      <c r="N12" s="50">
        <v>0</v>
      </c>
      <c r="O12" s="50">
        <v>0</v>
      </c>
      <c r="P12" s="50">
        <v>0.45</v>
      </c>
      <c r="Q12" s="50">
        <v>4.45</v>
      </c>
    </row>
    <row r="13" spans="1:21" customFormat="1">
      <c r="A13" s="49">
        <v>45172.208333333336</v>
      </c>
      <c r="B13" s="50">
        <v>10.07</v>
      </c>
      <c r="C13" s="50">
        <v>16.62</v>
      </c>
      <c r="D13" s="50">
        <v>18.11</v>
      </c>
      <c r="E13" s="50">
        <v>9.01</v>
      </c>
      <c r="F13" s="50">
        <v>5.56</v>
      </c>
      <c r="G13" s="50">
        <v>11.14</v>
      </c>
      <c r="H13" s="50">
        <v>5.5</v>
      </c>
      <c r="I13" s="50">
        <v>4.09</v>
      </c>
      <c r="J13" s="50">
        <v>0.15</v>
      </c>
      <c r="K13" s="50">
        <v>246.56</v>
      </c>
      <c r="L13" s="50">
        <v>24.98</v>
      </c>
      <c r="M13" s="50">
        <v>97.29</v>
      </c>
      <c r="N13" s="50">
        <v>0</v>
      </c>
      <c r="O13" s="50">
        <v>0</v>
      </c>
      <c r="P13" s="50">
        <v>0.46</v>
      </c>
      <c r="Q13" s="50">
        <v>4.46</v>
      </c>
    </row>
    <row r="14" spans="1:21" customFormat="1">
      <c r="A14" s="49">
        <v>45172.25</v>
      </c>
      <c r="B14" s="50">
        <v>10.51</v>
      </c>
      <c r="C14" s="50">
        <v>16.52</v>
      </c>
      <c r="D14" s="50">
        <v>18.28</v>
      </c>
      <c r="E14" s="50">
        <v>9.35</v>
      </c>
      <c r="F14" s="50">
        <v>5.73</v>
      </c>
      <c r="G14" s="50">
        <v>12.57</v>
      </c>
      <c r="H14" s="50">
        <v>5.5</v>
      </c>
      <c r="I14" s="50">
        <v>4.0599999999999996</v>
      </c>
      <c r="J14" s="50">
        <v>0.27</v>
      </c>
      <c r="K14" s="50">
        <v>256.35000000000002</v>
      </c>
      <c r="L14" s="50">
        <v>25.27</v>
      </c>
      <c r="M14" s="50">
        <v>96.95</v>
      </c>
      <c r="N14" s="50">
        <v>1.6</v>
      </c>
      <c r="O14" s="50">
        <v>0</v>
      </c>
      <c r="P14" s="50">
        <v>0.45</v>
      </c>
      <c r="Q14" s="50">
        <v>4.49</v>
      </c>
    </row>
    <row r="15" spans="1:21" customFormat="1">
      <c r="A15" s="49">
        <v>45172.291666666664</v>
      </c>
      <c r="B15" s="50">
        <v>10.63</v>
      </c>
      <c r="C15" s="50">
        <v>17.03</v>
      </c>
      <c r="D15" s="50">
        <v>18.75</v>
      </c>
      <c r="E15" s="50">
        <v>9.2200000000000006</v>
      </c>
      <c r="F15" s="50">
        <v>6.55</v>
      </c>
      <c r="G15" s="50">
        <v>12.65</v>
      </c>
      <c r="H15" s="50">
        <v>4.55</v>
      </c>
      <c r="I15" s="50">
        <v>4.03</v>
      </c>
      <c r="J15" s="50">
        <v>0.34</v>
      </c>
      <c r="K15" s="50">
        <v>267.93</v>
      </c>
      <c r="L15" s="50">
        <v>25.73</v>
      </c>
      <c r="M15" s="50">
        <v>95.25</v>
      </c>
      <c r="N15" s="50">
        <v>31.8</v>
      </c>
      <c r="O15" s="50">
        <v>0</v>
      </c>
      <c r="P15" s="50">
        <v>0.46</v>
      </c>
      <c r="Q15" s="50">
        <v>4.53</v>
      </c>
    </row>
    <row r="16" spans="1:21" customFormat="1">
      <c r="A16" s="49">
        <v>45172.333333333336</v>
      </c>
      <c r="B16" s="50">
        <v>10.68</v>
      </c>
      <c r="C16" s="50">
        <v>16.989999999999998</v>
      </c>
      <c r="D16" s="50">
        <v>18.77</v>
      </c>
      <c r="E16" s="50">
        <v>9.24</v>
      </c>
      <c r="F16" s="50">
        <v>6.18</v>
      </c>
      <c r="G16" s="50">
        <v>11.39</v>
      </c>
      <c r="H16" s="50">
        <v>4.55</v>
      </c>
      <c r="I16" s="50">
        <v>3.96</v>
      </c>
      <c r="J16" s="50">
        <v>0.18</v>
      </c>
      <c r="K16" s="50">
        <v>264.06</v>
      </c>
      <c r="L16" s="50">
        <v>27.69</v>
      </c>
      <c r="M16" s="50">
        <v>94.21</v>
      </c>
      <c r="N16" s="50">
        <v>203.2</v>
      </c>
      <c r="O16" s="50">
        <v>0</v>
      </c>
      <c r="P16" s="50">
        <v>0.46</v>
      </c>
      <c r="Q16" s="50">
        <v>4.54</v>
      </c>
    </row>
    <row r="17" spans="1:17" customFormat="1">
      <c r="A17" s="49">
        <v>45172.375</v>
      </c>
      <c r="B17" s="50">
        <v>10.43</v>
      </c>
      <c r="C17" s="50">
        <v>15.1</v>
      </c>
      <c r="D17" s="50">
        <v>17.52</v>
      </c>
      <c r="E17" s="50">
        <v>8.84</v>
      </c>
      <c r="F17" s="50">
        <v>6.63</v>
      </c>
      <c r="G17" s="50">
        <v>13.25</v>
      </c>
      <c r="H17" s="50">
        <v>3.24</v>
      </c>
      <c r="I17" s="50">
        <v>4.37</v>
      </c>
      <c r="J17" s="50">
        <v>0.2</v>
      </c>
      <c r="K17" s="50">
        <v>251.23</v>
      </c>
      <c r="L17" s="50">
        <v>27.58</v>
      </c>
      <c r="M17" s="50">
        <v>95.13</v>
      </c>
      <c r="N17" s="50">
        <v>124.3</v>
      </c>
      <c r="O17" s="50">
        <v>0.6</v>
      </c>
      <c r="P17" s="50">
        <v>0.51</v>
      </c>
      <c r="Q17" s="50">
        <v>4.51</v>
      </c>
    </row>
    <row r="18" spans="1:17" customFormat="1">
      <c r="A18" s="49">
        <v>45172.416666666664</v>
      </c>
      <c r="B18" s="50">
        <v>11.28</v>
      </c>
      <c r="C18" s="50">
        <v>17.010000000000002</v>
      </c>
      <c r="D18" s="50">
        <v>18.82</v>
      </c>
      <c r="E18" s="50">
        <v>9.16</v>
      </c>
      <c r="F18" s="50">
        <v>6.72</v>
      </c>
      <c r="G18" s="50">
        <v>18.8</v>
      </c>
      <c r="H18" s="50">
        <v>4.3</v>
      </c>
      <c r="I18" s="50">
        <v>5.01</v>
      </c>
      <c r="J18" s="50">
        <v>0.43</v>
      </c>
      <c r="K18" s="50">
        <v>212.16</v>
      </c>
      <c r="L18" s="50">
        <v>27.02</v>
      </c>
      <c r="M18" s="50">
        <v>97.6</v>
      </c>
      <c r="N18" s="50">
        <v>125.4</v>
      </c>
      <c r="O18" s="50">
        <v>2.2000000000000002</v>
      </c>
      <c r="P18" s="50">
        <v>0.59</v>
      </c>
      <c r="Q18" s="50">
        <v>4.5199999999999996</v>
      </c>
    </row>
    <row r="19" spans="1:17" customFormat="1">
      <c r="A19" s="49">
        <v>45172.458333333336</v>
      </c>
      <c r="B19" s="50">
        <v>9.69</v>
      </c>
      <c r="C19" s="50">
        <v>18.41</v>
      </c>
      <c r="D19" s="50">
        <v>18.440000000000001</v>
      </c>
      <c r="E19" s="50">
        <v>7.49</v>
      </c>
      <c r="F19" s="50">
        <v>5.39</v>
      </c>
      <c r="G19" s="50">
        <v>19.12</v>
      </c>
      <c r="H19" s="50">
        <v>5.96</v>
      </c>
      <c r="I19" s="50">
        <v>5.0199999999999996</v>
      </c>
      <c r="J19" s="50">
        <v>0.79</v>
      </c>
      <c r="K19" s="50">
        <v>301.14</v>
      </c>
      <c r="L19" s="50">
        <v>24.29</v>
      </c>
      <c r="M19" s="50">
        <v>99.68</v>
      </c>
      <c r="N19" s="50">
        <v>12.3</v>
      </c>
      <c r="O19" s="50">
        <v>4.5999999999999996</v>
      </c>
      <c r="P19" s="50">
        <v>0.55000000000000004</v>
      </c>
      <c r="Q19" s="50">
        <v>4.49</v>
      </c>
    </row>
    <row r="20" spans="1:17" customFormat="1">
      <c r="A20" s="49">
        <v>45172.5</v>
      </c>
      <c r="B20" s="50">
        <v>10.4</v>
      </c>
      <c r="C20" s="50">
        <v>19.170000000000002</v>
      </c>
      <c r="D20" s="50">
        <v>19.420000000000002</v>
      </c>
      <c r="E20" s="50">
        <v>7.65</v>
      </c>
      <c r="F20" s="50">
        <v>5.13</v>
      </c>
      <c r="G20" s="50">
        <v>15.34</v>
      </c>
      <c r="H20" s="50">
        <v>5.96</v>
      </c>
      <c r="I20" s="50">
        <v>4.74</v>
      </c>
      <c r="J20" s="50">
        <v>0.21</v>
      </c>
      <c r="K20" s="50">
        <v>342.93</v>
      </c>
      <c r="L20" s="50">
        <v>24.82</v>
      </c>
      <c r="M20" s="50">
        <v>100.7</v>
      </c>
      <c r="N20" s="50">
        <v>116.9</v>
      </c>
      <c r="O20" s="50">
        <v>0.2</v>
      </c>
      <c r="P20" s="50">
        <v>0.56999999999999995</v>
      </c>
      <c r="Q20" s="50">
        <v>4.57</v>
      </c>
    </row>
    <row r="21" spans="1:17" customFormat="1">
      <c r="A21" s="49">
        <v>45172.541666666664</v>
      </c>
      <c r="B21" s="50">
        <v>10.84</v>
      </c>
      <c r="C21" s="50">
        <v>19.93</v>
      </c>
      <c r="D21" s="50">
        <v>20.28</v>
      </c>
      <c r="E21" s="50">
        <v>7.83</v>
      </c>
      <c r="F21" s="50">
        <v>6.87</v>
      </c>
      <c r="G21" s="50">
        <v>15.77</v>
      </c>
      <c r="H21" s="50">
        <v>7.08</v>
      </c>
      <c r="I21" s="50">
        <v>4.8099999999999996</v>
      </c>
      <c r="J21" s="50">
        <v>0.27</v>
      </c>
      <c r="K21" s="50">
        <v>277.77</v>
      </c>
      <c r="L21" s="50">
        <v>26.64</v>
      </c>
      <c r="M21" s="50">
        <v>101.18</v>
      </c>
      <c r="N21" s="50">
        <v>214.1</v>
      </c>
      <c r="O21" s="50">
        <v>0</v>
      </c>
      <c r="P21" s="50">
        <v>0.57999999999999996</v>
      </c>
      <c r="Q21" s="50">
        <v>4.6500000000000004</v>
      </c>
    </row>
    <row r="22" spans="1:17" customFormat="1">
      <c r="A22" s="49">
        <v>45172.583333333336</v>
      </c>
      <c r="B22" s="50">
        <v>10.55</v>
      </c>
      <c r="C22" s="50">
        <v>19.75</v>
      </c>
      <c r="D22" s="50">
        <v>20.100000000000001</v>
      </c>
      <c r="E22" s="50">
        <v>8.01</v>
      </c>
      <c r="F22" s="50">
        <v>7.37</v>
      </c>
      <c r="G22" s="50">
        <v>15.79</v>
      </c>
      <c r="H22" s="50">
        <v>7.92</v>
      </c>
      <c r="I22" s="50">
        <v>5</v>
      </c>
      <c r="J22" s="50">
        <v>0.42</v>
      </c>
      <c r="K22" s="50">
        <v>272.3</v>
      </c>
      <c r="L22" s="50">
        <v>29.35</v>
      </c>
      <c r="M22" s="50">
        <v>93.3</v>
      </c>
      <c r="N22" s="50">
        <v>631.6</v>
      </c>
      <c r="O22" s="50">
        <v>0</v>
      </c>
      <c r="P22" s="50">
        <v>0.62</v>
      </c>
      <c r="Q22" s="50">
        <v>4.62</v>
      </c>
    </row>
    <row r="23" spans="1:17" customFormat="1">
      <c r="A23" s="49">
        <v>45172.625</v>
      </c>
      <c r="B23" s="50">
        <v>9.16</v>
      </c>
      <c r="C23" s="50">
        <v>19.89</v>
      </c>
      <c r="D23" s="50">
        <v>18.04</v>
      </c>
      <c r="E23" s="50">
        <v>7.96</v>
      </c>
      <c r="F23" s="50">
        <v>7.43</v>
      </c>
      <c r="G23" s="50">
        <v>17.93</v>
      </c>
      <c r="H23" s="50">
        <v>13.09</v>
      </c>
      <c r="I23" s="50">
        <v>5.25</v>
      </c>
      <c r="J23" s="50">
        <v>0.55000000000000004</v>
      </c>
      <c r="K23" s="50">
        <v>296.02</v>
      </c>
      <c r="L23" s="50">
        <v>29.9</v>
      </c>
      <c r="M23" s="50">
        <v>83.33</v>
      </c>
      <c r="N23" s="50">
        <v>627.1</v>
      </c>
      <c r="O23" s="50">
        <v>0</v>
      </c>
      <c r="P23" s="50">
        <v>0.68</v>
      </c>
      <c r="Q23" s="50">
        <v>4.4800000000000004</v>
      </c>
    </row>
    <row r="24" spans="1:17" customFormat="1">
      <c r="A24" s="49">
        <v>45172.666666666664</v>
      </c>
      <c r="B24" s="50">
        <v>8.02</v>
      </c>
      <c r="C24" s="50">
        <v>19.940000000000001</v>
      </c>
      <c r="D24" s="50">
        <v>18.010000000000002</v>
      </c>
      <c r="E24" s="50">
        <v>8.66</v>
      </c>
      <c r="F24" s="50">
        <v>6.44</v>
      </c>
      <c r="G24" s="50">
        <v>32.369999999999997</v>
      </c>
      <c r="H24" s="50">
        <v>13.09</v>
      </c>
      <c r="I24" s="50">
        <v>6.27</v>
      </c>
      <c r="J24" s="50">
        <v>0.8</v>
      </c>
      <c r="K24" s="50">
        <v>292.54000000000002</v>
      </c>
      <c r="L24" s="50">
        <v>29.45</v>
      </c>
      <c r="M24" s="50">
        <v>83.13</v>
      </c>
      <c r="N24" s="50">
        <v>480.3</v>
      </c>
      <c r="O24" s="50">
        <v>0</v>
      </c>
      <c r="P24" s="50">
        <v>0.79</v>
      </c>
      <c r="Q24" s="50">
        <v>4.46</v>
      </c>
    </row>
    <row r="25" spans="1:17" customFormat="1">
      <c r="A25" s="49">
        <v>45172.708333333336</v>
      </c>
      <c r="B25" s="50">
        <v>7.94</v>
      </c>
      <c r="C25" s="50">
        <v>20.02</v>
      </c>
      <c r="D25" s="50">
        <v>18.18</v>
      </c>
      <c r="E25" s="50">
        <v>8.32</v>
      </c>
      <c r="F25" s="50">
        <v>6.42</v>
      </c>
      <c r="G25" s="50">
        <v>33.21</v>
      </c>
      <c r="H25" s="50">
        <v>10.92</v>
      </c>
      <c r="I25" s="50">
        <v>6.28</v>
      </c>
      <c r="J25" s="50">
        <v>0.64</v>
      </c>
      <c r="K25" s="50">
        <v>301.47000000000003</v>
      </c>
      <c r="L25" s="50">
        <v>28.57</v>
      </c>
      <c r="M25" s="50">
        <v>82.91</v>
      </c>
      <c r="N25" s="50">
        <v>129.1</v>
      </c>
      <c r="O25" s="50">
        <v>0</v>
      </c>
      <c r="P25" s="50">
        <v>0.79</v>
      </c>
      <c r="Q25" s="50">
        <v>4.45</v>
      </c>
    </row>
    <row r="26" spans="1:17" customFormat="1">
      <c r="A26" s="49">
        <v>45172.75</v>
      </c>
      <c r="B26" s="50">
        <v>7.67</v>
      </c>
      <c r="C26" s="50">
        <v>18.36</v>
      </c>
      <c r="D26" s="50">
        <v>17.100000000000001</v>
      </c>
      <c r="E26" s="50">
        <v>6.75</v>
      </c>
      <c r="F26" s="50">
        <v>6.21</v>
      </c>
      <c r="G26" s="50">
        <v>31.57</v>
      </c>
      <c r="H26" s="50">
        <v>8.94</v>
      </c>
      <c r="I26" s="50">
        <v>6.18</v>
      </c>
      <c r="J26" s="50">
        <v>0.65</v>
      </c>
      <c r="K26" s="50">
        <v>272.05</v>
      </c>
      <c r="L26" s="50">
        <v>27.55</v>
      </c>
      <c r="M26" s="50">
        <v>86.55</v>
      </c>
      <c r="N26" s="50">
        <v>55</v>
      </c>
      <c r="O26" s="50">
        <v>0</v>
      </c>
      <c r="P26" s="50">
        <v>0.75</v>
      </c>
      <c r="Q26" s="50">
        <v>4.3899999999999997</v>
      </c>
    </row>
    <row r="27" spans="1:17" customFormat="1">
      <c r="A27" s="49">
        <v>45172.791666666664</v>
      </c>
      <c r="B27" s="50">
        <v>7.71</v>
      </c>
      <c r="C27" s="50">
        <v>19</v>
      </c>
      <c r="D27" s="50">
        <v>17.46</v>
      </c>
      <c r="E27" s="50">
        <v>8.31</v>
      </c>
      <c r="F27" s="50">
        <v>6.66</v>
      </c>
      <c r="G27" s="50">
        <v>27.72</v>
      </c>
      <c r="H27" s="50">
        <v>9.4600000000000009</v>
      </c>
      <c r="I27" s="50">
        <v>5.87</v>
      </c>
      <c r="J27" s="50">
        <v>0.35</v>
      </c>
      <c r="K27" s="50">
        <v>256.47000000000003</v>
      </c>
      <c r="L27" s="50">
        <v>26.74</v>
      </c>
      <c r="M27" s="50">
        <v>91.82</v>
      </c>
      <c r="N27" s="50">
        <v>0</v>
      </c>
      <c r="O27" s="50">
        <v>0</v>
      </c>
      <c r="P27" s="50">
        <v>0.75</v>
      </c>
      <c r="Q27" s="50">
        <v>4.41</v>
      </c>
    </row>
    <row r="28" spans="1:17" customFormat="1">
      <c r="A28" s="49">
        <v>45172.833333333336</v>
      </c>
      <c r="B28" s="50">
        <v>8.3699999999999992</v>
      </c>
      <c r="C28" s="50">
        <v>19.78</v>
      </c>
      <c r="D28" s="50">
        <v>18.25</v>
      </c>
      <c r="E28" s="50">
        <v>8.36</v>
      </c>
      <c r="F28" s="50">
        <v>7.28</v>
      </c>
      <c r="G28" s="50">
        <v>27.86</v>
      </c>
      <c r="H28" s="50">
        <v>9.4600000000000009</v>
      </c>
      <c r="I28" s="50">
        <v>6.2</v>
      </c>
      <c r="J28" s="50">
        <v>0.53</v>
      </c>
      <c r="K28" s="50">
        <v>260.43</v>
      </c>
      <c r="L28" s="50">
        <v>26.01</v>
      </c>
      <c r="M28" s="50">
        <v>91.57</v>
      </c>
      <c r="N28" s="50">
        <v>0</v>
      </c>
      <c r="O28" s="50">
        <v>0</v>
      </c>
      <c r="P28" s="50">
        <v>0.78</v>
      </c>
      <c r="Q28" s="50">
        <v>4.47</v>
      </c>
    </row>
    <row r="29" spans="1:17" customFormat="1">
      <c r="A29" s="49">
        <v>45172.875</v>
      </c>
      <c r="B29" s="50">
        <v>8.5299999999999994</v>
      </c>
      <c r="C29" s="50">
        <v>18.350000000000001</v>
      </c>
      <c r="D29" s="50">
        <v>17.61</v>
      </c>
      <c r="E29" s="50">
        <v>8.6199999999999992</v>
      </c>
      <c r="F29" s="50">
        <v>5.8</v>
      </c>
      <c r="G29" s="50">
        <v>19.61</v>
      </c>
      <c r="H29" s="50">
        <v>8.91</v>
      </c>
      <c r="I29" s="50">
        <v>5.93</v>
      </c>
      <c r="J29" s="50">
        <v>0.15</v>
      </c>
      <c r="K29" s="50">
        <v>258.57</v>
      </c>
      <c r="L29" s="50">
        <v>25.67</v>
      </c>
      <c r="M29" s="50">
        <v>94.85</v>
      </c>
      <c r="N29" s="50">
        <v>0</v>
      </c>
      <c r="O29" s="50">
        <v>0</v>
      </c>
      <c r="P29" s="50">
        <v>0.76</v>
      </c>
      <c r="Q29" s="50">
        <v>4.41</v>
      </c>
    </row>
    <row r="30" spans="1:17" customFormat="1">
      <c r="A30" s="49">
        <v>45172.916666666664</v>
      </c>
      <c r="B30" s="50">
        <v>8.73</v>
      </c>
      <c r="C30" s="50">
        <v>17.34</v>
      </c>
      <c r="D30" s="50">
        <v>17.41</v>
      </c>
      <c r="E30" s="50">
        <v>8.4499999999999993</v>
      </c>
      <c r="F30" s="50">
        <v>6.62</v>
      </c>
      <c r="G30" s="50">
        <v>19.510000000000002</v>
      </c>
      <c r="H30" s="50">
        <v>6.69</v>
      </c>
      <c r="I30" s="50">
        <v>5.76</v>
      </c>
      <c r="J30" s="50">
        <v>0.28999999999999998</v>
      </c>
      <c r="K30" s="50">
        <v>260.43</v>
      </c>
      <c r="L30" s="50">
        <v>25.59</v>
      </c>
      <c r="M30" s="50">
        <v>95.77</v>
      </c>
      <c r="N30" s="50">
        <v>0</v>
      </c>
      <c r="O30" s="50">
        <v>0</v>
      </c>
      <c r="P30" s="50">
        <v>0.72</v>
      </c>
      <c r="Q30" s="50">
        <v>4.41</v>
      </c>
    </row>
    <row r="31" spans="1:17" customFormat="1">
      <c r="A31" s="49">
        <v>45172.958333333336</v>
      </c>
      <c r="B31" s="50">
        <v>9.01</v>
      </c>
      <c r="C31" s="50">
        <v>16.93</v>
      </c>
      <c r="D31" s="50">
        <v>17.420000000000002</v>
      </c>
      <c r="E31" s="50">
        <v>9.2100000000000009</v>
      </c>
      <c r="F31" s="50">
        <v>6.04</v>
      </c>
      <c r="G31" s="50">
        <v>15.59</v>
      </c>
      <c r="H31" s="50">
        <v>6.69</v>
      </c>
      <c r="I31" s="50">
        <v>5.61</v>
      </c>
      <c r="J31" s="50">
        <v>0.37</v>
      </c>
      <c r="K31" s="50">
        <v>259.56</v>
      </c>
      <c r="L31" s="50">
        <v>25.52</v>
      </c>
      <c r="M31" s="50">
        <v>95.7</v>
      </c>
      <c r="N31" s="50">
        <v>0</v>
      </c>
      <c r="O31" s="50">
        <v>0</v>
      </c>
      <c r="P31" s="50">
        <v>0.7</v>
      </c>
      <c r="Q31" s="50">
        <v>4.41</v>
      </c>
    </row>
    <row r="32" spans="1:17" customFormat="1">
      <c r="A32" s="49">
        <v>45173</v>
      </c>
      <c r="B32" s="50">
        <v>9.0500000000000007</v>
      </c>
      <c r="C32" s="50">
        <v>17.309999999999999</v>
      </c>
      <c r="D32" s="50">
        <v>17.649999999999999</v>
      </c>
      <c r="E32" s="50">
        <v>8.85</v>
      </c>
      <c r="F32" s="50">
        <v>5.91</v>
      </c>
      <c r="G32" s="50">
        <v>15.61</v>
      </c>
      <c r="H32" s="50">
        <v>5.99</v>
      </c>
      <c r="I32" s="50">
        <v>5.32</v>
      </c>
      <c r="J32" s="50">
        <v>0.69</v>
      </c>
      <c r="K32" s="50">
        <v>304.88</v>
      </c>
      <c r="L32" s="50">
        <v>25.5</v>
      </c>
      <c r="M32" s="50">
        <v>95.98</v>
      </c>
      <c r="N32" s="50">
        <v>0</v>
      </c>
      <c r="O32" s="50">
        <v>0</v>
      </c>
      <c r="P32" s="50">
        <v>0.68</v>
      </c>
      <c r="Q32" s="50">
        <v>4.41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7.67</v>
      </c>
      <c r="C34" s="40">
        <f t="shared" si="0"/>
        <v>15.1</v>
      </c>
      <c r="D34" s="40">
        <f t="shared" si="0"/>
        <v>17.100000000000001</v>
      </c>
      <c r="E34" s="40">
        <f t="shared" si="0"/>
        <v>6.69</v>
      </c>
      <c r="F34" s="40">
        <f t="shared" si="0"/>
        <v>5.13</v>
      </c>
      <c r="G34" s="40">
        <f t="shared" si="0"/>
        <v>11.14</v>
      </c>
      <c r="H34" s="40">
        <f t="shared" si="0"/>
        <v>3.24</v>
      </c>
      <c r="I34" s="40">
        <f t="shared" si="0"/>
        <v>3.96</v>
      </c>
      <c r="J34" s="40">
        <f t="shared" si="0"/>
        <v>0.13</v>
      </c>
      <c r="K34" s="40">
        <f t="shared" si="0"/>
        <v>212.16</v>
      </c>
      <c r="L34" s="40">
        <f t="shared" si="0"/>
        <v>24.29</v>
      </c>
      <c r="M34" s="40">
        <f t="shared" si="0"/>
        <v>82.91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4.3899999999999997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11.28</v>
      </c>
      <c r="C35" s="33">
        <f t="shared" si="1"/>
        <v>20.02</v>
      </c>
      <c r="D35" s="33">
        <f t="shared" si="1"/>
        <v>20.28</v>
      </c>
      <c r="E35" s="33">
        <f t="shared" si="1"/>
        <v>9.35</v>
      </c>
      <c r="F35" s="33">
        <f t="shared" si="1"/>
        <v>7.43</v>
      </c>
      <c r="G35" s="33">
        <f t="shared" si="1"/>
        <v>33.21</v>
      </c>
      <c r="H35" s="33">
        <f t="shared" si="1"/>
        <v>13.09</v>
      </c>
      <c r="I35" s="33">
        <f t="shared" si="1"/>
        <v>6.28</v>
      </c>
      <c r="J35" s="33">
        <f t="shared" si="1"/>
        <v>0.8</v>
      </c>
      <c r="K35" s="33">
        <f t="shared" si="1"/>
        <v>342.93</v>
      </c>
      <c r="L35" s="33">
        <f t="shared" si="1"/>
        <v>29.9</v>
      </c>
      <c r="M35" s="33">
        <f t="shared" si="1"/>
        <v>101.18</v>
      </c>
      <c r="N35" s="33">
        <f t="shared" si="1"/>
        <v>631.6</v>
      </c>
      <c r="O35" s="33">
        <f t="shared" si="1"/>
        <v>4.5999999999999996</v>
      </c>
      <c r="P35" s="33">
        <f t="shared" si="1"/>
        <v>0.79</v>
      </c>
      <c r="Q35" s="33">
        <f t="shared" si="1"/>
        <v>4.6500000000000004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9.4320833333333347</v>
      </c>
      <c r="C36" s="40">
        <f t="shared" si="2"/>
        <v>17.967083333333331</v>
      </c>
      <c r="D36" s="40">
        <f t="shared" si="2"/>
        <v>18.153333333333336</v>
      </c>
      <c r="E36" s="40">
        <f t="shared" si="2"/>
        <v>8.3533333333333335</v>
      </c>
      <c r="F36" s="40">
        <f t="shared" si="2"/>
        <v>6.3666666666666663</v>
      </c>
      <c r="G36" s="40">
        <f t="shared" si="2"/>
        <v>18.466666666666665</v>
      </c>
      <c r="H36" s="40">
        <f t="shared" si="2"/>
        <v>7.0325000000000015</v>
      </c>
      <c r="I36" s="40">
        <f t="shared" si="2"/>
        <v>5.03125</v>
      </c>
      <c r="J36" s="40">
        <f t="shared" si="2"/>
        <v>0.38708333333333328</v>
      </c>
      <c r="K36" s="40">
        <f t="shared" si="2"/>
        <v>268.84291666666672</v>
      </c>
      <c r="L36" s="40">
        <f t="shared" si="2"/>
        <v>26.454583333333332</v>
      </c>
      <c r="M36" s="40">
        <f t="shared" si="2"/>
        <v>93.852083333333326</v>
      </c>
      <c r="N36" s="40">
        <f t="shared" si="2"/>
        <v>114.69583333333334</v>
      </c>
      <c r="O36" s="40">
        <f t="shared" si="2"/>
        <v>0.31666666666666671</v>
      </c>
      <c r="P36" s="40">
        <f t="shared" si="2"/>
        <v>0.60750000000000004</v>
      </c>
      <c r="Q36" s="40">
        <f t="shared" si="2"/>
        <v>4.4733333333333327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1.0791300004962228</v>
      </c>
      <c r="C37" s="40">
        <f t="shared" ref="C37:Q37" si="3">STDEV(C9:C32)</f>
        <v>1.4198789880055767</v>
      </c>
      <c r="D37" s="40">
        <f t="shared" si="3"/>
        <v>0.85210566127151999</v>
      </c>
      <c r="E37" s="40">
        <f t="shared" si="3"/>
        <v>0.78315785885352418</v>
      </c>
      <c r="F37" s="40">
        <f t="shared" si="3"/>
        <v>0.61528831465007938</v>
      </c>
      <c r="G37" s="40">
        <f t="shared" si="3"/>
        <v>6.8895867653366185</v>
      </c>
      <c r="H37" s="40">
        <f t="shared" si="3"/>
        <v>2.7188796445850838</v>
      </c>
      <c r="I37" s="40">
        <f t="shared" si="3"/>
        <v>0.81606325681924663</v>
      </c>
      <c r="J37" s="40">
        <f t="shared" si="3"/>
        <v>0.20560576811961764</v>
      </c>
      <c r="K37" s="40">
        <f t="shared" si="3"/>
        <v>27.713625510734655</v>
      </c>
      <c r="L37" s="40">
        <f t="shared" si="3"/>
        <v>1.597348289500762</v>
      </c>
      <c r="M37" s="40">
        <f t="shared" si="3"/>
        <v>5.115839834293566</v>
      </c>
      <c r="N37" s="40">
        <f t="shared" si="3"/>
        <v>193.36438339180449</v>
      </c>
      <c r="O37" s="40">
        <f t="shared" si="3"/>
        <v>1.0213659509681638</v>
      </c>
      <c r="P37" s="40">
        <f t="shared" si="3"/>
        <v>0.12539502798547597</v>
      </c>
      <c r="Q37" s="40">
        <f t="shared" si="3"/>
        <v>7.0567061331311964E-2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6.710937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45173.041666666664</v>
      </c>
      <c r="B9" s="50">
        <v>8.6199999999999992</v>
      </c>
      <c r="C9" s="50">
        <v>18.03</v>
      </c>
      <c r="D9" s="50">
        <v>17.12</v>
      </c>
      <c r="E9" s="50">
        <v>8.81</v>
      </c>
      <c r="F9" s="50">
        <v>5.94</v>
      </c>
      <c r="G9" s="50">
        <v>12.91</v>
      </c>
      <c r="H9" s="50">
        <v>4.4000000000000004</v>
      </c>
      <c r="I9" s="50">
        <v>5.1100000000000003</v>
      </c>
      <c r="J9" s="50">
        <v>0.28999999999999998</v>
      </c>
      <c r="K9" s="50">
        <v>306.07</v>
      </c>
      <c r="L9" s="50">
        <v>25.52</v>
      </c>
      <c r="M9" s="50">
        <v>98.75</v>
      </c>
      <c r="N9" s="50">
        <v>0</v>
      </c>
      <c r="O9" s="50">
        <v>1.8</v>
      </c>
      <c r="P9" s="50">
        <v>0.66</v>
      </c>
      <c r="Q9" s="50">
        <v>4.43</v>
      </c>
    </row>
    <row r="10" spans="1:21" customFormat="1">
      <c r="A10" s="49">
        <v>45173.083333333336</v>
      </c>
      <c r="B10" s="50">
        <v>7.35</v>
      </c>
      <c r="C10" s="50">
        <v>17.73</v>
      </c>
      <c r="D10" s="50">
        <v>16.38</v>
      </c>
      <c r="E10" s="50">
        <v>8.49</v>
      </c>
      <c r="F10" s="50">
        <v>5.0199999999999996</v>
      </c>
      <c r="G10" s="50">
        <v>11.94</v>
      </c>
      <c r="H10" s="50">
        <v>4.0599999999999996</v>
      </c>
      <c r="I10" s="50">
        <v>4.97</v>
      </c>
      <c r="J10" s="50">
        <v>0.41</v>
      </c>
      <c r="K10" s="50">
        <v>254.53</v>
      </c>
      <c r="L10" s="50">
        <v>23.31</v>
      </c>
      <c r="M10" s="50">
        <v>100.41</v>
      </c>
      <c r="N10" s="50">
        <v>0</v>
      </c>
      <c r="O10" s="50">
        <v>1.6</v>
      </c>
      <c r="P10" s="50">
        <v>0.62</v>
      </c>
      <c r="Q10" s="50">
        <v>4.3499999999999996</v>
      </c>
    </row>
    <row r="11" spans="1:21" customFormat="1">
      <c r="A11" s="49">
        <v>45173.125</v>
      </c>
      <c r="B11" s="50">
        <v>6.88</v>
      </c>
      <c r="C11" s="50">
        <v>18.07</v>
      </c>
      <c r="D11" s="50">
        <v>16.309999999999999</v>
      </c>
      <c r="E11" s="50">
        <v>6.86</v>
      </c>
      <c r="F11" s="50">
        <v>5.28</v>
      </c>
      <c r="G11" s="50">
        <v>8.74</v>
      </c>
      <c r="H11" s="50">
        <v>2.95</v>
      </c>
      <c r="I11" s="50">
        <v>4.75</v>
      </c>
      <c r="J11" s="50">
        <v>0.64</v>
      </c>
      <c r="K11" s="50">
        <v>270.58</v>
      </c>
      <c r="L11" s="50">
        <v>23.35</v>
      </c>
      <c r="M11" s="50">
        <v>100.74</v>
      </c>
      <c r="N11" s="50">
        <v>0</v>
      </c>
      <c r="O11" s="50">
        <v>0.4</v>
      </c>
      <c r="P11" s="50">
        <v>0.6</v>
      </c>
      <c r="Q11" s="50">
        <v>4.32</v>
      </c>
    </row>
    <row r="12" spans="1:21" customFormat="1">
      <c r="A12" s="49">
        <v>45173.166666666664</v>
      </c>
      <c r="B12" s="50">
        <v>6.87</v>
      </c>
      <c r="C12" s="50">
        <v>18.100000000000001</v>
      </c>
      <c r="D12" s="50">
        <v>16.2</v>
      </c>
      <c r="E12" s="50">
        <v>7.09</v>
      </c>
      <c r="F12" s="50">
        <v>4.8</v>
      </c>
      <c r="G12" s="50">
        <v>6.34</v>
      </c>
      <c r="H12" s="50">
        <v>2.25</v>
      </c>
      <c r="I12" s="50">
        <v>4.58</v>
      </c>
      <c r="J12" s="50">
        <v>0.45</v>
      </c>
      <c r="K12" s="50">
        <v>269.39999999999998</v>
      </c>
      <c r="L12" s="50">
        <v>23.57</v>
      </c>
      <c r="M12" s="50">
        <v>100.86</v>
      </c>
      <c r="N12" s="50">
        <v>0</v>
      </c>
      <c r="O12" s="50">
        <v>0</v>
      </c>
      <c r="P12" s="50">
        <v>0.59</v>
      </c>
      <c r="Q12" s="50">
        <v>4.33</v>
      </c>
    </row>
    <row r="13" spans="1:21" customFormat="1">
      <c r="A13" s="49">
        <v>45173.208333333336</v>
      </c>
      <c r="B13" s="50">
        <v>7.7</v>
      </c>
      <c r="C13" s="50">
        <v>18.38</v>
      </c>
      <c r="D13" s="50">
        <v>16.78</v>
      </c>
      <c r="E13" s="50">
        <v>7.11</v>
      </c>
      <c r="F13" s="50">
        <v>4.74</v>
      </c>
      <c r="G13" s="50">
        <v>4.58</v>
      </c>
      <c r="H13" s="50">
        <v>1.87</v>
      </c>
      <c r="I13" s="50">
        <v>4.51</v>
      </c>
      <c r="J13" s="50">
        <v>0.26</v>
      </c>
      <c r="K13" s="50">
        <v>318.83999999999997</v>
      </c>
      <c r="L13" s="50">
        <v>24</v>
      </c>
      <c r="M13" s="50">
        <v>100.58</v>
      </c>
      <c r="N13" s="50">
        <v>0</v>
      </c>
      <c r="O13" s="50">
        <v>0</v>
      </c>
      <c r="P13" s="50">
        <v>0.56999999999999995</v>
      </c>
      <c r="Q13" s="50">
        <v>4.38</v>
      </c>
    </row>
    <row r="14" spans="1:21" customFormat="1">
      <c r="A14" s="49">
        <v>45173.25</v>
      </c>
      <c r="B14" s="50">
        <v>9.43</v>
      </c>
      <c r="C14" s="50">
        <v>18.86</v>
      </c>
      <c r="D14" s="50">
        <v>18.77</v>
      </c>
      <c r="E14" s="50">
        <v>7.4</v>
      </c>
      <c r="F14" s="50">
        <v>4.6500000000000004</v>
      </c>
      <c r="G14" s="50">
        <v>22.28</v>
      </c>
      <c r="H14" s="50">
        <v>4.54</v>
      </c>
      <c r="I14" s="50">
        <v>4.54</v>
      </c>
      <c r="J14" s="50">
        <v>0.3</v>
      </c>
      <c r="K14" s="50">
        <v>57.37</v>
      </c>
      <c r="L14" s="50">
        <v>24.09</v>
      </c>
      <c r="M14" s="50">
        <v>101.26</v>
      </c>
      <c r="N14" s="50">
        <v>0.3</v>
      </c>
      <c r="O14" s="50">
        <v>0</v>
      </c>
      <c r="P14" s="50">
        <v>0.57999999999999996</v>
      </c>
      <c r="Q14" s="50">
        <v>4.5199999999999996</v>
      </c>
    </row>
    <row r="15" spans="1:21" customFormat="1">
      <c r="A15" s="49">
        <v>45173.291666666664</v>
      </c>
      <c r="B15" s="50">
        <v>10.61</v>
      </c>
      <c r="C15" s="50">
        <v>19.350000000000001</v>
      </c>
      <c r="D15" s="50">
        <v>19.829999999999998</v>
      </c>
      <c r="E15" s="50">
        <v>7.49</v>
      </c>
      <c r="F15" s="50">
        <v>4.6100000000000003</v>
      </c>
      <c r="G15" s="50">
        <v>33.54</v>
      </c>
      <c r="H15" s="50">
        <v>6.25</v>
      </c>
      <c r="I15" s="50">
        <v>4.91</v>
      </c>
      <c r="J15" s="50">
        <v>0.09</v>
      </c>
      <c r="K15" s="50">
        <v>355.11</v>
      </c>
      <c r="L15" s="50">
        <v>24.4</v>
      </c>
      <c r="M15" s="50">
        <v>101.56</v>
      </c>
      <c r="N15" s="50">
        <v>14.1</v>
      </c>
      <c r="O15" s="50">
        <v>0.2</v>
      </c>
      <c r="P15" s="50">
        <v>0.61</v>
      </c>
      <c r="Q15" s="50">
        <v>4.6399999999999997</v>
      </c>
    </row>
    <row r="16" spans="1:21" customFormat="1">
      <c r="A16" s="49">
        <v>45173.333333333336</v>
      </c>
      <c r="B16" s="50">
        <v>11.6</v>
      </c>
      <c r="C16" s="50">
        <v>20.28</v>
      </c>
      <c r="D16" s="50">
        <v>20.92</v>
      </c>
      <c r="E16" s="50">
        <v>7.28</v>
      </c>
      <c r="F16" s="50">
        <v>5</v>
      </c>
      <c r="G16" s="50">
        <v>34.75</v>
      </c>
      <c r="H16" s="50">
        <v>6.25</v>
      </c>
      <c r="I16" s="50">
        <v>4.9800000000000004</v>
      </c>
      <c r="J16" s="50">
        <v>0.09</v>
      </c>
      <c r="K16" s="50">
        <v>292.45999999999998</v>
      </c>
      <c r="L16" s="50">
        <v>24.8</v>
      </c>
      <c r="M16" s="50">
        <v>100.05</v>
      </c>
      <c r="N16" s="50">
        <v>46.4</v>
      </c>
      <c r="O16" s="50">
        <v>0</v>
      </c>
      <c r="P16" s="50">
        <v>0.62</v>
      </c>
      <c r="Q16" s="50">
        <v>4.74</v>
      </c>
    </row>
    <row r="17" spans="1:17" customFormat="1">
      <c r="A17" s="49">
        <v>45173.375</v>
      </c>
      <c r="B17" s="50">
        <v>12.08</v>
      </c>
      <c r="C17" s="50">
        <v>19.96</v>
      </c>
      <c r="D17" s="50">
        <v>21.36</v>
      </c>
      <c r="E17" s="50">
        <v>7.29</v>
      </c>
      <c r="F17" s="50">
        <v>4.84</v>
      </c>
      <c r="G17" s="50">
        <v>34.79</v>
      </c>
      <c r="H17" s="50">
        <v>9.0299999999999994</v>
      </c>
      <c r="I17" s="50">
        <v>5.03</v>
      </c>
      <c r="J17" s="50">
        <v>0.17</v>
      </c>
      <c r="K17" s="50">
        <v>245.74</v>
      </c>
      <c r="L17" s="50">
        <v>25.24</v>
      </c>
      <c r="M17" s="50">
        <v>99.31</v>
      </c>
      <c r="N17" s="50">
        <v>68.099999999999994</v>
      </c>
      <c r="O17" s="50">
        <v>0</v>
      </c>
      <c r="P17" s="50">
        <v>0.65</v>
      </c>
      <c r="Q17" s="50">
        <v>4.78</v>
      </c>
    </row>
    <row r="18" spans="1:17" customFormat="1">
      <c r="A18" s="49">
        <v>45173.416666666664</v>
      </c>
      <c r="B18" s="50">
        <v>12.36</v>
      </c>
      <c r="C18" s="50">
        <v>19.21</v>
      </c>
      <c r="D18" s="50">
        <v>21.3</v>
      </c>
      <c r="E18" s="50">
        <v>7.54</v>
      </c>
      <c r="F18" s="50">
        <v>4.97</v>
      </c>
      <c r="G18" s="50">
        <v>37.270000000000003</v>
      </c>
      <c r="H18" s="50">
        <v>14.17</v>
      </c>
      <c r="I18" s="50">
        <v>5.1100000000000003</v>
      </c>
      <c r="J18" s="50">
        <v>0.28999999999999998</v>
      </c>
      <c r="K18" s="50">
        <v>265.2</v>
      </c>
      <c r="L18" s="50">
        <v>26.04</v>
      </c>
      <c r="M18" s="50">
        <v>97.39</v>
      </c>
      <c r="N18" s="50">
        <v>153.1</v>
      </c>
      <c r="O18" s="50">
        <v>0</v>
      </c>
      <c r="P18" s="50">
        <v>0.66</v>
      </c>
      <c r="Q18" s="50">
        <v>4.79</v>
      </c>
    </row>
    <row r="19" spans="1:17" customFormat="1">
      <c r="A19" s="49">
        <v>45173.458333333336</v>
      </c>
      <c r="B19" s="50">
        <v>12.16</v>
      </c>
      <c r="C19" s="50">
        <v>19.86</v>
      </c>
      <c r="D19" s="50">
        <v>21.48</v>
      </c>
      <c r="E19" s="50">
        <v>9.5</v>
      </c>
      <c r="F19" s="50">
        <v>5.55</v>
      </c>
      <c r="G19" s="50">
        <v>37.43</v>
      </c>
      <c r="H19" s="50">
        <v>14.17</v>
      </c>
      <c r="I19" s="50">
        <v>5.28</v>
      </c>
      <c r="J19" s="50">
        <v>0.38</v>
      </c>
      <c r="K19" s="50">
        <v>267.83999999999997</v>
      </c>
      <c r="L19" s="50">
        <v>26.6</v>
      </c>
      <c r="M19" s="50">
        <v>91.49</v>
      </c>
      <c r="N19" s="50">
        <v>194</v>
      </c>
      <c r="O19" s="50">
        <v>0</v>
      </c>
      <c r="P19" s="50">
        <v>0.68</v>
      </c>
      <c r="Q19" s="50">
        <v>4.8</v>
      </c>
    </row>
    <row r="20" spans="1:17" customFormat="1">
      <c r="A20" s="49">
        <v>45173.5</v>
      </c>
      <c r="B20" s="50">
        <v>11.27</v>
      </c>
      <c r="C20" s="50">
        <v>20.170000000000002</v>
      </c>
      <c r="D20" s="50">
        <v>20.93</v>
      </c>
      <c r="E20" s="50">
        <v>9.65</v>
      </c>
      <c r="F20" s="50">
        <v>5.21</v>
      </c>
      <c r="G20" s="50">
        <v>32.659999999999997</v>
      </c>
      <c r="H20" s="50">
        <v>12.31</v>
      </c>
      <c r="I20" s="50">
        <v>5.36</v>
      </c>
      <c r="J20" s="50">
        <v>0.31</v>
      </c>
      <c r="K20" s="50">
        <v>267.48</v>
      </c>
      <c r="L20" s="50">
        <v>27.81</v>
      </c>
      <c r="M20" s="50">
        <v>89.5</v>
      </c>
      <c r="N20" s="50">
        <v>284.89999999999998</v>
      </c>
      <c r="O20" s="50">
        <v>0</v>
      </c>
      <c r="P20" s="50">
        <v>0.7</v>
      </c>
      <c r="Q20" s="50">
        <v>4.75</v>
      </c>
    </row>
    <row r="21" spans="1:17" customFormat="1">
      <c r="A21" s="49">
        <v>45173.541666666664</v>
      </c>
      <c r="B21" s="50">
        <v>10.27</v>
      </c>
      <c r="C21" s="50">
        <v>17.78</v>
      </c>
      <c r="D21" s="50">
        <v>18.88</v>
      </c>
      <c r="E21" s="50">
        <v>9.25</v>
      </c>
      <c r="F21" s="50">
        <v>6.33</v>
      </c>
      <c r="G21" s="50">
        <v>29.68</v>
      </c>
      <c r="H21" s="50">
        <v>12.45</v>
      </c>
      <c r="I21" s="50">
        <v>5.68</v>
      </c>
      <c r="J21" s="50">
        <v>0.26</v>
      </c>
      <c r="K21" s="50">
        <v>259.07</v>
      </c>
      <c r="L21" s="50">
        <v>28.5</v>
      </c>
      <c r="M21" s="50">
        <v>85.22</v>
      </c>
      <c r="N21" s="50">
        <v>356</v>
      </c>
      <c r="O21" s="50">
        <v>0</v>
      </c>
      <c r="P21" s="50">
        <v>0.72</v>
      </c>
      <c r="Q21" s="50">
        <v>4.58</v>
      </c>
    </row>
    <row r="22" spans="1:17" customFormat="1">
      <c r="A22" s="49">
        <v>45173.583333333336</v>
      </c>
      <c r="B22" s="50">
        <v>9.43</v>
      </c>
      <c r="C22" s="50">
        <v>19.170000000000002</v>
      </c>
      <c r="D22" s="50">
        <v>18.93</v>
      </c>
      <c r="E22" s="50">
        <v>9.3800000000000008</v>
      </c>
      <c r="F22" s="50">
        <v>6.38</v>
      </c>
      <c r="G22" s="50">
        <v>27.08</v>
      </c>
      <c r="H22" s="50">
        <v>12.45</v>
      </c>
      <c r="I22" s="50">
        <v>5.83</v>
      </c>
      <c r="J22" s="50">
        <v>0.28000000000000003</v>
      </c>
      <c r="K22" s="50">
        <v>242.5</v>
      </c>
      <c r="L22" s="50">
        <v>29.23</v>
      </c>
      <c r="M22" s="50">
        <v>84.14</v>
      </c>
      <c r="N22" s="50">
        <v>332.6</v>
      </c>
      <c r="O22" s="50">
        <v>0</v>
      </c>
      <c r="P22" s="50">
        <v>0.74</v>
      </c>
      <c r="Q22" s="50">
        <v>4.57</v>
      </c>
    </row>
    <row r="23" spans="1:17" customFormat="1">
      <c r="A23" s="49">
        <v>45173.625</v>
      </c>
      <c r="B23" s="50">
        <v>8.11</v>
      </c>
      <c r="C23" s="50">
        <v>17.57</v>
      </c>
      <c r="D23" s="50">
        <v>16.91</v>
      </c>
      <c r="E23" s="50">
        <v>9.5399999999999991</v>
      </c>
      <c r="F23" s="50">
        <v>8.43</v>
      </c>
      <c r="G23" s="50">
        <v>28.37</v>
      </c>
      <c r="H23" s="50">
        <v>10.1</v>
      </c>
      <c r="I23" s="50">
        <v>5.9</v>
      </c>
      <c r="J23" s="50">
        <v>0.4</v>
      </c>
      <c r="K23" s="50">
        <v>263.3</v>
      </c>
      <c r="L23" s="50">
        <v>29.7</v>
      </c>
      <c r="M23" s="50">
        <v>82.05</v>
      </c>
      <c r="N23" s="50">
        <v>323.5</v>
      </c>
      <c r="O23" s="50">
        <v>0</v>
      </c>
      <c r="P23" s="50">
        <v>0.75</v>
      </c>
      <c r="Q23" s="50">
        <v>4.42</v>
      </c>
    </row>
    <row r="24" spans="1:17" customFormat="1">
      <c r="A24" s="49">
        <v>45173.666666666664</v>
      </c>
      <c r="B24" s="50">
        <v>6.45</v>
      </c>
      <c r="C24" s="50">
        <v>17.71</v>
      </c>
      <c r="D24" s="50">
        <v>15.49</v>
      </c>
      <c r="E24" s="50">
        <v>9.7200000000000006</v>
      </c>
      <c r="F24" s="50">
        <v>9.1300000000000008</v>
      </c>
      <c r="G24" s="50">
        <v>31.69</v>
      </c>
      <c r="H24" s="50">
        <v>12.75</v>
      </c>
      <c r="I24" s="50">
        <v>5.99</v>
      </c>
      <c r="J24" s="50">
        <v>0.41</v>
      </c>
      <c r="K24" s="50">
        <v>254.54</v>
      </c>
      <c r="L24" s="50">
        <v>29.68</v>
      </c>
      <c r="M24" s="50">
        <v>83.14</v>
      </c>
      <c r="N24" s="50">
        <v>247.8</v>
      </c>
      <c r="O24" s="50">
        <v>0</v>
      </c>
      <c r="P24" s="50">
        <v>0.82</v>
      </c>
      <c r="Q24" s="50">
        <v>4.32</v>
      </c>
    </row>
    <row r="25" spans="1:17" customFormat="1">
      <c r="A25" s="49">
        <v>45173.708333333336</v>
      </c>
      <c r="B25" s="50">
        <v>5.25</v>
      </c>
      <c r="C25" s="50">
        <v>18.13</v>
      </c>
      <c r="D25" s="50">
        <v>15.04</v>
      </c>
      <c r="E25" s="50">
        <v>9.33</v>
      </c>
      <c r="F25" s="50">
        <v>13.32</v>
      </c>
      <c r="G25" s="50">
        <v>38.17</v>
      </c>
      <c r="H25" s="50">
        <v>16.13</v>
      </c>
      <c r="I25" s="50">
        <v>6.68</v>
      </c>
      <c r="J25" s="50">
        <v>0.37</v>
      </c>
      <c r="K25" s="50">
        <v>255.46</v>
      </c>
      <c r="L25" s="50">
        <v>29.1</v>
      </c>
      <c r="M25" s="50">
        <v>85.21</v>
      </c>
      <c r="N25" s="50">
        <v>128.4</v>
      </c>
      <c r="O25" s="50">
        <v>0</v>
      </c>
      <c r="P25" s="50">
        <v>0.97</v>
      </c>
      <c r="Q25" s="50">
        <v>4.28</v>
      </c>
    </row>
    <row r="26" spans="1:17" customFormat="1">
      <c r="A26" s="49">
        <v>45173.75</v>
      </c>
      <c r="B26" s="50">
        <v>4.5199999999999996</v>
      </c>
      <c r="C26" s="50">
        <v>15.61</v>
      </c>
      <c r="D26" s="50">
        <v>13.11</v>
      </c>
      <c r="E26" s="50">
        <v>11.38</v>
      </c>
      <c r="F26" s="50">
        <v>17.760000000000002</v>
      </c>
      <c r="G26" s="50">
        <v>39.43</v>
      </c>
      <c r="H26" s="50">
        <v>16.13</v>
      </c>
      <c r="I26" s="50">
        <v>6.99</v>
      </c>
      <c r="J26" s="50">
        <v>0.14000000000000001</v>
      </c>
      <c r="K26" s="50">
        <v>230.94</v>
      </c>
      <c r="L26" s="50">
        <v>28.69</v>
      </c>
      <c r="M26" s="50">
        <v>89.1</v>
      </c>
      <c r="N26" s="50">
        <v>36.200000000000003</v>
      </c>
      <c r="O26" s="50">
        <v>0</v>
      </c>
      <c r="P26" s="50">
        <v>1.19</v>
      </c>
      <c r="Q26" s="50">
        <v>4.22</v>
      </c>
    </row>
    <row r="27" spans="1:17" customFormat="1">
      <c r="A27" s="49">
        <v>45173.791666666664</v>
      </c>
      <c r="B27" s="50">
        <v>5.17</v>
      </c>
      <c r="C27" s="50">
        <v>17.59</v>
      </c>
      <c r="D27" s="50">
        <v>14.69</v>
      </c>
      <c r="E27" s="50">
        <v>8.52</v>
      </c>
      <c r="F27" s="50">
        <v>13.44</v>
      </c>
      <c r="G27" s="50">
        <v>40.340000000000003</v>
      </c>
      <c r="H27" s="50">
        <v>15.33</v>
      </c>
      <c r="I27" s="50">
        <v>8.4</v>
      </c>
      <c r="J27" s="50">
        <v>0.89</v>
      </c>
      <c r="K27" s="50">
        <v>238.77</v>
      </c>
      <c r="L27" s="50">
        <v>27.87</v>
      </c>
      <c r="M27" s="50">
        <v>96.64</v>
      </c>
      <c r="N27" s="50">
        <v>0.4</v>
      </c>
      <c r="O27" s="50">
        <v>3.8</v>
      </c>
      <c r="P27" s="50">
        <v>1.21</v>
      </c>
      <c r="Q27" s="50">
        <v>4.22</v>
      </c>
    </row>
    <row r="28" spans="1:17" customFormat="1">
      <c r="A28" s="49">
        <v>45173.833333333336</v>
      </c>
      <c r="B28" s="50">
        <v>5.25</v>
      </c>
      <c r="C28" s="50">
        <v>19.170000000000002</v>
      </c>
      <c r="D28" s="50">
        <v>15.41</v>
      </c>
      <c r="E28" s="50">
        <v>7.13</v>
      </c>
      <c r="F28" s="50">
        <v>5.91</v>
      </c>
      <c r="G28" s="50">
        <v>40.39</v>
      </c>
      <c r="H28" s="50">
        <v>15.33</v>
      </c>
      <c r="I28" s="50">
        <v>7.6</v>
      </c>
      <c r="J28" s="50">
        <v>0.21</v>
      </c>
      <c r="K28" s="50">
        <v>269.89999999999998</v>
      </c>
      <c r="L28" s="50">
        <v>23.93</v>
      </c>
      <c r="M28" s="50">
        <v>99.02</v>
      </c>
      <c r="N28" s="50">
        <v>0</v>
      </c>
      <c r="O28" s="50">
        <v>0.6</v>
      </c>
      <c r="P28" s="50">
        <v>1.04</v>
      </c>
      <c r="Q28" s="50">
        <v>4.28</v>
      </c>
    </row>
    <row r="29" spans="1:17" customFormat="1">
      <c r="A29" s="49">
        <v>45173.875</v>
      </c>
      <c r="B29" s="50">
        <v>7.54</v>
      </c>
      <c r="C29" s="50">
        <v>20.29</v>
      </c>
      <c r="D29" s="50">
        <v>18</v>
      </c>
      <c r="E29" s="50">
        <v>8</v>
      </c>
      <c r="F29" s="50">
        <v>4.75</v>
      </c>
      <c r="G29" s="50">
        <v>28.49</v>
      </c>
      <c r="H29" s="50">
        <v>13.13</v>
      </c>
      <c r="I29" s="50">
        <v>7.14</v>
      </c>
      <c r="J29" s="50">
        <v>0.39</v>
      </c>
      <c r="K29" s="50">
        <v>341.62</v>
      </c>
      <c r="L29" s="50">
        <v>24.42</v>
      </c>
      <c r="M29" s="50">
        <v>99.36</v>
      </c>
      <c r="N29" s="50">
        <v>0</v>
      </c>
      <c r="O29" s="50">
        <v>0</v>
      </c>
      <c r="P29" s="50">
        <v>1.02</v>
      </c>
      <c r="Q29" s="50">
        <v>4.46</v>
      </c>
    </row>
    <row r="30" spans="1:17" customFormat="1">
      <c r="A30" s="49">
        <v>45173.916666666664</v>
      </c>
      <c r="B30" s="50">
        <v>8.69</v>
      </c>
      <c r="C30" s="50">
        <v>20.7</v>
      </c>
      <c r="D30" s="50">
        <v>19.04</v>
      </c>
      <c r="E30" s="50">
        <v>7.82</v>
      </c>
      <c r="F30" s="50">
        <v>5.58</v>
      </c>
      <c r="G30" s="50">
        <v>31.43</v>
      </c>
      <c r="H30" s="50">
        <v>13.13</v>
      </c>
      <c r="I30" s="50">
        <v>7.14</v>
      </c>
      <c r="J30" s="50">
        <v>0.64</v>
      </c>
      <c r="K30" s="50">
        <v>348.05</v>
      </c>
      <c r="L30" s="50">
        <v>24.49</v>
      </c>
      <c r="M30" s="50">
        <v>98.15</v>
      </c>
      <c r="N30" s="50">
        <v>0</v>
      </c>
      <c r="O30" s="50">
        <v>0.2</v>
      </c>
      <c r="P30" s="50">
        <v>1.02</v>
      </c>
      <c r="Q30" s="50">
        <v>4.58</v>
      </c>
    </row>
    <row r="31" spans="1:17" customFormat="1">
      <c r="A31" s="49">
        <v>45173.958333333336</v>
      </c>
      <c r="B31" s="50">
        <v>9.3000000000000007</v>
      </c>
      <c r="C31" s="50">
        <v>21.29</v>
      </c>
      <c r="D31" s="50">
        <v>19.670000000000002</v>
      </c>
      <c r="E31" s="50">
        <v>7.04</v>
      </c>
      <c r="F31" s="50">
        <v>4.96</v>
      </c>
      <c r="G31" s="50">
        <v>31.56</v>
      </c>
      <c r="H31" s="50">
        <v>12.61</v>
      </c>
      <c r="I31" s="50">
        <v>6.93</v>
      </c>
      <c r="J31" s="50">
        <v>0.5</v>
      </c>
      <c r="K31" s="50">
        <v>351.77</v>
      </c>
      <c r="L31" s="50">
        <v>23.69</v>
      </c>
      <c r="M31" s="50">
        <v>96.96</v>
      </c>
      <c r="N31" s="50">
        <v>0</v>
      </c>
      <c r="O31" s="50">
        <v>0.2</v>
      </c>
      <c r="P31" s="50">
        <v>0.96</v>
      </c>
      <c r="Q31" s="50">
        <v>4.6399999999999997</v>
      </c>
    </row>
    <row r="32" spans="1:17" customFormat="1">
      <c r="A32" s="49">
        <v>45174</v>
      </c>
      <c r="B32" s="50">
        <v>10.36</v>
      </c>
      <c r="C32" s="50">
        <v>21.63</v>
      </c>
      <c r="D32" s="50">
        <v>20.64</v>
      </c>
      <c r="E32" s="50">
        <v>7.39</v>
      </c>
      <c r="F32" s="50">
        <v>4.71</v>
      </c>
      <c r="G32" s="50">
        <v>28.59</v>
      </c>
      <c r="H32" s="50">
        <v>12.61</v>
      </c>
      <c r="I32" s="50">
        <v>6.71</v>
      </c>
      <c r="J32" s="50">
        <v>0.46</v>
      </c>
      <c r="K32" s="50">
        <v>45.42</v>
      </c>
      <c r="L32" s="50">
        <v>23.65</v>
      </c>
      <c r="M32" s="50">
        <v>97.33</v>
      </c>
      <c r="N32" s="50">
        <v>0</v>
      </c>
      <c r="O32" s="50">
        <v>0</v>
      </c>
      <c r="P32" s="50">
        <v>0.95</v>
      </c>
      <c r="Q32" s="50">
        <v>4.6900000000000004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4.5199999999999996</v>
      </c>
      <c r="C34" s="40">
        <f t="shared" si="0"/>
        <v>15.61</v>
      </c>
      <c r="D34" s="40">
        <f t="shared" si="0"/>
        <v>13.11</v>
      </c>
      <c r="E34" s="40">
        <f t="shared" si="0"/>
        <v>6.86</v>
      </c>
      <c r="F34" s="40">
        <f t="shared" si="0"/>
        <v>4.6100000000000003</v>
      </c>
      <c r="G34" s="40">
        <f t="shared" si="0"/>
        <v>4.58</v>
      </c>
      <c r="H34" s="40">
        <f t="shared" si="0"/>
        <v>1.87</v>
      </c>
      <c r="I34" s="40">
        <f t="shared" si="0"/>
        <v>4.51</v>
      </c>
      <c r="J34" s="40">
        <f t="shared" si="0"/>
        <v>0.09</v>
      </c>
      <c r="K34" s="40">
        <f t="shared" si="0"/>
        <v>45.42</v>
      </c>
      <c r="L34" s="40">
        <f t="shared" si="0"/>
        <v>23.31</v>
      </c>
      <c r="M34" s="40">
        <f t="shared" si="0"/>
        <v>82.05</v>
      </c>
      <c r="N34" s="40">
        <f t="shared" si="0"/>
        <v>0</v>
      </c>
      <c r="O34" s="40">
        <f t="shared" si="0"/>
        <v>0</v>
      </c>
      <c r="P34" s="40">
        <f t="shared" si="0"/>
        <v>0.56999999999999995</v>
      </c>
      <c r="Q34" s="40">
        <f t="shared" si="0"/>
        <v>4.22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12.36</v>
      </c>
      <c r="C35" s="33">
        <f t="shared" si="1"/>
        <v>21.63</v>
      </c>
      <c r="D35" s="33">
        <f t="shared" si="1"/>
        <v>21.48</v>
      </c>
      <c r="E35" s="33">
        <f t="shared" si="1"/>
        <v>11.38</v>
      </c>
      <c r="F35" s="33">
        <f t="shared" si="1"/>
        <v>17.760000000000002</v>
      </c>
      <c r="G35" s="33">
        <f t="shared" si="1"/>
        <v>40.39</v>
      </c>
      <c r="H35" s="33">
        <f t="shared" si="1"/>
        <v>16.13</v>
      </c>
      <c r="I35" s="33">
        <f t="shared" si="1"/>
        <v>8.4</v>
      </c>
      <c r="J35" s="33">
        <f t="shared" si="1"/>
        <v>0.89</v>
      </c>
      <c r="K35" s="33">
        <f t="shared" si="1"/>
        <v>355.11</v>
      </c>
      <c r="L35" s="33">
        <f t="shared" si="1"/>
        <v>29.7</v>
      </c>
      <c r="M35" s="33">
        <f t="shared" si="1"/>
        <v>101.56</v>
      </c>
      <c r="N35" s="33">
        <f t="shared" si="1"/>
        <v>356</v>
      </c>
      <c r="O35" s="33">
        <f t="shared" si="1"/>
        <v>3.8</v>
      </c>
      <c r="P35" s="33">
        <f t="shared" si="1"/>
        <v>1.21</v>
      </c>
      <c r="Q35" s="33">
        <f t="shared" si="1"/>
        <v>4.8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8.6362499999999986</v>
      </c>
      <c r="C36" s="40">
        <f t="shared" si="2"/>
        <v>18.943333333333335</v>
      </c>
      <c r="D36" s="40">
        <f t="shared" si="2"/>
        <v>18.049583333333338</v>
      </c>
      <c r="E36" s="40">
        <f t="shared" si="2"/>
        <v>8.2920833333333324</v>
      </c>
      <c r="F36" s="40">
        <f t="shared" si="2"/>
        <v>6.7212500000000013</v>
      </c>
      <c r="G36" s="40">
        <f t="shared" si="2"/>
        <v>28.018749999999997</v>
      </c>
      <c r="H36" s="40">
        <f t="shared" si="2"/>
        <v>10.183333333333335</v>
      </c>
      <c r="I36" s="40">
        <f t="shared" si="2"/>
        <v>5.8383333333333338</v>
      </c>
      <c r="J36" s="40">
        <f t="shared" si="2"/>
        <v>0.35958333333333331</v>
      </c>
      <c r="K36" s="40">
        <f t="shared" si="2"/>
        <v>261.33166666666665</v>
      </c>
      <c r="L36" s="40">
        <f t="shared" si="2"/>
        <v>25.903333333333336</v>
      </c>
      <c r="M36" s="40">
        <f t="shared" si="2"/>
        <v>94.92583333333333</v>
      </c>
      <c r="N36" s="40">
        <f t="shared" si="2"/>
        <v>91.074999999999989</v>
      </c>
      <c r="O36" s="40">
        <f t="shared" si="2"/>
        <v>0.36666666666666664</v>
      </c>
      <c r="P36" s="40">
        <f t="shared" si="2"/>
        <v>0.78874999999999995</v>
      </c>
      <c r="Q36" s="40">
        <f t="shared" si="2"/>
        <v>4.5037499999999993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2.3955408075984779</v>
      </c>
      <c r="C37" s="40">
        <f t="shared" ref="C37:Q37" si="3">STDEV(C9:C32)</f>
        <v>1.4080225624015645</v>
      </c>
      <c r="D37" s="40">
        <f t="shared" si="3"/>
        <v>2.436791331393283</v>
      </c>
      <c r="E37" s="40">
        <f t="shared" si="3"/>
        <v>1.1967128134899483</v>
      </c>
      <c r="F37" s="40">
        <f t="shared" si="3"/>
        <v>3.411580422364517</v>
      </c>
      <c r="G37" s="40">
        <f t="shared" si="3"/>
        <v>11.049656422948987</v>
      </c>
      <c r="H37" s="40">
        <f t="shared" si="3"/>
        <v>4.7797459152650275</v>
      </c>
      <c r="I37" s="40">
        <f t="shared" si="3"/>
        <v>1.1017364423517064</v>
      </c>
      <c r="J37" s="40">
        <f t="shared" si="3"/>
        <v>0.18397729459782877</v>
      </c>
      <c r="K37" s="40">
        <f t="shared" si="3"/>
        <v>74.577389840100537</v>
      </c>
      <c r="L37" s="40">
        <f t="shared" si="3"/>
        <v>2.2861714087409859</v>
      </c>
      <c r="M37" s="40">
        <f t="shared" si="3"/>
        <v>6.6785216514792562</v>
      </c>
      <c r="N37" s="40">
        <f t="shared" si="3"/>
        <v>127.06971126802456</v>
      </c>
      <c r="O37" s="40">
        <f t="shared" si="3"/>
        <v>0.87609145178118131</v>
      </c>
      <c r="P37" s="40">
        <f t="shared" si="3"/>
        <v>0.20150115977657368</v>
      </c>
      <c r="Q37" s="40">
        <f t="shared" si="3"/>
        <v>0.19367863342011823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45174.041666666664</v>
      </c>
      <c r="B9" s="50">
        <v>11.74</v>
      </c>
      <c r="C9" s="50">
        <v>21.78</v>
      </c>
      <c r="D9" s="50">
        <v>21.88</v>
      </c>
      <c r="E9" s="50">
        <v>7.07</v>
      </c>
      <c r="F9" s="50">
        <v>4.58</v>
      </c>
      <c r="G9" s="50">
        <v>26.73</v>
      </c>
      <c r="H9" s="50">
        <v>11.35</v>
      </c>
      <c r="I9" s="50">
        <v>6.47</v>
      </c>
      <c r="J9" s="50">
        <v>0.28000000000000003</v>
      </c>
      <c r="K9" s="50">
        <v>288.58999999999997</v>
      </c>
      <c r="L9" s="50">
        <v>23.76</v>
      </c>
      <c r="M9" s="50">
        <v>98.27</v>
      </c>
      <c r="N9" s="50">
        <v>0</v>
      </c>
      <c r="O9" s="50">
        <v>0</v>
      </c>
      <c r="P9" s="50">
        <v>0.91</v>
      </c>
      <c r="Q9" s="50">
        <v>4.7300000000000004</v>
      </c>
    </row>
    <row r="10" spans="1:21" customFormat="1">
      <c r="A10" s="49">
        <v>45174.083333333336</v>
      </c>
      <c r="B10" s="50">
        <v>11.92</v>
      </c>
      <c r="C10" s="50">
        <v>20.98</v>
      </c>
      <c r="D10" s="50">
        <v>21.77</v>
      </c>
      <c r="E10" s="50">
        <v>6.97</v>
      </c>
      <c r="F10" s="50">
        <v>4.8</v>
      </c>
      <c r="G10" s="50">
        <v>26.89</v>
      </c>
      <c r="H10" s="50">
        <v>8.31</v>
      </c>
      <c r="I10" s="50">
        <v>6.17</v>
      </c>
      <c r="J10" s="50">
        <v>0.1</v>
      </c>
      <c r="K10" s="50">
        <v>324</v>
      </c>
      <c r="L10" s="50">
        <v>23.87</v>
      </c>
      <c r="M10" s="50">
        <v>97.87</v>
      </c>
      <c r="N10" s="50">
        <v>0</v>
      </c>
      <c r="O10" s="50">
        <v>0.4</v>
      </c>
      <c r="P10" s="50">
        <v>0.86</v>
      </c>
      <c r="Q10" s="50">
        <v>4.74</v>
      </c>
    </row>
    <row r="11" spans="1:21" customFormat="1">
      <c r="A11" s="49">
        <v>45174.125</v>
      </c>
      <c r="B11" s="50">
        <v>12.22</v>
      </c>
      <c r="C11" s="50">
        <v>20.81</v>
      </c>
      <c r="D11" s="50">
        <v>21.97</v>
      </c>
      <c r="E11" s="50">
        <v>9.58</v>
      </c>
      <c r="F11" s="50">
        <v>4.95</v>
      </c>
      <c r="G11" s="50">
        <v>20.75</v>
      </c>
      <c r="H11" s="50">
        <v>6.06</v>
      </c>
      <c r="I11" s="50">
        <v>5.9</v>
      </c>
      <c r="J11" s="50">
        <v>0.26</v>
      </c>
      <c r="K11" s="50">
        <v>310.77999999999997</v>
      </c>
      <c r="L11" s="50">
        <v>23.78</v>
      </c>
      <c r="M11" s="50">
        <v>98.16</v>
      </c>
      <c r="N11" s="50">
        <v>0</v>
      </c>
      <c r="O11" s="50">
        <v>0.2</v>
      </c>
      <c r="P11" s="50">
        <v>0.84</v>
      </c>
      <c r="Q11" s="50">
        <v>4.71</v>
      </c>
    </row>
    <row r="12" spans="1:21" customFormat="1">
      <c r="A12" s="49">
        <v>45174.166666666664</v>
      </c>
      <c r="B12" s="50">
        <v>13.32</v>
      </c>
      <c r="C12" s="50">
        <v>21.25</v>
      </c>
      <c r="D12" s="50">
        <v>23.14</v>
      </c>
      <c r="E12" s="50">
        <v>9.93</v>
      </c>
      <c r="F12" s="50">
        <v>4.3899999999999997</v>
      </c>
      <c r="G12" s="50">
        <v>25.62</v>
      </c>
      <c r="H12" s="50">
        <v>8.74</v>
      </c>
      <c r="I12" s="50">
        <v>5.64</v>
      </c>
      <c r="J12" s="50">
        <v>0.19</v>
      </c>
      <c r="K12" s="50">
        <v>274.58999999999997</v>
      </c>
      <c r="L12" s="50">
        <v>23.79</v>
      </c>
      <c r="M12" s="50">
        <v>99.17</v>
      </c>
      <c r="N12" s="50">
        <v>0</v>
      </c>
      <c r="O12" s="50">
        <v>0</v>
      </c>
      <c r="P12" s="50">
        <v>0.81</v>
      </c>
      <c r="Q12" s="50">
        <v>4.82</v>
      </c>
    </row>
    <row r="13" spans="1:21" customFormat="1">
      <c r="A13" s="49">
        <v>45174.208333333336</v>
      </c>
      <c r="B13" s="50">
        <v>14.53</v>
      </c>
      <c r="C13" s="50">
        <v>21.41</v>
      </c>
      <c r="D13" s="50">
        <v>23.96</v>
      </c>
      <c r="E13" s="50">
        <v>9.73</v>
      </c>
      <c r="F13" s="50">
        <v>4.55</v>
      </c>
      <c r="G13" s="50">
        <v>37.21</v>
      </c>
      <c r="H13" s="50">
        <v>12.87</v>
      </c>
      <c r="I13" s="50">
        <v>5.86</v>
      </c>
      <c r="J13" s="50">
        <v>0.12</v>
      </c>
      <c r="K13" s="50">
        <v>182.8</v>
      </c>
      <c r="L13" s="50">
        <v>23.92</v>
      </c>
      <c r="M13" s="50">
        <v>99.09</v>
      </c>
      <c r="N13" s="50">
        <v>0</v>
      </c>
      <c r="O13" s="50">
        <v>0</v>
      </c>
      <c r="P13" s="50">
        <v>0.83</v>
      </c>
      <c r="Q13" s="50">
        <v>4.87</v>
      </c>
    </row>
    <row r="14" spans="1:21" customFormat="1">
      <c r="A14" s="49">
        <v>45174.25</v>
      </c>
      <c r="B14" s="50">
        <v>15.95</v>
      </c>
      <c r="C14" s="50">
        <v>21.8</v>
      </c>
      <c r="D14" s="50">
        <v>25.31</v>
      </c>
      <c r="E14" s="50">
        <v>9.61</v>
      </c>
      <c r="F14" s="50">
        <v>4.5199999999999996</v>
      </c>
      <c r="G14" s="50">
        <v>57.49</v>
      </c>
      <c r="H14" s="50">
        <v>20.98</v>
      </c>
      <c r="I14" s="50">
        <v>6.18</v>
      </c>
      <c r="J14" s="50">
        <v>0.1</v>
      </c>
      <c r="K14" s="50">
        <v>146.68</v>
      </c>
      <c r="L14" s="50">
        <v>24.03</v>
      </c>
      <c r="M14" s="50">
        <v>99.21</v>
      </c>
      <c r="N14" s="50">
        <v>4</v>
      </c>
      <c r="O14" s="50">
        <v>0</v>
      </c>
      <c r="P14" s="50">
        <v>0.83</v>
      </c>
      <c r="Q14" s="50">
        <v>4.99</v>
      </c>
    </row>
    <row r="15" spans="1:21" customFormat="1">
      <c r="A15" s="49">
        <v>45174.291666666664</v>
      </c>
      <c r="B15" s="50">
        <v>17.100000000000001</v>
      </c>
      <c r="C15" s="50">
        <v>22.22</v>
      </c>
      <c r="D15" s="50">
        <v>26.24</v>
      </c>
      <c r="E15" s="50">
        <v>10</v>
      </c>
      <c r="F15" s="50">
        <v>4.74</v>
      </c>
      <c r="G15" s="50">
        <v>70.540000000000006</v>
      </c>
      <c r="H15" s="50">
        <v>21.39</v>
      </c>
      <c r="I15" s="50">
        <v>7.04</v>
      </c>
      <c r="J15" s="50">
        <v>0.23</v>
      </c>
      <c r="K15" s="50">
        <v>95.32</v>
      </c>
      <c r="L15" s="50">
        <v>24.4</v>
      </c>
      <c r="M15" s="50">
        <v>99.56</v>
      </c>
      <c r="N15" s="50">
        <v>21.9</v>
      </c>
      <c r="O15" s="50">
        <v>0</v>
      </c>
      <c r="P15" s="50">
        <v>0.87</v>
      </c>
      <c r="Q15" s="50">
        <v>5.08</v>
      </c>
    </row>
    <row r="16" spans="1:21" customFormat="1">
      <c r="A16" s="49">
        <v>45174.333333333336</v>
      </c>
      <c r="B16" s="50">
        <v>17.91</v>
      </c>
      <c r="C16" s="50">
        <v>22.57</v>
      </c>
      <c r="D16" s="50">
        <v>27.14</v>
      </c>
      <c r="E16" s="50">
        <v>9.6</v>
      </c>
      <c r="F16" s="50">
        <v>5.04</v>
      </c>
      <c r="G16" s="50">
        <v>71.239999999999995</v>
      </c>
      <c r="H16" s="50">
        <v>21.78</v>
      </c>
      <c r="I16" s="50">
        <v>7.07</v>
      </c>
      <c r="J16" s="50">
        <v>0.48</v>
      </c>
      <c r="K16" s="50">
        <v>54.21</v>
      </c>
      <c r="L16" s="50">
        <v>25.49</v>
      </c>
      <c r="M16" s="50">
        <v>97.45</v>
      </c>
      <c r="N16" s="50">
        <v>141.30000000000001</v>
      </c>
      <c r="O16" s="50">
        <v>0</v>
      </c>
      <c r="P16" s="50">
        <v>0.87</v>
      </c>
      <c r="Q16" s="50">
        <v>5.15</v>
      </c>
    </row>
    <row r="17" spans="1:17" customFormat="1">
      <c r="A17" s="49">
        <v>45174.375</v>
      </c>
      <c r="B17" s="50">
        <v>18.62</v>
      </c>
      <c r="C17" s="50">
        <v>22.86</v>
      </c>
      <c r="D17" s="50">
        <v>27.87</v>
      </c>
      <c r="E17" s="50">
        <v>10.38</v>
      </c>
      <c r="F17" s="50">
        <v>5.35</v>
      </c>
      <c r="G17" s="50">
        <v>64.06</v>
      </c>
      <c r="H17" s="50">
        <v>21.78</v>
      </c>
      <c r="I17" s="50">
        <v>6.88</v>
      </c>
      <c r="J17" s="50">
        <v>0.44</v>
      </c>
      <c r="K17" s="50">
        <v>46.77</v>
      </c>
      <c r="L17" s="50">
        <v>26.98</v>
      </c>
      <c r="M17" s="50">
        <v>93.24</v>
      </c>
      <c r="N17" s="50">
        <v>259.8</v>
      </c>
      <c r="O17" s="50">
        <v>0</v>
      </c>
      <c r="P17" s="50">
        <v>0.86</v>
      </c>
      <c r="Q17" s="50">
        <v>5.22</v>
      </c>
    </row>
    <row r="18" spans="1:17" customFormat="1">
      <c r="A18" s="49">
        <v>45174.416666666664</v>
      </c>
      <c r="B18" s="50">
        <v>18.36</v>
      </c>
      <c r="C18" s="50">
        <v>23.58</v>
      </c>
      <c r="D18" s="50">
        <v>28.39</v>
      </c>
      <c r="E18" s="50">
        <v>10.43</v>
      </c>
      <c r="F18" s="50">
        <v>5.67</v>
      </c>
      <c r="G18" s="50">
        <v>53.33</v>
      </c>
      <c r="H18" s="50">
        <v>18.03</v>
      </c>
      <c r="I18" s="50">
        <v>6.61</v>
      </c>
      <c r="J18" s="50">
        <v>0.35</v>
      </c>
      <c r="K18" s="50">
        <v>100.07</v>
      </c>
      <c r="L18" s="50">
        <v>27.44</v>
      </c>
      <c r="M18" s="50">
        <v>85.35</v>
      </c>
      <c r="N18" s="50">
        <v>222.7</v>
      </c>
      <c r="O18" s="50">
        <v>0</v>
      </c>
      <c r="P18" s="50">
        <v>0.85</v>
      </c>
      <c r="Q18" s="50">
        <v>5.23</v>
      </c>
    </row>
    <row r="19" spans="1:17" customFormat="1">
      <c r="A19" s="49">
        <v>45174.458333333336</v>
      </c>
      <c r="B19" s="50">
        <v>17.22</v>
      </c>
      <c r="C19" s="50">
        <v>22.89</v>
      </c>
      <c r="D19" s="50">
        <v>26.8</v>
      </c>
      <c r="E19" s="50">
        <v>9.09</v>
      </c>
      <c r="F19" s="50">
        <v>6.2</v>
      </c>
      <c r="G19" s="50">
        <v>45.85</v>
      </c>
      <c r="H19" s="50">
        <v>18.03</v>
      </c>
      <c r="I19" s="50">
        <v>6.35</v>
      </c>
      <c r="J19" s="50">
        <v>0.43</v>
      </c>
      <c r="K19" s="50">
        <v>131.54</v>
      </c>
      <c r="L19" s="50">
        <v>27.52</v>
      </c>
      <c r="M19" s="50">
        <v>85.18</v>
      </c>
      <c r="N19" s="50">
        <v>196.6</v>
      </c>
      <c r="O19" s="50">
        <v>0</v>
      </c>
      <c r="P19" s="50">
        <v>0.85</v>
      </c>
      <c r="Q19" s="50">
        <v>5.15</v>
      </c>
    </row>
    <row r="20" spans="1:17" customFormat="1">
      <c r="A20" s="49">
        <v>45174.5</v>
      </c>
      <c r="B20" s="50">
        <v>16.07</v>
      </c>
      <c r="C20" s="50">
        <v>22.25</v>
      </c>
      <c r="D20" s="50">
        <v>25.87</v>
      </c>
      <c r="E20" s="50">
        <v>17.7</v>
      </c>
      <c r="F20" s="50">
        <v>12.99</v>
      </c>
      <c r="G20" s="50">
        <v>45.77</v>
      </c>
      <c r="H20" s="50">
        <v>17.41</v>
      </c>
      <c r="I20" s="50">
        <v>6.12</v>
      </c>
      <c r="J20" s="50">
        <v>0.25</v>
      </c>
      <c r="K20" s="50">
        <v>168.89</v>
      </c>
      <c r="L20" s="50">
        <v>30.31</v>
      </c>
      <c r="M20" s="50">
        <v>80.17</v>
      </c>
      <c r="N20" s="50">
        <v>779.6</v>
      </c>
      <c r="O20" s="50">
        <v>0</v>
      </c>
      <c r="P20" s="50">
        <v>0.83</v>
      </c>
      <c r="Q20" s="50">
        <v>5.0999999999999996</v>
      </c>
    </row>
    <row r="21" spans="1:17" customFormat="1">
      <c r="A21" s="49">
        <v>45174.541666666664</v>
      </c>
      <c r="B21" s="50">
        <v>3.71</v>
      </c>
      <c r="C21" s="50">
        <v>19.149999999999999</v>
      </c>
      <c r="D21" s="50">
        <v>14.34</v>
      </c>
      <c r="E21" s="50">
        <v>17.12</v>
      </c>
      <c r="F21" s="50">
        <v>19.29</v>
      </c>
      <c r="G21" s="50">
        <v>42.81</v>
      </c>
      <c r="H21" s="50">
        <v>17.41</v>
      </c>
      <c r="I21" s="50">
        <v>4.84</v>
      </c>
      <c r="J21" s="50">
        <v>0.4</v>
      </c>
      <c r="K21" s="50">
        <v>167.19</v>
      </c>
      <c r="L21" s="50">
        <v>30.95</v>
      </c>
      <c r="M21" s="50">
        <v>73.87</v>
      </c>
      <c r="N21" s="50">
        <v>602.6</v>
      </c>
      <c r="O21" s="50">
        <v>0</v>
      </c>
      <c r="P21" s="50">
        <v>0.71</v>
      </c>
      <c r="Q21" s="50">
        <v>4.3099999999999996</v>
      </c>
    </row>
    <row r="22" spans="1:17" customFormat="1">
      <c r="A22" s="49">
        <v>45174.583333333336</v>
      </c>
      <c r="B22" s="50">
        <v>2</v>
      </c>
      <c r="C22" s="50">
        <v>14.35</v>
      </c>
      <c r="D22" s="50">
        <v>10.45</v>
      </c>
      <c r="E22" s="50">
        <v>7.63</v>
      </c>
      <c r="F22" s="50">
        <v>9.57</v>
      </c>
      <c r="G22" s="50">
        <v>39.270000000000003</v>
      </c>
      <c r="H22" s="50">
        <v>17.16</v>
      </c>
      <c r="I22" s="50">
        <v>3.83</v>
      </c>
      <c r="J22" s="50">
        <v>0.3</v>
      </c>
      <c r="K22" s="50">
        <v>155.04</v>
      </c>
      <c r="L22" s="50">
        <v>31.26</v>
      </c>
      <c r="M22" s="50">
        <v>73.73</v>
      </c>
      <c r="N22" s="50">
        <v>478.3</v>
      </c>
      <c r="O22" s="50">
        <v>0</v>
      </c>
      <c r="P22" s="50">
        <v>0.62</v>
      </c>
      <c r="Q22" s="50">
        <v>4.08</v>
      </c>
    </row>
    <row r="23" spans="1:17" customFormat="1">
      <c r="A23" s="49">
        <v>45174.625</v>
      </c>
      <c r="B23" s="50">
        <v>4.6100000000000003</v>
      </c>
      <c r="C23" s="50">
        <v>13.96</v>
      </c>
      <c r="D23" s="50">
        <v>12.25</v>
      </c>
      <c r="E23" s="50">
        <v>7.58</v>
      </c>
      <c r="F23" s="50">
        <v>15.9</v>
      </c>
      <c r="G23" s="50">
        <v>35.020000000000003</v>
      </c>
      <c r="H23" s="50">
        <v>17.16</v>
      </c>
      <c r="I23" s="50">
        <v>3.82</v>
      </c>
      <c r="J23" s="50">
        <v>0.39</v>
      </c>
      <c r="K23" s="50">
        <v>184.04</v>
      </c>
      <c r="L23" s="50">
        <v>31.42</v>
      </c>
      <c r="M23" s="50">
        <v>72.599999999999994</v>
      </c>
      <c r="N23" s="50">
        <v>560.29999999999995</v>
      </c>
      <c r="O23" s="50">
        <v>0</v>
      </c>
      <c r="P23" s="50">
        <v>0.53</v>
      </c>
      <c r="Q23" s="50">
        <v>5.09</v>
      </c>
    </row>
    <row r="24" spans="1:17" customFormat="1">
      <c r="A24" s="49">
        <v>45174.666666666664</v>
      </c>
      <c r="B24" s="50">
        <v>4.34</v>
      </c>
      <c r="C24" s="50">
        <v>13.85</v>
      </c>
      <c r="D24" s="50">
        <v>12.07</v>
      </c>
      <c r="E24" s="50">
        <v>7.12</v>
      </c>
      <c r="F24" s="50">
        <v>14.04</v>
      </c>
      <c r="G24" s="50">
        <v>30.99</v>
      </c>
      <c r="H24" s="50">
        <v>16.190000000000001</v>
      </c>
      <c r="I24" s="50">
        <v>3.46</v>
      </c>
      <c r="J24" s="50">
        <v>0.4</v>
      </c>
      <c r="K24" s="50">
        <v>182.56</v>
      </c>
      <c r="L24" s="50">
        <v>30.6</v>
      </c>
      <c r="M24" s="50">
        <v>73.83</v>
      </c>
      <c r="N24" s="50">
        <v>337.1</v>
      </c>
      <c r="O24" s="50">
        <v>0</v>
      </c>
      <c r="P24" s="50">
        <v>0.52</v>
      </c>
      <c r="Q24" s="50">
        <v>5.08</v>
      </c>
    </row>
    <row r="25" spans="1:17" customFormat="1">
      <c r="A25" s="49">
        <v>45174.708333333336</v>
      </c>
      <c r="B25" s="50">
        <v>6.69</v>
      </c>
      <c r="C25" s="50">
        <v>16.64</v>
      </c>
      <c r="D25" s="50">
        <v>15.41</v>
      </c>
      <c r="E25" s="50">
        <v>8.84</v>
      </c>
      <c r="F25" s="50">
        <v>10.94</v>
      </c>
      <c r="G25" s="50">
        <v>33.630000000000003</v>
      </c>
      <c r="H25" s="50">
        <v>16.190000000000001</v>
      </c>
      <c r="I25" s="50">
        <v>3.64</v>
      </c>
      <c r="J25" s="50">
        <v>0.44</v>
      </c>
      <c r="K25" s="50">
        <v>83.55</v>
      </c>
      <c r="L25" s="50">
        <v>30.04</v>
      </c>
      <c r="M25" s="50">
        <v>78.08</v>
      </c>
      <c r="N25" s="50">
        <v>146</v>
      </c>
      <c r="O25" s="50">
        <v>0</v>
      </c>
      <c r="P25" s="50">
        <v>0.57999999999999996</v>
      </c>
      <c r="Q25" s="50">
        <v>5.23</v>
      </c>
    </row>
    <row r="26" spans="1:17" customFormat="1">
      <c r="A26" s="49">
        <v>45174.75</v>
      </c>
      <c r="B26" s="50">
        <v>9.43</v>
      </c>
      <c r="C26" s="50">
        <v>20.440000000000001</v>
      </c>
      <c r="D26" s="50">
        <v>19.59</v>
      </c>
      <c r="E26" s="50">
        <v>8.32</v>
      </c>
      <c r="F26" s="50">
        <v>10.91</v>
      </c>
      <c r="G26" s="50">
        <v>41.7</v>
      </c>
      <c r="H26" s="50">
        <v>20.88</v>
      </c>
      <c r="I26" s="50">
        <v>3.65</v>
      </c>
      <c r="J26" s="50">
        <v>0.27</v>
      </c>
      <c r="K26" s="50">
        <v>68.209999999999994</v>
      </c>
      <c r="L26" s="50">
        <v>29.38</v>
      </c>
      <c r="M26" s="50">
        <v>79.64</v>
      </c>
      <c r="N26" s="50">
        <v>62</v>
      </c>
      <c r="O26" s="50">
        <v>0</v>
      </c>
      <c r="P26" s="50">
        <v>0.67</v>
      </c>
      <c r="Q26" s="50">
        <v>5.36</v>
      </c>
    </row>
    <row r="27" spans="1:17" customFormat="1">
      <c r="A27" s="49">
        <v>45174.791666666664</v>
      </c>
      <c r="B27" s="50">
        <v>11.57</v>
      </c>
      <c r="C27" s="50">
        <v>21.68</v>
      </c>
      <c r="D27" s="50">
        <v>21.83</v>
      </c>
      <c r="E27" s="50">
        <v>7.04</v>
      </c>
      <c r="F27" s="50">
        <v>9.93</v>
      </c>
      <c r="G27" s="50">
        <v>46.52</v>
      </c>
      <c r="H27" s="50">
        <v>21.6</v>
      </c>
      <c r="I27" s="50">
        <v>4.22</v>
      </c>
      <c r="J27" s="50">
        <v>0.4</v>
      </c>
      <c r="K27" s="50">
        <v>67.41</v>
      </c>
      <c r="L27" s="50">
        <v>28.67</v>
      </c>
      <c r="M27" s="50">
        <v>84.53</v>
      </c>
      <c r="N27" s="50">
        <v>0</v>
      </c>
      <c r="O27" s="50">
        <v>0</v>
      </c>
      <c r="P27" s="50">
        <v>0.77</v>
      </c>
      <c r="Q27" s="50">
        <v>5.51</v>
      </c>
    </row>
    <row r="28" spans="1:17" customFormat="1">
      <c r="A28" s="49">
        <v>45174.833333333336</v>
      </c>
      <c r="B28" s="50">
        <v>11.77</v>
      </c>
      <c r="C28" s="50">
        <v>20.57</v>
      </c>
      <c r="D28" s="50">
        <v>21.47</v>
      </c>
      <c r="E28" s="50">
        <v>8.64</v>
      </c>
      <c r="F28" s="50">
        <v>10.59</v>
      </c>
      <c r="G28" s="50">
        <v>47.3</v>
      </c>
      <c r="H28" s="50">
        <v>21.6</v>
      </c>
      <c r="I28" s="50">
        <v>4.4000000000000004</v>
      </c>
      <c r="J28" s="50">
        <v>0.36</v>
      </c>
      <c r="K28" s="50">
        <v>68</v>
      </c>
      <c r="L28" s="50">
        <v>27.9</v>
      </c>
      <c r="M28" s="50">
        <v>89.34</v>
      </c>
      <c r="N28" s="50">
        <v>0</v>
      </c>
      <c r="O28" s="50">
        <v>0</v>
      </c>
      <c r="P28" s="50">
        <v>0.71</v>
      </c>
      <c r="Q28" s="50">
        <v>5.64</v>
      </c>
    </row>
    <row r="29" spans="1:17" customFormat="1">
      <c r="A29" s="49">
        <v>45174.875</v>
      </c>
      <c r="B29" s="50">
        <v>13.12</v>
      </c>
      <c r="C29" s="50">
        <v>21.6</v>
      </c>
      <c r="D29" s="50">
        <v>22.51</v>
      </c>
      <c r="E29" s="50">
        <v>7.17</v>
      </c>
      <c r="F29" s="50">
        <v>7.51</v>
      </c>
      <c r="G29" s="50">
        <v>50.19</v>
      </c>
      <c r="H29" s="50">
        <v>20.58</v>
      </c>
      <c r="I29" s="50">
        <v>4.51</v>
      </c>
      <c r="J29" s="50">
        <v>0.36</v>
      </c>
      <c r="K29" s="50">
        <v>55.01</v>
      </c>
      <c r="L29" s="50">
        <v>27.37</v>
      </c>
      <c r="M29" s="50">
        <v>89.77</v>
      </c>
      <c r="N29" s="50">
        <v>0</v>
      </c>
      <c r="O29" s="50">
        <v>0</v>
      </c>
      <c r="P29" s="50">
        <v>0.75</v>
      </c>
      <c r="Q29" s="50">
        <v>5.78</v>
      </c>
    </row>
    <row r="30" spans="1:17" customFormat="1">
      <c r="A30" s="49">
        <v>45174.916666666664</v>
      </c>
      <c r="B30" s="50">
        <v>15.03</v>
      </c>
      <c r="C30" s="50">
        <v>20.7</v>
      </c>
      <c r="D30" s="50">
        <v>23.73</v>
      </c>
      <c r="E30" s="50">
        <v>7.06</v>
      </c>
      <c r="F30" s="50">
        <v>7.81</v>
      </c>
      <c r="G30" s="50">
        <v>53.23</v>
      </c>
      <c r="H30" s="50">
        <v>20.58</v>
      </c>
      <c r="I30" s="50">
        <v>4.4800000000000004</v>
      </c>
      <c r="J30" s="50">
        <v>0.42</v>
      </c>
      <c r="K30" s="50">
        <v>56.34</v>
      </c>
      <c r="L30" s="50">
        <v>27.08</v>
      </c>
      <c r="M30" s="50">
        <v>92.68</v>
      </c>
      <c r="N30" s="50">
        <v>0</v>
      </c>
      <c r="O30" s="50">
        <v>0</v>
      </c>
      <c r="P30" s="50">
        <v>0.77</v>
      </c>
      <c r="Q30" s="50">
        <v>5.84</v>
      </c>
    </row>
    <row r="31" spans="1:17" customFormat="1">
      <c r="A31" s="49">
        <v>45174.958333333336</v>
      </c>
      <c r="B31" s="50">
        <v>15.56</v>
      </c>
      <c r="C31" s="50">
        <v>21.03</v>
      </c>
      <c r="D31" s="50">
        <v>24.61</v>
      </c>
      <c r="E31" s="50">
        <v>7.6</v>
      </c>
      <c r="F31" s="50">
        <v>7.89</v>
      </c>
      <c r="G31" s="50">
        <v>53.37</v>
      </c>
      <c r="H31" s="50">
        <v>19.18</v>
      </c>
      <c r="I31" s="50">
        <v>4.57</v>
      </c>
      <c r="J31" s="50">
        <v>0.32</v>
      </c>
      <c r="K31" s="50">
        <v>90.98</v>
      </c>
      <c r="L31" s="50">
        <v>26.91</v>
      </c>
      <c r="M31" s="50">
        <v>92.81</v>
      </c>
      <c r="N31" s="50">
        <v>0</v>
      </c>
      <c r="O31" s="50">
        <v>0</v>
      </c>
      <c r="P31" s="50">
        <v>0.73</v>
      </c>
      <c r="Q31" s="50">
        <v>5.96</v>
      </c>
    </row>
    <row r="32" spans="1:17" customFormat="1">
      <c r="A32" s="49">
        <v>45175</v>
      </c>
      <c r="B32" s="50">
        <v>15.76</v>
      </c>
      <c r="C32" s="50">
        <v>20.93</v>
      </c>
      <c r="D32" s="50">
        <v>24.84</v>
      </c>
      <c r="E32" s="50">
        <v>7.29</v>
      </c>
      <c r="F32" s="50">
        <v>7.61</v>
      </c>
      <c r="G32" s="50">
        <v>47.98</v>
      </c>
      <c r="H32" s="50">
        <v>17.63</v>
      </c>
      <c r="I32" s="50">
        <v>4.4800000000000004</v>
      </c>
      <c r="J32" s="50">
        <v>0.2</v>
      </c>
      <c r="K32" s="50">
        <v>124.79</v>
      </c>
      <c r="L32" s="50">
        <v>26.22</v>
      </c>
      <c r="M32" s="50">
        <v>94.73</v>
      </c>
      <c r="N32" s="50">
        <v>0</v>
      </c>
      <c r="O32" s="50">
        <v>0</v>
      </c>
      <c r="P32" s="50">
        <v>0.72</v>
      </c>
      <c r="Q32" s="50">
        <v>5.89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</v>
      </c>
      <c r="C34" s="40">
        <f t="shared" si="0"/>
        <v>13.85</v>
      </c>
      <c r="D34" s="40">
        <f t="shared" si="0"/>
        <v>10.45</v>
      </c>
      <c r="E34" s="40">
        <f t="shared" si="0"/>
        <v>6.97</v>
      </c>
      <c r="F34" s="40">
        <f t="shared" si="0"/>
        <v>4.3899999999999997</v>
      </c>
      <c r="G34" s="40">
        <f t="shared" si="0"/>
        <v>20.75</v>
      </c>
      <c r="H34" s="40">
        <f t="shared" si="0"/>
        <v>6.06</v>
      </c>
      <c r="I34" s="40">
        <f t="shared" si="0"/>
        <v>3.46</v>
      </c>
      <c r="J34" s="40">
        <f t="shared" si="0"/>
        <v>0.1</v>
      </c>
      <c r="K34" s="40">
        <f t="shared" si="0"/>
        <v>46.77</v>
      </c>
      <c r="L34" s="40">
        <f t="shared" si="0"/>
        <v>23.76</v>
      </c>
      <c r="M34" s="40">
        <f t="shared" si="0"/>
        <v>72.599999999999994</v>
      </c>
      <c r="N34" s="40">
        <f t="shared" si="0"/>
        <v>0</v>
      </c>
      <c r="O34" s="40">
        <f t="shared" si="0"/>
        <v>0</v>
      </c>
      <c r="P34" s="40">
        <f t="shared" si="0"/>
        <v>0.52</v>
      </c>
      <c r="Q34" s="40">
        <f t="shared" si="0"/>
        <v>4.08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18.62</v>
      </c>
      <c r="C35" s="33">
        <f t="shared" si="1"/>
        <v>23.58</v>
      </c>
      <c r="D35" s="33">
        <f t="shared" si="1"/>
        <v>28.39</v>
      </c>
      <c r="E35" s="33">
        <f t="shared" si="1"/>
        <v>17.7</v>
      </c>
      <c r="F35" s="33">
        <f t="shared" si="1"/>
        <v>19.29</v>
      </c>
      <c r="G35" s="33">
        <f t="shared" si="1"/>
        <v>71.239999999999995</v>
      </c>
      <c r="H35" s="33">
        <f t="shared" si="1"/>
        <v>21.78</v>
      </c>
      <c r="I35" s="33">
        <f t="shared" si="1"/>
        <v>7.07</v>
      </c>
      <c r="J35" s="33">
        <f t="shared" si="1"/>
        <v>0.48</v>
      </c>
      <c r="K35" s="33">
        <f t="shared" si="1"/>
        <v>324</v>
      </c>
      <c r="L35" s="33">
        <f t="shared" si="1"/>
        <v>31.42</v>
      </c>
      <c r="M35" s="33">
        <f t="shared" si="1"/>
        <v>99.56</v>
      </c>
      <c r="N35" s="33">
        <f t="shared" si="1"/>
        <v>779.6</v>
      </c>
      <c r="O35" s="33">
        <f t="shared" si="1"/>
        <v>0.4</v>
      </c>
      <c r="P35" s="33">
        <f t="shared" si="1"/>
        <v>0.91</v>
      </c>
      <c r="Q35" s="33">
        <f t="shared" si="1"/>
        <v>5.96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12.439583333333333</v>
      </c>
      <c r="C36" s="40">
        <f t="shared" si="2"/>
        <v>20.387499999999999</v>
      </c>
      <c r="D36" s="40">
        <f t="shared" si="2"/>
        <v>21.810000000000002</v>
      </c>
      <c r="E36" s="40">
        <f t="shared" si="2"/>
        <v>9.2291666666666661</v>
      </c>
      <c r="F36" s="40">
        <f t="shared" si="2"/>
        <v>8.3237499999999986</v>
      </c>
      <c r="G36" s="40">
        <f t="shared" si="2"/>
        <v>44.478749999999991</v>
      </c>
      <c r="H36" s="40">
        <f t="shared" si="2"/>
        <v>17.203749999999999</v>
      </c>
      <c r="I36" s="40">
        <f t="shared" si="2"/>
        <v>5.2579166666666675</v>
      </c>
      <c r="J36" s="40">
        <f t="shared" si="2"/>
        <v>0.31208333333333343</v>
      </c>
      <c r="K36" s="40">
        <f t="shared" si="2"/>
        <v>142.80666666666667</v>
      </c>
      <c r="L36" s="40">
        <f t="shared" si="2"/>
        <v>27.212083333333336</v>
      </c>
      <c r="M36" s="40">
        <f t="shared" si="2"/>
        <v>88.680416666666659</v>
      </c>
      <c r="N36" s="40">
        <f t="shared" si="2"/>
        <v>158.84166666666667</v>
      </c>
      <c r="O36" s="40">
        <f t="shared" si="2"/>
        <v>2.5000000000000005E-2</v>
      </c>
      <c r="P36" s="40">
        <f t="shared" si="2"/>
        <v>0.76208333333333333</v>
      </c>
      <c r="Q36" s="40">
        <f t="shared" si="2"/>
        <v>5.1483333333333334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4.9455869473322585</v>
      </c>
      <c r="C37" s="40">
        <f t="shared" ref="C37:Q37" si="3">STDEV(C9:C32)</f>
        <v>2.8011725029537673</v>
      </c>
      <c r="D37" s="40">
        <f t="shared" si="3"/>
        <v>5.2187971294409197</v>
      </c>
      <c r="E37" s="40">
        <f t="shared" si="3"/>
        <v>2.7937584419351831</v>
      </c>
      <c r="F37" s="40">
        <f t="shared" si="3"/>
        <v>4.0783349250484058</v>
      </c>
      <c r="G37" s="40">
        <f t="shared" si="3"/>
        <v>13.617883801792814</v>
      </c>
      <c r="H37" s="40">
        <f t="shared" si="3"/>
        <v>4.5882532553012707</v>
      </c>
      <c r="I37" s="40">
        <f t="shared" si="3"/>
        <v>1.2104543852787553</v>
      </c>
      <c r="J37" s="40">
        <f t="shared" si="3"/>
        <v>0.11275132956573286</v>
      </c>
      <c r="K37" s="40">
        <f t="shared" si="3"/>
        <v>84.908653149782936</v>
      </c>
      <c r="L37" s="40">
        <f t="shared" si="3"/>
        <v>2.671643329434112</v>
      </c>
      <c r="M37" s="40">
        <f t="shared" si="3"/>
        <v>9.5824529305741457</v>
      </c>
      <c r="N37" s="40">
        <f t="shared" si="3"/>
        <v>230.60169861862917</v>
      </c>
      <c r="O37" s="40">
        <f t="shared" si="3"/>
        <v>8.9685440629288141E-2</v>
      </c>
      <c r="P37" s="40">
        <f t="shared" si="3"/>
        <v>0.11127635659128954</v>
      </c>
      <c r="Q37" s="40">
        <f t="shared" si="3"/>
        <v>0.47206914256528099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45175.041666666664</v>
      </c>
      <c r="B9" s="50">
        <v>14.08</v>
      </c>
      <c r="C9" s="50">
        <v>20.69</v>
      </c>
      <c r="D9" s="50">
        <v>23.46</v>
      </c>
      <c r="E9" s="50">
        <v>6.8</v>
      </c>
      <c r="F9" s="50">
        <v>6.07</v>
      </c>
      <c r="G9" s="50">
        <v>34.520000000000003</v>
      </c>
      <c r="H9" s="50">
        <v>14.69</v>
      </c>
      <c r="I9" s="50">
        <v>4.53</v>
      </c>
      <c r="J9" s="50">
        <v>0.4</v>
      </c>
      <c r="K9" s="50">
        <v>123.95</v>
      </c>
      <c r="L9" s="50">
        <v>25.48</v>
      </c>
      <c r="M9" s="50">
        <v>93.81</v>
      </c>
      <c r="N9" s="50">
        <v>0</v>
      </c>
      <c r="O9" s="50">
        <v>0</v>
      </c>
      <c r="P9" s="50">
        <v>0.69</v>
      </c>
      <c r="Q9" s="50">
        <v>5.94</v>
      </c>
    </row>
    <row r="10" spans="1:21" customFormat="1">
      <c r="A10" s="49">
        <v>45175.083333333336</v>
      </c>
      <c r="B10" s="50">
        <v>14.18</v>
      </c>
      <c r="C10" s="50">
        <v>20.03</v>
      </c>
      <c r="D10" s="50">
        <v>23.1</v>
      </c>
      <c r="E10" s="50">
        <v>7.14</v>
      </c>
      <c r="F10" s="50">
        <v>7.13</v>
      </c>
      <c r="G10" s="50">
        <v>31.13</v>
      </c>
      <c r="H10" s="50">
        <v>12.03</v>
      </c>
      <c r="I10" s="50">
        <v>4.46</v>
      </c>
      <c r="J10" s="50">
        <v>0.31</v>
      </c>
      <c r="K10" s="50">
        <v>174.18</v>
      </c>
      <c r="L10" s="50">
        <v>25.28</v>
      </c>
      <c r="M10" s="50">
        <v>94.56</v>
      </c>
      <c r="N10" s="50">
        <v>0</v>
      </c>
      <c r="O10" s="50">
        <v>0</v>
      </c>
      <c r="P10" s="50">
        <v>0.67</v>
      </c>
      <c r="Q10" s="50">
        <v>5.88</v>
      </c>
    </row>
    <row r="11" spans="1:21" customFormat="1">
      <c r="A11" s="49">
        <v>45175.125</v>
      </c>
      <c r="B11" s="50">
        <v>13.76</v>
      </c>
      <c r="C11" s="50">
        <v>19.23</v>
      </c>
      <c r="D11" s="50">
        <v>22.31</v>
      </c>
      <c r="E11" s="50">
        <v>7.96</v>
      </c>
      <c r="F11" s="50">
        <v>6.86</v>
      </c>
      <c r="G11" s="50">
        <v>24.86</v>
      </c>
      <c r="H11" s="50">
        <v>11.19</v>
      </c>
      <c r="I11" s="50">
        <v>4.32</v>
      </c>
      <c r="J11" s="50">
        <v>0.22</v>
      </c>
      <c r="K11" s="50">
        <v>265.62</v>
      </c>
      <c r="L11" s="50">
        <v>25.39</v>
      </c>
      <c r="M11" s="50">
        <v>95.49</v>
      </c>
      <c r="N11" s="50">
        <v>0</v>
      </c>
      <c r="O11" s="50">
        <v>0.2</v>
      </c>
      <c r="P11" s="50">
        <v>0.64</v>
      </c>
      <c r="Q11" s="50">
        <v>5.83</v>
      </c>
    </row>
    <row r="12" spans="1:21" customFormat="1">
      <c r="A12" s="49">
        <v>45175.166666666664</v>
      </c>
      <c r="B12" s="50">
        <v>13.8</v>
      </c>
      <c r="C12" s="50">
        <v>19.63</v>
      </c>
      <c r="D12" s="50">
        <v>22.51</v>
      </c>
      <c r="E12" s="50">
        <v>8.3800000000000008</v>
      </c>
      <c r="F12" s="50">
        <v>6.52</v>
      </c>
      <c r="G12" s="50">
        <v>19.84</v>
      </c>
      <c r="H12" s="50">
        <v>11.19</v>
      </c>
      <c r="I12" s="50">
        <v>4.13</v>
      </c>
      <c r="J12" s="50">
        <v>0.34</v>
      </c>
      <c r="K12" s="50">
        <v>165.86</v>
      </c>
      <c r="L12" s="50">
        <v>25.09</v>
      </c>
      <c r="M12" s="50">
        <v>95.05</v>
      </c>
      <c r="N12" s="50">
        <v>0</v>
      </c>
      <c r="O12" s="50">
        <v>0</v>
      </c>
      <c r="P12" s="50">
        <v>0.63</v>
      </c>
      <c r="Q12" s="50">
        <v>5.8</v>
      </c>
    </row>
    <row r="13" spans="1:21" customFormat="1">
      <c r="A13" s="49">
        <v>45175.208333333336</v>
      </c>
      <c r="B13" s="50">
        <v>13.21</v>
      </c>
      <c r="C13" s="50">
        <v>18.850000000000001</v>
      </c>
      <c r="D13" s="50">
        <v>21.8</v>
      </c>
      <c r="E13" s="50">
        <v>8.2100000000000009</v>
      </c>
      <c r="F13" s="50">
        <v>6.83</v>
      </c>
      <c r="G13" s="50">
        <v>18.440000000000001</v>
      </c>
      <c r="H13" s="50">
        <v>8</v>
      </c>
      <c r="I13" s="50">
        <v>4.07</v>
      </c>
      <c r="J13" s="50">
        <v>0.1</v>
      </c>
      <c r="K13" s="50">
        <v>223.1</v>
      </c>
      <c r="L13" s="50">
        <v>25.36</v>
      </c>
      <c r="M13" s="50">
        <v>95.99</v>
      </c>
      <c r="N13" s="50">
        <v>0</v>
      </c>
      <c r="O13" s="50">
        <v>0</v>
      </c>
      <c r="P13" s="50">
        <v>0.59</v>
      </c>
      <c r="Q13" s="50">
        <v>5.77</v>
      </c>
    </row>
    <row r="14" spans="1:21" customFormat="1">
      <c r="A14" s="49">
        <v>45175.25</v>
      </c>
      <c r="B14" s="50">
        <v>14.5</v>
      </c>
      <c r="C14" s="50">
        <v>18.940000000000001</v>
      </c>
      <c r="D14" s="50">
        <v>22.45</v>
      </c>
      <c r="E14" s="50">
        <v>8.5</v>
      </c>
      <c r="F14" s="50">
        <v>6.3</v>
      </c>
      <c r="G14" s="50">
        <v>15.11</v>
      </c>
      <c r="H14" s="50">
        <v>6.64</v>
      </c>
      <c r="I14" s="50">
        <v>3.95</v>
      </c>
      <c r="J14" s="50">
        <v>0.16</v>
      </c>
      <c r="K14" s="50">
        <v>128.44999999999999</v>
      </c>
      <c r="L14" s="50">
        <v>25.49</v>
      </c>
      <c r="M14" s="50">
        <v>97.57</v>
      </c>
      <c r="N14" s="50">
        <v>0.3</v>
      </c>
      <c r="O14" s="50">
        <v>2.2000000000000002</v>
      </c>
      <c r="P14" s="50">
        <v>0.6</v>
      </c>
      <c r="Q14" s="50">
        <v>5.75</v>
      </c>
    </row>
    <row r="15" spans="1:21" customFormat="1">
      <c r="A15" s="49">
        <v>45175.291666666664</v>
      </c>
      <c r="B15" s="50">
        <v>14.69</v>
      </c>
      <c r="C15" s="50">
        <v>18.77</v>
      </c>
      <c r="D15" s="50">
        <v>22.76</v>
      </c>
      <c r="E15" s="50">
        <v>8.35</v>
      </c>
      <c r="F15" s="50">
        <v>5.64</v>
      </c>
      <c r="G15" s="50">
        <v>16.84</v>
      </c>
      <c r="H15" s="50">
        <v>7.22</v>
      </c>
      <c r="I15" s="50">
        <v>3.99</v>
      </c>
      <c r="J15" s="50">
        <v>0.36</v>
      </c>
      <c r="K15" s="50">
        <v>71.040000000000006</v>
      </c>
      <c r="L15" s="50">
        <v>26.05</v>
      </c>
      <c r="M15" s="50">
        <v>98.08</v>
      </c>
      <c r="N15" s="50">
        <v>84.1</v>
      </c>
      <c r="O15" s="50">
        <v>0</v>
      </c>
      <c r="P15" s="50">
        <v>0.59</v>
      </c>
      <c r="Q15" s="50">
        <v>5.83</v>
      </c>
    </row>
    <row r="16" spans="1:21" customFormat="1">
      <c r="A16" s="49">
        <v>45175.333333333336</v>
      </c>
      <c r="B16" s="50">
        <v>14.86</v>
      </c>
      <c r="C16" s="50">
        <v>18.899999999999999</v>
      </c>
      <c r="D16" s="50">
        <v>23.1</v>
      </c>
      <c r="E16" s="50">
        <v>8.34</v>
      </c>
      <c r="F16" s="50">
        <v>5.53</v>
      </c>
      <c r="G16" s="50">
        <v>16.940000000000001</v>
      </c>
      <c r="H16" s="50">
        <v>7.22</v>
      </c>
      <c r="I16" s="50">
        <v>3.98</v>
      </c>
      <c r="J16" s="50">
        <v>0.37</v>
      </c>
      <c r="K16" s="50">
        <v>114.17</v>
      </c>
      <c r="L16" s="50">
        <v>26.57</v>
      </c>
      <c r="M16" s="50">
        <v>93.56</v>
      </c>
      <c r="N16" s="50">
        <v>130</v>
      </c>
      <c r="O16" s="50">
        <v>0.2</v>
      </c>
      <c r="P16" s="50">
        <v>0.59</v>
      </c>
      <c r="Q16" s="50">
        <v>5.86</v>
      </c>
    </row>
    <row r="17" spans="1:17" customFormat="1">
      <c r="A17" s="49">
        <v>45175.375</v>
      </c>
      <c r="B17" s="50">
        <v>14.5</v>
      </c>
      <c r="C17" s="50">
        <v>17.53</v>
      </c>
      <c r="D17" s="50">
        <v>21.66</v>
      </c>
      <c r="E17" s="50">
        <v>8.1999999999999993</v>
      </c>
      <c r="F17" s="50">
        <v>5.73</v>
      </c>
      <c r="G17" s="50">
        <v>17.55</v>
      </c>
      <c r="H17" s="50">
        <v>5.88</v>
      </c>
      <c r="I17" s="50">
        <v>3.89</v>
      </c>
      <c r="J17" s="50">
        <v>0.3</v>
      </c>
      <c r="K17" s="50">
        <v>136</v>
      </c>
      <c r="L17" s="50">
        <v>27.91</v>
      </c>
      <c r="M17" s="50">
        <v>89.23</v>
      </c>
      <c r="N17" s="50">
        <v>288.89999999999998</v>
      </c>
      <c r="O17" s="50">
        <v>0</v>
      </c>
      <c r="P17" s="50">
        <v>0.55000000000000004</v>
      </c>
      <c r="Q17" s="50">
        <v>5.78</v>
      </c>
    </row>
    <row r="18" spans="1:17" customFormat="1">
      <c r="A18" s="49">
        <v>45175.416666666664</v>
      </c>
      <c r="B18" s="50">
        <v>13.97</v>
      </c>
      <c r="C18" s="50">
        <v>18.14</v>
      </c>
      <c r="D18" s="50">
        <v>22.03</v>
      </c>
      <c r="E18" s="50">
        <v>8.2200000000000006</v>
      </c>
      <c r="F18" s="50">
        <v>5.85</v>
      </c>
      <c r="G18" s="50">
        <v>17.61</v>
      </c>
      <c r="H18" s="50">
        <v>5.88</v>
      </c>
      <c r="I18" s="50">
        <v>3.73</v>
      </c>
      <c r="J18" s="50">
        <v>0.45</v>
      </c>
      <c r="K18" s="50">
        <v>134.52000000000001</v>
      </c>
      <c r="L18" s="50">
        <v>28.92</v>
      </c>
      <c r="M18" s="50">
        <v>81.36</v>
      </c>
      <c r="N18" s="50">
        <v>440.1</v>
      </c>
      <c r="O18" s="50">
        <v>0</v>
      </c>
      <c r="P18" s="50">
        <v>0.56000000000000005</v>
      </c>
      <c r="Q18" s="50">
        <v>5.8</v>
      </c>
    </row>
    <row r="19" spans="1:17" customFormat="1">
      <c r="A19" s="49">
        <v>45175.458333333336</v>
      </c>
      <c r="B19" s="50">
        <v>12.76</v>
      </c>
      <c r="C19" s="50">
        <v>16.46</v>
      </c>
      <c r="D19" s="50">
        <v>20.09</v>
      </c>
      <c r="E19" s="50">
        <v>7.74</v>
      </c>
      <c r="F19" s="50">
        <v>5.87</v>
      </c>
      <c r="G19" s="50">
        <v>16.260000000000002</v>
      </c>
      <c r="H19" s="50">
        <v>5.42</v>
      </c>
      <c r="I19" s="50">
        <v>3.61</v>
      </c>
      <c r="J19" s="50">
        <v>0.37</v>
      </c>
      <c r="K19" s="50">
        <v>125.72</v>
      </c>
      <c r="L19" s="50">
        <v>30.29</v>
      </c>
      <c r="M19" s="50">
        <v>78.55</v>
      </c>
      <c r="N19" s="50">
        <v>458.4</v>
      </c>
      <c r="O19" s="50">
        <v>0</v>
      </c>
      <c r="P19" s="50">
        <v>0.54</v>
      </c>
      <c r="Q19" s="50">
        <v>5.64</v>
      </c>
    </row>
    <row r="20" spans="1:17" customFormat="1">
      <c r="A20" s="49">
        <v>45175.5</v>
      </c>
      <c r="B20" s="50">
        <v>13.34</v>
      </c>
      <c r="C20" s="50">
        <v>18.75</v>
      </c>
      <c r="D20" s="50">
        <v>21.51</v>
      </c>
      <c r="E20" s="50">
        <v>9.51</v>
      </c>
      <c r="F20" s="50">
        <v>6.33</v>
      </c>
      <c r="G20" s="50">
        <v>19.149999999999999</v>
      </c>
      <c r="H20" s="50">
        <v>5.83</v>
      </c>
      <c r="I20" s="50">
        <v>3.72</v>
      </c>
      <c r="J20" s="50">
        <v>0.6</v>
      </c>
      <c r="K20" s="50">
        <v>74.39</v>
      </c>
      <c r="L20" s="50">
        <v>30.53</v>
      </c>
      <c r="M20" s="50">
        <v>75.930000000000007</v>
      </c>
      <c r="N20" s="50">
        <v>430.1</v>
      </c>
      <c r="O20" s="50">
        <v>0</v>
      </c>
      <c r="P20" s="50">
        <v>0.56999999999999995</v>
      </c>
      <c r="Q20" s="50">
        <v>5.71</v>
      </c>
    </row>
    <row r="21" spans="1:17" customFormat="1">
      <c r="A21" s="49">
        <v>45175.541666666664</v>
      </c>
      <c r="B21" s="50">
        <v>13.36</v>
      </c>
      <c r="C21" s="50">
        <v>17.46</v>
      </c>
      <c r="D21" s="50">
        <v>21.09</v>
      </c>
      <c r="E21" s="50">
        <v>8.64</v>
      </c>
      <c r="F21" s="50">
        <v>6.08</v>
      </c>
      <c r="G21" s="50">
        <v>20.67</v>
      </c>
      <c r="H21" s="50">
        <v>8.06</v>
      </c>
      <c r="I21" s="50">
        <v>3.66</v>
      </c>
      <c r="J21" s="50">
        <v>0.66</v>
      </c>
      <c r="K21" s="50">
        <v>75.94</v>
      </c>
      <c r="L21" s="50">
        <v>30.79</v>
      </c>
      <c r="M21" s="50">
        <v>77.349999999999994</v>
      </c>
      <c r="N21" s="50">
        <v>664.2</v>
      </c>
      <c r="O21" s="50">
        <v>0</v>
      </c>
      <c r="P21" s="50">
        <v>0.56000000000000005</v>
      </c>
      <c r="Q21" s="50">
        <v>5.73</v>
      </c>
    </row>
    <row r="22" spans="1:17" customFormat="1">
      <c r="A22" s="49">
        <v>45175.583333333336</v>
      </c>
      <c r="B22" s="50">
        <v>13.31</v>
      </c>
      <c r="C22" s="50">
        <v>17.87</v>
      </c>
      <c r="D22" s="50">
        <v>21.33</v>
      </c>
      <c r="E22" s="50">
        <v>8.11</v>
      </c>
      <c r="F22" s="50">
        <v>6.15</v>
      </c>
      <c r="G22" s="50">
        <v>20.74</v>
      </c>
      <c r="H22" s="50">
        <v>8.06</v>
      </c>
      <c r="I22" s="50">
        <v>3.66</v>
      </c>
      <c r="J22" s="50">
        <v>0.82</v>
      </c>
      <c r="K22" s="50">
        <v>59.9</v>
      </c>
      <c r="L22" s="50">
        <v>30.37</v>
      </c>
      <c r="M22" s="50">
        <v>78.27</v>
      </c>
      <c r="N22" s="50">
        <v>631.4</v>
      </c>
      <c r="O22" s="50">
        <v>0</v>
      </c>
      <c r="P22" s="50">
        <v>0.56000000000000005</v>
      </c>
      <c r="Q22" s="50">
        <v>5.74</v>
      </c>
    </row>
    <row r="23" spans="1:17" customFormat="1">
      <c r="A23" s="49">
        <v>45175.625</v>
      </c>
      <c r="B23" s="50">
        <v>13.17</v>
      </c>
      <c r="C23" s="50">
        <v>17.61</v>
      </c>
      <c r="D23" s="50">
        <v>21.11</v>
      </c>
      <c r="E23" s="50">
        <v>7.69</v>
      </c>
      <c r="F23" s="50">
        <v>7.02</v>
      </c>
      <c r="G23" s="50">
        <v>22.01</v>
      </c>
      <c r="H23" s="50">
        <v>7.77</v>
      </c>
      <c r="I23" s="50">
        <v>3.67</v>
      </c>
      <c r="J23" s="50">
        <v>0.56999999999999995</v>
      </c>
      <c r="K23" s="50">
        <v>107.57</v>
      </c>
      <c r="L23" s="50">
        <v>30.01</v>
      </c>
      <c r="M23" s="50">
        <v>78.97</v>
      </c>
      <c r="N23" s="50">
        <v>331.1</v>
      </c>
      <c r="O23" s="50">
        <v>0</v>
      </c>
      <c r="P23" s="50">
        <v>0.52</v>
      </c>
      <c r="Q23" s="50">
        <v>5.7</v>
      </c>
    </row>
    <row r="24" spans="1:17" customFormat="1">
      <c r="A24" s="49">
        <v>45175.666666666664</v>
      </c>
      <c r="B24" s="50">
        <v>12.75</v>
      </c>
      <c r="C24" s="50">
        <v>18.190000000000001</v>
      </c>
      <c r="D24" s="50">
        <v>21.08</v>
      </c>
      <c r="E24" s="50">
        <v>8.2100000000000009</v>
      </c>
      <c r="F24" s="50">
        <v>7.22</v>
      </c>
      <c r="G24" s="50">
        <v>26.8</v>
      </c>
      <c r="H24" s="50">
        <v>9</v>
      </c>
      <c r="I24" s="50">
        <v>3.64</v>
      </c>
      <c r="J24" s="50">
        <v>0.59</v>
      </c>
      <c r="K24" s="50">
        <v>72.430000000000007</v>
      </c>
      <c r="L24" s="50">
        <v>29.71</v>
      </c>
      <c r="M24" s="50">
        <v>76.81</v>
      </c>
      <c r="N24" s="50">
        <v>211.7</v>
      </c>
      <c r="O24" s="50">
        <v>0</v>
      </c>
      <c r="P24" s="50">
        <v>0.54</v>
      </c>
      <c r="Q24" s="50">
        <v>5.69</v>
      </c>
    </row>
    <row r="25" spans="1:17" customFormat="1">
      <c r="A25" s="49">
        <v>45175.708333333336</v>
      </c>
      <c r="B25" s="50">
        <v>12.79</v>
      </c>
      <c r="C25" s="50">
        <v>18</v>
      </c>
      <c r="D25" s="50">
        <v>20.86</v>
      </c>
      <c r="E25" s="50">
        <v>7.99</v>
      </c>
      <c r="F25" s="50">
        <v>8.9499999999999993</v>
      </c>
      <c r="G25" s="50">
        <v>29.39</v>
      </c>
      <c r="H25" s="50">
        <v>9</v>
      </c>
      <c r="I25" s="50">
        <v>3.6</v>
      </c>
      <c r="J25" s="50">
        <v>0.46</v>
      </c>
      <c r="K25" s="50">
        <v>127.28</v>
      </c>
      <c r="L25" s="50">
        <v>29.63</v>
      </c>
      <c r="M25" s="50">
        <v>78.48</v>
      </c>
      <c r="N25" s="50">
        <v>154.1</v>
      </c>
      <c r="O25" s="50">
        <v>0</v>
      </c>
      <c r="P25" s="50">
        <v>0.54</v>
      </c>
      <c r="Q25" s="50">
        <v>5.71</v>
      </c>
    </row>
    <row r="26" spans="1:17" customFormat="1">
      <c r="A26" s="49">
        <v>45175.75</v>
      </c>
      <c r="B26" s="50">
        <v>12.87</v>
      </c>
      <c r="C26" s="50">
        <v>18.260000000000002</v>
      </c>
      <c r="D26" s="50">
        <v>21.21</v>
      </c>
      <c r="E26" s="50">
        <v>8.69</v>
      </c>
      <c r="F26" s="50">
        <v>9.8000000000000007</v>
      </c>
      <c r="G26" s="50">
        <v>30.11</v>
      </c>
      <c r="H26" s="50">
        <v>8.7200000000000006</v>
      </c>
      <c r="I26" s="50">
        <v>3.53</v>
      </c>
      <c r="J26" s="50">
        <v>0.22</v>
      </c>
      <c r="K26" s="50">
        <v>147</v>
      </c>
      <c r="L26" s="50">
        <v>28.94</v>
      </c>
      <c r="M26" s="50">
        <v>83.31</v>
      </c>
      <c r="N26" s="50">
        <v>43.2</v>
      </c>
      <c r="O26" s="50">
        <v>0</v>
      </c>
      <c r="P26" s="50">
        <v>0.56000000000000005</v>
      </c>
      <c r="Q26" s="50">
        <v>5.73</v>
      </c>
    </row>
    <row r="27" spans="1:17" customFormat="1">
      <c r="A27" s="49">
        <v>45175.791666666664</v>
      </c>
      <c r="B27" s="50">
        <v>17.579999999999998</v>
      </c>
      <c r="C27" s="50">
        <v>22.18</v>
      </c>
      <c r="D27" s="50">
        <v>27.04</v>
      </c>
      <c r="E27" s="50">
        <v>7.85</v>
      </c>
      <c r="F27" s="50">
        <v>9.9499999999999993</v>
      </c>
      <c r="G27" s="50">
        <v>33.65</v>
      </c>
      <c r="H27" s="50">
        <v>9.66</v>
      </c>
      <c r="I27" s="50">
        <v>3.87</v>
      </c>
      <c r="J27" s="50">
        <v>0.2</v>
      </c>
      <c r="K27" s="50">
        <v>129.55000000000001</v>
      </c>
      <c r="L27" s="50">
        <v>27.91</v>
      </c>
      <c r="M27" s="50">
        <v>88.12</v>
      </c>
      <c r="N27" s="50">
        <v>0</v>
      </c>
      <c r="O27" s="50">
        <v>0</v>
      </c>
      <c r="P27" s="50">
        <v>0.71</v>
      </c>
      <c r="Q27" s="50">
        <v>5.77</v>
      </c>
    </row>
    <row r="28" spans="1:17" customFormat="1">
      <c r="A28" s="49">
        <v>45175.833333333336</v>
      </c>
      <c r="B28" s="50">
        <v>14.35</v>
      </c>
      <c r="C28" s="50">
        <v>19.84</v>
      </c>
      <c r="D28" s="50">
        <v>23.02</v>
      </c>
      <c r="E28" s="50">
        <v>9</v>
      </c>
      <c r="F28" s="50">
        <v>7.13</v>
      </c>
      <c r="G28" s="50">
        <v>33.86</v>
      </c>
      <c r="H28" s="50">
        <v>9.66</v>
      </c>
      <c r="I28" s="50">
        <v>4.17</v>
      </c>
      <c r="J28" s="50">
        <v>0.17</v>
      </c>
      <c r="K28" s="50">
        <v>192.15</v>
      </c>
      <c r="L28" s="50">
        <v>27.6</v>
      </c>
      <c r="M28" s="50">
        <v>91.97</v>
      </c>
      <c r="N28" s="50">
        <v>0</v>
      </c>
      <c r="O28" s="50">
        <v>0</v>
      </c>
      <c r="P28" s="50">
        <v>0.7</v>
      </c>
      <c r="Q28" s="50">
        <v>5.86</v>
      </c>
    </row>
    <row r="29" spans="1:17" customFormat="1">
      <c r="A29" s="49">
        <v>45175.875</v>
      </c>
      <c r="B29" s="50">
        <v>17.149999999999999</v>
      </c>
      <c r="C29" s="50">
        <v>18.96</v>
      </c>
      <c r="D29" s="50">
        <v>25.01</v>
      </c>
      <c r="E29" s="50">
        <v>8.31</v>
      </c>
      <c r="F29" s="50">
        <v>8.2200000000000006</v>
      </c>
      <c r="G29" s="50">
        <v>34.82</v>
      </c>
      <c r="H29" s="50">
        <v>9.69</v>
      </c>
      <c r="I29" s="50">
        <v>4.3099999999999996</v>
      </c>
      <c r="J29" s="50">
        <v>0.16</v>
      </c>
      <c r="K29" s="50">
        <v>163.07</v>
      </c>
      <c r="L29" s="50">
        <v>27.52</v>
      </c>
      <c r="M29" s="50">
        <v>91.29</v>
      </c>
      <c r="N29" s="50">
        <v>0</v>
      </c>
      <c r="O29" s="50">
        <v>0</v>
      </c>
      <c r="P29" s="50">
        <v>0.68</v>
      </c>
      <c r="Q29" s="50">
        <v>5.89</v>
      </c>
    </row>
    <row r="30" spans="1:17" customFormat="1">
      <c r="A30" s="49">
        <v>45175.916666666664</v>
      </c>
      <c r="B30" s="50">
        <v>13.18</v>
      </c>
      <c r="C30" s="50">
        <v>17.46</v>
      </c>
      <c r="D30" s="50">
        <v>21.05</v>
      </c>
      <c r="E30" s="50">
        <v>7.35</v>
      </c>
      <c r="F30" s="50">
        <v>7.79</v>
      </c>
      <c r="G30" s="50">
        <v>34.880000000000003</v>
      </c>
      <c r="H30" s="50">
        <v>10.9</v>
      </c>
      <c r="I30" s="50">
        <v>4.1900000000000004</v>
      </c>
      <c r="J30" s="50">
        <v>0.13</v>
      </c>
      <c r="K30" s="50">
        <v>194.66</v>
      </c>
      <c r="L30" s="50">
        <v>27.39</v>
      </c>
      <c r="M30" s="50">
        <v>93.87</v>
      </c>
      <c r="N30" s="50">
        <v>0</v>
      </c>
      <c r="O30" s="50">
        <v>0</v>
      </c>
      <c r="P30" s="50">
        <v>0.65</v>
      </c>
      <c r="Q30" s="50">
        <v>5.86</v>
      </c>
    </row>
    <row r="31" spans="1:17" customFormat="1">
      <c r="A31" s="49">
        <v>45175.958333333336</v>
      </c>
      <c r="B31" s="50">
        <v>14.55</v>
      </c>
      <c r="C31" s="50">
        <v>18.13</v>
      </c>
      <c r="D31" s="50">
        <v>22.49</v>
      </c>
      <c r="E31" s="50">
        <v>7.67</v>
      </c>
      <c r="F31" s="50">
        <v>7.32</v>
      </c>
      <c r="G31" s="50">
        <v>34</v>
      </c>
      <c r="H31" s="50">
        <v>11.68</v>
      </c>
      <c r="I31" s="50">
        <v>4.16</v>
      </c>
      <c r="J31" s="50">
        <v>0.34</v>
      </c>
      <c r="K31" s="50">
        <v>207.63</v>
      </c>
      <c r="L31" s="50">
        <v>27.26</v>
      </c>
      <c r="M31" s="50">
        <v>95.17</v>
      </c>
      <c r="N31" s="50">
        <v>0</v>
      </c>
      <c r="O31" s="50">
        <v>9.1999999999999993</v>
      </c>
      <c r="P31" s="50">
        <v>0.64</v>
      </c>
      <c r="Q31" s="50">
        <v>5.8</v>
      </c>
    </row>
    <row r="32" spans="1:17" customFormat="1">
      <c r="A32" s="49">
        <v>45176</v>
      </c>
      <c r="B32" s="50">
        <v>14.24</v>
      </c>
      <c r="C32" s="50">
        <v>17.010000000000002</v>
      </c>
      <c r="D32" s="50">
        <v>21.37</v>
      </c>
      <c r="E32" s="50">
        <v>7.17</v>
      </c>
      <c r="F32" s="50">
        <v>6.58</v>
      </c>
      <c r="G32" s="50">
        <v>30.9</v>
      </c>
      <c r="H32" s="50">
        <v>11.68</v>
      </c>
      <c r="I32" s="50">
        <v>4.2300000000000004</v>
      </c>
      <c r="J32" s="50">
        <v>0.52</v>
      </c>
      <c r="K32" s="50">
        <v>329.97</v>
      </c>
      <c r="L32" s="50">
        <v>24.63</v>
      </c>
      <c r="M32" s="50">
        <v>99.27</v>
      </c>
      <c r="N32" s="50">
        <v>0</v>
      </c>
      <c r="O32" s="50">
        <v>15.2</v>
      </c>
      <c r="P32" s="50">
        <v>0.59</v>
      </c>
      <c r="Q32" s="50">
        <v>5.73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12.75</v>
      </c>
      <c r="C34" s="40">
        <f t="shared" si="0"/>
        <v>16.46</v>
      </c>
      <c r="D34" s="40">
        <f t="shared" si="0"/>
        <v>20.09</v>
      </c>
      <c r="E34" s="40">
        <f t="shared" si="0"/>
        <v>6.8</v>
      </c>
      <c r="F34" s="40">
        <f t="shared" si="0"/>
        <v>5.53</v>
      </c>
      <c r="G34" s="40">
        <f t="shared" si="0"/>
        <v>15.11</v>
      </c>
      <c r="H34" s="40">
        <f t="shared" si="0"/>
        <v>5.42</v>
      </c>
      <c r="I34" s="40">
        <f t="shared" si="0"/>
        <v>3.53</v>
      </c>
      <c r="J34" s="40">
        <f t="shared" si="0"/>
        <v>0.1</v>
      </c>
      <c r="K34" s="40">
        <f t="shared" si="0"/>
        <v>59.9</v>
      </c>
      <c r="L34" s="40">
        <f t="shared" si="0"/>
        <v>24.63</v>
      </c>
      <c r="M34" s="40">
        <f t="shared" si="0"/>
        <v>75.930000000000007</v>
      </c>
      <c r="N34" s="40">
        <f t="shared" si="0"/>
        <v>0</v>
      </c>
      <c r="O34" s="40">
        <f t="shared" si="0"/>
        <v>0</v>
      </c>
      <c r="P34" s="40">
        <f t="shared" si="0"/>
        <v>0.52</v>
      </c>
      <c r="Q34" s="40">
        <f t="shared" si="0"/>
        <v>5.64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17.579999999999998</v>
      </c>
      <c r="C35" s="33">
        <f t="shared" si="1"/>
        <v>22.18</v>
      </c>
      <c r="D35" s="33">
        <f t="shared" si="1"/>
        <v>27.04</v>
      </c>
      <c r="E35" s="33">
        <f t="shared" si="1"/>
        <v>9.51</v>
      </c>
      <c r="F35" s="33">
        <f t="shared" si="1"/>
        <v>9.9499999999999993</v>
      </c>
      <c r="G35" s="33">
        <f t="shared" si="1"/>
        <v>34.880000000000003</v>
      </c>
      <c r="H35" s="33">
        <f t="shared" si="1"/>
        <v>14.69</v>
      </c>
      <c r="I35" s="33">
        <f t="shared" si="1"/>
        <v>4.53</v>
      </c>
      <c r="J35" s="33">
        <f t="shared" si="1"/>
        <v>0.82</v>
      </c>
      <c r="K35" s="33">
        <f t="shared" si="1"/>
        <v>329.97</v>
      </c>
      <c r="L35" s="33">
        <f t="shared" si="1"/>
        <v>30.79</v>
      </c>
      <c r="M35" s="33">
        <f t="shared" si="1"/>
        <v>99.27</v>
      </c>
      <c r="N35" s="33">
        <f t="shared" si="1"/>
        <v>664.2</v>
      </c>
      <c r="O35" s="33">
        <f t="shared" si="1"/>
        <v>15.2</v>
      </c>
      <c r="P35" s="33">
        <f t="shared" si="1"/>
        <v>0.71</v>
      </c>
      <c r="Q35" s="33">
        <f t="shared" si="1"/>
        <v>5.94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14.039583333333333</v>
      </c>
      <c r="C36" s="40">
        <f t="shared" si="2"/>
        <v>18.620416666666667</v>
      </c>
      <c r="D36" s="40">
        <f t="shared" si="2"/>
        <v>22.226666666666663</v>
      </c>
      <c r="E36" s="40">
        <f t="shared" si="2"/>
        <v>8.0845833333333328</v>
      </c>
      <c r="F36" s="40">
        <f t="shared" si="2"/>
        <v>6.952916666666666</v>
      </c>
      <c r="G36" s="40">
        <f t="shared" si="2"/>
        <v>25.003333333333334</v>
      </c>
      <c r="H36" s="40">
        <f t="shared" si="2"/>
        <v>8.9612499999999997</v>
      </c>
      <c r="I36" s="40">
        <f t="shared" si="2"/>
        <v>3.9612499999999997</v>
      </c>
      <c r="J36" s="40">
        <f t="shared" si="2"/>
        <v>0.36749999999999999</v>
      </c>
      <c r="K36" s="40">
        <f t="shared" si="2"/>
        <v>147.67291666666668</v>
      </c>
      <c r="L36" s="40">
        <f t="shared" si="2"/>
        <v>27.671666666666667</v>
      </c>
      <c r="M36" s="40">
        <f t="shared" si="2"/>
        <v>88.419166666666669</v>
      </c>
      <c r="N36" s="40">
        <f t="shared" si="2"/>
        <v>161.15</v>
      </c>
      <c r="O36" s="40">
        <f t="shared" si="2"/>
        <v>1.125</v>
      </c>
      <c r="P36" s="40">
        <f t="shared" si="2"/>
        <v>0.60291666666666655</v>
      </c>
      <c r="Q36" s="40">
        <f t="shared" si="2"/>
        <v>5.7833333333333323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1.2191353998586432</v>
      </c>
      <c r="C37" s="40">
        <f t="shared" ref="C37:Q37" si="3">STDEV(C9:C32)</f>
        <v>1.2529078496482706</v>
      </c>
      <c r="D37" s="40">
        <f t="shared" si="3"/>
        <v>1.4800166469883382</v>
      </c>
      <c r="E37" s="40">
        <f t="shared" si="3"/>
        <v>0.60789000125286241</v>
      </c>
      <c r="F37" s="40">
        <f t="shared" si="3"/>
        <v>1.2272290426763894</v>
      </c>
      <c r="G37" s="40">
        <f t="shared" si="3"/>
        <v>7.2400202177634148</v>
      </c>
      <c r="H37" s="40">
        <f t="shared" si="3"/>
        <v>2.3685829785099233</v>
      </c>
      <c r="I37" s="40">
        <f t="shared" si="3"/>
        <v>0.2953452290927106</v>
      </c>
      <c r="J37" s="40">
        <f t="shared" si="3"/>
        <v>0.18750652162571288</v>
      </c>
      <c r="K37" s="40">
        <f t="shared" si="3"/>
        <v>64.886998863855325</v>
      </c>
      <c r="L37" s="40">
        <f t="shared" si="3"/>
        <v>2.0284834057828185</v>
      </c>
      <c r="M37" s="40">
        <f t="shared" si="3"/>
        <v>8.1129723908374114</v>
      </c>
      <c r="N37" s="40">
        <f t="shared" si="3"/>
        <v>217.98102230918298</v>
      </c>
      <c r="O37" s="40">
        <f t="shared" si="3"/>
        <v>3.5522497464099514</v>
      </c>
      <c r="P37" s="40">
        <f t="shared" si="3"/>
        <v>5.7216535058129944E-2</v>
      </c>
      <c r="Q37" s="40">
        <f t="shared" si="3"/>
        <v>7.4288899438005859E-2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45176.041666666664</v>
      </c>
      <c r="B9" s="50">
        <v>12.1</v>
      </c>
      <c r="C9" s="50">
        <v>19.82</v>
      </c>
      <c r="D9" s="50">
        <v>21.05</v>
      </c>
      <c r="E9" s="50">
        <v>7.79</v>
      </c>
      <c r="F9" s="50">
        <v>5.46</v>
      </c>
      <c r="G9" s="50">
        <v>20.61</v>
      </c>
      <c r="H9" s="50">
        <v>8.17</v>
      </c>
      <c r="I9" s="50">
        <v>4.21</v>
      </c>
      <c r="J9" s="50">
        <v>0.17</v>
      </c>
      <c r="K9" s="50">
        <v>141.05000000000001</v>
      </c>
      <c r="L9" s="50">
        <v>24.5</v>
      </c>
      <c r="M9" s="50">
        <v>100.13</v>
      </c>
      <c r="N9" s="50">
        <v>0</v>
      </c>
      <c r="O9" s="50">
        <v>1.8</v>
      </c>
      <c r="P9" s="50">
        <v>0.61</v>
      </c>
      <c r="Q9" s="50">
        <v>5.79</v>
      </c>
    </row>
    <row r="10" spans="1:21" customFormat="1">
      <c r="A10" s="49">
        <v>45176.083333333336</v>
      </c>
      <c r="B10" s="50">
        <v>12.24</v>
      </c>
      <c r="C10" s="50">
        <v>17.850000000000001</v>
      </c>
      <c r="D10" s="50">
        <v>20.399999999999999</v>
      </c>
      <c r="E10" s="50">
        <v>7.63</v>
      </c>
      <c r="F10" s="50">
        <v>5.0999999999999996</v>
      </c>
      <c r="G10" s="50">
        <v>15.55</v>
      </c>
      <c r="H10" s="50">
        <v>5.86</v>
      </c>
      <c r="I10" s="50">
        <v>4.17</v>
      </c>
      <c r="J10" s="50">
        <v>0.21</v>
      </c>
      <c r="K10" s="50">
        <v>246.16</v>
      </c>
      <c r="L10" s="50">
        <v>24.42</v>
      </c>
      <c r="M10" s="50">
        <v>100.22</v>
      </c>
      <c r="N10" s="50">
        <v>0</v>
      </c>
      <c r="O10" s="50">
        <v>0.4</v>
      </c>
      <c r="P10" s="50">
        <v>0.59</v>
      </c>
      <c r="Q10" s="50">
        <v>5.78</v>
      </c>
    </row>
    <row r="11" spans="1:21" customFormat="1">
      <c r="A11" s="49">
        <v>45176.125</v>
      </c>
      <c r="B11" s="50">
        <v>12.14</v>
      </c>
      <c r="C11" s="50">
        <v>17.46</v>
      </c>
      <c r="D11" s="50">
        <v>20.13</v>
      </c>
      <c r="E11" s="50">
        <v>8.5299999999999994</v>
      </c>
      <c r="F11" s="50">
        <v>5.0599999999999996</v>
      </c>
      <c r="G11" s="50">
        <v>11.25</v>
      </c>
      <c r="H11" s="50">
        <v>4.51</v>
      </c>
      <c r="I11" s="50">
        <v>4.07</v>
      </c>
      <c r="J11" s="50">
        <v>0.11</v>
      </c>
      <c r="K11" s="50">
        <v>201.62</v>
      </c>
      <c r="L11" s="50">
        <v>24.58</v>
      </c>
      <c r="M11" s="50">
        <v>99.7</v>
      </c>
      <c r="N11" s="50">
        <v>0</v>
      </c>
      <c r="O11" s="50">
        <v>0.2</v>
      </c>
      <c r="P11" s="50">
        <v>0.56000000000000005</v>
      </c>
      <c r="Q11" s="50">
        <v>5.72</v>
      </c>
    </row>
    <row r="12" spans="1:21" customFormat="1">
      <c r="A12" s="49">
        <v>45176.166666666664</v>
      </c>
      <c r="B12" s="50">
        <v>12.26</v>
      </c>
      <c r="C12" s="50">
        <v>17.489999999999998</v>
      </c>
      <c r="D12" s="50">
        <v>20.29</v>
      </c>
      <c r="E12" s="50">
        <v>8.23</v>
      </c>
      <c r="F12" s="50">
        <v>5.51</v>
      </c>
      <c r="G12" s="50">
        <v>8.25</v>
      </c>
      <c r="H12" s="50">
        <v>3.36</v>
      </c>
      <c r="I12" s="50">
        <v>3.92</v>
      </c>
      <c r="J12" s="50">
        <v>0.15</v>
      </c>
      <c r="K12" s="50">
        <v>264.11</v>
      </c>
      <c r="L12" s="50">
        <v>24.58</v>
      </c>
      <c r="M12" s="50">
        <v>99.78</v>
      </c>
      <c r="N12" s="50">
        <v>0</v>
      </c>
      <c r="O12" s="50">
        <v>0</v>
      </c>
      <c r="P12" s="50">
        <v>0.54</v>
      </c>
      <c r="Q12" s="50">
        <v>5.74</v>
      </c>
    </row>
    <row r="13" spans="1:21" customFormat="1">
      <c r="A13" s="49">
        <v>45176.208333333336</v>
      </c>
      <c r="B13" s="50">
        <v>12.41</v>
      </c>
      <c r="C13" s="50">
        <v>17.52</v>
      </c>
      <c r="D13" s="50">
        <v>20.29</v>
      </c>
      <c r="E13" s="50">
        <v>8.5</v>
      </c>
      <c r="F13" s="50">
        <v>5.2</v>
      </c>
      <c r="G13" s="50">
        <v>6.22</v>
      </c>
      <c r="H13" s="50">
        <v>2.4900000000000002</v>
      </c>
      <c r="I13" s="50">
        <v>3.84</v>
      </c>
      <c r="J13" s="50">
        <v>0.15</v>
      </c>
      <c r="K13" s="50">
        <v>179.7</v>
      </c>
      <c r="L13" s="50">
        <v>24.71</v>
      </c>
      <c r="M13" s="50">
        <v>99.85</v>
      </c>
      <c r="N13" s="50">
        <v>0</v>
      </c>
      <c r="O13" s="50">
        <v>0</v>
      </c>
      <c r="P13" s="50">
        <v>0.53</v>
      </c>
      <c r="Q13" s="50">
        <v>5.76</v>
      </c>
    </row>
    <row r="14" spans="1:21" customFormat="1">
      <c r="A14" s="49">
        <v>45176.25</v>
      </c>
      <c r="B14" s="50">
        <v>12.36</v>
      </c>
      <c r="C14" s="50">
        <v>17.489999999999998</v>
      </c>
      <c r="D14" s="50">
        <v>20.309999999999999</v>
      </c>
      <c r="E14" s="50">
        <v>8.61</v>
      </c>
      <c r="F14" s="50">
        <v>5.24</v>
      </c>
      <c r="G14" s="50">
        <v>4.7300000000000004</v>
      </c>
      <c r="H14" s="50">
        <v>1.89</v>
      </c>
      <c r="I14" s="50">
        <v>3.75</v>
      </c>
      <c r="J14" s="50">
        <v>0.12</v>
      </c>
      <c r="K14" s="50">
        <v>177.41</v>
      </c>
      <c r="L14" s="50">
        <v>24.78</v>
      </c>
      <c r="M14" s="50">
        <v>99.79</v>
      </c>
      <c r="N14" s="50">
        <v>0</v>
      </c>
      <c r="O14" s="50">
        <v>0</v>
      </c>
      <c r="P14" s="50">
        <v>0.52</v>
      </c>
      <c r="Q14" s="50">
        <v>5.74</v>
      </c>
    </row>
    <row r="15" spans="1:21" customFormat="1">
      <c r="A15" s="49">
        <v>45176.291666666664</v>
      </c>
      <c r="B15" s="50">
        <v>12.49</v>
      </c>
      <c r="C15" s="50">
        <v>17.68</v>
      </c>
      <c r="D15" s="50">
        <v>20.58</v>
      </c>
      <c r="E15" s="50">
        <v>8.77</v>
      </c>
      <c r="F15" s="50">
        <v>6.16</v>
      </c>
      <c r="G15" s="50">
        <v>4.21</v>
      </c>
      <c r="H15" s="50">
        <v>1.55</v>
      </c>
      <c r="I15" s="50">
        <v>3.72</v>
      </c>
      <c r="J15" s="50">
        <v>0.14000000000000001</v>
      </c>
      <c r="K15" s="50">
        <v>214.28</v>
      </c>
      <c r="L15" s="50">
        <v>25.08</v>
      </c>
      <c r="M15" s="50">
        <v>99.85</v>
      </c>
      <c r="N15" s="50">
        <v>37.4</v>
      </c>
      <c r="O15" s="50">
        <v>0</v>
      </c>
      <c r="P15" s="50">
        <v>0.53</v>
      </c>
      <c r="Q15" s="50">
        <v>5.78</v>
      </c>
    </row>
    <row r="16" spans="1:21" customFormat="1">
      <c r="A16" s="49">
        <v>45176.333333333336</v>
      </c>
      <c r="B16" s="50">
        <v>12.58</v>
      </c>
      <c r="C16" s="50">
        <v>17.72</v>
      </c>
      <c r="D16" s="50">
        <v>20.59</v>
      </c>
      <c r="E16" s="50">
        <v>8.8699999999999992</v>
      </c>
      <c r="F16" s="50">
        <v>5.62</v>
      </c>
      <c r="G16" s="50">
        <v>4.2300000000000004</v>
      </c>
      <c r="H16" s="50">
        <v>1.4</v>
      </c>
      <c r="I16" s="50">
        <v>3.68</v>
      </c>
      <c r="J16" s="50">
        <v>0.09</v>
      </c>
      <c r="K16" s="50">
        <v>191.02</v>
      </c>
      <c r="L16" s="50">
        <v>25.26</v>
      </c>
      <c r="M16" s="50">
        <v>99.82</v>
      </c>
      <c r="N16" s="50">
        <v>38.1</v>
      </c>
      <c r="O16" s="50">
        <v>0</v>
      </c>
      <c r="P16" s="50">
        <v>0.51</v>
      </c>
      <c r="Q16" s="50">
        <v>5.75</v>
      </c>
    </row>
    <row r="17" spans="1:17" customFormat="1">
      <c r="A17" s="49">
        <v>45176.375</v>
      </c>
      <c r="B17" s="50">
        <v>12.48</v>
      </c>
      <c r="C17" s="50">
        <v>17.5</v>
      </c>
      <c r="D17" s="50">
        <v>20.5</v>
      </c>
      <c r="E17" s="50">
        <v>8.4499999999999993</v>
      </c>
      <c r="F17" s="50">
        <v>6.18</v>
      </c>
      <c r="G17" s="50">
        <v>4.74</v>
      </c>
      <c r="H17" s="50">
        <v>1.31</v>
      </c>
      <c r="I17" s="50">
        <v>3.65</v>
      </c>
      <c r="J17" s="50">
        <v>0.12</v>
      </c>
      <c r="K17" s="50">
        <v>116.4</v>
      </c>
      <c r="L17" s="50">
        <v>25.8</v>
      </c>
      <c r="M17" s="50">
        <v>99.74</v>
      </c>
      <c r="N17" s="50">
        <v>71</v>
      </c>
      <c r="O17" s="50">
        <v>0</v>
      </c>
      <c r="P17" s="50">
        <v>0.51</v>
      </c>
      <c r="Q17" s="50">
        <v>5.77</v>
      </c>
    </row>
    <row r="18" spans="1:17" customFormat="1">
      <c r="A18" s="49">
        <v>45176.416666666664</v>
      </c>
      <c r="B18" s="50">
        <v>12.25</v>
      </c>
      <c r="C18" s="50">
        <v>17.59</v>
      </c>
      <c r="D18" s="50">
        <v>20.329999999999998</v>
      </c>
      <c r="E18" s="50">
        <v>8.9</v>
      </c>
      <c r="F18" s="50">
        <v>6.49</v>
      </c>
      <c r="G18" s="50">
        <v>5.42</v>
      </c>
      <c r="H18" s="50">
        <v>1.02</v>
      </c>
      <c r="I18" s="50">
        <v>3.67</v>
      </c>
      <c r="J18" s="50">
        <v>0.1</v>
      </c>
      <c r="K18" s="50">
        <v>191</v>
      </c>
      <c r="L18" s="50">
        <v>26.09</v>
      </c>
      <c r="M18" s="50">
        <v>99.8</v>
      </c>
      <c r="N18" s="50">
        <v>118.2</v>
      </c>
      <c r="O18" s="50">
        <v>0.4</v>
      </c>
      <c r="P18" s="50">
        <v>0.51</v>
      </c>
      <c r="Q18" s="50">
        <v>5.73</v>
      </c>
    </row>
    <row r="19" spans="1:17" customFormat="1">
      <c r="A19" s="49">
        <v>45176.458333333336</v>
      </c>
      <c r="B19" s="50">
        <v>12.84</v>
      </c>
      <c r="C19" s="50">
        <v>17.7</v>
      </c>
      <c r="D19" s="50">
        <v>20.81</v>
      </c>
      <c r="E19" s="50">
        <v>8.65</v>
      </c>
      <c r="F19" s="50">
        <v>5.9</v>
      </c>
      <c r="G19" s="50">
        <v>5.45</v>
      </c>
      <c r="H19" s="50">
        <v>1.02</v>
      </c>
      <c r="I19" s="50">
        <v>3.8</v>
      </c>
      <c r="J19" s="50">
        <v>0.17</v>
      </c>
      <c r="K19" s="50">
        <v>223.54</v>
      </c>
      <c r="L19" s="50">
        <v>29.48</v>
      </c>
      <c r="M19" s="50">
        <v>99.28</v>
      </c>
      <c r="N19" s="50">
        <v>822.7</v>
      </c>
      <c r="O19" s="50">
        <v>0</v>
      </c>
      <c r="P19" s="50">
        <v>0.54</v>
      </c>
      <c r="Q19" s="50">
        <v>5.8</v>
      </c>
    </row>
    <row r="20" spans="1:17" customFormat="1">
      <c r="A20" s="49">
        <v>45176.5</v>
      </c>
      <c r="B20" s="50">
        <v>12.2</v>
      </c>
      <c r="C20" s="50">
        <v>17.23</v>
      </c>
      <c r="D20" s="50">
        <v>19.940000000000001</v>
      </c>
      <c r="E20" s="50">
        <v>8.58</v>
      </c>
      <c r="F20" s="50">
        <v>6.01</v>
      </c>
      <c r="G20" s="50">
        <v>8.1</v>
      </c>
      <c r="H20" s="50">
        <v>1.64</v>
      </c>
      <c r="I20" s="50">
        <v>3.77</v>
      </c>
      <c r="J20" s="50">
        <v>0.31</v>
      </c>
      <c r="K20" s="50">
        <v>262.04000000000002</v>
      </c>
      <c r="L20" s="50">
        <v>29.86</v>
      </c>
      <c r="M20" s="50">
        <v>81.62</v>
      </c>
      <c r="N20" s="50">
        <v>567.4</v>
      </c>
      <c r="O20" s="50">
        <v>0</v>
      </c>
      <c r="P20" s="50">
        <v>0.54</v>
      </c>
      <c r="Q20" s="50">
        <v>5.74</v>
      </c>
    </row>
    <row r="21" spans="1:17" customFormat="1">
      <c r="A21" s="49">
        <v>45176.541666666664</v>
      </c>
      <c r="B21" s="50">
        <v>10.9</v>
      </c>
      <c r="C21" s="50">
        <v>16.52</v>
      </c>
      <c r="D21" s="50">
        <v>18.71</v>
      </c>
      <c r="E21" s="50">
        <v>8.33</v>
      </c>
      <c r="F21" s="50">
        <v>6.96</v>
      </c>
      <c r="G21" s="50">
        <v>8.26</v>
      </c>
      <c r="H21" s="50">
        <v>2.15</v>
      </c>
      <c r="I21" s="50">
        <v>3.75</v>
      </c>
      <c r="J21" s="50">
        <v>0.34</v>
      </c>
      <c r="K21" s="50">
        <v>161.44</v>
      </c>
      <c r="L21" s="50">
        <v>30.63</v>
      </c>
      <c r="M21" s="50">
        <v>78.86</v>
      </c>
      <c r="N21" s="50">
        <v>720.8</v>
      </c>
      <c r="O21" s="50">
        <v>0</v>
      </c>
      <c r="P21" s="50">
        <v>0.52</v>
      </c>
      <c r="Q21" s="50">
        <v>5.65</v>
      </c>
    </row>
    <row r="22" spans="1:17" customFormat="1">
      <c r="A22" s="49">
        <v>45176.583333333336</v>
      </c>
      <c r="B22" s="50">
        <v>9.85</v>
      </c>
      <c r="C22" s="50">
        <v>16.25</v>
      </c>
      <c r="D22" s="50">
        <v>17.690000000000001</v>
      </c>
      <c r="E22" s="50">
        <v>8.23</v>
      </c>
      <c r="F22" s="50">
        <v>6.65</v>
      </c>
      <c r="G22" s="50">
        <v>7.82</v>
      </c>
      <c r="H22" s="50">
        <v>2.15</v>
      </c>
      <c r="I22" s="50">
        <v>3.68</v>
      </c>
      <c r="J22" s="50">
        <v>0.9</v>
      </c>
      <c r="K22" s="50">
        <v>61.23</v>
      </c>
      <c r="L22" s="50">
        <v>31.17</v>
      </c>
      <c r="M22" s="50">
        <v>82.41</v>
      </c>
      <c r="N22" s="50">
        <v>720.8</v>
      </c>
      <c r="O22" s="50">
        <v>0</v>
      </c>
      <c r="P22" s="50">
        <v>0.52</v>
      </c>
      <c r="Q22" s="50">
        <v>5.57</v>
      </c>
    </row>
    <row r="23" spans="1:17" customFormat="1">
      <c r="A23" s="49">
        <v>45176.625</v>
      </c>
      <c r="B23" s="50">
        <v>9.65</v>
      </c>
      <c r="C23" s="50">
        <v>15.92</v>
      </c>
      <c r="D23" s="50">
        <v>17.41</v>
      </c>
      <c r="E23" s="50">
        <v>9.0399999999999991</v>
      </c>
      <c r="F23" s="50">
        <v>6.7</v>
      </c>
      <c r="G23" s="50">
        <v>8.4700000000000006</v>
      </c>
      <c r="H23" s="50">
        <v>2.7</v>
      </c>
      <c r="I23" s="50">
        <v>3.64</v>
      </c>
      <c r="J23" s="50">
        <v>0.31</v>
      </c>
      <c r="K23" s="50">
        <v>142.28</v>
      </c>
      <c r="L23" s="50">
        <v>29.11</v>
      </c>
      <c r="M23" s="50">
        <v>83.13</v>
      </c>
      <c r="N23" s="50">
        <v>204.5</v>
      </c>
      <c r="O23" s="50">
        <v>0</v>
      </c>
      <c r="P23" s="50">
        <v>0.49</v>
      </c>
      <c r="Q23" s="50">
        <v>5.53</v>
      </c>
    </row>
    <row r="24" spans="1:17" customFormat="1">
      <c r="A24" s="49">
        <v>45176.666666666664</v>
      </c>
      <c r="B24" s="50">
        <v>8.99</v>
      </c>
      <c r="C24" s="50">
        <v>15.31</v>
      </c>
      <c r="D24" s="50">
        <v>16.41</v>
      </c>
      <c r="E24" s="50">
        <v>7.85</v>
      </c>
      <c r="F24" s="50">
        <v>6.82</v>
      </c>
      <c r="G24" s="50">
        <v>8.5</v>
      </c>
      <c r="H24" s="50">
        <v>2.7</v>
      </c>
      <c r="I24" s="50">
        <v>3.48</v>
      </c>
      <c r="J24" s="50">
        <v>0.44</v>
      </c>
      <c r="K24" s="50">
        <v>261.17</v>
      </c>
      <c r="L24" s="50">
        <v>28.13</v>
      </c>
      <c r="M24" s="50">
        <v>87.26</v>
      </c>
      <c r="N24" s="50">
        <v>111.6</v>
      </c>
      <c r="O24" s="50">
        <v>0</v>
      </c>
      <c r="P24" s="50">
        <v>0.48</v>
      </c>
      <c r="Q24" s="50">
        <v>5.48</v>
      </c>
    </row>
    <row r="25" spans="1:17" customFormat="1">
      <c r="A25" s="49">
        <v>45176.708333333336</v>
      </c>
      <c r="B25" s="50">
        <v>8.83</v>
      </c>
      <c r="C25" s="50">
        <v>15.88</v>
      </c>
      <c r="D25" s="50">
        <v>16.73</v>
      </c>
      <c r="E25" s="50">
        <v>7.51</v>
      </c>
      <c r="F25" s="50">
        <v>5.64</v>
      </c>
      <c r="G25" s="50">
        <v>7.28</v>
      </c>
      <c r="H25" s="50">
        <v>2.0499999999999998</v>
      </c>
      <c r="I25" s="50">
        <v>3.44</v>
      </c>
      <c r="J25" s="50">
        <v>0.65</v>
      </c>
      <c r="K25" s="50">
        <v>268.58</v>
      </c>
      <c r="L25" s="50">
        <v>26.64</v>
      </c>
      <c r="M25" s="50">
        <v>91.5</v>
      </c>
      <c r="N25" s="50">
        <v>76.7</v>
      </c>
      <c r="O25" s="50">
        <v>0</v>
      </c>
      <c r="P25" s="50">
        <v>0.49</v>
      </c>
      <c r="Q25" s="50">
        <v>5.45</v>
      </c>
    </row>
    <row r="26" spans="1:17" customFormat="1">
      <c r="A26" s="49">
        <v>45176.75</v>
      </c>
      <c r="B26" s="50">
        <v>8</v>
      </c>
      <c r="C26" s="50">
        <v>15.21</v>
      </c>
      <c r="D26" s="50">
        <v>15.65</v>
      </c>
      <c r="E26" s="50">
        <v>7.2</v>
      </c>
      <c r="F26" s="50">
        <v>6.91</v>
      </c>
      <c r="G26" s="50">
        <v>6.93</v>
      </c>
      <c r="H26" s="50">
        <v>1.64</v>
      </c>
      <c r="I26" s="50">
        <v>3.32</v>
      </c>
      <c r="J26" s="50">
        <v>0.28000000000000003</v>
      </c>
      <c r="K26" s="50">
        <v>272.94</v>
      </c>
      <c r="L26" s="50">
        <v>26.42</v>
      </c>
      <c r="M26" s="50">
        <v>92.79</v>
      </c>
      <c r="N26" s="50">
        <v>8.3000000000000007</v>
      </c>
      <c r="O26" s="50">
        <v>0</v>
      </c>
      <c r="P26" s="50">
        <v>0.46</v>
      </c>
      <c r="Q26" s="50">
        <v>5.38</v>
      </c>
    </row>
    <row r="27" spans="1:17" customFormat="1">
      <c r="A27" s="49">
        <v>45176.791666666664</v>
      </c>
      <c r="B27" s="50">
        <v>8.31</v>
      </c>
      <c r="C27" s="50">
        <v>16.66</v>
      </c>
      <c r="D27" s="50">
        <v>16.66</v>
      </c>
      <c r="E27" s="50">
        <v>6.66</v>
      </c>
      <c r="F27" s="50">
        <v>7.84</v>
      </c>
      <c r="G27" s="50">
        <v>6.48</v>
      </c>
      <c r="H27" s="50">
        <v>1.88</v>
      </c>
      <c r="I27" s="50">
        <v>3.35</v>
      </c>
      <c r="J27" s="50">
        <v>0.22</v>
      </c>
      <c r="K27" s="50">
        <v>212.67</v>
      </c>
      <c r="L27" s="50">
        <v>25.97</v>
      </c>
      <c r="M27" s="50">
        <v>95.54</v>
      </c>
      <c r="N27" s="50">
        <v>0</v>
      </c>
      <c r="O27" s="50">
        <v>0.2</v>
      </c>
      <c r="P27" s="50">
        <v>0.47</v>
      </c>
      <c r="Q27" s="50">
        <v>5.42</v>
      </c>
    </row>
    <row r="28" spans="1:17" customFormat="1">
      <c r="A28" s="49">
        <v>45176.833333333336</v>
      </c>
      <c r="B28" s="50">
        <v>8.5399999999999991</v>
      </c>
      <c r="C28" s="50">
        <v>16.54</v>
      </c>
      <c r="D28" s="50">
        <v>16.71</v>
      </c>
      <c r="E28" s="50">
        <v>7.54</v>
      </c>
      <c r="F28" s="50">
        <v>7.85</v>
      </c>
      <c r="G28" s="50">
        <v>6.3</v>
      </c>
      <c r="H28" s="50">
        <v>1.88</v>
      </c>
      <c r="I28" s="50">
        <v>3.48</v>
      </c>
      <c r="J28" s="50">
        <v>0.18</v>
      </c>
      <c r="K28" s="50">
        <v>246.94</v>
      </c>
      <c r="L28" s="50">
        <v>25.76</v>
      </c>
      <c r="M28" s="50">
        <v>96.89</v>
      </c>
      <c r="N28" s="50">
        <v>0</v>
      </c>
      <c r="O28" s="50">
        <v>0</v>
      </c>
      <c r="P28" s="50">
        <v>0.49</v>
      </c>
      <c r="Q28" s="50">
        <v>5.47</v>
      </c>
    </row>
    <row r="29" spans="1:17" customFormat="1">
      <c r="A29" s="49">
        <v>45176.875</v>
      </c>
      <c r="B29" s="50">
        <v>8.9600000000000009</v>
      </c>
      <c r="C29" s="50">
        <v>16.41</v>
      </c>
      <c r="D29" s="50">
        <v>16.940000000000001</v>
      </c>
      <c r="E29" s="50">
        <v>7.67</v>
      </c>
      <c r="F29" s="50">
        <v>5.37</v>
      </c>
      <c r="G29" s="50">
        <v>7.68</v>
      </c>
      <c r="H29" s="50">
        <v>2.4300000000000002</v>
      </c>
      <c r="I29" s="50">
        <v>3.55</v>
      </c>
      <c r="J29" s="50">
        <v>0.13</v>
      </c>
      <c r="K29" s="50">
        <v>275.02</v>
      </c>
      <c r="L29" s="50">
        <v>25.61</v>
      </c>
      <c r="M29" s="50">
        <v>97.51</v>
      </c>
      <c r="N29" s="50">
        <v>0</v>
      </c>
      <c r="O29" s="50">
        <v>0</v>
      </c>
      <c r="P29" s="50">
        <v>0.5</v>
      </c>
      <c r="Q29" s="50">
        <v>5.5</v>
      </c>
    </row>
    <row r="30" spans="1:17" customFormat="1">
      <c r="A30" s="49">
        <v>45176.916666666664</v>
      </c>
      <c r="B30" s="50">
        <v>8.8000000000000007</v>
      </c>
      <c r="C30" s="50">
        <v>15.2</v>
      </c>
      <c r="D30" s="50">
        <v>16.350000000000001</v>
      </c>
      <c r="E30" s="50">
        <v>7.42</v>
      </c>
      <c r="F30" s="50">
        <v>7.31</v>
      </c>
      <c r="G30" s="50">
        <v>7.76</v>
      </c>
      <c r="H30" s="50">
        <v>2.4300000000000002</v>
      </c>
      <c r="I30" s="50">
        <v>3.47</v>
      </c>
      <c r="J30" s="50">
        <v>0.1</v>
      </c>
      <c r="K30" s="50">
        <v>247.53</v>
      </c>
      <c r="L30" s="50">
        <v>25.81</v>
      </c>
      <c r="M30" s="50">
        <v>97.99</v>
      </c>
      <c r="N30" s="50">
        <v>0</v>
      </c>
      <c r="O30" s="50">
        <v>0.4</v>
      </c>
      <c r="P30" s="50">
        <v>0.49</v>
      </c>
      <c r="Q30" s="50">
        <v>5.45</v>
      </c>
    </row>
    <row r="31" spans="1:17" customFormat="1">
      <c r="A31" s="49">
        <v>45176.958333333336</v>
      </c>
      <c r="B31" s="50">
        <v>9.23</v>
      </c>
      <c r="C31" s="50">
        <v>16.170000000000002</v>
      </c>
      <c r="D31" s="50">
        <v>17.2</v>
      </c>
      <c r="E31" s="50">
        <v>7.47</v>
      </c>
      <c r="F31" s="50">
        <v>7.64</v>
      </c>
      <c r="G31" s="50">
        <v>5.58</v>
      </c>
      <c r="H31" s="50">
        <v>2.7</v>
      </c>
      <c r="I31" s="50">
        <v>3.45</v>
      </c>
      <c r="J31" s="50">
        <v>0.12</v>
      </c>
      <c r="K31" s="50">
        <v>222.63</v>
      </c>
      <c r="L31" s="50">
        <v>25.56</v>
      </c>
      <c r="M31" s="50">
        <v>98.28</v>
      </c>
      <c r="N31" s="50">
        <v>0</v>
      </c>
      <c r="O31" s="50">
        <v>0.6</v>
      </c>
      <c r="P31" s="50">
        <v>0.49</v>
      </c>
      <c r="Q31" s="50">
        <v>5.49</v>
      </c>
    </row>
    <row r="32" spans="1:17" customFormat="1">
      <c r="A32" s="49">
        <v>45177</v>
      </c>
      <c r="B32" s="50">
        <v>9.4499999999999993</v>
      </c>
      <c r="C32" s="50">
        <v>16.829999999999998</v>
      </c>
      <c r="D32" s="50">
        <v>17.55</v>
      </c>
      <c r="E32" s="50">
        <v>7.75</v>
      </c>
      <c r="F32" s="50">
        <v>6.05</v>
      </c>
      <c r="G32" s="50">
        <v>5.46</v>
      </c>
      <c r="H32" s="50">
        <v>2.7</v>
      </c>
      <c r="I32" s="50">
        <v>3.49</v>
      </c>
      <c r="J32" s="50">
        <v>0.13</v>
      </c>
      <c r="K32" s="50">
        <v>235.15</v>
      </c>
      <c r="L32" s="50">
        <v>25.63</v>
      </c>
      <c r="M32" s="50">
        <v>98.28</v>
      </c>
      <c r="N32" s="50">
        <v>0</v>
      </c>
      <c r="O32" s="50">
        <v>0</v>
      </c>
      <c r="P32" s="50">
        <v>0.5</v>
      </c>
      <c r="Q32" s="50">
        <v>5.52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</v>
      </c>
      <c r="C34" s="40">
        <f t="shared" si="0"/>
        <v>15.2</v>
      </c>
      <c r="D34" s="40">
        <f t="shared" si="0"/>
        <v>15.65</v>
      </c>
      <c r="E34" s="40">
        <f t="shared" si="0"/>
        <v>6.66</v>
      </c>
      <c r="F34" s="40">
        <f t="shared" si="0"/>
        <v>5.0599999999999996</v>
      </c>
      <c r="G34" s="40">
        <f t="shared" si="0"/>
        <v>4.21</v>
      </c>
      <c r="H34" s="40">
        <f t="shared" si="0"/>
        <v>1.02</v>
      </c>
      <c r="I34" s="40">
        <f t="shared" si="0"/>
        <v>3.32</v>
      </c>
      <c r="J34" s="40">
        <f t="shared" si="0"/>
        <v>0.09</v>
      </c>
      <c r="K34" s="40">
        <f t="shared" si="0"/>
        <v>61.23</v>
      </c>
      <c r="L34" s="40">
        <f t="shared" si="0"/>
        <v>24.42</v>
      </c>
      <c r="M34" s="40">
        <f t="shared" si="0"/>
        <v>78.86</v>
      </c>
      <c r="N34" s="40">
        <f t="shared" si="0"/>
        <v>0</v>
      </c>
      <c r="O34" s="40">
        <f t="shared" si="0"/>
        <v>0</v>
      </c>
      <c r="P34" s="40">
        <f t="shared" si="0"/>
        <v>0.46</v>
      </c>
      <c r="Q34" s="40">
        <f t="shared" si="0"/>
        <v>5.38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12.84</v>
      </c>
      <c r="C35" s="33">
        <f t="shared" si="1"/>
        <v>19.82</v>
      </c>
      <c r="D35" s="33">
        <f t="shared" si="1"/>
        <v>21.05</v>
      </c>
      <c r="E35" s="33">
        <f t="shared" si="1"/>
        <v>9.0399999999999991</v>
      </c>
      <c r="F35" s="33">
        <f t="shared" si="1"/>
        <v>7.85</v>
      </c>
      <c r="G35" s="33">
        <f t="shared" si="1"/>
        <v>20.61</v>
      </c>
      <c r="H35" s="33">
        <f t="shared" si="1"/>
        <v>8.17</v>
      </c>
      <c r="I35" s="33">
        <f t="shared" si="1"/>
        <v>4.21</v>
      </c>
      <c r="J35" s="33">
        <f t="shared" si="1"/>
        <v>0.9</v>
      </c>
      <c r="K35" s="33">
        <f t="shared" si="1"/>
        <v>275.02</v>
      </c>
      <c r="L35" s="33">
        <f t="shared" si="1"/>
        <v>31.17</v>
      </c>
      <c r="M35" s="33">
        <f t="shared" si="1"/>
        <v>100.22</v>
      </c>
      <c r="N35" s="33">
        <f t="shared" si="1"/>
        <v>822.7</v>
      </c>
      <c r="O35" s="33">
        <f t="shared" si="1"/>
        <v>1.8</v>
      </c>
      <c r="P35" s="33">
        <f t="shared" si="1"/>
        <v>0.61</v>
      </c>
      <c r="Q35" s="33">
        <f t="shared" si="1"/>
        <v>5.8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10.744166666666667</v>
      </c>
      <c r="C36" s="40">
        <f t="shared" si="2"/>
        <v>16.914583333333336</v>
      </c>
      <c r="D36" s="40">
        <f t="shared" si="2"/>
        <v>18.717916666666671</v>
      </c>
      <c r="E36" s="40">
        <f t="shared" si="2"/>
        <v>8.0908333333333307</v>
      </c>
      <c r="F36" s="40">
        <f t="shared" si="2"/>
        <v>6.2362499999999992</v>
      </c>
      <c r="G36" s="40">
        <f t="shared" si="2"/>
        <v>7.7200000000000015</v>
      </c>
      <c r="H36" s="40">
        <f t="shared" si="2"/>
        <v>2.5679166666666671</v>
      </c>
      <c r="I36" s="40">
        <f t="shared" si="2"/>
        <v>3.681249999999999</v>
      </c>
      <c r="J36" s="40">
        <f t="shared" si="2"/>
        <v>0.23499999999999999</v>
      </c>
      <c r="K36" s="40">
        <f t="shared" si="2"/>
        <v>208.99625</v>
      </c>
      <c r="L36" s="40">
        <f t="shared" si="2"/>
        <v>26.482499999999998</v>
      </c>
      <c r="M36" s="40">
        <f t="shared" si="2"/>
        <v>95.000833333333347</v>
      </c>
      <c r="N36" s="40">
        <f t="shared" si="2"/>
        <v>145.72916666666669</v>
      </c>
      <c r="O36" s="40">
        <f t="shared" si="2"/>
        <v>0.16666666666666666</v>
      </c>
      <c r="P36" s="40">
        <f t="shared" si="2"/>
        <v>0.5162500000000001</v>
      </c>
      <c r="Q36" s="40">
        <f t="shared" si="2"/>
        <v>5.6254166666666672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1.743626696850834</v>
      </c>
      <c r="C37" s="40">
        <f t="shared" ref="C37:Q37" si="3">STDEV(C9:C32)</f>
        <v>1.0527561308367732</v>
      </c>
      <c r="D37" s="40">
        <f t="shared" si="3"/>
        <v>1.8476447502667486</v>
      </c>
      <c r="E37" s="40">
        <f t="shared" si="3"/>
        <v>0.62561216397236419</v>
      </c>
      <c r="F37" s="40">
        <f t="shared" si="3"/>
        <v>0.8755957599158487</v>
      </c>
      <c r="G37" s="40">
        <f t="shared" si="3"/>
        <v>3.6765733100739051</v>
      </c>
      <c r="H37" s="40">
        <f t="shared" si="3"/>
        <v>1.6050788390948725</v>
      </c>
      <c r="I37" s="40">
        <f t="shared" si="3"/>
        <v>0.23946157901862439</v>
      </c>
      <c r="J37" s="40">
        <f t="shared" si="3"/>
        <v>0.19239904184883003</v>
      </c>
      <c r="K37" s="40">
        <f t="shared" si="3"/>
        <v>55.284104706074245</v>
      </c>
      <c r="L37" s="40">
        <f t="shared" si="3"/>
        <v>2.0677066691301906</v>
      </c>
      <c r="M37" s="40">
        <f t="shared" si="3"/>
        <v>6.95370587257705</v>
      </c>
      <c r="N37" s="40">
        <f t="shared" si="3"/>
        <v>264.59852850352718</v>
      </c>
      <c r="O37" s="40">
        <f t="shared" si="3"/>
        <v>0.38972305291195508</v>
      </c>
      <c r="P37" s="40">
        <f t="shared" si="3"/>
        <v>3.5485759544283201E-2</v>
      </c>
      <c r="Q37" s="40">
        <f t="shared" si="3"/>
        <v>0.14542229859110167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5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45177.041666666664</v>
      </c>
      <c r="B9" s="50">
        <v>10.45</v>
      </c>
      <c r="C9" s="50">
        <v>15.72</v>
      </c>
      <c r="D9" s="50">
        <v>17.84</v>
      </c>
      <c r="E9" s="50">
        <v>7.66</v>
      </c>
      <c r="F9" s="50">
        <v>6</v>
      </c>
      <c r="G9" s="50">
        <v>7.77</v>
      </c>
      <c r="H9" s="50">
        <v>2.15</v>
      </c>
      <c r="I9" s="50">
        <v>3.46</v>
      </c>
      <c r="J9" s="50">
        <v>0.48</v>
      </c>
      <c r="K9" s="50">
        <v>259.79000000000002</v>
      </c>
      <c r="L9" s="50">
        <v>25.15</v>
      </c>
      <c r="M9" s="50">
        <v>97.91</v>
      </c>
      <c r="N9" s="50">
        <v>0</v>
      </c>
      <c r="O9" s="50">
        <v>0.2</v>
      </c>
      <c r="P9" s="50">
        <v>0.49</v>
      </c>
      <c r="Q9" s="50">
        <v>5.54</v>
      </c>
    </row>
    <row r="10" spans="1:21" customFormat="1">
      <c r="A10" s="49">
        <v>45177.083333333336</v>
      </c>
      <c r="B10" s="50">
        <v>10.5</v>
      </c>
      <c r="C10" s="50">
        <v>16.489999999999998</v>
      </c>
      <c r="D10" s="50">
        <v>18.260000000000002</v>
      </c>
      <c r="E10" s="50">
        <v>7.95</v>
      </c>
      <c r="F10" s="50">
        <v>5.16</v>
      </c>
      <c r="G10" s="50">
        <v>7.9</v>
      </c>
      <c r="H10" s="50">
        <v>2.0699999999999998</v>
      </c>
      <c r="I10" s="50">
        <v>3.44</v>
      </c>
      <c r="J10" s="50">
        <v>0.14000000000000001</v>
      </c>
      <c r="K10" s="50">
        <v>242.84</v>
      </c>
      <c r="L10" s="50">
        <v>25.15</v>
      </c>
      <c r="M10" s="50">
        <v>98.32</v>
      </c>
      <c r="N10" s="50">
        <v>0</v>
      </c>
      <c r="O10" s="50">
        <v>0</v>
      </c>
      <c r="P10" s="50">
        <v>0.49</v>
      </c>
      <c r="Q10" s="50">
        <v>5.54</v>
      </c>
    </row>
    <row r="11" spans="1:21" customFormat="1">
      <c r="A11" s="49">
        <v>45177.125</v>
      </c>
      <c r="B11" s="50">
        <v>10.72</v>
      </c>
      <c r="C11" s="50">
        <v>16.7</v>
      </c>
      <c r="D11" s="50">
        <v>18.68</v>
      </c>
      <c r="E11" s="50">
        <v>7.91</v>
      </c>
      <c r="F11" s="50">
        <v>5.42</v>
      </c>
      <c r="G11" s="50">
        <v>5.85</v>
      </c>
      <c r="H11" s="50">
        <v>1.51</v>
      </c>
      <c r="I11" s="50">
        <v>3.4</v>
      </c>
      <c r="J11" s="50">
        <v>0.1</v>
      </c>
      <c r="K11" s="50">
        <v>263.07</v>
      </c>
      <c r="L11" s="50">
        <v>25.05</v>
      </c>
      <c r="M11" s="50">
        <v>98.27</v>
      </c>
      <c r="N11" s="50">
        <v>0</v>
      </c>
      <c r="O11" s="50">
        <v>0</v>
      </c>
      <c r="P11" s="50">
        <v>0.47</v>
      </c>
      <c r="Q11" s="50">
        <v>5.54</v>
      </c>
    </row>
    <row r="12" spans="1:21" customFormat="1">
      <c r="A12" s="49">
        <v>45177.166666666664</v>
      </c>
      <c r="B12" s="50">
        <v>10.94</v>
      </c>
      <c r="C12" s="50">
        <v>16.850000000000001</v>
      </c>
      <c r="D12" s="50">
        <v>18.93</v>
      </c>
      <c r="E12" s="50">
        <v>8.24</v>
      </c>
      <c r="F12" s="50">
        <v>5.19</v>
      </c>
      <c r="G12" s="50">
        <v>6.96</v>
      </c>
      <c r="H12" s="50">
        <v>1.51</v>
      </c>
      <c r="I12" s="50">
        <v>3.34</v>
      </c>
      <c r="J12" s="50">
        <v>0.13</v>
      </c>
      <c r="K12" s="50">
        <v>238.21</v>
      </c>
      <c r="L12" s="50">
        <v>24.98</v>
      </c>
      <c r="M12" s="50">
        <v>98.15</v>
      </c>
      <c r="N12" s="50">
        <v>0</v>
      </c>
      <c r="O12" s="50">
        <v>0</v>
      </c>
      <c r="P12" s="50">
        <v>0.46</v>
      </c>
      <c r="Q12" s="50">
        <v>5.57</v>
      </c>
    </row>
    <row r="13" spans="1:21" customFormat="1">
      <c r="A13" s="49">
        <v>45177.208333333336</v>
      </c>
      <c r="B13" s="50">
        <v>11.21</v>
      </c>
      <c r="C13" s="50">
        <v>16.48</v>
      </c>
      <c r="D13" s="50">
        <v>18.95</v>
      </c>
      <c r="E13" s="50">
        <v>7.91</v>
      </c>
      <c r="F13" s="50">
        <v>5.22</v>
      </c>
      <c r="G13" s="50">
        <v>7.13</v>
      </c>
      <c r="H13" s="50">
        <v>2.98</v>
      </c>
      <c r="I13" s="50">
        <v>3.3</v>
      </c>
      <c r="J13" s="50">
        <v>0.33</v>
      </c>
      <c r="K13" s="50">
        <v>262.58</v>
      </c>
      <c r="L13" s="50">
        <v>24.98</v>
      </c>
      <c r="M13" s="50">
        <v>97.44</v>
      </c>
      <c r="N13" s="50">
        <v>0</v>
      </c>
      <c r="O13" s="50">
        <v>0</v>
      </c>
      <c r="P13" s="50">
        <v>0.45</v>
      </c>
      <c r="Q13" s="50">
        <v>5.59</v>
      </c>
    </row>
    <row r="14" spans="1:21" customFormat="1">
      <c r="A14" s="49">
        <v>45177.25</v>
      </c>
      <c r="B14" s="50">
        <v>11.33</v>
      </c>
      <c r="C14" s="50">
        <v>16.66</v>
      </c>
      <c r="D14" s="50">
        <v>19.12</v>
      </c>
      <c r="E14" s="50">
        <v>7.89</v>
      </c>
      <c r="F14" s="50">
        <v>5.16</v>
      </c>
      <c r="G14" s="50">
        <v>5.0999999999999996</v>
      </c>
      <c r="H14" s="50">
        <v>2.98</v>
      </c>
      <c r="I14" s="50">
        <v>3.25</v>
      </c>
      <c r="J14" s="50">
        <v>0.11</v>
      </c>
      <c r="K14" s="50">
        <v>276.02999999999997</v>
      </c>
      <c r="L14" s="50">
        <v>24.99</v>
      </c>
      <c r="M14" s="50">
        <v>97.66</v>
      </c>
      <c r="N14" s="50">
        <v>1.1000000000000001</v>
      </c>
      <c r="O14" s="50">
        <v>0</v>
      </c>
      <c r="P14" s="50">
        <v>0.44</v>
      </c>
      <c r="Q14" s="50">
        <v>5.6</v>
      </c>
    </row>
    <row r="15" spans="1:21" customFormat="1">
      <c r="A15" s="49">
        <v>45177.291666666664</v>
      </c>
      <c r="B15" s="50">
        <v>11.68</v>
      </c>
      <c r="C15" s="50">
        <v>16.43</v>
      </c>
      <c r="D15" s="50">
        <v>19.23</v>
      </c>
      <c r="E15" s="50">
        <v>7.96</v>
      </c>
      <c r="F15" s="50">
        <v>5.19</v>
      </c>
      <c r="G15" s="50">
        <v>4.3</v>
      </c>
      <c r="H15" s="50">
        <v>2.74</v>
      </c>
      <c r="I15" s="50">
        <v>3.22</v>
      </c>
      <c r="J15" s="50">
        <v>0.13</v>
      </c>
      <c r="K15" s="50">
        <v>225.86</v>
      </c>
      <c r="L15" s="50">
        <v>25.53</v>
      </c>
      <c r="M15" s="50">
        <v>97.22</v>
      </c>
      <c r="N15" s="50">
        <v>60.9</v>
      </c>
      <c r="O15" s="50">
        <v>0</v>
      </c>
      <c r="P15" s="50">
        <v>0.45</v>
      </c>
      <c r="Q15" s="50">
        <v>5.6</v>
      </c>
    </row>
    <row r="16" spans="1:21" customFormat="1">
      <c r="A16" s="49">
        <v>45177.333333333336</v>
      </c>
      <c r="B16" s="50">
        <v>11.91</v>
      </c>
      <c r="C16" s="50">
        <v>16.62</v>
      </c>
      <c r="D16" s="50">
        <v>19.46</v>
      </c>
      <c r="E16" s="50">
        <v>8.31</v>
      </c>
      <c r="F16" s="50">
        <v>5.59</v>
      </c>
      <c r="G16" s="50">
        <v>4.32</v>
      </c>
      <c r="H16" s="50">
        <v>2.09</v>
      </c>
      <c r="I16" s="50">
        <v>3.26</v>
      </c>
      <c r="J16" s="50">
        <v>0.21</v>
      </c>
      <c r="K16" s="50">
        <v>267.92</v>
      </c>
      <c r="L16" s="50">
        <v>26.19</v>
      </c>
      <c r="M16" s="50">
        <v>94.42</v>
      </c>
      <c r="N16" s="50">
        <v>98.5</v>
      </c>
      <c r="O16" s="50">
        <v>0</v>
      </c>
      <c r="P16" s="50">
        <v>0.44</v>
      </c>
      <c r="Q16" s="50">
        <v>5.64</v>
      </c>
    </row>
    <row r="17" spans="1:17" customFormat="1">
      <c r="A17" s="49">
        <v>45177.375</v>
      </c>
      <c r="B17" s="50">
        <v>11.76</v>
      </c>
      <c r="C17" s="50">
        <v>16.760000000000002</v>
      </c>
      <c r="D17" s="50">
        <v>19.46</v>
      </c>
      <c r="E17" s="50">
        <v>8.0299999999999994</v>
      </c>
      <c r="F17" s="50">
        <v>5.45</v>
      </c>
      <c r="G17" s="50">
        <v>5.34</v>
      </c>
      <c r="H17" s="50">
        <v>1.57</v>
      </c>
      <c r="I17" s="50">
        <v>3.31</v>
      </c>
      <c r="J17" s="50">
        <v>0.17</v>
      </c>
      <c r="K17" s="50">
        <v>266.54000000000002</v>
      </c>
      <c r="L17" s="50">
        <v>26.65</v>
      </c>
      <c r="M17" s="50">
        <v>93.42</v>
      </c>
      <c r="N17" s="50">
        <v>177.7</v>
      </c>
      <c r="O17" s="50">
        <v>0</v>
      </c>
      <c r="P17" s="50">
        <v>0.45</v>
      </c>
      <c r="Q17" s="50">
        <v>5.63</v>
      </c>
    </row>
    <row r="18" spans="1:17" customFormat="1">
      <c r="A18" s="49">
        <v>45177.416666666664</v>
      </c>
      <c r="B18" s="50">
        <v>11.46</v>
      </c>
      <c r="C18" s="50">
        <v>15.96</v>
      </c>
      <c r="D18" s="50">
        <v>18.559999999999999</v>
      </c>
      <c r="E18" s="50">
        <v>7.49</v>
      </c>
      <c r="F18" s="50">
        <v>5.55</v>
      </c>
      <c r="G18" s="50">
        <v>5.41</v>
      </c>
      <c r="H18" s="50">
        <v>1.44</v>
      </c>
      <c r="I18" s="50">
        <v>3.22</v>
      </c>
      <c r="J18" s="50">
        <v>0.2</v>
      </c>
      <c r="K18" s="50">
        <v>264.52</v>
      </c>
      <c r="L18" s="50">
        <v>28.23</v>
      </c>
      <c r="M18" s="50">
        <v>89.26</v>
      </c>
      <c r="N18" s="50">
        <v>344.8</v>
      </c>
      <c r="O18" s="50">
        <v>0</v>
      </c>
      <c r="P18" s="50">
        <v>0.43</v>
      </c>
      <c r="Q18" s="50">
        <v>5.59</v>
      </c>
    </row>
    <row r="19" spans="1:17" customFormat="1">
      <c r="A19" s="49">
        <v>45177.458333333336</v>
      </c>
      <c r="B19" s="50">
        <v>11.42</v>
      </c>
      <c r="C19" s="50">
        <v>16.25</v>
      </c>
      <c r="D19" s="50">
        <v>19</v>
      </c>
      <c r="E19" s="50">
        <v>7.89</v>
      </c>
      <c r="F19" s="50">
        <v>5.0999999999999996</v>
      </c>
      <c r="G19" s="50">
        <v>4.24</v>
      </c>
      <c r="H19" s="50">
        <v>1.05</v>
      </c>
      <c r="I19" s="50">
        <v>3.27</v>
      </c>
      <c r="J19" s="50">
        <v>0.1</v>
      </c>
      <c r="K19" s="50">
        <v>236.35</v>
      </c>
      <c r="L19" s="50">
        <v>28.16</v>
      </c>
      <c r="M19" s="50">
        <v>88.54</v>
      </c>
      <c r="N19" s="50">
        <v>422.1</v>
      </c>
      <c r="O19" s="50">
        <v>0</v>
      </c>
      <c r="P19" s="50">
        <v>0.44</v>
      </c>
      <c r="Q19" s="50">
        <v>5.63</v>
      </c>
    </row>
    <row r="20" spans="1:17" customFormat="1">
      <c r="A20" s="49">
        <v>45177.5</v>
      </c>
      <c r="B20" s="50">
        <v>10.16</v>
      </c>
      <c r="C20" s="50">
        <v>15.41</v>
      </c>
      <c r="D20" s="50">
        <v>17.55</v>
      </c>
      <c r="E20" s="50">
        <v>7.21</v>
      </c>
      <c r="F20" s="50">
        <v>8.08</v>
      </c>
      <c r="G20" s="11" t="s">
        <v>12</v>
      </c>
      <c r="H20" s="11" t="s">
        <v>12</v>
      </c>
      <c r="I20" s="50">
        <v>3.25</v>
      </c>
      <c r="J20" s="50">
        <v>0.28999999999999998</v>
      </c>
      <c r="K20" s="50">
        <v>251.96</v>
      </c>
      <c r="L20" s="50">
        <v>27.11</v>
      </c>
      <c r="M20" s="50">
        <v>95.13</v>
      </c>
      <c r="N20" s="50">
        <v>131.30000000000001</v>
      </c>
      <c r="O20" s="50">
        <v>0.4</v>
      </c>
      <c r="P20" s="50">
        <v>0.46</v>
      </c>
      <c r="Q20" s="50">
        <v>5.62</v>
      </c>
    </row>
    <row r="21" spans="1:17" customFormat="1">
      <c r="A21" s="49">
        <v>45177.541666666664</v>
      </c>
      <c r="B21" s="50">
        <v>9.19</v>
      </c>
      <c r="C21" s="50">
        <v>15.98</v>
      </c>
      <c r="D21" s="50">
        <v>16.87</v>
      </c>
      <c r="E21" s="50">
        <v>7.39</v>
      </c>
      <c r="F21" s="50">
        <v>6.6</v>
      </c>
      <c r="G21" s="11" t="s">
        <v>12</v>
      </c>
      <c r="H21" s="11" t="s">
        <v>12</v>
      </c>
      <c r="I21" s="50">
        <v>3.13</v>
      </c>
      <c r="J21" s="50">
        <v>0.71</v>
      </c>
      <c r="K21" s="50">
        <v>258.77</v>
      </c>
      <c r="L21" s="50">
        <v>27.09</v>
      </c>
      <c r="M21" s="50">
        <v>93.61</v>
      </c>
      <c r="N21" s="50">
        <v>232.4</v>
      </c>
      <c r="O21" s="50">
        <v>0</v>
      </c>
      <c r="P21" s="50">
        <v>0.45</v>
      </c>
      <c r="Q21" s="50">
        <v>5.6</v>
      </c>
    </row>
    <row r="22" spans="1:17" customFormat="1">
      <c r="A22" s="49">
        <v>45177.583333333336</v>
      </c>
      <c r="B22" s="50">
        <v>8.85</v>
      </c>
      <c r="C22" s="50">
        <v>16.41</v>
      </c>
      <c r="D22" s="50">
        <v>16.7</v>
      </c>
      <c r="E22" s="50">
        <v>6.86</v>
      </c>
      <c r="F22" s="50">
        <v>5.65</v>
      </c>
      <c r="G22" s="50">
        <v>0.27</v>
      </c>
      <c r="H22" s="50">
        <v>0.02</v>
      </c>
      <c r="I22" s="50">
        <v>3.13</v>
      </c>
      <c r="J22" s="50">
        <v>0.7</v>
      </c>
      <c r="K22" s="50">
        <v>265.64</v>
      </c>
      <c r="L22" s="50">
        <v>27.9</v>
      </c>
      <c r="M22" s="50">
        <v>87.31</v>
      </c>
      <c r="N22" s="50">
        <v>257.60000000000002</v>
      </c>
      <c r="O22" s="50">
        <v>0</v>
      </c>
      <c r="P22" s="50">
        <v>0.45</v>
      </c>
      <c r="Q22" s="50">
        <v>5.58</v>
      </c>
    </row>
    <row r="23" spans="1:17" customFormat="1">
      <c r="A23" s="49">
        <v>45177.625</v>
      </c>
      <c r="B23" s="50">
        <v>7.91</v>
      </c>
      <c r="C23" s="50">
        <v>16.579999999999998</v>
      </c>
      <c r="D23" s="50">
        <v>16.350000000000001</v>
      </c>
      <c r="E23" s="50">
        <v>6.24</v>
      </c>
      <c r="F23" s="50">
        <v>5.84</v>
      </c>
      <c r="G23" s="50">
        <v>2.08</v>
      </c>
      <c r="H23" s="50">
        <v>0.06</v>
      </c>
      <c r="I23" s="50">
        <v>3.05</v>
      </c>
      <c r="J23" s="50">
        <v>0.87</v>
      </c>
      <c r="K23" s="50">
        <v>260.52999999999997</v>
      </c>
      <c r="L23" s="50">
        <v>27.49</v>
      </c>
      <c r="M23" s="50">
        <v>86.62</v>
      </c>
      <c r="N23" s="50">
        <v>196.6</v>
      </c>
      <c r="O23" s="50">
        <v>0</v>
      </c>
      <c r="P23" s="50">
        <v>0.44</v>
      </c>
      <c r="Q23" s="50">
        <v>5.59</v>
      </c>
    </row>
    <row r="24" spans="1:17" customFormat="1">
      <c r="A24" s="49">
        <v>45177.666666666664</v>
      </c>
      <c r="B24" s="50">
        <v>7.08</v>
      </c>
      <c r="C24" s="50">
        <v>17.329999999999998</v>
      </c>
      <c r="D24" s="50">
        <v>16.079999999999998</v>
      </c>
      <c r="E24" s="50">
        <v>6.13</v>
      </c>
      <c r="F24" s="50">
        <v>5.51</v>
      </c>
      <c r="G24" s="50">
        <v>4.3499999999999996</v>
      </c>
      <c r="H24" s="50">
        <v>0.78</v>
      </c>
      <c r="I24" s="50">
        <v>2.94</v>
      </c>
      <c r="J24" s="50">
        <v>0.43</v>
      </c>
      <c r="K24" s="50">
        <v>256.44</v>
      </c>
      <c r="L24" s="50">
        <v>27.64</v>
      </c>
      <c r="M24" s="50">
        <v>86.07</v>
      </c>
      <c r="N24" s="50">
        <v>176.7</v>
      </c>
      <c r="O24" s="50">
        <v>0</v>
      </c>
      <c r="P24" s="50">
        <v>0.44</v>
      </c>
      <c r="Q24" s="50">
        <v>5.49</v>
      </c>
    </row>
    <row r="25" spans="1:17" customFormat="1">
      <c r="A25" s="49">
        <v>45177.708333333336</v>
      </c>
      <c r="B25" s="50">
        <v>7.45</v>
      </c>
      <c r="C25" s="50">
        <v>17.809999999999999</v>
      </c>
      <c r="D25" s="50">
        <v>16.45</v>
      </c>
      <c r="E25" s="50">
        <v>6.72</v>
      </c>
      <c r="F25" s="50">
        <v>5.27</v>
      </c>
      <c r="G25" s="50">
        <v>5.6</v>
      </c>
      <c r="H25" s="50">
        <v>2.15</v>
      </c>
      <c r="I25" s="50">
        <v>2.91</v>
      </c>
      <c r="J25" s="50">
        <v>0.54</v>
      </c>
      <c r="K25" s="50">
        <v>259.26</v>
      </c>
      <c r="L25" s="50">
        <v>27.41</v>
      </c>
      <c r="M25" s="50">
        <v>84.77</v>
      </c>
      <c r="N25" s="50">
        <v>101.9</v>
      </c>
      <c r="O25" s="50">
        <v>0</v>
      </c>
      <c r="P25" s="50">
        <v>0.44</v>
      </c>
      <c r="Q25" s="50">
        <v>5.53</v>
      </c>
    </row>
    <row r="26" spans="1:17" customFormat="1">
      <c r="A26" s="49">
        <v>45177.75</v>
      </c>
      <c r="B26" s="50">
        <v>7.47</v>
      </c>
      <c r="C26" s="50">
        <v>16.53</v>
      </c>
      <c r="D26" s="50">
        <v>15.97</v>
      </c>
      <c r="E26" s="50">
        <v>6.33</v>
      </c>
      <c r="F26" s="50">
        <v>6.65</v>
      </c>
      <c r="G26" s="50">
        <v>6.1</v>
      </c>
      <c r="H26" s="50">
        <v>2.97</v>
      </c>
      <c r="I26" s="50">
        <v>2.87</v>
      </c>
      <c r="J26" s="50">
        <v>0.49</v>
      </c>
      <c r="K26" s="50">
        <v>258.87</v>
      </c>
      <c r="L26" s="50">
        <v>27.07</v>
      </c>
      <c r="M26" s="50">
        <v>86.37</v>
      </c>
      <c r="N26" s="50">
        <v>43.4</v>
      </c>
      <c r="O26" s="50">
        <v>0</v>
      </c>
      <c r="P26" s="50">
        <v>0.41</v>
      </c>
      <c r="Q26" s="50">
        <v>5.51</v>
      </c>
    </row>
    <row r="27" spans="1:17" customFormat="1">
      <c r="A27" s="49">
        <v>45177.791666666664</v>
      </c>
      <c r="B27" s="50">
        <v>7.69</v>
      </c>
      <c r="C27" s="50">
        <v>18.309999999999999</v>
      </c>
      <c r="D27" s="50">
        <v>16.899999999999999</v>
      </c>
      <c r="E27" s="50">
        <v>8.9700000000000006</v>
      </c>
      <c r="F27" s="50">
        <v>6.6</v>
      </c>
      <c r="G27" s="50">
        <v>4.75</v>
      </c>
      <c r="H27" s="50">
        <v>3.27</v>
      </c>
      <c r="I27" s="50">
        <v>2.76</v>
      </c>
      <c r="J27" s="50">
        <v>0.31</v>
      </c>
      <c r="K27" s="50">
        <v>258.16000000000003</v>
      </c>
      <c r="L27" s="50">
        <v>26.45</v>
      </c>
      <c r="M27" s="50">
        <v>88.75</v>
      </c>
      <c r="N27" s="50">
        <v>0</v>
      </c>
      <c r="O27" s="50">
        <v>0</v>
      </c>
      <c r="P27" s="50">
        <v>0.43</v>
      </c>
      <c r="Q27" s="50">
        <v>5.54</v>
      </c>
    </row>
    <row r="28" spans="1:17" customFormat="1">
      <c r="A28" s="49">
        <v>45177.833333333336</v>
      </c>
      <c r="B28" s="50">
        <v>7.65</v>
      </c>
      <c r="C28" s="50">
        <v>16.82</v>
      </c>
      <c r="D28" s="50">
        <v>16.27</v>
      </c>
      <c r="E28" s="50">
        <v>8.91</v>
      </c>
      <c r="F28" s="50">
        <v>7.19</v>
      </c>
      <c r="G28" s="50">
        <v>4.18</v>
      </c>
      <c r="H28" s="50">
        <v>2.63</v>
      </c>
      <c r="I28" s="50">
        <v>2.91</v>
      </c>
      <c r="J28" s="50">
        <v>0.23</v>
      </c>
      <c r="K28" s="50">
        <v>259.66000000000003</v>
      </c>
      <c r="L28" s="50">
        <v>26.05</v>
      </c>
      <c r="M28" s="50">
        <v>90.16</v>
      </c>
      <c r="N28" s="50">
        <v>0</v>
      </c>
      <c r="O28" s="50">
        <v>0</v>
      </c>
      <c r="P28" s="50">
        <v>0.42</v>
      </c>
      <c r="Q28" s="50">
        <v>5.51</v>
      </c>
    </row>
    <row r="29" spans="1:17" customFormat="1">
      <c r="A29" s="49">
        <v>45177.875</v>
      </c>
      <c r="B29" s="50">
        <v>8.48</v>
      </c>
      <c r="C29" s="50">
        <v>18.37</v>
      </c>
      <c r="D29" s="50">
        <v>17.47</v>
      </c>
      <c r="E29" s="50">
        <v>9.0399999999999991</v>
      </c>
      <c r="F29" s="50">
        <v>5.58</v>
      </c>
      <c r="G29" s="50">
        <v>5.47</v>
      </c>
      <c r="H29" s="50">
        <v>2.1800000000000002</v>
      </c>
      <c r="I29" s="50">
        <v>2.98</v>
      </c>
      <c r="J29" s="50">
        <v>0.24</v>
      </c>
      <c r="K29" s="50">
        <v>244.62</v>
      </c>
      <c r="L29" s="50">
        <v>26.13</v>
      </c>
      <c r="M29" s="50">
        <v>89.85</v>
      </c>
      <c r="N29" s="50">
        <v>0</v>
      </c>
      <c r="O29" s="50">
        <v>0</v>
      </c>
      <c r="P29" s="50">
        <v>0.46</v>
      </c>
      <c r="Q29" s="50">
        <v>5.58</v>
      </c>
    </row>
    <row r="30" spans="1:17" customFormat="1">
      <c r="A30" s="49">
        <v>45177.916666666664</v>
      </c>
      <c r="B30" s="50">
        <v>8.4499999999999993</v>
      </c>
      <c r="C30" s="50">
        <v>16.28</v>
      </c>
      <c r="D30" s="50">
        <v>16.63</v>
      </c>
      <c r="E30" s="50">
        <v>8.9700000000000006</v>
      </c>
      <c r="F30" s="50">
        <v>6.52</v>
      </c>
      <c r="G30" s="50">
        <v>6.08</v>
      </c>
      <c r="H30" s="50">
        <v>1.85</v>
      </c>
      <c r="I30" s="50">
        <v>2.94</v>
      </c>
      <c r="J30" s="50">
        <v>0.33</v>
      </c>
      <c r="K30" s="50">
        <v>259.08999999999997</v>
      </c>
      <c r="L30" s="50">
        <v>26.08</v>
      </c>
      <c r="M30" s="50">
        <v>89.56</v>
      </c>
      <c r="N30" s="50">
        <v>0</v>
      </c>
      <c r="O30" s="50">
        <v>0</v>
      </c>
      <c r="P30" s="50">
        <v>0.43</v>
      </c>
      <c r="Q30" s="50">
        <v>5.54</v>
      </c>
    </row>
    <row r="31" spans="1:17" customFormat="1">
      <c r="A31" s="49">
        <v>45177.958333333336</v>
      </c>
      <c r="B31" s="50">
        <v>8.73</v>
      </c>
      <c r="C31" s="50">
        <v>18.03</v>
      </c>
      <c r="D31" s="50">
        <v>17.670000000000002</v>
      </c>
      <c r="E31" s="50">
        <v>9.8000000000000007</v>
      </c>
      <c r="F31" s="50">
        <v>5.98</v>
      </c>
      <c r="G31" s="50">
        <v>7.5</v>
      </c>
      <c r="H31" s="50">
        <v>3.17</v>
      </c>
      <c r="I31" s="50">
        <v>3</v>
      </c>
      <c r="J31" s="50">
        <v>0.34</v>
      </c>
      <c r="K31" s="50">
        <v>258.67</v>
      </c>
      <c r="L31" s="50">
        <v>25.72</v>
      </c>
      <c r="M31" s="50">
        <v>89.97</v>
      </c>
      <c r="N31" s="50">
        <v>0</v>
      </c>
      <c r="O31" s="50">
        <v>0</v>
      </c>
      <c r="P31" s="50">
        <v>0.43</v>
      </c>
      <c r="Q31" s="50">
        <v>5.58</v>
      </c>
    </row>
    <row r="32" spans="1:17" customFormat="1">
      <c r="A32" s="49">
        <v>45178</v>
      </c>
      <c r="B32" s="50">
        <v>9.11</v>
      </c>
      <c r="C32" s="50">
        <v>17.95</v>
      </c>
      <c r="D32" s="50">
        <v>17.87</v>
      </c>
      <c r="E32" s="50">
        <v>9.57</v>
      </c>
      <c r="F32" s="50">
        <v>5.99</v>
      </c>
      <c r="G32" s="50">
        <v>9.01</v>
      </c>
      <c r="H32" s="50">
        <v>4.22</v>
      </c>
      <c r="I32" s="50">
        <v>3.01</v>
      </c>
      <c r="J32" s="50">
        <v>0.28000000000000003</v>
      </c>
      <c r="K32" s="50">
        <v>255.35</v>
      </c>
      <c r="L32" s="50">
        <v>25.45</v>
      </c>
      <c r="M32" s="50">
        <v>90.51</v>
      </c>
      <c r="N32" s="50">
        <v>0</v>
      </c>
      <c r="O32" s="50">
        <v>0</v>
      </c>
      <c r="P32" s="50">
        <v>0.43</v>
      </c>
      <c r="Q32" s="50">
        <v>5.55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7.08</v>
      </c>
      <c r="C34" s="40">
        <f t="shared" si="0"/>
        <v>15.41</v>
      </c>
      <c r="D34" s="40">
        <f t="shared" si="0"/>
        <v>15.97</v>
      </c>
      <c r="E34" s="40">
        <f t="shared" si="0"/>
        <v>6.13</v>
      </c>
      <c r="F34" s="40">
        <f t="shared" si="0"/>
        <v>5.0999999999999996</v>
      </c>
      <c r="G34" s="40">
        <f t="shared" si="0"/>
        <v>0.27</v>
      </c>
      <c r="H34" s="40">
        <f t="shared" si="0"/>
        <v>0.02</v>
      </c>
      <c r="I34" s="40">
        <f t="shared" si="0"/>
        <v>2.76</v>
      </c>
      <c r="J34" s="40">
        <f t="shared" si="0"/>
        <v>0.1</v>
      </c>
      <c r="K34" s="40">
        <f t="shared" si="0"/>
        <v>225.86</v>
      </c>
      <c r="L34" s="40">
        <f t="shared" si="0"/>
        <v>24.98</v>
      </c>
      <c r="M34" s="40">
        <f t="shared" si="0"/>
        <v>84.77</v>
      </c>
      <c r="N34" s="40">
        <f t="shared" si="0"/>
        <v>0</v>
      </c>
      <c r="O34" s="40">
        <f t="shared" si="0"/>
        <v>0</v>
      </c>
      <c r="P34" s="40">
        <f t="shared" si="0"/>
        <v>0.41</v>
      </c>
      <c r="Q34" s="40">
        <f t="shared" si="0"/>
        <v>5.49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11.91</v>
      </c>
      <c r="C35" s="33">
        <f t="shared" si="1"/>
        <v>18.37</v>
      </c>
      <c r="D35" s="33">
        <f t="shared" si="1"/>
        <v>19.46</v>
      </c>
      <c r="E35" s="33">
        <f t="shared" si="1"/>
        <v>9.8000000000000007</v>
      </c>
      <c r="F35" s="33">
        <f t="shared" si="1"/>
        <v>8.08</v>
      </c>
      <c r="G35" s="33">
        <f t="shared" si="1"/>
        <v>9.01</v>
      </c>
      <c r="H35" s="33">
        <f t="shared" si="1"/>
        <v>4.22</v>
      </c>
      <c r="I35" s="33">
        <f t="shared" si="1"/>
        <v>3.46</v>
      </c>
      <c r="J35" s="33">
        <f t="shared" si="1"/>
        <v>0.87</v>
      </c>
      <c r="K35" s="33">
        <f t="shared" si="1"/>
        <v>276.02999999999997</v>
      </c>
      <c r="L35" s="33">
        <f t="shared" si="1"/>
        <v>28.23</v>
      </c>
      <c r="M35" s="33">
        <f t="shared" si="1"/>
        <v>98.32</v>
      </c>
      <c r="N35" s="33">
        <f t="shared" si="1"/>
        <v>422.1</v>
      </c>
      <c r="O35" s="33">
        <f t="shared" si="1"/>
        <v>0.4</v>
      </c>
      <c r="P35" s="33">
        <f t="shared" si="1"/>
        <v>0.49</v>
      </c>
      <c r="Q35" s="33">
        <f t="shared" si="1"/>
        <v>5.64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9.6499999999999986</v>
      </c>
      <c r="C36" s="40">
        <f t="shared" si="2"/>
        <v>16.78041666666666</v>
      </c>
      <c r="D36" s="40">
        <f t="shared" si="2"/>
        <v>17.76125</v>
      </c>
      <c r="E36" s="40">
        <f t="shared" si="2"/>
        <v>7.8908333333333323</v>
      </c>
      <c r="F36" s="40">
        <f t="shared" si="2"/>
        <v>5.8537500000000007</v>
      </c>
      <c r="G36" s="40">
        <f t="shared" si="2"/>
        <v>5.4413636363636355</v>
      </c>
      <c r="H36" s="40">
        <f t="shared" si="2"/>
        <v>2.063181818181818</v>
      </c>
      <c r="I36" s="40">
        <f t="shared" si="2"/>
        <v>3.1395833333333338</v>
      </c>
      <c r="J36" s="40">
        <f t="shared" si="2"/>
        <v>0.32750000000000001</v>
      </c>
      <c r="K36" s="40">
        <f t="shared" si="2"/>
        <v>256.28041666666667</v>
      </c>
      <c r="L36" s="40">
        <f t="shared" si="2"/>
        <v>26.360416666666669</v>
      </c>
      <c r="M36" s="40">
        <f t="shared" si="2"/>
        <v>92.053749999999994</v>
      </c>
      <c r="N36" s="40">
        <f t="shared" si="2"/>
        <v>93.541666666666671</v>
      </c>
      <c r="O36" s="40">
        <f t="shared" si="2"/>
        <v>2.5000000000000005E-2</v>
      </c>
      <c r="P36" s="40">
        <f t="shared" si="2"/>
        <v>0.44583333333333336</v>
      </c>
      <c r="Q36" s="40">
        <f t="shared" si="2"/>
        <v>5.5704166666666675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1.6370997685461759</v>
      </c>
      <c r="C37" s="40">
        <f t="shared" ref="C37:Q37" si="3">STDEV(C9:C32)</f>
        <v>0.7966477546116425</v>
      </c>
      <c r="D37" s="40">
        <f t="shared" si="3"/>
        <v>1.1774560362880819</v>
      </c>
      <c r="E37" s="40">
        <f t="shared" si="3"/>
        <v>1.0022319295351434</v>
      </c>
      <c r="F37" s="40">
        <f t="shared" si="3"/>
        <v>0.74866148674759614</v>
      </c>
      <c r="G37" s="40">
        <f t="shared" si="3"/>
        <v>1.9526058180082067</v>
      </c>
      <c r="H37" s="40">
        <f t="shared" si="3"/>
        <v>1.0418636523700546</v>
      </c>
      <c r="I37" s="40">
        <f t="shared" si="3"/>
        <v>0.19740664643817749</v>
      </c>
      <c r="J37" s="40">
        <f t="shared" si="3"/>
        <v>0.21108930729000441</v>
      </c>
      <c r="K37" s="40">
        <f t="shared" si="3"/>
        <v>11.302380464605266</v>
      </c>
      <c r="L37" s="40">
        <f t="shared" si="3"/>
        <v>1.0900916561649285</v>
      </c>
      <c r="M37" s="40">
        <f t="shared" si="3"/>
        <v>4.5754332771784343</v>
      </c>
      <c r="N37" s="40">
        <f t="shared" si="3"/>
        <v>123.67432659194478</v>
      </c>
      <c r="O37" s="40">
        <f t="shared" si="3"/>
        <v>8.9685440629288141E-2</v>
      </c>
      <c r="P37" s="40">
        <f t="shared" si="3"/>
        <v>1.9318084941243568E-2</v>
      </c>
      <c r="Q37" s="40">
        <f t="shared" si="3"/>
        <v>4.1123268211631606E-2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45178.041666666664</v>
      </c>
      <c r="B9" s="50">
        <v>10.82</v>
      </c>
      <c r="C9" s="50">
        <v>18.61</v>
      </c>
      <c r="D9" s="50">
        <v>19.649999999999999</v>
      </c>
      <c r="E9" s="50">
        <v>10.199999999999999</v>
      </c>
      <c r="F9" s="50">
        <v>5.69</v>
      </c>
      <c r="G9" s="50">
        <v>7.93</v>
      </c>
      <c r="H9" s="50">
        <v>4.55</v>
      </c>
      <c r="I9" s="50">
        <v>3</v>
      </c>
      <c r="J9" s="50">
        <v>0.2</v>
      </c>
      <c r="K9" s="50">
        <v>258.97000000000003</v>
      </c>
      <c r="L9" s="50">
        <v>25.42</v>
      </c>
      <c r="M9" s="50">
        <v>91.72</v>
      </c>
      <c r="N9" s="50">
        <v>0</v>
      </c>
      <c r="O9" s="50">
        <v>0</v>
      </c>
      <c r="P9" s="50">
        <v>0.42</v>
      </c>
      <c r="Q9" s="50">
        <v>5.57</v>
      </c>
    </row>
    <row r="10" spans="1:21" customFormat="1">
      <c r="A10" s="49">
        <v>45178.083333333336</v>
      </c>
      <c r="B10" s="50">
        <v>11.28</v>
      </c>
      <c r="C10" s="50">
        <v>17.97</v>
      </c>
      <c r="D10" s="50">
        <v>19.62</v>
      </c>
      <c r="E10" s="50">
        <v>10.41</v>
      </c>
      <c r="F10" s="50">
        <v>5.24</v>
      </c>
      <c r="G10" s="50">
        <v>8.92</v>
      </c>
      <c r="H10" s="50">
        <v>3.35</v>
      </c>
      <c r="I10" s="50">
        <v>2.95</v>
      </c>
      <c r="J10" s="50">
        <v>0.16</v>
      </c>
      <c r="K10" s="50">
        <v>266.47000000000003</v>
      </c>
      <c r="L10" s="50">
        <v>25.26</v>
      </c>
      <c r="M10" s="50">
        <v>93.31</v>
      </c>
      <c r="N10" s="50">
        <v>0</v>
      </c>
      <c r="O10" s="50">
        <v>0</v>
      </c>
      <c r="P10" s="50">
        <v>0.44</v>
      </c>
      <c r="Q10" s="50">
        <v>5.59</v>
      </c>
    </row>
    <row r="11" spans="1:21" customFormat="1">
      <c r="A11" s="49">
        <v>45178.125</v>
      </c>
      <c r="B11" s="50">
        <v>11.52</v>
      </c>
      <c r="C11" s="50">
        <v>17.34</v>
      </c>
      <c r="D11" s="50">
        <v>19.649999999999999</v>
      </c>
      <c r="E11" s="50">
        <v>8.18</v>
      </c>
      <c r="F11" s="50">
        <v>5.24</v>
      </c>
      <c r="G11" s="50">
        <v>7.23</v>
      </c>
      <c r="H11" s="50">
        <v>2.52</v>
      </c>
      <c r="I11" s="50">
        <v>2.98</v>
      </c>
      <c r="J11" s="50">
        <v>0.13</v>
      </c>
      <c r="K11" s="50">
        <v>274.01</v>
      </c>
      <c r="L11" s="50">
        <v>25.29</v>
      </c>
      <c r="M11" s="50">
        <v>94.36</v>
      </c>
      <c r="N11" s="50">
        <v>0</v>
      </c>
      <c r="O11" s="50">
        <v>0</v>
      </c>
      <c r="P11" s="50">
        <v>0.43</v>
      </c>
      <c r="Q11" s="50">
        <v>5.6</v>
      </c>
    </row>
    <row r="12" spans="1:21" customFormat="1">
      <c r="A12" s="49">
        <v>45178.166666666664</v>
      </c>
      <c r="B12" s="50">
        <v>11.91</v>
      </c>
      <c r="C12" s="50">
        <v>16.75</v>
      </c>
      <c r="D12" s="50">
        <v>19.61</v>
      </c>
      <c r="E12" s="50">
        <v>8.19</v>
      </c>
      <c r="F12" s="50">
        <v>5.15</v>
      </c>
      <c r="G12" s="50">
        <v>7.8</v>
      </c>
      <c r="H12" s="50">
        <v>2.12</v>
      </c>
      <c r="I12" s="50">
        <v>2.94</v>
      </c>
      <c r="J12" s="50">
        <v>0.25</v>
      </c>
      <c r="K12" s="50">
        <v>288.33999999999997</v>
      </c>
      <c r="L12" s="50">
        <v>25.27</v>
      </c>
      <c r="M12" s="50">
        <v>93.43</v>
      </c>
      <c r="N12" s="50">
        <v>0</v>
      </c>
      <c r="O12" s="50">
        <v>0</v>
      </c>
      <c r="P12" s="50">
        <v>0.41</v>
      </c>
      <c r="Q12" s="50">
        <v>5.62</v>
      </c>
    </row>
    <row r="13" spans="1:21" customFormat="1">
      <c r="A13" s="49">
        <v>45178.208333333336</v>
      </c>
      <c r="B13" s="50">
        <v>12.05</v>
      </c>
      <c r="C13" s="50">
        <v>16.95</v>
      </c>
      <c r="D13" s="50">
        <v>19.87</v>
      </c>
      <c r="E13" s="50">
        <v>8.3000000000000007</v>
      </c>
      <c r="F13" s="50">
        <v>5.22</v>
      </c>
      <c r="G13" s="50">
        <v>7.68</v>
      </c>
      <c r="H13" s="50">
        <v>3.55</v>
      </c>
      <c r="I13" s="50">
        <v>2.99</v>
      </c>
      <c r="J13" s="50">
        <v>0.12</v>
      </c>
      <c r="K13" s="50">
        <v>288.38</v>
      </c>
      <c r="L13" s="50">
        <v>25.18</v>
      </c>
      <c r="M13" s="50">
        <v>92.56</v>
      </c>
      <c r="N13" s="50">
        <v>0</v>
      </c>
      <c r="O13" s="50">
        <v>0</v>
      </c>
      <c r="P13" s="50">
        <v>0.42</v>
      </c>
      <c r="Q13" s="50">
        <v>5.65</v>
      </c>
    </row>
    <row r="14" spans="1:21" customFormat="1">
      <c r="A14" s="49">
        <v>45178.25</v>
      </c>
      <c r="B14" s="50">
        <v>12.57</v>
      </c>
      <c r="C14" s="50">
        <v>17.04</v>
      </c>
      <c r="D14" s="50">
        <v>20.329999999999998</v>
      </c>
      <c r="E14" s="50">
        <v>8.08</v>
      </c>
      <c r="F14" s="50">
        <v>5.35</v>
      </c>
      <c r="G14" s="50">
        <v>8.34</v>
      </c>
      <c r="H14" s="50">
        <v>3.98</v>
      </c>
      <c r="I14" s="50">
        <v>2.98</v>
      </c>
      <c r="J14" s="50">
        <v>0.21</v>
      </c>
      <c r="K14" s="50">
        <v>280.33</v>
      </c>
      <c r="L14" s="50">
        <v>25.16</v>
      </c>
      <c r="M14" s="50">
        <v>93.08</v>
      </c>
      <c r="N14" s="50">
        <v>0.2</v>
      </c>
      <c r="O14" s="50">
        <v>0</v>
      </c>
      <c r="P14" s="50">
        <v>0.42</v>
      </c>
      <c r="Q14" s="50">
        <v>5.66</v>
      </c>
    </row>
    <row r="15" spans="1:21" customFormat="1">
      <c r="A15" s="49">
        <v>45178.291666666664</v>
      </c>
      <c r="B15" s="50">
        <v>12.86</v>
      </c>
      <c r="C15" s="50">
        <v>18.52</v>
      </c>
      <c r="D15" s="50">
        <v>21.21</v>
      </c>
      <c r="E15" s="50">
        <v>8.59</v>
      </c>
      <c r="F15" s="50">
        <v>5.34</v>
      </c>
      <c r="G15" s="50">
        <v>7.25</v>
      </c>
      <c r="H15" s="50">
        <v>3.85</v>
      </c>
      <c r="I15" s="50">
        <v>2.98</v>
      </c>
      <c r="J15" s="50">
        <v>0.19</v>
      </c>
      <c r="K15" s="50">
        <v>283.31</v>
      </c>
      <c r="L15" s="50">
        <v>25.76</v>
      </c>
      <c r="M15" s="50">
        <v>93.28</v>
      </c>
      <c r="N15" s="50">
        <v>69.7</v>
      </c>
      <c r="O15" s="50">
        <v>0</v>
      </c>
      <c r="P15" s="50">
        <v>0.44</v>
      </c>
      <c r="Q15" s="50">
        <v>5.69</v>
      </c>
    </row>
    <row r="16" spans="1:21" customFormat="1">
      <c r="A16" s="49">
        <v>45178.333333333336</v>
      </c>
      <c r="B16" s="50">
        <v>12.61</v>
      </c>
      <c r="C16" s="50">
        <v>17.48</v>
      </c>
      <c r="D16" s="50">
        <v>20.6</v>
      </c>
      <c r="E16" s="50">
        <v>8.8800000000000008</v>
      </c>
      <c r="F16" s="50">
        <v>5.42</v>
      </c>
      <c r="G16" s="50">
        <v>6.63</v>
      </c>
      <c r="H16" s="50">
        <v>4.1100000000000003</v>
      </c>
      <c r="I16" s="50">
        <v>2.92</v>
      </c>
      <c r="J16" s="50">
        <v>0.46</v>
      </c>
      <c r="K16" s="50">
        <v>267.75</v>
      </c>
      <c r="L16" s="50">
        <v>26.44</v>
      </c>
      <c r="M16" s="50">
        <v>89.99</v>
      </c>
      <c r="N16" s="50">
        <v>150</v>
      </c>
      <c r="O16" s="50">
        <v>0</v>
      </c>
      <c r="P16" s="50">
        <v>0.42</v>
      </c>
      <c r="Q16" s="50">
        <v>5.7</v>
      </c>
    </row>
    <row r="17" spans="1:17" customFormat="1">
      <c r="A17" s="49">
        <v>45178.375</v>
      </c>
      <c r="B17" s="50">
        <v>12.57</v>
      </c>
      <c r="C17" s="50">
        <v>15.19</v>
      </c>
      <c r="D17" s="50">
        <v>19.23</v>
      </c>
      <c r="E17" s="50">
        <v>8.39</v>
      </c>
      <c r="F17" s="50">
        <v>5.59</v>
      </c>
      <c r="G17" s="50">
        <v>5.27</v>
      </c>
      <c r="H17" s="50">
        <v>3.85</v>
      </c>
      <c r="I17" s="50">
        <v>2.97</v>
      </c>
      <c r="J17" s="50">
        <v>0.69</v>
      </c>
      <c r="K17" s="50">
        <v>260.63</v>
      </c>
      <c r="L17" s="50">
        <v>27.72</v>
      </c>
      <c r="M17" s="50">
        <v>85.89</v>
      </c>
      <c r="N17" s="50">
        <v>263.2</v>
      </c>
      <c r="O17" s="50">
        <v>0</v>
      </c>
      <c r="P17" s="50">
        <v>0.4</v>
      </c>
      <c r="Q17" s="50">
        <v>5.65</v>
      </c>
    </row>
    <row r="18" spans="1:17" customFormat="1">
      <c r="A18" s="49">
        <v>45178.416666666664</v>
      </c>
      <c r="B18" s="50">
        <v>11.54</v>
      </c>
      <c r="C18" s="50">
        <v>16.68</v>
      </c>
      <c r="D18" s="50">
        <v>19.32</v>
      </c>
      <c r="E18" s="50">
        <v>8.26</v>
      </c>
      <c r="F18" s="50">
        <v>5.55</v>
      </c>
      <c r="G18" s="50">
        <v>8.26</v>
      </c>
      <c r="H18" s="50">
        <v>4.08</v>
      </c>
      <c r="I18" s="50">
        <v>2.88</v>
      </c>
      <c r="J18" s="50">
        <v>0.56999999999999995</v>
      </c>
      <c r="K18" s="50">
        <v>255.75</v>
      </c>
      <c r="L18" s="50">
        <v>27.89</v>
      </c>
      <c r="M18" s="50">
        <v>82.12</v>
      </c>
      <c r="N18" s="50">
        <v>247.6</v>
      </c>
      <c r="O18" s="50">
        <v>0</v>
      </c>
      <c r="P18" s="50">
        <v>0.41</v>
      </c>
      <c r="Q18" s="50">
        <v>5.57</v>
      </c>
    </row>
    <row r="19" spans="1:17" customFormat="1">
      <c r="A19" s="49">
        <v>45178.458333333336</v>
      </c>
      <c r="B19" s="50">
        <v>10.72</v>
      </c>
      <c r="C19" s="50">
        <v>14.68</v>
      </c>
      <c r="D19" s="50">
        <v>17.62</v>
      </c>
      <c r="E19" s="50">
        <v>7.93</v>
      </c>
      <c r="F19" s="50">
        <v>5.49</v>
      </c>
      <c r="G19" s="50">
        <v>10.23</v>
      </c>
      <c r="H19" s="50">
        <v>3</v>
      </c>
      <c r="I19" s="50">
        <v>2.85</v>
      </c>
      <c r="J19" s="50">
        <v>0.3</v>
      </c>
      <c r="K19" s="50">
        <v>254.52</v>
      </c>
      <c r="L19" s="50">
        <v>28.47</v>
      </c>
      <c r="M19" s="50">
        <v>82.96</v>
      </c>
      <c r="N19" s="50">
        <v>317.10000000000002</v>
      </c>
      <c r="O19" s="50">
        <v>0</v>
      </c>
      <c r="P19" s="50">
        <v>0.39</v>
      </c>
      <c r="Q19" s="50">
        <v>5.49</v>
      </c>
    </row>
    <row r="20" spans="1:17" customFormat="1">
      <c r="A20" s="49">
        <v>45178.5</v>
      </c>
      <c r="B20" s="50">
        <v>10.32</v>
      </c>
      <c r="C20" s="50">
        <v>16.329999999999998</v>
      </c>
      <c r="D20" s="50">
        <v>18.16</v>
      </c>
      <c r="E20" s="50">
        <v>8.16</v>
      </c>
      <c r="F20" s="50">
        <v>5.4</v>
      </c>
      <c r="G20" s="50">
        <v>8.11</v>
      </c>
      <c r="H20" s="50">
        <v>2.41</v>
      </c>
      <c r="I20" s="50">
        <v>2.87</v>
      </c>
      <c r="J20" s="50">
        <v>0.53</v>
      </c>
      <c r="K20" s="50">
        <v>260.45</v>
      </c>
      <c r="L20" s="50">
        <v>29.29</v>
      </c>
      <c r="M20" s="50">
        <v>79.02</v>
      </c>
      <c r="N20" s="50">
        <v>394.8</v>
      </c>
      <c r="O20" s="50">
        <v>0</v>
      </c>
      <c r="P20" s="50">
        <v>0.42</v>
      </c>
      <c r="Q20" s="50">
        <v>5.45</v>
      </c>
    </row>
    <row r="21" spans="1:17" customFormat="1">
      <c r="A21" s="49">
        <v>45178.541666666664</v>
      </c>
      <c r="B21" s="50">
        <v>9.9600000000000009</v>
      </c>
      <c r="C21" s="50">
        <v>14.87</v>
      </c>
      <c r="D21" s="50">
        <v>17.11</v>
      </c>
      <c r="E21" s="50">
        <v>7.73</v>
      </c>
      <c r="F21" s="50">
        <v>5.97</v>
      </c>
      <c r="G21" s="50">
        <v>5.97</v>
      </c>
      <c r="H21" s="50">
        <v>2.37</v>
      </c>
      <c r="I21" s="50">
        <v>2.85</v>
      </c>
      <c r="J21" s="50">
        <v>0.45</v>
      </c>
      <c r="K21" s="50">
        <v>255.84</v>
      </c>
      <c r="L21" s="50">
        <v>30.12</v>
      </c>
      <c r="M21" s="50">
        <v>77.77</v>
      </c>
      <c r="N21" s="50">
        <v>489.1</v>
      </c>
      <c r="O21" s="50">
        <v>0</v>
      </c>
      <c r="P21" s="50">
        <v>0.41</v>
      </c>
      <c r="Q21" s="50">
        <v>5.41</v>
      </c>
    </row>
    <row r="22" spans="1:17" customFormat="1">
      <c r="A22" s="49">
        <v>45178.583333333336</v>
      </c>
      <c r="B22" s="50">
        <v>9.3800000000000008</v>
      </c>
      <c r="C22" s="50">
        <v>14.84</v>
      </c>
      <c r="D22" s="50">
        <v>16.53</v>
      </c>
      <c r="E22" s="50">
        <v>7.68</v>
      </c>
      <c r="F22" s="50">
        <v>6.08</v>
      </c>
      <c r="G22" s="50">
        <v>4.6900000000000004</v>
      </c>
      <c r="H22" s="50">
        <v>1.77</v>
      </c>
      <c r="I22" s="50">
        <v>2.83</v>
      </c>
      <c r="J22" s="50">
        <v>0.51</v>
      </c>
      <c r="K22" s="50">
        <v>264.94</v>
      </c>
      <c r="L22" s="50">
        <v>29.97</v>
      </c>
      <c r="M22" s="50">
        <v>78.260000000000005</v>
      </c>
      <c r="N22" s="50">
        <v>336.1</v>
      </c>
      <c r="O22" s="50">
        <v>0</v>
      </c>
      <c r="P22" s="50">
        <v>0.41</v>
      </c>
      <c r="Q22" s="50">
        <v>5.34</v>
      </c>
    </row>
    <row r="23" spans="1:17" customFormat="1">
      <c r="A23" s="49">
        <v>45178.625</v>
      </c>
      <c r="B23" s="50">
        <v>8.94</v>
      </c>
      <c r="C23" s="50">
        <v>14.66</v>
      </c>
      <c r="D23" s="50">
        <v>16.14</v>
      </c>
      <c r="E23" s="50">
        <v>7.75</v>
      </c>
      <c r="F23" s="50">
        <v>7.24</v>
      </c>
      <c r="G23" s="50">
        <v>5.36</v>
      </c>
      <c r="H23" s="50">
        <v>1.43</v>
      </c>
      <c r="I23" s="50">
        <v>2.8</v>
      </c>
      <c r="J23" s="50">
        <v>0.33</v>
      </c>
      <c r="K23" s="50">
        <v>244.49</v>
      </c>
      <c r="L23" s="50">
        <v>30.85</v>
      </c>
      <c r="M23" s="50">
        <v>75.349999999999994</v>
      </c>
      <c r="N23" s="50">
        <v>396.5</v>
      </c>
      <c r="O23" s="50">
        <v>0</v>
      </c>
      <c r="P23" s="50">
        <v>0.33</v>
      </c>
      <c r="Q23" s="50">
        <v>5.33</v>
      </c>
    </row>
    <row r="24" spans="1:17" customFormat="1">
      <c r="A24" s="49">
        <v>45178.666666666664</v>
      </c>
      <c r="B24" s="50">
        <v>8.7899999999999991</v>
      </c>
      <c r="C24" s="50">
        <v>14.29</v>
      </c>
      <c r="D24" s="50">
        <v>15.84</v>
      </c>
      <c r="E24" s="50">
        <v>8.02</v>
      </c>
      <c r="F24" s="50">
        <v>6.31</v>
      </c>
      <c r="G24" s="50">
        <v>6.05</v>
      </c>
      <c r="H24" s="50">
        <v>2.17</v>
      </c>
      <c r="I24" s="50">
        <v>2.77</v>
      </c>
      <c r="J24" s="50">
        <v>0.36</v>
      </c>
      <c r="K24" s="50">
        <v>251.19</v>
      </c>
      <c r="L24" s="50">
        <v>30.05</v>
      </c>
      <c r="M24" s="50">
        <v>80.63</v>
      </c>
      <c r="N24" s="50">
        <v>175.8</v>
      </c>
      <c r="O24" s="50">
        <v>0</v>
      </c>
      <c r="P24" s="50">
        <v>0.33</v>
      </c>
      <c r="Q24" s="50">
        <v>5.3</v>
      </c>
    </row>
    <row r="25" spans="1:17" customFormat="1">
      <c r="A25" s="49">
        <v>45178.708333333336</v>
      </c>
      <c r="B25" s="50">
        <v>8.68</v>
      </c>
      <c r="C25" s="50">
        <v>14.06</v>
      </c>
      <c r="D25" s="50">
        <v>15.64</v>
      </c>
      <c r="E25" s="50">
        <v>7.88</v>
      </c>
      <c r="F25" s="50">
        <v>7.33</v>
      </c>
      <c r="G25" s="50">
        <v>7.88</v>
      </c>
      <c r="H25" s="50">
        <v>2.4700000000000002</v>
      </c>
      <c r="I25" s="50">
        <v>2.71</v>
      </c>
      <c r="J25" s="50">
        <v>0.39</v>
      </c>
      <c r="K25" s="50">
        <v>260.42</v>
      </c>
      <c r="L25" s="50">
        <v>28.83</v>
      </c>
      <c r="M25" s="50">
        <v>80.930000000000007</v>
      </c>
      <c r="N25" s="50">
        <v>67.2</v>
      </c>
      <c r="O25" s="50">
        <v>0</v>
      </c>
      <c r="P25" s="50">
        <v>0.34</v>
      </c>
      <c r="Q25" s="50">
        <v>5.32</v>
      </c>
    </row>
    <row r="26" spans="1:17" customFormat="1">
      <c r="A26" s="49">
        <v>45178.75</v>
      </c>
      <c r="B26" s="50">
        <v>8.66</v>
      </c>
      <c r="C26" s="50">
        <v>13.2</v>
      </c>
      <c r="D26" s="50">
        <v>15.14</v>
      </c>
      <c r="E26" s="50">
        <v>8.17</v>
      </c>
      <c r="F26" s="50">
        <v>10.73</v>
      </c>
      <c r="G26" s="50">
        <v>9.1300000000000008</v>
      </c>
      <c r="H26" s="50">
        <v>2.5</v>
      </c>
      <c r="I26" s="50">
        <v>2.7</v>
      </c>
      <c r="J26" s="50">
        <v>0.3</v>
      </c>
      <c r="K26" s="50">
        <v>250.19</v>
      </c>
      <c r="L26" s="50">
        <v>28.42</v>
      </c>
      <c r="M26" s="50">
        <v>83.34</v>
      </c>
      <c r="N26" s="50">
        <v>25.9</v>
      </c>
      <c r="O26" s="50">
        <v>0</v>
      </c>
      <c r="P26" s="50">
        <v>0.32</v>
      </c>
      <c r="Q26" s="50">
        <v>5.29</v>
      </c>
    </row>
    <row r="27" spans="1:17" customFormat="1">
      <c r="A27" s="49">
        <v>45178.791666666664</v>
      </c>
      <c r="B27" s="50">
        <v>7.99</v>
      </c>
      <c r="C27" s="50">
        <v>12.89</v>
      </c>
      <c r="D27" s="50">
        <v>14.49</v>
      </c>
      <c r="E27" s="50">
        <v>7.28</v>
      </c>
      <c r="F27" s="50">
        <v>10.88</v>
      </c>
      <c r="G27" s="50">
        <v>9.2200000000000006</v>
      </c>
      <c r="H27" s="50">
        <v>2.1</v>
      </c>
      <c r="I27" s="50">
        <v>2.48</v>
      </c>
      <c r="J27" s="50">
        <v>0.28000000000000003</v>
      </c>
      <c r="K27" s="50">
        <v>265.45</v>
      </c>
      <c r="L27" s="50">
        <v>27.38</v>
      </c>
      <c r="M27" s="50">
        <v>86.4</v>
      </c>
      <c r="N27" s="50">
        <v>0</v>
      </c>
      <c r="O27" s="50">
        <v>0</v>
      </c>
      <c r="P27" s="50">
        <v>0.31</v>
      </c>
      <c r="Q27" s="50">
        <v>5.28</v>
      </c>
    </row>
    <row r="28" spans="1:17" customFormat="1">
      <c r="A28" s="49">
        <v>45178.833333333336</v>
      </c>
      <c r="B28" s="50">
        <v>8.82</v>
      </c>
      <c r="C28" s="50">
        <v>15.51</v>
      </c>
      <c r="D28" s="50">
        <v>16.399999999999999</v>
      </c>
      <c r="E28" s="50">
        <v>7.56</v>
      </c>
      <c r="F28" s="50">
        <v>11.2</v>
      </c>
      <c r="G28" s="50">
        <v>9.5</v>
      </c>
      <c r="H28" s="50">
        <v>1.74</v>
      </c>
      <c r="I28" s="50">
        <v>2.87</v>
      </c>
      <c r="J28" s="50">
        <v>0.28000000000000003</v>
      </c>
      <c r="K28" s="50">
        <v>251.91</v>
      </c>
      <c r="L28" s="50">
        <v>27.22</v>
      </c>
      <c r="M28" s="50">
        <v>86.45</v>
      </c>
      <c r="N28" s="50">
        <v>0</v>
      </c>
      <c r="O28" s="50">
        <v>0</v>
      </c>
      <c r="P28" s="50">
        <v>0.36</v>
      </c>
      <c r="Q28" s="50">
        <v>5.36</v>
      </c>
    </row>
    <row r="29" spans="1:17" customFormat="1">
      <c r="A29" s="49">
        <v>45178.875</v>
      </c>
      <c r="B29" s="50">
        <v>8.9</v>
      </c>
      <c r="C29" s="50">
        <v>14.86</v>
      </c>
      <c r="D29" s="50">
        <v>16.25</v>
      </c>
      <c r="E29" s="50">
        <v>7.72</v>
      </c>
      <c r="F29" s="50">
        <v>10.33</v>
      </c>
      <c r="G29" s="50">
        <v>9.33</v>
      </c>
      <c r="H29" s="50">
        <v>1.43</v>
      </c>
      <c r="I29" s="50">
        <v>2.69</v>
      </c>
      <c r="J29" s="50">
        <v>0.28000000000000003</v>
      </c>
      <c r="K29" s="50">
        <v>255.55</v>
      </c>
      <c r="L29" s="50">
        <v>26.72</v>
      </c>
      <c r="M29" s="50">
        <v>88.91</v>
      </c>
      <c r="N29" s="50">
        <v>0</v>
      </c>
      <c r="O29" s="50">
        <v>0</v>
      </c>
      <c r="P29" s="50">
        <v>0.37</v>
      </c>
      <c r="Q29" s="50">
        <v>5.33</v>
      </c>
    </row>
    <row r="30" spans="1:17" customFormat="1">
      <c r="A30" s="49">
        <v>45178.916666666664</v>
      </c>
      <c r="B30" s="50">
        <v>9.18</v>
      </c>
      <c r="C30" s="50">
        <v>14.26</v>
      </c>
      <c r="D30" s="50">
        <v>16.16</v>
      </c>
      <c r="E30" s="50">
        <v>7.53</v>
      </c>
      <c r="F30" s="50">
        <v>7.6</v>
      </c>
      <c r="G30" s="50">
        <v>11.18</v>
      </c>
      <c r="H30" s="50">
        <v>1.5</v>
      </c>
      <c r="I30" s="50">
        <v>2.87</v>
      </c>
      <c r="J30" s="50">
        <v>0.33</v>
      </c>
      <c r="K30" s="50">
        <v>260.33</v>
      </c>
      <c r="L30" s="50">
        <v>26.46</v>
      </c>
      <c r="M30" s="50">
        <v>87.3</v>
      </c>
      <c r="N30" s="50">
        <v>0</v>
      </c>
      <c r="O30" s="50">
        <v>0</v>
      </c>
      <c r="P30" s="50">
        <v>0.35</v>
      </c>
      <c r="Q30" s="50">
        <v>5.34</v>
      </c>
    </row>
    <row r="31" spans="1:17" customFormat="1">
      <c r="A31" s="49">
        <v>45178.958333333336</v>
      </c>
      <c r="B31" s="50">
        <v>9.52</v>
      </c>
      <c r="C31" s="50">
        <v>15.48</v>
      </c>
      <c r="D31" s="50">
        <v>16.8</v>
      </c>
      <c r="E31" s="50">
        <v>8.07</v>
      </c>
      <c r="F31" s="50">
        <v>7.4</v>
      </c>
      <c r="G31" s="50">
        <v>12.58</v>
      </c>
      <c r="H31" s="50">
        <v>2.2999999999999998</v>
      </c>
      <c r="I31" s="50">
        <v>2.93</v>
      </c>
      <c r="J31" s="50">
        <v>0.35</v>
      </c>
      <c r="K31" s="50">
        <v>258.06</v>
      </c>
      <c r="L31" s="50">
        <v>26.27</v>
      </c>
      <c r="M31" s="50">
        <v>88.74</v>
      </c>
      <c r="N31" s="50">
        <v>0</v>
      </c>
      <c r="O31" s="50">
        <v>0</v>
      </c>
      <c r="P31" s="50">
        <v>0.36</v>
      </c>
      <c r="Q31" s="50">
        <v>5.35</v>
      </c>
    </row>
    <row r="32" spans="1:17" customFormat="1">
      <c r="A32" s="49">
        <v>45179</v>
      </c>
      <c r="B32" s="50">
        <v>9.64</v>
      </c>
      <c r="C32" s="50">
        <v>15.4</v>
      </c>
      <c r="D32" s="50">
        <v>17.059999999999999</v>
      </c>
      <c r="E32" s="50">
        <v>7.81</v>
      </c>
      <c r="F32" s="50">
        <v>7.42</v>
      </c>
      <c r="G32" s="50">
        <v>11.19</v>
      </c>
      <c r="H32" s="50">
        <v>3.25</v>
      </c>
      <c r="I32" s="50">
        <v>2.97</v>
      </c>
      <c r="J32" s="50">
        <v>0.12</v>
      </c>
      <c r="K32" s="50">
        <v>238.62</v>
      </c>
      <c r="L32" s="50">
        <v>26.16</v>
      </c>
      <c r="M32" s="50">
        <v>89.72</v>
      </c>
      <c r="N32" s="50">
        <v>0</v>
      </c>
      <c r="O32" s="50">
        <v>0</v>
      </c>
      <c r="P32" s="50">
        <v>0.36</v>
      </c>
      <c r="Q32" s="50">
        <v>5.38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7.99</v>
      </c>
      <c r="C34" s="40">
        <f t="shared" si="0"/>
        <v>12.89</v>
      </c>
      <c r="D34" s="40">
        <f t="shared" si="0"/>
        <v>14.49</v>
      </c>
      <c r="E34" s="40">
        <f t="shared" si="0"/>
        <v>7.28</v>
      </c>
      <c r="F34" s="40">
        <f t="shared" si="0"/>
        <v>5.15</v>
      </c>
      <c r="G34" s="40">
        <f t="shared" si="0"/>
        <v>4.6900000000000004</v>
      </c>
      <c r="H34" s="40">
        <f t="shared" si="0"/>
        <v>1.43</v>
      </c>
      <c r="I34" s="40">
        <f t="shared" si="0"/>
        <v>2.48</v>
      </c>
      <c r="J34" s="40">
        <f t="shared" si="0"/>
        <v>0.12</v>
      </c>
      <c r="K34" s="40">
        <f t="shared" si="0"/>
        <v>238.62</v>
      </c>
      <c r="L34" s="40">
        <f t="shared" si="0"/>
        <v>25.16</v>
      </c>
      <c r="M34" s="40">
        <f t="shared" si="0"/>
        <v>75.349999999999994</v>
      </c>
      <c r="N34" s="40">
        <f t="shared" si="0"/>
        <v>0</v>
      </c>
      <c r="O34" s="40">
        <f t="shared" si="0"/>
        <v>0</v>
      </c>
      <c r="P34" s="40">
        <f t="shared" si="0"/>
        <v>0.31</v>
      </c>
      <c r="Q34" s="40">
        <f t="shared" si="0"/>
        <v>5.28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12.86</v>
      </c>
      <c r="C35" s="33">
        <f t="shared" si="1"/>
        <v>18.61</v>
      </c>
      <c r="D35" s="33">
        <f t="shared" si="1"/>
        <v>21.21</v>
      </c>
      <c r="E35" s="33">
        <f t="shared" si="1"/>
        <v>10.41</v>
      </c>
      <c r="F35" s="33">
        <f t="shared" si="1"/>
        <v>11.2</v>
      </c>
      <c r="G35" s="33">
        <f t="shared" si="1"/>
        <v>12.58</v>
      </c>
      <c r="H35" s="33">
        <f t="shared" si="1"/>
        <v>4.55</v>
      </c>
      <c r="I35" s="33">
        <f t="shared" si="1"/>
        <v>3</v>
      </c>
      <c r="J35" s="33">
        <f t="shared" si="1"/>
        <v>0.69</v>
      </c>
      <c r="K35" s="33">
        <f t="shared" si="1"/>
        <v>288.38</v>
      </c>
      <c r="L35" s="33">
        <f t="shared" si="1"/>
        <v>30.85</v>
      </c>
      <c r="M35" s="33">
        <f t="shared" si="1"/>
        <v>94.36</v>
      </c>
      <c r="N35" s="33">
        <f t="shared" si="1"/>
        <v>489.1</v>
      </c>
      <c r="O35" s="33">
        <f t="shared" si="1"/>
        <v>0</v>
      </c>
      <c r="P35" s="33">
        <f t="shared" si="1"/>
        <v>0.44</v>
      </c>
      <c r="Q35" s="33">
        <f t="shared" si="1"/>
        <v>5.7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10.384583333333333</v>
      </c>
      <c r="C36" s="40">
        <f t="shared" si="2"/>
        <v>15.744166666666667</v>
      </c>
      <c r="D36" s="40">
        <f t="shared" si="2"/>
        <v>17.851249999999997</v>
      </c>
      <c r="E36" s="40">
        <f t="shared" si="2"/>
        <v>8.1987499999999986</v>
      </c>
      <c r="F36" s="40">
        <f t="shared" si="2"/>
        <v>6.7987499999999992</v>
      </c>
      <c r="G36" s="40">
        <f t="shared" si="2"/>
        <v>8.1554166666666692</v>
      </c>
      <c r="H36" s="40">
        <f t="shared" si="2"/>
        <v>2.7666666666666671</v>
      </c>
      <c r="I36" s="40">
        <f t="shared" si="2"/>
        <v>2.8658333333333328</v>
      </c>
      <c r="J36" s="40">
        <f t="shared" si="2"/>
        <v>0.32458333333333333</v>
      </c>
      <c r="K36" s="40">
        <f t="shared" si="2"/>
        <v>262.32916666666665</v>
      </c>
      <c r="L36" s="40">
        <f t="shared" si="2"/>
        <v>27.316666666666674</v>
      </c>
      <c r="M36" s="40">
        <f t="shared" si="2"/>
        <v>86.48</v>
      </c>
      <c r="N36" s="40">
        <f t="shared" si="2"/>
        <v>122.21666666666668</v>
      </c>
      <c r="O36" s="40">
        <f t="shared" si="2"/>
        <v>0</v>
      </c>
      <c r="P36" s="40">
        <f t="shared" si="2"/>
        <v>0.38624999999999993</v>
      </c>
      <c r="Q36" s="40">
        <f t="shared" si="2"/>
        <v>5.4695833333333335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1.5365488692313725</v>
      </c>
      <c r="C37" s="40">
        <f t="shared" ref="C37:Q37" si="3">STDEV(C9:C32)</f>
        <v>1.5987846380424673</v>
      </c>
      <c r="D37" s="40">
        <f t="shared" si="3"/>
        <v>1.956314886408296</v>
      </c>
      <c r="E37" s="40">
        <f t="shared" si="3"/>
        <v>0.73931409163290573</v>
      </c>
      <c r="F37" s="40">
        <f t="shared" si="3"/>
        <v>1.9932261646582583</v>
      </c>
      <c r="G37" s="40">
        <f t="shared" si="3"/>
        <v>1.977921568688715</v>
      </c>
      <c r="H37" s="40">
        <f t="shared" si="3"/>
        <v>0.95410174768078881</v>
      </c>
      <c r="I37" s="40">
        <f t="shared" si="3"/>
        <v>0.12527939789220444</v>
      </c>
      <c r="J37" s="40">
        <f t="shared" si="3"/>
        <v>0.15018768451411102</v>
      </c>
      <c r="K37" s="40">
        <f t="shared" si="3"/>
        <v>12.879422724258271</v>
      </c>
      <c r="L37" s="40">
        <f t="shared" si="3"/>
        <v>1.8195309158195212</v>
      </c>
      <c r="M37" s="40">
        <f t="shared" si="3"/>
        <v>5.8061938442083978</v>
      </c>
      <c r="N37" s="40">
        <f t="shared" si="3"/>
        <v>161.69727664794581</v>
      </c>
      <c r="O37" s="40">
        <f t="shared" si="3"/>
        <v>0</v>
      </c>
      <c r="P37" s="40">
        <f t="shared" si="3"/>
        <v>4.0733759100220972E-2</v>
      </c>
      <c r="Q37" s="40">
        <f t="shared" si="3"/>
        <v>0.14860157312835803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45179.041666666664</v>
      </c>
      <c r="B9" s="50">
        <v>9.83</v>
      </c>
      <c r="C9" s="50">
        <v>15.82</v>
      </c>
      <c r="D9" s="50">
        <v>17.47</v>
      </c>
      <c r="E9" s="50">
        <v>7.94</v>
      </c>
      <c r="F9" s="50">
        <v>6.95</v>
      </c>
      <c r="G9" s="50">
        <v>8.31</v>
      </c>
      <c r="H9" s="50">
        <v>3.68</v>
      </c>
      <c r="I9" s="50">
        <v>2.97</v>
      </c>
      <c r="J9" s="50">
        <v>0.11</v>
      </c>
      <c r="K9" s="50">
        <v>192.13</v>
      </c>
      <c r="L9" s="50">
        <v>25.97</v>
      </c>
      <c r="M9" s="50">
        <v>91.4</v>
      </c>
      <c r="N9" s="50">
        <v>0</v>
      </c>
      <c r="O9" s="50">
        <v>0</v>
      </c>
      <c r="P9" s="50">
        <v>0.36</v>
      </c>
      <c r="Q9" s="50">
        <v>5.41</v>
      </c>
    </row>
    <row r="10" spans="1:21" customFormat="1">
      <c r="A10" s="49">
        <v>45179.083333333336</v>
      </c>
      <c r="B10" s="50">
        <v>10.25</v>
      </c>
      <c r="C10" s="50">
        <v>16.260000000000002</v>
      </c>
      <c r="D10" s="50">
        <v>17.93</v>
      </c>
      <c r="E10" s="50">
        <v>8</v>
      </c>
      <c r="F10" s="50">
        <v>6.93</v>
      </c>
      <c r="G10" s="50">
        <v>7.74</v>
      </c>
      <c r="H10" s="50">
        <v>3.85</v>
      </c>
      <c r="I10" s="50">
        <v>2.97</v>
      </c>
      <c r="J10" s="50">
        <v>0.11</v>
      </c>
      <c r="K10" s="50">
        <v>221.87</v>
      </c>
      <c r="L10" s="50">
        <v>25.73</v>
      </c>
      <c r="M10" s="50">
        <v>93.36</v>
      </c>
      <c r="N10" s="50">
        <v>0</v>
      </c>
      <c r="O10" s="50">
        <v>0</v>
      </c>
      <c r="P10" s="50">
        <v>0.38</v>
      </c>
      <c r="Q10" s="50">
        <v>5.45</v>
      </c>
    </row>
    <row r="11" spans="1:21" customFormat="1">
      <c r="A11" s="49">
        <v>45179.125</v>
      </c>
      <c r="B11" s="50">
        <v>10.19</v>
      </c>
      <c r="C11" s="50">
        <v>15.48</v>
      </c>
      <c r="D11" s="50">
        <v>17.61</v>
      </c>
      <c r="E11" s="50">
        <v>10.48</v>
      </c>
      <c r="F11" s="50">
        <v>6.2</v>
      </c>
      <c r="G11" s="50">
        <v>8.5399999999999991</v>
      </c>
      <c r="H11" s="50">
        <v>4.21</v>
      </c>
      <c r="I11" s="50">
        <v>2.95</v>
      </c>
      <c r="J11" s="50">
        <v>0.25</v>
      </c>
      <c r="K11" s="50">
        <v>257.70999999999998</v>
      </c>
      <c r="L11" s="50">
        <v>25.69</v>
      </c>
      <c r="M11" s="50">
        <v>93.38</v>
      </c>
      <c r="N11" s="50">
        <v>0</v>
      </c>
      <c r="O11" s="50">
        <v>0</v>
      </c>
      <c r="P11" s="50">
        <v>0.36</v>
      </c>
      <c r="Q11" s="50">
        <v>5.45</v>
      </c>
    </row>
    <row r="12" spans="1:21" customFormat="1">
      <c r="A12" s="49">
        <v>45179.166666666664</v>
      </c>
      <c r="B12" s="50">
        <v>10.53</v>
      </c>
      <c r="C12" s="50">
        <v>15.42</v>
      </c>
      <c r="D12" s="50">
        <v>17.850000000000001</v>
      </c>
      <c r="E12" s="50">
        <v>10.86</v>
      </c>
      <c r="F12" s="50">
        <v>5.72</v>
      </c>
      <c r="G12" s="50">
        <v>8.93</v>
      </c>
      <c r="H12" s="50">
        <v>3.9</v>
      </c>
      <c r="I12" s="50">
        <v>2.91</v>
      </c>
      <c r="J12" s="50">
        <v>0.1</v>
      </c>
      <c r="K12" s="50">
        <v>228.9</v>
      </c>
      <c r="L12" s="50">
        <v>25.51</v>
      </c>
      <c r="M12" s="50">
        <v>94.62</v>
      </c>
      <c r="N12" s="50">
        <v>0</v>
      </c>
      <c r="O12" s="50">
        <v>0</v>
      </c>
      <c r="P12" s="50">
        <v>0.35</v>
      </c>
      <c r="Q12" s="50">
        <v>5.48</v>
      </c>
    </row>
    <row r="13" spans="1:21" customFormat="1">
      <c r="A13" s="49">
        <v>45179.208333333336</v>
      </c>
      <c r="B13" s="50">
        <v>10.99</v>
      </c>
      <c r="C13" s="50">
        <v>15.76</v>
      </c>
      <c r="D13" s="50">
        <v>18.09</v>
      </c>
      <c r="E13" s="50">
        <v>10.58</v>
      </c>
      <c r="F13" s="50">
        <v>5.49</v>
      </c>
      <c r="G13" s="50">
        <v>9.26</v>
      </c>
      <c r="H13" s="50">
        <v>3.79</v>
      </c>
      <c r="I13" s="50">
        <v>2.9</v>
      </c>
      <c r="J13" s="50">
        <v>0.1</v>
      </c>
      <c r="K13" s="50">
        <v>242.21</v>
      </c>
      <c r="L13" s="50">
        <v>25.48</v>
      </c>
      <c r="M13" s="50">
        <v>95.91</v>
      </c>
      <c r="N13" s="50">
        <v>0</v>
      </c>
      <c r="O13" s="50">
        <v>0</v>
      </c>
      <c r="P13" s="50">
        <v>0.35</v>
      </c>
      <c r="Q13" s="50">
        <v>5.51</v>
      </c>
    </row>
    <row r="14" spans="1:21" customFormat="1">
      <c r="A14" s="49">
        <v>45179.25</v>
      </c>
      <c r="B14" s="50">
        <v>11.42</v>
      </c>
      <c r="C14" s="50">
        <v>15.81</v>
      </c>
      <c r="D14" s="50">
        <v>18.579999999999998</v>
      </c>
      <c r="E14" s="50">
        <v>10.61</v>
      </c>
      <c r="F14" s="50">
        <v>5.54</v>
      </c>
      <c r="G14" s="50">
        <v>10.14</v>
      </c>
      <c r="H14" s="50">
        <v>4.12</v>
      </c>
      <c r="I14" s="50">
        <v>2.88</v>
      </c>
      <c r="J14" s="50">
        <v>0.13</v>
      </c>
      <c r="K14" s="50">
        <v>274.82</v>
      </c>
      <c r="L14" s="50">
        <v>25.42</v>
      </c>
      <c r="M14" s="50">
        <v>95.27</v>
      </c>
      <c r="N14" s="50">
        <v>2.9</v>
      </c>
      <c r="O14" s="50">
        <v>0</v>
      </c>
      <c r="P14" s="50">
        <v>0.35</v>
      </c>
      <c r="Q14" s="50">
        <v>5.5</v>
      </c>
    </row>
    <row r="15" spans="1:21" customFormat="1">
      <c r="A15" s="49">
        <v>45179.291666666664</v>
      </c>
      <c r="B15" s="50">
        <v>12.04</v>
      </c>
      <c r="C15" s="50">
        <v>16.690000000000001</v>
      </c>
      <c r="D15" s="50">
        <v>19.64</v>
      </c>
      <c r="E15" s="50">
        <v>11.04</v>
      </c>
      <c r="F15" s="50">
        <v>5.78</v>
      </c>
      <c r="G15" s="50">
        <v>12.31</v>
      </c>
      <c r="H15" s="50">
        <v>4.13</v>
      </c>
      <c r="I15" s="50">
        <v>2.96</v>
      </c>
      <c r="J15" s="50">
        <v>0.24</v>
      </c>
      <c r="K15" s="50">
        <v>281.76</v>
      </c>
      <c r="L15" s="50">
        <v>25.7</v>
      </c>
      <c r="M15" s="50">
        <v>94.7</v>
      </c>
      <c r="N15" s="50">
        <v>8.6999999999999993</v>
      </c>
      <c r="O15" s="50">
        <v>0.4</v>
      </c>
      <c r="P15" s="50">
        <v>0.37</v>
      </c>
      <c r="Q15" s="50">
        <v>6.04</v>
      </c>
    </row>
    <row r="16" spans="1:21" customFormat="1">
      <c r="A16" s="49">
        <v>45179.333333333336</v>
      </c>
      <c r="B16" s="50">
        <v>12.21</v>
      </c>
      <c r="C16" s="50">
        <v>15.95</v>
      </c>
      <c r="D16" s="50">
        <v>19.329999999999998</v>
      </c>
      <c r="E16" s="50">
        <v>10.48</v>
      </c>
      <c r="F16" s="50">
        <v>5.58</v>
      </c>
      <c r="G16" s="50">
        <v>13.82</v>
      </c>
      <c r="H16" s="50">
        <v>3.71</v>
      </c>
      <c r="I16" s="50">
        <v>2.97</v>
      </c>
      <c r="J16" s="50">
        <v>0.23</v>
      </c>
      <c r="K16" s="50">
        <v>274.54000000000002</v>
      </c>
      <c r="L16" s="50">
        <v>26.21</v>
      </c>
      <c r="M16" s="50">
        <v>96.25</v>
      </c>
      <c r="N16" s="50">
        <v>109.1</v>
      </c>
      <c r="O16" s="50">
        <v>0</v>
      </c>
      <c r="P16" s="50">
        <v>0.37</v>
      </c>
      <c r="Q16" s="50">
        <v>5.43</v>
      </c>
    </row>
    <row r="17" spans="1:17" customFormat="1">
      <c r="A17" s="49">
        <v>45179.375</v>
      </c>
      <c r="B17" s="50">
        <v>12.17</v>
      </c>
      <c r="C17" s="50">
        <v>16.13</v>
      </c>
      <c r="D17" s="50">
        <v>19.36</v>
      </c>
      <c r="E17" s="50">
        <v>10.54</v>
      </c>
      <c r="F17" s="50">
        <v>5.94</v>
      </c>
      <c r="G17" s="50">
        <v>10.54</v>
      </c>
      <c r="H17" s="50">
        <v>3.58</v>
      </c>
      <c r="I17" s="50">
        <v>2.96</v>
      </c>
      <c r="J17" s="50">
        <v>0.36</v>
      </c>
      <c r="K17" s="50">
        <v>261.29000000000002</v>
      </c>
      <c r="L17" s="50">
        <v>28.09</v>
      </c>
      <c r="M17" s="50">
        <v>94.06</v>
      </c>
      <c r="N17" s="50">
        <v>256.8</v>
      </c>
      <c r="O17" s="50">
        <v>0</v>
      </c>
      <c r="P17" s="50">
        <v>0.36</v>
      </c>
      <c r="Q17" s="50">
        <v>5.16</v>
      </c>
    </row>
    <row r="18" spans="1:17" customFormat="1">
      <c r="A18" s="49">
        <v>45179.416666666664</v>
      </c>
      <c r="B18" s="50">
        <v>11.33</v>
      </c>
      <c r="C18" s="50">
        <v>16.559999999999999</v>
      </c>
      <c r="D18" s="50">
        <v>19</v>
      </c>
      <c r="E18" s="50">
        <v>10.86</v>
      </c>
      <c r="F18" s="50">
        <v>6.12</v>
      </c>
      <c r="G18" s="50">
        <v>8.23</v>
      </c>
      <c r="H18" s="50">
        <v>4.8600000000000003</v>
      </c>
      <c r="I18" s="50">
        <v>2.99</v>
      </c>
      <c r="J18" s="50">
        <v>0.42</v>
      </c>
      <c r="K18" s="50">
        <v>260.31</v>
      </c>
      <c r="L18" s="50">
        <v>29.11</v>
      </c>
      <c r="M18" s="50">
        <v>86.05</v>
      </c>
      <c r="N18" s="50">
        <v>419.4</v>
      </c>
      <c r="O18" s="50">
        <v>0</v>
      </c>
      <c r="P18" s="50">
        <v>0.37</v>
      </c>
      <c r="Q18" s="50">
        <v>5.0599999999999996</v>
      </c>
    </row>
    <row r="19" spans="1:17" customFormat="1">
      <c r="A19" s="49">
        <v>45179.458333333336</v>
      </c>
      <c r="B19" s="50">
        <v>10.95</v>
      </c>
      <c r="C19" s="50">
        <v>14.63</v>
      </c>
      <c r="D19" s="50">
        <v>17.55</v>
      </c>
      <c r="E19" s="50">
        <v>9.1</v>
      </c>
      <c r="F19" s="50">
        <v>5.96</v>
      </c>
      <c r="G19" s="50">
        <v>10.1</v>
      </c>
      <c r="H19" s="50">
        <v>5.76</v>
      </c>
      <c r="I19" s="50">
        <v>2.91</v>
      </c>
      <c r="J19" s="50">
        <v>0.6</v>
      </c>
      <c r="K19" s="50">
        <v>259.77999999999997</v>
      </c>
      <c r="L19" s="50">
        <v>30.41</v>
      </c>
      <c r="M19" s="50">
        <v>80.319999999999993</v>
      </c>
      <c r="N19" s="50">
        <v>592.5</v>
      </c>
      <c r="O19" s="50">
        <v>0</v>
      </c>
      <c r="P19" s="50">
        <v>0.36</v>
      </c>
      <c r="Q19" s="50">
        <v>5.0199999999999996</v>
      </c>
    </row>
    <row r="20" spans="1:17" customFormat="1">
      <c r="A20" s="49">
        <v>45179.5</v>
      </c>
      <c r="B20" s="50">
        <v>10.220000000000001</v>
      </c>
      <c r="C20" s="50">
        <v>16.079999999999998</v>
      </c>
      <c r="D20" s="50">
        <v>17.95</v>
      </c>
      <c r="E20" s="50">
        <v>9.35</v>
      </c>
      <c r="F20" s="50">
        <v>5.58</v>
      </c>
      <c r="G20" s="50">
        <v>11.11</v>
      </c>
      <c r="H20" s="50">
        <v>5.94</v>
      </c>
      <c r="I20" s="50">
        <v>3.02</v>
      </c>
      <c r="J20" s="50">
        <v>0.64</v>
      </c>
      <c r="K20" s="50">
        <v>260.18</v>
      </c>
      <c r="L20" s="50">
        <v>30.78</v>
      </c>
      <c r="M20" s="50">
        <v>77.400000000000006</v>
      </c>
      <c r="N20" s="50">
        <v>795</v>
      </c>
      <c r="O20" s="50">
        <v>0</v>
      </c>
      <c r="P20" s="50">
        <v>0.39</v>
      </c>
      <c r="Q20" s="50">
        <v>4.9000000000000004</v>
      </c>
    </row>
    <row r="21" spans="1:17" customFormat="1">
      <c r="A21" s="49">
        <v>45179.541666666664</v>
      </c>
      <c r="B21" s="50">
        <v>9.52</v>
      </c>
      <c r="C21" s="50">
        <v>14.96</v>
      </c>
      <c r="D21" s="50">
        <v>16.79</v>
      </c>
      <c r="E21" s="50">
        <v>8.6199999999999992</v>
      </c>
      <c r="F21" s="50">
        <v>7.71</v>
      </c>
      <c r="G21" s="50">
        <v>9.3699999999999992</v>
      </c>
      <c r="H21" s="50">
        <v>4.37</v>
      </c>
      <c r="I21" s="50">
        <v>3.04</v>
      </c>
      <c r="J21" s="50">
        <v>0.49</v>
      </c>
      <c r="K21" s="50">
        <v>287.77999999999997</v>
      </c>
      <c r="L21" s="50">
        <v>29.62</v>
      </c>
      <c r="M21" s="50">
        <v>85.67</v>
      </c>
      <c r="N21" s="50">
        <v>563.5</v>
      </c>
      <c r="O21" s="50">
        <v>0</v>
      </c>
      <c r="P21" s="50">
        <v>0.38</v>
      </c>
      <c r="Q21" s="50">
        <v>4.8899999999999997</v>
      </c>
    </row>
    <row r="22" spans="1:17" customFormat="1">
      <c r="A22" s="49">
        <v>45179.583333333336</v>
      </c>
      <c r="B22" s="50">
        <v>9.1</v>
      </c>
      <c r="C22" s="50">
        <v>13.8</v>
      </c>
      <c r="D22" s="50">
        <v>15.69</v>
      </c>
      <c r="E22" s="50">
        <v>8.69</v>
      </c>
      <c r="F22" s="50">
        <v>7.02</v>
      </c>
      <c r="G22" s="50">
        <v>10.4</v>
      </c>
      <c r="H22" s="50">
        <v>3.11</v>
      </c>
      <c r="I22" s="50">
        <v>2.99</v>
      </c>
      <c r="J22" s="50">
        <v>0.68</v>
      </c>
      <c r="K22" s="50">
        <v>262.98</v>
      </c>
      <c r="L22" s="50">
        <v>30.38</v>
      </c>
      <c r="M22" s="50">
        <v>77.83</v>
      </c>
      <c r="N22" s="50">
        <v>315.39999999999998</v>
      </c>
      <c r="O22" s="50">
        <v>0</v>
      </c>
      <c r="P22" s="50">
        <v>0.37</v>
      </c>
      <c r="Q22" s="50">
        <v>4.91</v>
      </c>
    </row>
    <row r="23" spans="1:17" customFormat="1">
      <c r="A23" s="49">
        <v>45179.625</v>
      </c>
      <c r="B23" s="50">
        <v>8.68</v>
      </c>
      <c r="C23" s="50">
        <v>14.98</v>
      </c>
      <c r="D23" s="50">
        <v>16.14</v>
      </c>
      <c r="E23" s="50">
        <v>9.08</v>
      </c>
      <c r="F23" s="50">
        <v>6.48</v>
      </c>
      <c r="G23" s="50">
        <v>8.6199999999999992</v>
      </c>
      <c r="H23" s="50">
        <v>4.54</v>
      </c>
      <c r="I23" s="50">
        <v>3.04</v>
      </c>
      <c r="J23" s="50">
        <v>0.82</v>
      </c>
      <c r="K23" s="50">
        <v>272.57</v>
      </c>
      <c r="L23" s="50">
        <v>31.2</v>
      </c>
      <c r="M23" s="50">
        <v>74.099999999999994</v>
      </c>
      <c r="N23" s="50">
        <v>560.70000000000005</v>
      </c>
      <c r="O23" s="50">
        <v>0</v>
      </c>
      <c r="P23" s="50">
        <v>0.38</v>
      </c>
      <c r="Q23" s="50">
        <v>4.79</v>
      </c>
    </row>
    <row r="24" spans="1:17" customFormat="1">
      <c r="A24" s="49">
        <v>45179.666666666664</v>
      </c>
      <c r="B24" s="50">
        <v>8.14</v>
      </c>
      <c r="C24" s="50">
        <v>13.94</v>
      </c>
      <c r="D24" s="50">
        <v>15.16</v>
      </c>
      <c r="E24" s="50">
        <v>8.4700000000000006</v>
      </c>
      <c r="F24" s="50">
        <v>6.25</v>
      </c>
      <c r="G24" s="50">
        <v>10.17</v>
      </c>
      <c r="H24" s="50">
        <v>5.63</v>
      </c>
      <c r="I24" s="50">
        <v>2.95</v>
      </c>
      <c r="J24" s="50">
        <v>0.95</v>
      </c>
      <c r="K24" s="50">
        <v>263.16000000000003</v>
      </c>
      <c r="L24" s="50">
        <v>30.8</v>
      </c>
      <c r="M24" s="50">
        <v>75.98</v>
      </c>
      <c r="N24" s="50">
        <v>520.9</v>
      </c>
      <c r="O24" s="50">
        <v>0</v>
      </c>
      <c r="P24" s="50">
        <v>0.38</v>
      </c>
      <c r="Q24" s="50">
        <v>4.66</v>
      </c>
    </row>
    <row r="25" spans="1:17" customFormat="1">
      <c r="A25" s="49">
        <v>45179.708333333336</v>
      </c>
      <c r="B25" s="50">
        <v>7.97</v>
      </c>
      <c r="C25" s="50">
        <v>13.83</v>
      </c>
      <c r="D25" s="50">
        <v>14.92</v>
      </c>
      <c r="E25" s="50">
        <v>8.69</v>
      </c>
      <c r="F25" s="50">
        <v>7.18</v>
      </c>
      <c r="G25" s="50">
        <v>10.67</v>
      </c>
      <c r="H25" s="50">
        <v>5.87</v>
      </c>
      <c r="I25" s="50">
        <v>2.91</v>
      </c>
      <c r="J25" s="50">
        <v>0.59</v>
      </c>
      <c r="K25" s="50">
        <v>259.99</v>
      </c>
      <c r="L25" s="50">
        <v>29.96</v>
      </c>
      <c r="M25" s="50">
        <v>78.11</v>
      </c>
      <c r="N25" s="50">
        <v>151.19999999999999</v>
      </c>
      <c r="O25" s="50">
        <v>0</v>
      </c>
      <c r="P25" s="50">
        <v>0.38</v>
      </c>
      <c r="Q25" s="50">
        <v>4.6500000000000004</v>
      </c>
    </row>
    <row r="26" spans="1:17" customFormat="1">
      <c r="A26" s="49">
        <v>45179.75</v>
      </c>
      <c r="B26" s="50">
        <v>7.69</v>
      </c>
      <c r="C26" s="50">
        <v>13.12</v>
      </c>
      <c r="D26" s="50">
        <v>14.3</v>
      </c>
      <c r="E26" s="50">
        <v>8.4700000000000006</v>
      </c>
      <c r="F26" s="50">
        <v>8.8800000000000008</v>
      </c>
      <c r="G26" s="50">
        <v>10.38</v>
      </c>
      <c r="H26" s="50">
        <v>6.67</v>
      </c>
      <c r="I26" s="50">
        <v>2.83</v>
      </c>
      <c r="J26" s="50">
        <v>0.54</v>
      </c>
      <c r="K26" s="50">
        <v>259.14</v>
      </c>
      <c r="L26" s="50">
        <v>29.05</v>
      </c>
      <c r="M26" s="50">
        <v>82.08</v>
      </c>
      <c r="N26" s="50">
        <v>66.8</v>
      </c>
      <c r="O26" s="50">
        <v>0</v>
      </c>
      <c r="P26" s="50">
        <v>0.35</v>
      </c>
      <c r="Q26" s="50">
        <v>4.7</v>
      </c>
    </row>
    <row r="27" spans="1:17" customFormat="1">
      <c r="A27" s="49">
        <v>45179.791666666664</v>
      </c>
      <c r="B27" s="50">
        <v>7.86</v>
      </c>
      <c r="C27" s="50">
        <v>14.41</v>
      </c>
      <c r="D27" s="50">
        <v>15.19</v>
      </c>
      <c r="E27" s="50">
        <v>6.64</v>
      </c>
      <c r="F27" s="50">
        <v>9.0500000000000007</v>
      </c>
      <c r="G27" s="50">
        <v>10.39</v>
      </c>
      <c r="H27" s="50">
        <v>7.13</v>
      </c>
      <c r="I27" s="50">
        <v>2.89</v>
      </c>
      <c r="J27" s="50">
        <v>0.59</v>
      </c>
      <c r="K27" s="50">
        <v>263.44</v>
      </c>
      <c r="L27" s="50">
        <v>27.96</v>
      </c>
      <c r="M27" s="50">
        <v>85.69</v>
      </c>
      <c r="N27" s="50">
        <v>0</v>
      </c>
      <c r="O27" s="50">
        <v>0</v>
      </c>
      <c r="P27" s="50">
        <v>0.36</v>
      </c>
      <c r="Q27" s="50">
        <v>4.7300000000000004</v>
      </c>
    </row>
    <row r="28" spans="1:17" customFormat="1">
      <c r="A28" s="49">
        <v>45179.833333333336</v>
      </c>
      <c r="B28" s="50">
        <v>8.17</v>
      </c>
      <c r="C28" s="50">
        <v>14.43</v>
      </c>
      <c r="D28" s="50">
        <v>15.34</v>
      </c>
      <c r="E28" s="50">
        <v>7.22</v>
      </c>
      <c r="F28" s="50">
        <v>8.43</v>
      </c>
      <c r="G28" s="50">
        <v>10.6</v>
      </c>
      <c r="H28" s="50">
        <v>5.9</v>
      </c>
      <c r="I28" s="50">
        <v>2.93</v>
      </c>
      <c r="J28" s="50">
        <v>0.57999999999999996</v>
      </c>
      <c r="K28" s="50">
        <v>266.37</v>
      </c>
      <c r="L28" s="50">
        <v>27.26</v>
      </c>
      <c r="M28" s="50">
        <v>87.41</v>
      </c>
      <c r="N28" s="50">
        <v>0</v>
      </c>
      <c r="O28" s="50">
        <v>0</v>
      </c>
      <c r="P28" s="50">
        <v>0.38</v>
      </c>
      <c r="Q28" s="50">
        <v>4.71</v>
      </c>
    </row>
    <row r="29" spans="1:17" customFormat="1">
      <c r="A29" s="49">
        <v>45179.875</v>
      </c>
      <c r="B29" s="50">
        <v>8.43</v>
      </c>
      <c r="C29" s="50">
        <v>15.26</v>
      </c>
      <c r="D29" s="50">
        <v>16.079999999999998</v>
      </c>
      <c r="E29" s="50">
        <v>7.27</v>
      </c>
      <c r="F29" s="50">
        <v>7.63</v>
      </c>
      <c r="G29" s="50">
        <v>12.89</v>
      </c>
      <c r="H29" s="50">
        <v>5.99</v>
      </c>
      <c r="I29" s="50">
        <v>3.01</v>
      </c>
      <c r="J29" s="50">
        <v>0.49</v>
      </c>
      <c r="K29" s="50">
        <v>267.31</v>
      </c>
      <c r="L29" s="50">
        <v>26.83</v>
      </c>
      <c r="M29" s="50">
        <v>88.85</v>
      </c>
      <c r="N29" s="50">
        <v>0</v>
      </c>
      <c r="O29" s="50">
        <v>0</v>
      </c>
      <c r="P29" s="50">
        <v>0.4</v>
      </c>
      <c r="Q29" s="50">
        <v>4.72</v>
      </c>
    </row>
    <row r="30" spans="1:17" customFormat="1">
      <c r="A30" s="49">
        <v>45179.916666666664</v>
      </c>
      <c r="B30" s="50">
        <v>8.41</v>
      </c>
      <c r="C30" s="50">
        <v>14.67</v>
      </c>
      <c r="D30" s="50">
        <v>15.72</v>
      </c>
      <c r="E30" s="50">
        <v>7.09</v>
      </c>
      <c r="F30" s="50">
        <v>8.27</v>
      </c>
      <c r="G30" s="50">
        <v>14.1</v>
      </c>
      <c r="H30" s="50">
        <v>7.54</v>
      </c>
      <c r="I30" s="50">
        <v>3.02</v>
      </c>
      <c r="J30" s="50">
        <v>0.18</v>
      </c>
      <c r="K30" s="50">
        <v>249.03</v>
      </c>
      <c r="L30" s="50">
        <v>26.59</v>
      </c>
      <c r="M30" s="50">
        <v>92.38</v>
      </c>
      <c r="N30" s="50">
        <v>0</v>
      </c>
      <c r="O30" s="50">
        <v>0</v>
      </c>
      <c r="P30" s="50">
        <v>0.39</v>
      </c>
      <c r="Q30" s="50">
        <v>4.74</v>
      </c>
    </row>
    <row r="31" spans="1:17" customFormat="1">
      <c r="A31" s="49">
        <v>45179.958333333336</v>
      </c>
      <c r="B31" s="50">
        <v>9.08</v>
      </c>
      <c r="C31" s="50">
        <v>15.03</v>
      </c>
      <c r="D31" s="50">
        <v>16.489999999999998</v>
      </c>
      <c r="E31" s="50">
        <v>7.62</v>
      </c>
      <c r="F31" s="50">
        <v>6.47</v>
      </c>
      <c r="G31" s="50">
        <v>12.53</v>
      </c>
      <c r="H31" s="50">
        <v>8.15</v>
      </c>
      <c r="I31" s="50">
        <v>2.97</v>
      </c>
      <c r="J31" s="50">
        <v>0.31</v>
      </c>
      <c r="K31" s="50">
        <v>260.41000000000003</v>
      </c>
      <c r="L31" s="50">
        <v>26.16</v>
      </c>
      <c r="M31" s="50">
        <v>93.16</v>
      </c>
      <c r="N31" s="50">
        <v>0</v>
      </c>
      <c r="O31" s="50">
        <v>0</v>
      </c>
      <c r="P31" s="50">
        <v>0.4</v>
      </c>
      <c r="Q31" s="50">
        <v>4.78</v>
      </c>
    </row>
    <row r="32" spans="1:17" customFormat="1">
      <c r="A32" s="49">
        <v>45180</v>
      </c>
      <c r="B32" s="50">
        <v>9.58</v>
      </c>
      <c r="C32" s="50">
        <v>15.43</v>
      </c>
      <c r="D32" s="50">
        <v>17</v>
      </c>
      <c r="E32" s="50">
        <v>7.58</v>
      </c>
      <c r="F32" s="50">
        <v>6.28</v>
      </c>
      <c r="G32" s="50">
        <v>13.08</v>
      </c>
      <c r="H32" s="50">
        <v>7.86</v>
      </c>
      <c r="I32" s="50">
        <v>3.07</v>
      </c>
      <c r="J32" s="50">
        <v>0.61</v>
      </c>
      <c r="K32" s="50">
        <v>265.72000000000003</v>
      </c>
      <c r="L32" s="50">
        <v>26.15</v>
      </c>
      <c r="M32" s="50">
        <v>91.48</v>
      </c>
      <c r="N32" s="50">
        <v>0</v>
      </c>
      <c r="O32" s="50">
        <v>0</v>
      </c>
      <c r="P32" s="50">
        <v>0.39</v>
      </c>
      <c r="Q32" s="50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7.69</v>
      </c>
      <c r="C34" s="40">
        <f t="shared" si="0"/>
        <v>13.12</v>
      </c>
      <c r="D34" s="40">
        <f t="shared" si="0"/>
        <v>14.3</v>
      </c>
      <c r="E34" s="40">
        <f t="shared" si="0"/>
        <v>6.64</v>
      </c>
      <c r="F34" s="40">
        <f t="shared" si="0"/>
        <v>5.49</v>
      </c>
      <c r="G34" s="40">
        <f t="shared" si="0"/>
        <v>7.74</v>
      </c>
      <c r="H34" s="40">
        <f t="shared" si="0"/>
        <v>3.11</v>
      </c>
      <c r="I34" s="40">
        <f t="shared" si="0"/>
        <v>2.83</v>
      </c>
      <c r="J34" s="40">
        <f t="shared" si="0"/>
        <v>0.1</v>
      </c>
      <c r="K34" s="40">
        <f t="shared" si="0"/>
        <v>192.13</v>
      </c>
      <c r="L34" s="40">
        <f t="shared" si="0"/>
        <v>25.42</v>
      </c>
      <c r="M34" s="40">
        <f t="shared" si="0"/>
        <v>74.099999999999994</v>
      </c>
      <c r="N34" s="40">
        <f t="shared" si="0"/>
        <v>0</v>
      </c>
      <c r="O34" s="40">
        <f t="shared" si="0"/>
        <v>0</v>
      </c>
      <c r="P34" s="40">
        <f t="shared" si="0"/>
        <v>0.35</v>
      </c>
      <c r="Q34" s="40">
        <f t="shared" si="0"/>
        <v>4.6500000000000004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12.21</v>
      </c>
      <c r="C35" s="33">
        <f t="shared" si="1"/>
        <v>16.690000000000001</v>
      </c>
      <c r="D35" s="33">
        <f t="shared" si="1"/>
        <v>19.64</v>
      </c>
      <c r="E35" s="33">
        <f t="shared" si="1"/>
        <v>11.04</v>
      </c>
      <c r="F35" s="33">
        <f t="shared" si="1"/>
        <v>9.0500000000000007</v>
      </c>
      <c r="G35" s="33">
        <f t="shared" si="1"/>
        <v>14.1</v>
      </c>
      <c r="H35" s="33">
        <f t="shared" si="1"/>
        <v>8.15</v>
      </c>
      <c r="I35" s="33">
        <f t="shared" si="1"/>
        <v>3.07</v>
      </c>
      <c r="J35" s="33">
        <f t="shared" si="1"/>
        <v>0.95</v>
      </c>
      <c r="K35" s="33">
        <f t="shared" si="1"/>
        <v>287.77999999999997</v>
      </c>
      <c r="L35" s="33">
        <f t="shared" si="1"/>
        <v>31.2</v>
      </c>
      <c r="M35" s="33">
        <f t="shared" si="1"/>
        <v>96.25</v>
      </c>
      <c r="N35" s="33">
        <f t="shared" si="1"/>
        <v>795</v>
      </c>
      <c r="O35" s="33">
        <f t="shared" si="1"/>
        <v>0.4</v>
      </c>
      <c r="P35" s="33">
        <f t="shared" si="1"/>
        <v>0.4</v>
      </c>
      <c r="Q35" s="33">
        <f t="shared" si="1"/>
        <v>6.04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9.7816666666666698</v>
      </c>
      <c r="C36" s="40">
        <f t="shared" si="2"/>
        <v>15.185416666666669</v>
      </c>
      <c r="D36" s="40">
        <f t="shared" si="2"/>
        <v>17.049166666666668</v>
      </c>
      <c r="E36" s="40">
        <f t="shared" si="2"/>
        <v>8.9700000000000006</v>
      </c>
      <c r="F36" s="40">
        <f t="shared" si="2"/>
        <v>6.7266666666666657</v>
      </c>
      <c r="G36" s="40">
        <f t="shared" si="2"/>
        <v>10.509583333333333</v>
      </c>
      <c r="H36" s="40">
        <f t="shared" si="2"/>
        <v>5.17875</v>
      </c>
      <c r="I36" s="40">
        <f t="shared" si="2"/>
        <v>2.9599999999999995</v>
      </c>
      <c r="J36" s="40">
        <f t="shared" si="2"/>
        <v>0.42166666666666663</v>
      </c>
      <c r="K36" s="40">
        <f t="shared" si="2"/>
        <v>258.05833333333334</v>
      </c>
      <c r="L36" s="40">
        <f t="shared" si="2"/>
        <v>27.752500000000001</v>
      </c>
      <c r="M36" s="40">
        <f t="shared" si="2"/>
        <v>87.727499999999978</v>
      </c>
      <c r="N36" s="40">
        <f t="shared" si="2"/>
        <v>181.78749999999999</v>
      </c>
      <c r="O36" s="40">
        <f t="shared" si="2"/>
        <v>1.6666666666666666E-2</v>
      </c>
      <c r="P36" s="40">
        <f t="shared" si="2"/>
        <v>0.37208333333333338</v>
      </c>
      <c r="Q36" s="40">
        <f t="shared" si="2"/>
        <v>5.0616666666666665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1.4503213037316645</v>
      </c>
      <c r="C37" s="40">
        <f t="shared" ref="C37:Q37" si="3">STDEV(C9:C32)</f>
        <v>0.94067496195973199</v>
      </c>
      <c r="D37" s="40">
        <f t="shared" si="3"/>
        <v>1.5500123889172632</v>
      </c>
      <c r="E37" s="40">
        <f t="shared" si="3"/>
        <v>1.4043534795955686</v>
      </c>
      <c r="F37" s="40">
        <f t="shared" si="3"/>
        <v>1.090790166991715</v>
      </c>
      <c r="G37" s="40">
        <f t="shared" si="3"/>
        <v>1.8035628487178841</v>
      </c>
      <c r="H37" s="40">
        <f t="shared" si="3"/>
        <v>1.4933601228510613</v>
      </c>
      <c r="I37" s="40">
        <f t="shared" si="3"/>
        <v>5.7935496365650929E-2</v>
      </c>
      <c r="J37" s="40">
        <f t="shared" si="3"/>
        <v>0.24536869625412541</v>
      </c>
      <c r="K37" s="40">
        <f t="shared" si="3"/>
        <v>20.187690969169303</v>
      </c>
      <c r="L37" s="40">
        <f t="shared" si="3"/>
        <v>2.0604415947114356</v>
      </c>
      <c r="M37" s="40">
        <f t="shared" si="3"/>
        <v>7.2088473721382336</v>
      </c>
      <c r="N37" s="40">
        <f t="shared" si="3"/>
        <v>253.1406608681873</v>
      </c>
      <c r="O37" s="40">
        <f t="shared" si="3"/>
        <v>8.1649658092772623E-2</v>
      </c>
      <c r="P37" s="40">
        <f t="shared" si="3"/>
        <v>1.559798389053136E-2</v>
      </c>
      <c r="Q37" s="40">
        <f t="shared" si="3"/>
        <v>0.37972148450818632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45180.041666666664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45180.041666666664</v>
      </c>
      <c r="B9" s="50">
        <v>8.9600000000000009</v>
      </c>
      <c r="C9" s="50">
        <v>16.260000000000002</v>
      </c>
      <c r="D9" s="50">
        <v>17.03</v>
      </c>
      <c r="E9" s="50">
        <v>7.57</v>
      </c>
      <c r="F9" s="50">
        <v>5.6</v>
      </c>
      <c r="G9" s="50">
        <v>14.68</v>
      </c>
      <c r="H9" s="50">
        <v>9.14</v>
      </c>
      <c r="I9" s="50">
        <v>3.09</v>
      </c>
      <c r="J9" s="50">
        <v>0.52</v>
      </c>
      <c r="K9" s="50">
        <v>260.22000000000003</v>
      </c>
      <c r="L9" s="50">
        <v>25.84</v>
      </c>
      <c r="M9" s="50">
        <v>92.74</v>
      </c>
      <c r="N9" s="50">
        <v>0</v>
      </c>
      <c r="O9" s="50">
        <v>0</v>
      </c>
      <c r="P9" s="50">
        <v>0.39</v>
      </c>
      <c r="Q9" s="50">
        <v>4.83</v>
      </c>
    </row>
    <row r="10" spans="1:21" customFormat="1">
      <c r="A10" s="49">
        <v>45180.083333333336</v>
      </c>
      <c r="B10" s="50">
        <v>9.17</v>
      </c>
      <c r="C10" s="50">
        <v>15.52</v>
      </c>
      <c r="D10" s="50">
        <v>16.71</v>
      </c>
      <c r="E10" s="50">
        <v>7.93</v>
      </c>
      <c r="F10" s="50">
        <v>6.15</v>
      </c>
      <c r="G10" s="50">
        <v>15.15</v>
      </c>
      <c r="H10" s="50">
        <v>9.35</v>
      </c>
      <c r="I10" s="50">
        <v>3.1</v>
      </c>
      <c r="J10" s="50">
        <v>0.36</v>
      </c>
      <c r="K10" s="50">
        <v>254.59</v>
      </c>
      <c r="L10" s="50">
        <v>25.8</v>
      </c>
      <c r="M10" s="50">
        <v>93.63</v>
      </c>
      <c r="N10" s="50">
        <v>0</v>
      </c>
      <c r="O10" s="50">
        <v>0</v>
      </c>
      <c r="P10" s="50">
        <v>0.39</v>
      </c>
      <c r="Q10" s="50">
        <v>4.84</v>
      </c>
    </row>
    <row r="11" spans="1:21" customFormat="1">
      <c r="A11" s="49">
        <v>45180.125</v>
      </c>
      <c r="B11" s="50">
        <v>9.32</v>
      </c>
      <c r="C11" s="50">
        <v>15.78</v>
      </c>
      <c r="D11" s="50">
        <v>17.05</v>
      </c>
      <c r="E11" s="50">
        <v>9.07</v>
      </c>
      <c r="F11" s="50">
        <v>5.94</v>
      </c>
      <c r="G11" s="50">
        <v>11.57</v>
      </c>
      <c r="H11" s="50">
        <v>6.85</v>
      </c>
      <c r="I11" s="50">
        <v>3.04</v>
      </c>
      <c r="J11" s="50">
        <v>0.28000000000000003</v>
      </c>
      <c r="K11" s="50">
        <v>256.81</v>
      </c>
      <c r="L11" s="50">
        <v>25.88</v>
      </c>
      <c r="M11" s="50">
        <v>93.1</v>
      </c>
      <c r="N11" s="50">
        <v>0</v>
      </c>
      <c r="O11" s="50">
        <v>0</v>
      </c>
      <c r="P11" s="50">
        <v>0.39</v>
      </c>
      <c r="Q11" s="50">
        <v>4.87</v>
      </c>
    </row>
    <row r="12" spans="1:21" customFormat="1">
      <c r="A12" s="49">
        <v>45180.166666666664</v>
      </c>
      <c r="B12" s="50">
        <v>9.68</v>
      </c>
      <c r="C12" s="50">
        <v>15.84</v>
      </c>
      <c r="D12" s="50">
        <v>17.190000000000001</v>
      </c>
      <c r="E12" s="50">
        <v>8.85</v>
      </c>
      <c r="F12" s="50">
        <v>5.63</v>
      </c>
      <c r="G12" s="50">
        <v>11.61</v>
      </c>
      <c r="H12" s="50">
        <v>7.16</v>
      </c>
      <c r="I12" s="50">
        <v>3.09</v>
      </c>
      <c r="J12" s="50">
        <v>0.26</v>
      </c>
      <c r="K12" s="50">
        <v>250.13</v>
      </c>
      <c r="L12" s="50">
        <v>25.93</v>
      </c>
      <c r="M12" s="50">
        <v>93.52</v>
      </c>
      <c r="N12" s="50">
        <v>0</v>
      </c>
      <c r="O12" s="50">
        <v>0</v>
      </c>
      <c r="P12" s="50">
        <v>0.39</v>
      </c>
      <c r="Q12" s="50">
        <v>4.87</v>
      </c>
    </row>
    <row r="13" spans="1:21" customFormat="1">
      <c r="A13" s="49">
        <v>45180.208333333336</v>
      </c>
      <c r="B13" s="50">
        <v>10</v>
      </c>
      <c r="C13" s="50">
        <v>16.170000000000002</v>
      </c>
      <c r="D13" s="50">
        <v>17.760000000000002</v>
      </c>
      <c r="E13" s="50">
        <v>9.02</v>
      </c>
      <c r="F13" s="50">
        <v>5.16</v>
      </c>
      <c r="G13" s="50">
        <v>11.88</v>
      </c>
      <c r="H13" s="50">
        <v>7.85</v>
      </c>
      <c r="I13" s="50">
        <v>3.07</v>
      </c>
      <c r="J13" s="50">
        <v>0.35</v>
      </c>
      <c r="K13" s="50">
        <v>265.69</v>
      </c>
      <c r="L13" s="50">
        <v>25.73</v>
      </c>
      <c r="M13" s="50">
        <v>94.93</v>
      </c>
      <c r="N13" s="50">
        <v>0</v>
      </c>
      <c r="O13" s="50">
        <v>0</v>
      </c>
      <c r="P13" s="50">
        <v>0.39</v>
      </c>
      <c r="Q13" s="50">
        <v>4.92</v>
      </c>
    </row>
    <row r="14" spans="1:21" customFormat="1">
      <c r="A14" s="49">
        <v>45180.25</v>
      </c>
      <c r="B14" s="50">
        <v>10.31</v>
      </c>
      <c r="C14" s="50">
        <v>15.92</v>
      </c>
      <c r="D14" s="50">
        <v>17.8</v>
      </c>
      <c r="E14" s="50">
        <v>8.9</v>
      </c>
      <c r="F14" s="50">
        <v>5.29</v>
      </c>
      <c r="G14" s="50">
        <v>12.77</v>
      </c>
      <c r="H14" s="50">
        <v>6.17</v>
      </c>
      <c r="I14" s="50">
        <v>3.11</v>
      </c>
      <c r="J14" s="50">
        <v>0.42</v>
      </c>
      <c r="K14" s="50">
        <v>265.92</v>
      </c>
      <c r="L14" s="50">
        <v>25.59</v>
      </c>
      <c r="M14" s="50">
        <v>95.52</v>
      </c>
      <c r="N14" s="50">
        <v>3.2</v>
      </c>
      <c r="O14" s="50">
        <v>0</v>
      </c>
      <c r="P14" s="50">
        <v>0.38</v>
      </c>
      <c r="Q14" s="50">
        <v>4.96</v>
      </c>
    </row>
    <row r="15" spans="1:21" customFormat="1">
      <c r="A15" s="49">
        <v>45180.291666666664</v>
      </c>
      <c r="B15" s="50">
        <v>10.83</v>
      </c>
      <c r="C15" s="50">
        <v>16.78</v>
      </c>
      <c r="D15" s="50">
        <v>18.66</v>
      </c>
      <c r="E15" s="50">
        <v>9.34</v>
      </c>
      <c r="F15" s="50">
        <v>5.4</v>
      </c>
      <c r="G15" s="50">
        <v>11.13</v>
      </c>
      <c r="H15" s="50">
        <v>5.12</v>
      </c>
      <c r="I15" s="50">
        <v>3.13</v>
      </c>
      <c r="J15" s="50">
        <v>0.52</v>
      </c>
      <c r="K15" s="50">
        <v>267.45999999999998</v>
      </c>
      <c r="L15" s="50">
        <v>26.26</v>
      </c>
      <c r="M15" s="50">
        <v>94.47</v>
      </c>
      <c r="N15" s="50">
        <v>56.7</v>
      </c>
      <c r="O15" s="50">
        <v>0</v>
      </c>
      <c r="P15" s="50">
        <v>0.41</v>
      </c>
      <c r="Q15" s="50">
        <v>5.01</v>
      </c>
    </row>
    <row r="16" spans="1:21" customFormat="1">
      <c r="A16" s="49">
        <v>45180.333333333336</v>
      </c>
      <c r="B16" s="50">
        <v>10.97</v>
      </c>
      <c r="C16" s="50">
        <v>16.05</v>
      </c>
      <c r="D16" s="50">
        <v>18.37</v>
      </c>
      <c r="E16" s="50">
        <v>9.5399999999999991</v>
      </c>
      <c r="F16" s="50">
        <v>5.15</v>
      </c>
      <c r="G16" s="50">
        <v>12.5</v>
      </c>
      <c r="H16" s="50">
        <v>6.12</v>
      </c>
      <c r="I16" s="50">
        <v>3.23</v>
      </c>
      <c r="J16" s="50">
        <v>0.63</v>
      </c>
      <c r="K16" s="50">
        <v>272.14999999999998</v>
      </c>
      <c r="L16" s="50">
        <v>26.91</v>
      </c>
      <c r="M16" s="50">
        <v>92.13</v>
      </c>
      <c r="N16" s="50">
        <v>99</v>
      </c>
      <c r="O16" s="50">
        <v>0</v>
      </c>
      <c r="P16" s="50">
        <v>0.44</v>
      </c>
      <c r="Q16" s="50">
        <v>5.01</v>
      </c>
    </row>
    <row r="17" spans="1:17" customFormat="1">
      <c r="A17" s="49">
        <v>45180.375</v>
      </c>
      <c r="B17" s="50">
        <v>11.08</v>
      </c>
      <c r="C17" s="50">
        <v>16.350000000000001</v>
      </c>
      <c r="D17" s="50">
        <v>18.670000000000002</v>
      </c>
      <c r="E17" s="50">
        <v>9.7799999999999994</v>
      </c>
      <c r="F17" s="50">
        <v>5.28</v>
      </c>
      <c r="G17" s="50">
        <v>16.02</v>
      </c>
      <c r="H17" s="50">
        <v>7.28</v>
      </c>
      <c r="I17" s="50">
        <v>3.54</v>
      </c>
      <c r="J17" s="50">
        <v>0.6</v>
      </c>
      <c r="K17" s="50">
        <v>273.73</v>
      </c>
      <c r="L17" s="50">
        <v>27.3</v>
      </c>
      <c r="M17" s="50">
        <v>89.76</v>
      </c>
      <c r="N17" s="50">
        <v>100.6</v>
      </c>
      <c r="O17" s="50">
        <v>0</v>
      </c>
      <c r="P17" s="50">
        <v>0.46</v>
      </c>
      <c r="Q17" s="50">
        <v>5.0599999999999996</v>
      </c>
    </row>
    <row r="18" spans="1:17" customFormat="1">
      <c r="A18" s="49">
        <v>45180.416666666664</v>
      </c>
      <c r="B18" s="50">
        <v>11.26</v>
      </c>
      <c r="C18" s="50">
        <v>16.12</v>
      </c>
      <c r="D18" s="50">
        <v>18.8</v>
      </c>
      <c r="E18" s="50">
        <v>9.4499999999999993</v>
      </c>
      <c r="F18" s="50">
        <v>5.36</v>
      </c>
      <c r="G18" s="50">
        <v>20.43</v>
      </c>
      <c r="H18" s="50">
        <v>7.51</v>
      </c>
      <c r="I18" s="50">
        <v>3.84</v>
      </c>
      <c r="J18" s="50">
        <v>0.45</v>
      </c>
      <c r="K18" s="50">
        <v>266.41000000000003</v>
      </c>
      <c r="L18" s="50">
        <v>27.71</v>
      </c>
      <c r="M18" s="50">
        <v>90.2</v>
      </c>
      <c r="N18" s="50">
        <v>148.80000000000001</v>
      </c>
      <c r="O18" s="50">
        <v>0</v>
      </c>
      <c r="P18" s="50">
        <v>0.49</v>
      </c>
      <c r="Q18" s="50">
        <v>5.04</v>
      </c>
    </row>
    <row r="19" spans="1:17" customFormat="1">
      <c r="A19" s="49">
        <v>45180.458333333336</v>
      </c>
      <c r="B19" s="50">
        <v>11.07</v>
      </c>
      <c r="C19" s="50">
        <v>16.579999999999998</v>
      </c>
      <c r="D19" s="50">
        <v>18.829999999999998</v>
      </c>
      <c r="E19" s="50">
        <v>6.95</v>
      </c>
      <c r="F19" s="50">
        <v>5.87</v>
      </c>
      <c r="G19" s="50">
        <v>22.23</v>
      </c>
      <c r="H19" s="50">
        <v>10.88</v>
      </c>
      <c r="I19" s="50">
        <v>3.81</v>
      </c>
      <c r="J19" s="50">
        <v>0.6</v>
      </c>
      <c r="K19" s="50">
        <v>284.79000000000002</v>
      </c>
      <c r="L19" s="50">
        <v>28.26</v>
      </c>
      <c r="M19" s="50">
        <v>88.52</v>
      </c>
      <c r="N19" s="50">
        <v>183.5</v>
      </c>
      <c r="O19" s="50">
        <v>0</v>
      </c>
      <c r="P19" s="50">
        <v>0.52</v>
      </c>
      <c r="Q19" s="50">
        <v>5.03</v>
      </c>
    </row>
    <row r="20" spans="1:17" customFormat="1">
      <c r="A20" s="49">
        <v>45180.5</v>
      </c>
      <c r="B20" s="50">
        <v>10.95</v>
      </c>
      <c r="C20" s="50">
        <v>17.829999999999998</v>
      </c>
      <c r="D20" s="50">
        <v>19.45</v>
      </c>
      <c r="E20" s="50">
        <v>6.8</v>
      </c>
      <c r="F20" s="50">
        <v>6.13</v>
      </c>
      <c r="G20" s="50">
        <v>23.86</v>
      </c>
      <c r="H20" s="50">
        <v>12.03</v>
      </c>
      <c r="I20" s="50">
        <v>3.96</v>
      </c>
      <c r="J20" s="50">
        <v>0.7</v>
      </c>
      <c r="K20" s="50">
        <v>299.83</v>
      </c>
      <c r="L20" s="50">
        <v>29.41</v>
      </c>
      <c r="M20" s="50">
        <v>82.97</v>
      </c>
      <c r="N20" s="50">
        <v>356</v>
      </c>
      <c r="O20" s="50">
        <v>0</v>
      </c>
      <c r="P20" s="50">
        <v>0.53</v>
      </c>
      <c r="Q20" s="50">
        <v>5.05</v>
      </c>
    </row>
    <row r="21" spans="1:17" customFormat="1">
      <c r="A21" s="49">
        <v>45180.541666666664</v>
      </c>
      <c r="B21" s="50">
        <v>10.91</v>
      </c>
      <c r="C21" s="50">
        <v>16.09</v>
      </c>
      <c r="D21" s="50">
        <v>18.309999999999999</v>
      </c>
      <c r="E21" s="50">
        <v>6.61</v>
      </c>
      <c r="F21" s="50">
        <v>6.8</v>
      </c>
      <c r="G21" s="50">
        <v>27.42</v>
      </c>
      <c r="H21" s="50">
        <v>11.85</v>
      </c>
      <c r="I21" s="50">
        <v>3.87</v>
      </c>
      <c r="J21" s="50">
        <v>0.82</v>
      </c>
      <c r="K21" s="50">
        <v>304.77999999999997</v>
      </c>
      <c r="L21" s="50">
        <v>30.2</v>
      </c>
      <c r="M21" s="50">
        <v>78.19</v>
      </c>
      <c r="N21" s="50">
        <v>524.6</v>
      </c>
      <c r="O21" s="50">
        <v>0</v>
      </c>
      <c r="P21" s="50">
        <v>0.52</v>
      </c>
      <c r="Q21" s="50">
        <v>5.04</v>
      </c>
    </row>
    <row r="22" spans="1:17" customFormat="1">
      <c r="A22" s="49">
        <v>45180.583333333336</v>
      </c>
      <c r="B22" s="50">
        <v>10.32</v>
      </c>
      <c r="C22" s="50">
        <v>17.57</v>
      </c>
      <c r="D22" s="50">
        <v>18.809999999999999</v>
      </c>
      <c r="E22" s="50">
        <v>6.63</v>
      </c>
      <c r="F22" s="50">
        <v>6.58</v>
      </c>
      <c r="G22" s="50">
        <v>28.55</v>
      </c>
      <c r="H22" s="50">
        <v>12.49</v>
      </c>
      <c r="I22" s="50">
        <v>3.88</v>
      </c>
      <c r="J22" s="50">
        <v>0.86</v>
      </c>
      <c r="K22" s="50">
        <v>318.79000000000002</v>
      </c>
      <c r="L22" s="50">
        <v>30.9</v>
      </c>
      <c r="M22" s="50">
        <v>75.34</v>
      </c>
      <c r="N22" s="50">
        <v>839.5</v>
      </c>
      <c r="O22" s="50">
        <v>0</v>
      </c>
      <c r="P22" s="50">
        <v>0.55000000000000004</v>
      </c>
      <c r="Q22" s="50">
        <v>5</v>
      </c>
    </row>
    <row r="23" spans="1:17" customFormat="1">
      <c r="A23" s="49">
        <v>45180.625</v>
      </c>
      <c r="B23" s="50">
        <v>9.49</v>
      </c>
      <c r="C23" s="50">
        <v>16.8</v>
      </c>
      <c r="D23" s="50">
        <v>17.73</v>
      </c>
      <c r="E23" s="50">
        <v>6.27</v>
      </c>
      <c r="F23" s="50">
        <v>6.03</v>
      </c>
      <c r="G23" s="50">
        <v>27.49</v>
      </c>
      <c r="H23" s="50">
        <v>10.58</v>
      </c>
      <c r="I23" s="50">
        <v>3.85</v>
      </c>
      <c r="J23" s="50">
        <v>0.76</v>
      </c>
      <c r="K23" s="50">
        <v>292.44</v>
      </c>
      <c r="L23" s="50">
        <v>30.84</v>
      </c>
      <c r="M23" s="50">
        <v>75.36</v>
      </c>
      <c r="N23" s="50">
        <v>703.3</v>
      </c>
      <c r="O23" s="50">
        <v>0</v>
      </c>
      <c r="P23" s="50">
        <v>0.54</v>
      </c>
      <c r="Q23" s="50">
        <v>4.9400000000000004</v>
      </c>
    </row>
    <row r="24" spans="1:17" customFormat="1">
      <c r="A24" s="49">
        <v>45180.666666666664</v>
      </c>
      <c r="B24" s="50">
        <v>8.86</v>
      </c>
      <c r="C24" s="50">
        <v>16.399999999999999</v>
      </c>
      <c r="D24" s="50">
        <v>16.97</v>
      </c>
      <c r="E24" s="50">
        <v>5.85</v>
      </c>
      <c r="F24" s="50">
        <v>6.42</v>
      </c>
      <c r="G24" s="50">
        <v>27.21</v>
      </c>
      <c r="H24" s="50">
        <v>9.3800000000000008</v>
      </c>
      <c r="I24" s="50">
        <v>3.87</v>
      </c>
      <c r="J24" s="50">
        <v>0.79</v>
      </c>
      <c r="K24" s="50">
        <v>291.73</v>
      </c>
      <c r="L24" s="50">
        <v>30.36</v>
      </c>
      <c r="M24" s="50">
        <v>78.48</v>
      </c>
      <c r="N24" s="50">
        <v>383</v>
      </c>
      <c r="O24" s="50">
        <v>0</v>
      </c>
      <c r="P24" s="50">
        <v>0.54</v>
      </c>
      <c r="Q24" s="50">
        <v>4.87</v>
      </c>
    </row>
    <row r="25" spans="1:17" customFormat="1">
      <c r="A25" s="49">
        <v>45180.708333333336</v>
      </c>
      <c r="B25" s="50">
        <v>8.92</v>
      </c>
      <c r="C25" s="50">
        <v>17.32</v>
      </c>
      <c r="D25" s="50">
        <v>17.55</v>
      </c>
      <c r="E25" s="50">
        <v>6.02</v>
      </c>
      <c r="F25" s="50">
        <v>5.86</v>
      </c>
      <c r="G25" s="50">
        <v>30.74</v>
      </c>
      <c r="H25" s="50">
        <v>12.08</v>
      </c>
      <c r="I25" s="50">
        <v>4</v>
      </c>
      <c r="J25" s="50">
        <v>0.67</v>
      </c>
      <c r="K25" s="50">
        <v>284.02999999999997</v>
      </c>
      <c r="L25" s="50">
        <v>29.25</v>
      </c>
      <c r="M25" s="50">
        <v>77.930000000000007</v>
      </c>
      <c r="N25" s="50">
        <v>123.5</v>
      </c>
      <c r="O25" s="50">
        <v>0</v>
      </c>
      <c r="P25" s="50">
        <v>0.55000000000000004</v>
      </c>
      <c r="Q25" s="50">
        <v>4.84</v>
      </c>
    </row>
    <row r="26" spans="1:17" customFormat="1">
      <c r="A26" s="49">
        <v>45180.75</v>
      </c>
      <c r="B26" s="50">
        <v>10.82</v>
      </c>
      <c r="C26" s="50">
        <v>18.54</v>
      </c>
      <c r="D26" s="50">
        <v>19.72</v>
      </c>
      <c r="E26" s="50">
        <v>7.26</v>
      </c>
      <c r="F26" s="50">
        <v>10.23</v>
      </c>
      <c r="G26" s="50">
        <v>32.72</v>
      </c>
      <c r="H26" s="50">
        <v>12.88</v>
      </c>
      <c r="I26" s="50">
        <v>3.99</v>
      </c>
      <c r="J26" s="50">
        <v>0.63</v>
      </c>
      <c r="K26" s="50">
        <v>276.07</v>
      </c>
      <c r="L26" s="50">
        <v>28.8</v>
      </c>
      <c r="M26" s="50">
        <v>79.89</v>
      </c>
      <c r="N26" s="50">
        <v>42.9</v>
      </c>
      <c r="O26" s="50">
        <v>0</v>
      </c>
      <c r="P26" s="50">
        <v>0.54</v>
      </c>
      <c r="Q26" s="50">
        <v>4.92</v>
      </c>
    </row>
    <row r="27" spans="1:17" customFormat="1">
      <c r="A27" s="49">
        <v>45180.791666666664</v>
      </c>
      <c r="B27" s="50">
        <v>8.7100000000000009</v>
      </c>
      <c r="C27" s="50">
        <v>17.239999999999998</v>
      </c>
      <c r="D27" s="50">
        <v>17.34</v>
      </c>
      <c r="E27" s="50">
        <v>8.66</v>
      </c>
      <c r="F27" s="50">
        <v>8.36</v>
      </c>
      <c r="G27" s="50">
        <v>31.26</v>
      </c>
      <c r="H27" s="50">
        <v>10.43</v>
      </c>
      <c r="I27" s="50">
        <v>4.18</v>
      </c>
      <c r="J27" s="50">
        <v>0.31</v>
      </c>
      <c r="K27" s="50">
        <v>260.91000000000003</v>
      </c>
      <c r="L27" s="50">
        <v>27.93</v>
      </c>
      <c r="M27" s="50">
        <v>86.62</v>
      </c>
      <c r="N27" s="50">
        <v>0</v>
      </c>
      <c r="O27" s="50">
        <v>0</v>
      </c>
      <c r="P27" s="50">
        <v>0.61</v>
      </c>
      <c r="Q27" s="50">
        <v>4.93</v>
      </c>
    </row>
    <row r="28" spans="1:17" customFormat="1">
      <c r="A28" s="49">
        <v>45180.833333333336</v>
      </c>
      <c r="B28" s="50">
        <v>8.77</v>
      </c>
      <c r="C28" s="50">
        <v>16.23</v>
      </c>
      <c r="D28" s="50">
        <v>16.850000000000001</v>
      </c>
      <c r="E28" s="50">
        <v>8</v>
      </c>
      <c r="F28" s="50">
        <v>9.34</v>
      </c>
      <c r="G28" s="50">
        <v>28.97</v>
      </c>
      <c r="H28" s="50">
        <v>11.75</v>
      </c>
      <c r="I28" s="50">
        <v>4.3</v>
      </c>
      <c r="J28" s="50">
        <v>0.36</v>
      </c>
      <c r="K28" s="50">
        <v>261.67</v>
      </c>
      <c r="L28" s="50">
        <v>27.29</v>
      </c>
      <c r="M28" s="50">
        <v>89.51</v>
      </c>
      <c r="N28" s="50">
        <v>0</v>
      </c>
      <c r="O28" s="50">
        <v>0</v>
      </c>
      <c r="P28" s="50">
        <v>0.57999999999999996</v>
      </c>
      <c r="Q28" s="50">
        <v>4.93</v>
      </c>
    </row>
    <row r="29" spans="1:17" customFormat="1">
      <c r="A29" s="49">
        <v>45180.875</v>
      </c>
      <c r="B29" s="50">
        <v>9</v>
      </c>
      <c r="C29" s="50">
        <v>16.77</v>
      </c>
      <c r="D29" s="50">
        <v>17.329999999999998</v>
      </c>
      <c r="E29" s="50">
        <v>8.4499999999999993</v>
      </c>
      <c r="F29" s="50">
        <v>9.39</v>
      </c>
      <c r="G29" s="50">
        <v>27.95</v>
      </c>
      <c r="H29" s="50">
        <v>12.03</v>
      </c>
      <c r="I29" s="50">
        <v>4.25</v>
      </c>
      <c r="J29" s="50">
        <v>0.15</v>
      </c>
      <c r="K29" s="50">
        <v>221.89</v>
      </c>
      <c r="L29" s="50">
        <v>27.05</v>
      </c>
      <c r="M29" s="50">
        <v>92.97</v>
      </c>
      <c r="N29" s="50">
        <v>0</v>
      </c>
      <c r="O29" s="50">
        <v>0</v>
      </c>
      <c r="P29" s="50">
        <v>0.59</v>
      </c>
      <c r="Q29" s="50">
        <v>4.96</v>
      </c>
    </row>
    <row r="30" spans="1:17" customFormat="1">
      <c r="A30" s="49">
        <v>45180.916666666664</v>
      </c>
      <c r="B30" s="50">
        <v>9.06</v>
      </c>
      <c r="C30" s="50">
        <v>15.96</v>
      </c>
      <c r="D30" s="50">
        <v>16.95</v>
      </c>
      <c r="E30" s="50">
        <v>7.96</v>
      </c>
      <c r="F30" s="50">
        <v>7.93</v>
      </c>
      <c r="G30" s="50">
        <v>25.33</v>
      </c>
      <c r="H30" s="50">
        <v>10.06</v>
      </c>
      <c r="I30" s="50">
        <v>4.25</v>
      </c>
      <c r="J30" s="50">
        <v>0.44</v>
      </c>
      <c r="K30" s="50">
        <v>268.61</v>
      </c>
      <c r="L30" s="50">
        <v>26.87</v>
      </c>
      <c r="M30" s="50">
        <v>91.49</v>
      </c>
      <c r="N30" s="50">
        <v>0</v>
      </c>
      <c r="O30" s="50">
        <v>0</v>
      </c>
      <c r="P30" s="50">
        <v>0.56999999999999995</v>
      </c>
      <c r="Q30" s="50">
        <v>4.99</v>
      </c>
    </row>
    <row r="31" spans="1:17" customFormat="1">
      <c r="A31" s="49">
        <v>45180.958333333336</v>
      </c>
      <c r="B31" s="50">
        <v>9.1999999999999993</v>
      </c>
      <c r="C31" s="50">
        <v>16.27</v>
      </c>
      <c r="D31" s="50">
        <v>17.23</v>
      </c>
      <c r="E31" s="50">
        <v>9.1300000000000008</v>
      </c>
      <c r="F31" s="50">
        <v>6.85</v>
      </c>
      <c r="G31" s="50">
        <v>25.88</v>
      </c>
      <c r="H31" s="50">
        <v>10.08</v>
      </c>
      <c r="I31" s="50">
        <v>4.67</v>
      </c>
      <c r="J31" s="50">
        <v>0.47</v>
      </c>
      <c r="K31" s="50">
        <v>264.74</v>
      </c>
      <c r="L31" s="50">
        <v>26.96</v>
      </c>
      <c r="M31" s="50">
        <v>87.61</v>
      </c>
      <c r="N31" s="50">
        <v>0</v>
      </c>
      <c r="O31" s="50">
        <v>0</v>
      </c>
      <c r="P31" s="50">
        <v>0.62</v>
      </c>
      <c r="Q31" s="50">
        <v>4.95</v>
      </c>
    </row>
    <row r="32" spans="1:17" customFormat="1">
      <c r="A32" s="49">
        <v>45181</v>
      </c>
      <c r="B32" s="50">
        <v>9.3699999999999992</v>
      </c>
      <c r="C32" s="50">
        <v>16.739999999999998</v>
      </c>
      <c r="D32" s="50">
        <v>17.48</v>
      </c>
      <c r="E32" s="50">
        <v>8.5</v>
      </c>
      <c r="F32" s="50">
        <v>6.85</v>
      </c>
      <c r="G32" s="50">
        <v>25.19</v>
      </c>
      <c r="H32" s="50">
        <v>8.84</v>
      </c>
      <c r="I32" s="50">
        <v>4.5</v>
      </c>
      <c r="J32" s="50">
        <v>0.49</v>
      </c>
      <c r="K32" s="50">
        <v>263.95</v>
      </c>
      <c r="L32" s="50">
        <v>26.62</v>
      </c>
      <c r="M32" s="50">
        <v>90.48</v>
      </c>
      <c r="N32" s="50">
        <v>0</v>
      </c>
      <c r="O32" s="50">
        <v>0</v>
      </c>
      <c r="P32" s="50">
        <v>0.59</v>
      </c>
      <c r="Q32" s="50">
        <v>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8.7100000000000009</v>
      </c>
      <c r="C34" s="40">
        <f t="shared" si="0"/>
        <v>15.52</v>
      </c>
      <c r="D34" s="40">
        <f t="shared" si="0"/>
        <v>16.71</v>
      </c>
      <c r="E34" s="40">
        <f t="shared" si="0"/>
        <v>5.85</v>
      </c>
      <c r="F34" s="40">
        <f t="shared" si="0"/>
        <v>5.15</v>
      </c>
      <c r="G34" s="40">
        <f t="shared" si="0"/>
        <v>11.13</v>
      </c>
      <c r="H34" s="40">
        <f t="shared" si="0"/>
        <v>5.12</v>
      </c>
      <c r="I34" s="40">
        <f t="shared" si="0"/>
        <v>3.04</v>
      </c>
      <c r="J34" s="40">
        <f t="shared" si="0"/>
        <v>0.15</v>
      </c>
      <c r="K34" s="40">
        <f t="shared" si="0"/>
        <v>221.89</v>
      </c>
      <c r="L34" s="40">
        <f t="shared" si="0"/>
        <v>25.59</v>
      </c>
      <c r="M34" s="40">
        <f t="shared" si="0"/>
        <v>75.34</v>
      </c>
      <c r="N34" s="40">
        <f t="shared" si="0"/>
        <v>0</v>
      </c>
      <c r="O34" s="40">
        <f t="shared" si="0"/>
        <v>0</v>
      </c>
      <c r="P34" s="40">
        <f t="shared" si="0"/>
        <v>0.38</v>
      </c>
      <c r="Q34" s="40">
        <f t="shared" si="0"/>
        <v>4.83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11.26</v>
      </c>
      <c r="C35" s="33">
        <f t="shared" si="1"/>
        <v>18.54</v>
      </c>
      <c r="D35" s="33">
        <f t="shared" si="1"/>
        <v>19.72</v>
      </c>
      <c r="E35" s="33">
        <f t="shared" si="1"/>
        <v>9.7799999999999994</v>
      </c>
      <c r="F35" s="33">
        <f t="shared" si="1"/>
        <v>10.23</v>
      </c>
      <c r="G35" s="33">
        <f t="shared" si="1"/>
        <v>32.72</v>
      </c>
      <c r="H35" s="33">
        <f t="shared" si="1"/>
        <v>12.88</v>
      </c>
      <c r="I35" s="33">
        <f t="shared" si="1"/>
        <v>4.67</v>
      </c>
      <c r="J35" s="33">
        <f t="shared" si="1"/>
        <v>0.86</v>
      </c>
      <c r="K35" s="33">
        <f t="shared" si="1"/>
        <v>318.79000000000002</v>
      </c>
      <c r="L35" s="33">
        <f t="shared" si="1"/>
        <v>30.9</v>
      </c>
      <c r="M35" s="33">
        <f t="shared" si="1"/>
        <v>95.52</v>
      </c>
      <c r="N35" s="33">
        <f t="shared" si="1"/>
        <v>839.5</v>
      </c>
      <c r="O35" s="33">
        <f t="shared" si="1"/>
        <v>0</v>
      </c>
      <c r="P35" s="33">
        <f t="shared" si="1"/>
        <v>0.62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9.8762500000000006</v>
      </c>
      <c r="C36" s="40">
        <f t="shared" si="2"/>
        <v>16.547083333333333</v>
      </c>
      <c r="D36" s="40">
        <f t="shared" si="2"/>
        <v>17.857916666666664</v>
      </c>
      <c r="E36" s="40">
        <f t="shared" si="2"/>
        <v>8.0224999999999991</v>
      </c>
      <c r="F36" s="40">
        <f t="shared" si="2"/>
        <v>6.5666666666666664</v>
      </c>
      <c r="G36" s="40">
        <f t="shared" si="2"/>
        <v>21.772500000000004</v>
      </c>
      <c r="H36" s="40">
        <f t="shared" si="2"/>
        <v>9.4962500000000016</v>
      </c>
      <c r="I36" s="40">
        <f t="shared" si="2"/>
        <v>3.7341666666666669</v>
      </c>
      <c r="J36" s="40">
        <f t="shared" si="2"/>
        <v>0.51833333333333342</v>
      </c>
      <c r="K36" s="40">
        <f t="shared" si="2"/>
        <v>271.97249999999991</v>
      </c>
      <c r="L36" s="40">
        <f t="shared" si="2"/>
        <v>27.653749999999999</v>
      </c>
      <c r="M36" s="40">
        <f t="shared" si="2"/>
        <v>87.723333333333343</v>
      </c>
      <c r="N36" s="40">
        <f t="shared" si="2"/>
        <v>148.52500000000001</v>
      </c>
      <c r="O36" s="40">
        <f t="shared" si="2"/>
        <v>0</v>
      </c>
      <c r="P36" s="40">
        <f t="shared" si="2"/>
        <v>0.4991666666666667</v>
      </c>
      <c r="Q36" s="40">
        <f t="shared" si="2"/>
        <v>4.9524999999999997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0.90701523164429276</v>
      </c>
      <c r="C37" s="40">
        <f t="shared" ref="C37:Q37" si="3">STDEV(C9:C32)</f>
        <v>0.72019610352758434</v>
      </c>
      <c r="D37" s="40">
        <f t="shared" si="3"/>
        <v>0.87101130211136557</v>
      </c>
      <c r="E37" s="40">
        <f t="shared" si="3"/>
        <v>1.2146756589813352</v>
      </c>
      <c r="F37" s="40">
        <f t="shared" si="3"/>
        <v>1.4494936647181229</v>
      </c>
      <c r="G37" s="40">
        <f t="shared" si="3"/>
        <v>7.4619942840806299</v>
      </c>
      <c r="H37" s="40">
        <f t="shared" si="3"/>
        <v>2.2974651674513322</v>
      </c>
      <c r="I37" s="40">
        <f t="shared" si="3"/>
        <v>0.51035296112350703</v>
      </c>
      <c r="J37" s="40">
        <f t="shared" si="3"/>
        <v>0.19098524110213455</v>
      </c>
      <c r="K37" s="40">
        <f t="shared" si="3"/>
        <v>20.132752948973028</v>
      </c>
      <c r="L37" s="40">
        <f t="shared" si="3"/>
        <v>1.719152502277526</v>
      </c>
      <c r="M37" s="40">
        <f t="shared" si="3"/>
        <v>6.6830952648334829</v>
      </c>
      <c r="N37" s="40">
        <f t="shared" si="3"/>
        <v>239.07811394022954</v>
      </c>
      <c r="O37" s="40">
        <f t="shared" si="3"/>
        <v>0</v>
      </c>
      <c r="P37" s="40">
        <f t="shared" si="3"/>
        <v>8.1769382314273872E-2</v>
      </c>
      <c r="Q37" s="40">
        <f t="shared" si="3"/>
        <v>7.1945027323071301E-2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45181.041666666664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45181.041666666664</v>
      </c>
      <c r="B9" s="50">
        <v>8.84</v>
      </c>
      <c r="C9" s="50">
        <v>16.420000000000002</v>
      </c>
      <c r="D9" s="50">
        <v>17.02</v>
      </c>
      <c r="E9" s="50">
        <v>8.65</v>
      </c>
      <c r="F9" s="50">
        <v>5.99</v>
      </c>
      <c r="G9" s="50">
        <v>21.77</v>
      </c>
      <c r="H9" s="50">
        <v>9.01</v>
      </c>
      <c r="I9" s="50">
        <v>4.3899999999999997</v>
      </c>
      <c r="J9" s="50">
        <v>0.43</v>
      </c>
      <c r="K9" s="50">
        <v>264.89</v>
      </c>
      <c r="L9" s="50">
        <v>26.29</v>
      </c>
      <c r="M9" s="50">
        <v>92.46</v>
      </c>
      <c r="N9" s="50">
        <v>0</v>
      </c>
      <c r="O9" s="50">
        <v>0</v>
      </c>
      <c r="P9" s="50">
        <v>0.57999999999999996</v>
      </c>
      <c r="Q9" s="50">
        <v>4.99</v>
      </c>
    </row>
    <row r="10" spans="1:21" customFormat="1">
      <c r="A10" s="49">
        <v>45181.083333333336</v>
      </c>
      <c r="B10" s="50">
        <v>8.92</v>
      </c>
      <c r="C10" s="50">
        <v>16.190000000000001</v>
      </c>
      <c r="D10" s="50">
        <v>16.91</v>
      </c>
      <c r="E10" s="50">
        <v>8.76</v>
      </c>
      <c r="F10" s="50">
        <v>5.12</v>
      </c>
      <c r="G10" s="50">
        <v>22.01</v>
      </c>
      <c r="H10" s="50">
        <v>8.41</v>
      </c>
      <c r="I10" s="50">
        <v>4.34</v>
      </c>
      <c r="J10" s="50">
        <v>0.51</v>
      </c>
      <c r="K10" s="50">
        <v>266.32</v>
      </c>
      <c r="L10" s="50">
        <v>26.14</v>
      </c>
      <c r="M10" s="50">
        <v>93.54</v>
      </c>
      <c r="N10" s="50">
        <v>0</v>
      </c>
      <c r="O10" s="50">
        <v>0</v>
      </c>
      <c r="P10" s="50">
        <v>0.56999999999999995</v>
      </c>
      <c r="Q10" s="50">
        <v>5.03</v>
      </c>
    </row>
    <row r="11" spans="1:21" customFormat="1">
      <c r="A11" s="49">
        <v>45181.125</v>
      </c>
      <c r="B11" s="50">
        <v>9.23</v>
      </c>
      <c r="C11" s="50">
        <v>16.25</v>
      </c>
      <c r="D11" s="50">
        <v>17.05</v>
      </c>
      <c r="E11" s="50">
        <v>8.08</v>
      </c>
      <c r="F11" s="50">
        <v>5.19</v>
      </c>
      <c r="G11" s="50">
        <v>23.07</v>
      </c>
      <c r="H11" s="50">
        <v>7.88</v>
      </c>
      <c r="I11" s="50">
        <v>4.24</v>
      </c>
      <c r="J11" s="50">
        <v>0.49</v>
      </c>
      <c r="K11" s="50">
        <v>274.18</v>
      </c>
      <c r="L11" s="50">
        <v>25.94</v>
      </c>
      <c r="M11" s="50">
        <v>94.41</v>
      </c>
      <c r="N11" s="50">
        <v>0</v>
      </c>
      <c r="O11" s="50">
        <v>0</v>
      </c>
      <c r="P11" s="50">
        <v>0.56999999999999995</v>
      </c>
      <c r="Q11" s="50">
        <v>5.08</v>
      </c>
    </row>
    <row r="12" spans="1:21" customFormat="1">
      <c r="A12" s="49">
        <v>45181.166666666664</v>
      </c>
      <c r="B12" s="50">
        <v>9.66</v>
      </c>
      <c r="C12" s="50">
        <v>16.510000000000002</v>
      </c>
      <c r="D12" s="50">
        <v>17.66</v>
      </c>
      <c r="E12" s="50">
        <v>7.74</v>
      </c>
      <c r="F12" s="50">
        <v>4.93</v>
      </c>
      <c r="G12" s="50">
        <v>26.51</v>
      </c>
      <c r="H12" s="50">
        <v>8.9499999999999993</v>
      </c>
      <c r="I12" s="50">
        <v>4.43</v>
      </c>
      <c r="J12" s="50">
        <v>0.5</v>
      </c>
      <c r="K12" s="50">
        <v>264.75</v>
      </c>
      <c r="L12" s="50">
        <v>25.91</v>
      </c>
      <c r="M12" s="50">
        <v>94.27</v>
      </c>
      <c r="N12" s="50">
        <v>0</v>
      </c>
      <c r="O12" s="50">
        <v>0</v>
      </c>
      <c r="P12" s="50">
        <v>0.64</v>
      </c>
      <c r="Q12" s="50">
        <v>5.09</v>
      </c>
    </row>
    <row r="13" spans="1:21" customFormat="1">
      <c r="A13" s="49">
        <v>45181.208333333336</v>
      </c>
      <c r="B13" s="50">
        <v>10.199999999999999</v>
      </c>
      <c r="C13" s="50">
        <v>16.739999999999998</v>
      </c>
      <c r="D13" s="50">
        <v>18.260000000000002</v>
      </c>
      <c r="E13" s="50">
        <v>7.67</v>
      </c>
      <c r="F13" s="50">
        <v>4.83</v>
      </c>
      <c r="G13" s="50">
        <v>27.7</v>
      </c>
      <c r="H13" s="50">
        <v>9.31</v>
      </c>
      <c r="I13" s="50">
        <v>4.6100000000000003</v>
      </c>
      <c r="J13" s="50">
        <v>0.22</v>
      </c>
      <c r="K13" s="50">
        <v>260.29000000000002</v>
      </c>
      <c r="L13" s="50">
        <v>25.74</v>
      </c>
      <c r="M13" s="50">
        <v>95.56</v>
      </c>
      <c r="N13" s="50">
        <v>0</v>
      </c>
      <c r="O13" s="50">
        <v>0</v>
      </c>
      <c r="P13" s="50">
        <v>0.64</v>
      </c>
      <c r="Q13" s="50">
        <v>5.16</v>
      </c>
    </row>
    <row r="14" spans="1:21" customFormat="1">
      <c r="A14" s="49">
        <v>45181.25</v>
      </c>
      <c r="B14" s="50">
        <v>10.76</v>
      </c>
      <c r="C14" s="50">
        <v>16.54</v>
      </c>
      <c r="D14" s="50">
        <v>18.54</v>
      </c>
      <c r="E14" s="50">
        <v>7.72</v>
      </c>
      <c r="F14" s="50">
        <v>4.84</v>
      </c>
      <c r="G14" s="50">
        <v>26.54</v>
      </c>
      <c r="H14" s="50">
        <v>8.94</v>
      </c>
      <c r="I14" s="50">
        <v>4.76</v>
      </c>
      <c r="J14" s="50">
        <v>0.38</v>
      </c>
      <c r="K14" s="50">
        <v>263.69</v>
      </c>
      <c r="L14" s="50">
        <v>25.57</v>
      </c>
      <c r="M14" s="50">
        <v>96.04</v>
      </c>
      <c r="N14" s="50">
        <v>2.9</v>
      </c>
      <c r="O14" s="50">
        <v>0</v>
      </c>
      <c r="P14" s="50">
        <v>0.64</v>
      </c>
      <c r="Q14" s="50">
        <v>5.18</v>
      </c>
    </row>
    <row r="15" spans="1:21" customFormat="1">
      <c r="A15" s="49">
        <v>45181.291666666664</v>
      </c>
      <c r="B15" s="50">
        <v>11.38</v>
      </c>
      <c r="C15" s="50">
        <v>17.670000000000002</v>
      </c>
      <c r="D15" s="50">
        <v>19.52</v>
      </c>
      <c r="E15" s="50">
        <v>7.94</v>
      </c>
      <c r="F15" s="50">
        <v>4.8600000000000003</v>
      </c>
      <c r="G15" s="50">
        <v>23.08</v>
      </c>
      <c r="H15" s="50">
        <v>9.11</v>
      </c>
      <c r="I15" s="50">
        <v>4.87</v>
      </c>
      <c r="J15" s="50">
        <v>0.2</v>
      </c>
      <c r="K15" s="50">
        <v>258.14</v>
      </c>
      <c r="L15" s="50">
        <v>26.22</v>
      </c>
      <c r="M15" s="50">
        <v>95.52</v>
      </c>
      <c r="N15" s="50">
        <v>36.299999999999997</v>
      </c>
      <c r="O15" s="50">
        <v>0</v>
      </c>
      <c r="P15" s="50">
        <v>0.66</v>
      </c>
      <c r="Q15" s="50">
        <v>5.26</v>
      </c>
    </row>
    <row r="16" spans="1:21" customFormat="1">
      <c r="A16" s="49">
        <v>45181.333333333336</v>
      </c>
      <c r="B16" s="50">
        <v>11.52</v>
      </c>
      <c r="C16" s="50">
        <v>16.510000000000002</v>
      </c>
      <c r="D16" s="50">
        <v>19.190000000000001</v>
      </c>
      <c r="E16" s="50">
        <v>7.77</v>
      </c>
      <c r="F16" s="50">
        <v>5.4</v>
      </c>
      <c r="G16" s="50">
        <v>24.36</v>
      </c>
      <c r="H16" s="50">
        <v>7.85</v>
      </c>
      <c r="I16" s="50">
        <v>4.9800000000000004</v>
      </c>
      <c r="J16" s="50">
        <v>0.49</v>
      </c>
      <c r="K16" s="50">
        <v>269.75</v>
      </c>
      <c r="L16" s="50">
        <v>26.99</v>
      </c>
      <c r="M16" s="50">
        <v>92.36</v>
      </c>
      <c r="N16" s="50">
        <v>92.6</v>
      </c>
      <c r="O16" s="50">
        <v>0</v>
      </c>
      <c r="P16" s="50">
        <v>0.66</v>
      </c>
      <c r="Q16" s="50">
        <v>5.3</v>
      </c>
    </row>
    <row r="17" spans="1:17" customFormat="1">
      <c r="A17" s="49">
        <v>45181.375</v>
      </c>
      <c r="B17" s="50">
        <v>11.6</v>
      </c>
      <c r="C17" s="50">
        <v>16.71</v>
      </c>
      <c r="D17" s="50">
        <v>19.329999999999998</v>
      </c>
      <c r="E17" s="50">
        <v>7.72</v>
      </c>
      <c r="F17" s="50">
        <v>5.61</v>
      </c>
      <c r="G17" s="50">
        <v>26.4</v>
      </c>
      <c r="H17" s="50">
        <v>9.86</v>
      </c>
      <c r="I17" s="50">
        <v>5.12</v>
      </c>
      <c r="J17" s="50">
        <v>0.49</v>
      </c>
      <c r="K17" s="50">
        <v>271.5</v>
      </c>
      <c r="L17" s="50">
        <v>27.64</v>
      </c>
      <c r="M17" s="50">
        <v>87.88</v>
      </c>
      <c r="N17" s="50">
        <v>141.19999999999999</v>
      </c>
      <c r="O17" s="50">
        <v>0</v>
      </c>
      <c r="P17" s="50">
        <v>0.67</v>
      </c>
      <c r="Q17" s="50">
        <v>5.31</v>
      </c>
    </row>
    <row r="18" spans="1:17" customFormat="1">
      <c r="A18" s="49">
        <v>45181.416666666664</v>
      </c>
      <c r="B18" s="50">
        <v>11.84</v>
      </c>
      <c r="C18" s="50">
        <v>17.420000000000002</v>
      </c>
      <c r="D18" s="50">
        <v>19.59</v>
      </c>
      <c r="E18" s="50">
        <v>8.1</v>
      </c>
      <c r="F18" s="50">
        <v>6.07</v>
      </c>
      <c r="G18" s="50">
        <v>30.91</v>
      </c>
      <c r="H18" s="50">
        <v>10.5</v>
      </c>
      <c r="I18" s="50">
        <v>5.23</v>
      </c>
      <c r="J18" s="50">
        <v>0.56999999999999995</v>
      </c>
      <c r="K18" s="50">
        <v>286.76</v>
      </c>
      <c r="L18" s="50">
        <v>29.04</v>
      </c>
      <c r="M18" s="50">
        <v>82.83</v>
      </c>
      <c r="N18" s="50">
        <v>369.9</v>
      </c>
      <c r="O18" s="50">
        <v>0</v>
      </c>
      <c r="P18" s="50">
        <v>0.67</v>
      </c>
      <c r="Q18" s="50">
        <v>5.33</v>
      </c>
    </row>
    <row r="19" spans="1:17" customFormat="1">
      <c r="A19" s="49">
        <v>45181.458333333336</v>
      </c>
      <c r="B19" s="50">
        <v>11.8</v>
      </c>
      <c r="C19" s="50">
        <v>18.420000000000002</v>
      </c>
      <c r="D19" s="50">
        <v>19.75</v>
      </c>
      <c r="E19" s="50">
        <v>10.210000000000001</v>
      </c>
      <c r="F19" s="50">
        <v>6.05</v>
      </c>
      <c r="G19" s="50">
        <v>36.14</v>
      </c>
      <c r="H19" s="50">
        <v>11.5</v>
      </c>
      <c r="I19" s="50">
        <v>5.17</v>
      </c>
      <c r="J19" s="50">
        <v>0.78</v>
      </c>
      <c r="K19" s="50">
        <v>311.18</v>
      </c>
      <c r="L19" s="50">
        <v>30.78</v>
      </c>
      <c r="M19" s="50">
        <v>74.77</v>
      </c>
      <c r="N19" s="50">
        <v>727.3</v>
      </c>
      <c r="O19" s="50">
        <v>0</v>
      </c>
      <c r="P19" s="50">
        <v>0.67</v>
      </c>
      <c r="Q19" s="50">
        <v>5.3</v>
      </c>
    </row>
    <row r="20" spans="1:17" customFormat="1">
      <c r="A20" s="49">
        <v>45181.5</v>
      </c>
      <c r="B20" s="50">
        <v>10.52</v>
      </c>
      <c r="C20" s="50">
        <v>18.79</v>
      </c>
      <c r="D20" s="50">
        <v>19.600000000000001</v>
      </c>
      <c r="E20" s="50">
        <v>10.85</v>
      </c>
      <c r="F20" s="50">
        <v>7.35</v>
      </c>
      <c r="G20" s="50">
        <v>40.42</v>
      </c>
      <c r="H20" s="50">
        <v>13.69</v>
      </c>
      <c r="I20" s="50">
        <v>5.05</v>
      </c>
      <c r="J20" s="50">
        <v>0.8</v>
      </c>
      <c r="K20" s="50">
        <v>331.96</v>
      </c>
      <c r="L20" s="50">
        <v>31.24</v>
      </c>
      <c r="M20" s="50">
        <v>71.150000000000006</v>
      </c>
      <c r="N20" s="50">
        <v>636.29999999999995</v>
      </c>
      <c r="O20" s="50">
        <v>0</v>
      </c>
      <c r="P20" s="50">
        <v>0.69</v>
      </c>
      <c r="Q20" s="50">
        <v>5.22</v>
      </c>
    </row>
    <row r="21" spans="1:17" customFormat="1">
      <c r="A21" s="49">
        <v>45181.541666666664</v>
      </c>
      <c r="B21" s="50">
        <v>9.57</v>
      </c>
      <c r="C21" s="50">
        <v>18.38</v>
      </c>
      <c r="D21" s="50">
        <v>18.63</v>
      </c>
      <c r="E21" s="50">
        <v>10.199999999999999</v>
      </c>
      <c r="F21" s="50">
        <v>6.81</v>
      </c>
      <c r="G21" s="50">
        <v>43.51</v>
      </c>
      <c r="H21" s="50">
        <v>14.58</v>
      </c>
      <c r="I21" s="50">
        <v>4.8600000000000003</v>
      </c>
      <c r="J21" s="50">
        <v>0.97</v>
      </c>
      <c r="K21" s="50">
        <v>308.8</v>
      </c>
      <c r="L21" s="50">
        <v>31.13</v>
      </c>
      <c r="M21" s="50">
        <v>71.349999999999994</v>
      </c>
      <c r="N21" s="50">
        <v>805.9</v>
      </c>
      <c r="O21" s="50">
        <v>0</v>
      </c>
      <c r="P21" s="50">
        <v>0.66</v>
      </c>
      <c r="Q21" s="50">
        <v>5.16</v>
      </c>
    </row>
    <row r="22" spans="1:17" customFormat="1">
      <c r="A22" s="49">
        <v>45181.583333333336</v>
      </c>
      <c r="B22" s="50">
        <v>8.31</v>
      </c>
      <c r="C22" s="50">
        <v>17.7</v>
      </c>
      <c r="D22" s="50">
        <v>17.260000000000002</v>
      </c>
      <c r="E22" s="50">
        <v>9.42</v>
      </c>
      <c r="F22" s="50">
        <v>6.1</v>
      </c>
      <c r="G22" s="50">
        <v>45.04</v>
      </c>
      <c r="H22" s="50">
        <v>12.89</v>
      </c>
      <c r="I22" s="50">
        <v>4.79</v>
      </c>
      <c r="J22" s="50">
        <v>1.1299999999999999</v>
      </c>
      <c r="K22" s="50">
        <v>295.45</v>
      </c>
      <c r="L22" s="50">
        <v>31.06</v>
      </c>
      <c r="M22" s="50">
        <v>71.819999999999993</v>
      </c>
      <c r="N22" s="50">
        <v>668.5</v>
      </c>
      <c r="O22" s="50">
        <v>0</v>
      </c>
      <c r="P22" s="50">
        <v>0.63</v>
      </c>
      <c r="Q22" s="50">
        <v>5.09</v>
      </c>
    </row>
    <row r="23" spans="1:17" customFormat="1">
      <c r="A23" s="49">
        <v>45181.625</v>
      </c>
      <c r="B23" s="50">
        <v>7.71</v>
      </c>
      <c r="C23" s="50">
        <v>17.62</v>
      </c>
      <c r="D23" s="50">
        <v>16.739999999999998</v>
      </c>
      <c r="E23" s="50">
        <v>8.93</v>
      </c>
      <c r="F23" s="50">
        <v>6.26</v>
      </c>
      <c r="G23" s="50">
        <v>45.33</v>
      </c>
      <c r="H23" s="50">
        <v>12.68</v>
      </c>
      <c r="I23" s="50">
        <v>4.47</v>
      </c>
      <c r="J23" s="50">
        <v>1.04</v>
      </c>
      <c r="K23" s="50">
        <v>296.29000000000002</v>
      </c>
      <c r="L23" s="50">
        <v>31.7</v>
      </c>
      <c r="M23" s="50">
        <v>72.17</v>
      </c>
      <c r="N23" s="50">
        <v>663.3</v>
      </c>
      <c r="O23" s="50">
        <v>0</v>
      </c>
      <c r="P23" s="50">
        <v>0.6</v>
      </c>
      <c r="Q23" s="50">
        <v>4.9800000000000004</v>
      </c>
    </row>
    <row r="24" spans="1:17" customFormat="1">
      <c r="A24" s="49">
        <v>45181.666666666664</v>
      </c>
      <c r="B24" s="50">
        <v>6.99</v>
      </c>
      <c r="C24" s="50">
        <v>16.87</v>
      </c>
      <c r="D24" s="50">
        <v>15.77</v>
      </c>
      <c r="E24" s="50">
        <v>8.75</v>
      </c>
      <c r="F24" s="50">
        <v>6.56</v>
      </c>
      <c r="G24" s="50">
        <v>42.88</v>
      </c>
      <c r="H24" s="50">
        <v>13.16</v>
      </c>
      <c r="I24" s="50">
        <v>4.29</v>
      </c>
      <c r="J24" s="50">
        <v>0.87</v>
      </c>
      <c r="K24" s="50">
        <v>285.57</v>
      </c>
      <c r="L24" s="50">
        <v>30.41</v>
      </c>
      <c r="M24" s="50">
        <v>75.36</v>
      </c>
      <c r="N24" s="50">
        <v>271.2</v>
      </c>
      <c r="O24" s="50">
        <v>0</v>
      </c>
      <c r="P24" s="50">
        <v>0.57999999999999996</v>
      </c>
      <c r="Q24" s="50">
        <v>4.8899999999999997</v>
      </c>
    </row>
    <row r="25" spans="1:17" customFormat="1">
      <c r="A25" s="49">
        <v>45181.708333333336</v>
      </c>
      <c r="B25" s="50">
        <v>6.69</v>
      </c>
      <c r="C25" s="50">
        <v>16.16</v>
      </c>
      <c r="D25" s="50">
        <v>15.16</v>
      </c>
      <c r="E25" s="50">
        <v>9.93</v>
      </c>
      <c r="F25" s="50">
        <v>8.89</v>
      </c>
      <c r="G25" s="50">
        <v>41.76</v>
      </c>
      <c r="H25" s="50">
        <v>12.57</v>
      </c>
      <c r="I25" s="50">
        <v>4.47</v>
      </c>
      <c r="J25" s="50">
        <v>0.6</v>
      </c>
      <c r="K25" s="50">
        <v>270.85000000000002</v>
      </c>
      <c r="L25" s="50">
        <v>29.55</v>
      </c>
      <c r="M25" s="50">
        <v>81.78</v>
      </c>
      <c r="N25" s="50">
        <v>68.8</v>
      </c>
      <c r="O25" s="50">
        <v>0</v>
      </c>
      <c r="P25" s="50">
        <v>0.64</v>
      </c>
      <c r="Q25" s="50">
        <v>4.9000000000000004</v>
      </c>
    </row>
    <row r="26" spans="1:17" customFormat="1">
      <c r="A26" s="49">
        <v>45181.75</v>
      </c>
      <c r="B26" s="50">
        <v>6.09</v>
      </c>
      <c r="C26" s="50">
        <v>13.93</v>
      </c>
      <c r="D26" s="50">
        <v>13.51</v>
      </c>
      <c r="E26" s="50">
        <v>9.07</v>
      </c>
      <c r="F26" s="50">
        <v>11.08</v>
      </c>
      <c r="G26" s="50">
        <v>39.270000000000003</v>
      </c>
      <c r="H26" s="50">
        <v>11.28</v>
      </c>
      <c r="I26" s="50">
        <v>4.5999999999999996</v>
      </c>
      <c r="J26" s="50">
        <v>0.23</v>
      </c>
      <c r="K26" s="50">
        <v>251.27</v>
      </c>
      <c r="L26" s="50">
        <v>28.77</v>
      </c>
      <c r="M26" s="50">
        <v>85.58</v>
      </c>
      <c r="N26" s="50">
        <v>5.0999999999999996</v>
      </c>
      <c r="O26" s="50">
        <v>0</v>
      </c>
      <c r="P26" s="50">
        <v>0.62</v>
      </c>
      <c r="Q26" s="50">
        <v>5.04</v>
      </c>
    </row>
    <row r="27" spans="1:17" customFormat="1">
      <c r="A27" s="49">
        <v>45181.791666666664</v>
      </c>
      <c r="B27" s="50">
        <v>6.47</v>
      </c>
      <c r="C27" s="50">
        <v>15.07</v>
      </c>
      <c r="D27" s="50">
        <v>14.34</v>
      </c>
      <c r="E27" s="50">
        <v>8.77</v>
      </c>
      <c r="F27" s="50">
        <v>10.97</v>
      </c>
      <c r="G27" s="50">
        <v>36.68</v>
      </c>
      <c r="H27" s="50">
        <v>10.98</v>
      </c>
      <c r="I27" s="50">
        <v>5.64</v>
      </c>
      <c r="J27" s="50">
        <v>0.18</v>
      </c>
      <c r="K27" s="50">
        <v>243.61</v>
      </c>
      <c r="L27" s="50">
        <v>28.38</v>
      </c>
      <c r="M27" s="50">
        <v>88.06</v>
      </c>
      <c r="N27" s="50">
        <v>0</v>
      </c>
      <c r="O27" s="50">
        <v>0</v>
      </c>
      <c r="P27" s="50">
        <v>0.59</v>
      </c>
      <c r="Q27" s="50">
        <v>5.27</v>
      </c>
    </row>
    <row r="28" spans="1:17" customFormat="1">
      <c r="A28" s="49">
        <v>45181.833333333336</v>
      </c>
      <c r="B28" s="50">
        <v>6.85</v>
      </c>
      <c r="C28" s="50">
        <v>14.65</v>
      </c>
      <c r="D28" s="50">
        <v>14.45</v>
      </c>
      <c r="E28" s="50">
        <v>8.89</v>
      </c>
      <c r="F28" s="50">
        <v>10.29</v>
      </c>
      <c r="G28" s="50">
        <v>31.77</v>
      </c>
      <c r="H28" s="50">
        <v>9.74</v>
      </c>
      <c r="I28" s="50">
        <v>4.7300000000000004</v>
      </c>
      <c r="J28" s="50">
        <v>0.15</v>
      </c>
      <c r="K28" s="50">
        <v>223.46</v>
      </c>
      <c r="L28" s="50">
        <v>28.05</v>
      </c>
      <c r="M28" s="50">
        <v>93.75</v>
      </c>
      <c r="N28" s="50">
        <v>0</v>
      </c>
      <c r="O28" s="50">
        <v>0.2</v>
      </c>
      <c r="P28" s="50">
        <v>0.57999999999999996</v>
      </c>
      <c r="Q28" s="50">
        <v>5.35</v>
      </c>
    </row>
    <row r="29" spans="1:17" customFormat="1">
      <c r="A29" s="49">
        <v>45181.875</v>
      </c>
      <c r="B29" s="50">
        <v>7.3</v>
      </c>
      <c r="C29" s="50">
        <v>14.56</v>
      </c>
      <c r="D29" s="50">
        <v>14.81</v>
      </c>
      <c r="E29" s="50">
        <v>9.1999999999999993</v>
      </c>
      <c r="F29" s="50">
        <v>8.89</v>
      </c>
      <c r="G29" s="50">
        <v>26.91</v>
      </c>
      <c r="H29" s="50">
        <v>9.19</v>
      </c>
      <c r="I29" s="50">
        <v>4.8</v>
      </c>
      <c r="J29" s="50">
        <v>0.45</v>
      </c>
      <c r="K29" s="50">
        <v>267.75</v>
      </c>
      <c r="L29" s="50">
        <v>27.12</v>
      </c>
      <c r="M29" s="50">
        <v>96.78</v>
      </c>
      <c r="N29" s="50">
        <v>0</v>
      </c>
      <c r="O29" s="50">
        <v>0.8</v>
      </c>
      <c r="P29" s="50">
        <v>0.56999999999999995</v>
      </c>
      <c r="Q29" s="50">
        <v>5.32</v>
      </c>
    </row>
    <row r="30" spans="1:17" customFormat="1">
      <c r="A30" s="49">
        <v>45181.916666666664</v>
      </c>
      <c r="B30" s="50">
        <v>7.53</v>
      </c>
      <c r="C30" s="50">
        <v>15.59</v>
      </c>
      <c r="D30" s="50">
        <v>15.52</v>
      </c>
      <c r="E30" s="50">
        <v>9.2100000000000009</v>
      </c>
      <c r="F30" s="50">
        <v>7.09</v>
      </c>
      <c r="G30" s="50">
        <v>25.26</v>
      </c>
      <c r="H30" s="50">
        <v>8.98</v>
      </c>
      <c r="I30" s="50">
        <v>4.82</v>
      </c>
      <c r="J30" s="50">
        <v>0.6</v>
      </c>
      <c r="K30" s="50">
        <v>269.18</v>
      </c>
      <c r="L30" s="50">
        <v>26.2</v>
      </c>
      <c r="M30" s="50">
        <v>96.19</v>
      </c>
      <c r="N30" s="50">
        <v>0</v>
      </c>
      <c r="O30" s="50">
        <v>0.2</v>
      </c>
      <c r="P30" s="50">
        <v>0.56000000000000005</v>
      </c>
      <c r="Q30" s="50">
        <v>5.36</v>
      </c>
    </row>
    <row r="31" spans="1:17" customFormat="1">
      <c r="A31" s="49">
        <v>45181.958333333336</v>
      </c>
      <c r="B31" s="50">
        <v>7.85</v>
      </c>
      <c r="C31" s="50">
        <v>16.09</v>
      </c>
      <c r="D31" s="50">
        <v>15.87</v>
      </c>
      <c r="E31" s="50">
        <v>9.01</v>
      </c>
      <c r="F31" s="50">
        <v>6.95</v>
      </c>
      <c r="G31" s="50">
        <v>23.57</v>
      </c>
      <c r="H31" s="50">
        <v>9.07</v>
      </c>
      <c r="I31" s="50">
        <v>4.8099999999999996</v>
      </c>
      <c r="J31" s="50">
        <v>0.42</v>
      </c>
      <c r="K31" s="50">
        <v>267.68</v>
      </c>
      <c r="L31" s="50">
        <v>25.95</v>
      </c>
      <c r="M31" s="50">
        <v>97.66</v>
      </c>
      <c r="N31" s="50">
        <v>0</v>
      </c>
      <c r="O31" s="50">
        <v>0.2</v>
      </c>
      <c r="P31" s="50">
        <v>0.61</v>
      </c>
      <c r="Q31" s="50">
        <v>5.41</v>
      </c>
    </row>
    <row r="32" spans="1:17" customFormat="1">
      <c r="A32" s="49">
        <v>45182</v>
      </c>
      <c r="B32" s="50">
        <v>9.06</v>
      </c>
      <c r="C32" s="50">
        <v>16.690000000000001</v>
      </c>
      <c r="D32" s="50">
        <v>17.34</v>
      </c>
      <c r="E32" s="50">
        <v>9.25</v>
      </c>
      <c r="F32" s="50">
        <v>4.93</v>
      </c>
      <c r="G32" s="50">
        <v>23.36</v>
      </c>
      <c r="H32" s="50">
        <v>8.94</v>
      </c>
      <c r="I32" s="50">
        <v>5.19</v>
      </c>
      <c r="J32" s="50">
        <v>0.64</v>
      </c>
      <c r="K32" s="50">
        <v>269.36</v>
      </c>
      <c r="L32" s="50">
        <v>25.7</v>
      </c>
      <c r="M32" s="50">
        <v>98.09</v>
      </c>
      <c r="N32" s="50">
        <v>0</v>
      </c>
      <c r="O32" s="50">
        <v>0.2</v>
      </c>
      <c r="P32" s="50">
        <v>0.65</v>
      </c>
      <c r="Q32" s="50">
        <v>5.44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6.09</v>
      </c>
      <c r="C34" s="40">
        <f t="shared" si="0"/>
        <v>13.93</v>
      </c>
      <c r="D34" s="40">
        <f t="shared" si="0"/>
        <v>13.51</v>
      </c>
      <c r="E34" s="40">
        <f t="shared" si="0"/>
        <v>7.67</v>
      </c>
      <c r="F34" s="40">
        <f t="shared" si="0"/>
        <v>4.83</v>
      </c>
      <c r="G34" s="40">
        <f t="shared" si="0"/>
        <v>21.77</v>
      </c>
      <c r="H34" s="40">
        <f t="shared" si="0"/>
        <v>7.85</v>
      </c>
      <c r="I34" s="40">
        <f t="shared" si="0"/>
        <v>4.24</v>
      </c>
      <c r="J34" s="40">
        <f t="shared" si="0"/>
        <v>0.15</v>
      </c>
      <c r="K34" s="40">
        <f t="shared" si="0"/>
        <v>223.46</v>
      </c>
      <c r="L34" s="40">
        <f t="shared" si="0"/>
        <v>25.57</v>
      </c>
      <c r="M34" s="40">
        <f t="shared" si="0"/>
        <v>71.150000000000006</v>
      </c>
      <c r="N34" s="40">
        <f t="shared" si="0"/>
        <v>0</v>
      </c>
      <c r="O34" s="40">
        <f t="shared" si="0"/>
        <v>0</v>
      </c>
      <c r="P34" s="40">
        <f t="shared" si="0"/>
        <v>0.56000000000000005</v>
      </c>
      <c r="Q34" s="40">
        <f t="shared" si="0"/>
        <v>4.8899999999999997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11.84</v>
      </c>
      <c r="C35" s="33">
        <f t="shared" si="1"/>
        <v>18.79</v>
      </c>
      <c r="D35" s="33">
        <f t="shared" si="1"/>
        <v>19.75</v>
      </c>
      <c r="E35" s="33">
        <f t="shared" si="1"/>
        <v>10.85</v>
      </c>
      <c r="F35" s="33">
        <f t="shared" si="1"/>
        <v>11.08</v>
      </c>
      <c r="G35" s="33">
        <f t="shared" si="1"/>
        <v>45.33</v>
      </c>
      <c r="H35" s="33">
        <f t="shared" si="1"/>
        <v>14.58</v>
      </c>
      <c r="I35" s="33">
        <f t="shared" si="1"/>
        <v>5.64</v>
      </c>
      <c r="J35" s="33">
        <f t="shared" si="1"/>
        <v>1.1299999999999999</v>
      </c>
      <c r="K35" s="33">
        <f t="shared" si="1"/>
        <v>331.96</v>
      </c>
      <c r="L35" s="33">
        <f t="shared" si="1"/>
        <v>31.7</v>
      </c>
      <c r="M35" s="33">
        <f t="shared" si="1"/>
        <v>98.09</v>
      </c>
      <c r="N35" s="33">
        <f t="shared" si="1"/>
        <v>805.9</v>
      </c>
      <c r="O35" s="33">
        <f t="shared" si="1"/>
        <v>0.8</v>
      </c>
      <c r="P35" s="33">
        <f t="shared" si="1"/>
        <v>0.69</v>
      </c>
      <c r="Q35" s="33">
        <f t="shared" si="1"/>
        <v>5.44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9.0287500000000005</v>
      </c>
      <c r="C36" s="40">
        <f t="shared" si="2"/>
        <v>16.561666666666664</v>
      </c>
      <c r="D36" s="40">
        <f t="shared" si="2"/>
        <v>17.159166666666664</v>
      </c>
      <c r="E36" s="40">
        <f t="shared" si="2"/>
        <v>8.8266666666666662</v>
      </c>
      <c r="F36" s="40">
        <f t="shared" si="2"/>
        <v>6.7108333333333325</v>
      </c>
      <c r="G36" s="40">
        <f t="shared" si="2"/>
        <v>31.427083333333332</v>
      </c>
      <c r="H36" s="40">
        <f t="shared" si="2"/>
        <v>10.377916666666666</v>
      </c>
      <c r="I36" s="40">
        <f t="shared" si="2"/>
        <v>4.7774999999999999</v>
      </c>
      <c r="J36" s="40">
        <f t="shared" si="2"/>
        <v>0.54749999999999999</v>
      </c>
      <c r="K36" s="40">
        <f t="shared" si="2"/>
        <v>273.86166666666674</v>
      </c>
      <c r="L36" s="40">
        <f t="shared" si="2"/>
        <v>27.980000000000004</v>
      </c>
      <c r="M36" s="40">
        <f t="shared" si="2"/>
        <v>87.474166666666648</v>
      </c>
      <c r="N36" s="40">
        <f t="shared" si="2"/>
        <v>187.05416666666667</v>
      </c>
      <c r="O36" s="40">
        <f t="shared" si="2"/>
        <v>6.6666666666666666E-2</v>
      </c>
      <c r="P36" s="40">
        <f t="shared" si="2"/>
        <v>0.62291666666666667</v>
      </c>
      <c r="Q36" s="40">
        <f t="shared" si="2"/>
        <v>5.1858333333333331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1.8619632287500674</v>
      </c>
      <c r="C37" s="40">
        <f t="shared" ref="C37:Q37" si="3">STDEV(C9:C32)</f>
        <v>1.227803505971311</v>
      </c>
      <c r="D37" s="40">
        <f t="shared" si="3"/>
        <v>1.9023050472397054</v>
      </c>
      <c r="E37" s="40">
        <f t="shared" si="3"/>
        <v>0.88556376868398579</v>
      </c>
      <c r="F37" s="40">
        <f t="shared" si="3"/>
        <v>1.9415724614828116</v>
      </c>
      <c r="G37" s="40">
        <f t="shared" si="3"/>
        <v>8.3379256513036051</v>
      </c>
      <c r="H37" s="40">
        <f t="shared" si="3"/>
        <v>1.959150168838008</v>
      </c>
      <c r="I37" s="40">
        <f t="shared" si="3"/>
        <v>0.34668931085464694</v>
      </c>
      <c r="J37" s="40">
        <f t="shared" si="3"/>
        <v>0.27185753941932611</v>
      </c>
      <c r="K37" s="40">
        <f t="shared" si="3"/>
        <v>22.966697566289877</v>
      </c>
      <c r="L37" s="40">
        <f t="shared" si="3"/>
        <v>2.1359429238424932</v>
      </c>
      <c r="M37" s="40">
        <f t="shared" si="3"/>
        <v>9.7215014570647327</v>
      </c>
      <c r="N37" s="40">
        <f t="shared" si="3"/>
        <v>285.55117256946625</v>
      </c>
      <c r="O37" s="40">
        <f t="shared" si="3"/>
        <v>0.17362294645648627</v>
      </c>
      <c r="P37" s="40">
        <f t="shared" si="3"/>
        <v>4.0052049468991616E-2</v>
      </c>
      <c r="Q37" s="40">
        <f t="shared" si="3"/>
        <v>0.16051321675683808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45182.041666666664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45182.041666666664</v>
      </c>
      <c r="B9" s="50">
        <v>9.84</v>
      </c>
      <c r="C9" s="50">
        <v>17.47</v>
      </c>
      <c r="D9" s="50">
        <v>18.37</v>
      </c>
      <c r="E9" s="50">
        <v>9.3000000000000007</v>
      </c>
      <c r="F9" s="50">
        <v>4.84</v>
      </c>
      <c r="G9" s="50">
        <v>24.83</v>
      </c>
      <c r="H9" s="50">
        <v>9.5399999999999991</v>
      </c>
      <c r="I9" s="50">
        <v>5.32</v>
      </c>
      <c r="J9" s="50">
        <v>0.63</v>
      </c>
      <c r="K9" s="50">
        <v>275.01</v>
      </c>
      <c r="L9" s="50">
        <v>25.67</v>
      </c>
      <c r="M9" s="50">
        <v>97.68</v>
      </c>
      <c r="N9" s="50">
        <v>0</v>
      </c>
      <c r="O9" s="50">
        <v>0</v>
      </c>
      <c r="P9" s="50">
        <v>0.66</v>
      </c>
      <c r="Q9" s="50">
        <v>5.57</v>
      </c>
    </row>
    <row r="10" spans="1:21" customFormat="1">
      <c r="A10" s="49">
        <v>45182.083333333336</v>
      </c>
      <c r="B10" s="50">
        <v>10.32</v>
      </c>
      <c r="C10" s="50">
        <v>17.420000000000002</v>
      </c>
      <c r="D10" s="50">
        <v>18.47</v>
      </c>
      <c r="E10" s="50">
        <v>9.19</v>
      </c>
      <c r="F10" s="50">
        <v>4.82</v>
      </c>
      <c r="G10" s="50">
        <v>18.66</v>
      </c>
      <c r="H10" s="50">
        <v>7.02</v>
      </c>
      <c r="I10" s="50">
        <v>5.48</v>
      </c>
      <c r="J10" s="50">
        <v>0.67</v>
      </c>
      <c r="K10" s="50">
        <v>293.16000000000003</v>
      </c>
      <c r="L10" s="50">
        <v>25.82</v>
      </c>
      <c r="M10" s="50">
        <v>96.95</v>
      </c>
      <c r="N10" s="50">
        <v>0</v>
      </c>
      <c r="O10" s="50">
        <v>0</v>
      </c>
      <c r="P10" s="50">
        <v>0.62</v>
      </c>
      <c r="Q10" s="50">
        <v>5.56</v>
      </c>
    </row>
    <row r="11" spans="1:21" customFormat="1">
      <c r="A11" s="49">
        <v>45182.125</v>
      </c>
      <c r="B11" s="50">
        <v>10.85</v>
      </c>
      <c r="C11" s="50">
        <v>17.71</v>
      </c>
      <c r="D11" s="50">
        <v>19.190000000000001</v>
      </c>
      <c r="E11" s="50">
        <v>7.87</v>
      </c>
      <c r="F11" s="50">
        <v>5.33</v>
      </c>
      <c r="G11" s="50">
        <v>22.54</v>
      </c>
      <c r="H11" s="50">
        <v>7.47</v>
      </c>
      <c r="I11" s="50">
        <v>5.59</v>
      </c>
      <c r="J11" s="50">
        <v>0.51</v>
      </c>
      <c r="K11" s="50">
        <v>303.49</v>
      </c>
      <c r="L11" s="50">
        <v>25.78</v>
      </c>
      <c r="M11" s="50">
        <v>96.43</v>
      </c>
      <c r="N11" s="50">
        <v>0</v>
      </c>
      <c r="O11" s="50">
        <v>0</v>
      </c>
      <c r="P11" s="50">
        <v>0.61</v>
      </c>
      <c r="Q11" s="50">
        <v>5.67</v>
      </c>
    </row>
    <row r="12" spans="1:21" customFormat="1">
      <c r="A12" s="49">
        <v>45182.166666666664</v>
      </c>
      <c r="B12" s="50">
        <v>11.31</v>
      </c>
      <c r="C12" s="50">
        <v>17.82</v>
      </c>
      <c r="D12" s="50">
        <v>19.73</v>
      </c>
      <c r="E12" s="50">
        <v>7.74</v>
      </c>
      <c r="F12" s="50">
        <v>5.12</v>
      </c>
      <c r="G12" s="50">
        <v>25.09</v>
      </c>
      <c r="H12" s="50">
        <v>8.67</v>
      </c>
      <c r="I12" s="50">
        <v>5.36</v>
      </c>
      <c r="J12" s="50">
        <v>0.31</v>
      </c>
      <c r="K12" s="50">
        <v>317.22000000000003</v>
      </c>
      <c r="L12" s="50">
        <v>25.2</v>
      </c>
      <c r="M12" s="50">
        <v>94.34</v>
      </c>
      <c r="N12" s="50">
        <v>0</v>
      </c>
      <c r="O12" s="50">
        <v>0</v>
      </c>
      <c r="P12" s="50">
        <v>0.6</v>
      </c>
      <c r="Q12" s="50">
        <v>5.71</v>
      </c>
    </row>
    <row r="13" spans="1:21" customFormat="1">
      <c r="A13" s="49">
        <v>45182.208333333336</v>
      </c>
      <c r="B13" s="50">
        <v>11.63</v>
      </c>
      <c r="C13" s="50">
        <v>17.78</v>
      </c>
      <c r="D13" s="50">
        <v>19.96</v>
      </c>
      <c r="E13" s="50">
        <v>7.99</v>
      </c>
      <c r="F13" s="50">
        <v>4.95</v>
      </c>
      <c r="G13" s="50">
        <v>24.03</v>
      </c>
      <c r="H13" s="50">
        <v>8.92</v>
      </c>
      <c r="I13" s="50">
        <v>5.18</v>
      </c>
      <c r="J13" s="50">
        <v>0.54</v>
      </c>
      <c r="K13" s="50">
        <v>267.51</v>
      </c>
      <c r="L13" s="50">
        <v>24.98</v>
      </c>
      <c r="M13" s="50">
        <v>95.47</v>
      </c>
      <c r="N13" s="50">
        <v>0</v>
      </c>
      <c r="O13" s="50">
        <v>0</v>
      </c>
      <c r="P13" s="50">
        <v>0.56999999999999995</v>
      </c>
      <c r="Q13" s="50">
        <v>5.76</v>
      </c>
    </row>
    <row r="14" spans="1:21" customFormat="1">
      <c r="A14" s="49">
        <v>45182.25</v>
      </c>
      <c r="B14" s="50">
        <v>12.12</v>
      </c>
      <c r="C14" s="50">
        <v>17.98</v>
      </c>
      <c r="D14" s="50">
        <v>20.16</v>
      </c>
      <c r="E14" s="50">
        <v>8.1300000000000008</v>
      </c>
      <c r="F14" s="50">
        <v>4.5199999999999996</v>
      </c>
      <c r="G14" s="50">
        <v>23.95</v>
      </c>
      <c r="H14" s="50">
        <v>7.12</v>
      </c>
      <c r="I14" s="50">
        <v>5</v>
      </c>
      <c r="J14" s="50">
        <v>0.54</v>
      </c>
      <c r="K14" s="50">
        <v>279.38</v>
      </c>
      <c r="L14" s="50">
        <v>25.17</v>
      </c>
      <c r="M14" s="50">
        <v>95.57</v>
      </c>
      <c r="N14" s="50">
        <v>0.5</v>
      </c>
      <c r="O14" s="50">
        <v>0</v>
      </c>
      <c r="P14" s="50">
        <v>0.55000000000000004</v>
      </c>
      <c r="Q14" s="50">
        <v>5.71</v>
      </c>
    </row>
    <row r="15" spans="1:21" customFormat="1">
      <c r="A15" s="49">
        <v>45182.291666666664</v>
      </c>
      <c r="B15" s="50">
        <v>12.93</v>
      </c>
      <c r="C15" s="50">
        <v>18.809999999999999</v>
      </c>
      <c r="D15" s="50">
        <v>21.26</v>
      </c>
      <c r="E15" s="50">
        <v>8.01</v>
      </c>
      <c r="F15" s="50">
        <v>4.93</v>
      </c>
      <c r="G15" s="50">
        <v>25.56</v>
      </c>
      <c r="H15" s="50">
        <v>6.91</v>
      </c>
      <c r="I15" s="50">
        <v>5.13</v>
      </c>
      <c r="J15" s="50">
        <v>0.61</v>
      </c>
      <c r="K15" s="50">
        <v>292.38</v>
      </c>
      <c r="L15" s="50">
        <v>25.41</v>
      </c>
      <c r="M15" s="50">
        <v>93.75</v>
      </c>
      <c r="N15" s="50">
        <v>34.200000000000003</v>
      </c>
      <c r="O15" s="50">
        <v>0</v>
      </c>
      <c r="P15" s="50">
        <v>0.56000000000000005</v>
      </c>
      <c r="Q15" s="50">
        <v>5.74</v>
      </c>
    </row>
    <row r="16" spans="1:21" customFormat="1">
      <c r="A16" s="49">
        <v>45182.333333333336</v>
      </c>
      <c r="B16" s="50">
        <v>13.47</v>
      </c>
      <c r="C16" s="50">
        <v>18.260000000000002</v>
      </c>
      <c r="D16" s="50">
        <v>21.65</v>
      </c>
      <c r="E16" s="50">
        <v>8.01</v>
      </c>
      <c r="F16" s="50">
        <v>4.87</v>
      </c>
      <c r="G16" s="50">
        <v>27.44</v>
      </c>
      <c r="H16" s="50">
        <v>7.86</v>
      </c>
      <c r="I16" s="50">
        <v>5.2</v>
      </c>
      <c r="J16" s="50">
        <v>0.6</v>
      </c>
      <c r="K16" s="50">
        <v>306.82</v>
      </c>
      <c r="L16" s="50">
        <v>26.23</v>
      </c>
      <c r="M16" s="50">
        <v>92.44</v>
      </c>
      <c r="N16" s="50">
        <v>102.4</v>
      </c>
      <c r="O16" s="50">
        <v>0</v>
      </c>
      <c r="P16" s="50">
        <v>0.55000000000000004</v>
      </c>
      <c r="Q16" s="50">
        <v>5.64</v>
      </c>
    </row>
    <row r="17" spans="1:17" customFormat="1">
      <c r="A17" s="49">
        <v>45182.375</v>
      </c>
      <c r="B17" s="50">
        <v>14.53</v>
      </c>
      <c r="C17" s="50">
        <v>18.72</v>
      </c>
      <c r="D17" s="50">
        <v>22.78</v>
      </c>
      <c r="E17" s="50">
        <v>9.31</v>
      </c>
      <c r="F17" s="50">
        <v>5.24</v>
      </c>
      <c r="G17" s="50">
        <v>34.03</v>
      </c>
      <c r="H17" s="50">
        <v>8.77</v>
      </c>
      <c r="I17" s="50">
        <v>5.1100000000000003</v>
      </c>
      <c r="J17" s="50">
        <v>0.49</v>
      </c>
      <c r="K17" s="50">
        <v>327.06</v>
      </c>
      <c r="L17" s="50">
        <v>27.83</v>
      </c>
      <c r="M17" s="50">
        <v>87.1</v>
      </c>
      <c r="N17" s="50">
        <v>222.5</v>
      </c>
      <c r="O17" s="50">
        <v>0</v>
      </c>
      <c r="P17" s="50">
        <v>0.57999999999999996</v>
      </c>
      <c r="Q17" s="50">
        <v>5.64</v>
      </c>
    </row>
    <row r="18" spans="1:17" customFormat="1">
      <c r="A18" s="49">
        <v>45182.416666666664</v>
      </c>
      <c r="B18" s="50">
        <v>14.98</v>
      </c>
      <c r="C18" s="50">
        <v>18.239999999999998</v>
      </c>
      <c r="D18" s="50">
        <v>22.68</v>
      </c>
      <c r="E18" s="50">
        <v>9.5</v>
      </c>
      <c r="F18" s="50">
        <v>5.9</v>
      </c>
      <c r="G18" s="50">
        <v>41.01</v>
      </c>
      <c r="H18" s="50">
        <v>11.29</v>
      </c>
      <c r="I18" s="50">
        <v>5.05</v>
      </c>
      <c r="J18" s="50">
        <v>0.44</v>
      </c>
      <c r="K18" s="50">
        <v>317.63</v>
      </c>
      <c r="L18" s="50">
        <v>28.55</v>
      </c>
      <c r="M18" s="50">
        <v>82.78</v>
      </c>
      <c r="N18" s="50">
        <v>310.5</v>
      </c>
      <c r="O18" s="50">
        <v>0</v>
      </c>
      <c r="P18" s="50">
        <v>0.56999999999999995</v>
      </c>
      <c r="Q18" s="50">
        <v>5.71</v>
      </c>
    </row>
    <row r="19" spans="1:17" customFormat="1">
      <c r="A19" s="49">
        <v>45182.458333333336</v>
      </c>
      <c r="B19" s="50">
        <v>15.1</v>
      </c>
      <c r="C19" s="50">
        <v>19.66</v>
      </c>
      <c r="D19" s="50">
        <v>23.61</v>
      </c>
      <c r="E19" s="50">
        <v>9.3699999999999992</v>
      </c>
      <c r="F19" s="50">
        <v>7.32</v>
      </c>
      <c r="G19" s="50">
        <v>43.06</v>
      </c>
      <c r="H19" s="50">
        <v>13.83</v>
      </c>
      <c r="I19" s="50">
        <v>5.0199999999999996</v>
      </c>
      <c r="J19" s="50">
        <v>0.53</v>
      </c>
      <c r="K19" s="50">
        <v>344.09</v>
      </c>
      <c r="L19" s="50">
        <v>30.01</v>
      </c>
      <c r="M19" s="50">
        <v>77.08</v>
      </c>
      <c r="N19" s="50">
        <v>531.5</v>
      </c>
      <c r="O19" s="50">
        <v>0</v>
      </c>
      <c r="P19" s="50">
        <v>0.61</v>
      </c>
      <c r="Q19" s="50">
        <v>5.8</v>
      </c>
    </row>
    <row r="20" spans="1:17" customFormat="1">
      <c r="A20" s="49">
        <v>45182.5</v>
      </c>
      <c r="B20" s="50">
        <v>14.26</v>
      </c>
      <c r="C20" s="50">
        <v>19.440000000000001</v>
      </c>
      <c r="D20" s="50">
        <v>22.83</v>
      </c>
      <c r="E20" s="50">
        <v>8.74</v>
      </c>
      <c r="F20" s="50">
        <v>7.74</v>
      </c>
      <c r="G20" s="50">
        <v>42.17</v>
      </c>
      <c r="H20" s="50">
        <v>14.27</v>
      </c>
      <c r="I20" s="50">
        <v>5.0199999999999996</v>
      </c>
      <c r="J20" s="50">
        <v>0.61</v>
      </c>
      <c r="K20" s="50">
        <v>317.02</v>
      </c>
      <c r="L20" s="50">
        <v>30.14</v>
      </c>
      <c r="M20" s="50">
        <v>75.22</v>
      </c>
      <c r="N20" s="50">
        <v>387.1</v>
      </c>
      <c r="O20" s="50">
        <v>0</v>
      </c>
      <c r="P20" s="50">
        <v>0.63</v>
      </c>
      <c r="Q20" s="50">
        <v>5.77</v>
      </c>
    </row>
    <row r="21" spans="1:17" customFormat="1">
      <c r="A21" s="49">
        <v>45182.541666666664</v>
      </c>
      <c r="B21" s="50">
        <v>12.8</v>
      </c>
      <c r="C21" s="50">
        <v>18.55</v>
      </c>
      <c r="D21" s="50">
        <v>21.21</v>
      </c>
      <c r="E21" s="50">
        <v>9</v>
      </c>
      <c r="F21" s="50">
        <v>8.24</v>
      </c>
      <c r="G21" s="50">
        <v>41.92</v>
      </c>
      <c r="H21" s="50">
        <v>12.53</v>
      </c>
      <c r="I21" s="50">
        <v>4.9000000000000004</v>
      </c>
      <c r="J21" s="50">
        <v>0.55000000000000004</v>
      </c>
      <c r="K21" s="50">
        <v>353.4</v>
      </c>
      <c r="L21" s="50">
        <v>31.15</v>
      </c>
      <c r="M21" s="50">
        <v>74.010000000000005</v>
      </c>
      <c r="N21" s="50">
        <v>604</v>
      </c>
      <c r="O21" s="50">
        <v>0</v>
      </c>
      <c r="P21" s="50">
        <v>0.61</v>
      </c>
      <c r="Q21" s="50">
        <v>5.74</v>
      </c>
    </row>
    <row r="22" spans="1:17" customFormat="1">
      <c r="A22" s="49">
        <v>45182.583333333336</v>
      </c>
      <c r="B22" s="50">
        <v>11.58</v>
      </c>
      <c r="C22" s="50">
        <v>18.59</v>
      </c>
      <c r="D22" s="50">
        <v>20.32</v>
      </c>
      <c r="E22" s="50">
        <v>9.27</v>
      </c>
      <c r="F22" s="50">
        <v>8.2200000000000006</v>
      </c>
      <c r="G22" s="50">
        <v>38.08</v>
      </c>
      <c r="H22" s="50">
        <v>10.64</v>
      </c>
      <c r="I22" s="50">
        <v>4.68</v>
      </c>
      <c r="J22" s="50">
        <v>0.49</v>
      </c>
      <c r="K22" s="50">
        <v>344.79</v>
      </c>
      <c r="L22" s="50">
        <v>30.68</v>
      </c>
      <c r="M22" s="50">
        <v>74.489999999999995</v>
      </c>
      <c r="N22" s="50">
        <v>279.7</v>
      </c>
      <c r="O22" s="50">
        <v>0</v>
      </c>
      <c r="P22" s="50">
        <v>0.61</v>
      </c>
      <c r="Q22" s="50">
        <v>5.67</v>
      </c>
    </row>
    <row r="23" spans="1:17" customFormat="1">
      <c r="A23" s="49">
        <v>45182.625</v>
      </c>
      <c r="B23" s="50">
        <v>11.27</v>
      </c>
      <c r="C23" s="50">
        <v>18.420000000000002</v>
      </c>
      <c r="D23" s="50">
        <v>19.899999999999999</v>
      </c>
      <c r="E23" s="50">
        <v>8.91</v>
      </c>
      <c r="F23" s="50">
        <v>8.26</v>
      </c>
      <c r="G23" s="50">
        <v>41.04</v>
      </c>
      <c r="H23" s="50">
        <v>11.61</v>
      </c>
      <c r="I23" s="50">
        <v>4.55</v>
      </c>
      <c r="J23" s="50">
        <v>0.5</v>
      </c>
      <c r="K23" s="50">
        <v>337.42</v>
      </c>
      <c r="L23" s="50">
        <v>31.58</v>
      </c>
      <c r="M23" s="50">
        <v>73.61</v>
      </c>
      <c r="N23" s="50">
        <v>544.70000000000005</v>
      </c>
      <c r="O23" s="50">
        <v>0</v>
      </c>
      <c r="P23" s="50">
        <v>0.62</v>
      </c>
      <c r="Q23" s="50">
        <v>5.64</v>
      </c>
    </row>
    <row r="24" spans="1:17" customFormat="1">
      <c r="A24" s="49">
        <v>45182.666666666664</v>
      </c>
      <c r="B24" s="50">
        <v>10.51</v>
      </c>
      <c r="C24" s="50">
        <v>17.59</v>
      </c>
      <c r="D24" s="50">
        <v>18.97</v>
      </c>
      <c r="E24" s="50">
        <v>8.0299999999999994</v>
      </c>
      <c r="F24" s="50">
        <v>7.78</v>
      </c>
      <c r="G24" s="50">
        <v>42.35</v>
      </c>
      <c r="H24" s="50">
        <v>11.98</v>
      </c>
      <c r="I24" s="50">
        <v>4.59</v>
      </c>
      <c r="J24" s="50">
        <v>0.39</v>
      </c>
      <c r="K24" s="50">
        <v>259.75</v>
      </c>
      <c r="L24" s="50">
        <v>30.17</v>
      </c>
      <c r="M24" s="50">
        <v>89.18</v>
      </c>
      <c r="N24" s="50">
        <v>119.4</v>
      </c>
      <c r="O24" s="50">
        <v>0</v>
      </c>
      <c r="P24" s="50">
        <v>0.59</v>
      </c>
      <c r="Q24" s="50">
        <v>5.6</v>
      </c>
    </row>
    <row r="25" spans="1:17" customFormat="1">
      <c r="A25" s="49">
        <v>45182.708333333336</v>
      </c>
      <c r="B25" s="50">
        <v>9.6999999999999993</v>
      </c>
      <c r="C25" s="50">
        <v>17.52</v>
      </c>
      <c r="D25" s="50">
        <v>18.28</v>
      </c>
      <c r="E25" s="50">
        <v>7.1</v>
      </c>
      <c r="F25" s="50">
        <v>6.91</v>
      </c>
      <c r="G25" s="50">
        <v>32.979999999999997</v>
      </c>
      <c r="H25" s="50">
        <v>9.85</v>
      </c>
      <c r="I25" s="50">
        <v>4.3600000000000003</v>
      </c>
      <c r="J25" s="50">
        <v>0.36</v>
      </c>
      <c r="K25" s="50">
        <v>258.83</v>
      </c>
      <c r="L25" s="50">
        <v>27.14</v>
      </c>
      <c r="M25" s="50">
        <v>98.92</v>
      </c>
      <c r="N25" s="50">
        <v>0</v>
      </c>
      <c r="O25" s="50">
        <v>14.4</v>
      </c>
      <c r="P25" s="50">
        <v>0.57999999999999996</v>
      </c>
      <c r="Q25" s="50">
        <v>5.5</v>
      </c>
    </row>
    <row r="26" spans="1:17" customFormat="1">
      <c r="A26" s="49">
        <v>45182.75</v>
      </c>
      <c r="B26" s="50">
        <v>9.52</v>
      </c>
      <c r="C26" s="50">
        <v>18.16</v>
      </c>
      <c r="D26" s="50">
        <v>18.47</v>
      </c>
      <c r="E26" s="50">
        <v>7.47</v>
      </c>
      <c r="F26" s="50">
        <v>5.91</v>
      </c>
      <c r="G26" s="50">
        <v>21.04</v>
      </c>
      <c r="H26" s="50">
        <v>9.24</v>
      </c>
      <c r="I26" s="50">
        <v>4.2300000000000004</v>
      </c>
      <c r="J26" s="50">
        <v>0.57999999999999996</v>
      </c>
      <c r="K26" s="50">
        <v>263.58</v>
      </c>
      <c r="L26" s="50">
        <v>24.48</v>
      </c>
      <c r="M26" s="50">
        <v>99.54</v>
      </c>
      <c r="N26" s="50">
        <v>0</v>
      </c>
      <c r="O26" s="50">
        <v>18.399999999999999</v>
      </c>
      <c r="P26" s="50">
        <v>0.56000000000000005</v>
      </c>
      <c r="Q26" s="50">
        <v>5.45</v>
      </c>
    </row>
    <row r="27" spans="1:17" customFormat="1">
      <c r="A27" s="49">
        <v>45182.791666666664</v>
      </c>
      <c r="B27" s="50">
        <v>10.61</v>
      </c>
      <c r="C27" s="50">
        <v>19.760000000000002</v>
      </c>
      <c r="D27" s="50">
        <v>20.18</v>
      </c>
      <c r="E27" s="50">
        <v>7.9</v>
      </c>
      <c r="F27" s="50">
        <v>4.75</v>
      </c>
      <c r="G27" s="50">
        <v>21.23</v>
      </c>
      <c r="H27" s="50">
        <v>7.56</v>
      </c>
      <c r="I27" s="50">
        <v>4.25</v>
      </c>
      <c r="J27" s="50">
        <v>0.42</v>
      </c>
      <c r="K27" s="50">
        <v>340.61</v>
      </c>
      <c r="L27" s="50">
        <v>24.24</v>
      </c>
      <c r="M27" s="50">
        <v>99.76</v>
      </c>
      <c r="N27" s="50">
        <v>0</v>
      </c>
      <c r="O27" s="50">
        <v>2.2000000000000002</v>
      </c>
      <c r="P27" s="50">
        <v>0.59</v>
      </c>
      <c r="Q27" s="50">
        <v>5.53</v>
      </c>
    </row>
    <row r="28" spans="1:17" customFormat="1">
      <c r="A28" s="49">
        <v>45182.833333333336</v>
      </c>
      <c r="B28" s="50">
        <v>11.34</v>
      </c>
      <c r="C28" s="50">
        <v>19.7</v>
      </c>
      <c r="D28" s="50">
        <v>20.68</v>
      </c>
      <c r="E28" s="50">
        <v>8.83</v>
      </c>
      <c r="F28" s="50">
        <v>5.12</v>
      </c>
      <c r="G28" s="50">
        <v>13.89</v>
      </c>
      <c r="H28" s="50">
        <v>5.51</v>
      </c>
      <c r="I28" s="50">
        <v>4.2699999999999996</v>
      </c>
      <c r="J28" s="50">
        <v>1.08</v>
      </c>
      <c r="K28" s="50">
        <v>277.16000000000003</v>
      </c>
      <c r="L28" s="50">
        <v>24.67</v>
      </c>
      <c r="M28" s="50">
        <v>100.51</v>
      </c>
      <c r="N28" s="50">
        <v>0</v>
      </c>
      <c r="O28" s="50">
        <v>6</v>
      </c>
      <c r="P28" s="50">
        <v>0.6</v>
      </c>
      <c r="Q28" s="50">
        <v>5.5</v>
      </c>
    </row>
    <row r="29" spans="1:17" customFormat="1">
      <c r="A29" s="49">
        <v>45182.875</v>
      </c>
      <c r="B29" s="50">
        <v>11.64</v>
      </c>
      <c r="C29" s="50">
        <v>20.72</v>
      </c>
      <c r="D29" s="50">
        <v>21.51</v>
      </c>
      <c r="E29" s="50">
        <v>8.24</v>
      </c>
      <c r="F29" s="50">
        <v>4.6100000000000003</v>
      </c>
      <c r="G29" s="50">
        <v>11.64</v>
      </c>
      <c r="H29" s="50">
        <v>4.0599999999999996</v>
      </c>
      <c r="I29" s="50">
        <v>4.41</v>
      </c>
      <c r="J29" s="50">
        <v>0.53</v>
      </c>
      <c r="K29" s="50">
        <v>305.61</v>
      </c>
      <c r="L29" s="50">
        <v>23.38</v>
      </c>
      <c r="M29" s="50">
        <v>101.09</v>
      </c>
      <c r="N29" s="50">
        <v>0</v>
      </c>
      <c r="O29" s="50">
        <v>3.2</v>
      </c>
      <c r="P29" s="50">
        <v>0.62</v>
      </c>
      <c r="Q29" s="50">
        <v>5.46</v>
      </c>
    </row>
    <row r="30" spans="1:17" customFormat="1">
      <c r="A30" s="49">
        <v>45182.916666666664</v>
      </c>
      <c r="B30" s="50">
        <v>12.22</v>
      </c>
      <c r="C30" s="50">
        <v>21.04</v>
      </c>
      <c r="D30" s="50">
        <v>22.05</v>
      </c>
      <c r="E30" s="50">
        <v>7.7</v>
      </c>
      <c r="F30" s="50">
        <v>4.66</v>
      </c>
      <c r="G30" s="50">
        <v>11.81</v>
      </c>
      <c r="H30" s="50">
        <v>4.46</v>
      </c>
      <c r="I30" s="50">
        <v>4.4000000000000004</v>
      </c>
      <c r="J30" s="50">
        <v>0.52</v>
      </c>
      <c r="K30" s="50">
        <v>302.77999999999997</v>
      </c>
      <c r="L30" s="50">
        <v>23.69</v>
      </c>
      <c r="M30" s="50">
        <v>101.19</v>
      </c>
      <c r="N30" s="50">
        <v>0</v>
      </c>
      <c r="O30" s="50">
        <v>1</v>
      </c>
      <c r="P30" s="50">
        <v>0.61</v>
      </c>
      <c r="Q30" s="50">
        <v>5.43</v>
      </c>
    </row>
    <row r="31" spans="1:17" customFormat="1">
      <c r="A31" s="49">
        <v>45182.958333333336</v>
      </c>
      <c r="B31" s="50">
        <v>12.84</v>
      </c>
      <c r="C31" s="50">
        <v>21.4</v>
      </c>
      <c r="D31" s="50">
        <v>22.82</v>
      </c>
      <c r="E31" s="50">
        <v>8.18</v>
      </c>
      <c r="F31" s="50">
        <v>4.49</v>
      </c>
      <c r="G31" s="50">
        <v>10.68</v>
      </c>
      <c r="H31" s="50">
        <v>4.8899999999999997</v>
      </c>
      <c r="I31" s="50">
        <v>4.4000000000000004</v>
      </c>
      <c r="J31" s="50">
        <v>0.34</v>
      </c>
      <c r="K31" s="50">
        <v>339.88</v>
      </c>
      <c r="L31" s="50">
        <v>23.86</v>
      </c>
      <c r="M31" s="50">
        <v>101.73</v>
      </c>
      <c r="N31" s="50">
        <v>0</v>
      </c>
      <c r="O31" s="50">
        <v>1</v>
      </c>
      <c r="P31" s="50">
        <v>0.62</v>
      </c>
      <c r="Q31" s="50">
        <v>5.44</v>
      </c>
    </row>
    <row r="32" spans="1:17" customFormat="1">
      <c r="A32" s="49">
        <v>45183</v>
      </c>
      <c r="B32" s="50">
        <v>13.26</v>
      </c>
      <c r="C32" s="50">
        <v>21.39</v>
      </c>
      <c r="D32" s="50">
        <v>23.14</v>
      </c>
      <c r="E32" s="50">
        <v>8.26</v>
      </c>
      <c r="F32" s="50">
        <v>4.78</v>
      </c>
      <c r="G32" s="50">
        <v>11.63</v>
      </c>
      <c r="H32" s="50">
        <v>4.99</v>
      </c>
      <c r="I32" s="50">
        <v>4.34</v>
      </c>
      <c r="J32" s="50">
        <v>0.46</v>
      </c>
      <c r="K32" s="50">
        <v>318.14999999999998</v>
      </c>
      <c r="L32" s="50">
        <v>23.84</v>
      </c>
      <c r="M32" s="50">
        <v>101.7</v>
      </c>
      <c r="N32" s="50">
        <v>0</v>
      </c>
      <c r="O32" s="50">
        <v>0.8</v>
      </c>
      <c r="P32" s="50">
        <v>0.61</v>
      </c>
      <c r="Q32" s="50">
        <v>5.53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9.52</v>
      </c>
      <c r="C34" s="40">
        <f t="shared" si="0"/>
        <v>17.420000000000002</v>
      </c>
      <c r="D34" s="40">
        <f t="shared" si="0"/>
        <v>18.28</v>
      </c>
      <c r="E34" s="40">
        <f t="shared" si="0"/>
        <v>7.1</v>
      </c>
      <c r="F34" s="40">
        <f t="shared" si="0"/>
        <v>4.49</v>
      </c>
      <c r="G34" s="40">
        <f t="shared" si="0"/>
        <v>10.68</v>
      </c>
      <c r="H34" s="40">
        <f t="shared" si="0"/>
        <v>4.0599999999999996</v>
      </c>
      <c r="I34" s="40">
        <f t="shared" si="0"/>
        <v>4.2300000000000004</v>
      </c>
      <c r="J34" s="40">
        <f t="shared" si="0"/>
        <v>0.31</v>
      </c>
      <c r="K34" s="40">
        <f t="shared" si="0"/>
        <v>258.83</v>
      </c>
      <c r="L34" s="40">
        <f t="shared" si="0"/>
        <v>23.38</v>
      </c>
      <c r="M34" s="40">
        <f t="shared" si="0"/>
        <v>73.61</v>
      </c>
      <c r="N34" s="40">
        <f t="shared" si="0"/>
        <v>0</v>
      </c>
      <c r="O34" s="40">
        <f t="shared" si="0"/>
        <v>0</v>
      </c>
      <c r="P34" s="40">
        <f t="shared" si="0"/>
        <v>0.55000000000000004</v>
      </c>
      <c r="Q34" s="40">
        <f t="shared" si="0"/>
        <v>5.43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15.1</v>
      </c>
      <c r="C35" s="33">
        <f t="shared" si="1"/>
        <v>21.4</v>
      </c>
      <c r="D35" s="33">
        <f t="shared" si="1"/>
        <v>23.61</v>
      </c>
      <c r="E35" s="33">
        <f t="shared" si="1"/>
        <v>9.5</v>
      </c>
      <c r="F35" s="33">
        <f t="shared" si="1"/>
        <v>8.26</v>
      </c>
      <c r="G35" s="33">
        <f t="shared" si="1"/>
        <v>43.06</v>
      </c>
      <c r="H35" s="33">
        <f t="shared" si="1"/>
        <v>14.27</v>
      </c>
      <c r="I35" s="33">
        <f t="shared" si="1"/>
        <v>5.59</v>
      </c>
      <c r="J35" s="33">
        <f t="shared" si="1"/>
        <v>1.08</v>
      </c>
      <c r="K35" s="33">
        <f t="shared" si="1"/>
        <v>353.4</v>
      </c>
      <c r="L35" s="33">
        <f t="shared" si="1"/>
        <v>31.58</v>
      </c>
      <c r="M35" s="33">
        <f t="shared" si="1"/>
        <v>101.73</v>
      </c>
      <c r="N35" s="33">
        <f t="shared" si="1"/>
        <v>604</v>
      </c>
      <c r="O35" s="33">
        <f t="shared" si="1"/>
        <v>18.399999999999999</v>
      </c>
      <c r="P35" s="33">
        <f t="shared" si="1"/>
        <v>0.66</v>
      </c>
      <c r="Q35" s="33">
        <f t="shared" si="1"/>
        <v>5.8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12.026250000000003</v>
      </c>
      <c r="C36" s="40">
        <f t="shared" si="2"/>
        <v>18.83958333333333</v>
      </c>
      <c r="D36" s="40">
        <f t="shared" si="2"/>
        <v>20.759166666666662</v>
      </c>
      <c r="E36" s="40">
        <f t="shared" si="2"/>
        <v>8.4187500000000011</v>
      </c>
      <c r="F36" s="40">
        <f t="shared" si="2"/>
        <v>5.8045833333333334</v>
      </c>
      <c r="G36" s="40">
        <f t="shared" si="2"/>
        <v>27.110833333333328</v>
      </c>
      <c r="H36" s="40">
        <f t="shared" si="2"/>
        <v>8.7079166666666659</v>
      </c>
      <c r="I36" s="40">
        <f t="shared" si="2"/>
        <v>4.8266666666666671</v>
      </c>
      <c r="J36" s="40">
        <f t="shared" si="2"/>
        <v>0.52916666666666667</v>
      </c>
      <c r="K36" s="40">
        <f t="shared" si="2"/>
        <v>305.9470833333333</v>
      </c>
      <c r="L36" s="40">
        <f t="shared" si="2"/>
        <v>26.652916666666666</v>
      </c>
      <c r="M36" s="40">
        <f t="shared" si="2"/>
        <v>91.689166666666665</v>
      </c>
      <c r="N36" s="40">
        <f t="shared" si="2"/>
        <v>130.68749999999997</v>
      </c>
      <c r="O36" s="40">
        <f t="shared" si="2"/>
        <v>1.9583333333333333</v>
      </c>
      <c r="P36" s="40">
        <f t="shared" si="2"/>
        <v>0.59708333333333319</v>
      </c>
      <c r="Q36" s="40">
        <f t="shared" si="2"/>
        <v>5.6154166666666656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1.6457423658588111</v>
      </c>
      <c r="C37" s="40">
        <f t="shared" ref="C37:Q37" si="3">STDEV(C9:C32)</f>
        <v>1.2670523106687792</v>
      </c>
      <c r="D37" s="40">
        <f t="shared" si="3"/>
        <v>1.6799324951931438</v>
      </c>
      <c r="E37" s="40">
        <f t="shared" si="3"/>
        <v>0.68744209242290166</v>
      </c>
      <c r="F37" s="40">
        <f t="shared" si="3"/>
        <v>1.3674539310789207</v>
      </c>
      <c r="G37" s="40">
        <f t="shared" si="3"/>
        <v>11.181238912713965</v>
      </c>
      <c r="H37" s="40">
        <f t="shared" si="3"/>
        <v>2.904911851041073</v>
      </c>
      <c r="I37" s="40">
        <f t="shared" si="3"/>
        <v>0.43131413616755659</v>
      </c>
      <c r="J37" s="40">
        <f t="shared" si="3"/>
        <v>0.1497219645431713</v>
      </c>
      <c r="K37" s="40">
        <f t="shared" si="3"/>
        <v>29.504959565288011</v>
      </c>
      <c r="L37" s="40">
        <f t="shared" si="3"/>
        <v>2.6594564321478593</v>
      </c>
      <c r="M37" s="40">
        <f t="shared" si="3"/>
        <v>9.9790850485301998</v>
      </c>
      <c r="N37" s="40">
        <f t="shared" si="3"/>
        <v>201.51728874477121</v>
      </c>
      <c r="O37" s="40">
        <f t="shared" si="3"/>
        <v>4.6978178714828003</v>
      </c>
      <c r="P37" s="40">
        <f t="shared" si="3"/>
        <v>2.7580580229524778E-2</v>
      </c>
      <c r="Q37" s="40">
        <f t="shared" si="3"/>
        <v>0.11568244264468841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51"/>
      <c r="B8" s="52" t="s">
        <v>39</v>
      </c>
      <c r="C8" s="52" t="s">
        <v>39</v>
      </c>
      <c r="D8" s="52" t="s">
        <v>40</v>
      </c>
      <c r="E8" s="52" t="s">
        <v>39</v>
      </c>
      <c r="F8" s="52" t="s">
        <v>39</v>
      </c>
      <c r="G8" s="52" t="s">
        <v>39</v>
      </c>
      <c r="H8" s="52" t="s">
        <v>39</v>
      </c>
      <c r="I8" s="52" t="s">
        <v>39</v>
      </c>
      <c r="J8" s="52" t="s">
        <v>42</v>
      </c>
      <c r="K8" s="52" t="s">
        <v>43</v>
      </c>
      <c r="L8" s="51" t="s">
        <v>44</v>
      </c>
      <c r="M8" s="52" t="s">
        <v>45</v>
      </c>
      <c r="N8" s="52" t="s">
        <v>46</v>
      </c>
      <c r="O8" s="51" t="s">
        <v>47</v>
      </c>
      <c r="P8" s="52" t="s">
        <v>41</v>
      </c>
      <c r="Q8" s="52" t="s">
        <v>39</v>
      </c>
      <c r="R8" s="32"/>
      <c r="S8" s="33"/>
      <c r="T8" s="32"/>
      <c r="U8" s="32"/>
    </row>
    <row r="9" spans="1:21" s="53" customFormat="1">
      <c r="A9" s="53" t="s">
        <v>60</v>
      </c>
      <c r="B9" s="54">
        <v>14.92</v>
      </c>
      <c r="C9" s="54">
        <v>22.28</v>
      </c>
      <c r="D9" s="54">
        <v>24.49</v>
      </c>
      <c r="E9" s="54">
        <v>8.11</v>
      </c>
      <c r="F9" s="54">
        <v>4.8899999999999997</v>
      </c>
      <c r="G9" s="54">
        <v>13.71</v>
      </c>
      <c r="H9" s="54">
        <v>4.46</v>
      </c>
      <c r="I9" s="54">
        <v>4.2699999999999996</v>
      </c>
      <c r="J9" s="54">
        <v>0.42</v>
      </c>
      <c r="K9" s="54">
        <v>326.02</v>
      </c>
      <c r="L9" s="54">
        <v>24.08</v>
      </c>
      <c r="M9" s="54">
        <v>101.3</v>
      </c>
      <c r="N9" s="54">
        <v>0</v>
      </c>
      <c r="O9" s="54">
        <v>0.6</v>
      </c>
      <c r="P9" s="54">
        <v>0.61</v>
      </c>
      <c r="Q9" s="54">
        <v>5.53</v>
      </c>
    </row>
    <row r="10" spans="1:21" s="53" customFormat="1">
      <c r="A10" s="53" t="s">
        <v>61</v>
      </c>
      <c r="B10" s="54">
        <v>14.97</v>
      </c>
      <c r="C10" s="54">
        <v>21.39</v>
      </c>
      <c r="D10" s="54">
        <v>24.53</v>
      </c>
      <c r="E10" s="54">
        <v>7.76</v>
      </c>
      <c r="F10" s="54">
        <v>5.01</v>
      </c>
      <c r="G10" s="54">
        <v>16.489999999999998</v>
      </c>
      <c r="H10" s="54">
        <v>5.36</v>
      </c>
      <c r="I10" s="54">
        <v>4.33</v>
      </c>
      <c r="J10" s="54">
        <v>0.42</v>
      </c>
      <c r="K10" s="54">
        <v>354.68</v>
      </c>
      <c r="L10" s="54">
        <v>24.26</v>
      </c>
      <c r="M10" s="54">
        <v>100.93</v>
      </c>
      <c r="N10" s="54">
        <v>0</v>
      </c>
      <c r="O10" s="54">
        <v>0.4</v>
      </c>
      <c r="P10" s="54">
        <v>0.6</v>
      </c>
      <c r="Q10" s="54">
        <v>5.55</v>
      </c>
    </row>
    <row r="11" spans="1:21" s="53" customFormat="1">
      <c r="A11" s="53" t="s">
        <v>62</v>
      </c>
      <c r="B11" s="54">
        <v>14.75</v>
      </c>
      <c r="C11" s="54">
        <v>20.79</v>
      </c>
      <c r="D11" s="54">
        <v>23.92</v>
      </c>
      <c r="E11" s="54">
        <v>9.68</v>
      </c>
      <c r="F11" s="54">
        <v>5.65</v>
      </c>
      <c r="G11" s="54">
        <v>12.53</v>
      </c>
      <c r="H11" s="54">
        <v>5.57</v>
      </c>
      <c r="I11" s="54">
        <v>4.1900000000000004</v>
      </c>
      <c r="J11" s="54">
        <v>0.23</v>
      </c>
      <c r="K11" s="54">
        <v>357.7</v>
      </c>
      <c r="L11" s="54">
        <v>24.3</v>
      </c>
      <c r="M11" s="54">
        <v>101.48</v>
      </c>
      <c r="N11" s="54">
        <v>0</v>
      </c>
      <c r="O11" s="54">
        <v>0.4</v>
      </c>
      <c r="P11" s="54">
        <v>0.57999999999999996</v>
      </c>
      <c r="Q11" s="54">
        <v>5.51</v>
      </c>
    </row>
    <row r="12" spans="1:21" s="53" customFormat="1">
      <c r="A12" s="53" t="s">
        <v>63</v>
      </c>
      <c r="B12" s="54">
        <v>14.96</v>
      </c>
      <c r="C12" s="54">
        <v>21.01</v>
      </c>
      <c r="D12" s="54">
        <v>24.32</v>
      </c>
      <c r="E12" s="54">
        <v>9.85</v>
      </c>
      <c r="F12" s="54">
        <v>4.71</v>
      </c>
      <c r="G12" s="54">
        <v>15.85</v>
      </c>
      <c r="H12" s="54">
        <v>5.93</v>
      </c>
      <c r="I12" s="54">
        <v>4.0599999999999996</v>
      </c>
      <c r="J12" s="54">
        <v>0.25</v>
      </c>
      <c r="K12" s="54">
        <v>302.86</v>
      </c>
      <c r="L12" s="54">
        <v>24.25</v>
      </c>
      <c r="M12" s="54">
        <v>101.88</v>
      </c>
      <c r="N12" s="54">
        <v>0</v>
      </c>
      <c r="O12" s="54">
        <v>0.4</v>
      </c>
      <c r="P12" s="54">
        <v>0.56999999999999995</v>
      </c>
      <c r="Q12" s="54">
        <v>5.59</v>
      </c>
    </row>
    <row r="13" spans="1:21" s="53" customFormat="1">
      <c r="A13" s="53" t="s">
        <v>64</v>
      </c>
      <c r="B13" s="54">
        <v>15.52</v>
      </c>
      <c r="C13" s="54">
        <v>20.94</v>
      </c>
      <c r="D13" s="54">
        <v>24.5</v>
      </c>
      <c r="E13" s="54">
        <v>10.130000000000001</v>
      </c>
      <c r="F13" s="54">
        <v>4.6900000000000004</v>
      </c>
      <c r="G13" s="54">
        <v>20.93</v>
      </c>
      <c r="H13" s="54">
        <v>9.2899999999999991</v>
      </c>
      <c r="I13" s="54">
        <v>4.09</v>
      </c>
      <c r="J13" s="54">
        <v>0.31</v>
      </c>
      <c r="K13" s="54">
        <v>259.89999999999998</v>
      </c>
      <c r="L13" s="54">
        <v>24.47</v>
      </c>
      <c r="M13" s="54">
        <v>101.24</v>
      </c>
      <c r="N13" s="54">
        <v>0</v>
      </c>
      <c r="O13" s="54">
        <v>0</v>
      </c>
      <c r="P13" s="54">
        <v>0.56999999999999995</v>
      </c>
      <c r="Q13" s="54">
        <v>5.65</v>
      </c>
    </row>
    <row r="14" spans="1:21" s="53" customFormat="1">
      <c r="A14" s="53" t="s">
        <v>65</v>
      </c>
      <c r="B14" s="54">
        <v>15.5</v>
      </c>
      <c r="C14" s="54">
        <v>20.37</v>
      </c>
      <c r="D14" s="54">
        <v>24.37</v>
      </c>
      <c r="E14" s="54">
        <v>10.1</v>
      </c>
      <c r="F14" s="54">
        <v>5.15</v>
      </c>
      <c r="G14" s="54">
        <v>21.76</v>
      </c>
      <c r="H14" s="54">
        <v>10.17</v>
      </c>
      <c r="I14" s="54">
        <v>4.1500000000000004</v>
      </c>
      <c r="J14" s="54">
        <v>0.34</v>
      </c>
      <c r="K14" s="54">
        <v>263.92</v>
      </c>
      <c r="L14" s="54">
        <v>24.61</v>
      </c>
      <c r="M14" s="54">
        <v>100.55</v>
      </c>
      <c r="N14" s="54">
        <v>0</v>
      </c>
      <c r="O14" s="54">
        <v>0.2</v>
      </c>
      <c r="P14" s="54">
        <v>0.56000000000000005</v>
      </c>
      <c r="Q14" s="54">
        <v>5.65</v>
      </c>
    </row>
    <row r="15" spans="1:21" s="53" customFormat="1">
      <c r="A15" s="53" t="s">
        <v>66</v>
      </c>
      <c r="B15" s="54">
        <v>16.27</v>
      </c>
      <c r="C15" s="54">
        <v>21.25</v>
      </c>
      <c r="D15" s="54">
        <v>24.9</v>
      </c>
      <c r="E15" s="54">
        <v>10.48</v>
      </c>
      <c r="F15" s="54">
        <v>4.5</v>
      </c>
      <c r="G15" s="54">
        <v>17.670000000000002</v>
      </c>
      <c r="H15" s="54">
        <v>8.44</v>
      </c>
      <c r="I15" s="54">
        <v>4.0599999999999996</v>
      </c>
      <c r="J15" s="54">
        <v>0.28000000000000003</v>
      </c>
      <c r="K15" s="54">
        <v>284.57</v>
      </c>
      <c r="L15" s="54">
        <v>24.86</v>
      </c>
      <c r="M15" s="54">
        <v>100.87</v>
      </c>
      <c r="N15" s="54">
        <v>14</v>
      </c>
      <c r="O15" s="54">
        <v>0</v>
      </c>
      <c r="P15" s="54">
        <v>0.56000000000000005</v>
      </c>
      <c r="Q15" s="54">
        <v>5.7</v>
      </c>
    </row>
    <row r="16" spans="1:21" s="53" customFormat="1">
      <c r="A16" s="53" t="s">
        <v>67</v>
      </c>
      <c r="B16" s="54">
        <v>17.63</v>
      </c>
      <c r="C16" s="54">
        <v>20.95</v>
      </c>
      <c r="D16" s="54">
        <v>26.43</v>
      </c>
      <c r="E16" s="54">
        <v>9.8800000000000008</v>
      </c>
      <c r="F16" s="54">
        <v>4.4800000000000004</v>
      </c>
      <c r="G16" s="54">
        <v>17.27</v>
      </c>
      <c r="H16" s="54">
        <v>6.38</v>
      </c>
      <c r="I16" s="54">
        <v>4.2300000000000004</v>
      </c>
      <c r="J16" s="54">
        <v>0.4</v>
      </c>
      <c r="K16" s="54">
        <v>282.38</v>
      </c>
      <c r="L16" s="54">
        <v>25.36</v>
      </c>
      <c r="M16" s="54">
        <v>101.36</v>
      </c>
      <c r="N16" s="54">
        <v>65.900000000000006</v>
      </c>
      <c r="O16" s="54">
        <v>0</v>
      </c>
      <c r="P16" s="54">
        <v>0.59</v>
      </c>
      <c r="Q16" s="54">
        <v>5.72</v>
      </c>
    </row>
    <row r="17" spans="1:17" s="53" customFormat="1">
      <c r="A17" s="53" t="s">
        <v>68</v>
      </c>
      <c r="B17" s="54">
        <v>17.88</v>
      </c>
      <c r="C17" s="54">
        <v>20.65</v>
      </c>
      <c r="D17" s="54">
        <v>26.35</v>
      </c>
      <c r="E17" s="54">
        <v>10.36</v>
      </c>
      <c r="F17" s="54">
        <v>4.72</v>
      </c>
      <c r="G17" s="54">
        <v>19.86</v>
      </c>
      <c r="H17" s="54">
        <v>8.58</v>
      </c>
      <c r="I17" s="54">
        <v>4.4400000000000004</v>
      </c>
      <c r="J17" s="54">
        <v>0.4</v>
      </c>
      <c r="K17" s="54">
        <v>289.52999999999997</v>
      </c>
      <c r="L17" s="54">
        <v>25.93</v>
      </c>
      <c r="M17" s="54">
        <v>101.41</v>
      </c>
      <c r="N17" s="54">
        <v>142.30000000000001</v>
      </c>
      <c r="O17" s="54">
        <v>0</v>
      </c>
      <c r="P17" s="54">
        <v>0.61</v>
      </c>
      <c r="Q17" s="54">
        <v>5.76</v>
      </c>
    </row>
    <row r="18" spans="1:17" s="53" customFormat="1">
      <c r="A18" s="53" t="s">
        <v>69</v>
      </c>
      <c r="B18" s="54">
        <v>18.260000000000002</v>
      </c>
      <c r="C18" s="54">
        <v>20.91</v>
      </c>
      <c r="D18" s="54">
        <v>26.88</v>
      </c>
      <c r="E18" s="54">
        <v>10.77</v>
      </c>
      <c r="F18" s="54">
        <v>5.85</v>
      </c>
      <c r="G18" s="54">
        <v>23.89</v>
      </c>
      <c r="H18" s="54">
        <v>9.9700000000000006</v>
      </c>
      <c r="I18" s="54">
        <v>4.7300000000000004</v>
      </c>
      <c r="J18" s="54">
        <v>0.44</v>
      </c>
      <c r="K18" s="54">
        <v>280.85000000000002</v>
      </c>
      <c r="L18" s="54">
        <v>27.18</v>
      </c>
      <c r="M18" s="54">
        <v>98.59</v>
      </c>
      <c r="N18" s="54">
        <v>234</v>
      </c>
      <c r="O18" s="54">
        <v>0</v>
      </c>
      <c r="P18" s="54">
        <v>0.65</v>
      </c>
      <c r="Q18" s="54">
        <v>5.8</v>
      </c>
    </row>
    <row r="19" spans="1:17" s="53" customFormat="1">
      <c r="A19" s="53" t="s">
        <v>70</v>
      </c>
      <c r="B19" s="54">
        <v>18.2</v>
      </c>
      <c r="C19" s="54">
        <v>21.73</v>
      </c>
      <c r="D19" s="54">
        <v>27.12</v>
      </c>
      <c r="E19" s="54">
        <v>11.29</v>
      </c>
      <c r="F19" s="54">
        <v>5.87</v>
      </c>
      <c r="G19" s="54">
        <v>33.049999999999997</v>
      </c>
      <c r="H19" s="54">
        <v>12.62</v>
      </c>
      <c r="I19" s="54">
        <v>4.8600000000000003</v>
      </c>
      <c r="J19" s="54">
        <v>0.33</v>
      </c>
      <c r="K19" s="54">
        <v>325.14999999999998</v>
      </c>
      <c r="L19" s="54">
        <v>27.94</v>
      </c>
      <c r="M19" s="54">
        <v>89.24</v>
      </c>
      <c r="N19" s="54">
        <v>174.3</v>
      </c>
      <c r="O19" s="54">
        <v>0</v>
      </c>
      <c r="P19" s="54">
        <v>0.7</v>
      </c>
      <c r="Q19" s="54">
        <v>5.88</v>
      </c>
    </row>
    <row r="20" spans="1:17" s="53" customFormat="1">
      <c r="A20" s="53" t="s">
        <v>71</v>
      </c>
      <c r="B20" s="54">
        <v>18.16</v>
      </c>
      <c r="C20" s="54">
        <v>23.15</v>
      </c>
      <c r="D20" s="54">
        <v>27.6</v>
      </c>
      <c r="E20" s="54">
        <v>12.26</v>
      </c>
      <c r="F20" s="54">
        <v>5.29</v>
      </c>
      <c r="G20" s="54">
        <v>37.24</v>
      </c>
      <c r="H20" s="54">
        <v>13.39</v>
      </c>
      <c r="I20" s="54">
        <v>5.0199999999999996</v>
      </c>
      <c r="J20" s="54">
        <v>0.42</v>
      </c>
      <c r="K20" s="54">
        <v>318.67</v>
      </c>
      <c r="L20" s="54">
        <v>28.67</v>
      </c>
      <c r="M20" s="54">
        <v>85.19</v>
      </c>
      <c r="N20" s="54">
        <v>260</v>
      </c>
      <c r="O20" s="54">
        <v>0</v>
      </c>
      <c r="P20" s="54">
        <v>0.75</v>
      </c>
      <c r="Q20" s="54">
        <v>5.87</v>
      </c>
    </row>
    <row r="21" spans="1:17" s="53" customFormat="1">
      <c r="A21" s="53" t="s">
        <v>72</v>
      </c>
      <c r="B21" s="11" t="s">
        <v>12</v>
      </c>
      <c r="C21" s="11" t="s">
        <v>12</v>
      </c>
      <c r="D21" s="11" t="s">
        <v>12</v>
      </c>
      <c r="E21" s="54">
        <v>14.99</v>
      </c>
      <c r="F21" s="54">
        <v>17.149999999999999</v>
      </c>
      <c r="G21" s="11" t="s">
        <v>12</v>
      </c>
      <c r="H21" s="11" t="s">
        <v>12</v>
      </c>
      <c r="I21" s="54">
        <v>18.66</v>
      </c>
      <c r="J21" s="54">
        <v>0.34</v>
      </c>
      <c r="K21" s="54">
        <v>337.51</v>
      </c>
      <c r="L21" s="54">
        <v>28.99</v>
      </c>
      <c r="M21" s="54">
        <v>84.07</v>
      </c>
      <c r="N21" s="54">
        <v>242.5</v>
      </c>
      <c r="O21" s="54">
        <v>0</v>
      </c>
      <c r="P21" s="54">
        <v>0.72</v>
      </c>
      <c r="Q21" s="54">
        <v>5.61</v>
      </c>
    </row>
    <row r="22" spans="1:17" s="53" customFormat="1">
      <c r="A22" s="53" t="s">
        <v>73</v>
      </c>
      <c r="B22" s="54">
        <v>7.09</v>
      </c>
      <c r="C22" s="54">
        <v>19.440000000000001</v>
      </c>
      <c r="D22" s="54">
        <v>17.190000000000001</v>
      </c>
      <c r="E22" s="54">
        <v>13.69</v>
      </c>
      <c r="F22" s="54">
        <v>19.09</v>
      </c>
      <c r="G22" s="54">
        <v>46.3</v>
      </c>
      <c r="H22" s="54">
        <v>20.78</v>
      </c>
      <c r="I22" s="54">
        <v>56.07</v>
      </c>
      <c r="J22" s="54">
        <v>0.5</v>
      </c>
      <c r="K22" s="54">
        <v>311.27</v>
      </c>
      <c r="L22" s="54">
        <v>29.24</v>
      </c>
      <c r="M22" s="54">
        <v>85.51</v>
      </c>
      <c r="N22" s="54">
        <v>240.4</v>
      </c>
      <c r="O22" s="54">
        <v>0</v>
      </c>
      <c r="P22" s="54">
        <v>0.72</v>
      </c>
      <c r="Q22" s="54">
        <v>5.04</v>
      </c>
    </row>
    <row r="23" spans="1:17" s="53" customFormat="1">
      <c r="A23" s="53" t="s">
        <v>74</v>
      </c>
      <c r="B23" s="54">
        <v>4.29</v>
      </c>
      <c r="C23" s="54">
        <v>14.72</v>
      </c>
      <c r="D23" s="54">
        <v>12.48</v>
      </c>
      <c r="E23" s="54">
        <v>9.19</v>
      </c>
      <c r="F23" s="54">
        <v>19.18</v>
      </c>
      <c r="G23" s="54">
        <v>46.3</v>
      </c>
      <c r="H23" s="54">
        <v>20.78</v>
      </c>
      <c r="I23" s="54">
        <v>53.39</v>
      </c>
      <c r="J23" s="54">
        <v>0.21</v>
      </c>
      <c r="K23" s="54">
        <v>211.09</v>
      </c>
      <c r="L23" s="54">
        <v>28.19</v>
      </c>
      <c r="M23" s="54">
        <v>99.9</v>
      </c>
      <c r="N23" s="54">
        <v>8.4</v>
      </c>
      <c r="O23" s="54">
        <v>13.2</v>
      </c>
      <c r="P23" s="54">
        <v>0.52</v>
      </c>
      <c r="Q23" s="54">
        <v>4.93</v>
      </c>
    </row>
    <row r="24" spans="1:17" s="53" customFormat="1">
      <c r="A24" s="53" t="s">
        <v>75</v>
      </c>
      <c r="B24" s="54">
        <v>4.6399999999999997</v>
      </c>
      <c r="C24" s="54">
        <v>13.92</v>
      </c>
      <c r="D24" s="54">
        <v>12.35</v>
      </c>
      <c r="E24" s="54">
        <v>6.67</v>
      </c>
      <c r="F24" s="54">
        <v>16.579999999999998</v>
      </c>
      <c r="G24" s="54">
        <v>36.79</v>
      </c>
      <c r="H24" s="54">
        <v>16.649999999999999</v>
      </c>
      <c r="I24" s="54">
        <v>33.42</v>
      </c>
      <c r="J24" s="54">
        <v>0.23</v>
      </c>
      <c r="K24" s="54">
        <v>269.87</v>
      </c>
      <c r="L24" s="54">
        <v>25.97</v>
      </c>
      <c r="M24" s="54">
        <v>101.26</v>
      </c>
      <c r="N24" s="54">
        <v>3.1</v>
      </c>
      <c r="O24" s="54">
        <v>0.2</v>
      </c>
      <c r="P24" s="54">
        <v>0.47</v>
      </c>
      <c r="Q24" s="54">
        <v>4.91</v>
      </c>
    </row>
    <row r="25" spans="1:17" s="53" customFormat="1">
      <c r="A25" s="53" t="s">
        <v>76</v>
      </c>
      <c r="B25" s="54">
        <v>6.38</v>
      </c>
      <c r="C25" s="54">
        <v>16.13</v>
      </c>
      <c r="D25" s="54">
        <v>14.89</v>
      </c>
      <c r="E25" s="54">
        <v>6.25</v>
      </c>
      <c r="F25" s="54">
        <v>6.72</v>
      </c>
      <c r="G25" s="54">
        <v>30.26</v>
      </c>
      <c r="H25" s="54">
        <v>13.23</v>
      </c>
      <c r="I25" s="54">
        <v>15.13</v>
      </c>
      <c r="J25" s="54">
        <v>0.25</v>
      </c>
      <c r="K25" s="54">
        <v>257.75</v>
      </c>
      <c r="L25" s="54">
        <v>25.5</v>
      </c>
      <c r="M25" s="54">
        <v>100.89</v>
      </c>
      <c r="N25" s="54">
        <v>38.1</v>
      </c>
      <c r="O25" s="54">
        <v>0.2</v>
      </c>
      <c r="P25" s="54">
        <v>0.45</v>
      </c>
      <c r="Q25" s="54">
        <v>4.95</v>
      </c>
    </row>
    <row r="26" spans="1:17" s="53" customFormat="1">
      <c r="A26" s="53" t="s">
        <v>77</v>
      </c>
      <c r="B26" s="54">
        <v>7.6</v>
      </c>
      <c r="C26" s="54">
        <v>16.510000000000002</v>
      </c>
      <c r="D26" s="54">
        <v>15.92</v>
      </c>
      <c r="E26" s="54">
        <v>6.33</v>
      </c>
      <c r="F26" s="54">
        <v>5.82</v>
      </c>
      <c r="G26" s="54">
        <v>21.1</v>
      </c>
      <c r="H26" s="54">
        <v>13.23</v>
      </c>
      <c r="I26" s="54">
        <v>14.56</v>
      </c>
      <c r="J26" s="54">
        <v>0.74</v>
      </c>
      <c r="K26" s="54">
        <v>266.99</v>
      </c>
      <c r="L26" s="54">
        <v>25.29</v>
      </c>
      <c r="M26" s="54">
        <v>100.27</v>
      </c>
      <c r="N26" s="54">
        <v>13.5</v>
      </c>
      <c r="O26" s="54">
        <v>0.2</v>
      </c>
      <c r="P26" s="54">
        <v>0.45</v>
      </c>
      <c r="Q26" s="54">
        <v>5.04</v>
      </c>
    </row>
    <row r="27" spans="1:17" s="53" customFormat="1">
      <c r="A27" s="53" t="s">
        <v>78</v>
      </c>
      <c r="B27" s="54">
        <v>8.56</v>
      </c>
      <c r="C27" s="54">
        <v>17.28</v>
      </c>
      <c r="D27" s="54">
        <v>17.079999999999998</v>
      </c>
      <c r="E27" s="54">
        <v>6.96</v>
      </c>
      <c r="F27" s="54">
        <v>5.43</v>
      </c>
      <c r="G27" s="54">
        <v>19.32</v>
      </c>
      <c r="H27" s="54">
        <v>9.5299999999999994</v>
      </c>
      <c r="I27" s="54">
        <v>12.92</v>
      </c>
      <c r="J27" s="54">
        <v>0.88</v>
      </c>
      <c r="K27" s="54">
        <v>269.37</v>
      </c>
      <c r="L27" s="54">
        <v>24.83</v>
      </c>
      <c r="M27" s="54">
        <v>100.32</v>
      </c>
      <c r="N27" s="54">
        <v>0</v>
      </c>
      <c r="O27" s="54">
        <v>4</v>
      </c>
      <c r="P27" s="54">
        <v>0.46</v>
      </c>
      <c r="Q27" s="54">
        <v>5.03</v>
      </c>
    </row>
    <row r="28" spans="1:17" s="53" customFormat="1">
      <c r="A28" s="53" t="s">
        <v>79</v>
      </c>
      <c r="B28" s="54">
        <v>9.11</v>
      </c>
      <c r="C28" s="54">
        <v>17.239999999999998</v>
      </c>
      <c r="D28" s="54">
        <v>17.59</v>
      </c>
      <c r="E28" s="54">
        <v>6.89</v>
      </c>
      <c r="F28" s="54">
        <v>5.55</v>
      </c>
      <c r="G28" s="54">
        <v>13.66</v>
      </c>
      <c r="H28" s="54">
        <v>6.84</v>
      </c>
      <c r="I28" s="54">
        <v>11.74</v>
      </c>
      <c r="J28" s="54">
        <v>0.65</v>
      </c>
      <c r="K28" s="54">
        <v>263.33999999999997</v>
      </c>
      <c r="L28" s="54">
        <v>24.83</v>
      </c>
      <c r="M28" s="54">
        <v>100.52</v>
      </c>
      <c r="N28" s="54">
        <v>0</v>
      </c>
      <c r="O28" s="54">
        <v>0.4</v>
      </c>
      <c r="P28" s="54">
        <v>0.45</v>
      </c>
      <c r="Q28" s="54">
        <v>4.97</v>
      </c>
    </row>
    <row r="29" spans="1:17" s="53" customFormat="1">
      <c r="A29" s="53" t="s">
        <v>80</v>
      </c>
      <c r="B29" s="54">
        <v>10.07</v>
      </c>
      <c r="C29" s="54">
        <v>18.190000000000001</v>
      </c>
      <c r="D29" s="54">
        <v>18.920000000000002</v>
      </c>
      <c r="E29" s="54">
        <v>7.27</v>
      </c>
      <c r="F29" s="54">
        <v>5.98</v>
      </c>
      <c r="G29" s="54">
        <v>9.89</v>
      </c>
      <c r="H29" s="54">
        <v>5.05</v>
      </c>
      <c r="I29" s="54">
        <v>11.37</v>
      </c>
      <c r="J29" s="54">
        <v>0.52</v>
      </c>
      <c r="K29" s="54">
        <v>336.3</v>
      </c>
      <c r="L29" s="54">
        <v>25.04</v>
      </c>
      <c r="M29" s="54">
        <v>99.75</v>
      </c>
      <c r="N29" s="54">
        <v>0</v>
      </c>
      <c r="O29" s="54">
        <v>10.199999999999999</v>
      </c>
      <c r="P29" s="54">
        <v>0.46</v>
      </c>
      <c r="Q29" s="54">
        <v>4.92</v>
      </c>
    </row>
    <row r="30" spans="1:17" s="53" customFormat="1">
      <c r="A30" s="53" t="s">
        <v>81</v>
      </c>
      <c r="B30" s="54">
        <v>10.82</v>
      </c>
      <c r="C30" s="54">
        <v>18.170000000000002</v>
      </c>
      <c r="D30" s="54">
        <v>19.52</v>
      </c>
      <c r="E30" s="54">
        <v>7.54</v>
      </c>
      <c r="F30" s="54">
        <v>5.53</v>
      </c>
      <c r="G30" s="54">
        <v>8.3000000000000007</v>
      </c>
      <c r="H30" s="54">
        <v>5.12</v>
      </c>
      <c r="I30" s="54">
        <v>10.67</v>
      </c>
      <c r="J30" s="54">
        <v>1.27</v>
      </c>
      <c r="K30" s="54">
        <v>295.19</v>
      </c>
      <c r="L30" s="54">
        <v>24.54</v>
      </c>
      <c r="M30" s="54">
        <v>99.63</v>
      </c>
      <c r="N30" s="54">
        <v>0</v>
      </c>
      <c r="O30" s="54">
        <v>14.2</v>
      </c>
      <c r="P30" s="54">
        <v>0.47</v>
      </c>
      <c r="Q30" s="54">
        <v>4.96</v>
      </c>
    </row>
    <row r="31" spans="1:17" s="53" customFormat="1">
      <c r="A31" s="53" t="s">
        <v>82</v>
      </c>
      <c r="B31" s="54">
        <v>11.08</v>
      </c>
      <c r="C31" s="54">
        <v>19.3</v>
      </c>
      <c r="D31" s="54">
        <v>20.09</v>
      </c>
      <c r="E31" s="54">
        <v>7.19</v>
      </c>
      <c r="F31" s="54">
        <v>5.03</v>
      </c>
      <c r="G31" s="54">
        <v>8.3000000000000007</v>
      </c>
      <c r="H31" s="54">
        <v>5.38</v>
      </c>
      <c r="I31" s="54">
        <v>9.98</v>
      </c>
      <c r="J31" s="54">
        <v>0.86</v>
      </c>
      <c r="K31" s="54">
        <v>270.39999999999998</v>
      </c>
      <c r="L31" s="54">
        <v>24.55</v>
      </c>
      <c r="M31" s="54">
        <v>99.53</v>
      </c>
      <c r="N31" s="54">
        <v>0</v>
      </c>
      <c r="O31" s="54">
        <v>1.6</v>
      </c>
      <c r="P31" s="54">
        <v>0.53</v>
      </c>
      <c r="Q31" s="54">
        <v>4.9400000000000004</v>
      </c>
    </row>
    <row r="32" spans="1:17" s="53" customFormat="1">
      <c r="A32" s="53" t="s">
        <v>83</v>
      </c>
      <c r="B32" s="54">
        <v>11.75</v>
      </c>
      <c r="C32" s="54">
        <v>18.86</v>
      </c>
      <c r="D32" s="54">
        <v>20.63</v>
      </c>
      <c r="E32" s="54">
        <v>7.36</v>
      </c>
      <c r="F32" s="54">
        <v>4.84</v>
      </c>
      <c r="G32" s="54">
        <v>9.7899999999999991</v>
      </c>
      <c r="H32" s="54">
        <v>5.38</v>
      </c>
      <c r="I32" s="54">
        <v>9.5500000000000007</v>
      </c>
      <c r="J32" s="54">
        <v>0.57999999999999996</v>
      </c>
      <c r="K32" s="54">
        <v>275.81</v>
      </c>
      <c r="L32" s="54">
        <v>24.6</v>
      </c>
      <c r="M32" s="54">
        <v>99.45</v>
      </c>
      <c r="N32" s="54">
        <v>0</v>
      </c>
      <c r="O32" s="54">
        <v>1.6</v>
      </c>
      <c r="P32" s="54">
        <v>0.54</v>
      </c>
      <c r="Q32" s="54">
        <v>4.95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4.29</v>
      </c>
      <c r="C34" s="40">
        <f t="shared" si="0"/>
        <v>13.92</v>
      </c>
      <c r="D34" s="40">
        <f t="shared" si="0"/>
        <v>12.35</v>
      </c>
      <c r="E34" s="40">
        <f t="shared" si="0"/>
        <v>6.25</v>
      </c>
      <c r="F34" s="40">
        <f t="shared" si="0"/>
        <v>4.4800000000000004</v>
      </c>
      <c r="G34" s="40">
        <f t="shared" si="0"/>
        <v>8.3000000000000007</v>
      </c>
      <c r="H34" s="40">
        <f t="shared" si="0"/>
        <v>4.46</v>
      </c>
      <c r="I34" s="40">
        <f t="shared" si="0"/>
        <v>4.0599999999999996</v>
      </c>
      <c r="J34" s="40">
        <f t="shared" si="0"/>
        <v>0.21</v>
      </c>
      <c r="K34" s="40">
        <f t="shared" si="0"/>
        <v>211.09</v>
      </c>
      <c r="L34" s="40">
        <f t="shared" si="0"/>
        <v>24.08</v>
      </c>
      <c r="M34" s="40">
        <f t="shared" si="0"/>
        <v>84.07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4.91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18.260000000000002</v>
      </c>
      <c r="C35" s="33">
        <f t="shared" si="1"/>
        <v>23.15</v>
      </c>
      <c r="D35" s="33">
        <f t="shared" si="1"/>
        <v>27.6</v>
      </c>
      <c r="E35" s="33">
        <f t="shared" si="1"/>
        <v>14.99</v>
      </c>
      <c r="F35" s="33">
        <f t="shared" si="1"/>
        <v>19.18</v>
      </c>
      <c r="G35" s="33">
        <f t="shared" si="1"/>
        <v>46.3</v>
      </c>
      <c r="H35" s="33">
        <f t="shared" si="1"/>
        <v>20.78</v>
      </c>
      <c r="I35" s="33">
        <f t="shared" si="1"/>
        <v>56.07</v>
      </c>
      <c r="J35" s="33">
        <f t="shared" si="1"/>
        <v>1.27</v>
      </c>
      <c r="K35" s="33">
        <f t="shared" si="1"/>
        <v>357.7</v>
      </c>
      <c r="L35" s="33">
        <f t="shared" si="1"/>
        <v>29.24</v>
      </c>
      <c r="M35" s="33">
        <f t="shared" si="1"/>
        <v>101.88</v>
      </c>
      <c r="N35" s="33">
        <f t="shared" si="1"/>
        <v>260</v>
      </c>
      <c r="O35" s="33">
        <f t="shared" si="1"/>
        <v>14.2</v>
      </c>
      <c r="P35" s="33">
        <f t="shared" si="1"/>
        <v>0.75</v>
      </c>
      <c r="Q35" s="33">
        <f t="shared" si="1"/>
        <v>5.88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12.539565217391301</v>
      </c>
      <c r="C36" s="40">
        <f t="shared" si="2"/>
        <v>19.35565217391305</v>
      </c>
      <c r="D36" s="40">
        <f t="shared" si="2"/>
        <v>21.394347826086957</v>
      </c>
      <c r="E36" s="40">
        <f t="shared" si="2"/>
        <v>9.2083333333333339</v>
      </c>
      <c r="F36" s="40">
        <f t="shared" si="2"/>
        <v>7.404583333333334</v>
      </c>
      <c r="G36" s="40">
        <f t="shared" si="2"/>
        <v>21.7504347826087</v>
      </c>
      <c r="H36" s="40">
        <f t="shared" si="2"/>
        <v>9.657826086956522</v>
      </c>
      <c r="I36" s="40">
        <f t="shared" si="2"/>
        <v>12.912083333333337</v>
      </c>
      <c r="J36" s="40">
        <f t="shared" si="2"/>
        <v>0.4695833333333333</v>
      </c>
      <c r="K36" s="40">
        <f t="shared" si="2"/>
        <v>292.13</v>
      </c>
      <c r="L36" s="40">
        <f t="shared" si="2"/>
        <v>25.728333333333335</v>
      </c>
      <c r="M36" s="40">
        <f t="shared" si="2"/>
        <v>98.130833333333328</v>
      </c>
      <c r="N36" s="40">
        <f t="shared" si="2"/>
        <v>59.854166666666664</v>
      </c>
      <c r="O36" s="40">
        <f t="shared" si="2"/>
        <v>1.9916666666666665</v>
      </c>
      <c r="P36" s="40">
        <f t="shared" si="2"/>
        <v>0.56625000000000003</v>
      </c>
      <c r="Q36" s="40">
        <f t="shared" si="2"/>
        <v>5.3524999999999991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4.6051912192663629</v>
      </c>
      <c r="C37" s="40">
        <f t="shared" ref="C37:Q37" si="3">STDEV(C9:C32)</f>
        <v>2.4552630410590144</v>
      </c>
      <c r="D37" s="40">
        <f t="shared" si="3"/>
        <v>4.8273367644234417</v>
      </c>
      <c r="E37" s="40">
        <f t="shared" si="3"/>
        <v>2.3453500094158004</v>
      </c>
      <c r="F37" s="40">
        <f t="shared" si="3"/>
        <v>4.8933699414675313</v>
      </c>
      <c r="G37" s="40">
        <f t="shared" si="3"/>
        <v>11.375026664608448</v>
      </c>
      <c r="H37" s="40">
        <f t="shared" si="3"/>
        <v>4.8658372693726406</v>
      </c>
      <c r="I37" s="40">
        <f t="shared" si="3"/>
        <v>14.548198447907909</v>
      </c>
      <c r="J37" s="40">
        <f t="shared" si="3"/>
        <v>0.25485680833288171</v>
      </c>
      <c r="K37" s="40">
        <f t="shared" si="3"/>
        <v>35.348896176112149</v>
      </c>
      <c r="L37" s="40">
        <f t="shared" si="3"/>
        <v>1.6682395476686374</v>
      </c>
      <c r="M37" s="40">
        <f t="shared" si="3"/>
        <v>5.6539658391385972</v>
      </c>
      <c r="N37" s="40">
        <f t="shared" si="3"/>
        <v>95.52066008787412</v>
      </c>
      <c r="O37" s="40">
        <f t="shared" si="3"/>
        <v>4.2066114284712492</v>
      </c>
      <c r="P37" s="40">
        <f t="shared" si="3"/>
        <v>9.2680493703062486E-2</v>
      </c>
      <c r="Q37" s="40">
        <f t="shared" si="3"/>
        <v>0.37407567241891759</v>
      </c>
      <c r="R37" s="40"/>
      <c r="S37" s="40"/>
      <c r="T37" s="40"/>
      <c r="U37" s="40"/>
    </row>
    <row r="38" spans="1:21" s="1" customFormat="1">
      <c r="A38" s="44" t="s">
        <v>52</v>
      </c>
      <c r="B38" s="45">
        <f>COUNT(B9:B32)+1</f>
        <v>24</v>
      </c>
      <c r="C38" s="45">
        <f>COUNT(C9:C32)+1</f>
        <v>24</v>
      </c>
      <c r="D38" s="45">
        <f>COUNT(D9:D32)+1</f>
        <v>24</v>
      </c>
      <c r="E38" s="45">
        <f t="shared" ref="E38:Q38" si="4">COUNT(E9:E32)</f>
        <v>24</v>
      </c>
      <c r="F38" s="45">
        <f t="shared" si="4"/>
        <v>24</v>
      </c>
      <c r="G38" s="45">
        <f>COUNT(G9:G32)+1</f>
        <v>24</v>
      </c>
      <c r="H38" s="45">
        <f>COUNT(H9:H32)+1</f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5">
        <v>9.5</v>
      </c>
      <c r="C9" s="55">
        <v>19.079999999999998</v>
      </c>
      <c r="D9" s="55">
        <v>18.8</v>
      </c>
      <c r="E9" s="55">
        <v>7.87</v>
      </c>
      <c r="F9" s="55">
        <v>4.84</v>
      </c>
      <c r="G9" s="55">
        <v>9.7899999999999991</v>
      </c>
      <c r="H9" s="55">
        <v>5.08</v>
      </c>
      <c r="I9" s="55">
        <v>8.93</v>
      </c>
      <c r="J9" s="55">
        <v>0.68</v>
      </c>
      <c r="K9" s="55">
        <v>293.36</v>
      </c>
      <c r="L9" s="55">
        <v>24.51</v>
      </c>
      <c r="M9" s="55">
        <v>99.4</v>
      </c>
      <c r="N9" s="55">
        <v>0</v>
      </c>
      <c r="O9" s="55">
        <v>2.2000000000000002</v>
      </c>
      <c r="P9" s="55">
        <v>0.54</v>
      </c>
      <c r="Q9" s="55">
        <v>5.01</v>
      </c>
    </row>
    <row r="10" spans="1:21" customFormat="1">
      <c r="A10" s="50" t="s">
        <v>85</v>
      </c>
      <c r="B10" s="55">
        <v>9.48</v>
      </c>
      <c r="C10" s="55">
        <v>19.649999999999999</v>
      </c>
      <c r="D10" s="55">
        <v>19.16</v>
      </c>
      <c r="E10" s="55">
        <v>7.57</v>
      </c>
      <c r="F10" s="55">
        <v>5.31</v>
      </c>
      <c r="G10" s="55">
        <v>8.7200000000000006</v>
      </c>
      <c r="H10" s="55">
        <v>3.91</v>
      </c>
      <c r="I10" s="55">
        <v>8.49</v>
      </c>
      <c r="J10" s="55">
        <v>0.88</v>
      </c>
      <c r="K10" s="55">
        <v>297.42</v>
      </c>
      <c r="L10" s="55">
        <v>24.29</v>
      </c>
      <c r="M10" s="55">
        <v>99.43</v>
      </c>
      <c r="N10" s="55">
        <v>0</v>
      </c>
      <c r="O10" s="55">
        <v>1.6</v>
      </c>
      <c r="P10" s="55">
        <v>0.52</v>
      </c>
      <c r="Q10" s="55">
        <v>5.01</v>
      </c>
    </row>
    <row r="11" spans="1:21" customFormat="1">
      <c r="A11" s="50" t="s">
        <v>86</v>
      </c>
      <c r="B11" s="55">
        <v>9.2100000000000009</v>
      </c>
      <c r="C11" s="55">
        <v>19.010000000000002</v>
      </c>
      <c r="D11" s="55">
        <v>18.59</v>
      </c>
      <c r="E11" s="55">
        <v>8.15</v>
      </c>
      <c r="F11" s="55">
        <v>5.35</v>
      </c>
      <c r="G11" s="55">
        <v>6.58</v>
      </c>
      <c r="H11" s="55">
        <v>2.73</v>
      </c>
      <c r="I11" s="55">
        <v>7.75</v>
      </c>
      <c r="J11" s="55">
        <v>0.73</v>
      </c>
      <c r="K11" s="55">
        <v>270.39999999999998</v>
      </c>
      <c r="L11" s="55">
        <v>24.16</v>
      </c>
      <c r="M11" s="55">
        <v>99.38</v>
      </c>
      <c r="N11" s="55">
        <v>0</v>
      </c>
      <c r="O11" s="55">
        <v>1.2</v>
      </c>
      <c r="P11" s="55">
        <v>0.5</v>
      </c>
      <c r="Q11" s="55">
        <v>5</v>
      </c>
    </row>
    <row r="12" spans="1:21" customFormat="1">
      <c r="A12" s="50" t="s">
        <v>87</v>
      </c>
      <c r="B12" s="55">
        <v>9.14</v>
      </c>
      <c r="C12" s="55">
        <v>18.489999999999998</v>
      </c>
      <c r="D12" s="55">
        <v>18.29</v>
      </c>
      <c r="E12" s="55">
        <v>7.76</v>
      </c>
      <c r="F12" s="55">
        <v>5.35</v>
      </c>
      <c r="G12" s="55">
        <v>4.7300000000000004</v>
      </c>
      <c r="H12" s="55">
        <v>1.91</v>
      </c>
      <c r="I12" s="55">
        <v>7.17</v>
      </c>
      <c r="J12" s="55">
        <v>0.75</v>
      </c>
      <c r="K12" s="55">
        <v>267.7</v>
      </c>
      <c r="L12" s="55">
        <v>24.14</v>
      </c>
      <c r="M12" s="55">
        <v>99.38</v>
      </c>
      <c r="N12" s="55">
        <v>0</v>
      </c>
      <c r="O12" s="55">
        <v>0.6</v>
      </c>
      <c r="P12" s="55">
        <v>0.48</v>
      </c>
      <c r="Q12" s="55">
        <v>4.97</v>
      </c>
    </row>
    <row r="13" spans="1:21" customFormat="1">
      <c r="A13" s="50" t="s">
        <v>88</v>
      </c>
      <c r="B13" s="55">
        <v>9.39</v>
      </c>
      <c r="C13" s="55">
        <v>19.059999999999999</v>
      </c>
      <c r="D13" s="55">
        <v>18.84</v>
      </c>
      <c r="E13" s="55">
        <v>7.79</v>
      </c>
      <c r="F13" s="55">
        <v>4.82</v>
      </c>
      <c r="G13" s="55">
        <v>3.71</v>
      </c>
      <c r="H13" s="55">
        <v>1.34</v>
      </c>
      <c r="I13" s="55">
        <v>6.74</v>
      </c>
      <c r="J13" s="55">
        <v>0.77</v>
      </c>
      <c r="K13" s="55">
        <v>272.58</v>
      </c>
      <c r="L13" s="55">
        <v>23.9</v>
      </c>
      <c r="M13" s="55">
        <v>99.37</v>
      </c>
      <c r="N13" s="55">
        <v>0</v>
      </c>
      <c r="O13" s="55">
        <v>0.2</v>
      </c>
      <c r="P13" s="55">
        <v>0.46</v>
      </c>
      <c r="Q13" s="55">
        <v>4.97</v>
      </c>
    </row>
    <row r="14" spans="1:21" customFormat="1">
      <c r="A14" s="50" t="s">
        <v>89</v>
      </c>
      <c r="B14" s="55">
        <v>10.029999999999999</v>
      </c>
      <c r="C14" s="55">
        <v>19.16</v>
      </c>
      <c r="D14" s="55">
        <v>19.38</v>
      </c>
      <c r="E14" s="55">
        <v>7.98</v>
      </c>
      <c r="F14" s="55">
        <v>4.8099999999999996</v>
      </c>
      <c r="G14" s="55">
        <v>2.8</v>
      </c>
      <c r="H14" s="55">
        <v>1.1299999999999999</v>
      </c>
      <c r="I14" s="55">
        <v>6.46</v>
      </c>
      <c r="J14" s="55">
        <v>0.22</v>
      </c>
      <c r="K14" s="55">
        <v>254.5</v>
      </c>
      <c r="L14" s="55">
        <v>23.78</v>
      </c>
      <c r="M14" s="55">
        <v>99.35</v>
      </c>
      <c r="N14" s="55">
        <v>0</v>
      </c>
      <c r="O14" s="55">
        <v>0.2</v>
      </c>
      <c r="P14" s="55">
        <v>0.47</v>
      </c>
      <c r="Q14" s="55">
        <v>5.04</v>
      </c>
    </row>
    <row r="15" spans="1:21" customFormat="1">
      <c r="A15" s="50" t="s">
        <v>90</v>
      </c>
      <c r="B15" s="55">
        <v>10.15</v>
      </c>
      <c r="C15" s="55">
        <v>19.39</v>
      </c>
      <c r="D15" s="55">
        <v>19.420000000000002</v>
      </c>
      <c r="E15" s="55">
        <v>8.0500000000000007</v>
      </c>
      <c r="F15" s="55">
        <v>4.71</v>
      </c>
      <c r="G15" s="55">
        <v>2.1800000000000002</v>
      </c>
      <c r="H15" s="55">
        <v>0.88</v>
      </c>
      <c r="I15" s="55">
        <v>6.21</v>
      </c>
      <c r="J15" s="55">
        <v>0.25</v>
      </c>
      <c r="K15" s="55">
        <v>260.19</v>
      </c>
      <c r="L15" s="55">
        <v>23.96</v>
      </c>
      <c r="M15" s="55">
        <v>99.37</v>
      </c>
      <c r="N15" s="55">
        <v>26.6</v>
      </c>
      <c r="O15" s="55">
        <v>0.2</v>
      </c>
      <c r="P15" s="55">
        <v>0.47</v>
      </c>
      <c r="Q15" s="55">
        <v>5.05</v>
      </c>
    </row>
    <row r="16" spans="1:21" customFormat="1">
      <c r="A16" s="50" t="s">
        <v>91</v>
      </c>
      <c r="B16" s="55">
        <v>10.23</v>
      </c>
      <c r="C16" s="55">
        <v>19.260000000000002</v>
      </c>
      <c r="D16" s="55">
        <v>19.489999999999998</v>
      </c>
      <c r="E16" s="55">
        <v>8.2899999999999991</v>
      </c>
      <c r="F16" s="55">
        <v>4.96</v>
      </c>
      <c r="G16" s="55">
        <v>1.66</v>
      </c>
      <c r="H16" s="55">
        <v>0.82</v>
      </c>
      <c r="I16" s="55">
        <v>5.83</v>
      </c>
      <c r="J16" s="55">
        <v>0.23</v>
      </c>
      <c r="K16" s="55">
        <v>311.98</v>
      </c>
      <c r="L16" s="55">
        <v>24.73</v>
      </c>
      <c r="M16" s="55">
        <v>99.38</v>
      </c>
      <c r="N16" s="55">
        <v>100.5</v>
      </c>
      <c r="O16" s="55">
        <v>0</v>
      </c>
      <c r="P16" s="55">
        <v>0.45</v>
      </c>
      <c r="Q16" s="55">
        <v>5.07</v>
      </c>
    </row>
    <row r="17" spans="1:17" customFormat="1">
      <c r="A17" s="50" t="s">
        <v>92</v>
      </c>
      <c r="B17" s="55">
        <v>10.33</v>
      </c>
      <c r="C17" s="55">
        <v>18.73</v>
      </c>
      <c r="D17" s="55">
        <v>19.420000000000002</v>
      </c>
      <c r="E17" s="55">
        <v>8.14</v>
      </c>
      <c r="F17" s="55">
        <v>5.22</v>
      </c>
      <c r="G17" s="55">
        <v>1.23</v>
      </c>
      <c r="H17" s="55">
        <v>0.82</v>
      </c>
      <c r="I17" s="55">
        <v>5.64</v>
      </c>
      <c r="J17" s="55">
        <v>0.36</v>
      </c>
      <c r="K17" s="55">
        <v>280</v>
      </c>
      <c r="L17" s="55">
        <v>25.74</v>
      </c>
      <c r="M17" s="55">
        <v>99.38</v>
      </c>
      <c r="N17" s="55">
        <v>169</v>
      </c>
      <c r="O17" s="55">
        <v>0</v>
      </c>
      <c r="P17" s="55">
        <v>0.43</v>
      </c>
      <c r="Q17" s="55">
        <v>5.1100000000000003</v>
      </c>
    </row>
    <row r="18" spans="1:17" customFormat="1">
      <c r="A18" s="50" t="s">
        <v>93</v>
      </c>
      <c r="B18" s="55">
        <v>10.41</v>
      </c>
      <c r="C18" s="55">
        <v>18.78</v>
      </c>
      <c r="D18" s="55">
        <v>19.36</v>
      </c>
      <c r="E18" s="55">
        <v>8.2899999999999991</v>
      </c>
      <c r="F18" s="55">
        <v>5.59</v>
      </c>
      <c r="G18" s="55">
        <v>0.94</v>
      </c>
      <c r="H18" s="55">
        <v>1.56</v>
      </c>
      <c r="I18" s="55">
        <v>5.25</v>
      </c>
      <c r="J18" s="55">
        <v>0.48</v>
      </c>
      <c r="K18" s="55">
        <v>262.14</v>
      </c>
      <c r="L18" s="55">
        <v>27.38</v>
      </c>
      <c r="M18" s="55">
        <v>99.38</v>
      </c>
      <c r="N18" s="55">
        <v>480.7</v>
      </c>
      <c r="O18" s="55">
        <v>0</v>
      </c>
      <c r="P18" s="55">
        <v>0.43</v>
      </c>
      <c r="Q18" s="55">
        <v>5.09</v>
      </c>
    </row>
    <row r="19" spans="1:17" customFormat="1">
      <c r="A19" s="50" t="s">
        <v>94</v>
      </c>
      <c r="B19" s="55">
        <v>10.09</v>
      </c>
      <c r="C19" s="55">
        <v>17.649999999999999</v>
      </c>
      <c r="D19" s="55">
        <v>18.600000000000001</v>
      </c>
      <c r="E19" s="55">
        <v>10.11</v>
      </c>
      <c r="F19" s="55">
        <v>5.72</v>
      </c>
      <c r="G19" s="55">
        <v>1.98</v>
      </c>
      <c r="H19" s="55">
        <v>2.67</v>
      </c>
      <c r="I19" s="55">
        <v>4.92</v>
      </c>
      <c r="J19" s="55">
        <v>0.6</v>
      </c>
      <c r="K19" s="55">
        <v>259.98</v>
      </c>
      <c r="L19" s="55">
        <v>27.59</v>
      </c>
      <c r="M19" s="55">
        <v>89.49</v>
      </c>
      <c r="N19" s="55">
        <v>278.10000000000002</v>
      </c>
      <c r="O19" s="55">
        <v>0</v>
      </c>
      <c r="P19" s="55">
        <v>0.41</v>
      </c>
      <c r="Q19" s="55">
        <v>5.09</v>
      </c>
    </row>
    <row r="20" spans="1:17" customFormat="1">
      <c r="A20" s="50" t="s">
        <v>95</v>
      </c>
      <c r="B20" s="55">
        <v>10</v>
      </c>
      <c r="C20" s="55">
        <v>16.75</v>
      </c>
      <c r="D20" s="55">
        <v>18.12</v>
      </c>
      <c r="E20" s="55">
        <v>10.220000000000001</v>
      </c>
      <c r="F20" s="55">
        <v>6.09</v>
      </c>
      <c r="G20" s="55">
        <v>1.98</v>
      </c>
      <c r="H20" s="55">
        <v>2.67</v>
      </c>
      <c r="I20" s="55">
        <v>4.7</v>
      </c>
      <c r="J20" s="55">
        <v>0.46</v>
      </c>
      <c r="K20" s="55">
        <v>261.44</v>
      </c>
      <c r="L20" s="55">
        <v>28.43</v>
      </c>
      <c r="M20" s="55">
        <v>87.21</v>
      </c>
      <c r="N20" s="55">
        <v>393.2</v>
      </c>
      <c r="O20" s="55">
        <v>0</v>
      </c>
      <c r="P20" s="55">
        <v>0.41</v>
      </c>
      <c r="Q20" s="55">
        <v>5.03</v>
      </c>
    </row>
    <row r="21" spans="1:17" customFormat="1">
      <c r="A21" s="50" t="s">
        <v>96</v>
      </c>
      <c r="B21" s="55">
        <v>9.27</v>
      </c>
      <c r="C21" s="55">
        <v>17.059999999999999</v>
      </c>
      <c r="D21" s="55">
        <v>17.47</v>
      </c>
      <c r="E21" s="55">
        <v>10.130000000000001</v>
      </c>
      <c r="F21" s="55">
        <v>7.23</v>
      </c>
      <c r="G21" s="55">
        <v>1.82</v>
      </c>
      <c r="H21" s="55">
        <v>2.57</v>
      </c>
      <c r="I21" s="55">
        <v>4.3899999999999997</v>
      </c>
      <c r="J21" s="55">
        <v>0.59</v>
      </c>
      <c r="K21" s="55">
        <v>262.42</v>
      </c>
      <c r="L21" s="55">
        <v>28.44</v>
      </c>
      <c r="M21" s="55">
        <v>84.09</v>
      </c>
      <c r="N21" s="55">
        <v>372.1</v>
      </c>
      <c r="O21" s="55">
        <v>0</v>
      </c>
      <c r="P21" s="55">
        <v>0.4</v>
      </c>
      <c r="Q21" s="55">
        <v>5</v>
      </c>
    </row>
    <row r="22" spans="1:17" customFormat="1">
      <c r="A22" s="50" t="s">
        <v>97</v>
      </c>
      <c r="B22" s="55">
        <v>9.07</v>
      </c>
      <c r="C22" s="55">
        <v>15.89</v>
      </c>
      <c r="D22" s="55">
        <v>16.93</v>
      </c>
      <c r="E22" s="55">
        <v>9.61</v>
      </c>
      <c r="F22" s="55">
        <v>7.5</v>
      </c>
      <c r="G22" s="55">
        <v>2.37</v>
      </c>
      <c r="H22" s="55">
        <v>2.57</v>
      </c>
      <c r="I22" s="55">
        <v>4.24</v>
      </c>
      <c r="J22" s="55">
        <v>0.61</v>
      </c>
      <c r="K22" s="55">
        <v>260.45999999999998</v>
      </c>
      <c r="L22" s="55">
        <v>28.44</v>
      </c>
      <c r="M22" s="55">
        <v>84.53</v>
      </c>
      <c r="N22" s="55">
        <v>269.2</v>
      </c>
      <c r="O22" s="55">
        <v>0</v>
      </c>
      <c r="P22" s="55">
        <v>0.39</v>
      </c>
      <c r="Q22" s="55">
        <v>4.9800000000000004</v>
      </c>
    </row>
    <row r="23" spans="1:17" customFormat="1">
      <c r="A23" s="50" t="s">
        <v>98</v>
      </c>
      <c r="B23" s="55">
        <v>8.39</v>
      </c>
      <c r="C23" s="55">
        <v>17.32</v>
      </c>
      <c r="D23" s="55">
        <v>16.98</v>
      </c>
      <c r="E23" s="55">
        <v>10.07</v>
      </c>
      <c r="F23" s="55">
        <v>6.34</v>
      </c>
      <c r="G23" s="55">
        <v>2.37</v>
      </c>
      <c r="H23" s="55">
        <v>1.77</v>
      </c>
      <c r="I23" s="55">
        <v>3.89</v>
      </c>
      <c r="J23" s="55">
        <v>0.52</v>
      </c>
      <c r="K23" s="55">
        <v>254.18</v>
      </c>
      <c r="L23" s="55">
        <v>28.1</v>
      </c>
      <c r="M23" s="55">
        <v>85.11</v>
      </c>
      <c r="N23" s="55">
        <v>175.2</v>
      </c>
      <c r="O23" s="55">
        <v>0</v>
      </c>
      <c r="P23" s="55">
        <v>0.39</v>
      </c>
      <c r="Q23" s="55">
        <v>4.96</v>
      </c>
    </row>
    <row r="24" spans="1:17" customFormat="1">
      <c r="A24" s="50" t="s">
        <v>99</v>
      </c>
      <c r="B24" s="55">
        <v>8.15</v>
      </c>
      <c r="C24" s="55">
        <v>16.989999999999998</v>
      </c>
      <c r="D24" s="55">
        <v>16.63</v>
      </c>
      <c r="E24" s="55">
        <v>9.82</v>
      </c>
      <c r="F24" s="55">
        <v>6.71</v>
      </c>
      <c r="G24" s="55">
        <v>2.1800000000000002</v>
      </c>
      <c r="H24" s="55">
        <v>1.5</v>
      </c>
      <c r="I24" s="55">
        <v>3.77</v>
      </c>
      <c r="J24" s="55">
        <v>0.89</v>
      </c>
      <c r="K24" s="55">
        <v>262.97000000000003</v>
      </c>
      <c r="L24" s="55">
        <v>27.57</v>
      </c>
      <c r="M24" s="55">
        <v>85.27</v>
      </c>
      <c r="N24" s="55">
        <v>159.19999999999999</v>
      </c>
      <c r="O24" s="55">
        <v>0</v>
      </c>
      <c r="P24" s="55">
        <v>0.37</v>
      </c>
      <c r="Q24" s="55">
        <v>5.04</v>
      </c>
    </row>
    <row r="25" spans="1:17" customFormat="1">
      <c r="A25" s="50" t="s">
        <v>100</v>
      </c>
      <c r="B25" s="55">
        <v>7.91</v>
      </c>
      <c r="C25" s="55">
        <v>16.510000000000002</v>
      </c>
      <c r="D25" s="55">
        <v>16.32</v>
      </c>
      <c r="E25" s="55">
        <v>9.9600000000000009</v>
      </c>
      <c r="F25" s="55">
        <v>6.92</v>
      </c>
      <c r="G25" s="55">
        <v>2.86</v>
      </c>
      <c r="H25" s="55">
        <v>4.6900000000000004</v>
      </c>
      <c r="I25" s="55">
        <v>3.66</v>
      </c>
      <c r="J25" s="55">
        <v>0.46</v>
      </c>
      <c r="K25" s="55">
        <v>258.20999999999998</v>
      </c>
      <c r="L25" s="55">
        <v>26.87</v>
      </c>
      <c r="M25" s="55">
        <v>87.95</v>
      </c>
      <c r="N25" s="55">
        <v>67.5</v>
      </c>
      <c r="O25" s="55">
        <v>0</v>
      </c>
      <c r="P25" s="55">
        <v>0.37</v>
      </c>
      <c r="Q25" s="55">
        <v>5.08</v>
      </c>
    </row>
    <row r="26" spans="1:17" customFormat="1">
      <c r="A26" s="50" t="s">
        <v>101</v>
      </c>
      <c r="B26" s="55">
        <v>8.02</v>
      </c>
      <c r="C26" s="55">
        <v>17.25</v>
      </c>
      <c r="D26" s="55">
        <v>16.8</v>
      </c>
      <c r="E26" s="55">
        <v>9.98</v>
      </c>
      <c r="F26" s="55">
        <v>6.61</v>
      </c>
      <c r="G26" s="55">
        <v>5.92</v>
      </c>
      <c r="H26" s="55">
        <v>4.6900000000000004</v>
      </c>
      <c r="I26" s="55">
        <v>3.45</v>
      </c>
      <c r="J26" s="55">
        <v>0.38</v>
      </c>
      <c r="K26" s="55">
        <v>264.33999999999997</v>
      </c>
      <c r="L26" s="55">
        <v>26.55</v>
      </c>
      <c r="M26" s="55">
        <v>90.34</v>
      </c>
      <c r="N26" s="55">
        <v>25</v>
      </c>
      <c r="O26" s="55">
        <v>0</v>
      </c>
      <c r="P26" s="55">
        <v>0.37</v>
      </c>
      <c r="Q26" s="55">
        <v>5.28</v>
      </c>
    </row>
    <row r="27" spans="1:17" customFormat="1">
      <c r="A27" s="50" t="s">
        <v>102</v>
      </c>
      <c r="B27" s="55">
        <v>8.41</v>
      </c>
      <c r="C27" s="55">
        <v>17.02</v>
      </c>
      <c r="D27" s="55">
        <v>16.91</v>
      </c>
      <c r="E27" s="55">
        <v>8.98</v>
      </c>
      <c r="F27" s="55">
        <v>6.89</v>
      </c>
      <c r="G27" s="55">
        <v>7.66</v>
      </c>
      <c r="H27" s="55">
        <v>6.58</v>
      </c>
      <c r="I27" s="55">
        <v>3.46</v>
      </c>
      <c r="J27" s="55">
        <v>0.28999999999999998</v>
      </c>
      <c r="K27" s="55">
        <v>271.64999999999998</v>
      </c>
      <c r="L27" s="55">
        <v>26.02</v>
      </c>
      <c r="M27" s="55">
        <v>92.11</v>
      </c>
      <c r="N27" s="55">
        <v>0</v>
      </c>
      <c r="O27" s="55">
        <v>0</v>
      </c>
      <c r="P27" s="55">
        <v>0.37</v>
      </c>
      <c r="Q27" s="55">
        <v>5.43</v>
      </c>
    </row>
    <row r="28" spans="1:17" customFormat="1">
      <c r="A28" s="50" t="s">
        <v>103</v>
      </c>
      <c r="B28" s="55">
        <v>8.7100000000000009</v>
      </c>
      <c r="C28" s="55">
        <v>17.600000000000001</v>
      </c>
      <c r="D28" s="55">
        <v>17.41</v>
      </c>
      <c r="E28" s="55">
        <v>9.1199999999999992</v>
      </c>
      <c r="F28" s="55">
        <v>6.72</v>
      </c>
      <c r="G28" s="55">
        <v>7.66</v>
      </c>
      <c r="H28" s="55">
        <v>6.58</v>
      </c>
      <c r="I28" s="55">
        <v>3.47</v>
      </c>
      <c r="J28" s="55">
        <v>0.32</v>
      </c>
      <c r="K28" s="55">
        <v>265.06</v>
      </c>
      <c r="L28" s="55">
        <v>25.91</v>
      </c>
      <c r="M28" s="55">
        <v>91.55</v>
      </c>
      <c r="N28" s="55">
        <v>0</v>
      </c>
      <c r="O28" s="55">
        <v>0</v>
      </c>
      <c r="P28" s="55">
        <v>0.38</v>
      </c>
      <c r="Q28" s="55">
        <v>5.45</v>
      </c>
    </row>
    <row r="29" spans="1:17" customFormat="1">
      <c r="A29" s="50" t="s">
        <v>104</v>
      </c>
      <c r="B29" s="55">
        <v>9.0500000000000007</v>
      </c>
      <c r="C29" s="55">
        <v>17.309999999999999</v>
      </c>
      <c r="D29" s="55">
        <v>17.649999999999999</v>
      </c>
      <c r="E29" s="55">
        <v>8.76</v>
      </c>
      <c r="F29" s="55">
        <v>6.41</v>
      </c>
      <c r="G29" s="55">
        <v>8.9</v>
      </c>
      <c r="H29" s="55">
        <v>5.53</v>
      </c>
      <c r="I29" s="55">
        <v>3.42</v>
      </c>
      <c r="J29" s="55">
        <v>0.34</v>
      </c>
      <c r="K29" s="55">
        <v>271.75</v>
      </c>
      <c r="L29" s="55">
        <v>25.69</v>
      </c>
      <c r="M29" s="55">
        <v>93.57</v>
      </c>
      <c r="N29" s="55">
        <v>0</v>
      </c>
      <c r="O29" s="55">
        <v>0</v>
      </c>
      <c r="P29" s="55">
        <v>0.37</v>
      </c>
      <c r="Q29" s="55">
        <v>5.41</v>
      </c>
    </row>
    <row r="30" spans="1:17" customFormat="1">
      <c r="A30" s="50" t="s">
        <v>105</v>
      </c>
      <c r="B30" s="55">
        <v>9.3800000000000008</v>
      </c>
      <c r="C30" s="55">
        <v>17.71</v>
      </c>
      <c r="D30" s="55">
        <v>18.059999999999999</v>
      </c>
      <c r="E30" s="55">
        <v>9.24</v>
      </c>
      <c r="F30" s="55">
        <v>6.31</v>
      </c>
      <c r="G30" s="55">
        <v>8.9</v>
      </c>
      <c r="H30" s="55">
        <v>5.53</v>
      </c>
      <c r="I30" s="55">
        <v>3.39</v>
      </c>
      <c r="J30" s="55">
        <v>0.41</v>
      </c>
      <c r="K30" s="55">
        <v>259.49</v>
      </c>
      <c r="L30" s="55">
        <v>25.3</v>
      </c>
      <c r="M30" s="55">
        <v>93.97</v>
      </c>
      <c r="N30" s="55">
        <v>0</v>
      </c>
      <c r="O30" s="55">
        <v>0</v>
      </c>
      <c r="P30" s="55">
        <v>0.37</v>
      </c>
      <c r="Q30" s="55">
        <v>5.36</v>
      </c>
    </row>
    <row r="31" spans="1:17" customFormat="1">
      <c r="A31" s="50" t="s">
        <v>106</v>
      </c>
      <c r="B31" s="55">
        <v>9.56</v>
      </c>
      <c r="C31" s="55">
        <v>17.61</v>
      </c>
      <c r="D31" s="55">
        <v>18.12</v>
      </c>
      <c r="E31" s="55">
        <v>8.8699999999999992</v>
      </c>
      <c r="F31" s="55">
        <v>5.93</v>
      </c>
      <c r="G31" s="55">
        <v>8.76</v>
      </c>
      <c r="H31" s="55">
        <v>4.8600000000000003</v>
      </c>
      <c r="I31" s="55">
        <v>3.35</v>
      </c>
      <c r="J31" s="55">
        <v>0.36</v>
      </c>
      <c r="K31" s="55">
        <v>260.85000000000002</v>
      </c>
      <c r="L31" s="55">
        <v>25.31</v>
      </c>
      <c r="M31" s="55">
        <v>94.23</v>
      </c>
      <c r="N31" s="55">
        <v>0</v>
      </c>
      <c r="O31" s="55">
        <v>0</v>
      </c>
      <c r="P31" s="55">
        <v>0.37</v>
      </c>
      <c r="Q31" s="55">
        <v>5.35</v>
      </c>
    </row>
    <row r="32" spans="1:17" customFormat="1">
      <c r="A32" s="50" t="s">
        <v>107</v>
      </c>
      <c r="B32" s="55">
        <v>9.99</v>
      </c>
      <c r="C32" s="55">
        <v>17.86</v>
      </c>
      <c r="D32" s="55">
        <v>18.68</v>
      </c>
      <c r="E32" s="55">
        <v>9.23</v>
      </c>
      <c r="F32" s="55">
        <v>5.33</v>
      </c>
      <c r="G32" s="55">
        <v>8.76</v>
      </c>
      <c r="H32" s="55">
        <v>4.88</v>
      </c>
      <c r="I32" s="55">
        <v>3.3</v>
      </c>
      <c r="J32" s="55">
        <v>0.37</v>
      </c>
      <c r="K32" s="55">
        <v>258.58</v>
      </c>
      <c r="L32" s="55">
        <v>25.3</v>
      </c>
      <c r="M32" s="55">
        <v>94.81</v>
      </c>
      <c r="N32" s="55">
        <v>0</v>
      </c>
      <c r="O32" s="55">
        <v>0</v>
      </c>
      <c r="P32" s="55">
        <v>0.37</v>
      </c>
      <c r="Q32" s="55">
        <v>5.39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7.91</v>
      </c>
      <c r="C34" s="40">
        <f t="shared" si="0"/>
        <v>15.89</v>
      </c>
      <c r="D34" s="40">
        <f t="shared" si="0"/>
        <v>16.32</v>
      </c>
      <c r="E34" s="40">
        <f t="shared" si="0"/>
        <v>7.57</v>
      </c>
      <c r="F34" s="40">
        <f t="shared" si="0"/>
        <v>4.71</v>
      </c>
      <c r="G34" s="40">
        <f t="shared" si="0"/>
        <v>0.94</v>
      </c>
      <c r="H34" s="40">
        <f t="shared" si="0"/>
        <v>0.82</v>
      </c>
      <c r="I34" s="40">
        <f t="shared" si="0"/>
        <v>3.3</v>
      </c>
      <c r="J34" s="40">
        <f t="shared" si="0"/>
        <v>0.22</v>
      </c>
      <c r="K34" s="40">
        <f t="shared" si="0"/>
        <v>254.18</v>
      </c>
      <c r="L34" s="40">
        <f t="shared" si="0"/>
        <v>23.78</v>
      </c>
      <c r="M34" s="40">
        <f t="shared" si="0"/>
        <v>84.09</v>
      </c>
      <c r="N34" s="40">
        <f t="shared" si="0"/>
        <v>0</v>
      </c>
      <c r="O34" s="40">
        <f t="shared" si="0"/>
        <v>0</v>
      </c>
      <c r="P34" s="40">
        <f t="shared" si="0"/>
        <v>0.37</v>
      </c>
      <c r="Q34" s="40">
        <f t="shared" si="0"/>
        <v>4.96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10.41</v>
      </c>
      <c r="C35" s="33">
        <f t="shared" si="1"/>
        <v>19.649999999999999</v>
      </c>
      <c r="D35" s="33">
        <f t="shared" si="1"/>
        <v>19.489999999999998</v>
      </c>
      <c r="E35" s="33">
        <f t="shared" si="1"/>
        <v>10.220000000000001</v>
      </c>
      <c r="F35" s="33">
        <f t="shared" si="1"/>
        <v>7.5</v>
      </c>
      <c r="G35" s="33">
        <f t="shared" si="1"/>
        <v>9.7899999999999991</v>
      </c>
      <c r="H35" s="33">
        <f t="shared" si="1"/>
        <v>6.58</v>
      </c>
      <c r="I35" s="33">
        <f t="shared" si="1"/>
        <v>8.93</v>
      </c>
      <c r="J35" s="33">
        <f t="shared" si="1"/>
        <v>0.89</v>
      </c>
      <c r="K35" s="33">
        <f t="shared" si="1"/>
        <v>311.98</v>
      </c>
      <c r="L35" s="33">
        <f t="shared" si="1"/>
        <v>28.44</v>
      </c>
      <c r="M35" s="33">
        <f t="shared" si="1"/>
        <v>99.43</v>
      </c>
      <c r="N35" s="33">
        <f t="shared" si="1"/>
        <v>480.7</v>
      </c>
      <c r="O35" s="33">
        <f t="shared" si="1"/>
        <v>2.2000000000000002</v>
      </c>
      <c r="P35" s="33">
        <f t="shared" si="1"/>
        <v>0.54</v>
      </c>
      <c r="Q35" s="33">
        <f t="shared" si="1"/>
        <v>5.45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9.3279166666666686</v>
      </c>
      <c r="C36" s="40">
        <f t="shared" si="2"/>
        <v>17.964166666666667</v>
      </c>
      <c r="D36" s="40">
        <f t="shared" si="2"/>
        <v>18.142916666666672</v>
      </c>
      <c r="E36" s="40">
        <f t="shared" si="2"/>
        <v>8.916249999999998</v>
      </c>
      <c r="F36" s="40">
        <f t="shared" si="2"/>
        <v>5.902916666666667</v>
      </c>
      <c r="G36" s="40">
        <f t="shared" si="2"/>
        <v>4.7691666666666661</v>
      </c>
      <c r="H36" s="40">
        <f t="shared" si="2"/>
        <v>3.219583333333333</v>
      </c>
      <c r="I36" s="40">
        <f t="shared" si="2"/>
        <v>5.0783333333333323</v>
      </c>
      <c r="J36" s="40">
        <f t="shared" si="2"/>
        <v>0.49791666666666673</v>
      </c>
      <c r="K36" s="40">
        <f t="shared" si="2"/>
        <v>268.40208333333334</v>
      </c>
      <c r="L36" s="40">
        <f t="shared" si="2"/>
        <v>25.921249999999997</v>
      </c>
      <c r="M36" s="40">
        <f t="shared" si="2"/>
        <v>93.668749999999974</v>
      </c>
      <c r="N36" s="40">
        <f t="shared" si="2"/>
        <v>104.84583333333332</v>
      </c>
      <c r="O36" s="40">
        <f t="shared" si="2"/>
        <v>0.25833333333333336</v>
      </c>
      <c r="P36" s="40">
        <f t="shared" si="2"/>
        <v>0.42041666666666649</v>
      </c>
      <c r="Q36" s="40">
        <f t="shared" si="2"/>
        <v>5.1320833333333331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0.75615146381652898</v>
      </c>
      <c r="C37" s="40">
        <f t="shared" ref="C37:Q37" si="3">STDEV(C9:C32)</f>
        <v>1.0506019668521882</v>
      </c>
      <c r="D37" s="40">
        <f t="shared" si="3"/>
        <v>1.0163681255659374</v>
      </c>
      <c r="E37" s="40">
        <f t="shared" si="3"/>
        <v>0.90498528693302427</v>
      </c>
      <c r="F37" s="40">
        <f t="shared" si="3"/>
        <v>0.84666342148185159</v>
      </c>
      <c r="G37" s="40">
        <f t="shared" si="3"/>
        <v>3.1123413759707854</v>
      </c>
      <c r="H37" s="40">
        <f t="shared" si="3"/>
        <v>1.9005136128830085</v>
      </c>
      <c r="I37" s="40">
        <f t="shared" si="3"/>
        <v>1.7561832792009322</v>
      </c>
      <c r="J37" s="40">
        <f t="shared" si="3"/>
        <v>0.20278451117137725</v>
      </c>
      <c r="K37" s="40">
        <f t="shared" si="3"/>
        <v>14.228906578775648</v>
      </c>
      <c r="L37" s="40">
        <f t="shared" si="3"/>
        <v>1.5983777441655487</v>
      </c>
      <c r="M37" s="40">
        <f t="shared" si="3"/>
        <v>5.7372750026931181</v>
      </c>
      <c r="N37" s="40">
        <f t="shared" si="3"/>
        <v>149.01292030111574</v>
      </c>
      <c r="O37" s="40">
        <f t="shared" si="3"/>
        <v>0.57929242196400899</v>
      </c>
      <c r="P37" s="40">
        <f t="shared" si="3"/>
        <v>5.36071999274167E-2</v>
      </c>
      <c r="Q37" s="40">
        <f t="shared" si="3"/>
        <v>0.17062491705152899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108</v>
      </c>
      <c r="B9" s="55">
        <v>10.99</v>
      </c>
      <c r="C9" s="55">
        <v>18.420000000000002</v>
      </c>
      <c r="D9" s="55">
        <v>19.66</v>
      </c>
      <c r="E9" s="55">
        <v>9.34</v>
      </c>
      <c r="F9" s="55">
        <v>5.38</v>
      </c>
      <c r="G9" s="55">
        <v>7.22</v>
      </c>
      <c r="H9" s="55">
        <v>4.88</v>
      </c>
      <c r="I9" s="55">
        <v>3.27</v>
      </c>
      <c r="J9" s="55">
        <v>0.18</v>
      </c>
      <c r="K9" s="55">
        <v>274.93</v>
      </c>
      <c r="L9" s="55">
        <v>25.22</v>
      </c>
      <c r="M9" s="55">
        <v>94.63</v>
      </c>
      <c r="N9" s="55">
        <v>0</v>
      </c>
      <c r="O9" s="55">
        <v>0</v>
      </c>
      <c r="P9" s="55">
        <v>0.37</v>
      </c>
      <c r="Q9" s="55">
        <v>5.37</v>
      </c>
    </row>
    <row r="10" spans="1:21" customFormat="1">
      <c r="A10" s="50" t="s">
        <v>109</v>
      </c>
      <c r="B10" s="55">
        <v>11.54</v>
      </c>
      <c r="C10" s="55">
        <v>19.170000000000002</v>
      </c>
      <c r="D10" s="55">
        <v>20.49</v>
      </c>
      <c r="E10" s="55">
        <v>9.5299999999999994</v>
      </c>
      <c r="F10" s="55">
        <v>5.28</v>
      </c>
      <c r="G10" s="55">
        <v>7.12</v>
      </c>
      <c r="H10" s="55">
        <v>3.79</v>
      </c>
      <c r="I10" s="55">
        <v>3.3</v>
      </c>
      <c r="J10" s="55">
        <v>0.21</v>
      </c>
      <c r="K10" s="55">
        <v>281.81</v>
      </c>
      <c r="L10" s="55">
        <v>25.27</v>
      </c>
      <c r="M10" s="55">
        <v>93.89</v>
      </c>
      <c r="N10" s="55">
        <v>0</v>
      </c>
      <c r="O10" s="55">
        <v>0</v>
      </c>
      <c r="P10" s="55">
        <v>0.38</v>
      </c>
      <c r="Q10" s="55">
        <v>5.35</v>
      </c>
    </row>
    <row r="11" spans="1:21" customFormat="1">
      <c r="A11" s="50" t="s">
        <v>110</v>
      </c>
      <c r="B11" s="55">
        <v>11.68</v>
      </c>
      <c r="C11" s="55">
        <v>18.2</v>
      </c>
      <c r="D11" s="55">
        <v>20.11</v>
      </c>
      <c r="E11" s="55">
        <v>9.59</v>
      </c>
      <c r="F11" s="55">
        <v>5.28</v>
      </c>
      <c r="G11" s="55">
        <v>7.63</v>
      </c>
      <c r="H11" s="55">
        <v>3.68</v>
      </c>
      <c r="I11" s="55">
        <v>3.27</v>
      </c>
      <c r="J11" s="55">
        <v>0.25</v>
      </c>
      <c r="K11" s="55">
        <v>277.97000000000003</v>
      </c>
      <c r="L11" s="55">
        <v>25.16</v>
      </c>
      <c r="M11" s="55">
        <v>95.42</v>
      </c>
      <c r="N11" s="55">
        <v>0</v>
      </c>
      <c r="O11" s="55">
        <v>0</v>
      </c>
      <c r="P11" s="55">
        <v>0.36</v>
      </c>
      <c r="Q11" s="55">
        <v>5.28</v>
      </c>
    </row>
    <row r="12" spans="1:21" customFormat="1">
      <c r="A12" s="50" t="s">
        <v>111</v>
      </c>
      <c r="B12" s="55">
        <v>12.13</v>
      </c>
      <c r="C12" s="55">
        <v>18.45</v>
      </c>
      <c r="D12" s="55">
        <v>20.71</v>
      </c>
      <c r="E12" s="55">
        <v>9.3800000000000008</v>
      </c>
      <c r="F12" s="55">
        <v>5.27</v>
      </c>
      <c r="G12" s="55">
        <v>7.63</v>
      </c>
      <c r="H12" s="55">
        <v>2.85</v>
      </c>
      <c r="I12" s="55">
        <v>3.23</v>
      </c>
      <c r="J12" s="55">
        <v>0.19</v>
      </c>
      <c r="K12" s="55">
        <v>337.6</v>
      </c>
      <c r="L12" s="55">
        <v>25.03</v>
      </c>
      <c r="M12" s="55">
        <v>94.53</v>
      </c>
      <c r="N12" s="55">
        <v>0</v>
      </c>
      <c r="O12" s="55">
        <v>0</v>
      </c>
      <c r="P12" s="55">
        <v>0.37</v>
      </c>
      <c r="Q12" s="55">
        <v>5.26</v>
      </c>
    </row>
    <row r="13" spans="1:21" customFormat="1">
      <c r="A13" s="50" t="s">
        <v>112</v>
      </c>
      <c r="B13" s="55">
        <v>12.58</v>
      </c>
      <c r="C13" s="55">
        <v>18.739999999999998</v>
      </c>
      <c r="D13" s="55">
        <v>21.19</v>
      </c>
      <c r="E13" s="55">
        <v>9.77</v>
      </c>
      <c r="F13" s="55">
        <v>5.13</v>
      </c>
      <c r="G13" s="55">
        <v>5.7</v>
      </c>
      <c r="H13" s="55">
        <v>3.62</v>
      </c>
      <c r="I13" s="55">
        <v>3.2</v>
      </c>
      <c r="J13" s="55">
        <v>0.16</v>
      </c>
      <c r="K13" s="55">
        <v>320.44</v>
      </c>
      <c r="L13" s="55">
        <v>25.09</v>
      </c>
      <c r="M13" s="55">
        <v>93.85</v>
      </c>
      <c r="N13" s="55">
        <v>0</v>
      </c>
      <c r="O13" s="55">
        <v>0</v>
      </c>
      <c r="P13" s="55">
        <v>0.36</v>
      </c>
      <c r="Q13" s="55">
        <v>5.24</v>
      </c>
    </row>
    <row r="14" spans="1:21" customFormat="1">
      <c r="A14" s="50" t="s">
        <v>113</v>
      </c>
      <c r="B14" s="55">
        <v>12.67</v>
      </c>
      <c r="C14" s="55">
        <v>18.54</v>
      </c>
      <c r="D14" s="55">
        <v>21.16</v>
      </c>
      <c r="E14" s="55">
        <v>9.41</v>
      </c>
      <c r="F14" s="55">
        <v>4.93</v>
      </c>
      <c r="G14" s="55">
        <v>5.7</v>
      </c>
      <c r="H14" s="55">
        <v>3.62</v>
      </c>
      <c r="I14" s="55">
        <v>3.17</v>
      </c>
      <c r="J14" s="55">
        <v>0.17</v>
      </c>
      <c r="K14" s="55">
        <v>300.85000000000002</v>
      </c>
      <c r="L14" s="55">
        <v>25.06</v>
      </c>
      <c r="M14" s="55">
        <v>94.52</v>
      </c>
      <c r="N14" s="55">
        <v>0</v>
      </c>
      <c r="O14" s="55">
        <v>0</v>
      </c>
      <c r="P14" s="55">
        <v>0.36</v>
      </c>
      <c r="Q14" s="55">
        <v>5.23</v>
      </c>
    </row>
    <row r="15" spans="1:21" customFormat="1">
      <c r="A15" s="50" t="s">
        <v>114</v>
      </c>
      <c r="B15" s="55">
        <v>13.01</v>
      </c>
      <c r="C15" s="55">
        <v>19.239999999999998</v>
      </c>
      <c r="D15" s="55">
        <v>21.76</v>
      </c>
      <c r="E15" s="55">
        <v>9.7799999999999994</v>
      </c>
      <c r="F15" s="55">
        <v>5.04</v>
      </c>
      <c r="G15" s="55">
        <v>10.59</v>
      </c>
      <c r="H15" s="55">
        <v>4.66</v>
      </c>
      <c r="I15" s="55">
        <v>3.14</v>
      </c>
      <c r="J15" s="55">
        <v>0.24</v>
      </c>
      <c r="K15" s="55">
        <v>292.12</v>
      </c>
      <c r="L15" s="55">
        <v>25.4</v>
      </c>
      <c r="M15" s="55">
        <v>94.03</v>
      </c>
      <c r="N15" s="55">
        <v>21.5</v>
      </c>
      <c r="O15" s="55">
        <v>0</v>
      </c>
      <c r="P15" s="55">
        <v>0.37</v>
      </c>
      <c r="Q15" s="55">
        <v>5.25</v>
      </c>
    </row>
    <row r="16" spans="1:21" customFormat="1">
      <c r="A16" s="50" t="s">
        <v>115</v>
      </c>
      <c r="B16" s="55">
        <v>13.18</v>
      </c>
      <c r="C16" s="55">
        <v>18.809999999999999</v>
      </c>
      <c r="D16" s="55">
        <v>21.68</v>
      </c>
      <c r="E16" s="55">
        <v>9.6199999999999992</v>
      </c>
      <c r="F16" s="55">
        <v>4.96</v>
      </c>
      <c r="G16" s="55">
        <v>12.11</v>
      </c>
      <c r="H16" s="55">
        <v>5.35</v>
      </c>
      <c r="I16" s="55">
        <v>3.14</v>
      </c>
      <c r="J16" s="55">
        <v>0.4</v>
      </c>
      <c r="K16" s="55">
        <v>295.27999999999997</v>
      </c>
      <c r="L16" s="55">
        <v>26.23</v>
      </c>
      <c r="M16" s="55">
        <v>92.18</v>
      </c>
      <c r="N16" s="55">
        <v>113</v>
      </c>
      <c r="O16" s="55">
        <v>0</v>
      </c>
      <c r="P16" s="55">
        <v>0.36</v>
      </c>
      <c r="Q16" s="55">
        <v>5.26</v>
      </c>
    </row>
    <row r="17" spans="1:17" customFormat="1">
      <c r="A17" s="50" t="s">
        <v>116</v>
      </c>
      <c r="B17" s="55">
        <v>13.09</v>
      </c>
      <c r="C17" s="55">
        <v>18.64</v>
      </c>
      <c r="D17" s="55">
        <v>21.49</v>
      </c>
      <c r="E17" s="55">
        <v>9.3800000000000008</v>
      </c>
      <c r="F17" s="55">
        <v>5.17</v>
      </c>
      <c r="G17" s="55">
        <v>12.11</v>
      </c>
      <c r="H17" s="55">
        <v>5.35</v>
      </c>
      <c r="I17" s="55">
        <v>3.14</v>
      </c>
      <c r="J17" s="55">
        <v>0.52</v>
      </c>
      <c r="K17" s="55">
        <v>262.3</v>
      </c>
      <c r="L17" s="55">
        <v>27.24</v>
      </c>
      <c r="M17" s="55">
        <v>88.49</v>
      </c>
      <c r="N17" s="55">
        <v>203</v>
      </c>
      <c r="O17" s="55">
        <v>0</v>
      </c>
      <c r="P17" s="55">
        <v>0.36</v>
      </c>
      <c r="Q17" s="55">
        <v>5.25</v>
      </c>
    </row>
    <row r="18" spans="1:17" customFormat="1">
      <c r="A18" s="50" t="s">
        <v>117</v>
      </c>
      <c r="B18" s="55">
        <v>12.69</v>
      </c>
      <c r="C18" s="55">
        <v>18.52</v>
      </c>
      <c r="D18" s="55">
        <v>20.84</v>
      </c>
      <c r="E18" s="55">
        <v>9.15</v>
      </c>
      <c r="F18" s="55">
        <v>5.64</v>
      </c>
      <c r="G18" s="55">
        <v>11.59</v>
      </c>
      <c r="H18" s="55">
        <v>3.98</v>
      </c>
      <c r="I18" s="55">
        <v>3.1</v>
      </c>
      <c r="J18" s="55">
        <v>0.49</v>
      </c>
      <c r="K18" s="55">
        <v>256.62</v>
      </c>
      <c r="L18" s="55">
        <v>28.77</v>
      </c>
      <c r="M18" s="55">
        <v>82.96</v>
      </c>
      <c r="N18" s="55">
        <v>379.7</v>
      </c>
      <c r="O18" s="55">
        <v>0</v>
      </c>
      <c r="P18" s="55">
        <v>0.36</v>
      </c>
      <c r="Q18" s="55">
        <v>5.22</v>
      </c>
    </row>
    <row r="19" spans="1:17" customFormat="1">
      <c r="A19" s="50" t="s">
        <v>118</v>
      </c>
      <c r="B19" s="55">
        <v>12.17</v>
      </c>
      <c r="C19" s="55">
        <v>17.47</v>
      </c>
      <c r="D19" s="55">
        <v>20.239999999999998</v>
      </c>
      <c r="E19" s="55">
        <v>7.33</v>
      </c>
      <c r="F19" s="55">
        <v>5.64</v>
      </c>
      <c r="G19" s="55">
        <v>13.22</v>
      </c>
      <c r="H19" s="55">
        <v>4.24</v>
      </c>
      <c r="I19" s="55">
        <v>3.06</v>
      </c>
      <c r="J19" s="55">
        <v>0.78</v>
      </c>
      <c r="K19" s="55">
        <v>264.58999999999997</v>
      </c>
      <c r="L19" s="55">
        <v>29.15</v>
      </c>
      <c r="M19" s="55">
        <v>80.180000000000007</v>
      </c>
      <c r="N19" s="55">
        <v>527.9</v>
      </c>
      <c r="O19" s="55">
        <v>0</v>
      </c>
      <c r="P19" s="55">
        <v>0.35</v>
      </c>
      <c r="Q19" s="55">
        <v>5.17</v>
      </c>
    </row>
    <row r="20" spans="1:17" customFormat="1">
      <c r="A20" s="50" t="s">
        <v>119</v>
      </c>
      <c r="B20" s="55">
        <v>11.1</v>
      </c>
      <c r="C20" s="55">
        <v>17.28</v>
      </c>
      <c r="D20" s="55">
        <v>19.13</v>
      </c>
      <c r="E20" s="55">
        <v>7.36</v>
      </c>
      <c r="F20" s="55">
        <v>5.33</v>
      </c>
      <c r="G20" s="55">
        <v>13.22</v>
      </c>
      <c r="H20" s="55">
        <v>6.13</v>
      </c>
      <c r="I20" s="55">
        <v>2.97</v>
      </c>
      <c r="J20" s="55">
        <v>0.72</v>
      </c>
      <c r="K20" s="55">
        <v>261.85000000000002</v>
      </c>
      <c r="L20" s="55">
        <v>29.8</v>
      </c>
      <c r="M20" s="55">
        <v>77.040000000000006</v>
      </c>
      <c r="N20" s="55">
        <v>656</v>
      </c>
      <c r="O20" s="55">
        <v>0</v>
      </c>
      <c r="P20" s="55">
        <v>0.35</v>
      </c>
      <c r="Q20" s="55">
        <v>5.0599999999999996</v>
      </c>
    </row>
    <row r="21" spans="1:17" customFormat="1">
      <c r="A21" s="50" t="s">
        <v>120</v>
      </c>
      <c r="B21" s="55">
        <v>10.29</v>
      </c>
      <c r="C21" s="55">
        <v>16.489999999999998</v>
      </c>
      <c r="D21" s="55">
        <v>18.22</v>
      </c>
      <c r="E21" s="55">
        <v>7.22</v>
      </c>
      <c r="F21" s="55">
        <v>5.42</v>
      </c>
      <c r="G21" s="55">
        <v>12.99</v>
      </c>
      <c r="H21" s="55">
        <v>6.13</v>
      </c>
      <c r="I21" s="55">
        <v>2.91</v>
      </c>
      <c r="J21" s="55">
        <v>0.67</v>
      </c>
      <c r="K21" s="55">
        <v>265.2</v>
      </c>
      <c r="L21" s="55">
        <v>30.43</v>
      </c>
      <c r="M21" s="55">
        <v>76.36</v>
      </c>
      <c r="N21" s="55">
        <v>690.4</v>
      </c>
      <c r="O21" s="55">
        <v>0</v>
      </c>
      <c r="P21" s="55">
        <v>0.34</v>
      </c>
      <c r="Q21" s="55">
        <v>5.03</v>
      </c>
    </row>
    <row r="22" spans="1:17" customFormat="1">
      <c r="A22" s="50" t="s">
        <v>121</v>
      </c>
      <c r="B22" s="55">
        <v>9.4600000000000009</v>
      </c>
      <c r="C22" s="55">
        <v>17.3</v>
      </c>
      <c r="D22" s="55">
        <v>17.93</v>
      </c>
      <c r="E22" s="55">
        <v>7.47</v>
      </c>
      <c r="F22" s="55">
        <v>5.57</v>
      </c>
      <c r="G22" s="55">
        <v>11.47</v>
      </c>
      <c r="H22" s="55">
        <v>5.31</v>
      </c>
      <c r="I22" s="55">
        <v>2.87</v>
      </c>
      <c r="J22" s="55">
        <v>0.62</v>
      </c>
      <c r="K22" s="55">
        <v>264.01</v>
      </c>
      <c r="L22" s="55">
        <v>29.94</v>
      </c>
      <c r="M22" s="55">
        <v>78.33</v>
      </c>
      <c r="N22" s="55">
        <v>413.8</v>
      </c>
      <c r="O22" s="55">
        <v>0</v>
      </c>
      <c r="P22" s="55">
        <v>0.35</v>
      </c>
      <c r="Q22" s="55">
        <v>5.04</v>
      </c>
    </row>
    <row r="23" spans="1:17" customFormat="1">
      <c r="A23" s="50" t="s">
        <v>122</v>
      </c>
      <c r="B23" s="55">
        <v>9.41</v>
      </c>
      <c r="C23" s="55">
        <v>16.52</v>
      </c>
      <c r="D23" s="55">
        <v>17.53</v>
      </c>
      <c r="E23" s="55">
        <v>6.94</v>
      </c>
      <c r="F23" s="55">
        <v>5.5</v>
      </c>
      <c r="G23" s="55">
        <v>9.5500000000000007</v>
      </c>
      <c r="H23" s="55">
        <v>4.95</v>
      </c>
      <c r="I23" s="55">
        <v>2.89</v>
      </c>
      <c r="J23" s="55">
        <v>0.71</v>
      </c>
      <c r="K23" s="55">
        <v>270</v>
      </c>
      <c r="L23" s="55">
        <v>30.18</v>
      </c>
      <c r="M23" s="55">
        <v>76.209999999999994</v>
      </c>
      <c r="N23" s="55">
        <v>634.70000000000005</v>
      </c>
      <c r="O23" s="55">
        <v>0</v>
      </c>
      <c r="P23" s="55">
        <v>0.33</v>
      </c>
      <c r="Q23" s="55">
        <v>5.1100000000000003</v>
      </c>
    </row>
    <row r="24" spans="1:17" customFormat="1">
      <c r="A24" s="50" t="s">
        <v>123</v>
      </c>
      <c r="B24" s="55">
        <v>9.0399999999999991</v>
      </c>
      <c r="C24" s="55">
        <v>15.99</v>
      </c>
      <c r="D24" s="55">
        <v>16.86</v>
      </c>
      <c r="E24" s="55">
        <v>6.92</v>
      </c>
      <c r="F24" s="55">
        <v>5.67</v>
      </c>
      <c r="G24" s="55">
        <v>12.65</v>
      </c>
      <c r="H24" s="55">
        <v>4.58</v>
      </c>
      <c r="I24" s="55">
        <v>2.79</v>
      </c>
      <c r="J24" s="55">
        <v>0.82</v>
      </c>
      <c r="K24" s="55">
        <v>269.91000000000003</v>
      </c>
      <c r="L24" s="55">
        <v>30.75</v>
      </c>
      <c r="M24" s="55">
        <v>73.42</v>
      </c>
      <c r="N24" s="55">
        <v>564.6</v>
      </c>
      <c r="O24" s="55">
        <v>0</v>
      </c>
      <c r="P24" s="55">
        <v>0.33</v>
      </c>
      <c r="Q24" s="55">
        <v>5.12</v>
      </c>
    </row>
    <row r="25" spans="1:17" customFormat="1">
      <c r="A25" s="50" t="s">
        <v>124</v>
      </c>
      <c r="B25" s="55">
        <v>8.76</v>
      </c>
      <c r="C25" s="55">
        <v>16.34</v>
      </c>
      <c r="D25" s="55">
        <v>16.91</v>
      </c>
      <c r="E25" s="55">
        <v>6.51</v>
      </c>
      <c r="F25" s="55">
        <v>7.43</v>
      </c>
      <c r="G25" s="55">
        <v>12.65</v>
      </c>
      <c r="H25" s="55">
        <v>4.58</v>
      </c>
      <c r="I25" s="55">
        <v>2.76</v>
      </c>
      <c r="J25" s="55">
        <v>0.32</v>
      </c>
      <c r="K25" s="55">
        <v>240.25</v>
      </c>
      <c r="L25" s="55">
        <v>29.53</v>
      </c>
      <c r="M25" s="55">
        <v>76.260000000000005</v>
      </c>
      <c r="N25" s="55">
        <v>96.1</v>
      </c>
      <c r="O25" s="55">
        <v>0</v>
      </c>
      <c r="P25" s="55">
        <v>0.35</v>
      </c>
      <c r="Q25" s="55">
        <v>5.23</v>
      </c>
    </row>
    <row r="26" spans="1:17" customFormat="1">
      <c r="A26" s="50" t="s">
        <v>125</v>
      </c>
      <c r="B26" s="55">
        <v>8.36</v>
      </c>
      <c r="C26" s="55">
        <v>14.26</v>
      </c>
      <c r="D26" s="55">
        <v>15.5</v>
      </c>
      <c r="E26" s="55">
        <v>7.03</v>
      </c>
      <c r="F26" s="55">
        <v>9.4700000000000006</v>
      </c>
      <c r="G26" s="55">
        <v>10.55</v>
      </c>
      <c r="H26" s="55">
        <v>3.93</v>
      </c>
      <c r="I26" s="55">
        <v>2.64</v>
      </c>
      <c r="J26" s="55">
        <v>0.17</v>
      </c>
      <c r="K26" s="55">
        <v>220.39</v>
      </c>
      <c r="L26" s="55">
        <v>28.55</v>
      </c>
      <c r="M26" s="55">
        <v>82.81</v>
      </c>
      <c r="N26" s="55">
        <v>28.1</v>
      </c>
      <c r="O26" s="55">
        <v>0</v>
      </c>
      <c r="P26" s="55">
        <v>0.32</v>
      </c>
      <c r="Q26" s="55">
        <v>5.32</v>
      </c>
    </row>
    <row r="27" spans="1:17" customFormat="1">
      <c r="A27" s="50" t="s">
        <v>126</v>
      </c>
      <c r="B27" s="55">
        <v>8.81</v>
      </c>
      <c r="C27" s="55">
        <v>16.13</v>
      </c>
      <c r="D27" s="55">
        <v>16.82</v>
      </c>
      <c r="E27" s="55">
        <v>8.42</v>
      </c>
      <c r="F27" s="55">
        <v>9.7799999999999994</v>
      </c>
      <c r="G27" s="55">
        <v>10.66</v>
      </c>
      <c r="H27" s="55">
        <v>4.72</v>
      </c>
      <c r="I27" s="55">
        <v>2.76</v>
      </c>
      <c r="J27" s="55">
        <v>0.16</v>
      </c>
      <c r="K27" s="55">
        <v>210.34</v>
      </c>
      <c r="L27" s="55">
        <v>27.22</v>
      </c>
      <c r="M27" s="55">
        <v>87.51</v>
      </c>
      <c r="N27" s="55">
        <v>0</v>
      </c>
      <c r="O27" s="55">
        <v>0</v>
      </c>
      <c r="P27" s="55">
        <v>0.35</v>
      </c>
      <c r="Q27" s="55">
        <v>5.61</v>
      </c>
    </row>
    <row r="28" spans="1:17" customFormat="1">
      <c r="A28" s="50" t="s">
        <v>127</v>
      </c>
      <c r="B28" s="55">
        <v>9.6199999999999992</v>
      </c>
      <c r="C28" s="55">
        <v>17.39</v>
      </c>
      <c r="D28" s="55">
        <v>18.16</v>
      </c>
      <c r="E28" s="55">
        <v>8.6199999999999992</v>
      </c>
      <c r="F28" s="55">
        <v>7.68</v>
      </c>
      <c r="G28" s="55">
        <v>11.23</v>
      </c>
      <c r="H28" s="55">
        <v>4.72</v>
      </c>
      <c r="I28" s="55">
        <v>3.99</v>
      </c>
      <c r="J28" s="55">
        <v>0.16</v>
      </c>
      <c r="K28" s="55">
        <v>212.51</v>
      </c>
      <c r="L28" s="55">
        <v>26.59</v>
      </c>
      <c r="M28" s="55">
        <v>91.69</v>
      </c>
      <c r="N28" s="55">
        <v>0</v>
      </c>
      <c r="O28" s="55">
        <v>0</v>
      </c>
      <c r="P28" s="55">
        <v>0.38</v>
      </c>
      <c r="Q28" s="55">
        <v>5.61</v>
      </c>
    </row>
    <row r="29" spans="1:17" customFormat="1">
      <c r="A29" s="50" t="s">
        <v>128</v>
      </c>
      <c r="B29" s="55">
        <v>11.16</v>
      </c>
      <c r="C29" s="55">
        <v>19.5</v>
      </c>
      <c r="D29" s="55">
        <v>20.46</v>
      </c>
      <c r="E29" s="55">
        <v>8.7899999999999991</v>
      </c>
      <c r="F29" s="55">
        <v>4.17</v>
      </c>
      <c r="G29" s="55">
        <v>15.24</v>
      </c>
      <c r="H29" s="55">
        <v>3.79</v>
      </c>
      <c r="I29" s="55">
        <v>3.87</v>
      </c>
      <c r="J29" s="55">
        <v>0.15</v>
      </c>
      <c r="K29" s="55">
        <v>217.76</v>
      </c>
      <c r="L29" s="55">
        <v>26.34</v>
      </c>
      <c r="M29" s="55">
        <v>95.51</v>
      </c>
      <c r="N29" s="55">
        <v>0</v>
      </c>
      <c r="O29" s="55">
        <v>0</v>
      </c>
      <c r="P29" s="55">
        <v>0.43</v>
      </c>
      <c r="Q29" s="55">
        <v>5.56</v>
      </c>
    </row>
    <row r="30" spans="1:17" customFormat="1">
      <c r="A30" s="50" t="s">
        <v>129</v>
      </c>
      <c r="B30" s="55">
        <v>11.52</v>
      </c>
      <c r="C30" s="55">
        <v>18.39</v>
      </c>
      <c r="D30" s="55">
        <v>20.2</v>
      </c>
      <c r="E30" s="55">
        <v>8.69</v>
      </c>
      <c r="F30" s="55">
        <v>4.82</v>
      </c>
      <c r="G30" s="55">
        <v>17.52</v>
      </c>
      <c r="H30" s="55">
        <v>6.93</v>
      </c>
      <c r="I30" s="55">
        <v>4.1399999999999997</v>
      </c>
      <c r="J30" s="55">
        <v>0.14000000000000001</v>
      </c>
      <c r="K30" s="55">
        <v>255.43</v>
      </c>
      <c r="L30" s="55">
        <v>26.34</v>
      </c>
      <c r="M30" s="55">
        <v>95.81</v>
      </c>
      <c r="N30" s="55">
        <v>0</v>
      </c>
      <c r="O30" s="55">
        <v>0</v>
      </c>
      <c r="P30" s="55">
        <v>0.47</v>
      </c>
      <c r="Q30" s="55">
        <v>5.54</v>
      </c>
    </row>
    <row r="31" spans="1:17" customFormat="1">
      <c r="A31" s="50" t="s">
        <v>130</v>
      </c>
      <c r="B31" s="55">
        <v>12.23</v>
      </c>
      <c r="C31" s="55">
        <v>19.18</v>
      </c>
      <c r="D31" s="55">
        <v>21.18</v>
      </c>
      <c r="E31" s="55">
        <v>8.8800000000000008</v>
      </c>
      <c r="F31" s="55">
        <v>5.46</v>
      </c>
      <c r="G31" s="55">
        <v>17.52</v>
      </c>
      <c r="H31" s="55">
        <v>6.93</v>
      </c>
      <c r="I31" s="55">
        <v>4.3099999999999996</v>
      </c>
      <c r="J31" s="55">
        <v>0.11</v>
      </c>
      <c r="K31" s="55">
        <v>219.6</v>
      </c>
      <c r="L31" s="55">
        <v>25.97</v>
      </c>
      <c r="M31" s="55">
        <v>93.97</v>
      </c>
      <c r="N31" s="55">
        <v>0</v>
      </c>
      <c r="O31" s="55">
        <v>0</v>
      </c>
      <c r="P31" s="55">
        <v>0.46</v>
      </c>
      <c r="Q31" s="55">
        <v>5.52</v>
      </c>
    </row>
    <row r="32" spans="1:17" customFormat="1">
      <c r="A32" s="50" t="s">
        <v>131</v>
      </c>
      <c r="B32" s="55">
        <v>12.77</v>
      </c>
      <c r="C32" s="55">
        <v>19.350000000000001</v>
      </c>
      <c r="D32" s="55">
        <v>21.64</v>
      </c>
      <c r="E32" s="55">
        <v>8.9600000000000009</v>
      </c>
      <c r="F32" s="55">
        <v>5.45</v>
      </c>
      <c r="G32" s="55">
        <v>15.87</v>
      </c>
      <c r="H32" s="55">
        <v>5.59</v>
      </c>
      <c r="I32" s="55">
        <v>4.25</v>
      </c>
      <c r="J32" s="55">
        <v>0.11</v>
      </c>
      <c r="K32" s="55">
        <v>248.13</v>
      </c>
      <c r="L32" s="55">
        <v>25.54</v>
      </c>
      <c r="M32" s="55">
        <v>94.21</v>
      </c>
      <c r="N32" s="55">
        <v>0</v>
      </c>
      <c r="O32" s="55">
        <v>0</v>
      </c>
      <c r="P32" s="55">
        <v>0.46</v>
      </c>
      <c r="Q32" s="55">
        <v>5.54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8.36</v>
      </c>
      <c r="C34" s="40">
        <f t="shared" si="0"/>
        <v>14.26</v>
      </c>
      <c r="D34" s="40">
        <f t="shared" si="0"/>
        <v>15.5</v>
      </c>
      <c r="E34" s="40">
        <f t="shared" si="0"/>
        <v>6.51</v>
      </c>
      <c r="F34" s="40">
        <f t="shared" si="0"/>
        <v>4.17</v>
      </c>
      <c r="G34" s="40">
        <f t="shared" si="0"/>
        <v>5.7</v>
      </c>
      <c r="H34" s="40">
        <f t="shared" si="0"/>
        <v>2.85</v>
      </c>
      <c r="I34" s="40">
        <f t="shared" si="0"/>
        <v>2.64</v>
      </c>
      <c r="J34" s="40">
        <f t="shared" si="0"/>
        <v>0.11</v>
      </c>
      <c r="K34" s="40">
        <f t="shared" si="0"/>
        <v>210.34</v>
      </c>
      <c r="L34" s="40">
        <f t="shared" si="0"/>
        <v>25.03</v>
      </c>
      <c r="M34" s="40">
        <f t="shared" si="0"/>
        <v>73.42</v>
      </c>
      <c r="N34" s="40">
        <f t="shared" si="0"/>
        <v>0</v>
      </c>
      <c r="O34" s="40">
        <f t="shared" si="0"/>
        <v>0</v>
      </c>
      <c r="P34" s="40">
        <f t="shared" si="0"/>
        <v>0.32</v>
      </c>
      <c r="Q34" s="40">
        <f t="shared" si="0"/>
        <v>5.03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13.18</v>
      </c>
      <c r="C35" s="33">
        <f t="shared" si="1"/>
        <v>19.5</v>
      </c>
      <c r="D35" s="33">
        <f t="shared" si="1"/>
        <v>21.76</v>
      </c>
      <c r="E35" s="33">
        <f t="shared" si="1"/>
        <v>9.7799999999999994</v>
      </c>
      <c r="F35" s="33">
        <f t="shared" si="1"/>
        <v>9.7799999999999994</v>
      </c>
      <c r="G35" s="33">
        <f t="shared" si="1"/>
        <v>17.52</v>
      </c>
      <c r="H35" s="33">
        <f t="shared" si="1"/>
        <v>6.93</v>
      </c>
      <c r="I35" s="33">
        <f t="shared" si="1"/>
        <v>4.3099999999999996</v>
      </c>
      <c r="J35" s="33">
        <f t="shared" si="1"/>
        <v>0.82</v>
      </c>
      <c r="K35" s="33">
        <f t="shared" si="1"/>
        <v>337.6</v>
      </c>
      <c r="L35" s="33">
        <f t="shared" si="1"/>
        <v>30.75</v>
      </c>
      <c r="M35" s="33">
        <f t="shared" si="1"/>
        <v>95.81</v>
      </c>
      <c r="N35" s="33">
        <f t="shared" si="1"/>
        <v>690.4</v>
      </c>
      <c r="O35" s="33">
        <f t="shared" si="1"/>
        <v>0</v>
      </c>
      <c r="P35" s="33">
        <f t="shared" si="1"/>
        <v>0.47</v>
      </c>
      <c r="Q35" s="33">
        <f t="shared" si="1"/>
        <v>5.61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11.1775</v>
      </c>
      <c r="C36" s="40">
        <f t="shared" si="2"/>
        <v>17.846666666666668</v>
      </c>
      <c r="D36" s="40">
        <f t="shared" si="2"/>
        <v>19.577916666666667</v>
      </c>
      <c r="E36" s="40">
        <f t="shared" si="2"/>
        <v>8.5037499999999984</v>
      </c>
      <c r="F36" s="40">
        <f t="shared" si="2"/>
        <v>5.8112500000000002</v>
      </c>
      <c r="G36" s="40">
        <f t="shared" si="2"/>
        <v>11.322500000000003</v>
      </c>
      <c r="H36" s="40">
        <f t="shared" si="2"/>
        <v>4.7629166666666682</v>
      </c>
      <c r="I36" s="40">
        <f t="shared" si="2"/>
        <v>3.2570833333333336</v>
      </c>
      <c r="J36" s="40">
        <f t="shared" si="2"/>
        <v>0.35208333333333336</v>
      </c>
      <c r="K36" s="40">
        <f t="shared" si="2"/>
        <v>263.32875000000007</v>
      </c>
      <c r="L36" s="40">
        <f t="shared" si="2"/>
        <v>27.283333333333335</v>
      </c>
      <c r="M36" s="40">
        <f t="shared" si="2"/>
        <v>87.658749999999998</v>
      </c>
      <c r="N36" s="40">
        <f t="shared" si="2"/>
        <v>180.3666666666667</v>
      </c>
      <c r="O36" s="40">
        <f t="shared" si="2"/>
        <v>0</v>
      </c>
      <c r="P36" s="40">
        <f t="shared" si="2"/>
        <v>0.37166666666666665</v>
      </c>
      <c r="Q36" s="40">
        <f t="shared" si="2"/>
        <v>5.298750000000001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1.5719089751276794</v>
      </c>
      <c r="C37" s="40">
        <f t="shared" ref="C37:Q37" si="3">STDEV(C9:C32)</f>
        <v>1.3345823859647798</v>
      </c>
      <c r="D37" s="40">
        <f t="shared" si="3"/>
        <v>1.8657274584663595</v>
      </c>
      <c r="E37" s="40">
        <f t="shared" si="3"/>
        <v>1.0869815105823342</v>
      </c>
      <c r="F37" s="40">
        <f t="shared" si="3"/>
        <v>1.3801900073981614</v>
      </c>
      <c r="G37" s="40">
        <f t="shared" si="3"/>
        <v>3.3452916295827597</v>
      </c>
      <c r="H37" s="40">
        <f t="shared" si="3"/>
        <v>1.0601619202279624</v>
      </c>
      <c r="I37" s="40">
        <f t="shared" si="3"/>
        <v>0.48838223774511641</v>
      </c>
      <c r="J37" s="40">
        <f t="shared" si="3"/>
        <v>0.24388128200037182</v>
      </c>
      <c r="K37" s="40">
        <f t="shared" si="3"/>
        <v>32.913945678217871</v>
      </c>
      <c r="L37" s="40">
        <f t="shared" si="3"/>
        <v>2.0364689531395412</v>
      </c>
      <c r="M37" s="40">
        <f t="shared" si="3"/>
        <v>7.9723256726274903</v>
      </c>
      <c r="N37" s="40">
        <f t="shared" si="3"/>
        <v>255.91950104377105</v>
      </c>
      <c r="O37" s="40">
        <f t="shared" si="3"/>
        <v>0</v>
      </c>
      <c r="P37" s="40">
        <f t="shared" si="3"/>
        <v>4.1248627557317417E-2</v>
      </c>
      <c r="Q37" s="40">
        <f t="shared" si="3"/>
        <v>0.17974166244189005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132</v>
      </c>
      <c r="B9" s="55">
        <v>13.5</v>
      </c>
      <c r="C9" s="55">
        <v>20.07</v>
      </c>
      <c r="D9" s="55">
        <v>22.67</v>
      </c>
      <c r="E9" s="55">
        <v>8.86</v>
      </c>
      <c r="F9" s="55">
        <v>5.56</v>
      </c>
      <c r="G9" s="55">
        <v>15.75</v>
      </c>
      <c r="H9" s="55">
        <v>4.71</v>
      </c>
      <c r="I9" s="55">
        <v>4.16</v>
      </c>
      <c r="J9" s="55">
        <v>0.15</v>
      </c>
      <c r="K9" s="55">
        <v>253.63</v>
      </c>
      <c r="L9" s="55">
        <v>25.14</v>
      </c>
      <c r="M9" s="55">
        <v>95.53</v>
      </c>
      <c r="N9" s="55">
        <v>0</v>
      </c>
      <c r="O9" s="55">
        <v>0</v>
      </c>
      <c r="P9" s="55">
        <v>0.45</v>
      </c>
      <c r="Q9" s="55">
        <v>5.52</v>
      </c>
    </row>
    <row r="10" spans="1:21" customFormat="1">
      <c r="A10" s="50" t="s">
        <v>133</v>
      </c>
      <c r="B10" s="55">
        <v>13.83</v>
      </c>
      <c r="C10" s="55">
        <v>19.61</v>
      </c>
      <c r="D10" s="55">
        <v>22.58</v>
      </c>
      <c r="E10" s="55">
        <v>9.01</v>
      </c>
      <c r="F10" s="55">
        <v>5.07</v>
      </c>
      <c r="G10" s="55">
        <v>15.75</v>
      </c>
      <c r="H10" s="55">
        <v>4.71</v>
      </c>
      <c r="I10" s="55">
        <v>4.18</v>
      </c>
      <c r="J10" s="55">
        <v>0.13</v>
      </c>
      <c r="K10" s="55">
        <v>208.92</v>
      </c>
      <c r="L10" s="55">
        <v>24.93</v>
      </c>
      <c r="M10" s="55">
        <v>96.04</v>
      </c>
      <c r="N10" s="55">
        <v>0</v>
      </c>
      <c r="O10" s="55">
        <v>0</v>
      </c>
      <c r="P10" s="55">
        <v>0.45</v>
      </c>
      <c r="Q10" s="55">
        <v>5.5</v>
      </c>
    </row>
    <row r="11" spans="1:21" customFormat="1">
      <c r="A11" s="50" t="s">
        <v>134</v>
      </c>
      <c r="B11" s="55">
        <v>14.29</v>
      </c>
      <c r="C11" s="55">
        <v>19.71</v>
      </c>
      <c r="D11" s="55">
        <v>22.94</v>
      </c>
      <c r="E11" s="55">
        <v>8.08</v>
      </c>
      <c r="F11" s="55">
        <v>4.6399999999999997</v>
      </c>
      <c r="G11" s="55">
        <v>15.57</v>
      </c>
      <c r="H11" s="55">
        <v>3.59</v>
      </c>
      <c r="I11" s="55">
        <v>4.07</v>
      </c>
      <c r="J11" s="55">
        <v>0.18</v>
      </c>
      <c r="K11" s="55">
        <v>236.83</v>
      </c>
      <c r="L11" s="55">
        <v>24.79</v>
      </c>
      <c r="M11" s="55">
        <v>97.1</v>
      </c>
      <c r="N11" s="55">
        <v>0</v>
      </c>
      <c r="O11" s="55">
        <v>0</v>
      </c>
      <c r="P11" s="55">
        <v>0.45</v>
      </c>
      <c r="Q11" s="55">
        <v>5.49</v>
      </c>
    </row>
    <row r="12" spans="1:21" customFormat="1">
      <c r="A12" s="50" t="s">
        <v>135</v>
      </c>
      <c r="B12" s="55">
        <v>14.93</v>
      </c>
      <c r="C12" s="55">
        <v>19.899999999999999</v>
      </c>
      <c r="D12" s="55">
        <v>23.72</v>
      </c>
      <c r="E12" s="55">
        <v>8.2200000000000006</v>
      </c>
      <c r="F12" s="55">
        <v>4.8</v>
      </c>
      <c r="G12" s="55">
        <v>11.26</v>
      </c>
      <c r="H12" s="55">
        <v>2.68</v>
      </c>
      <c r="I12" s="55">
        <v>4.0199999999999996</v>
      </c>
      <c r="J12" s="55">
        <v>0.11</v>
      </c>
      <c r="K12" s="55">
        <v>224.55</v>
      </c>
      <c r="L12" s="55">
        <v>24.55</v>
      </c>
      <c r="M12" s="55">
        <v>98.14</v>
      </c>
      <c r="N12" s="55">
        <v>0</v>
      </c>
      <c r="O12" s="55">
        <v>0</v>
      </c>
      <c r="P12" s="55">
        <v>0.44</v>
      </c>
      <c r="Q12" s="55">
        <v>5.53</v>
      </c>
    </row>
    <row r="13" spans="1:21" customFormat="1">
      <c r="A13" s="50" t="s">
        <v>136</v>
      </c>
      <c r="B13" s="55">
        <v>15.52</v>
      </c>
      <c r="C13" s="55">
        <v>20.27</v>
      </c>
      <c r="D13" s="55">
        <v>24.16</v>
      </c>
      <c r="E13" s="55">
        <v>8.2899999999999991</v>
      </c>
      <c r="F13" s="55">
        <v>4.72</v>
      </c>
      <c r="G13" s="55">
        <v>11.26</v>
      </c>
      <c r="H13" s="55">
        <v>5.03</v>
      </c>
      <c r="I13" s="55">
        <v>3.98</v>
      </c>
      <c r="J13" s="55">
        <v>0.08</v>
      </c>
      <c r="K13" s="55">
        <v>211.99</v>
      </c>
      <c r="L13" s="55">
        <v>24.39</v>
      </c>
      <c r="M13" s="55">
        <v>98.3</v>
      </c>
      <c r="N13" s="55">
        <v>0</v>
      </c>
      <c r="O13" s="55">
        <v>0</v>
      </c>
      <c r="P13" s="55">
        <v>0.45</v>
      </c>
      <c r="Q13" s="55">
        <v>5.55</v>
      </c>
    </row>
    <row r="14" spans="1:21" customFormat="1">
      <c r="A14" s="50" t="s">
        <v>137</v>
      </c>
      <c r="B14" s="55">
        <v>15.98</v>
      </c>
      <c r="C14" s="55">
        <v>20.56</v>
      </c>
      <c r="D14" s="55">
        <v>24.81</v>
      </c>
      <c r="E14" s="55">
        <v>8.73</v>
      </c>
      <c r="F14" s="55">
        <v>4.5</v>
      </c>
      <c r="G14" s="55">
        <v>10.08</v>
      </c>
      <c r="H14" s="55">
        <v>5.03</v>
      </c>
      <c r="I14" s="55">
        <v>3.9</v>
      </c>
      <c r="J14" s="55">
        <v>7.0000000000000007E-2</v>
      </c>
      <c r="K14" s="55">
        <v>277.08</v>
      </c>
      <c r="L14" s="55">
        <v>24.25</v>
      </c>
      <c r="M14" s="55">
        <v>98.6</v>
      </c>
      <c r="N14" s="55">
        <v>0.2</v>
      </c>
      <c r="O14" s="55">
        <v>0</v>
      </c>
      <c r="P14" s="55">
        <v>0.44</v>
      </c>
      <c r="Q14" s="55">
        <v>5.59</v>
      </c>
    </row>
    <row r="15" spans="1:21" customFormat="1">
      <c r="A15" s="50" t="s">
        <v>138</v>
      </c>
      <c r="B15" s="55">
        <v>16.41</v>
      </c>
      <c r="C15" s="55">
        <v>20.14</v>
      </c>
      <c r="D15" s="55">
        <v>24.94</v>
      </c>
      <c r="E15" s="55">
        <v>8.43</v>
      </c>
      <c r="F15" s="55">
        <v>4.53</v>
      </c>
      <c r="G15" s="55">
        <v>11.99</v>
      </c>
      <c r="H15" s="55">
        <v>4.71</v>
      </c>
      <c r="I15" s="55">
        <v>3.87</v>
      </c>
      <c r="J15" s="55">
        <v>0.28999999999999998</v>
      </c>
      <c r="K15" s="55">
        <v>256.2</v>
      </c>
      <c r="L15" s="55">
        <v>25.08</v>
      </c>
      <c r="M15" s="55">
        <v>98.82</v>
      </c>
      <c r="N15" s="55">
        <v>33.1</v>
      </c>
      <c r="O15" s="55">
        <v>0</v>
      </c>
      <c r="P15" s="55">
        <v>0.45</v>
      </c>
      <c r="Q15" s="55">
        <v>5.62</v>
      </c>
    </row>
    <row r="16" spans="1:21" customFormat="1">
      <c r="A16" s="50" t="s">
        <v>139</v>
      </c>
      <c r="B16" s="55">
        <v>16.329999999999998</v>
      </c>
      <c r="C16" s="55">
        <v>20.54</v>
      </c>
      <c r="D16" s="55">
        <v>25.17</v>
      </c>
      <c r="E16" s="55">
        <v>8.39</v>
      </c>
      <c r="F16" s="55">
        <v>4.6900000000000004</v>
      </c>
      <c r="G16" s="55">
        <v>11.99</v>
      </c>
      <c r="H16" s="55">
        <v>3.51</v>
      </c>
      <c r="I16" s="55">
        <v>3.83</v>
      </c>
      <c r="J16" s="55">
        <v>0.33</v>
      </c>
      <c r="K16" s="55">
        <v>258.45999999999998</v>
      </c>
      <c r="L16" s="55">
        <v>27.31</v>
      </c>
      <c r="M16" s="55">
        <v>94.25</v>
      </c>
      <c r="N16" s="55">
        <v>238.2</v>
      </c>
      <c r="O16" s="55">
        <v>0</v>
      </c>
      <c r="P16" s="55">
        <v>0.44</v>
      </c>
      <c r="Q16" s="55">
        <v>5.62</v>
      </c>
    </row>
    <row r="17" spans="1:17" customFormat="1">
      <c r="A17" s="50" t="s">
        <v>140</v>
      </c>
      <c r="B17" s="55">
        <v>15.46</v>
      </c>
      <c r="C17" s="55">
        <v>20.63</v>
      </c>
      <c r="D17" s="55">
        <v>24.06</v>
      </c>
      <c r="E17" s="55">
        <v>7.77</v>
      </c>
      <c r="F17" s="55">
        <v>4.68</v>
      </c>
      <c r="G17" s="55">
        <v>10.5</v>
      </c>
      <c r="H17" s="55">
        <v>3.69</v>
      </c>
      <c r="I17" s="55">
        <v>3.71</v>
      </c>
      <c r="J17" s="55">
        <v>0.44</v>
      </c>
      <c r="K17" s="55">
        <v>262.39999999999998</v>
      </c>
      <c r="L17" s="55">
        <v>29.52</v>
      </c>
      <c r="M17" s="55">
        <v>81.53</v>
      </c>
      <c r="N17" s="55">
        <v>520.20000000000005</v>
      </c>
      <c r="O17" s="55">
        <v>0</v>
      </c>
      <c r="P17" s="55">
        <v>0.44</v>
      </c>
      <c r="Q17" s="55">
        <v>5.57</v>
      </c>
    </row>
    <row r="18" spans="1:17" customFormat="1">
      <c r="A18" s="50" t="s">
        <v>141</v>
      </c>
      <c r="B18" s="55">
        <v>14.48</v>
      </c>
      <c r="C18" s="55">
        <v>19.510000000000002</v>
      </c>
      <c r="D18" s="55">
        <v>23.16</v>
      </c>
      <c r="E18" s="55">
        <v>7.7</v>
      </c>
      <c r="F18" s="55">
        <v>4.9000000000000004</v>
      </c>
      <c r="G18" s="55">
        <v>14.76</v>
      </c>
      <c r="H18" s="55">
        <v>4.67</v>
      </c>
      <c r="I18" s="55">
        <v>3.75</v>
      </c>
      <c r="J18" s="55">
        <v>0.54</v>
      </c>
      <c r="K18" s="55">
        <v>274.26</v>
      </c>
      <c r="L18" s="55">
        <v>30.26</v>
      </c>
      <c r="M18" s="55">
        <v>74.42</v>
      </c>
      <c r="N18" s="55">
        <v>638.20000000000005</v>
      </c>
      <c r="O18" s="55">
        <v>0</v>
      </c>
      <c r="P18" s="55">
        <v>0.46</v>
      </c>
      <c r="Q18" s="55">
        <v>5.57</v>
      </c>
    </row>
    <row r="19" spans="1:17" customFormat="1">
      <c r="A19" s="50" t="s">
        <v>142</v>
      </c>
      <c r="B19" s="55">
        <v>12.92</v>
      </c>
      <c r="C19" s="55">
        <v>19.78</v>
      </c>
      <c r="D19" s="55">
        <v>21.97</v>
      </c>
      <c r="E19" s="55">
        <v>6.66</v>
      </c>
      <c r="F19" s="55">
        <v>5.36</v>
      </c>
      <c r="G19" s="55">
        <v>16.82</v>
      </c>
      <c r="H19" s="55">
        <v>5.66</v>
      </c>
      <c r="I19" s="55">
        <v>4.05</v>
      </c>
      <c r="J19" s="55">
        <v>0.72</v>
      </c>
      <c r="K19" s="55">
        <v>277.08</v>
      </c>
      <c r="L19" s="55">
        <v>31.5</v>
      </c>
      <c r="M19" s="55">
        <v>68.180000000000007</v>
      </c>
      <c r="N19" s="55">
        <v>815.7</v>
      </c>
      <c r="O19" s="55">
        <v>0</v>
      </c>
      <c r="P19" s="55">
        <v>0.49</v>
      </c>
      <c r="Q19" s="55">
        <v>5.52</v>
      </c>
    </row>
    <row r="20" spans="1:17" customFormat="1">
      <c r="A20" s="50" t="s">
        <v>143</v>
      </c>
      <c r="B20" s="55">
        <v>10.76</v>
      </c>
      <c r="C20" s="55">
        <v>20.43</v>
      </c>
      <c r="D20" s="55">
        <v>20.65</v>
      </c>
      <c r="E20" s="55">
        <v>6.07</v>
      </c>
      <c r="F20" s="55">
        <v>6.33</v>
      </c>
      <c r="G20" s="55">
        <v>16.82</v>
      </c>
      <c r="H20" s="55">
        <v>6.9</v>
      </c>
      <c r="I20" s="55">
        <v>4.33</v>
      </c>
      <c r="J20" s="55">
        <v>0.91</v>
      </c>
      <c r="K20" s="55">
        <v>272.29000000000002</v>
      </c>
      <c r="L20" s="55">
        <v>31.84</v>
      </c>
      <c r="M20" s="55">
        <v>63.63</v>
      </c>
      <c r="N20" s="55">
        <v>888.6</v>
      </c>
      <c r="O20" s="55">
        <v>0</v>
      </c>
      <c r="P20" s="55">
        <v>0.51</v>
      </c>
      <c r="Q20" s="55">
        <v>5.45</v>
      </c>
    </row>
    <row r="21" spans="1:17" customFormat="1">
      <c r="A21" s="50" t="s">
        <v>144</v>
      </c>
      <c r="B21" s="55">
        <v>9.1</v>
      </c>
      <c r="C21" s="55">
        <v>19.100000000000001</v>
      </c>
      <c r="D21" s="55">
        <v>18.63</v>
      </c>
      <c r="E21" s="55">
        <v>6.14</v>
      </c>
      <c r="F21" s="55">
        <v>6.7</v>
      </c>
      <c r="G21" s="55">
        <v>15.47</v>
      </c>
      <c r="H21" s="55">
        <v>7.29</v>
      </c>
      <c r="I21" s="55">
        <v>4.2</v>
      </c>
      <c r="J21" s="55">
        <v>0.77</v>
      </c>
      <c r="K21" s="55">
        <v>264.7</v>
      </c>
      <c r="L21" s="55">
        <v>32.450000000000003</v>
      </c>
      <c r="M21" s="55">
        <v>63.68</v>
      </c>
      <c r="N21" s="55">
        <v>886.1</v>
      </c>
      <c r="O21" s="55">
        <v>0</v>
      </c>
      <c r="P21" s="55">
        <v>0.49</v>
      </c>
      <c r="Q21" s="55">
        <v>5.36</v>
      </c>
    </row>
    <row r="22" spans="1:17" customFormat="1">
      <c r="A22" s="50" t="s">
        <v>145</v>
      </c>
      <c r="B22" s="55">
        <v>8.14</v>
      </c>
      <c r="C22" s="55">
        <v>18.45</v>
      </c>
      <c r="D22" s="55">
        <v>17.52</v>
      </c>
      <c r="E22" s="55">
        <v>5.91</v>
      </c>
      <c r="F22" s="55">
        <v>5.87</v>
      </c>
      <c r="G22" s="55">
        <v>14.79</v>
      </c>
      <c r="H22" s="55">
        <v>8.1999999999999993</v>
      </c>
      <c r="I22" s="55">
        <v>4.09</v>
      </c>
      <c r="J22" s="55">
        <v>0.61</v>
      </c>
      <c r="K22" s="55">
        <v>264.45</v>
      </c>
      <c r="L22" s="55">
        <v>32.92</v>
      </c>
      <c r="M22" s="55">
        <v>61.37</v>
      </c>
      <c r="N22" s="55">
        <v>827.6</v>
      </c>
      <c r="O22" s="55">
        <v>0</v>
      </c>
      <c r="P22" s="55">
        <v>0.46</v>
      </c>
      <c r="Q22" s="55">
        <v>5.27</v>
      </c>
    </row>
    <row r="23" spans="1:17" customFormat="1">
      <c r="A23" s="50" t="s">
        <v>146</v>
      </c>
      <c r="B23" s="55">
        <v>7.49</v>
      </c>
      <c r="C23" s="55">
        <v>17.98</v>
      </c>
      <c r="D23" s="55">
        <v>16.760000000000002</v>
      </c>
      <c r="E23" s="55">
        <v>5.92</v>
      </c>
      <c r="F23" s="55">
        <v>7.37</v>
      </c>
      <c r="G23" s="55">
        <v>14.16</v>
      </c>
      <c r="H23" s="55">
        <v>8.1999999999999993</v>
      </c>
      <c r="I23" s="55">
        <v>3.93</v>
      </c>
      <c r="J23" s="55">
        <v>0.51</v>
      </c>
      <c r="K23" s="55">
        <v>254.04</v>
      </c>
      <c r="L23" s="55">
        <v>32.54</v>
      </c>
      <c r="M23" s="55">
        <v>63.22</v>
      </c>
      <c r="N23" s="55">
        <v>707.5</v>
      </c>
      <c r="O23" s="55">
        <v>0</v>
      </c>
      <c r="P23" s="55">
        <v>0.35</v>
      </c>
      <c r="Q23" s="55">
        <v>5.18</v>
      </c>
    </row>
    <row r="24" spans="1:17" customFormat="1">
      <c r="A24" s="50" t="s">
        <v>147</v>
      </c>
      <c r="B24" s="55">
        <v>7.04</v>
      </c>
      <c r="C24" s="55">
        <v>16.940000000000001</v>
      </c>
      <c r="D24" s="55">
        <v>15.85</v>
      </c>
      <c r="E24" s="55">
        <v>5.59</v>
      </c>
      <c r="F24" s="55">
        <v>8.1999999999999993</v>
      </c>
      <c r="G24" s="55">
        <v>13.68</v>
      </c>
      <c r="H24" s="55">
        <v>6.13</v>
      </c>
      <c r="I24" s="55">
        <v>3.76</v>
      </c>
      <c r="J24" s="55">
        <v>0.54</v>
      </c>
      <c r="K24" s="55">
        <v>275.94</v>
      </c>
      <c r="L24" s="55">
        <v>31.79</v>
      </c>
      <c r="M24" s="55">
        <v>65.94</v>
      </c>
      <c r="N24" s="55">
        <v>410.8</v>
      </c>
      <c r="O24" s="55">
        <v>0</v>
      </c>
      <c r="P24" s="55">
        <v>0.33</v>
      </c>
      <c r="Q24" s="55">
        <v>5.12</v>
      </c>
    </row>
    <row r="25" spans="1:17" customFormat="1">
      <c r="A25" s="50" t="s">
        <v>148</v>
      </c>
      <c r="B25" s="55">
        <v>6.85</v>
      </c>
      <c r="C25" s="55">
        <v>17.27</v>
      </c>
      <c r="D25" s="55">
        <v>15.87</v>
      </c>
      <c r="E25" s="55">
        <v>6.12</v>
      </c>
      <c r="F25" s="55">
        <v>11.61</v>
      </c>
      <c r="G25" s="55">
        <v>12.35</v>
      </c>
      <c r="H25" s="55">
        <v>5.09</v>
      </c>
      <c r="I25" s="55">
        <v>3.5</v>
      </c>
      <c r="J25" s="55">
        <v>0.66</v>
      </c>
      <c r="K25" s="55">
        <v>280.10000000000002</v>
      </c>
      <c r="L25" s="55">
        <v>31.01</v>
      </c>
      <c r="M25" s="55">
        <v>69.56</v>
      </c>
      <c r="N25" s="55">
        <v>70.900000000000006</v>
      </c>
      <c r="O25" s="55">
        <v>0</v>
      </c>
      <c r="P25" s="55">
        <v>0.34</v>
      </c>
      <c r="Q25" s="55">
        <v>5.13</v>
      </c>
    </row>
    <row r="26" spans="1:17" customFormat="1">
      <c r="A26" s="50" t="s">
        <v>149</v>
      </c>
      <c r="B26" s="55">
        <v>6.6</v>
      </c>
      <c r="C26" s="55">
        <v>14.64</v>
      </c>
      <c r="D26" s="55">
        <v>14.29</v>
      </c>
      <c r="E26" s="55">
        <v>6.13</v>
      </c>
      <c r="F26" s="55">
        <v>13.4</v>
      </c>
      <c r="G26" s="55">
        <v>13.82</v>
      </c>
      <c r="H26" s="55">
        <v>7.59</v>
      </c>
      <c r="I26" s="55">
        <v>3.31</v>
      </c>
      <c r="J26" s="55">
        <v>0.15</v>
      </c>
      <c r="K26" s="55">
        <v>209.97</v>
      </c>
      <c r="L26" s="55">
        <v>29.9</v>
      </c>
      <c r="M26" s="55">
        <v>74.849999999999994</v>
      </c>
      <c r="N26" s="55">
        <v>22.7</v>
      </c>
      <c r="O26" s="55">
        <v>0</v>
      </c>
      <c r="P26" s="55">
        <v>0.32</v>
      </c>
      <c r="Q26" s="55">
        <v>5.09</v>
      </c>
    </row>
    <row r="27" spans="1:17" customFormat="1">
      <c r="A27" s="50" t="s">
        <v>150</v>
      </c>
      <c r="B27" s="55">
        <v>6.48</v>
      </c>
      <c r="C27" s="55">
        <v>12.78</v>
      </c>
      <c r="D27" s="55">
        <v>13.22</v>
      </c>
      <c r="E27" s="55">
        <v>7.48</v>
      </c>
      <c r="F27" s="55">
        <v>14.99</v>
      </c>
      <c r="G27" s="55">
        <v>13.82</v>
      </c>
      <c r="H27" s="55">
        <v>7.59</v>
      </c>
      <c r="I27" s="55">
        <v>2.84</v>
      </c>
      <c r="J27" s="55">
        <v>0.13</v>
      </c>
      <c r="K27" s="55">
        <v>230.27</v>
      </c>
      <c r="L27" s="55">
        <v>28.4</v>
      </c>
      <c r="M27" s="55">
        <v>78.28</v>
      </c>
      <c r="N27" s="55">
        <v>0</v>
      </c>
      <c r="O27" s="55">
        <v>0</v>
      </c>
      <c r="P27" s="55">
        <v>0.28999999999999998</v>
      </c>
      <c r="Q27" s="55">
        <v>5.08</v>
      </c>
    </row>
    <row r="28" spans="1:17" customFormat="1">
      <c r="A28" s="50" t="s">
        <v>151</v>
      </c>
      <c r="B28" s="55">
        <v>7.06</v>
      </c>
      <c r="C28" s="55">
        <v>15.75</v>
      </c>
      <c r="D28" s="55">
        <v>15.01</v>
      </c>
      <c r="E28" s="55">
        <v>8.14</v>
      </c>
      <c r="F28" s="55">
        <v>11.06</v>
      </c>
      <c r="G28" s="55">
        <v>13.41</v>
      </c>
      <c r="H28" s="55">
        <v>5.43</v>
      </c>
      <c r="I28" s="55">
        <v>3.22</v>
      </c>
      <c r="J28" s="55">
        <v>0.33</v>
      </c>
      <c r="K28" s="55">
        <v>261.42</v>
      </c>
      <c r="L28" s="55">
        <v>28.06</v>
      </c>
      <c r="M28" s="55">
        <v>79.22</v>
      </c>
      <c r="N28" s="55">
        <v>0</v>
      </c>
      <c r="O28" s="55">
        <v>0</v>
      </c>
      <c r="P28" s="55">
        <v>0.36</v>
      </c>
      <c r="Q28" s="55">
        <v>5.16</v>
      </c>
    </row>
    <row r="29" spans="1:17" customFormat="1">
      <c r="A29" s="50" t="s">
        <v>152</v>
      </c>
      <c r="B29" s="55">
        <v>8.32</v>
      </c>
      <c r="C29" s="55">
        <v>19.05</v>
      </c>
      <c r="D29" s="55">
        <v>17.850000000000001</v>
      </c>
      <c r="E29" s="55">
        <v>8.51</v>
      </c>
      <c r="F29" s="55">
        <v>10.86</v>
      </c>
      <c r="G29" s="55">
        <v>15.48</v>
      </c>
      <c r="H29" s="55">
        <v>4.37</v>
      </c>
      <c r="I29" s="55">
        <v>3.53</v>
      </c>
      <c r="J29" s="55">
        <v>0.31</v>
      </c>
      <c r="K29" s="55">
        <v>256.26</v>
      </c>
      <c r="L29" s="55">
        <v>27.92</v>
      </c>
      <c r="M29" s="55">
        <v>81.260000000000005</v>
      </c>
      <c r="N29" s="55">
        <v>0</v>
      </c>
      <c r="O29" s="55">
        <v>0</v>
      </c>
      <c r="P29" s="55">
        <v>0.41</v>
      </c>
      <c r="Q29" s="55">
        <v>5.13</v>
      </c>
    </row>
    <row r="30" spans="1:17" customFormat="1">
      <c r="A30" s="50" t="s">
        <v>153</v>
      </c>
      <c r="B30" s="55">
        <v>9.17</v>
      </c>
      <c r="C30" s="55">
        <v>18.940000000000001</v>
      </c>
      <c r="D30" s="55">
        <v>18.600000000000001</v>
      </c>
      <c r="E30" s="55">
        <v>8.11</v>
      </c>
      <c r="F30" s="55">
        <v>7.3</v>
      </c>
      <c r="G30" s="55">
        <v>16.64</v>
      </c>
      <c r="H30" s="55">
        <v>5.92</v>
      </c>
      <c r="I30" s="55">
        <v>3.98</v>
      </c>
      <c r="J30" s="55">
        <v>0.2</v>
      </c>
      <c r="K30" s="55">
        <v>235.35</v>
      </c>
      <c r="L30" s="55">
        <v>27.61</v>
      </c>
      <c r="M30" s="55">
        <v>87.23</v>
      </c>
      <c r="N30" s="55">
        <v>0</v>
      </c>
      <c r="O30" s="55">
        <v>0</v>
      </c>
      <c r="P30" s="55">
        <v>0.46</v>
      </c>
      <c r="Q30" s="55">
        <v>5.14</v>
      </c>
    </row>
    <row r="31" spans="1:17" customFormat="1">
      <c r="A31" s="50" t="s">
        <v>154</v>
      </c>
      <c r="B31" s="55">
        <v>11.98</v>
      </c>
      <c r="C31" s="55">
        <v>21.88</v>
      </c>
      <c r="D31" s="55">
        <v>22.39</v>
      </c>
      <c r="E31" s="55">
        <v>8.74</v>
      </c>
      <c r="F31" s="55">
        <v>4.4400000000000004</v>
      </c>
      <c r="G31" s="55">
        <v>22.22</v>
      </c>
      <c r="H31" s="55">
        <v>5.92</v>
      </c>
      <c r="I31" s="55">
        <v>4.59</v>
      </c>
      <c r="J31" s="55">
        <v>0.19</v>
      </c>
      <c r="K31" s="55">
        <v>235.06</v>
      </c>
      <c r="L31" s="55">
        <v>27.23</v>
      </c>
      <c r="M31" s="55">
        <v>85.69</v>
      </c>
      <c r="N31" s="55">
        <v>0</v>
      </c>
      <c r="O31" s="55">
        <v>0</v>
      </c>
      <c r="P31" s="55">
        <v>0.55000000000000004</v>
      </c>
      <c r="Q31" s="55">
        <v>5.2</v>
      </c>
    </row>
    <row r="32" spans="1:17" customFormat="1">
      <c r="A32" s="50" t="s">
        <v>155</v>
      </c>
      <c r="B32" s="55">
        <v>12.27</v>
      </c>
      <c r="C32" s="55">
        <v>20.93</v>
      </c>
      <c r="D32" s="55">
        <v>22.13</v>
      </c>
      <c r="E32" s="55">
        <v>8.57</v>
      </c>
      <c r="F32" s="55">
        <v>4.63</v>
      </c>
      <c r="G32" s="55">
        <v>26.44</v>
      </c>
      <c r="H32" s="55">
        <v>7.77</v>
      </c>
      <c r="I32" s="55">
        <v>4.4800000000000004</v>
      </c>
      <c r="J32" s="55">
        <v>0.19</v>
      </c>
      <c r="K32" s="55">
        <v>220.67</v>
      </c>
      <c r="L32" s="55">
        <v>26.77</v>
      </c>
      <c r="M32" s="55">
        <v>92.63</v>
      </c>
      <c r="N32" s="55">
        <v>0</v>
      </c>
      <c r="O32" s="55">
        <v>0</v>
      </c>
      <c r="P32" s="55">
        <v>0.53</v>
      </c>
      <c r="Q32" s="55">
        <v>5.36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6.48</v>
      </c>
      <c r="C34" s="40">
        <f t="shared" si="0"/>
        <v>12.78</v>
      </c>
      <c r="D34" s="40">
        <f t="shared" si="0"/>
        <v>13.22</v>
      </c>
      <c r="E34" s="40">
        <f t="shared" si="0"/>
        <v>5.59</v>
      </c>
      <c r="F34" s="40">
        <f t="shared" si="0"/>
        <v>4.4400000000000004</v>
      </c>
      <c r="G34" s="40">
        <f t="shared" si="0"/>
        <v>10.08</v>
      </c>
      <c r="H34" s="40">
        <f t="shared" si="0"/>
        <v>2.68</v>
      </c>
      <c r="I34" s="40">
        <f t="shared" si="0"/>
        <v>2.84</v>
      </c>
      <c r="J34" s="40">
        <f t="shared" si="0"/>
        <v>7.0000000000000007E-2</v>
      </c>
      <c r="K34" s="40">
        <f t="shared" si="0"/>
        <v>208.92</v>
      </c>
      <c r="L34" s="40">
        <f t="shared" si="0"/>
        <v>24.25</v>
      </c>
      <c r="M34" s="40">
        <f t="shared" si="0"/>
        <v>61.37</v>
      </c>
      <c r="N34" s="40">
        <f t="shared" si="0"/>
        <v>0</v>
      </c>
      <c r="O34" s="40">
        <f t="shared" si="0"/>
        <v>0</v>
      </c>
      <c r="P34" s="40">
        <f t="shared" si="0"/>
        <v>0.28999999999999998</v>
      </c>
      <c r="Q34" s="40">
        <f t="shared" si="0"/>
        <v>5.08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16.41</v>
      </c>
      <c r="C35" s="33">
        <f t="shared" si="1"/>
        <v>21.88</v>
      </c>
      <c r="D35" s="33">
        <f t="shared" si="1"/>
        <v>25.17</v>
      </c>
      <c r="E35" s="33">
        <f t="shared" si="1"/>
        <v>9.01</v>
      </c>
      <c r="F35" s="33">
        <f t="shared" si="1"/>
        <v>14.99</v>
      </c>
      <c r="G35" s="33">
        <f t="shared" si="1"/>
        <v>26.44</v>
      </c>
      <c r="H35" s="33">
        <f t="shared" si="1"/>
        <v>8.1999999999999993</v>
      </c>
      <c r="I35" s="33">
        <f t="shared" si="1"/>
        <v>4.59</v>
      </c>
      <c r="J35" s="33">
        <f t="shared" si="1"/>
        <v>0.91</v>
      </c>
      <c r="K35" s="33">
        <f t="shared" si="1"/>
        <v>280.10000000000002</v>
      </c>
      <c r="L35" s="33">
        <f t="shared" si="1"/>
        <v>32.92</v>
      </c>
      <c r="M35" s="33">
        <f t="shared" si="1"/>
        <v>98.82</v>
      </c>
      <c r="N35" s="33">
        <f t="shared" si="1"/>
        <v>888.6</v>
      </c>
      <c r="O35" s="33">
        <f t="shared" si="1"/>
        <v>0</v>
      </c>
      <c r="P35" s="33">
        <f t="shared" si="1"/>
        <v>0.55000000000000004</v>
      </c>
      <c r="Q35" s="33">
        <f t="shared" si="1"/>
        <v>5.62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11.45458333333333</v>
      </c>
      <c r="C36" s="40">
        <f t="shared" si="2"/>
        <v>18.952499999999997</v>
      </c>
      <c r="D36" s="40">
        <f t="shared" si="2"/>
        <v>20.372916666666669</v>
      </c>
      <c r="E36" s="40">
        <f t="shared" si="2"/>
        <v>7.5654166666666667</v>
      </c>
      <c r="F36" s="40">
        <f t="shared" si="2"/>
        <v>6.9254166666666661</v>
      </c>
      <c r="G36" s="40">
        <f t="shared" si="2"/>
        <v>14.784583333333332</v>
      </c>
      <c r="H36" s="40">
        <f t="shared" si="2"/>
        <v>5.5995833333333342</v>
      </c>
      <c r="I36" s="40">
        <f t="shared" si="2"/>
        <v>3.8866666666666672</v>
      </c>
      <c r="J36" s="40">
        <f t="shared" si="2"/>
        <v>0.35583333333333328</v>
      </c>
      <c r="K36" s="40">
        <f t="shared" si="2"/>
        <v>250.08000000000004</v>
      </c>
      <c r="L36" s="40">
        <f t="shared" si="2"/>
        <v>28.34</v>
      </c>
      <c r="M36" s="40">
        <f t="shared" si="2"/>
        <v>81.977916666666658</v>
      </c>
      <c r="N36" s="40">
        <f t="shared" si="2"/>
        <v>252.49166666666667</v>
      </c>
      <c r="O36" s="40">
        <f t="shared" si="2"/>
        <v>0</v>
      </c>
      <c r="P36" s="40">
        <f t="shared" si="2"/>
        <v>0.4316666666666667</v>
      </c>
      <c r="Q36" s="40">
        <f t="shared" si="2"/>
        <v>5.364583333333333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3.6094959050268929</v>
      </c>
      <c r="C37" s="40">
        <f t="shared" ref="C37:Q37" si="3">STDEV(C9:C32)</f>
        <v>2.1360289242464705</v>
      </c>
      <c r="D37" s="40">
        <f t="shared" si="3"/>
        <v>3.7785717098748526</v>
      </c>
      <c r="E37" s="40">
        <f t="shared" si="3"/>
        <v>1.1482954443592621</v>
      </c>
      <c r="F37" s="40">
        <f t="shared" si="3"/>
        <v>3.1244519229523409</v>
      </c>
      <c r="G37" s="40">
        <f t="shared" si="3"/>
        <v>3.6027815089801494</v>
      </c>
      <c r="H37" s="40">
        <f t="shared" si="3"/>
        <v>1.5805900911469353</v>
      </c>
      <c r="I37" s="40">
        <f t="shared" si="3"/>
        <v>0.39889703004623372</v>
      </c>
      <c r="J37" s="40">
        <f t="shared" si="3"/>
        <v>0.24583339474329877</v>
      </c>
      <c r="K37" s="40">
        <f t="shared" si="3"/>
        <v>23.089408262513462</v>
      </c>
      <c r="L37" s="40">
        <f t="shared" si="3"/>
        <v>2.9608312581318237</v>
      </c>
      <c r="M37" s="40">
        <f t="shared" si="3"/>
        <v>13.485611649382879</v>
      </c>
      <c r="N37" s="40">
        <f t="shared" si="3"/>
        <v>349.26130608404958</v>
      </c>
      <c r="O37" s="40">
        <f t="shared" si="3"/>
        <v>0</v>
      </c>
      <c r="P37" s="40">
        <f t="shared" si="3"/>
        <v>6.7416077728030474E-2</v>
      </c>
      <c r="Q37" s="40">
        <f t="shared" si="3"/>
        <v>0.19845006307943022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156</v>
      </c>
      <c r="B9" s="55">
        <v>12.71</v>
      </c>
      <c r="C9" s="55">
        <v>20.68</v>
      </c>
      <c r="D9" s="55">
        <v>22.35</v>
      </c>
      <c r="E9" s="55">
        <v>8.75</v>
      </c>
      <c r="F9" s="55">
        <v>5.1100000000000003</v>
      </c>
      <c r="G9" s="55">
        <v>28.13</v>
      </c>
      <c r="H9" s="55">
        <v>7.77</v>
      </c>
      <c r="I9" s="55">
        <v>4.72</v>
      </c>
      <c r="J9" s="55">
        <v>0.19</v>
      </c>
      <c r="K9" s="55">
        <v>228.39</v>
      </c>
      <c r="L9" s="55">
        <v>26.15</v>
      </c>
      <c r="M9" s="55">
        <v>94.61</v>
      </c>
      <c r="N9" s="55">
        <v>0</v>
      </c>
      <c r="O9" s="55">
        <v>0</v>
      </c>
      <c r="P9" s="55">
        <v>0.53</v>
      </c>
      <c r="Q9" s="55">
        <v>5.38</v>
      </c>
    </row>
    <row r="10" spans="1:21" customFormat="1">
      <c r="A10" s="50" t="s">
        <v>157</v>
      </c>
      <c r="B10" s="55">
        <v>13.59</v>
      </c>
      <c r="C10" s="55">
        <v>20.51</v>
      </c>
      <c r="D10" s="55">
        <v>22.92</v>
      </c>
      <c r="E10" s="55">
        <v>8.76</v>
      </c>
      <c r="F10" s="55">
        <v>4.54</v>
      </c>
      <c r="G10" s="55">
        <v>28.13</v>
      </c>
      <c r="H10" s="55">
        <v>6.76</v>
      </c>
      <c r="I10" s="55">
        <v>4.7699999999999996</v>
      </c>
      <c r="J10" s="55">
        <v>0.14000000000000001</v>
      </c>
      <c r="K10" s="55">
        <v>232.13</v>
      </c>
      <c r="L10" s="55">
        <v>25.73</v>
      </c>
      <c r="M10" s="55">
        <v>95.99</v>
      </c>
      <c r="N10" s="55">
        <v>0</v>
      </c>
      <c r="O10" s="55">
        <v>0</v>
      </c>
      <c r="P10" s="55">
        <v>0.54</v>
      </c>
      <c r="Q10" s="55">
        <v>5.39</v>
      </c>
    </row>
    <row r="11" spans="1:21" customFormat="1">
      <c r="A11" s="50" t="s">
        <v>158</v>
      </c>
      <c r="B11" s="55">
        <v>14.7</v>
      </c>
      <c r="C11" s="55">
        <v>20.93</v>
      </c>
      <c r="D11" s="55">
        <v>24.07</v>
      </c>
      <c r="E11" s="55">
        <v>7.08</v>
      </c>
      <c r="F11" s="55">
        <v>4.9000000000000004</v>
      </c>
      <c r="G11" s="55">
        <v>24.51</v>
      </c>
      <c r="H11" s="55">
        <v>5.78</v>
      </c>
      <c r="I11" s="55">
        <v>4.9000000000000004</v>
      </c>
      <c r="J11" s="55">
        <v>0.14000000000000001</v>
      </c>
      <c r="K11" s="55">
        <v>212.56</v>
      </c>
      <c r="L11" s="55">
        <v>25.73</v>
      </c>
      <c r="M11" s="55">
        <v>93.81</v>
      </c>
      <c r="N11" s="55">
        <v>0</v>
      </c>
      <c r="O11" s="55">
        <v>0</v>
      </c>
      <c r="P11" s="55">
        <v>0.54</v>
      </c>
      <c r="Q11" s="55">
        <v>5.46</v>
      </c>
    </row>
    <row r="12" spans="1:21" customFormat="1">
      <c r="A12" s="50" t="s">
        <v>159</v>
      </c>
      <c r="B12" s="55">
        <v>15.09</v>
      </c>
      <c r="C12" s="55">
        <v>20.34</v>
      </c>
      <c r="D12" s="55">
        <v>24.06</v>
      </c>
      <c r="E12" s="55">
        <v>7.28</v>
      </c>
      <c r="F12" s="55">
        <v>4.79</v>
      </c>
      <c r="G12" s="55">
        <v>24.26</v>
      </c>
      <c r="H12" s="55">
        <v>6.26</v>
      </c>
      <c r="I12" s="55">
        <v>4.95</v>
      </c>
      <c r="J12" s="55">
        <v>0.14000000000000001</v>
      </c>
      <c r="K12" s="55">
        <v>215.76</v>
      </c>
      <c r="L12" s="55">
        <v>25.44</v>
      </c>
      <c r="M12" s="55">
        <v>96.2</v>
      </c>
      <c r="N12" s="55">
        <v>0</v>
      </c>
      <c r="O12" s="55">
        <v>0</v>
      </c>
      <c r="P12" s="55">
        <v>0.53</v>
      </c>
      <c r="Q12" s="55">
        <v>5.52</v>
      </c>
    </row>
    <row r="13" spans="1:21" customFormat="1">
      <c r="A13" s="50" t="s">
        <v>160</v>
      </c>
      <c r="B13" s="55">
        <v>15.64</v>
      </c>
      <c r="C13" s="55">
        <v>21.04</v>
      </c>
      <c r="D13" s="55">
        <v>24.68</v>
      </c>
      <c r="E13" s="55">
        <v>7.05</v>
      </c>
      <c r="F13" s="55">
        <v>4.63</v>
      </c>
      <c r="G13" s="55">
        <v>21.91</v>
      </c>
      <c r="H13" s="55">
        <v>6.26</v>
      </c>
      <c r="I13" s="55">
        <v>4.97</v>
      </c>
      <c r="J13" s="55">
        <v>0.2</v>
      </c>
      <c r="K13" s="55">
        <v>255.05</v>
      </c>
      <c r="L13" s="55">
        <v>25.48</v>
      </c>
      <c r="M13" s="55">
        <v>97.39</v>
      </c>
      <c r="N13" s="55">
        <v>0</v>
      </c>
      <c r="O13" s="55">
        <v>0</v>
      </c>
      <c r="P13" s="55">
        <v>0.53</v>
      </c>
      <c r="Q13" s="55">
        <v>5.57</v>
      </c>
    </row>
    <row r="14" spans="1:21" customFormat="1">
      <c r="A14" s="50" t="s">
        <v>161</v>
      </c>
      <c r="B14" s="55">
        <v>15.86</v>
      </c>
      <c r="C14" s="55">
        <v>20.97</v>
      </c>
      <c r="D14" s="55">
        <v>25.03</v>
      </c>
      <c r="E14" s="55">
        <v>7.46</v>
      </c>
      <c r="F14" s="55">
        <v>4.6900000000000004</v>
      </c>
      <c r="G14" s="55">
        <v>21.44</v>
      </c>
      <c r="H14" s="55">
        <v>4.45</v>
      </c>
      <c r="I14" s="55">
        <v>5.01</v>
      </c>
      <c r="J14" s="55">
        <v>0.12</v>
      </c>
      <c r="K14" s="55">
        <v>247.31</v>
      </c>
      <c r="L14" s="55">
        <v>25.4</v>
      </c>
      <c r="M14" s="55">
        <v>95.88</v>
      </c>
      <c r="N14" s="55">
        <v>3.2</v>
      </c>
      <c r="O14" s="55">
        <v>0</v>
      </c>
      <c r="P14" s="55">
        <v>0.52</v>
      </c>
      <c r="Q14" s="55">
        <v>5.64</v>
      </c>
    </row>
    <row r="15" spans="1:21" customFormat="1">
      <c r="A15" s="50" t="s">
        <v>162</v>
      </c>
      <c r="B15" s="55">
        <v>16.75</v>
      </c>
      <c r="C15" s="55">
        <v>21.82</v>
      </c>
      <c r="D15" s="55">
        <v>25.84</v>
      </c>
      <c r="E15" s="55">
        <v>7.57</v>
      </c>
      <c r="F15" s="55">
        <v>4.88</v>
      </c>
      <c r="G15" s="55">
        <v>22.57</v>
      </c>
      <c r="H15" s="55">
        <v>7.18</v>
      </c>
      <c r="I15" s="55">
        <v>5.3</v>
      </c>
      <c r="J15" s="55">
        <v>0.37</v>
      </c>
      <c r="K15" s="55">
        <v>271.05</v>
      </c>
      <c r="L15" s="55">
        <v>26.55</v>
      </c>
      <c r="M15" s="55">
        <v>94.66</v>
      </c>
      <c r="N15" s="55">
        <v>52.1</v>
      </c>
      <c r="O15" s="55">
        <v>0</v>
      </c>
      <c r="P15" s="55">
        <v>0.55000000000000004</v>
      </c>
      <c r="Q15" s="55">
        <v>5.71</v>
      </c>
    </row>
    <row r="16" spans="1:21" customFormat="1">
      <c r="A16" s="50" t="s">
        <v>163</v>
      </c>
      <c r="B16" s="55">
        <v>17.440000000000001</v>
      </c>
      <c r="C16" s="55">
        <v>21.75</v>
      </c>
      <c r="D16" s="55">
        <v>26.36</v>
      </c>
      <c r="E16" s="55">
        <v>7.39</v>
      </c>
      <c r="F16" s="55">
        <v>5.07</v>
      </c>
      <c r="G16" s="55">
        <v>24.75</v>
      </c>
      <c r="H16" s="55">
        <v>7.18</v>
      </c>
      <c r="I16" s="55">
        <v>5.4</v>
      </c>
      <c r="J16" s="55">
        <v>0.41</v>
      </c>
      <c r="K16" s="55">
        <v>323.08</v>
      </c>
      <c r="L16" s="55">
        <v>28.67</v>
      </c>
      <c r="M16" s="55">
        <v>86.79</v>
      </c>
      <c r="N16" s="55">
        <v>217</v>
      </c>
      <c r="O16" s="55">
        <v>0</v>
      </c>
      <c r="P16" s="55">
        <v>0.53</v>
      </c>
      <c r="Q16" s="55">
        <v>5.72</v>
      </c>
    </row>
    <row r="17" spans="1:17" customFormat="1">
      <c r="A17" s="50" t="s">
        <v>164</v>
      </c>
      <c r="B17" s="55">
        <v>17.34</v>
      </c>
      <c r="C17" s="55">
        <v>22.91</v>
      </c>
      <c r="D17" s="55">
        <v>27.1</v>
      </c>
      <c r="E17" s="55">
        <v>7.78</v>
      </c>
      <c r="F17" s="55">
        <v>5.25</v>
      </c>
      <c r="G17" s="55">
        <v>25.2</v>
      </c>
      <c r="H17" s="55">
        <v>7.52</v>
      </c>
      <c r="I17" s="55">
        <v>5.29</v>
      </c>
      <c r="J17" s="55">
        <v>0.54</v>
      </c>
      <c r="K17" s="55">
        <v>311.60000000000002</v>
      </c>
      <c r="L17" s="55">
        <v>30.64</v>
      </c>
      <c r="M17" s="55">
        <v>74.73</v>
      </c>
      <c r="N17" s="55">
        <v>494.1</v>
      </c>
      <c r="O17" s="55">
        <v>0</v>
      </c>
      <c r="P17" s="55">
        <v>0.53</v>
      </c>
      <c r="Q17" s="55">
        <v>5.75</v>
      </c>
    </row>
    <row r="18" spans="1:17" customFormat="1">
      <c r="A18" s="50" t="s">
        <v>165</v>
      </c>
      <c r="B18" s="55">
        <v>16.940000000000001</v>
      </c>
      <c r="C18" s="55">
        <v>22.61</v>
      </c>
      <c r="D18" s="55">
        <v>26.75</v>
      </c>
      <c r="E18" s="55">
        <v>7.29</v>
      </c>
      <c r="F18" s="55">
        <v>5.85</v>
      </c>
      <c r="G18" s="55">
        <v>25.2</v>
      </c>
      <c r="H18" s="55">
        <v>8.4600000000000009</v>
      </c>
      <c r="I18" s="55">
        <v>5.2</v>
      </c>
      <c r="J18" s="55">
        <v>0.64</v>
      </c>
      <c r="K18" s="55">
        <v>323.52</v>
      </c>
      <c r="L18" s="55">
        <v>31.75</v>
      </c>
      <c r="M18" s="55">
        <v>68.84</v>
      </c>
      <c r="N18" s="55">
        <v>572.20000000000005</v>
      </c>
      <c r="O18" s="55">
        <v>0</v>
      </c>
      <c r="P18" s="55">
        <v>0.52</v>
      </c>
      <c r="Q18" s="55">
        <v>5.78</v>
      </c>
    </row>
    <row r="19" spans="1:17" customFormat="1">
      <c r="A19" s="50" t="s">
        <v>166</v>
      </c>
      <c r="B19" s="55">
        <v>14.77</v>
      </c>
      <c r="C19" s="55">
        <v>22.37</v>
      </c>
      <c r="D19" s="55">
        <v>24.88</v>
      </c>
      <c r="E19" s="55">
        <v>10.29</v>
      </c>
      <c r="F19" s="55">
        <v>6.63</v>
      </c>
      <c r="G19" s="55">
        <v>25.55</v>
      </c>
      <c r="H19" s="55">
        <v>8.6199999999999992</v>
      </c>
      <c r="I19" s="55">
        <v>4.9800000000000004</v>
      </c>
      <c r="J19" s="55">
        <v>0.54</v>
      </c>
      <c r="K19" s="55">
        <v>327.11</v>
      </c>
      <c r="L19" s="55">
        <v>32.5</v>
      </c>
      <c r="M19" s="55">
        <v>62.71</v>
      </c>
      <c r="N19" s="55">
        <v>797.8</v>
      </c>
      <c r="O19" s="55">
        <v>0</v>
      </c>
      <c r="P19" s="55">
        <v>0.51</v>
      </c>
      <c r="Q19" s="55">
        <v>5.7</v>
      </c>
    </row>
    <row r="20" spans="1:17" customFormat="1">
      <c r="A20" s="50" t="s">
        <v>167</v>
      </c>
      <c r="B20" s="55">
        <v>12.46</v>
      </c>
      <c r="C20" s="55">
        <v>22.72</v>
      </c>
      <c r="D20" s="55">
        <v>23.21</v>
      </c>
      <c r="E20" s="55">
        <v>11.4</v>
      </c>
      <c r="F20" s="55">
        <v>10.91</v>
      </c>
      <c r="G20" s="55">
        <v>25.55</v>
      </c>
      <c r="H20" s="55">
        <v>9.7100000000000009</v>
      </c>
      <c r="I20" s="55">
        <v>4.7699999999999996</v>
      </c>
      <c r="J20" s="55">
        <v>0.39</v>
      </c>
      <c r="K20" s="55">
        <v>358.75</v>
      </c>
      <c r="L20" s="55">
        <v>32.17</v>
      </c>
      <c r="M20" s="55">
        <v>65.25</v>
      </c>
      <c r="N20" s="55">
        <v>538.4</v>
      </c>
      <c r="O20" s="55">
        <v>0</v>
      </c>
      <c r="P20" s="55">
        <v>0.5</v>
      </c>
      <c r="Q20" s="55">
        <v>5.62</v>
      </c>
    </row>
    <row r="21" spans="1:17" customFormat="1">
      <c r="A21" s="50" t="s">
        <v>168</v>
      </c>
      <c r="B21" s="55">
        <v>10.7</v>
      </c>
      <c r="C21" s="55">
        <v>21.51</v>
      </c>
      <c r="D21" s="55">
        <v>20.59</v>
      </c>
      <c r="E21" s="55">
        <v>11.09</v>
      </c>
      <c r="F21" s="55">
        <v>11.59</v>
      </c>
      <c r="G21" s="55">
        <v>28.49</v>
      </c>
      <c r="H21" s="55">
        <v>9.7100000000000009</v>
      </c>
      <c r="I21" s="55">
        <v>4.4400000000000004</v>
      </c>
      <c r="J21" s="55">
        <v>0.31</v>
      </c>
      <c r="K21" s="55">
        <v>344.27</v>
      </c>
      <c r="L21" s="55">
        <v>32.200000000000003</v>
      </c>
      <c r="M21" s="55">
        <v>61.37</v>
      </c>
      <c r="N21" s="55">
        <v>700.1</v>
      </c>
      <c r="O21" s="55">
        <v>0</v>
      </c>
      <c r="P21" s="55">
        <v>0.45</v>
      </c>
      <c r="Q21" s="55">
        <v>6.01</v>
      </c>
    </row>
    <row r="22" spans="1:17" customFormat="1">
      <c r="A22" s="50" t="s">
        <v>169</v>
      </c>
      <c r="B22" s="55">
        <v>9.66</v>
      </c>
      <c r="C22" s="55">
        <v>21.31</v>
      </c>
      <c r="D22" s="55">
        <v>20.100000000000001</v>
      </c>
      <c r="E22" s="55">
        <v>10.1</v>
      </c>
      <c r="F22" s="55">
        <v>10</v>
      </c>
      <c r="G22" s="55">
        <v>28.49</v>
      </c>
      <c r="H22" s="55">
        <v>9.6999999999999993</v>
      </c>
      <c r="I22" s="55">
        <v>4.33</v>
      </c>
      <c r="J22" s="55">
        <v>0.44</v>
      </c>
      <c r="K22" s="55">
        <v>336.22</v>
      </c>
      <c r="L22" s="55">
        <v>33.090000000000003</v>
      </c>
      <c r="M22" s="55">
        <v>65.98</v>
      </c>
      <c r="N22" s="55">
        <v>735.1</v>
      </c>
      <c r="O22" s="55">
        <v>0</v>
      </c>
      <c r="P22" s="55">
        <v>0.45</v>
      </c>
      <c r="Q22" s="55">
        <v>6.05</v>
      </c>
    </row>
    <row r="23" spans="1:17" customFormat="1">
      <c r="A23" s="50" t="s">
        <v>170</v>
      </c>
      <c r="B23" s="55">
        <v>8.27</v>
      </c>
      <c r="C23" s="55">
        <v>19.5</v>
      </c>
      <c r="D23" s="55">
        <v>18.170000000000002</v>
      </c>
      <c r="E23" s="55">
        <v>7.74</v>
      </c>
      <c r="F23" s="55">
        <v>10.78</v>
      </c>
      <c r="G23" s="55">
        <v>26.69</v>
      </c>
      <c r="H23" s="55">
        <v>8.75</v>
      </c>
      <c r="I23" s="55">
        <v>4.3099999999999996</v>
      </c>
      <c r="J23" s="55">
        <v>0.5</v>
      </c>
      <c r="K23" s="55">
        <v>259.89999999999998</v>
      </c>
      <c r="L23" s="55">
        <v>32.44</v>
      </c>
      <c r="M23" s="55">
        <v>70.23</v>
      </c>
      <c r="N23" s="55">
        <v>507</v>
      </c>
      <c r="O23" s="55">
        <v>0</v>
      </c>
      <c r="P23" s="55">
        <v>0.48</v>
      </c>
      <c r="Q23" s="55">
        <v>5.6</v>
      </c>
    </row>
    <row r="24" spans="1:17" customFormat="1">
      <c r="A24" s="50" t="s">
        <v>171</v>
      </c>
      <c r="B24" s="55">
        <v>6.96</v>
      </c>
      <c r="C24" s="55">
        <v>17.96</v>
      </c>
      <c r="D24" s="55">
        <v>16.29</v>
      </c>
      <c r="E24" s="55">
        <v>9.1999999999999993</v>
      </c>
      <c r="F24" s="55">
        <v>12.15</v>
      </c>
      <c r="G24" s="55">
        <v>26.69</v>
      </c>
      <c r="H24" s="55">
        <v>8.75</v>
      </c>
      <c r="I24" s="55">
        <v>4.25</v>
      </c>
      <c r="J24" s="55">
        <v>0.31</v>
      </c>
      <c r="K24" s="55">
        <v>267.08</v>
      </c>
      <c r="L24" s="55">
        <v>30.18</v>
      </c>
      <c r="M24" s="55">
        <v>79.040000000000006</v>
      </c>
      <c r="N24" s="55">
        <v>102.2</v>
      </c>
      <c r="O24" s="55">
        <v>0</v>
      </c>
      <c r="P24" s="55">
        <v>0.52</v>
      </c>
      <c r="Q24" s="55">
        <v>5.27</v>
      </c>
    </row>
    <row r="25" spans="1:17" customFormat="1">
      <c r="A25" s="50" t="s">
        <v>172</v>
      </c>
      <c r="B25" s="55">
        <v>6.76</v>
      </c>
      <c r="C25" s="55">
        <v>17.87</v>
      </c>
      <c r="D25" s="55">
        <v>16.11</v>
      </c>
      <c r="E25" s="55">
        <v>7.74</v>
      </c>
      <c r="F25" s="55">
        <v>15.38</v>
      </c>
      <c r="G25" s="55">
        <v>24.94</v>
      </c>
      <c r="H25" s="55">
        <v>7.74</v>
      </c>
      <c r="I25" s="55">
        <v>4.03</v>
      </c>
      <c r="J25" s="55">
        <v>0.23</v>
      </c>
      <c r="K25" s="55">
        <v>163.46</v>
      </c>
      <c r="L25" s="55">
        <v>30.08</v>
      </c>
      <c r="M25" s="55">
        <v>78</v>
      </c>
      <c r="N25" s="55">
        <v>80</v>
      </c>
      <c r="O25" s="55">
        <v>0</v>
      </c>
      <c r="P25" s="55">
        <v>0.48</v>
      </c>
      <c r="Q25" s="55">
        <v>5.16</v>
      </c>
    </row>
    <row r="26" spans="1:17" customFormat="1">
      <c r="A26" s="50" t="s">
        <v>173</v>
      </c>
      <c r="B26" s="55">
        <v>8.44</v>
      </c>
      <c r="C26" s="55">
        <v>18.059999999999999</v>
      </c>
      <c r="D26" s="55">
        <v>17.309999999999999</v>
      </c>
      <c r="E26" s="55">
        <v>9.0500000000000007</v>
      </c>
      <c r="F26" s="55">
        <v>13.97</v>
      </c>
      <c r="G26" s="55">
        <v>24.43</v>
      </c>
      <c r="H26" s="55">
        <v>7.8</v>
      </c>
      <c r="I26" s="55">
        <v>3.61</v>
      </c>
      <c r="J26" s="55">
        <v>0.2</v>
      </c>
      <c r="K26" s="55">
        <v>177.75</v>
      </c>
      <c r="L26" s="55">
        <v>30.04</v>
      </c>
      <c r="M26" s="55">
        <v>83.96</v>
      </c>
      <c r="N26" s="55">
        <v>36</v>
      </c>
      <c r="O26" s="55">
        <v>0</v>
      </c>
      <c r="P26" s="55">
        <v>0.51</v>
      </c>
      <c r="Q26" s="55">
        <v>5.0999999999999996</v>
      </c>
    </row>
    <row r="27" spans="1:17" customFormat="1">
      <c r="A27" s="50" t="s">
        <v>174</v>
      </c>
      <c r="B27" s="55">
        <v>7</v>
      </c>
      <c r="C27" s="55">
        <v>16.73</v>
      </c>
      <c r="D27" s="55">
        <v>15.7</v>
      </c>
      <c r="E27" s="55">
        <v>8.5399999999999991</v>
      </c>
      <c r="F27" s="55">
        <v>14.27</v>
      </c>
      <c r="G27" s="55">
        <v>24.43</v>
      </c>
      <c r="H27" s="55">
        <v>7.8</v>
      </c>
      <c r="I27" s="55">
        <v>3.5</v>
      </c>
      <c r="J27" s="55">
        <v>0.15</v>
      </c>
      <c r="K27" s="55">
        <v>237.01</v>
      </c>
      <c r="L27" s="55">
        <v>28.58</v>
      </c>
      <c r="M27" s="55">
        <v>85.83</v>
      </c>
      <c r="N27" s="55">
        <v>0</v>
      </c>
      <c r="O27" s="55">
        <v>0</v>
      </c>
      <c r="P27" s="55">
        <v>0.49</v>
      </c>
      <c r="Q27" s="55">
        <v>5.16</v>
      </c>
    </row>
    <row r="28" spans="1:17" customFormat="1">
      <c r="A28" s="50" t="s">
        <v>175</v>
      </c>
      <c r="B28" s="55">
        <v>13.69</v>
      </c>
      <c r="C28" s="55">
        <v>23.4</v>
      </c>
      <c r="D28" s="55">
        <v>24.47</v>
      </c>
      <c r="E28" s="55">
        <v>8.5399999999999991</v>
      </c>
      <c r="F28" s="55">
        <v>5.96</v>
      </c>
      <c r="G28" s="55">
        <v>21.61</v>
      </c>
      <c r="H28" s="55">
        <v>7.53</v>
      </c>
      <c r="I28" s="55">
        <v>5.15</v>
      </c>
      <c r="J28" s="55">
        <v>0.23</v>
      </c>
      <c r="K28" s="55">
        <v>195.62</v>
      </c>
      <c r="L28" s="55">
        <v>28.48</v>
      </c>
      <c r="M28" s="55">
        <v>86.6</v>
      </c>
      <c r="N28" s="55">
        <v>0</v>
      </c>
      <c r="O28" s="55">
        <v>0</v>
      </c>
      <c r="P28" s="55">
        <v>0.69</v>
      </c>
      <c r="Q28" s="55">
        <v>5.28</v>
      </c>
    </row>
    <row r="29" spans="1:17" customFormat="1">
      <c r="A29" s="50" t="s">
        <v>176</v>
      </c>
      <c r="B29" s="55">
        <v>13.1</v>
      </c>
      <c r="C29" s="55">
        <v>24.77</v>
      </c>
      <c r="D29" s="55">
        <v>24.8</v>
      </c>
      <c r="E29" s="55">
        <v>8.0500000000000007</v>
      </c>
      <c r="F29" s="55">
        <v>6.72</v>
      </c>
      <c r="G29" s="55">
        <v>25.93</v>
      </c>
      <c r="H29" s="55">
        <v>7.35</v>
      </c>
      <c r="I29" s="55">
        <v>5.01</v>
      </c>
      <c r="J29" s="55">
        <v>0.39</v>
      </c>
      <c r="K29" s="55">
        <v>320.41000000000003</v>
      </c>
      <c r="L29" s="55">
        <v>28.77</v>
      </c>
      <c r="M29" s="55">
        <v>87.73</v>
      </c>
      <c r="N29" s="55">
        <v>0</v>
      </c>
      <c r="O29" s="55">
        <v>0</v>
      </c>
      <c r="P29" s="55">
        <v>0.65</v>
      </c>
      <c r="Q29" s="55">
        <v>5.35</v>
      </c>
    </row>
    <row r="30" spans="1:17" customFormat="1">
      <c r="A30" s="50" t="s">
        <v>177</v>
      </c>
      <c r="B30" s="55">
        <v>14.74</v>
      </c>
      <c r="C30" s="55">
        <v>24.56</v>
      </c>
      <c r="D30" s="55">
        <v>26</v>
      </c>
      <c r="E30" s="55">
        <v>8.65</v>
      </c>
      <c r="F30" s="55">
        <v>8.34</v>
      </c>
      <c r="G30" s="55">
        <v>27.33</v>
      </c>
      <c r="H30" s="55">
        <v>7.35</v>
      </c>
      <c r="I30" s="55">
        <v>5.28</v>
      </c>
      <c r="J30" s="55">
        <v>0.16</v>
      </c>
      <c r="K30" s="55">
        <v>274.35000000000002</v>
      </c>
      <c r="L30" s="55">
        <v>28.54</v>
      </c>
      <c r="M30" s="55">
        <v>83.89</v>
      </c>
      <c r="N30" s="55">
        <v>0</v>
      </c>
      <c r="O30" s="55">
        <v>0</v>
      </c>
      <c r="P30" s="55">
        <v>0.63</v>
      </c>
      <c r="Q30" s="55">
        <v>5.46</v>
      </c>
    </row>
    <row r="31" spans="1:17" customFormat="1">
      <c r="A31" s="50" t="s">
        <v>178</v>
      </c>
      <c r="B31" s="55">
        <v>14.76</v>
      </c>
      <c r="C31" s="55">
        <v>24.68</v>
      </c>
      <c r="D31" s="55">
        <v>26.08</v>
      </c>
      <c r="E31" s="55">
        <v>11.13</v>
      </c>
      <c r="F31" s="55">
        <v>6.99</v>
      </c>
      <c r="G31" s="55">
        <v>32.15</v>
      </c>
      <c r="H31" s="55">
        <v>11</v>
      </c>
      <c r="I31" s="55">
        <v>5.55</v>
      </c>
      <c r="J31" s="55">
        <v>0.32</v>
      </c>
      <c r="K31" s="55">
        <v>275.31</v>
      </c>
      <c r="L31" s="55">
        <v>27.95</v>
      </c>
      <c r="M31" s="55">
        <v>85.67</v>
      </c>
      <c r="N31" s="55">
        <v>0</v>
      </c>
      <c r="O31" s="55">
        <v>0</v>
      </c>
      <c r="P31" s="55">
        <v>0.66</v>
      </c>
      <c r="Q31" s="55">
        <v>5.63</v>
      </c>
    </row>
    <row r="32" spans="1:17" customFormat="1">
      <c r="A32" s="50" t="s">
        <v>179</v>
      </c>
      <c r="B32" s="55">
        <v>14.94</v>
      </c>
      <c r="C32" s="55">
        <v>23.68</v>
      </c>
      <c r="D32" s="55">
        <v>24.77</v>
      </c>
      <c r="E32" s="55">
        <v>8.84</v>
      </c>
      <c r="F32" s="55">
        <v>6.08</v>
      </c>
      <c r="G32" s="55">
        <v>40.94</v>
      </c>
      <c r="H32" s="55">
        <v>15.39</v>
      </c>
      <c r="I32" s="55">
        <v>5.32</v>
      </c>
      <c r="J32" s="55">
        <v>0.16</v>
      </c>
      <c r="K32" s="55">
        <v>326.72000000000003</v>
      </c>
      <c r="L32" s="55">
        <v>27.47</v>
      </c>
      <c r="M32" s="55">
        <v>91.98</v>
      </c>
      <c r="N32" s="55">
        <v>0</v>
      </c>
      <c r="O32" s="55">
        <v>0</v>
      </c>
      <c r="P32" s="55">
        <v>0.61</v>
      </c>
      <c r="Q32" s="55">
        <v>5.71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6.76</v>
      </c>
      <c r="C34" s="40">
        <f t="shared" si="0"/>
        <v>16.73</v>
      </c>
      <c r="D34" s="40">
        <f t="shared" si="0"/>
        <v>15.7</v>
      </c>
      <c r="E34" s="40">
        <f t="shared" si="0"/>
        <v>7.05</v>
      </c>
      <c r="F34" s="40">
        <f t="shared" si="0"/>
        <v>4.54</v>
      </c>
      <c r="G34" s="40">
        <f t="shared" si="0"/>
        <v>21.44</v>
      </c>
      <c r="H34" s="40">
        <f t="shared" si="0"/>
        <v>4.45</v>
      </c>
      <c r="I34" s="40">
        <f t="shared" si="0"/>
        <v>3.5</v>
      </c>
      <c r="J34" s="40">
        <f t="shared" si="0"/>
        <v>0.12</v>
      </c>
      <c r="K34" s="40">
        <f t="shared" si="0"/>
        <v>163.46</v>
      </c>
      <c r="L34" s="40">
        <f t="shared" si="0"/>
        <v>25.4</v>
      </c>
      <c r="M34" s="40">
        <f t="shared" si="0"/>
        <v>61.37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5.0999999999999996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17.440000000000001</v>
      </c>
      <c r="C35" s="33">
        <f t="shared" si="1"/>
        <v>24.77</v>
      </c>
      <c r="D35" s="33">
        <f t="shared" si="1"/>
        <v>27.1</v>
      </c>
      <c r="E35" s="33">
        <f t="shared" si="1"/>
        <v>11.4</v>
      </c>
      <c r="F35" s="33">
        <f t="shared" si="1"/>
        <v>15.38</v>
      </c>
      <c r="G35" s="33">
        <f t="shared" si="1"/>
        <v>40.94</v>
      </c>
      <c r="H35" s="33">
        <f t="shared" si="1"/>
        <v>15.39</v>
      </c>
      <c r="I35" s="33">
        <f t="shared" si="1"/>
        <v>5.55</v>
      </c>
      <c r="J35" s="33">
        <f t="shared" si="1"/>
        <v>0.64</v>
      </c>
      <c r="K35" s="33">
        <f t="shared" si="1"/>
        <v>358.75</v>
      </c>
      <c r="L35" s="33">
        <f t="shared" si="1"/>
        <v>33.090000000000003</v>
      </c>
      <c r="M35" s="33">
        <f t="shared" si="1"/>
        <v>97.39</v>
      </c>
      <c r="N35" s="33">
        <f t="shared" si="1"/>
        <v>797.8</v>
      </c>
      <c r="O35" s="33">
        <f t="shared" si="1"/>
        <v>0</v>
      </c>
      <c r="P35" s="33">
        <f t="shared" si="1"/>
        <v>0.69</v>
      </c>
      <c r="Q35" s="33">
        <f t="shared" si="1"/>
        <v>6.05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13.012916666666667</v>
      </c>
      <c r="C36" s="40">
        <f t="shared" si="2"/>
        <v>21.361666666666665</v>
      </c>
      <c r="D36" s="40">
        <f t="shared" si="2"/>
        <v>22.818333333333332</v>
      </c>
      <c r="E36" s="40">
        <f t="shared" si="2"/>
        <v>8.6154166666666665</v>
      </c>
      <c r="F36" s="40">
        <f t="shared" si="2"/>
        <v>7.8950000000000022</v>
      </c>
      <c r="G36" s="40">
        <f t="shared" si="2"/>
        <v>26.221666666666664</v>
      </c>
      <c r="H36" s="40">
        <f t="shared" si="2"/>
        <v>8.1175000000000015</v>
      </c>
      <c r="I36" s="40">
        <f t="shared" si="2"/>
        <v>4.793333333333333</v>
      </c>
      <c r="J36" s="40">
        <f t="shared" si="2"/>
        <v>0.3008333333333334</v>
      </c>
      <c r="K36" s="40">
        <f t="shared" si="2"/>
        <v>270.18375000000003</v>
      </c>
      <c r="L36" s="40">
        <f t="shared" si="2"/>
        <v>28.91791666666667</v>
      </c>
      <c r="M36" s="40">
        <f t="shared" si="2"/>
        <v>82.797499999999999</v>
      </c>
      <c r="N36" s="40">
        <f t="shared" si="2"/>
        <v>201.46666666666667</v>
      </c>
      <c r="O36" s="40">
        <f t="shared" si="2"/>
        <v>0</v>
      </c>
      <c r="P36" s="40">
        <f t="shared" si="2"/>
        <v>0.53958333333333341</v>
      </c>
      <c r="Q36" s="40">
        <f t="shared" si="2"/>
        <v>5.5424999999999995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3.4628556689613803</v>
      </c>
      <c r="C37" s="40">
        <f t="shared" ref="C37:Q37" si="3">STDEV(C9:C32)</f>
        <v>2.2052223917558971</v>
      </c>
      <c r="D37" s="40">
        <f t="shared" si="3"/>
        <v>3.6438413398699194</v>
      </c>
      <c r="E37" s="40">
        <f t="shared" si="3"/>
        <v>1.3297498266400576</v>
      </c>
      <c r="F37" s="40">
        <f t="shared" si="3"/>
        <v>3.5202198547941483</v>
      </c>
      <c r="G37" s="40">
        <f t="shared" si="3"/>
        <v>3.9954002538426558</v>
      </c>
      <c r="H37" s="40">
        <f t="shared" si="3"/>
        <v>2.1028474484147224</v>
      </c>
      <c r="I37" s="40">
        <f t="shared" si="3"/>
        <v>0.55077547438898355</v>
      </c>
      <c r="J37" s="40">
        <f t="shared" si="3"/>
        <v>0.15279758325731246</v>
      </c>
      <c r="K37" s="40">
        <f t="shared" si="3"/>
        <v>55.558313964189658</v>
      </c>
      <c r="L37" s="40">
        <f t="shared" si="3"/>
        <v>2.5760586328167827</v>
      </c>
      <c r="M37" s="40">
        <f t="shared" si="3"/>
        <v>11.807683662694503</v>
      </c>
      <c r="N37" s="40">
        <f t="shared" si="3"/>
        <v>285.84663973759666</v>
      </c>
      <c r="O37" s="40">
        <f t="shared" si="3"/>
        <v>0</v>
      </c>
      <c r="P37" s="40">
        <f t="shared" si="3"/>
        <v>6.3621104419337562E-2</v>
      </c>
      <c r="Q37" s="40">
        <f t="shared" si="3"/>
        <v>0.25088105617570827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180</v>
      </c>
      <c r="B9" s="55">
        <v>16.36</v>
      </c>
      <c r="C9" s="55">
        <v>24.18</v>
      </c>
      <c r="D9" s="55">
        <v>26.9</v>
      </c>
      <c r="E9" s="55">
        <v>8.06</v>
      </c>
      <c r="F9" s="55">
        <v>5.13</v>
      </c>
      <c r="G9" s="55">
        <v>40.94</v>
      </c>
      <c r="H9" s="55">
        <v>15.39</v>
      </c>
      <c r="I9" s="55">
        <v>5.09</v>
      </c>
      <c r="J9" s="55">
        <v>0.16</v>
      </c>
      <c r="K9" s="55">
        <v>249.34</v>
      </c>
      <c r="L9" s="55">
        <v>26.76</v>
      </c>
      <c r="M9" s="55">
        <v>92.78</v>
      </c>
      <c r="N9" s="55">
        <v>0</v>
      </c>
      <c r="O9" s="55">
        <v>0</v>
      </c>
      <c r="P9" s="55">
        <v>0.6</v>
      </c>
      <c r="Q9" s="55">
        <v>5.74</v>
      </c>
    </row>
    <row r="10" spans="1:21" customFormat="1">
      <c r="A10" s="50" t="s">
        <v>181</v>
      </c>
      <c r="B10" s="55">
        <v>17.559999999999999</v>
      </c>
      <c r="C10" s="55">
        <v>23.2</v>
      </c>
      <c r="D10" s="55">
        <v>27.47</v>
      </c>
      <c r="E10" s="55">
        <v>7.96</v>
      </c>
      <c r="F10" s="55">
        <v>5.72</v>
      </c>
      <c r="G10" s="55">
        <v>34.340000000000003</v>
      </c>
      <c r="H10" s="55">
        <v>11.26</v>
      </c>
      <c r="I10" s="55">
        <v>5.08</v>
      </c>
      <c r="J10" s="55">
        <v>0.55000000000000004</v>
      </c>
      <c r="K10" s="55">
        <v>48.92</v>
      </c>
      <c r="L10" s="55">
        <v>26.4</v>
      </c>
      <c r="M10" s="55">
        <v>93.12</v>
      </c>
      <c r="N10" s="55">
        <v>0</v>
      </c>
      <c r="O10" s="55">
        <v>0</v>
      </c>
      <c r="P10" s="55">
        <v>0.59</v>
      </c>
      <c r="Q10" s="55">
        <v>5.77</v>
      </c>
    </row>
    <row r="11" spans="1:21" customFormat="1">
      <c r="A11" s="50" t="s">
        <v>182</v>
      </c>
      <c r="B11" s="55">
        <v>18.66</v>
      </c>
      <c r="C11" s="55">
        <v>23.82</v>
      </c>
      <c r="D11" s="55">
        <v>28.76</v>
      </c>
      <c r="E11" s="55">
        <v>9.17</v>
      </c>
      <c r="F11" s="55">
        <v>5.15</v>
      </c>
      <c r="G11" s="55">
        <v>29.9</v>
      </c>
      <c r="H11" s="55">
        <v>8.51</v>
      </c>
      <c r="I11" s="55">
        <v>4.9800000000000004</v>
      </c>
      <c r="J11" s="55">
        <v>0.47</v>
      </c>
      <c r="K11" s="55">
        <v>54.42</v>
      </c>
      <c r="L11" s="55">
        <v>26.33</v>
      </c>
      <c r="M11" s="55">
        <v>95.96</v>
      </c>
      <c r="N11" s="55">
        <v>0</v>
      </c>
      <c r="O11" s="55">
        <v>0</v>
      </c>
      <c r="P11" s="55">
        <v>0.57999999999999996</v>
      </c>
      <c r="Q11" s="55">
        <v>5.81</v>
      </c>
    </row>
    <row r="12" spans="1:21" customFormat="1">
      <c r="A12" s="50" t="s">
        <v>183</v>
      </c>
      <c r="B12" s="55">
        <v>19.16</v>
      </c>
      <c r="C12" s="55">
        <v>22.91</v>
      </c>
      <c r="D12" s="55">
        <v>28.69</v>
      </c>
      <c r="E12" s="55">
        <v>9.0399999999999991</v>
      </c>
      <c r="F12" s="55">
        <v>5.48</v>
      </c>
      <c r="G12" s="55">
        <v>32.82</v>
      </c>
      <c r="H12" s="55">
        <v>8.51</v>
      </c>
      <c r="I12" s="55">
        <v>4.87</v>
      </c>
      <c r="J12" s="55">
        <v>0.52</v>
      </c>
      <c r="K12" s="55">
        <v>41.31</v>
      </c>
      <c r="L12" s="55">
        <v>25.96</v>
      </c>
      <c r="M12" s="55">
        <v>95.62</v>
      </c>
      <c r="N12" s="55">
        <v>0</v>
      </c>
      <c r="O12" s="55">
        <v>0</v>
      </c>
      <c r="P12" s="55">
        <v>0.56000000000000005</v>
      </c>
      <c r="Q12" s="55">
        <v>5.9</v>
      </c>
    </row>
    <row r="13" spans="1:21" customFormat="1">
      <c r="A13" s="50" t="s">
        <v>184</v>
      </c>
      <c r="B13" s="55">
        <v>19.7</v>
      </c>
      <c r="C13" s="55">
        <v>23.21</v>
      </c>
      <c r="D13" s="55">
        <v>29.28</v>
      </c>
      <c r="E13" s="55">
        <v>8.9499999999999993</v>
      </c>
      <c r="F13" s="55">
        <v>5.0999999999999996</v>
      </c>
      <c r="G13" s="55">
        <v>32.82</v>
      </c>
      <c r="H13" s="55">
        <v>10.029999999999999</v>
      </c>
      <c r="I13" s="55">
        <v>4.78</v>
      </c>
      <c r="J13" s="55">
        <v>0.16</v>
      </c>
      <c r="K13" s="55">
        <v>273.68</v>
      </c>
      <c r="L13" s="55">
        <v>26.08</v>
      </c>
      <c r="M13" s="55">
        <v>95.93</v>
      </c>
      <c r="N13" s="55">
        <v>0</v>
      </c>
      <c r="O13" s="55">
        <v>0</v>
      </c>
      <c r="P13" s="55">
        <v>0.55000000000000004</v>
      </c>
      <c r="Q13" s="55">
        <v>5.96</v>
      </c>
    </row>
    <row r="14" spans="1:21" customFormat="1">
      <c r="A14" s="50" t="s">
        <v>185</v>
      </c>
      <c r="B14" s="55">
        <v>20.010000000000002</v>
      </c>
      <c r="C14" s="55">
        <v>23.14</v>
      </c>
      <c r="D14" s="55">
        <v>29</v>
      </c>
      <c r="E14" s="55">
        <v>8.58</v>
      </c>
      <c r="F14" s="55">
        <v>5.01</v>
      </c>
      <c r="G14" s="55">
        <v>24.24</v>
      </c>
      <c r="H14" s="55">
        <v>10.029999999999999</v>
      </c>
      <c r="I14" s="55">
        <v>4.6500000000000004</v>
      </c>
      <c r="J14" s="55">
        <v>0.14000000000000001</v>
      </c>
      <c r="K14" s="55">
        <v>313.42</v>
      </c>
      <c r="L14" s="55">
        <v>26.08</v>
      </c>
      <c r="M14" s="55">
        <v>96.26</v>
      </c>
      <c r="N14" s="55">
        <v>1.2</v>
      </c>
      <c r="O14" s="55">
        <v>0</v>
      </c>
      <c r="P14" s="55">
        <v>0.54</v>
      </c>
      <c r="Q14" s="55">
        <v>5.99</v>
      </c>
    </row>
    <row r="15" spans="1:21" customFormat="1">
      <c r="A15" s="50" t="s">
        <v>186</v>
      </c>
      <c r="B15" s="55">
        <v>20.46</v>
      </c>
      <c r="C15" s="55">
        <v>22.72</v>
      </c>
      <c r="D15" s="55">
        <v>29.53</v>
      </c>
      <c r="E15" s="55">
        <v>9.18</v>
      </c>
      <c r="F15" s="55">
        <v>4.7699999999999996</v>
      </c>
      <c r="G15" s="55">
        <v>22.87</v>
      </c>
      <c r="H15" s="55">
        <v>7.16</v>
      </c>
      <c r="I15" s="55">
        <v>4.67</v>
      </c>
      <c r="J15" s="55">
        <v>0.15</v>
      </c>
      <c r="K15" s="55">
        <v>243.82</v>
      </c>
      <c r="L15" s="55">
        <v>27.09</v>
      </c>
      <c r="M15" s="55">
        <v>94.73</v>
      </c>
      <c r="N15" s="55">
        <v>63.9</v>
      </c>
      <c r="O15" s="55">
        <v>0</v>
      </c>
      <c r="P15" s="55">
        <v>0.52</v>
      </c>
      <c r="Q15" s="55">
        <v>6.01</v>
      </c>
    </row>
    <row r="16" spans="1:21" customFormat="1">
      <c r="A16" s="50" t="s">
        <v>187</v>
      </c>
      <c r="B16" s="55">
        <v>20.7</v>
      </c>
      <c r="C16" s="55">
        <v>23.49</v>
      </c>
      <c r="D16" s="55">
        <v>30.06</v>
      </c>
      <c r="E16" s="55">
        <v>10.54</v>
      </c>
      <c r="F16" s="55">
        <v>5</v>
      </c>
      <c r="G16" s="55">
        <v>25.25</v>
      </c>
      <c r="H16" s="55">
        <v>8.98</v>
      </c>
      <c r="I16" s="55">
        <v>4.8899999999999997</v>
      </c>
      <c r="J16" s="55">
        <v>0.3</v>
      </c>
      <c r="K16" s="55">
        <v>325.94</v>
      </c>
      <c r="L16" s="55">
        <v>29.17</v>
      </c>
      <c r="M16" s="55">
        <v>90.44</v>
      </c>
      <c r="N16" s="55">
        <v>184.4</v>
      </c>
      <c r="O16" s="55">
        <v>0</v>
      </c>
      <c r="P16" s="55">
        <v>0.56000000000000005</v>
      </c>
      <c r="Q16" s="55">
        <v>6.01</v>
      </c>
    </row>
    <row r="17" spans="1:17" customFormat="1">
      <c r="A17" s="50" t="s">
        <v>188</v>
      </c>
      <c r="B17" s="55">
        <v>20.73</v>
      </c>
      <c r="C17" s="55">
        <v>22.39</v>
      </c>
      <c r="D17" s="55">
        <v>29.55</v>
      </c>
      <c r="E17" s="55">
        <v>9.7899999999999991</v>
      </c>
      <c r="F17" s="55">
        <v>5.87</v>
      </c>
      <c r="G17" s="55">
        <v>39.32</v>
      </c>
      <c r="H17" s="55">
        <v>9.65</v>
      </c>
      <c r="I17" s="55">
        <v>5</v>
      </c>
      <c r="J17" s="55">
        <v>0.54</v>
      </c>
      <c r="K17" s="55">
        <v>309.11</v>
      </c>
      <c r="L17" s="55">
        <v>30.84</v>
      </c>
      <c r="M17" s="55">
        <v>74.599999999999994</v>
      </c>
      <c r="N17" s="55">
        <v>485.4</v>
      </c>
      <c r="O17" s="55">
        <v>0</v>
      </c>
      <c r="P17" s="55">
        <v>0.55000000000000004</v>
      </c>
      <c r="Q17" s="55">
        <v>6</v>
      </c>
    </row>
    <row r="18" spans="1:17" customFormat="1">
      <c r="A18" s="50" t="s">
        <v>189</v>
      </c>
      <c r="B18" s="55">
        <v>18.18</v>
      </c>
      <c r="C18" s="55">
        <v>22.43</v>
      </c>
      <c r="D18" s="55">
        <v>27.64</v>
      </c>
      <c r="E18" s="55">
        <v>9.3699999999999992</v>
      </c>
      <c r="F18" s="55">
        <v>6.73</v>
      </c>
      <c r="G18" s="55">
        <v>39.32</v>
      </c>
      <c r="H18" s="55">
        <v>13.22</v>
      </c>
      <c r="I18" s="55">
        <v>4.8899999999999997</v>
      </c>
      <c r="J18" s="55">
        <v>0.56999999999999995</v>
      </c>
      <c r="K18" s="55">
        <v>349.18</v>
      </c>
      <c r="L18" s="55">
        <v>31.42</v>
      </c>
      <c r="M18" s="55">
        <v>69.5</v>
      </c>
      <c r="N18" s="55">
        <v>569.79999999999995</v>
      </c>
      <c r="O18" s="55">
        <v>0</v>
      </c>
      <c r="P18" s="55">
        <v>0.54</v>
      </c>
      <c r="Q18" s="55">
        <v>5.87</v>
      </c>
    </row>
    <row r="19" spans="1:17" customFormat="1">
      <c r="A19" s="50" t="s">
        <v>190</v>
      </c>
      <c r="B19" s="55">
        <v>15.5</v>
      </c>
      <c r="C19" s="55">
        <v>21.88</v>
      </c>
      <c r="D19" s="55">
        <v>25.12</v>
      </c>
      <c r="E19" s="55">
        <v>10.89</v>
      </c>
      <c r="F19" s="55">
        <v>8.24</v>
      </c>
      <c r="G19" s="55">
        <v>34.54</v>
      </c>
      <c r="H19" s="55">
        <v>13.22</v>
      </c>
      <c r="I19" s="55">
        <v>4.63</v>
      </c>
      <c r="J19" s="55">
        <v>0.47</v>
      </c>
      <c r="K19" s="55">
        <v>358.07</v>
      </c>
      <c r="L19" s="55">
        <v>31.94</v>
      </c>
      <c r="M19" s="55">
        <v>67.099999999999994</v>
      </c>
      <c r="N19" s="55">
        <v>633.1</v>
      </c>
      <c r="O19" s="55">
        <v>0</v>
      </c>
      <c r="P19" s="55">
        <v>0.54</v>
      </c>
      <c r="Q19" s="55">
        <v>5.73</v>
      </c>
    </row>
    <row r="20" spans="1:17" customFormat="1">
      <c r="A20" s="50" t="s">
        <v>191</v>
      </c>
      <c r="B20" s="55">
        <v>13.28</v>
      </c>
      <c r="C20" s="55">
        <v>23.06</v>
      </c>
      <c r="D20" s="55">
        <v>24.05</v>
      </c>
      <c r="E20" s="55">
        <v>10.96</v>
      </c>
      <c r="F20" s="55">
        <v>8.4499999999999993</v>
      </c>
      <c r="G20" s="55">
        <v>34.54</v>
      </c>
      <c r="H20" s="55">
        <v>11.46</v>
      </c>
      <c r="I20" s="55">
        <v>4.4800000000000004</v>
      </c>
      <c r="J20" s="55">
        <v>0.51</v>
      </c>
      <c r="K20" s="55">
        <v>329.89</v>
      </c>
      <c r="L20" s="55">
        <v>32.43</v>
      </c>
      <c r="M20" s="55">
        <v>66.56</v>
      </c>
      <c r="N20" s="55">
        <v>687.1</v>
      </c>
      <c r="O20" s="55">
        <v>0</v>
      </c>
      <c r="P20" s="55">
        <v>0.54</v>
      </c>
      <c r="Q20" s="55">
        <v>5.66</v>
      </c>
    </row>
    <row r="21" spans="1:17" customFormat="1">
      <c r="A21" s="50" t="s">
        <v>192</v>
      </c>
      <c r="B21" s="55">
        <v>11.64</v>
      </c>
      <c r="C21" s="55">
        <v>22.08</v>
      </c>
      <c r="D21" s="55">
        <v>22.08</v>
      </c>
      <c r="E21" s="55">
        <v>11.28</v>
      </c>
      <c r="F21" s="55">
        <v>9.92</v>
      </c>
      <c r="G21" s="55">
        <v>36.17</v>
      </c>
      <c r="H21" s="55">
        <v>12.29</v>
      </c>
      <c r="I21" s="55">
        <v>4.4000000000000004</v>
      </c>
      <c r="J21" s="55">
        <v>0.61</v>
      </c>
      <c r="K21" s="55">
        <v>351.17</v>
      </c>
      <c r="L21" s="55">
        <v>32.29</v>
      </c>
      <c r="M21" s="55">
        <v>66.599999999999994</v>
      </c>
      <c r="N21" s="55">
        <v>612.6</v>
      </c>
      <c r="O21" s="55">
        <v>0</v>
      </c>
      <c r="P21" s="55">
        <v>0.53</v>
      </c>
      <c r="Q21" s="55">
        <v>5.6</v>
      </c>
    </row>
    <row r="22" spans="1:17" customFormat="1">
      <c r="A22" s="50" t="s">
        <v>193</v>
      </c>
      <c r="B22" s="55">
        <v>10.59</v>
      </c>
      <c r="C22" s="55">
        <v>21.51</v>
      </c>
      <c r="D22" s="55">
        <v>20.98</v>
      </c>
      <c r="E22" s="55">
        <v>11.12</v>
      </c>
      <c r="F22" s="55">
        <v>12.27</v>
      </c>
      <c r="G22" s="55">
        <v>36.17</v>
      </c>
      <c r="H22" s="55">
        <v>12.29</v>
      </c>
      <c r="I22" s="55">
        <v>4.2300000000000004</v>
      </c>
      <c r="J22" s="55">
        <v>0.65</v>
      </c>
      <c r="K22" s="55">
        <v>320</v>
      </c>
      <c r="L22" s="55">
        <v>32.01</v>
      </c>
      <c r="M22" s="55">
        <v>69.27</v>
      </c>
      <c r="N22" s="55">
        <v>580.1</v>
      </c>
      <c r="O22" s="55">
        <v>0</v>
      </c>
      <c r="P22" s="55">
        <v>0.52</v>
      </c>
      <c r="Q22" s="55">
        <v>5.53</v>
      </c>
    </row>
    <row r="23" spans="1:17" customFormat="1">
      <c r="A23" s="50" t="s">
        <v>194</v>
      </c>
      <c r="B23" s="55">
        <v>9.94</v>
      </c>
      <c r="C23" s="55">
        <v>22.17</v>
      </c>
      <c r="D23" s="55">
        <v>20.68</v>
      </c>
      <c r="E23" s="55">
        <v>12.1</v>
      </c>
      <c r="F23" s="55">
        <v>10.43</v>
      </c>
      <c r="G23" s="55">
        <v>34.06</v>
      </c>
      <c r="H23" s="55">
        <v>12.36</v>
      </c>
      <c r="I23" s="55">
        <v>4.05</v>
      </c>
      <c r="J23" s="55">
        <v>0.43</v>
      </c>
      <c r="K23" s="55">
        <v>341.73</v>
      </c>
      <c r="L23" s="55">
        <v>33.409999999999997</v>
      </c>
      <c r="M23" s="55">
        <v>62.66</v>
      </c>
      <c r="N23" s="55">
        <v>604.6</v>
      </c>
      <c r="O23" s="55">
        <v>0</v>
      </c>
      <c r="P23" s="55">
        <v>0.52</v>
      </c>
      <c r="Q23" s="55">
        <v>5.49</v>
      </c>
    </row>
    <row r="24" spans="1:17" customFormat="1">
      <c r="A24" s="50" t="s">
        <v>195</v>
      </c>
      <c r="B24" s="55">
        <v>9.43</v>
      </c>
      <c r="C24" s="55">
        <v>22.22</v>
      </c>
      <c r="D24" s="55">
        <v>20.21</v>
      </c>
      <c r="E24" s="55">
        <v>12.56</v>
      </c>
      <c r="F24" s="55">
        <v>10.36</v>
      </c>
      <c r="G24" s="55">
        <v>36.869999999999997</v>
      </c>
      <c r="H24" s="55">
        <v>14.92</v>
      </c>
      <c r="I24" s="55">
        <v>4.09</v>
      </c>
      <c r="J24" s="55">
        <v>0.4</v>
      </c>
      <c r="K24" s="55">
        <v>332.92</v>
      </c>
      <c r="L24" s="55">
        <v>32.97</v>
      </c>
      <c r="M24" s="55">
        <v>64.25</v>
      </c>
      <c r="N24" s="55">
        <v>389.9</v>
      </c>
      <c r="O24" s="55">
        <v>0</v>
      </c>
      <c r="P24" s="55">
        <v>0.51</v>
      </c>
      <c r="Q24" s="55">
        <v>5.37</v>
      </c>
    </row>
    <row r="25" spans="1:17" customFormat="1">
      <c r="A25" s="50" t="s">
        <v>196</v>
      </c>
      <c r="B25" s="55">
        <v>8.81</v>
      </c>
      <c r="C25" s="55">
        <v>21.18</v>
      </c>
      <c r="D25" s="55">
        <v>19.489999999999998</v>
      </c>
      <c r="E25" s="55">
        <v>10.4</v>
      </c>
      <c r="F25" s="55">
        <v>12.87</v>
      </c>
      <c r="G25" s="55">
        <v>38.119999999999997</v>
      </c>
      <c r="H25" s="55">
        <v>14.92</v>
      </c>
      <c r="I25" s="55">
        <v>3.89</v>
      </c>
      <c r="J25" s="55">
        <v>0.66</v>
      </c>
      <c r="K25" s="55">
        <v>299.86</v>
      </c>
      <c r="L25" s="55">
        <v>32.1</v>
      </c>
      <c r="M25" s="55">
        <v>63.68</v>
      </c>
      <c r="N25" s="55">
        <v>115.2</v>
      </c>
      <c r="O25" s="55">
        <v>0</v>
      </c>
      <c r="P25" s="55">
        <v>0.5</v>
      </c>
      <c r="Q25" s="55">
        <v>5.33</v>
      </c>
    </row>
    <row r="26" spans="1:17" customFormat="1">
      <c r="A26" s="50" t="s">
        <v>197</v>
      </c>
      <c r="B26" s="55">
        <v>8.77</v>
      </c>
      <c r="C26" s="55">
        <v>20.45</v>
      </c>
      <c r="D26" s="55">
        <v>19.07</v>
      </c>
      <c r="E26" s="55">
        <v>11.09</v>
      </c>
      <c r="F26" s="55">
        <v>12.72</v>
      </c>
      <c r="G26" s="55">
        <v>38.119999999999997</v>
      </c>
      <c r="H26" s="55">
        <v>12.75</v>
      </c>
      <c r="I26" s="55">
        <v>3.6</v>
      </c>
      <c r="J26" s="55">
        <v>0.4</v>
      </c>
      <c r="K26" s="55">
        <v>306.85000000000002</v>
      </c>
      <c r="L26" s="55">
        <v>31.46</v>
      </c>
      <c r="M26" s="55">
        <v>67.64</v>
      </c>
      <c r="N26" s="55">
        <v>24.6</v>
      </c>
      <c r="O26" s="55">
        <v>0</v>
      </c>
      <c r="P26" s="55">
        <v>0.51</v>
      </c>
      <c r="Q26" s="55">
        <v>5.31</v>
      </c>
    </row>
    <row r="27" spans="1:17" customFormat="1">
      <c r="A27" s="50" t="s">
        <v>198</v>
      </c>
      <c r="B27" s="55">
        <v>9.66</v>
      </c>
      <c r="C27" s="55">
        <v>21.05</v>
      </c>
      <c r="D27" s="55">
        <v>19.809999999999999</v>
      </c>
      <c r="E27" s="55">
        <v>12.12</v>
      </c>
      <c r="F27" s="55">
        <v>10.97</v>
      </c>
      <c r="G27" s="55">
        <v>33.18</v>
      </c>
      <c r="H27" s="55">
        <v>12.75</v>
      </c>
      <c r="I27" s="55">
        <v>3.67</v>
      </c>
      <c r="J27" s="55">
        <v>0.48</v>
      </c>
      <c r="K27" s="55">
        <v>321.81</v>
      </c>
      <c r="L27" s="55">
        <v>30.63</v>
      </c>
      <c r="M27" s="55">
        <v>71.83</v>
      </c>
      <c r="N27" s="55">
        <v>0</v>
      </c>
      <c r="O27" s="55">
        <v>0</v>
      </c>
      <c r="P27" s="55">
        <v>0.55000000000000004</v>
      </c>
      <c r="Q27" s="55">
        <v>5.41</v>
      </c>
    </row>
    <row r="28" spans="1:17" customFormat="1">
      <c r="A28" s="50" t="s">
        <v>199</v>
      </c>
      <c r="B28" s="55">
        <v>13.86</v>
      </c>
      <c r="C28" s="55">
        <v>26</v>
      </c>
      <c r="D28" s="55">
        <v>25.67</v>
      </c>
      <c r="E28" s="55">
        <v>17.260000000000002</v>
      </c>
      <c r="F28" s="55">
        <v>8.9600000000000009</v>
      </c>
      <c r="G28" s="55">
        <v>32.99</v>
      </c>
      <c r="H28" s="55">
        <v>10.91</v>
      </c>
      <c r="I28" s="55">
        <v>3.94</v>
      </c>
      <c r="J28" s="55">
        <v>0.28999999999999998</v>
      </c>
      <c r="K28" s="55">
        <v>312.47000000000003</v>
      </c>
      <c r="L28" s="55">
        <v>29.65</v>
      </c>
      <c r="M28" s="55">
        <v>75.819999999999993</v>
      </c>
      <c r="N28" s="55">
        <v>0</v>
      </c>
      <c r="O28" s="55">
        <v>0</v>
      </c>
      <c r="P28" s="55">
        <v>0.65</v>
      </c>
      <c r="Q28" s="55">
        <v>5.55</v>
      </c>
    </row>
    <row r="29" spans="1:17" customFormat="1">
      <c r="A29" s="50" t="s">
        <v>200</v>
      </c>
      <c r="B29" s="55">
        <v>13.26</v>
      </c>
      <c r="C29" s="55">
        <v>24.12</v>
      </c>
      <c r="D29" s="55">
        <v>24.59</v>
      </c>
      <c r="E29" s="55">
        <v>13.37</v>
      </c>
      <c r="F29" s="55">
        <v>6.56</v>
      </c>
      <c r="G29" s="55">
        <v>42.51</v>
      </c>
      <c r="H29" s="55">
        <v>13.09</v>
      </c>
      <c r="I29" s="55">
        <v>5.03</v>
      </c>
      <c r="J29" s="55">
        <v>0.19</v>
      </c>
      <c r="K29" s="55">
        <v>345.57</v>
      </c>
      <c r="L29" s="55">
        <v>28.76</v>
      </c>
      <c r="M29" s="55">
        <v>80.22</v>
      </c>
      <c r="N29" s="55">
        <v>0</v>
      </c>
      <c r="O29" s="55">
        <v>0</v>
      </c>
      <c r="P29" s="55">
        <v>0.69</v>
      </c>
      <c r="Q29" s="55">
        <v>5.59</v>
      </c>
    </row>
    <row r="30" spans="1:17" customFormat="1">
      <c r="A30" s="50" t="s">
        <v>201</v>
      </c>
      <c r="B30" s="55">
        <v>20.37</v>
      </c>
      <c r="C30" s="55">
        <v>23.02</v>
      </c>
      <c r="D30" s="55">
        <v>29.61</v>
      </c>
      <c r="E30" s="55">
        <v>11.05</v>
      </c>
      <c r="F30" s="55">
        <v>6.58</v>
      </c>
      <c r="G30" s="55">
        <v>44.07</v>
      </c>
      <c r="H30" s="55">
        <v>14.3</v>
      </c>
      <c r="I30" s="55">
        <v>5.34</v>
      </c>
      <c r="J30" s="55">
        <v>0.28000000000000003</v>
      </c>
      <c r="K30" s="55">
        <v>40.92</v>
      </c>
      <c r="L30" s="55">
        <v>28.4</v>
      </c>
      <c r="M30" s="55">
        <v>83.81</v>
      </c>
      <c r="N30" s="55">
        <v>0</v>
      </c>
      <c r="O30" s="55">
        <v>0</v>
      </c>
      <c r="P30" s="55">
        <v>0.64</v>
      </c>
      <c r="Q30" s="55">
        <v>5.63</v>
      </c>
    </row>
    <row r="31" spans="1:17" customFormat="1">
      <c r="A31" s="50" t="s">
        <v>202</v>
      </c>
      <c r="B31" s="55">
        <v>19.690000000000001</v>
      </c>
      <c r="C31" s="55">
        <v>23.97</v>
      </c>
      <c r="D31" s="55">
        <v>28.73</v>
      </c>
      <c r="E31" s="55">
        <v>10.67</v>
      </c>
      <c r="F31" s="55">
        <v>7.47</v>
      </c>
      <c r="G31" s="55">
        <v>47.72</v>
      </c>
      <c r="H31" s="55">
        <v>14.3</v>
      </c>
      <c r="I31" s="55">
        <v>4.68</v>
      </c>
      <c r="J31" s="55">
        <v>0.43</v>
      </c>
      <c r="K31" s="55">
        <v>37.619999999999997</v>
      </c>
      <c r="L31" s="55">
        <v>28.17</v>
      </c>
      <c r="M31" s="55">
        <v>85.17</v>
      </c>
      <c r="N31" s="55">
        <v>0</v>
      </c>
      <c r="O31" s="55">
        <v>0</v>
      </c>
      <c r="P31" s="55">
        <v>0.61</v>
      </c>
      <c r="Q31" s="55">
        <v>5.83</v>
      </c>
    </row>
    <row r="32" spans="1:17" customFormat="1">
      <c r="A32" s="50" t="s">
        <v>203</v>
      </c>
      <c r="B32" s="55">
        <v>16.47</v>
      </c>
      <c r="C32" s="55">
        <v>23.44</v>
      </c>
      <c r="D32" s="55">
        <v>26.62</v>
      </c>
      <c r="E32" s="55">
        <v>12.01</v>
      </c>
      <c r="F32" s="55">
        <v>7.77</v>
      </c>
      <c r="G32" s="55">
        <v>47.72</v>
      </c>
      <c r="H32" s="55">
        <v>12.76</v>
      </c>
      <c r="I32" s="55">
        <v>4.32</v>
      </c>
      <c r="J32" s="55">
        <v>0.34</v>
      </c>
      <c r="K32" s="55">
        <v>278.27999999999997</v>
      </c>
      <c r="L32" s="55">
        <v>27.72</v>
      </c>
      <c r="M32" s="55">
        <v>87.45</v>
      </c>
      <c r="N32" s="55">
        <v>0</v>
      </c>
      <c r="O32" s="55">
        <v>0</v>
      </c>
      <c r="P32" s="55">
        <v>0.59</v>
      </c>
      <c r="Q32" s="55">
        <v>5.8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8.77</v>
      </c>
      <c r="C34" s="40">
        <f t="shared" si="0"/>
        <v>20.45</v>
      </c>
      <c r="D34" s="40">
        <f t="shared" si="0"/>
        <v>19.07</v>
      </c>
      <c r="E34" s="40">
        <f t="shared" si="0"/>
        <v>7.96</v>
      </c>
      <c r="F34" s="40">
        <f t="shared" si="0"/>
        <v>4.7699999999999996</v>
      </c>
      <c r="G34" s="40">
        <f t="shared" si="0"/>
        <v>22.87</v>
      </c>
      <c r="H34" s="40">
        <f t="shared" si="0"/>
        <v>7.16</v>
      </c>
      <c r="I34" s="40">
        <f t="shared" si="0"/>
        <v>3.6</v>
      </c>
      <c r="J34" s="40">
        <f t="shared" si="0"/>
        <v>0.14000000000000001</v>
      </c>
      <c r="K34" s="40">
        <f t="shared" si="0"/>
        <v>37.619999999999997</v>
      </c>
      <c r="L34" s="40">
        <f t="shared" si="0"/>
        <v>25.96</v>
      </c>
      <c r="M34" s="40">
        <f t="shared" si="0"/>
        <v>62.66</v>
      </c>
      <c r="N34" s="40">
        <f t="shared" si="0"/>
        <v>0</v>
      </c>
      <c r="O34" s="40">
        <f t="shared" si="0"/>
        <v>0</v>
      </c>
      <c r="P34" s="40">
        <f t="shared" si="0"/>
        <v>0.5</v>
      </c>
      <c r="Q34" s="40">
        <f t="shared" si="0"/>
        <v>5.31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20.73</v>
      </c>
      <c r="C35" s="33">
        <f t="shared" si="1"/>
        <v>26</v>
      </c>
      <c r="D35" s="33">
        <f t="shared" si="1"/>
        <v>30.06</v>
      </c>
      <c r="E35" s="33">
        <f t="shared" si="1"/>
        <v>17.260000000000002</v>
      </c>
      <c r="F35" s="33">
        <f t="shared" si="1"/>
        <v>12.87</v>
      </c>
      <c r="G35" s="33">
        <f t="shared" si="1"/>
        <v>47.72</v>
      </c>
      <c r="H35" s="33">
        <f t="shared" si="1"/>
        <v>15.39</v>
      </c>
      <c r="I35" s="33">
        <f t="shared" si="1"/>
        <v>5.34</v>
      </c>
      <c r="J35" s="33">
        <f t="shared" si="1"/>
        <v>0.66</v>
      </c>
      <c r="K35" s="33">
        <f t="shared" si="1"/>
        <v>358.07</v>
      </c>
      <c r="L35" s="33">
        <f t="shared" si="1"/>
        <v>33.409999999999997</v>
      </c>
      <c r="M35" s="33">
        <f t="shared" si="1"/>
        <v>96.26</v>
      </c>
      <c r="N35" s="33">
        <f t="shared" si="1"/>
        <v>687.1</v>
      </c>
      <c r="O35" s="33">
        <f t="shared" si="1"/>
        <v>0</v>
      </c>
      <c r="P35" s="33">
        <f t="shared" si="1"/>
        <v>0.69</v>
      </c>
      <c r="Q35" s="33">
        <f t="shared" si="1"/>
        <v>6.01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15.532916666666665</v>
      </c>
      <c r="C36" s="40">
        <f t="shared" si="2"/>
        <v>22.818333333333332</v>
      </c>
      <c r="D36" s="40">
        <f t="shared" si="2"/>
        <v>25.56625</v>
      </c>
      <c r="E36" s="40">
        <f t="shared" si="2"/>
        <v>10.729999999999999</v>
      </c>
      <c r="F36" s="40">
        <f t="shared" si="2"/>
        <v>7.8137500000000015</v>
      </c>
      <c r="G36" s="40">
        <f t="shared" si="2"/>
        <v>35.775000000000006</v>
      </c>
      <c r="H36" s="40">
        <f t="shared" si="2"/>
        <v>11.8775</v>
      </c>
      <c r="I36" s="40">
        <f t="shared" si="2"/>
        <v>4.552083333333333</v>
      </c>
      <c r="J36" s="40">
        <f t="shared" si="2"/>
        <v>0.40416666666666656</v>
      </c>
      <c r="K36" s="40">
        <f t="shared" si="2"/>
        <v>257.76249999999999</v>
      </c>
      <c r="L36" s="40">
        <f t="shared" si="2"/>
        <v>29.502916666666664</v>
      </c>
      <c r="M36" s="40">
        <f t="shared" si="2"/>
        <v>79.625000000000014</v>
      </c>
      <c r="N36" s="40">
        <f t="shared" si="2"/>
        <v>206.32916666666665</v>
      </c>
      <c r="O36" s="40">
        <f t="shared" si="2"/>
        <v>0</v>
      </c>
      <c r="P36" s="40">
        <f t="shared" si="2"/>
        <v>0.56208333333333338</v>
      </c>
      <c r="Q36" s="40">
        <f t="shared" si="2"/>
        <v>5.7037499999999994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4.365206782458678</v>
      </c>
      <c r="C37" s="40">
        <f t="shared" ref="C37:Q37" si="3">STDEV(C9:C32)</f>
        <v>1.1983418495595937</v>
      </c>
      <c r="D37" s="40">
        <f t="shared" si="3"/>
        <v>3.8219159917279901</v>
      </c>
      <c r="E37" s="40">
        <f t="shared" si="3"/>
        <v>2.0036770545999762</v>
      </c>
      <c r="F37" s="40">
        <f t="shared" si="3"/>
        <v>2.6688538697839648</v>
      </c>
      <c r="G37" s="40">
        <f t="shared" si="3"/>
        <v>6.4226007193347829</v>
      </c>
      <c r="H37" s="40">
        <f t="shared" si="3"/>
        <v>2.2568528491261164</v>
      </c>
      <c r="I37" s="40">
        <f t="shared" si="3"/>
        <v>0.48352850881884535</v>
      </c>
      <c r="J37" s="40">
        <f t="shared" si="3"/>
        <v>0.16402323978145872</v>
      </c>
      <c r="K37" s="40">
        <f t="shared" si="3"/>
        <v>115.44362796168751</v>
      </c>
      <c r="L37" s="40">
        <f t="shared" si="3"/>
        <v>2.5455613187539767</v>
      </c>
      <c r="M37" s="40">
        <f t="shared" si="3"/>
        <v>12.519422475914526</v>
      </c>
      <c r="N37" s="40">
        <f t="shared" si="3"/>
        <v>271.29383793890929</v>
      </c>
      <c r="O37" s="40">
        <f t="shared" si="3"/>
        <v>0</v>
      </c>
      <c r="P37" s="40">
        <f t="shared" si="3"/>
        <v>4.8362684741051598E-2</v>
      </c>
      <c r="Q37" s="40">
        <f t="shared" si="3"/>
        <v>0.22408873436559804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E39" sqref="E39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204</v>
      </c>
      <c r="B9" s="55">
        <v>17.309999999999999</v>
      </c>
      <c r="C9" s="55">
        <v>24.17</v>
      </c>
      <c r="D9" s="55">
        <v>27.69</v>
      </c>
      <c r="E9" s="55">
        <v>11.68</v>
      </c>
      <c r="F9" s="55">
        <v>5.68</v>
      </c>
      <c r="G9" s="55">
        <v>43.3</v>
      </c>
      <c r="H9" s="55">
        <v>14.99</v>
      </c>
      <c r="I9" s="55">
        <v>4.5599999999999996</v>
      </c>
      <c r="J9" s="55">
        <v>0.21</v>
      </c>
      <c r="K9" s="55">
        <v>288.14</v>
      </c>
      <c r="L9" s="55">
        <v>27.44</v>
      </c>
      <c r="M9" s="55">
        <v>88.26</v>
      </c>
      <c r="N9" s="55">
        <v>0</v>
      </c>
      <c r="O9" s="55">
        <v>0</v>
      </c>
      <c r="P9" s="55">
        <v>0.62</v>
      </c>
      <c r="Q9" s="55">
        <v>5.78</v>
      </c>
    </row>
    <row r="10" spans="1:21" customFormat="1">
      <c r="A10" s="50" t="s">
        <v>205</v>
      </c>
      <c r="B10" s="55">
        <v>18.12</v>
      </c>
      <c r="C10" s="55">
        <v>23.5</v>
      </c>
      <c r="D10" s="55">
        <v>28.16</v>
      </c>
      <c r="E10" s="55">
        <v>14.58</v>
      </c>
      <c r="F10" s="55">
        <v>6.36</v>
      </c>
      <c r="G10" s="55">
        <v>45.94</v>
      </c>
      <c r="H10" s="55">
        <v>17.59</v>
      </c>
      <c r="I10" s="55">
        <v>5.19</v>
      </c>
      <c r="J10" s="55">
        <v>0.24</v>
      </c>
      <c r="K10" s="55">
        <v>341.03</v>
      </c>
      <c r="L10" s="55">
        <v>27.47</v>
      </c>
      <c r="M10" s="55">
        <v>87.18</v>
      </c>
      <c r="N10" s="55">
        <v>0</v>
      </c>
      <c r="O10" s="55">
        <v>0</v>
      </c>
      <c r="P10" s="55">
        <v>0.64</v>
      </c>
      <c r="Q10" s="55">
        <v>5.84</v>
      </c>
    </row>
    <row r="11" spans="1:21" customFormat="1">
      <c r="A11" s="50" t="s">
        <v>206</v>
      </c>
      <c r="B11" s="55">
        <v>18.59</v>
      </c>
      <c r="C11" s="55">
        <v>23.88</v>
      </c>
      <c r="D11" s="55">
        <v>28.74</v>
      </c>
      <c r="E11" s="55">
        <v>11.46</v>
      </c>
      <c r="F11" s="55">
        <v>6.09</v>
      </c>
      <c r="G11" s="55">
        <v>45.94</v>
      </c>
      <c r="H11" s="55">
        <v>17.59</v>
      </c>
      <c r="I11" s="55">
        <v>5.26</v>
      </c>
      <c r="J11" s="55">
        <v>0.21</v>
      </c>
      <c r="K11" s="55">
        <v>320.29000000000002</v>
      </c>
      <c r="L11" s="55">
        <v>27.45</v>
      </c>
      <c r="M11" s="55">
        <v>88.01</v>
      </c>
      <c r="N11" s="55">
        <v>0</v>
      </c>
      <c r="O11" s="55">
        <v>0</v>
      </c>
      <c r="P11" s="55">
        <v>0.61</v>
      </c>
      <c r="Q11" s="55">
        <v>5.89</v>
      </c>
    </row>
    <row r="12" spans="1:21" customFormat="1">
      <c r="A12" s="50" t="s">
        <v>207</v>
      </c>
      <c r="B12" s="55">
        <v>18.579999999999998</v>
      </c>
      <c r="C12" s="55">
        <v>23.01</v>
      </c>
      <c r="D12" s="55">
        <v>28.27</v>
      </c>
      <c r="E12" s="55">
        <v>11.85</v>
      </c>
      <c r="F12" s="55">
        <v>6.24</v>
      </c>
      <c r="G12" s="55">
        <v>41.78</v>
      </c>
      <c r="H12" s="55">
        <v>14.29</v>
      </c>
      <c r="I12" s="55">
        <v>4.75</v>
      </c>
      <c r="J12" s="55">
        <v>0.15</v>
      </c>
      <c r="K12" s="55">
        <v>325.25</v>
      </c>
      <c r="L12" s="55">
        <v>27.2</v>
      </c>
      <c r="M12" s="55">
        <v>88.6</v>
      </c>
      <c r="N12" s="55">
        <v>0</v>
      </c>
      <c r="O12" s="55">
        <v>0</v>
      </c>
      <c r="P12" s="55">
        <v>0.57999999999999996</v>
      </c>
      <c r="Q12" s="55">
        <v>5.95</v>
      </c>
    </row>
    <row r="13" spans="1:21" customFormat="1">
      <c r="A13" s="50" t="s">
        <v>208</v>
      </c>
      <c r="B13" s="55">
        <v>20.83</v>
      </c>
      <c r="C13" s="55">
        <v>24.32</v>
      </c>
      <c r="D13" s="55">
        <v>30.54</v>
      </c>
      <c r="E13" s="55">
        <v>12.07</v>
      </c>
      <c r="F13" s="55">
        <v>5.21</v>
      </c>
      <c r="G13" s="55">
        <v>41.3</v>
      </c>
      <c r="H13" s="55">
        <v>16.89</v>
      </c>
      <c r="I13" s="55">
        <v>4.6399999999999997</v>
      </c>
      <c r="J13" s="55">
        <v>0.28999999999999998</v>
      </c>
      <c r="K13" s="55">
        <v>343.05</v>
      </c>
      <c r="L13" s="55">
        <v>26.97</v>
      </c>
      <c r="M13" s="55">
        <v>89.44</v>
      </c>
      <c r="N13" s="55">
        <v>0</v>
      </c>
      <c r="O13" s="55">
        <v>0</v>
      </c>
      <c r="P13" s="55">
        <v>0.59</v>
      </c>
      <c r="Q13" s="55">
        <v>6.05</v>
      </c>
    </row>
    <row r="14" spans="1:21" customFormat="1">
      <c r="A14" s="50" t="s">
        <v>209</v>
      </c>
      <c r="B14" s="55">
        <v>21.9</v>
      </c>
      <c r="C14" s="55">
        <v>24.48</v>
      </c>
      <c r="D14" s="55">
        <v>31.71</v>
      </c>
      <c r="E14" s="55">
        <v>10</v>
      </c>
      <c r="F14" s="55">
        <v>5.89</v>
      </c>
      <c r="G14" s="55">
        <v>42.07</v>
      </c>
      <c r="H14" s="55">
        <v>16.89</v>
      </c>
      <c r="I14" s="55">
        <v>4.8899999999999997</v>
      </c>
      <c r="J14" s="55">
        <v>0.2</v>
      </c>
      <c r="K14" s="55">
        <v>320.8</v>
      </c>
      <c r="L14" s="55">
        <v>26.63</v>
      </c>
      <c r="M14" s="55">
        <v>91.12</v>
      </c>
      <c r="N14" s="55">
        <v>0</v>
      </c>
      <c r="O14" s="55">
        <v>0</v>
      </c>
      <c r="P14" s="55">
        <v>0.56999999999999995</v>
      </c>
      <c r="Q14" s="55">
        <v>6.14</v>
      </c>
    </row>
    <row r="15" spans="1:21" customFormat="1">
      <c r="A15" s="50" t="s">
        <v>210</v>
      </c>
      <c r="B15" s="55">
        <v>22.63</v>
      </c>
      <c r="C15" s="55">
        <v>23.96</v>
      </c>
      <c r="D15" s="55">
        <v>32.020000000000003</v>
      </c>
      <c r="E15" s="55">
        <v>10.74</v>
      </c>
      <c r="F15" s="55">
        <v>5.37</v>
      </c>
      <c r="G15" s="55">
        <v>42.07</v>
      </c>
      <c r="H15" s="55">
        <v>16.12</v>
      </c>
      <c r="I15" s="55">
        <v>5.21</v>
      </c>
      <c r="J15" s="55">
        <v>0.28999999999999998</v>
      </c>
      <c r="K15" s="55">
        <v>286.95999999999998</v>
      </c>
      <c r="L15" s="55">
        <v>26.9</v>
      </c>
      <c r="M15" s="55">
        <v>91.25</v>
      </c>
      <c r="N15" s="55">
        <v>19.399999999999999</v>
      </c>
      <c r="O15" s="55">
        <v>0</v>
      </c>
      <c r="P15" s="55">
        <v>0.6</v>
      </c>
      <c r="Q15" s="55">
        <v>6.16</v>
      </c>
    </row>
    <row r="16" spans="1:21" customFormat="1">
      <c r="A16" s="50" t="s">
        <v>211</v>
      </c>
      <c r="B16" s="55">
        <v>22.98</v>
      </c>
      <c r="C16" s="55">
        <v>24.4</v>
      </c>
      <c r="D16" s="55">
        <v>32.520000000000003</v>
      </c>
      <c r="E16" s="55">
        <v>11.85</v>
      </c>
      <c r="F16" s="55">
        <v>6.09</v>
      </c>
      <c r="G16" s="55">
        <v>40.18</v>
      </c>
      <c r="H16" s="55">
        <v>15.14</v>
      </c>
      <c r="I16" s="55">
        <v>5.25</v>
      </c>
      <c r="J16" s="55">
        <v>0.54</v>
      </c>
      <c r="K16" s="55">
        <v>35.29</v>
      </c>
      <c r="L16" s="55">
        <v>27.69</v>
      </c>
      <c r="M16" s="55">
        <v>89.61</v>
      </c>
      <c r="N16" s="55">
        <v>110.7</v>
      </c>
      <c r="O16" s="55">
        <v>0</v>
      </c>
      <c r="P16" s="55">
        <v>0.64</v>
      </c>
      <c r="Q16" s="55">
        <v>6.21</v>
      </c>
    </row>
    <row r="17" spans="1:17" customFormat="1">
      <c r="A17" s="50" t="s">
        <v>212</v>
      </c>
      <c r="B17" s="55">
        <v>23.66</v>
      </c>
      <c r="C17" s="55">
        <v>25.32</v>
      </c>
      <c r="D17" s="55">
        <v>33.53</v>
      </c>
      <c r="E17" s="55">
        <v>12.08</v>
      </c>
      <c r="F17" s="55">
        <v>6.66</v>
      </c>
      <c r="G17" s="55">
        <v>42.15</v>
      </c>
      <c r="H17" s="55">
        <v>15.08</v>
      </c>
      <c r="I17" s="55">
        <v>5.21</v>
      </c>
      <c r="J17" s="55">
        <v>0.67</v>
      </c>
      <c r="K17" s="55">
        <v>40.35</v>
      </c>
      <c r="L17" s="55">
        <v>28.7</v>
      </c>
      <c r="M17" s="55">
        <v>84.72</v>
      </c>
      <c r="N17" s="55">
        <v>203.1</v>
      </c>
      <c r="O17" s="55">
        <v>0</v>
      </c>
      <c r="P17" s="55">
        <v>0.64</v>
      </c>
      <c r="Q17" s="55">
        <v>6.25</v>
      </c>
    </row>
    <row r="18" spans="1:17" customFormat="1">
      <c r="A18" s="50" t="s">
        <v>213</v>
      </c>
      <c r="B18" s="55">
        <v>23.88</v>
      </c>
      <c r="C18" s="55">
        <v>24.39</v>
      </c>
      <c r="D18" s="55">
        <v>33.25</v>
      </c>
      <c r="E18" s="55">
        <v>12.37</v>
      </c>
      <c r="F18" s="55">
        <v>8.65</v>
      </c>
      <c r="G18" s="55">
        <v>42.48</v>
      </c>
      <c r="H18" s="55">
        <v>18.32</v>
      </c>
      <c r="I18" s="55">
        <v>5.17</v>
      </c>
      <c r="J18" s="55">
        <v>0.81</v>
      </c>
      <c r="K18" s="55">
        <v>41.19</v>
      </c>
      <c r="L18" s="55">
        <v>30.1</v>
      </c>
      <c r="M18" s="55">
        <v>80.09</v>
      </c>
      <c r="N18" s="55">
        <v>427.4</v>
      </c>
      <c r="O18" s="55">
        <v>0</v>
      </c>
      <c r="P18" s="55">
        <v>0.64</v>
      </c>
      <c r="Q18" s="55">
        <v>6.27</v>
      </c>
    </row>
    <row r="19" spans="1:17" customFormat="1">
      <c r="A19" s="50" t="s">
        <v>214</v>
      </c>
      <c r="B19" s="55">
        <v>21.81</v>
      </c>
      <c r="C19" s="55">
        <v>24.82</v>
      </c>
      <c r="D19" s="55">
        <v>31.11</v>
      </c>
      <c r="E19" s="55">
        <v>11.91</v>
      </c>
      <c r="F19" s="55">
        <v>9.35</v>
      </c>
      <c r="G19" s="55">
        <v>46.68</v>
      </c>
      <c r="H19" s="55">
        <v>18.32</v>
      </c>
      <c r="I19" s="55">
        <v>5.13</v>
      </c>
      <c r="J19" s="55">
        <v>0.87</v>
      </c>
      <c r="K19" s="55">
        <v>35.159999999999997</v>
      </c>
      <c r="L19" s="55">
        <v>31.15</v>
      </c>
      <c r="M19" s="55">
        <v>75.16</v>
      </c>
      <c r="N19" s="55">
        <v>501.8</v>
      </c>
      <c r="O19" s="55">
        <v>0</v>
      </c>
      <c r="P19" s="55">
        <v>0.65</v>
      </c>
      <c r="Q19" s="55">
        <v>6.18</v>
      </c>
    </row>
    <row r="20" spans="1:17" customFormat="1">
      <c r="A20" s="50" t="s">
        <v>215</v>
      </c>
      <c r="B20" s="55">
        <v>19.12</v>
      </c>
      <c r="C20" s="55">
        <v>25.09</v>
      </c>
      <c r="D20" s="55">
        <v>29.8</v>
      </c>
      <c r="E20" s="55">
        <v>13.81</v>
      </c>
      <c r="F20" s="55">
        <v>12.15</v>
      </c>
      <c r="G20" s="55">
        <v>46.68</v>
      </c>
      <c r="H20" s="55">
        <v>18.32</v>
      </c>
      <c r="I20" s="55">
        <v>5.09</v>
      </c>
      <c r="J20" s="55">
        <v>0.57999999999999996</v>
      </c>
      <c r="K20" s="55">
        <v>324.67</v>
      </c>
      <c r="L20" s="55">
        <v>31.45</v>
      </c>
      <c r="M20" s="55">
        <v>73.28</v>
      </c>
      <c r="N20" s="55">
        <v>504.6</v>
      </c>
      <c r="O20" s="55">
        <v>0</v>
      </c>
      <c r="P20" s="55">
        <v>0.65</v>
      </c>
      <c r="Q20" s="55">
        <v>6.08</v>
      </c>
    </row>
    <row r="21" spans="1:17" customFormat="1">
      <c r="A21" s="50" t="s">
        <v>216</v>
      </c>
      <c r="B21" s="55">
        <v>15.25</v>
      </c>
      <c r="C21" s="55">
        <v>24.24</v>
      </c>
      <c r="D21" s="55">
        <v>26.22</v>
      </c>
      <c r="E21" s="55">
        <v>22.08</v>
      </c>
      <c r="F21" s="55">
        <v>14.09</v>
      </c>
      <c r="G21" s="55">
        <v>45.52</v>
      </c>
      <c r="H21" s="55">
        <v>18.88</v>
      </c>
      <c r="I21" s="55">
        <v>5.01</v>
      </c>
      <c r="J21" s="55">
        <v>0.37</v>
      </c>
      <c r="K21" s="55">
        <v>38.659999999999997</v>
      </c>
      <c r="L21" s="55">
        <v>32.020000000000003</v>
      </c>
      <c r="M21" s="55">
        <v>70.11</v>
      </c>
      <c r="N21" s="55">
        <v>504.3</v>
      </c>
      <c r="O21" s="55">
        <v>0</v>
      </c>
      <c r="P21" s="55">
        <v>0.64</v>
      </c>
      <c r="Q21" s="55">
        <v>5.83</v>
      </c>
    </row>
    <row r="22" spans="1:17" customFormat="1">
      <c r="A22" s="50" t="s">
        <v>217</v>
      </c>
      <c r="B22" s="55">
        <v>11.75</v>
      </c>
      <c r="C22" s="55">
        <v>26.09</v>
      </c>
      <c r="D22" s="55">
        <v>24.4</v>
      </c>
      <c r="E22" s="55">
        <v>9.86</v>
      </c>
      <c r="F22" s="55">
        <v>12.13</v>
      </c>
      <c r="G22" s="55">
        <v>45.88</v>
      </c>
      <c r="H22" s="55">
        <v>12.27</v>
      </c>
      <c r="I22" s="55">
        <v>4.88</v>
      </c>
      <c r="J22" s="55">
        <v>0.43</v>
      </c>
      <c r="K22" s="55">
        <v>317.3</v>
      </c>
      <c r="L22" s="55">
        <v>32.78</v>
      </c>
      <c r="M22" s="55">
        <v>70.739999999999995</v>
      </c>
      <c r="N22" s="55">
        <v>552</v>
      </c>
      <c r="O22" s="55">
        <v>0</v>
      </c>
      <c r="P22" s="55">
        <v>0.68</v>
      </c>
      <c r="Q22" s="55">
        <v>4.71</v>
      </c>
    </row>
    <row r="23" spans="1:17" customFormat="1">
      <c r="A23" s="50" t="s">
        <v>218</v>
      </c>
      <c r="B23" s="55">
        <v>9.52</v>
      </c>
      <c r="C23" s="55">
        <v>25.58</v>
      </c>
      <c r="D23" s="55">
        <v>21.88</v>
      </c>
      <c r="E23" s="30" t="s">
        <v>8</v>
      </c>
      <c r="F23" s="55">
        <v>11.69</v>
      </c>
      <c r="G23" s="55">
        <v>44.81</v>
      </c>
      <c r="H23" s="55">
        <v>19.559999999999999</v>
      </c>
      <c r="I23" s="55">
        <v>4.97</v>
      </c>
      <c r="J23" s="55">
        <v>0.36</v>
      </c>
      <c r="K23" s="55">
        <v>349.88</v>
      </c>
      <c r="L23" s="55">
        <v>33.15</v>
      </c>
      <c r="M23" s="55">
        <v>67.650000000000006</v>
      </c>
      <c r="N23" s="55">
        <v>551.29999999999995</v>
      </c>
      <c r="O23" s="55">
        <v>0</v>
      </c>
      <c r="P23" s="55">
        <v>0.63</v>
      </c>
      <c r="Q23" s="55">
        <v>4.1900000000000004</v>
      </c>
    </row>
    <row r="24" spans="1:17" customFormat="1">
      <c r="A24" s="50" t="s">
        <v>219</v>
      </c>
      <c r="B24" s="55">
        <v>7.66</v>
      </c>
      <c r="C24" s="55">
        <v>25.79</v>
      </c>
      <c r="D24" s="55">
        <v>20.97</v>
      </c>
      <c r="E24" s="30" t="s">
        <v>8</v>
      </c>
      <c r="F24" s="55">
        <v>14.51</v>
      </c>
      <c r="G24" s="55">
        <v>46.49</v>
      </c>
      <c r="H24" s="55">
        <v>19.559999999999999</v>
      </c>
      <c r="I24" s="55">
        <v>4.7699999999999996</v>
      </c>
      <c r="J24" s="55">
        <v>0.33</v>
      </c>
      <c r="K24" s="55">
        <v>340.73</v>
      </c>
      <c r="L24" s="55">
        <v>31.6</v>
      </c>
      <c r="M24" s="55">
        <v>71.67</v>
      </c>
      <c r="N24" s="55">
        <v>86.3</v>
      </c>
      <c r="O24" s="55">
        <v>0</v>
      </c>
      <c r="P24" s="55">
        <v>0.62</v>
      </c>
      <c r="Q24" s="55">
        <v>4.17</v>
      </c>
    </row>
    <row r="25" spans="1:17" customFormat="1">
      <c r="A25" s="50" t="s">
        <v>220</v>
      </c>
      <c r="B25" s="55">
        <v>6.05</v>
      </c>
      <c r="C25" s="55">
        <v>22.86</v>
      </c>
      <c r="D25" s="55">
        <v>18.05</v>
      </c>
      <c r="E25" s="30" t="s">
        <v>8</v>
      </c>
      <c r="F25" s="55">
        <v>14.24</v>
      </c>
      <c r="G25" s="55">
        <v>46.49</v>
      </c>
      <c r="H25" s="55">
        <v>19.68</v>
      </c>
      <c r="I25" s="55">
        <v>4.51</v>
      </c>
      <c r="J25" s="55">
        <v>0.22</v>
      </c>
      <c r="K25" s="55">
        <v>261.87</v>
      </c>
      <c r="L25" s="55">
        <v>29.58</v>
      </c>
      <c r="M25" s="55">
        <v>87.71</v>
      </c>
      <c r="N25" s="55">
        <v>21.3</v>
      </c>
      <c r="O25" s="55">
        <v>0.2</v>
      </c>
      <c r="P25" s="55">
        <v>0.56000000000000005</v>
      </c>
      <c r="Q25" s="55">
        <v>4.12</v>
      </c>
    </row>
    <row r="26" spans="1:17" customFormat="1">
      <c r="A26" s="50" t="s">
        <v>221</v>
      </c>
      <c r="B26" s="55">
        <v>8.01</v>
      </c>
      <c r="C26" s="55">
        <v>24.42</v>
      </c>
      <c r="D26" s="55">
        <v>20.100000000000001</v>
      </c>
      <c r="E26" s="30" t="s">
        <v>8</v>
      </c>
      <c r="F26" s="55">
        <v>8.07</v>
      </c>
      <c r="G26" s="55">
        <v>43.98</v>
      </c>
      <c r="H26" s="55">
        <v>19.68</v>
      </c>
      <c r="I26" s="55">
        <v>4.5599999999999996</v>
      </c>
      <c r="J26" s="55">
        <v>1.23</v>
      </c>
      <c r="K26" s="55">
        <v>260.75</v>
      </c>
      <c r="L26" s="55">
        <v>26.24</v>
      </c>
      <c r="M26" s="55">
        <v>98.77</v>
      </c>
      <c r="N26" s="55">
        <v>0.4</v>
      </c>
      <c r="O26" s="55">
        <v>13</v>
      </c>
      <c r="P26" s="55">
        <v>0.56999999999999995</v>
      </c>
      <c r="Q26" s="55">
        <v>4.03</v>
      </c>
    </row>
    <row r="27" spans="1:17" customFormat="1">
      <c r="A27" s="50" t="s">
        <v>222</v>
      </c>
      <c r="B27" s="55">
        <v>6.54</v>
      </c>
      <c r="C27" s="55">
        <v>25.52</v>
      </c>
      <c r="D27" s="55">
        <v>19.29</v>
      </c>
      <c r="E27" s="55">
        <v>8.43</v>
      </c>
      <c r="F27" s="55">
        <v>7.62</v>
      </c>
      <c r="G27" s="55">
        <v>32.4</v>
      </c>
      <c r="H27" s="55">
        <v>12.79</v>
      </c>
      <c r="I27" s="55">
        <v>4.43</v>
      </c>
      <c r="J27" s="55">
        <v>1.68</v>
      </c>
      <c r="K27" s="55">
        <v>310.5</v>
      </c>
      <c r="L27" s="55">
        <v>23.86</v>
      </c>
      <c r="M27" s="55">
        <v>99.69</v>
      </c>
      <c r="N27" s="55">
        <v>0</v>
      </c>
      <c r="O27" s="55">
        <v>15.2</v>
      </c>
      <c r="P27" s="55">
        <v>0.54</v>
      </c>
      <c r="Q27" s="55">
        <v>3.88</v>
      </c>
    </row>
    <row r="28" spans="1:17" customFormat="1">
      <c r="A28" s="50" t="s">
        <v>223</v>
      </c>
      <c r="B28" s="55">
        <v>6.13</v>
      </c>
      <c r="C28" s="55">
        <v>25.37</v>
      </c>
      <c r="D28" s="55">
        <v>19.41</v>
      </c>
      <c r="E28" s="55">
        <v>8.15</v>
      </c>
      <c r="F28" s="55">
        <v>5.2</v>
      </c>
      <c r="G28" s="55">
        <v>22.3</v>
      </c>
      <c r="H28" s="55">
        <v>8.8800000000000008</v>
      </c>
      <c r="I28" s="55">
        <v>4.3499999999999996</v>
      </c>
      <c r="J28" s="55">
        <v>0.56000000000000005</v>
      </c>
      <c r="K28" s="55">
        <v>269.14999999999998</v>
      </c>
      <c r="L28" s="55">
        <v>24.57</v>
      </c>
      <c r="M28" s="55">
        <v>100.12</v>
      </c>
      <c r="N28" s="55">
        <v>0</v>
      </c>
      <c r="O28" s="55">
        <v>0.6</v>
      </c>
      <c r="P28" s="55">
        <v>0.54</v>
      </c>
      <c r="Q28" s="55">
        <v>3.86</v>
      </c>
    </row>
    <row r="29" spans="1:17" customFormat="1">
      <c r="A29" s="50" t="s">
        <v>224</v>
      </c>
      <c r="B29" s="55">
        <v>6.38</v>
      </c>
      <c r="C29" s="55">
        <v>25.01</v>
      </c>
      <c r="D29" s="55">
        <v>19.34</v>
      </c>
      <c r="E29" s="55">
        <v>8.56</v>
      </c>
      <c r="F29" s="55">
        <v>5.6</v>
      </c>
      <c r="G29" s="55">
        <v>14.55</v>
      </c>
      <c r="H29" s="55">
        <v>6.13</v>
      </c>
      <c r="I29" s="55">
        <v>4.3600000000000003</v>
      </c>
      <c r="J29" s="55">
        <v>0.2</v>
      </c>
      <c r="K29" s="55">
        <v>260.24</v>
      </c>
      <c r="L29" s="55">
        <v>24.57</v>
      </c>
      <c r="M29" s="55">
        <v>99.97</v>
      </c>
      <c r="N29" s="55">
        <v>0</v>
      </c>
      <c r="O29" s="55">
        <v>1</v>
      </c>
      <c r="P29" s="55">
        <v>0.54</v>
      </c>
      <c r="Q29" s="55">
        <v>3.79</v>
      </c>
    </row>
    <row r="30" spans="1:17" customFormat="1">
      <c r="A30" s="50" t="s">
        <v>225</v>
      </c>
      <c r="B30" s="55">
        <v>6.63</v>
      </c>
      <c r="C30" s="55">
        <v>24.19</v>
      </c>
      <c r="D30" s="55">
        <v>19.3</v>
      </c>
      <c r="E30" s="55">
        <v>8.1199999999999992</v>
      </c>
      <c r="F30" s="55">
        <v>5</v>
      </c>
      <c r="G30" s="55">
        <v>12.68</v>
      </c>
      <c r="H30" s="55">
        <v>4.29</v>
      </c>
      <c r="I30" s="55">
        <v>4.25</v>
      </c>
      <c r="J30" s="55">
        <v>0.3</v>
      </c>
      <c r="K30" s="55">
        <v>268.44</v>
      </c>
      <c r="L30" s="55">
        <v>24.51</v>
      </c>
      <c r="M30" s="55">
        <v>99.95</v>
      </c>
      <c r="N30" s="55">
        <v>0</v>
      </c>
      <c r="O30" s="55">
        <v>1.2</v>
      </c>
      <c r="P30" s="55">
        <v>0.52</v>
      </c>
      <c r="Q30" s="55">
        <v>3.75</v>
      </c>
    </row>
    <row r="31" spans="1:17" customFormat="1">
      <c r="A31" s="50" t="s">
        <v>226</v>
      </c>
      <c r="B31" s="55">
        <v>7.16</v>
      </c>
      <c r="C31" s="55">
        <v>24.1</v>
      </c>
      <c r="D31" s="55">
        <v>19.54</v>
      </c>
      <c r="E31" s="55">
        <v>8.24</v>
      </c>
      <c r="F31" s="55">
        <v>5.19</v>
      </c>
      <c r="G31" s="55">
        <v>8.9</v>
      </c>
      <c r="H31" s="55">
        <v>3</v>
      </c>
      <c r="I31" s="55">
        <v>4.16</v>
      </c>
      <c r="J31" s="55">
        <v>0.23</v>
      </c>
      <c r="K31" s="55">
        <v>252.96</v>
      </c>
      <c r="L31" s="55">
        <v>24.64</v>
      </c>
      <c r="M31" s="55">
        <v>100.01</v>
      </c>
      <c r="N31" s="55">
        <v>0</v>
      </c>
      <c r="O31" s="55">
        <v>0.8</v>
      </c>
      <c r="P31" s="55">
        <v>0.5</v>
      </c>
      <c r="Q31" s="55">
        <v>3.77</v>
      </c>
    </row>
    <row r="32" spans="1:17" customFormat="1">
      <c r="A32" s="50" t="s">
        <v>227</v>
      </c>
      <c r="B32" s="55">
        <v>7.96</v>
      </c>
      <c r="C32" s="55">
        <v>23.57</v>
      </c>
      <c r="D32" s="55">
        <v>20.04</v>
      </c>
      <c r="E32" s="55">
        <v>8.07</v>
      </c>
      <c r="F32" s="55">
        <v>5.92</v>
      </c>
      <c r="G32" s="55">
        <v>8.33</v>
      </c>
      <c r="H32" s="55">
        <v>2.23</v>
      </c>
      <c r="I32" s="55">
        <v>4.0999999999999996</v>
      </c>
      <c r="J32" s="55">
        <v>0.18</v>
      </c>
      <c r="K32" s="55">
        <v>334.51</v>
      </c>
      <c r="L32" s="55">
        <v>24.71</v>
      </c>
      <c r="M32" s="55">
        <v>100.04</v>
      </c>
      <c r="N32" s="55">
        <v>0</v>
      </c>
      <c r="O32" s="55">
        <v>1.4</v>
      </c>
      <c r="P32" s="55">
        <v>0.49</v>
      </c>
      <c r="Q32" s="55">
        <v>3.86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6.05</v>
      </c>
      <c r="C34" s="40">
        <f t="shared" si="0"/>
        <v>22.86</v>
      </c>
      <c r="D34" s="40">
        <f t="shared" si="0"/>
        <v>18.05</v>
      </c>
      <c r="E34" s="40">
        <f t="shared" si="0"/>
        <v>8.07</v>
      </c>
      <c r="F34" s="40">
        <f t="shared" si="0"/>
        <v>5</v>
      </c>
      <c r="G34" s="40">
        <f t="shared" si="0"/>
        <v>8.33</v>
      </c>
      <c r="H34" s="40">
        <f t="shared" si="0"/>
        <v>2.23</v>
      </c>
      <c r="I34" s="40">
        <f t="shared" si="0"/>
        <v>4.0999999999999996</v>
      </c>
      <c r="J34" s="40">
        <f t="shared" si="0"/>
        <v>0.15</v>
      </c>
      <c r="K34" s="40">
        <f t="shared" si="0"/>
        <v>35.159999999999997</v>
      </c>
      <c r="L34" s="40">
        <f t="shared" si="0"/>
        <v>23.86</v>
      </c>
      <c r="M34" s="40">
        <f t="shared" si="0"/>
        <v>67.650000000000006</v>
      </c>
      <c r="N34" s="40">
        <f t="shared" si="0"/>
        <v>0</v>
      </c>
      <c r="O34" s="40">
        <f t="shared" si="0"/>
        <v>0</v>
      </c>
      <c r="P34" s="40">
        <f t="shared" si="0"/>
        <v>0.49</v>
      </c>
      <c r="Q34" s="40">
        <f t="shared" si="0"/>
        <v>3.75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23.88</v>
      </c>
      <c r="C35" s="33">
        <f t="shared" si="1"/>
        <v>26.09</v>
      </c>
      <c r="D35" s="33">
        <f t="shared" si="1"/>
        <v>33.53</v>
      </c>
      <c r="E35" s="33">
        <f t="shared" si="1"/>
        <v>22.08</v>
      </c>
      <c r="F35" s="33">
        <f t="shared" si="1"/>
        <v>14.51</v>
      </c>
      <c r="G35" s="33">
        <f t="shared" si="1"/>
        <v>46.68</v>
      </c>
      <c r="H35" s="33">
        <f t="shared" si="1"/>
        <v>19.68</v>
      </c>
      <c r="I35" s="33">
        <f t="shared" si="1"/>
        <v>5.26</v>
      </c>
      <c r="J35" s="33">
        <f t="shared" si="1"/>
        <v>1.68</v>
      </c>
      <c r="K35" s="33">
        <f t="shared" si="1"/>
        <v>349.88</v>
      </c>
      <c r="L35" s="33">
        <f t="shared" si="1"/>
        <v>33.15</v>
      </c>
      <c r="M35" s="33">
        <f t="shared" si="1"/>
        <v>100.12</v>
      </c>
      <c r="N35" s="33">
        <f t="shared" si="1"/>
        <v>552</v>
      </c>
      <c r="O35" s="33">
        <f t="shared" si="1"/>
        <v>15.2</v>
      </c>
      <c r="P35" s="33">
        <f t="shared" si="1"/>
        <v>0.68</v>
      </c>
      <c r="Q35" s="33">
        <f t="shared" si="1"/>
        <v>6.27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14.518749999999999</v>
      </c>
      <c r="C36" s="40">
        <f t="shared" si="2"/>
        <v>24.503333333333341</v>
      </c>
      <c r="D36" s="40">
        <f t="shared" si="2"/>
        <v>25.661666666666665</v>
      </c>
      <c r="E36" s="40">
        <f t="shared" si="2"/>
        <v>11.295500000000002</v>
      </c>
      <c r="F36" s="40">
        <f t="shared" si="2"/>
        <v>8.0416666666666661</v>
      </c>
      <c r="G36" s="40">
        <f t="shared" si="2"/>
        <v>37.204166666666659</v>
      </c>
      <c r="H36" s="40">
        <f t="shared" si="2"/>
        <v>14.437083333333335</v>
      </c>
      <c r="I36" s="40">
        <f t="shared" si="2"/>
        <v>4.7791666666666668</v>
      </c>
      <c r="J36" s="40">
        <f t="shared" si="2"/>
        <v>0.46458333333333335</v>
      </c>
      <c r="K36" s="40">
        <f t="shared" si="2"/>
        <v>248.6320833333333</v>
      </c>
      <c r="L36" s="40">
        <f t="shared" si="2"/>
        <v>27.974166666666665</v>
      </c>
      <c r="M36" s="40">
        <f t="shared" si="2"/>
        <v>87.214583333333351</v>
      </c>
      <c r="N36" s="40">
        <f t="shared" si="2"/>
        <v>145.10833333333338</v>
      </c>
      <c r="O36" s="40">
        <f t="shared" si="2"/>
        <v>1.3916666666666666</v>
      </c>
      <c r="P36" s="40">
        <f t="shared" si="2"/>
        <v>0.59416666666666662</v>
      </c>
      <c r="Q36" s="40">
        <f t="shared" si="2"/>
        <v>5.1149999999999993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6.8684656298692826</v>
      </c>
      <c r="C37" s="40">
        <f t="shared" ref="C37:Q37" si="3">STDEV(C9:C32)</f>
        <v>0.84655653739965309</v>
      </c>
      <c r="D37" s="40">
        <f t="shared" si="3"/>
        <v>5.5051917525081775</v>
      </c>
      <c r="E37" s="40">
        <f t="shared" si="3"/>
        <v>3.2152015161531611</v>
      </c>
      <c r="F37" s="40">
        <f t="shared" si="3"/>
        <v>3.2496885023520101</v>
      </c>
      <c r="G37" s="40">
        <f t="shared" si="3"/>
        <v>13.073255779134232</v>
      </c>
      <c r="H37" s="40">
        <f t="shared" si="3"/>
        <v>5.5108544900173921</v>
      </c>
      <c r="I37" s="40">
        <f t="shared" si="3"/>
        <v>0.37721999885508067</v>
      </c>
      <c r="J37" s="40">
        <f t="shared" si="3"/>
        <v>0.37061616340859987</v>
      </c>
      <c r="K37" s="40">
        <f t="shared" si="3"/>
        <v>114.20885852260437</v>
      </c>
      <c r="L37" s="40">
        <f t="shared" si="3"/>
        <v>2.8857851266338699</v>
      </c>
      <c r="M37" s="40">
        <f t="shared" si="3"/>
        <v>10.914274251068285</v>
      </c>
      <c r="N37" s="40">
        <f t="shared" si="3"/>
        <v>219.53281009941293</v>
      </c>
      <c r="O37" s="40">
        <f t="shared" si="3"/>
        <v>3.9507750111093136</v>
      </c>
      <c r="P37" s="40">
        <f t="shared" si="3"/>
        <v>5.2578443811349219E-2</v>
      </c>
      <c r="Q37" s="40">
        <f t="shared" si="3"/>
        <v>1.0604264933629712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228</v>
      </c>
      <c r="B9" s="55">
        <v>12.38</v>
      </c>
      <c r="C9" s="55">
        <v>24.79</v>
      </c>
      <c r="D9" s="55">
        <v>24.07</v>
      </c>
      <c r="E9" s="55">
        <v>8.44</v>
      </c>
      <c r="F9" s="55">
        <v>5.0199999999999996</v>
      </c>
      <c r="G9" s="55">
        <v>8.33</v>
      </c>
      <c r="H9" s="55">
        <v>3.22</v>
      </c>
      <c r="I9" s="55">
        <v>4.1100000000000003</v>
      </c>
      <c r="J9" s="55">
        <v>0.28000000000000003</v>
      </c>
      <c r="K9" s="55">
        <v>260.27999999999997</v>
      </c>
      <c r="L9" s="55">
        <v>24.81</v>
      </c>
      <c r="M9" s="55">
        <v>100.28</v>
      </c>
      <c r="N9" s="55">
        <v>0</v>
      </c>
      <c r="O9" s="55">
        <v>0.2</v>
      </c>
      <c r="P9" s="55">
        <v>0.49</v>
      </c>
      <c r="Q9" s="55">
        <v>3.93</v>
      </c>
    </row>
    <row r="10" spans="1:21" customFormat="1">
      <c r="A10" s="50" t="s">
        <v>229</v>
      </c>
      <c r="B10" s="55">
        <v>12.75</v>
      </c>
      <c r="C10" s="55">
        <v>24.05</v>
      </c>
      <c r="D10" s="55">
        <v>23.96</v>
      </c>
      <c r="E10" s="55">
        <v>8.69</v>
      </c>
      <c r="F10" s="55">
        <v>4.91</v>
      </c>
      <c r="G10" s="55">
        <v>6.56</v>
      </c>
      <c r="H10" s="55">
        <v>3.22</v>
      </c>
      <c r="I10" s="55">
        <v>4.1500000000000004</v>
      </c>
      <c r="J10" s="55">
        <v>0.16</v>
      </c>
      <c r="K10" s="55">
        <v>241.65</v>
      </c>
      <c r="L10" s="55">
        <v>24.83</v>
      </c>
      <c r="M10" s="55">
        <v>100.25</v>
      </c>
      <c r="N10" s="55">
        <v>0</v>
      </c>
      <c r="O10" s="55">
        <v>1</v>
      </c>
      <c r="P10" s="55">
        <v>0.49</v>
      </c>
      <c r="Q10" s="55">
        <v>3.94</v>
      </c>
    </row>
    <row r="11" spans="1:21" customFormat="1">
      <c r="A11" s="50" t="s">
        <v>230</v>
      </c>
      <c r="B11" s="55">
        <v>13.3</v>
      </c>
      <c r="C11" s="55">
        <v>23.95</v>
      </c>
      <c r="D11" s="55">
        <v>24.49</v>
      </c>
      <c r="E11" s="55">
        <v>8.3000000000000007</v>
      </c>
      <c r="F11" s="55">
        <v>4.91</v>
      </c>
      <c r="G11" s="55">
        <v>6.56</v>
      </c>
      <c r="H11" s="55">
        <v>3.99</v>
      </c>
      <c r="I11" s="55">
        <v>4.17</v>
      </c>
      <c r="J11" s="55">
        <v>0.43</v>
      </c>
      <c r="K11" s="55">
        <v>305.92</v>
      </c>
      <c r="L11" s="55">
        <v>24.74</v>
      </c>
      <c r="M11" s="55">
        <v>100.33</v>
      </c>
      <c r="N11" s="55">
        <v>0</v>
      </c>
      <c r="O11" s="55">
        <v>0.6</v>
      </c>
      <c r="P11" s="55">
        <v>0.48</v>
      </c>
      <c r="Q11" s="55">
        <v>3.98</v>
      </c>
    </row>
    <row r="12" spans="1:21" customFormat="1">
      <c r="A12" s="50" t="s">
        <v>231</v>
      </c>
      <c r="B12" s="55">
        <v>13.64</v>
      </c>
      <c r="C12" s="55">
        <v>24.51</v>
      </c>
      <c r="D12" s="55">
        <v>24.91</v>
      </c>
      <c r="E12" s="55">
        <v>8.5</v>
      </c>
      <c r="F12" s="55">
        <v>5.15</v>
      </c>
      <c r="G12" s="55">
        <v>8.07</v>
      </c>
      <c r="H12" s="55">
        <v>3.99</v>
      </c>
      <c r="I12" s="55">
        <v>4.16</v>
      </c>
      <c r="J12" s="55">
        <v>0.5</v>
      </c>
      <c r="K12" s="55">
        <v>266.17</v>
      </c>
      <c r="L12" s="55">
        <v>24.77</v>
      </c>
      <c r="M12" s="55">
        <v>100.39</v>
      </c>
      <c r="N12" s="55">
        <v>0</v>
      </c>
      <c r="O12" s="55">
        <v>0.4</v>
      </c>
      <c r="P12" s="55">
        <v>0.47</v>
      </c>
      <c r="Q12" s="55">
        <v>4.05</v>
      </c>
    </row>
    <row r="13" spans="1:21" customFormat="1">
      <c r="A13" s="50" t="s">
        <v>232</v>
      </c>
      <c r="B13" s="55">
        <v>13.64</v>
      </c>
      <c r="C13" s="55">
        <v>23.78</v>
      </c>
      <c r="D13" s="55">
        <v>24.59</v>
      </c>
      <c r="E13" s="55">
        <v>8.59</v>
      </c>
      <c r="F13" s="55">
        <v>5</v>
      </c>
      <c r="G13" s="55">
        <v>8.07</v>
      </c>
      <c r="H13" s="55">
        <v>3.35</v>
      </c>
      <c r="I13" s="55">
        <v>4.1399999999999997</v>
      </c>
      <c r="J13" s="55">
        <v>0.51</v>
      </c>
      <c r="K13" s="55">
        <v>268.63</v>
      </c>
      <c r="L13" s="55">
        <v>24.86</v>
      </c>
      <c r="M13" s="55">
        <v>100.41</v>
      </c>
      <c r="N13" s="55">
        <v>0</v>
      </c>
      <c r="O13" s="55">
        <v>0.2</v>
      </c>
      <c r="P13" s="55">
        <v>0.46</v>
      </c>
      <c r="Q13" s="55">
        <v>4.04</v>
      </c>
    </row>
    <row r="14" spans="1:21" customFormat="1">
      <c r="A14" s="50" t="s">
        <v>233</v>
      </c>
      <c r="B14" s="55">
        <v>13.97</v>
      </c>
      <c r="C14" s="55">
        <v>23.7</v>
      </c>
      <c r="D14" s="55">
        <v>24.71</v>
      </c>
      <c r="E14" s="55">
        <v>8.43</v>
      </c>
      <c r="F14" s="55">
        <v>4.62</v>
      </c>
      <c r="G14" s="55">
        <v>7.8</v>
      </c>
      <c r="H14" s="55">
        <v>4.91</v>
      </c>
      <c r="I14" s="55">
        <v>4.0999999999999996</v>
      </c>
      <c r="J14" s="55">
        <v>0.38</v>
      </c>
      <c r="K14" s="55">
        <v>273.17</v>
      </c>
      <c r="L14" s="55">
        <v>24.87</v>
      </c>
      <c r="M14" s="55">
        <v>100.42</v>
      </c>
      <c r="N14" s="55">
        <v>0</v>
      </c>
      <c r="O14" s="55">
        <v>0.4</v>
      </c>
      <c r="P14" s="55">
        <v>0.47</v>
      </c>
      <c r="Q14" s="55">
        <v>4.03</v>
      </c>
    </row>
    <row r="15" spans="1:21" customFormat="1">
      <c r="A15" s="50" t="s">
        <v>234</v>
      </c>
      <c r="B15" s="55">
        <v>16.72</v>
      </c>
      <c r="C15" s="55">
        <v>24.64</v>
      </c>
      <c r="D15" s="55">
        <v>27.33</v>
      </c>
      <c r="E15" s="55">
        <v>8.32</v>
      </c>
      <c r="F15" s="55">
        <v>4.4400000000000004</v>
      </c>
      <c r="G15" s="55">
        <v>8.18</v>
      </c>
      <c r="H15" s="55">
        <v>4.92</v>
      </c>
      <c r="I15" s="55">
        <v>4.12</v>
      </c>
      <c r="J15" s="55">
        <v>0.63</v>
      </c>
      <c r="K15" s="55">
        <v>311.16000000000003</v>
      </c>
      <c r="L15" s="55">
        <v>24.9</v>
      </c>
      <c r="M15" s="55">
        <v>100.27</v>
      </c>
      <c r="N15" s="55">
        <v>8.1</v>
      </c>
      <c r="O15" s="55">
        <v>8</v>
      </c>
      <c r="P15" s="55">
        <v>0.47</v>
      </c>
      <c r="Q15" s="55">
        <v>4.1900000000000004</v>
      </c>
    </row>
    <row r="16" spans="1:21" customFormat="1">
      <c r="A16" s="50" t="s">
        <v>235</v>
      </c>
      <c r="B16" s="55">
        <v>17.38</v>
      </c>
      <c r="C16" s="55">
        <v>25.78</v>
      </c>
      <c r="D16" s="55">
        <v>28.39</v>
      </c>
      <c r="E16" s="55">
        <v>8.68</v>
      </c>
      <c r="F16" s="55">
        <v>4.8099999999999996</v>
      </c>
      <c r="G16" s="55">
        <v>8.18</v>
      </c>
      <c r="H16" s="55">
        <v>4.92</v>
      </c>
      <c r="I16" s="55">
        <v>4.21</v>
      </c>
      <c r="J16" s="55">
        <v>0.31</v>
      </c>
      <c r="K16" s="55">
        <v>336.79</v>
      </c>
      <c r="L16" s="55">
        <v>23.83</v>
      </c>
      <c r="M16" s="55">
        <v>100.29</v>
      </c>
      <c r="N16" s="55">
        <v>8.5</v>
      </c>
      <c r="O16" s="55">
        <v>1.2</v>
      </c>
      <c r="P16" s="55">
        <v>0.46</v>
      </c>
      <c r="Q16" s="55">
        <v>4.2300000000000004</v>
      </c>
    </row>
    <row r="17" spans="1:17" customFormat="1">
      <c r="A17" s="50" t="s">
        <v>236</v>
      </c>
      <c r="B17" s="55">
        <v>18.239999999999998</v>
      </c>
      <c r="C17" s="55">
        <v>26.8</v>
      </c>
      <c r="D17" s="55">
        <v>29.78</v>
      </c>
      <c r="E17" s="55">
        <v>8.98</v>
      </c>
      <c r="F17" s="55">
        <v>4.59</v>
      </c>
      <c r="G17" s="55">
        <v>5.85</v>
      </c>
      <c r="H17" s="55">
        <v>3.82</v>
      </c>
      <c r="I17" s="55">
        <v>4.18</v>
      </c>
      <c r="J17" s="55">
        <v>0.2</v>
      </c>
      <c r="K17" s="55">
        <v>255.09</v>
      </c>
      <c r="L17" s="55">
        <v>24.36</v>
      </c>
      <c r="M17" s="55">
        <v>100.33</v>
      </c>
      <c r="N17" s="55">
        <v>10.6</v>
      </c>
      <c r="O17" s="55">
        <v>1.8</v>
      </c>
      <c r="P17" s="55">
        <v>0.49</v>
      </c>
      <c r="Q17" s="55">
        <v>4.3</v>
      </c>
    </row>
    <row r="18" spans="1:17" customFormat="1">
      <c r="A18" s="50" t="s">
        <v>237</v>
      </c>
      <c r="B18" s="55">
        <v>19.41</v>
      </c>
      <c r="C18" s="55">
        <v>26.87</v>
      </c>
      <c r="D18" s="55">
        <v>30.96</v>
      </c>
      <c r="E18" s="55">
        <v>8.49</v>
      </c>
      <c r="F18" s="55">
        <v>4.43</v>
      </c>
      <c r="G18" s="55">
        <v>10.3</v>
      </c>
      <c r="H18" s="55">
        <v>6.32</v>
      </c>
      <c r="I18" s="55">
        <v>4.2300000000000004</v>
      </c>
      <c r="J18" s="55">
        <v>0.32</v>
      </c>
      <c r="K18" s="55">
        <v>316.77</v>
      </c>
      <c r="L18" s="55">
        <v>24.88</v>
      </c>
      <c r="M18" s="55">
        <v>100.35</v>
      </c>
      <c r="N18" s="55">
        <v>35.1</v>
      </c>
      <c r="O18" s="55">
        <v>1.2</v>
      </c>
      <c r="P18" s="55">
        <v>0.5</v>
      </c>
      <c r="Q18" s="55">
        <v>4.3600000000000003</v>
      </c>
    </row>
    <row r="19" spans="1:17" customFormat="1">
      <c r="A19" s="50" t="s">
        <v>238</v>
      </c>
      <c r="B19" s="55">
        <v>21.53</v>
      </c>
      <c r="C19" s="55">
        <v>27.51</v>
      </c>
      <c r="D19" s="55">
        <v>32.58</v>
      </c>
      <c r="E19" s="55">
        <v>7.73</v>
      </c>
      <c r="F19" s="55">
        <v>4.63</v>
      </c>
      <c r="G19" s="55">
        <v>11.43</v>
      </c>
      <c r="H19" s="55">
        <v>7.51</v>
      </c>
      <c r="I19" s="55">
        <v>4.4400000000000004</v>
      </c>
      <c r="J19" s="55">
        <v>0.26</v>
      </c>
      <c r="K19" s="55">
        <v>357.25</v>
      </c>
      <c r="L19" s="55">
        <v>25.13</v>
      </c>
      <c r="M19" s="55">
        <v>100.38</v>
      </c>
      <c r="N19" s="55">
        <v>132.4</v>
      </c>
      <c r="O19" s="55">
        <v>0.6</v>
      </c>
      <c r="P19" s="55">
        <v>0.55000000000000004</v>
      </c>
      <c r="Q19" s="55">
        <v>4.58</v>
      </c>
    </row>
    <row r="20" spans="1:17" customFormat="1">
      <c r="A20" s="50" t="s">
        <v>239</v>
      </c>
      <c r="B20" s="55">
        <v>22.77</v>
      </c>
      <c r="C20" s="55">
        <v>28.03</v>
      </c>
      <c r="D20" s="55">
        <v>33.659999999999997</v>
      </c>
      <c r="E20" s="55">
        <v>7.91</v>
      </c>
      <c r="F20" s="55">
        <v>4.99</v>
      </c>
      <c r="G20" s="55">
        <v>16.89</v>
      </c>
      <c r="H20" s="55">
        <v>10.58</v>
      </c>
      <c r="I20" s="55">
        <v>4.83</v>
      </c>
      <c r="J20" s="55">
        <v>0.35</v>
      </c>
      <c r="K20" s="55">
        <v>345.48</v>
      </c>
      <c r="L20" s="55">
        <v>25.8</v>
      </c>
      <c r="M20" s="55">
        <v>100.15</v>
      </c>
      <c r="N20" s="55">
        <v>196.9</v>
      </c>
      <c r="O20" s="55">
        <v>0.2</v>
      </c>
      <c r="P20" s="55">
        <v>0.57999999999999996</v>
      </c>
      <c r="Q20" s="55">
        <v>4.67</v>
      </c>
    </row>
    <row r="21" spans="1:17" customFormat="1">
      <c r="A21" s="50" t="s">
        <v>240</v>
      </c>
      <c r="B21" s="55">
        <v>22.87</v>
      </c>
      <c r="C21" s="55">
        <v>28.18</v>
      </c>
      <c r="D21" s="55">
        <v>34.19</v>
      </c>
      <c r="E21" s="55">
        <v>8.33</v>
      </c>
      <c r="F21" s="55">
        <v>5.29</v>
      </c>
      <c r="G21" s="55">
        <v>21.5</v>
      </c>
      <c r="H21" s="55">
        <v>11.56</v>
      </c>
      <c r="I21" s="55">
        <v>4.91</v>
      </c>
      <c r="J21" s="55">
        <v>0.36</v>
      </c>
      <c r="K21" s="55">
        <v>325.85000000000002</v>
      </c>
      <c r="L21" s="55">
        <v>26.99</v>
      </c>
      <c r="M21" s="55">
        <v>100.16</v>
      </c>
      <c r="N21" s="55">
        <v>270.60000000000002</v>
      </c>
      <c r="O21" s="55">
        <v>0.2</v>
      </c>
      <c r="P21" s="55">
        <v>0.61</v>
      </c>
      <c r="Q21" s="55">
        <v>4.7</v>
      </c>
    </row>
    <row r="22" spans="1:17" customFormat="1">
      <c r="A22" s="50" t="s">
        <v>241</v>
      </c>
      <c r="B22" s="55">
        <v>22.08</v>
      </c>
      <c r="C22" s="55">
        <v>27.38</v>
      </c>
      <c r="D22" s="55">
        <v>32.950000000000003</v>
      </c>
      <c r="E22" s="55">
        <v>7.62</v>
      </c>
      <c r="F22" s="55">
        <v>5.4</v>
      </c>
      <c r="G22" s="55">
        <v>21.5</v>
      </c>
      <c r="H22" s="55">
        <v>11.56</v>
      </c>
      <c r="I22" s="55">
        <v>4.9000000000000004</v>
      </c>
      <c r="J22" s="55">
        <v>0.43</v>
      </c>
      <c r="K22" s="55">
        <v>315.16000000000003</v>
      </c>
      <c r="L22" s="55">
        <v>28.05</v>
      </c>
      <c r="M22" s="55">
        <v>100.15</v>
      </c>
      <c r="N22" s="55">
        <v>282.3</v>
      </c>
      <c r="O22" s="55">
        <v>0</v>
      </c>
      <c r="P22" s="55">
        <v>0.6</v>
      </c>
      <c r="Q22" s="55">
        <v>4.63</v>
      </c>
    </row>
    <row r="23" spans="1:17" customFormat="1">
      <c r="A23" s="50" t="s">
        <v>242</v>
      </c>
      <c r="B23" s="55">
        <v>20.350000000000001</v>
      </c>
      <c r="C23" s="55">
        <v>25.99</v>
      </c>
      <c r="D23" s="55">
        <v>31.25</v>
      </c>
      <c r="E23" s="55">
        <v>6.84</v>
      </c>
      <c r="F23" s="55">
        <v>6.88</v>
      </c>
      <c r="G23" s="55">
        <v>24.72</v>
      </c>
      <c r="H23" s="55">
        <v>9.41</v>
      </c>
      <c r="I23" s="55">
        <v>4.76</v>
      </c>
      <c r="J23" s="55">
        <v>0.48</v>
      </c>
      <c r="K23" s="55">
        <v>277.36</v>
      </c>
      <c r="L23" s="55">
        <v>28.23</v>
      </c>
      <c r="M23" s="55">
        <v>83.86</v>
      </c>
      <c r="N23" s="55">
        <v>220.6</v>
      </c>
      <c r="O23" s="55">
        <v>0</v>
      </c>
      <c r="P23" s="55">
        <v>0.56999999999999995</v>
      </c>
      <c r="Q23" s="55">
        <v>4.59</v>
      </c>
    </row>
    <row r="24" spans="1:17" customFormat="1">
      <c r="A24" s="50" t="s">
        <v>243</v>
      </c>
      <c r="B24" s="55">
        <v>17.47</v>
      </c>
      <c r="C24" s="55">
        <v>26.68</v>
      </c>
      <c r="D24" s="55">
        <v>29.3</v>
      </c>
      <c r="E24" s="55">
        <v>7.05</v>
      </c>
      <c r="F24" s="55">
        <v>6.98</v>
      </c>
      <c r="G24" s="55">
        <v>24.72</v>
      </c>
      <c r="H24" s="55">
        <v>9.2200000000000006</v>
      </c>
      <c r="I24" s="55">
        <v>4.53</v>
      </c>
      <c r="J24" s="55">
        <v>0.37</v>
      </c>
      <c r="K24" s="55">
        <v>262.77</v>
      </c>
      <c r="L24" s="55">
        <v>28.22</v>
      </c>
      <c r="M24" s="55">
        <v>83.98</v>
      </c>
      <c r="N24" s="55">
        <v>148.69999999999999</v>
      </c>
      <c r="O24" s="55">
        <v>0</v>
      </c>
      <c r="P24" s="55">
        <v>0.56999999999999995</v>
      </c>
      <c r="Q24" s="55">
        <v>4.5599999999999996</v>
      </c>
    </row>
    <row r="25" spans="1:17" customFormat="1">
      <c r="A25" s="50" t="s">
        <v>244</v>
      </c>
      <c r="B25" s="55">
        <v>14.75</v>
      </c>
      <c r="C25" s="55">
        <v>23.83</v>
      </c>
      <c r="D25" s="55">
        <v>25.28</v>
      </c>
      <c r="E25" s="55">
        <v>6.71</v>
      </c>
      <c r="F25" s="55">
        <v>8.5</v>
      </c>
      <c r="G25" s="55">
        <v>20.85</v>
      </c>
      <c r="H25" s="55">
        <v>7.23</v>
      </c>
      <c r="I25" s="55">
        <v>4.33</v>
      </c>
      <c r="J25" s="55">
        <v>0.18</v>
      </c>
      <c r="K25" s="55">
        <v>251.64</v>
      </c>
      <c r="L25" s="55">
        <v>28.4</v>
      </c>
      <c r="M25" s="55">
        <v>88.96</v>
      </c>
      <c r="N25" s="55">
        <v>133.30000000000001</v>
      </c>
      <c r="O25" s="55">
        <v>0</v>
      </c>
      <c r="P25" s="55">
        <v>0.54</v>
      </c>
      <c r="Q25" s="55">
        <v>4.42</v>
      </c>
    </row>
    <row r="26" spans="1:17" customFormat="1">
      <c r="A26" s="50" t="s">
        <v>245</v>
      </c>
      <c r="B26" s="55">
        <v>13.41</v>
      </c>
      <c r="C26" s="55">
        <v>23.99</v>
      </c>
      <c r="D26" s="55">
        <v>24.64</v>
      </c>
      <c r="E26" s="55">
        <v>7</v>
      </c>
      <c r="F26" s="55">
        <v>10.039999999999999</v>
      </c>
      <c r="G26" s="55">
        <v>19.13</v>
      </c>
      <c r="H26" s="55">
        <v>7.11</v>
      </c>
      <c r="I26" s="55">
        <v>4.5999999999999996</v>
      </c>
      <c r="J26" s="55">
        <v>0.77</v>
      </c>
      <c r="K26" s="55">
        <v>262.95</v>
      </c>
      <c r="L26" s="55">
        <v>27.45</v>
      </c>
      <c r="M26" s="55">
        <v>91</v>
      </c>
      <c r="N26" s="55">
        <v>0.8</v>
      </c>
      <c r="O26" s="55">
        <v>0</v>
      </c>
      <c r="P26" s="55">
        <v>0.56999999999999995</v>
      </c>
      <c r="Q26" s="55">
        <v>4.38</v>
      </c>
    </row>
    <row r="27" spans="1:17" customFormat="1">
      <c r="A27" s="50" t="s">
        <v>246</v>
      </c>
      <c r="B27" s="55">
        <v>13.39</v>
      </c>
      <c r="C27" s="55">
        <v>24.14</v>
      </c>
      <c r="D27" s="55">
        <v>24.7</v>
      </c>
      <c r="E27" s="55">
        <v>7.92</v>
      </c>
      <c r="F27" s="55">
        <v>5.94</v>
      </c>
      <c r="G27" s="55">
        <v>19.13</v>
      </c>
      <c r="H27" s="55">
        <v>7.11</v>
      </c>
      <c r="I27" s="55">
        <v>4.45</v>
      </c>
      <c r="J27" s="55">
        <v>0.92</v>
      </c>
      <c r="K27" s="55">
        <v>263.44</v>
      </c>
      <c r="L27" s="55">
        <v>26.05</v>
      </c>
      <c r="M27" s="55">
        <v>93.32</v>
      </c>
      <c r="N27" s="55">
        <v>0</v>
      </c>
      <c r="O27" s="55">
        <v>0</v>
      </c>
      <c r="P27" s="55">
        <v>0.54</v>
      </c>
      <c r="Q27" s="55">
        <v>4.2300000000000004</v>
      </c>
    </row>
    <row r="28" spans="1:17" customFormat="1">
      <c r="A28" s="50" t="s">
        <v>247</v>
      </c>
      <c r="B28" s="55">
        <v>12.48</v>
      </c>
      <c r="C28" s="55">
        <v>23.36</v>
      </c>
      <c r="D28" s="55">
        <v>23.57</v>
      </c>
      <c r="E28" s="55">
        <v>7.94</v>
      </c>
      <c r="F28" s="55">
        <v>5.09</v>
      </c>
      <c r="G28" s="55">
        <v>17.760000000000002</v>
      </c>
      <c r="H28" s="55">
        <v>5.52</v>
      </c>
      <c r="I28" s="55">
        <v>4.1900000000000004</v>
      </c>
      <c r="J28" s="55">
        <v>0.79</v>
      </c>
      <c r="K28" s="55">
        <v>283.19</v>
      </c>
      <c r="L28" s="55">
        <v>25.6</v>
      </c>
      <c r="M28" s="55">
        <v>94.81</v>
      </c>
      <c r="N28" s="55">
        <v>0</v>
      </c>
      <c r="O28" s="55">
        <v>0.2</v>
      </c>
      <c r="P28" s="55">
        <v>0.5</v>
      </c>
      <c r="Q28" s="55">
        <v>4.09</v>
      </c>
    </row>
    <row r="29" spans="1:17" customFormat="1">
      <c r="A29" s="50" t="s">
        <v>248</v>
      </c>
      <c r="B29" s="55">
        <v>13.2</v>
      </c>
      <c r="C29" s="55">
        <v>24.36</v>
      </c>
      <c r="D29" s="55">
        <v>24.27</v>
      </c>
      <c r="E29" s="55">
        <v>7.66</v>
      </c>
      <c r="F29" s="55">
        <v>4.82</v>
      </c>
      <c r="G29" s="55">
        <v>13.31</v>
      </c>
      <c r="H29" s="55">
        <v>4.83</v>
      </c>
      <c r="I29" s="55">
        <v>4.1100000000000003</v>
      </c>
      <c r="J29" s="55">
        <v>0.61</v>
      </c>
      <c r="K29" s="55">
        <v>305.39</v>
      </c>
      <c r="L29" s="55">
        <v>25</v>
      </c>
      <c r="M29" s="55">
        <v>97.74</v>
      </c>
      <c r="N29" s="55">
        <v>0</v>
      </c>
      <c r="O29" s="55">
        <v>0.4</v>
      </c>
      <c r="P29" s="55">
        <v>0.51</v>
      </c>
      <c r="Q29" s="55">
        <v>4.08</v>
      </c>
    </row>
    <row r="30" spans="1:17" customFormat="1">
      <c r="A30" s="50" t="s">
        <v>249</v>
      </c>
      <c r="B30" s="55">
        <v>14.9</v>
      </c>
      <c r="C30" s="55">
        <v>25.36</v>
      </c>
      <c r="D30" s="55">
        <v>26.06</v>
      </c>
      <c r="E30" s="55">
        <v>8.2200000000000006</v>
      </c>
      <c r="F30" s="55">
        <v>4.7300000000000004</v>
      </c>
      <c r="G30" s="55">
        <v>11.95</v>
      </c>
      <c r="H30" s="55">
        <v>4.83</v>
      </c>
      <c r="I30" s="55">
        <v>4.2</v>
      </c>
      <c r="J30" s="55">
        <v>0.4</v>
      </c>
      <c r="K30" s="55">
        <v>324.82</v>
      </c>
      <c r="L30" s="55">
        <v>23.9</v>
      </c>
      <c r="M30" s="55">
        <v>98.11</v>
      </c>
      <c r="N30" s="55">
        <v>0</v>
      </c>
      <c r="O30" s="55">
        <v>0.2</v>
      </c>
      <c r="P30" s="55">
        <v>0.51</v>
      </c>
      <c r="Q30" s="55">
        <v>4.12</v>
      </c>
    </row>
    <row r="31" spans="1:17" customFormat="1">
      <c r="A31" s="50" t="s">
        <v>250</v>
      </c>
      <c r="B31" s="55">
        <v>16.809999999999999</v>
      </c>
      <c r="C31" s="55">
        <v>27.35</v>
      </c>
      <c r="D31" s="55">
        <v>29.13</v>
      </c>
      <c r="E31" s="55">
        <v>8.01</v>
      </c>
      <c r="F31" s="55">
        <v>4.3899999999999997</v>
      </c>
      <c r="G31" s="55">
        <v>26.4</v>
      </c>
      <c r="H31" s="55">
        <v>8.83</v>
      </c>
      <c r="I31" s="55">
        <v>4.4800000000000004</v>
      </c>
      <c r="J31" s="55">
        <v>0.28000000000000003</v>
      </c>
      <c r="K31" s="55">
        <v>288.55</v>
      </c>
      <c r="L31" s="55">
        <v>24.31</v>
      </c>
      <c r="M31" s="55">
        <v>98.41</v>
      </c>
      <c r="N31" s="55">
        <v>0</v>
      </c>
      <c r="O31" s="55">
        <v>0</v>
      </c>
      <c r="P31" s="55">
        <v>0.56000000000000005</v>
      </c>
      <c r="Q31" s="55">
        <v>4.2300000000000004</v>
      </c>
    </row>
    <row r="32" spans="1:17" customFormat="1">
      <c r="A32" s="50" t="s">
        <v>251</v>
      </c>
      <c r="B32" s="55">
        <v>17.91</v>
      </c>
      <c r="C32" s="55">
        <v>26.82</v>
      </c>
      <c r="D32" s="55">
        <v>29.42</v>
      </c>
      <c r="E32" s="55">
        <v>8.31</v>
      </c>
      <c r="F32" s="55">
        <v>4.74</v>
      </c>
      <c r="G32" s="55">
        <v>33.5</v>
      </c>
      <c r="H32" s="55">
        <v>16.739999999999998</v>
      </c>
      <c r="I32" s="55">
        <v>5.0999999999999996</v>
      </c>
      <c r="J32" s="55">
        <v>0.28000000000000003</v>
      </c>
      <c r="K32" s="55">
        <v>281.95</v>
      </c>
      <c r="L32" s="55">
        <v>24.43</v>
      </c>
      <c r="M32" s="55">
        <v>98.47</v>
      </c>
      <c r="N32" s="55">
        <v>0</v>
      </c>
      <c r="O32" s="55">
        <v>0</v>
      </c>
      <c r="P32" s="55">
        <v>0.55000000000000004</v>
      </c>
      <c r="Q32" s="55">
        <v>4.2699999999999996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12.38</v>
      </c>
      <c r="C34" s="40">
        <f t="shared" si="0"/>
        <v>23.36</v>
      </c>
      <c r="D34" s="40">
        <f t="shared" si="0"/>
        <v>23.57</v>
      </c>
      <c r="E34" s="40">
        <f t="shared" si="0"/>
        <v>6.71</v>
      </c>
      <c r="F34" s="40">
        <f t="shared" si="0"/>
        <v>4.3899999999999997</v>
      </c>
      <c r="G34" s="40">
        <f t="shared" si="0"/>
        <v>5.85</v>
      </c>
      <c r="H34" s="40">
        <f t="shared" si="0"/>
        <v>3.22</v>
      </c>
      <c r="I34" s="40">
        <f t="shared" si="0"/>
        <v>4.0999999999999996</v>
      </c>
      <c r="J34" s="40">
        <f t="shared" si="0"/>
        <v>0.16</v>
      </c>
      <c r="K34" s="40">
        <f t="shared" si="0"/>
        <v>241.65</v>
      </c>
      <c r="L34" s="40">
        <f t="shared" si="0"/>
        <v>23.83</v>
      </c>
      <c r="M34" s="40">
        <f t="shared" si="0"/>
        <v>83.86</v>
      </c>
      <c r="N34" s="40">
        <f t="shared" si="0"/>
        <v>0</v>
      </c>
      <c r="O34" s="40">
        <f t="shared" si="0"/>
        <v>0</v>
      </c>
      <c r="P34" s="40">
        <f t="shared" si="0"/>
        <v>0.46</v>
      </c>
      <c r="Q34" s="40">
        <f t="shared" si="0"/>
        <v>3.93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22.87</v>
      </c>
      <c r="C35" s="33">
        <f t="shared" si="1"/>
        <v>28.18</v>
      </c>
      <c r="D35" s="33">
        <f t="shared" si="1"/>
        <v>34.19</v>
      </c>
      <c r="E35" s="33">
        <f t="shared" si="1"/>
        <v>8.98</v>
      </c>
      <c r="F35" s="33">
        <f t="shared" si="1"/>
        <v>10.039999999999999</v>
      </c>
      <c r="G35" s="33">
        <f t="shared" si="1"/>
        <v>33.5</v>
      </c>
      <c r="H35" s="33">
        <f t="shared" si="1"/>
        <v>16.739999999999998</v>
      </c>
      <c r="I35" s="33">
        <f t="shared" si="1"/>
        <v>5.0999999999999996</v>
      </c>
      <c r="J35" s="33">
        <f t="shared" si="1"/>
        <v>0.92</v>
      </c>
      <c r="K35" s="33">
        <f t="shared" si="1"/>
        <v>357.25</v>
      </c>
      <c r="L35" s="33">
        <f t="shared" si="1"/>
        <v>28.4</v>
      </c>
      <c r="M35" s="33">
        <f t="shared" si="1"/>
        <v>100.42</v>
      </c>
      <c r="N35" s="33">
        <f t="shared" si="1"/>
        <v>282.3</v>
      </c>
      <c r="O35" s="33">
        <f t="shared" si="1"/>
        <v>8</v>
      </c>
      <c r="P35" s="33">
        <f t="shared" si="1"/>
        <v>0.61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16.472916666666666</v>
      </c>
      <c r="C36" s="40">
        <f t="shared" si="2"/>
        <v>25.493750000000006</v>
      </c>
      <c r="D36" s="40">
        <f t="shared" si="2"/>
        <v>27.674583333333331</v>
      </c>
      <c r="E36" s="40">
        <f t="shared" si="2"/>
        <v>8.0279166666666661</v>
      </c>
      <c r="F36" s="40">
        <f t="shared" si="2"/>
        <v>5.4291666666666671</v>
      </c>
      <c r="G36" s="40">
        <f t="shared" si="2"/>
        <v>15.028749999999997</v>
      </c>
      <c r="H36" s="40">
        <f t="shared" si="2"/>
        <v>6.8625000000000016</v>
      </c>
      <c r="I36" s="40">
        <f t="shared" si="2"/>
        <v>4.3916666666666666</v>
      </c>
      <c r="J36" s="40">
        <f t="shared" si="2"/>
        <v>0.42499999999999988</v>
      </c>
      <c r="K36" s="40">
        <f t="shared" si="2"/>
        <v>290.89291666666662</v>
      </c>
      <c r="L36" s="40">
        <f t="shared" si="2"/>
        <v>25.600416666666664</v>
      </c>
      <c r="M36" s="40">
        <f t="shared" si="2"/>
        <v>97.200833333333321</v>
      </c>
      <c r="N36" s="40">
        <f t="shared" si="2"/>
        <v>60.329166666666659</v>
      </c>
      <c r="O36" s="40">
        <f t="shared" si="2"/>
        <v>0.69999999999999984</v>
      </c>
      <c r="P36" s="40">
        <f t="shared" si="2"/>
        <v>0.52250000000000008</v>
      </c>
      <c r="Q36" s="40">
        <f t="shared" si="2"/>
        <v>4.2750000000000004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3.5040702781897375</v>
      </c>
      <c r="C37" s="40">
        <f t="shared" ref="C37:Q37" si="3">STDEV(C9:C32)</f>
        <v>1.578994761397758</v>
      </c>
      <c r="D37" s="40">
        <f t="shared" si="3"/>
        <v>3.5160019033069507</v>
      </c>
      <c r="E37" s="40">
        <f t="shared" si="3"/>
        <v>0.61876440109140118</v>
      </c>
      <c r="F37" s="40">
        <f t="shared" si="3"/>
        <v>1.3757208913927577</v>
      </c>
      <c r="G37" s="40">
        <f t="shared" si="3"/>
        <v>7.7565110447260128</v>
      </c>
      <c r="H37" s="40">
        <f t="shared" si="3"/>
        <v>3.3522442190788868</v>
      </c>
      <c r="I37" s="40">
        <f t="shared" si="3"/>
        <v>0.30644762183371921</v>
      </c>
      <c r="J37" s="40">
        <f t="shared" si="3"/>
        <v>0.197858095833748</v>
      </c>
      <c r="K37" s="40">
        <f t="shared" si="3"/>
        <v>32.455167938339301</v>
      </c>
      <c r="L37" s="40">
        <f t="shared" si="3"/>
        <v>1.4615312969225576</v>
      </c>
      <c r="M37" s="40">
        <f t="shared" si="3"/>
        <v>5.1853916179864479</v>
      </c>
      <c r="N37" s="40">
        <f t="shared" si="3"/>
        <v>95.983293288882905</v>
      </c>
      <c r="O37" s="40">
        <f t="shared" si="3"/>
        <v>1.6258776893941211</v>
      </c>
      <c r="P37" s="40">
        <f t="shared" si="3"/>
        <v>4.6461765487052505E-2</v>
      </c>
      <c r="Q37" s="40">
        <f t="shared" si="3"/>
        <v>0.24404204912090527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252</v>
      </c>
      <c r="B9" s="55">
        <v>17.649999999999999</v>
      </c>
      <c r="C9" s="55">
        <v>26.97</v>
      </c>
      <c r="D9" s="55">
        <v>29.35</v>
      </c>
      <c r="E9" s="55">
        <v>8.32</v>
      </c>
      <c r="F9" s="55">
        <v>4.63</v>
      </c>
      <c r="G9" s="55">
        <v>33.5</v>
      </c>
      <c r="H9" s="55">
        <v>16.739999999999998</v>
      </c>
      <c r="I9" s="55">
        <v>5.16</v>
      </c>
      <c r="J9" s="55">
        <v>0.4</v>
      </c>
      <c r="K9" s="55">
        <v>265.47000000000003</v>
      </c>
      <c r="L9" s="55">
        <v>24.53</v>
      </c>
      <c r="M9" s="55">
        <v>97.92</v>
      </c>
      <c r="N9" s="55">
        <v>0</v>
      </c>
      <c r="O9" s="55">
        <v>0</v>
      </c>
      <c r="P9" s="55">
        <v>0.54</v>
      </c>
      <c r="Q9" s="55">
        <v>4.2699999999999996</v>
      </c>
    </row>
    <row r="10" spans="1:21" customFormat="1">
      <c r="A10" s="50" t="s">
        <v>253</v>
      </c>
      <c r="B10" s="55">
        <v>17.510000000000002</v>
      </c>
      <c r="C10" s="55">
        <v>25.81</v>
      </c>
      <c r="D10" s="55">
        <v>28.84</v>
      </c>
      <c r="E10" s="55">
        <v>8.6300000000000008</v>
      </c>
      <c r="F10" s="55">
        <v>4.6399999999999997</v>
      </c>
      <c r="G10" s="55">
        <v>32.950000000000003</v>
      </c>
      <c r="H10" s="55">
        <v>11.52</v>
      </c>
      <c r="I10" s="55">
        <v>4.99</v>
      </c>
      <c r="J10" s="55">
        <v>0.25</v>
      </c>
      <c r="K10" s="55">
        <v>255.76</v>
      </c>
      <c r="L10" s="55">
        <v>24.6</v>
      </c>
      <c r="M10" s="55">
        <v>97.85</v>
      </c>
      <c r="N10" s="55">
        <v>0</v>
      </c>
      <c r="O10" s="55">
        <v>0</v>
      </c>
      <c r="P10" s="55">
        <v>0.53</v>
      </c>
      <c r="Q10" s="55">
        <v>4.2699999999999996</v>
      </c>
    </row>
    <row r="11" spans="1:21" customFormat="1">
      <c r="A11" s="50" t="s">
        <v>254</v>
      </c>
      <c r="B11" s="55">
        <v>17.690000000000001</v>
      </c>
      <c r="C11" s="55">
        <v>25.07</v>
      </c>
      <c r="D11" s="55">
        <v>28.5</v>
      </c>
      <c r="E11" s="55">
        <v>8.9600000000000009</v>
      </c>
      <c r="F11" s="55">
        <v>4.63</v>
      </c>
      <c r="G11" s="55">
        <v>27.51</v>
      </c>
      <c r="H11" s="55">
        <v>8.01</v>
      </c>
      <c r="I11" s="55">
        <v>4.8499999999999996</v>
      </c>
      <c r="J11" s="55">
        <v>0.4</v>
      </c>
      <c r="K11" s="55">
        <v>257.76</v>
      </c>
      <c r="L11" s="55">
        <v>24.68</v>
      </c>
      <c r="M11" s="55">
        <v>97.88</v>
      </c>
      <c r="N11" s="55">
        <v>0</v>
      </c>
      <c r="O11" s="55">
        <v>0</v>
      </c>
      <c r="P11" s="55">
        <v>0.52</v>
      </c>
      <c r="Q11" s="55">
        <v>4.29</v>
      </c>
    </row>
    <row r="12" spans="1:21" customFormat="1">
      <c r="A12" s="50" t="s">
        <v>255</v>
      </c>
      <c r="B12" s="55">
        <v>17.350000000000001</v>
      </c>
      <c r="C12" s="55">
        <v>25.51</v>
      </c>
      <c r="D12" s="55">
        <v>28.45</v>
      </c>
      <c r="E12" s="55">
        <v>8.98</v>
      </c>
      <c r="F12" s="55">
        <v>4.8499999999999996</v>
      </c>
      <c r="G12" s="55">
        <v>18.21</v>
      </c>
      <c r="H12" s="55">
        <v>5.94</v>
      </c>
      <c r="I12" s="55">
        <v>4.82</v>
      </c>
      <c r="J12" s="55">
        <v>0.52</v>
      </c>
      <c r="K12" s="55">
        <v>264.25</v>
      </c>
      <c r="L12" s="55">
        <v>24.61</v>
      </c>
      <c r="M12" s="55">
        <v>97.23</v>
      </c>
      <c r="N12" s="55">
        <v>0</v>
      </c>
      <c r="O12" s="55">
        <v>0</v>
      </c>
      <c r="P12" s="55">
        <v>0.52</v>
      </c>
      <c r="Q12" s="55">
        <v>4.3</v>
      </c>
    </row>
    <row r="13" spans="1:21" customFormat="1">
      <c r="A13" s="50" t="s">
        <v>256</v>
      </c>
      <c r="B13" s="55">
        <v>17.079999999999998</v>
      </c>
      <c r="C13" s="55">
        <v>24.41</v>
      </c>
      <c r="D13" s="55">
        <v>27.41</v>
      </c>
      <c r="E13" s="55">
        <v>8.86</v>
      </c>
      <c r="F13" s="55">
        <v>4.9000000000000004</v>
      </c>
      <c r="G13" s="55">
        <v>17.88</v>
      </c>
      <c r="H13" s="55">
        <v>4.99</v>
      </c>
      <c r="I13" s="55">
        <v>4.6399999999999997</v>
      </c>
      <c r="J13" s="55">
        <v>0.65</v>
      </c>
      <c r="K13" s="55">
        <v>266.51</v>
      </c>
      <c r="L13" s="55">
        <v>24.49</v>
      </c>
      <c r="M13" s="55">
        <v>96.8</v>
      </c>
      <c r="N13" s="55">
        <v>0</v>
      </c>
      <c r="O13" s="55">
        <v>0</v>
      </c>
      <c r="P13" s="55">
        <v>0.48</v>
      </c>
      <c r="Q13" s="55">
        <v>4.29</v>
      </c>
    </row>
    <row r="14" spans="1:21" customFormat="1">
      <c r="A14" s="50" t="s">
        <v>257</v>
      </c>
      <c r="B14" s="55">
        <v>16.260000000000002</v>
      </c>
      <c r="C14" s="55">
        <v>24.26</v>
      </c>
      <c r="D14" s="55">
        <v>26.86</v>
      </c>
      <c r="E14" s="55">
        <v>9.1199999999999992</v>
      </c>
      <c r="F14" s="55">
        <v>4.54</v>
      </c>
      <c r="G14" s="55">
        <v>12.63</v>
      </c>
      <c r="H14" s="55">
        <v>3.88</v>
      </c>
      <c r="I14" s="55">
        <v>4.38</v>
      </c>
      <c r="J14" s="55">
        <v>0.64</v>
      </c>
      <c r="K14" s="55">
        <v>269.99</v>
      </c>
      <c r="L14" s="55">
        <v>24.53</v>
      </c>
      <c r="M14" s="55">
        <v>96.47</v>
      </c>
      <c r="N14" s="55">
        <v>0</v>
      </c>
      <c r="O14" s="55">
        <v>0</v>
      </c>
      <c r="P14" s="55">
        <v>0.46</v>
      </c>
      <c r="Q14" s="55">
        <v>4.25</v>
      </c>
    </row>
    <row r="15" spans="1:21" customFormat="1">
      <c r="A15" s="50" t="s">
        <v>258</v>
      </c>
      <c r="B15" s="55">
        <v>15.53</v>
      </c>
      <c r="C15" s="55">
        <v>24.31</v>
      </c>
      <c r="D15" s="55">
        <v>26.46</v>
      </c>
      <c r="E15" s="55">
        <v>8.85</v>
      </c>
      <c r="F15" s="55">
        <v>4.6399999999999997</v>
      </c>
      <c r="G15" s="55">
        <v>10.050000000000001</v>
      </c>
      <c r="H15" s="55">
        <v>5.46</v>
      </c>
      <c r="I15" s="55">
        <v>4.0999999999999996</v>
      </c>
      <c r="J15" s="55">
        <v>0.62</v>
      </c>
      <c r="K15" s="55">
        <v>270.14</v>
      </c>
      <c r="L15" s="55">
        <v>24.87</v>
      </c>
      <c r="M15" s="55">
        <v>95.39</v>
      </c>
      <c r="N15" s="55">
        <v>31.9</v>
      </c>
      <c r="O15" s="55">
        <v>0</v>
      </c>
      <c r="P15" s="55">
        <v>0.45</v>
      </c>
      <c r="Q15" s="55">
        <v>4.28</v>
      </c>
    </row>
    <row r="16" spans="1:21" customFormat="1">
      <c r="A16" s="50" t="s">
        <v>259</v>
      </c>
      <c r="B16" s="55">
        <v>15.15</v>
      </c>
      <c r="C16" s="55">
        <v>23.88</v>
      </c>
      <c r="D16" s="55">
        <v>25.86</v>
      </c>
      <c r="E16" s="55">
        <v>8.99</v>
      </c>
      <c r="F16" s="55">
        <v>4.83</v>
      </c>
      <c r="G16" s="55">
        <v>7.5</v>
      </c>
      <c r="H16" s="55">
        <v>5.46</v>
      </c>
      <c r="I16" s="55">
        <v>4.04</v>
      </c>
      <c r="J16" s="55">
        <v>0.56999999999999995</v>
      </c>
      <c r="K16" s="55">
        <v>268.99</v>
      </c>
      <c r="L16" s="55">
        <v>25.17</v>
      </c>
      <c r="M16" s="55">
        <v>94.44</v>
      </c>
      <c r="N16" s="55">
        <v>49.5</v>
      </c>
      <c r="O16" s="55">
        <v>0</v>
      </c>
      <c r="P16" s="55">
        <v>0.44</v>
      </c>
      <c r="Q16" s="55">
        <v>4.24</v>
      </c>
    </row>
    <row r="17" spans="1:17" customFormat="1">
      <c r="A17" s="50" t="s">
        <v>260</v>
      </c>
      <c r="B17" s="55">
        <v>14.98</v>
      </c>
      <c r="C17" s="55">
        <v>24.03</v>
      </c>
      <c r="D17" s="55">
        <v>25.86</v>
      </c>
      <c r="E17" s="55">
        <v>8.89</v>
      </c>
      <c r="F17" s="55">
        <v>4.8</v>
      </c>
      <c r="G17" s="55">
        <v>7.68</v>
      </c>
      <c r="H17" s="55">
        <v>3.84</v>
      </c>
      <c r="I17" s="55">
        <v>3.93</v>
      </c>
      <c r="J17" s="55">
        <v>0.57999999999999996</v>
      </c>
      <c r="K17" s="55">
        <v>270.83</v>
      </c>
      <c r="L17" s="55">
        <v>25.43</v>
      </c>
      <c r="M17" s="55">
        <v>94.66</v>
      </c>
      <c r="N17" s="55">
        <v>51.4</v>
      </c>
      <c r="O17" s="55">
        <v>0</v>
      </c>
      <c r="P17" s="55">
        <v>0.44</v>
      </c>
      <c r="Q17" s="55">
        <v>4.1399999999999997</v>
      </c>
    </row>
    <row r="18" spans="1:17" customFormat="1">
      <c r="A18" s="50" t="s">
        <v>261</v>
      </c>
      <c r="B18" s="55">
        <v>14.61</v>
      </c>
      <c r="C18" s="55">
        <v>23.4</v>
      </c>
      <c r="D18" s="55">
        <v>25.03</v>
      </c>
      <c r="E18" s="55">
        <v>8.6300000000000008</v>
      </c>
      <c r="F18" s="55">
        <v>5.16</v>
      </c>
      <c r="G18" s="55">
        <v>7.68</v>
      </c>
      <c r="H18" s="55">
        <v>4.7</v>
      </c>
      <c r="I18" s="55">
        <v>3.87</v>
      </c>
      <c r="J18" s="55">
        <v>0.84</v>
      </c>
      <c r="K18" s="55">
        <v>269.88</v>
      </c>
      <c r="L18" s="55">
        <v>25.52</v>
      </c>
      <c r="M18" s="55">
        <v>95.68</v>
      </c>
      <c r="N18" s="55">
        <v>123.2</v>
      </c>
      <c r="O18" s="55">
        <v>0.4</v>
      </c>
      <c r="P18" s="55">
        <v>0.43</v>
      </c>
      <c r="Q18" s="55">
        <v>4.0999999999999996</v>
      </c>
    </row>
    <row r="19" spans="1:17" customFormat="1">
      <c r="A19" s="50" t="s">
        <v>262</v>
      </c>
      <c r="B19" s="55">
        <v>14.05</v>
      </c>
      <c r="C19" s="55">
        <v>23</v>
      </c>
      <c r="D19" s="55">
        <v>24.43</v>
      </c>
      <c r="E19" s="55">
        <v>9.33</v>
      </c>
      <c r="F19" s="55">
        <v>4.92</v>
      </c>
      <c r="G19" s="55">
        <v>8.74</v>
      </c>
      <c r="H19" s="55">
        <v>4.7</v>
      </c>
      <c r="I19" s="55">
        <v>3.74</v>
      </c>
      <c r="J19" s="55">
        <v>0.66</v>
      </c>
      <c r="K19" s="55">
        <v>271.22000000000003</v>
      </c>
      <c r="L19" s="55">
        <v>25.43</v>
      </c>
      <c r="M19" s="55">
        <v>97.13</v>
      </c>
      <c r="N19" s="55">
        <v>119.8</v>
      </c>
      <c r="O19" s="55">
        <v>1.2</v>
      </c>
      <c r="P19" s="55">
        <v>0.42</v>
      </c>
      <c r="Q19" s="55">
        <v>4.07</v>
      </c>
    </row>
    <row r="20" spans="1:17" customFormat="1">
      <c r="A20" s="50" t="s">
        <v>263</v>
      </c>
      <c r="B20" s="55">
        <v>13.59</v>
      </c>
      <c r="C20" s="55">
        <v>23.11</v>
      </c>
      <c r="D20" s="55">
        <v>24.32</v>
      </c>
      <c r="E20" s="55">
        <v>9.1199999999999992</v>
      </c>
      <c r="F20" s="55">
        <v>5.05</v>
      </c>
      <c r="G20" s="55">
        <v>8.74</v>
      </c>
      <c r="H20" s="55">
        <v>5.23</v>
      </c>
      <c r="I20" s="55">
        <v>3.69</v>
      </c>
      <c r="J20" s="55">
        <v>0.69</v>
      </c>
      <c r="K20" s="55">
        <v>272.35000000000002</v>
      </c>
      <c r="L20" s="55">
        <v>25.34</v>
      </c>
      <c r="M20" s="55">
        <v>96.82</v>
      </c>
      <c r="N20" s="55">
        <v>109.3</v>
      </c>
      <c r="O20" s="55">
        <v>0.2</v>
      </c>
      <c r="P20" s="55">
        <v>0.42</v>
      </c>
      <c r="Q20" s="55">
        <v>4.1100000000000003</v>
      </c>
    </row>
    <row r="21" spans="1:17" customFormat="1">
      <c r="A21" s="50" t="s">
        <v>264</v>
      </c>
      <c r="B21" s="55">
        <v>13.06</v>
      </c>
      <c r="C21" s="55">
        <v>23.63</v>
      </c>
      <c r="D21" s="55">
        <v>23.91</v>
      </c>
      <c r="E21" s="55">
        <v>9.6199999999999992</v>
      </c>
      <c r="F21" s="55">
        <v>4.9800000000000004</v>
      </c>
      <c r="G21" s="55">
        <v>7.42</v>
      </c>
      <c r="H21" s="55">
        <v>5.23</v>
      </c>
      <c r="I21" s="55">
        <v>3.68</v>
      </c>
      <c r="J21" s="55">
        <v>0.79</v>
      </c>
      <c r="K21" s="55">
        <v>271.8</v>
      </c>
      <c r="L21" s="55">
        <v>25.15</v>
      </c>
      <c r="M21" s="55">
        <v>96.92</v>
      </c>
      <c r="N21" s="55">
        <v>103.3</v>
      </c>
      <c r="O21" s="55">
        <v>0.4</v>
      </c>
      <c r="P21" s="55">
        <v>0.41</v>
      </c>
      <c r="Q21" s="55">
        <v>4.08</v>
      </c>
    </row>
    <row r="22" spans="1:17" customFormat="1">
      <c r="A22" s="50" t="s">
        <v>265</v>
      </c>
      <c r="B22" s="55">
        <v>12.86</v>
      </c>
      <c r="C22" s="55">
        <v>23.51</v>
      </c>
      <c r="D22" s="55">
        <v>23.72</v>
      </c>
      <c r="E22" s="55">
        <v>9.17</v>
      </c>
      <c r="F22" s="55">
        <v>4.8600000000000003</v>
      </c>
      <c r="G22" s="55">
        <v>7.04</v>
      </c>
      <c r="H22" s="55">
        <v>3.79</v>
      </c>
      <c r="I22" s="55">
        <v>3.64</v>
      </c>
      <c r="J22" s="55">
        <v>0.41</v>
      </c>
      <c r="K22" s="55">
        <v>290.14999999999998</v>
      </c>
      <c r="L22" s="55">
        <v>25.3</v>
      </c>
      <c r="M22" s="55">
        <v>96.91</v>
      </c>
      <c r="N22" s="55">
        <v>98</v>
      </c>
      <c r="O22" s="55">
        <v>0.2</v>
      </c>
      <c r="P22" s="55">
        <v>0.44</v>
      </c>
      <c r="Q22" s="55">
        <v>4.1100000000000003</v>
      </c>
    </row>
    <row r="23" spans="1:17" customFormat="1">
      <c r="A23" s="50" t="s">
        <v>266</v>
      </c>
      <c r="B23" s="55">
        <v>14.34</v>
      </c>
      <c r="C23" s="55">
        <v>24.37</v>
      </c>
      <c r="D23" s="55">
        <v>25.59</v>
      </c>
      <c r="E23" s="55">
        <v>9.06</v>
      </c>
      <c r="F23" s="55">
        <v>4.71</v>
      </c>
      <c r="G23" s="55">
        <v>5.03</v>
      </c>
      <c r="H23" s="55">
        <v>3.84</v>
      </c>
      <c r="I23" s="55">
        <v>4.58</v>
      </c>
      <c r="J23" s="55">
        <v>0.45</v>
      </c>
      <c r="K23" s="55">
        <v>273.55</v>
      </c>
      <c r="L23" s="55">
        <v>25.24</v>
      </c>
      <c r="M23" s="55">
        <v>97.41</v>
      </c>
      <c r="N23" s="55">
        <v>80.7</v>
      </c>
      <c r="O23" s="55">
        <v>0.6</v>
      </c>
      <c r="P23" s="55">
        <v>0.51</v>
      </c>
      <c r="Q23" s="55">
        <v>4.2</v>
      </c>
    </row>
    <row r="24" spans="1:17" customFormat="1">
      <c r="A24" s="50" t="s">
        <v>267</v>
      </c>
      <c r="B24" s="55">
        <v>14.72</v>
      </c>
      <c r="C24" s="55">
        <v>25</v>
      </c>
      <c r="D24" s="55">
        <v>26.22</v>
      </c>
      <c r="E24" s="55">
        <v>9.4600000000000009</v>
      </c>
      <c r="F24" s="55">
        <v>5.24</v>
      </c>
      <c r="G24" s="55">
        <v>7.9</v>
      </c>
      <c r="H24" s="55">
        <v>5.79</v>
      </c>
      <c r="I24" s="55">
        <v>5.2</v>
      </c>
      <c r="J24" s="55">
        <v>0.48</v>
      </c>
      <c r="K24" s="55">
        <v>274.98</v>
      </c>
      <c r="L24" s="55">
        <v>25.68</v>
      </c>
      <c r="M24" s="55">
        <v>96.51</v>
      </c>
      <c r="N24" s="55">
        <v>102</v>
      </c>
      <c r="O24" s="55">
        <v>0</v>
      </c>
      <c r="P24" s="55">
        <v>0.63</v>
      </c>
      <c r="Q24" s="55">
        <v>4.3</v>
      </c>
    </row>
    <row r="25" spans="1:17" customFormat="1">
      <c r="A25" s="50" t="s">
        <v>268</v>
      </c>
      <c r="B25" s="55">
        <v>14.66</v>
      </c>
      <c r="C25" s="55">
        <v>25.46</v>
      </c>
      <c r="D25" s="55">
        <v>26.33</v>
      </c>
      <c r="E25" s="55">
        <v>9.02</v>
      </c>
      <c r="F25" s="55">
        <v>4.82</v>
      </c>
      <c r="G25" s="55">
        <v>14.21</v>
      </c>
      <c r="H25" s="55">
        <v>7.46</v>
      </c>
      <c r="I25" s="55">
        <v>5.35</v>
      </c>
      <c r="J25" s="55">
        <v>0.47</v>
      </c>
      <c r="K25" s="55">
        <v>273.81</v>
      </c>
      <c r="L25" s="55">
        <v>25.6</v>
      </c>
      <c r="M25" s="55">
        <v>94.9</v>
      </c>
      <c r="N25" s="55">
        <v>47.1</v>
      </c>
      <c r="O25" s="55">
        <v>0</v>
      </c>
      <c r="P25" s="55">
        <v>0.64</v>
      </c>
      <c r="Q25" s="55">
        <v>4.3</v>
      </c>
    </row>
    <row r="26" spans="1:17" customFormat="1">
      <c r="A26" s="50" t="s">
        <v>269</v>
      </c>
      <c r="B26" s="55">
        <v>14.46</v>
      </c>
      <c r="C26" s="55">
        <v>24.91</v>
      </c>
      <c r="D26" s="55">
        <v>25.79</v>
      </c>
      <c r="E26" s="55">
        <v>9.5</v>
      </c>
      <c r="F26" s="55">
        <v>4.74</v>
      </c>
      <c r="G26" s="55">
        <v>14.21</v>
      </c>
      <c r="H26" s="55">
        <v>7.46</v>
      </c>
      <c r="I26" s="55">
        <v>5.39</v>
      </c>
      <c r="J26" s="55">
        <v>0.47</v>
      </c>
      <c r="K26" s="55">
        <v>265.93</v>
      </c>
      <c r="L26" s="55">
        <v>25.32</v>
      </c>
      <c r="M26" s="55">
        <v>95.86</v>
      </c>
      <c r="N26" s="55">
        <v>14.5</v>
      </c>
      <c r="O26" s="55">
        <v>0</v>
      </c>
      <c r="P26" s="55">
        <v>0.64</v>
      </c>
      <c r="Q26" s="55">
        <v>4.2300000000000004</v>
      </c>
    </row>
    <row r="27" spans="1:17" customFormat="1">
      <c r="A27" s="50" t="s">
        <v>270</v>
      </c>
      <c r="B27" s="55">
        <v>15.65</v>
      </c>
      <c r="C27" s="55">
        <v>25.84</v>
      </c>
      <c r="D27" s="55">
        <v>27.41</v>
      </c>
      <c r="E27" s="55">
        <v>8.61</v>
      </c>
      <c r="F27" s="55">
        <v>4.8099999999999996</v>
      </c>
      <c r="G27" s="55">
        <v>16.489999999999998</v>
      </c>
      <c r="H27" s="55">
        <v>5.59</v>
      </c>
      <c r="I27" s="55">
        <v>5.6</v>
      </c>
      <c r="J27" s="55">
        <v>0.32</v>
      </c>
      <c r="K27" s="55">
        <v>307.43</v>
      </c>
      <c r="L27" s="55">
        <v>24.98</v>
      </c>
      <c r="M27" s="55">
        <v>96.45</v>
      </c>
      <c r="N27" s="55">
        <v>0</v>
      </c>
      <c r="O27" s="55">
        <v>0</v>
      </c>
      <c r="P27" s="55">
        <v>0.72</v>
      </c>
      <c r="Q27" s="55">
        <v>4.28</v>
      </c>
    </row>
    <row r="28" spans="1:17" customFormat="1">
      <c r="A28" s="50" t="s">
        <v>271</v>
      </c>
      <c r="B28" s="55">
        <v>16.53</v>
      </c>
      <c r="C28" s="55">
        <v>26.1</v>
      </c>
      <c r="D28" s="55">
        <v>28.09</v>
      </c>
      <c r="E28" s="55">
        <v>8.7200000000000006</v>
      </c>
      <c r="F28" s="55">
        <v>4.55</v>
      </c>
      <c r="G28" s="55">
        <v>24.88</v>
      </c>
      <c r="H28" s="55">
        <v>4.67</v>
      </c>
      <c r="I28" s="55">
        <v>5.97</v>
      </c>
      <c r="J28" s="55">
        <v>0.15</v>
      </c>
      <c r="K28" s="55">
        <v>259.61</v>
      </c>
      <c r="L28" s="55">
        <v>24.87</v>
      </c>
      <c r="M28" s="55">
        <v>97.6</v>
      </c>
      <c r="N28" s="55">
        <v>0</v>
      </c>
      <c r="O28" s="55">
        <v>0</v>
      </c>
      <c r="P28" s="55">
        <v>0.75</v>
      </c>
      <c r="Q28" s="55">
        <v>4.3899999999999997</v>
      </c>
    </row>
    <row r="29" spans="1:17" customFormat="1">
      <c r="A29" s="50" t="s">
        <v>272</v>
      </c>
      <c r="B29" s="55">
        <v>16.510000000000002</v>
      </c>
      <c r="C29" s="55">
        <v>25.44</v>
      </c>
      <c r="D29" s="55">
        <v>27.8</v>
      </c>
      <c r="E29" s="55">
        <v>8.57</v>
      </c>
      <c r="F29" s="55">
        <v>4.66</v>
      </c>
      <c r="G29" s="55">
        <v>24.88</v>
      </c>
      <c r="H29" s="55">
        <v>5.46</v>
      </c>
      <c r="I29" s="55">
        <v>6.05</v>
      </c>
      <c r="J29" s="55">
        <v>0.3</v>
      </c>
      <c r="K29" s="55">
        <v>265.44</v>
      </c>
      <c r="L29" s="55">
        <v>24.69</v>
      </c>
      <c r="M29" s="55">
        <v>97.89</v>
      </c>
      <c r="N29" s="55">
        <v>0</v>
      </c>
      <c r="O29" s="55">
        <v>0</v>
      </c>
      <c r="P29" s="55">
        <v>0.74</v>
      </c>
      <c r="Q29" s="55">
        <v>4.37</v>
      </c>
    </row>
    <row r="30" spans="1:17" customFormat="1">
      <c r="A30" s="50" t="s">
        <v>273</v>
      </c>
      <c r="B30" s="55">
        <v>16.47</v>
      </c>
      <c r="C30" s="55">
        <v>25.22</v>
      </c>
      <c r="D30" s="55">
        <v>27.74</v>
      </c>
      <c r="E30" s="55">
        <v>8.84</v>
      </c>
      <c r="F30" s="55">
        <v>4.63</v>
      </c>
      <c r="G30" s="55">
        <v>19.18</v>
      </c>
      <c r="H30" s="55">
        <v>5.46</v>
      </c>
      <c r="I30" s="55">
        <v>5.87</v>
      </c>
      <c r="J30" s="55">
        <v>0.35</v>
      </c>
      <c r="K30" s="55">
        <v>266.51</v>
      </c>
      <c r="L30" s="55">
        <v>24.58</v>
      </c>
      <c r="M30" s="55">
        <v>97.78</v>
      </c>
      <c r="N30" s="55">
        <v>0</v>
      </c>
      <c r="O30" s="55">
        <v>0</v>
      </c>
      <c r="P30" s="55">
        <v>0.72</v>
      </c>
      <c r="Q30" s="55">
        <v>4.37</v>
      </c>
    </row>
    <row r="31" spans="1:17" customFormat="1">
      <c r="A31" s="50" t="s">
        <v>274</v>
      </c>
      <c r="B31" s="55">
        <v>16.510000000000002</v>
      </c>
      <c r="C31" s="55">
        <v>24.7</v>
      </c>
      <c r="D31" s="55">
        <v>27.31</v>
      </c>
      <c r="E31" s="55">
        <v>8.64</v>
      </c>
      <c r="F31" s="55">
        <v>4.6399999999999997</v>
      </c>
      <c r="G31" s="55">
        <v>15.69</v>
      </c>
      <c r="H31" s="55">
        <v>4.08</v>
      </c>
      <c r="I31" s="55">
        <v>5.62</v>
      </c>
      <c r="J31" s="55">
        <v>0.44</v>
      </c>
      <c r="K31" s="55">
        <v>265.58999999999997</v>
      </c>
      <c r="L31" s="55">
        <v>24.53</v>
      </c>
      <c r="M31" s="55">
        <v>97.72</v>
      </c>
      <c r="N31" s="55">
        <v>0</v>
      </c>
      <c r="O31" s="55">
        <v>0</v>
      </c>
      <c r="P31" s="55">
        <v>0.67</v>
      </c>
      <c r="Q31" s="55">
        <v>4.3600000000000003</v>
      </c>
    </row>
    <row r="32" spans="1:17" customFormat="1">
      <c r="A32" s="50" t="s">
        <v>275</v>
      </c>
      <c r="B32" s="55">
        <v>16.32</v>
      </c>
      <c r="C32" s="55">
        <v>23.94</v>
      </c>
      <c r="D32" s="55">
        <v>26.95</v>
      </c>
      <c r="E32" s="55">
        <v>8.6999999999999993</v>
      </c>
      <c r="F32" s="55">
        <v>4.7699999999999996</v>
      </c>
      <c r="G32" s="55">
        <v>11.18</v>
      </c>
      <c r="H32" s="55">
        <v>3.11</v>
      </c>
      <c r="I32" s="55">
        <v>5.41</v>
      </c>
      <c r="J32" s="55">
        <v>0.61</v>
      </c>
      <c r="K32" s="55">
        <v>264.92</v>
      </c>
      <c r="L32" s="55">
        <v>24.5</v>
      </c>
      <c r="M32" s="55">
        <v>97.72</v>
      </c>
      <c r="N32" s="55">
        <v>0</v>
      </c>
      <c r="O32" s="55">
        <v>0</v>
      </c>
      <c r="P32" s="55">
        <v>0.65</v>
      </c>
      <c r="Q32" s="55">
        <v>4.3499999999999996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12.86</v>
      </c>
      <c r="C34" s="40">
        <f t="shared" si="0"/>
        <v>23</v>
      </c>
      <c r="D34" s="40">
        <f t="shared" si="0"/>
        <v>23.72</v>
      </c>
      <c r="E34" s="40">
        <f t="shared" si="0"/>
        <v>8.32</v>
      </c>
      <c r="F34" s="40">
        <f t="shared" si="0"/>
        <v>4.54</v>
      </c>
      <c r="G34" s="40">
        <f t="shared" si="0"/>
        <v>5.03</v>
      </c>
      <c r="H34" s="40">
        <f t="shared" si="0"/>
        <v>3.11</v>
      </c>
      <c r="I34" s="40">
        <f t="shared" si="0"/>
        <v>3.64</v>
      </c>
      <c r="J34" s="40">
        <f t="shared" si="0"/>
        <v>0.15</v>
      </c>
      <c r="K34" s="40">
        <f t="shared" si="0"/>
        <v>255.76</v>
      </c>
      <c r="L34" s="40">
        <f t="shared" si="0"/>
        <v>24.49</v>
      </c>
      <c r="M34" s="40">
        <f t="shared" si="0"/>
        <v>94.44</v>
      </c>
      <c r="N34" s="40">
        <f t="shared" si="0"/>
        <v>0</v>
      </c>
      <c r="O34" s="40">
        <f t="shared" si="0"/>
        <v>0</v>
      </c>
      <c r="P34" s="40">
        <f t="shared" si="0"/>
        <v>0.41</v>
      </c>
      <c r="Q34" s="40">
        <f t="shared" si="0"/>
        <v>4.07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17.690000000000001</v>
      </c>
      <c r="C35" s="33">
        <f t="shared" si="1"/>
        <v>26.97</v>
      </c>
      <c r="D35" s="33">
        <f t="shared" si="1"/>
        <v>29.35</v>
      </c>
      <c r="E35" s="33">
        <f t="shared" si="1"/>
        <v>9.6199999999999992</v>
      </c>
      <c r="F35" s="33">
        <f t="shared" si="1"/>
        <v>5.24</v>
      </c>
      <c r="G35" s="33">
        <f t="shared" si="1"/>
        <v>33.5</v>
      </c>
      <c r="H35" s="33">
        <f t="shared" si="1"/>
        <v>16.739999999999998</v>
      </c>
      <c r="I35" s="33">
        <f t="shared" si="1"/>
        <v>6.05</v>
      </c>
      <c r="J35" s="33">
        <f t="shared" si="1"/>
        <v>0.84</v>
      </c>
      <c r="K35" s="33">
        <f t="shared" si="1"/>
        <v>307.43</v>
      </c>
      <c r="L35" s="33">
        <f t="shared" si="1"/>
        <v>25.68</v>
      </c>
      <c r="M35" s="33">
        <f t="shared" si="1"/>
        <v>97.92</v>
      </c>
      <c r="N35" s="33">
        <f t="shared" si="1"/>
        <v>123.2</v>
      </c>
      <c r="O35" s="33">
        <f t="shared" si="1"/>
        <v>1.2</v>
      </c>
      <c r="P35" s="33">
        <f t="shared" si="1"/>
        <v>0.75</v>
      </c>
      <c r="Q35" s="33">
        <f t="shared" si="1"/>
        <v>4.3899999999999997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15.564166666666667</v>
      </c>
      <c r="C36" s="40">
        <f t="shared" si="2"/>
        <v>24.661666666666672</v>
      </c>
      <c r="D36" s="40">
        <f t="shared" si="2"/>
        <v>26.592916666666664</v>
      </c>
      <c r="E36" s="40">
        <f t="shared" si="2"/>
        <v>8.9412499999999984</v>
      </c>
      <c r="F36" s="40">
        <f t="shared" si="2"/>
        <v>4.7916666666666652</v>
      </c>
      <c r="G36" s="40">
        <f t="shared" si="2"/>
        <v>15.04916666666667</v>
      </c>
      <c r="H36" s="40">
        <f t="shared" si="2"/>
        <v>5.9337500000000025</v>
      </c>
      <c r="I36" s="40">
        <f t="shared" si="2"/>
        <v>4.7737499999999997</v>
      </c>
      <c r="J36" s="40">
        <f t="shared" si="2"/>
        <v>0.50250000000000006</v>
      </c>
      <c r="K36" s="40">
        <f t="shared" si="2"/>
        <v>270.11958333333342</v>
      </c>
      <c r="L36" s="40">
        <f t="shared" si="2"/>
        <v>24.985000000000003</v>
      </c>
      <c r="M36" s="40">
        <f t="shared" si="2"/>
        <v>96.747499999999988</v>
      </c>
      <c r="N36" s="40">
        <f t="shared" si="2"/>
        <v>38.779166666666669</v>
      </c>
      <c r="O36" s="40">
        <f t="shared" si="2"/>
        <v>0.12500000000000003</v>
      </c>
      <c r="P36" s="40">
        <f t="shared" si="2"/>
        <v>0.54875000000000018</v>
      </c>
      <c r="Q36" s="40">
        <f t="shared" si="2"/>
        <v>4.2479166666666668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1.4475494034271394</v>
      </c>
      <c r="C37" s="40">
        <f t="shared" ref="C37:Q37" si="3">STDEV(C9:C32)</f>
        <v>1.018070069625139</v>
      </c>
      <c r="D37" s="40">
        <f t="shared" si="3"/>
        <v>1.5809806510014004</v>
      </c>
      <c r="E37" s="40">
        <f t="shared" si="3"/>
        <v>0.32214380396771997</v>
      </c>
      <c r="F37" s="40">
        <f t="shared" si="3"/>
        <v>0.18346108855694149</v>
      </c>
      <c r="G37" s="40">
        <f t="shared" si="3"/>
        <v>8.3750908712353223</v>
      </c>
      <c r="H37" s="40">
        <f t="shared" si="3"/>
        <v>2.9005334029690295</v>
      </c>
      <c r="I37" s="40">
        <f t="shared" si="3"/>
        <v>0.79724968812624453</v>
      </c>
      <c r="J37" s="40">
        <f t="shared" si="3"/>
        <v>0.16912177243939785</v>
      </c>
      <c r="K37" s="40">
        <f t="shared" si="3"/>
        <v>10.408401906805265</v>
      </c>
      <c r="L37" s="40">
        <f t="shared" si="3"/>
        <v>0.40476509559090507</v>
      </c>
      <c r="M37" s="40">
        <f t="shared" si="3"/>
        <v>1.0800976203884971</v>
      </c>
      <c r="N37" s="40">
        <f t="shared" si="3"/>
        <v>47.142180680101788</v>
      </c>
      <c r="O37" s="40">
        <f t="shared" si="3"/>
        <v>0.28168746171414255</v>
      </c>
      <c r="P37" s="40">
        <f t="shared" si="3"/>
        <v>0.11644414596893481</v>
      </c>
      <c r="Q37" s="40">
        <f t="shared" si="3"/>
        <v>9.8200290740155377E-2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276</v>
      </c>
      <c r="B9" s="55">
        <v>16.98</v>
      </c>
      <c r="C9" s="55">
        <v>24.76</v>
      </c>
      <c r="D9" s="55">
        <v>27.84</v>
      </c>
      <c r="E9" s="55">
        <v>8.57</v>
      </c>
      <c r="F9" s="55">
        <v>4.7699999999999996</v>
      </c>
      <c r="G9" s="55">
        <v>12.12</v>
      </c>
      <c r="H9" s="55">
        <v>4.37</v>
      </c>
      <c r="I9" s="55">
        <v>5.14</v>
      </c>
      <c r="J9" s="55">
        <v>0.72</v>
      </c>
      <c r="K9" s="55">
        <v>263.22000000000003</v>
      </c>
      <c r="L9" s="55">
        <v>24.47</v>
      </c>
      <c r="M9" s="55">
        <v>96.36</v>
      </c>
      <c r="N9" s="55">
        <v>0</v>
      </c>
      <c r="O9" s="55">
        <v>0</v>
      </c>
      <c r="P9" s="55">
        <v>0.6</v>
      </c>
      <c r="Q9" s="55">
        <v>4.2300000000000004</v>
      </c>
    </row>
    <row r="10" spans="1:21" customFormat="1">
      <c r="A10" s="50" t="s">
        <v>277</v>
      </c>
      <c r="B10" s="55">
        <v>16.579999999999998</v>
      </c>
      <c r="C10" s="55">
        <v>24.25</v>
      </c>
      <c r="D10" s="55">
        <v>27.16</v>
      </c>
      <c r="E10" s="55">
        <v>8.74</v>
      </c>
      <c r="F10" s="55">
        <v>4.51</v>
      </c>
      <c r="G10" s="55">
        <v>12.12</v>
      </c>
      <c r="H10" s="55">
        <v>4.37</v>
      </c>
      <c r="I10" s="55">
        <v>4.84</v>
      </c>
      <c r="J10" s="55">
        <v>0.61</v>
      </c>
      <c r="K10" s="55">
        <v>268.14999999999998</v>
      </c>
      <c r="L10" s="55">
        <v>24.53</v>
      </c>
      <c r="M10" s="55">
        <v>96.29</v>
      </c>
      <c r="N10" s="55">
        <v>0</v>
      </c>
      <c r="O10" s="55">
        <v>0</v>
      </c>
      <c r="P10" s="55">
        <v>0.57999999999999996</v>
      </c>
      <c r="Q10" s="55">
        <v>4.1900000000000004</v>
      </c>
    </row>
    <row r="11" spans="1:21" customFormat="1">
      <c r="A11" s="50" t="s">
        <v>278</v>
      </c>
      <c r="B11" s="55">
        <v>16.309999999999999</v>
      </c>
      <c r="C11" s="55">
        <v>24.07</v>
      </c>
      <c r="D11" s="55">
        <v>26.83</v>
      </c>
      <c r="E11" s="55">
        <v>9.61</v>
      </c>
      <c r="F11" s="55">
        <v>4.78</v>
      </c>
      <c r="G11" s="55">
        <v>8.65</v>
      </c>
      <c r="H11" s="55">
        <v>3.19</v>
      </c>
      <c r="I11" s="55">
        <v>4.59</v>
      </c>
      <c r="J11" s="55">
        <v>0.62</v>
      </c>
      <c r="K11" s="55">
        <v>267.06</v>
      </c>
      <c r="L11" s="55">
        <v>24.5</v>
      </c>
      <c r="M11" s="55">
        <v>95.82</v>
      </c>
      <c r="N11" s="55">
        <v>0</v>
      </c>
      <c r="O11" s="55">
        <v>0</v>
      </c>
      <c r="P11" s="55">
        <v>0.55000000000000004</v>
      </c>
      <c r="Q11" s="55">
        <v>4.17</v>
      </c>
    </row>
    <row r="12" spans="1:21" customFormat="1">
      <c r="A12" s="50" t="s">
        <v>279</v>
      </c>
      <c r="B12" s="55">
        <v>15.94</v>
      </c>
      <c r="C12" s="55">
        <v>24.43</v>
      </c>
      <c r="D12" s="55">
        <v>26.78</v>
      </c>
      <c r="E12" s="55">
        <v>9.64</v>
      </c>
      <c r="F12" s="55">
        <v>4.7300000000000004</v>
      </c>
      <c r="G12" s="55">
        <v>8.25</v>
      </c>
      <c r="H12" s="55">
        <v>2.34</v>
      </c>
      <c r="I12" s="55">
        <v>4.4400000000000004</v>
      </c>
      <c r="J12" s="55">
        <v>0.73</v>
      </c>
      <c r="K12" s="55">
        <v>267.44</v>
      </c>
      <c r="L12" s="55">
        <v>24.28</v>
      </c>
      <c r="M12" s="55">
        <v>96.49</v>
      </c>
      <c r="N12" s="55">
        <v>0</v>
      </c>
      <c r="O12" s="55">
        <v>0.2</v>
      </c>
      <c r="P12" s="55">
        <v>0.52</v>
      </c>
      <c r="Q12" s="55">
        <v>4.1399999999999997</v>
      </c>
    </row>
    <row r="13" spans="1:21" customFormat="1">
      <c r="A13" s="50" t="s">
        <v>280</v>
      </c>
      <c r="B13" s="55">
        <v>15.67</v>
      </c>
      <c r="C13" s="55">
        <v>23.47</v>
      </c>
      <c r="D13" s="55">
        <v>25.94</v>
      </c>
      <c r="E13" s="55">
        <v>9.68</v>
      </c>
      <c r="F13" s="55">
        <v>4.8499999999999996</v>
      </c>
      <c r="G13" s="55">
        <v>8.83</v>
      </c>
      <c r="H13" s="55">
        <v>4.3600000000000003</v>
      </c>
      <c r="I13" s="55">
        <v>4.22</v>
      </c>
      <c r="J13" s="55">
        <v>0.76</v>
      </c>
      <c r="K13" s="55">
        <v>275.74</v>
      </c>
      <c r="L13" s="55">
        <v>24.29</v>
      </c>
      <c r="M13" s="55">
        <v>96.52</v>
      </c>
      <c r="N13" s="55">
        <v>0</v>
      </c>
      <c r="O13" s="55">
        <v>0</v>
      </c>
      <c r="P13" s="55">
        <v>0.5</v>
      </c>
      <c r="Q13" s="55">
        <v>4.12</v>
      </c>
    </row>
    <row r="14" spans="1:21" customFormat="1">
      <c r="A14" s="50" t="s">
        <v>281</v>
      </c>
      <c r="B14" s="55">
        <v>14.91</v>
      </c>
      <c r="C14" s="55">
        <v>23.38</v>
      </c>
      <c r="D14" s="55">
        <v>25.46</v>
      </c>
      <c r="E14" s="55">
        <v>9.39</v>
      </c>
      <c r="F14" s="55">
        <v>4.6100000000000003</v>
      </c>
      <c r="G14" s="55">
        <v>8.83</v>
      </c>
      <c r="H14" s="55">
        <v>4.3600000000000003</v>
      </c>
      <c r="I14" s="55">
        <v>3.99</v>
      </c>
      <c r="J14" s="55">
        <v>0.7</v>
      </c>
      <c r="K14" s="55">
        <v>267.85000000000002</v>
      </c>
      <c r="L14" s="55">
        <v>24.23</v>
      </c>
      <c r="M14" s="55">
        <v>96.98</v>
      </c>
      <c r="N14" s="55">
        <v>0</v>
      </c>
      <c r="O14" s="55">
        <v>0</v>
      </c>
      <c r="P14" s="55">
        <v>0.48</v>
      </c>
      <c r="Q14" s="55">
        <v>4.04</v>
      </c>
    </row>
    <row r="15" spans="1:21" customFormat="1">
      <c r="A15" s="50" t="s">
        <v>282</v>
      </c>
      <c r="B15" s="55">
        <v>14.58</v>
      </c>
      <c r="C15" s="55">
        <v>23.91</v>
      </c>
      <c r="D15" s="55">
        <v>25.52</v>
      </c>
      <c r="E15" s="55">
        <v>9.61</v>
      </c>
      <c r="F15" s="55">
        <v>4.53</v>
      </c>
      <c r="G15" s="55">
        <v>6.2</v>
      </c>
      <c r="H15" s="55">
        <v>3.34</v>
      </c>
      <c r="I15" s="55">
        <v>3.84</v>
      </c>
      <c r="J15" s="55">
        <v>0.67</v>
      </c>
      <c r="K15" s="55">
        <v>267.91000000000003</v>
      </c>
      <c r="L15" s="55">
        <v>24.27</v>
      </c>
      <c r="M15" s="55">
        <v>96.42</v>
      </c>
      <c r="N15" s="55">
        <v>20.7</v>
      </c>
      <c r="O15" s="55">
        <v>0</v>
      </c>
      <c r="P15" s="55">
        <v>0.45</v>
      </c>
      <c r="Q15" s="55">
        <v>4.09</v>
      </c>
    </row>
    <row r="16" spans="1:21" customFormat="1">
      <c r="A16" s="50" t="s">
        <v>283</v>
      </c>
      <c r="B16" s="55">
        <v>14.34</v>
      </c>
      <c r="C16" s="55">
        <v>23.98</v>
      </c>
      <c r="D16" s="55">
        <v>25.18</v>
      </c>
      <c r="E16" s="55">
        <v>9.44</v>
      </c>
      <c r="F16" s="55">
        <v>4.71</v>
      </c>
      <c r="G16" s="55">
        <v>5.09</v>
      </c>
      <c r="H16" s="55">
        <v>3.69</v>
      </c>
      <c r="I16" s="55">
        <v>3.74</v>
      </c>
      <c r="J16" s="55">
        <v>0.53</v>
      </c>
      <c r="K16" s="55">
        <v>265.16000000000003</v>
      </c>
      <c r="L16" s="55">
        <v>24.69</v>
      </c>
      <c r="M16" s="55">
        <v>95.11</v>
      </c>
      <c r="N16" s="55">
        <v>43.9</v>
      </c>
      <c r="O16" s="55">
        <v>0</v>
      </c>
      <c r="P16" s="55">
        <v>0.45</v>
      </c>
      <c r="Q16" s="55">
        <v>4.07</v>
      </c>
    </row>
    <row r="17" spans="1:17" customFormat="1">
      <c r="A17" s="50" t="s">
        <v>284</v>
      </c>
      <c r="B17" s="55">
        <v>12.24</v>
      </c>
      <c r="C17" s="55">
        <v>19.62</v>
      </c>
      <c r="D17" s="55">
        <v>21.42</v>
      </c>
      <c r="E17" s="55">
        <v>9.3800000000000008</v>
      </c>
      <c r="F17" s="55">
        <v>5.45</v>
      </c>
      <c r="G17" s="55">
        <v>4.26</v>
      </c>
      <c r="H17" s="55">
        <v>3.69</v>
      </c>
      <c r="I17" s="55">
        <v>3.61</v>
      </c>
      <c r="J17" s="55">
        <v>0.57999999999999996</v>
      </c>
      <c r="K17" s="55">
        <v>272.75</v>
      </c>
      <c r="L17" s="55">
        <v>25.48</v>
      </c>
      <c r="M17" s="55">
        <v>94.95</v>
      </c>
      <c r="N17" s="55">
        <v>83</v>
      </c>
      <c r="O17" s="55">
        <v>0</v>
      </c>
      <c r="P17" s="55">
        <v>0.44</v>
      </c>
      <c r="Q17" s="55">
        <v>3.94</v>
      </c>
    </row>
    <row r="18" spans="1:17" customFormat="1">
      <c r="A18" s="50" t="s">
        <v>285</v>
      </c>
      <c r="B18" s="55">
        <v>4.5199999999999996</v>
      </c>
      <c r="C18" s="55">
        <v>17.48</v>
      </c>
      <c r="D18" s="55">
        <v>13.87</v>
      </c>
      <c r="E18" s="55">
        <v>8.5299999999999994</v>
      </c>
      <c r="F18" s="55">
        <v>9.7100000000000009</v>
      </c>
      <c r="G18" s="55">
        <v>7.23</v>
      </c>
      <c r="H18" s="55">
        <v>2.93</v>
      </c>
      <c r="I18" s="55">
        <v>2.72</v>
      </c>
      <c r="J18" s="55">
        <v>0.86</v>
      </c>
      <c r="K18" s="55">
        <v>267.14999999999998</v>
      </c>
      <c r="L18" s="55">
        <v>26.14</v>
      </c>
      <c r="M18" s="55">
        <v>95</v>
      </c>
      <c r="N18" s="55">
        <v>169.1</v>
      </c>
      <c r="O18" s="55">
        <v>0</v>
      </c>
      <c r="P18" s="55">
        <v>0.38</v>
      </c>
      <c r="Q18" s="55">
        <v>3.39</v>
      </c>
    </row>
    <row r="19" spans="1:17" customFormat="1">
      <c r="A19" s="50" t="s">
        <v>286</v>
      </c>
      <c r="B19" s="55">
        <v>6.7</v>
      </c>
      <c r="C19" s="55">
        <v>21.97</v>
      </c>
      <c r="D19" s="55">
        <v>18.2</v>
      </c>
      <c r="E19" s="55">
        <v>5.14</v>
      </c>
      <c r="F19" s="55">
        <v>4.6399999999999997</v>
      </c>
      <c r="G19" s="55">
        <v>7.32</v>
      </c>
      <c r="H19" s="55">
        <v>2.93</v>
      </c>
      <c r="I19" s="55">
        <v>1.91</v>
      </c>
      <c r="J19" s="55">
        <v>0.9</v>
      </c>
      <c r="K19" s="55">
        <v>268.77999999999997</v>
      </c>
      <c r="L19" s="55">
        <v>27.73</v>
      </c>
      <c r="M19" s="55">
        <v>90.29</v>
      </c>
      <c r="N19" s="55">
        <v>379.6</v>
      </c>
      <c r="O19" s="55">
        <v>0</v>
      </c>
      <c r="P19" s="55">
        <v>0.4</v>
      </c>
      <c r="Q19" s="55">
        <v>3.35</v>
      </c>
    </row>
    <row r="20" spans="1:17" customFormat="1">
      <c r="A20" s="50" t="s">
        <v>287</v>
      </c>
      <c r="B20" s="55">
        <v>7.89</v>
      </c>
      <c r="C20" s="55">
        <v>23.2</v>
      </c>
      <c r="D20" s="55">
        <v>19.8</v>
      </c>
      <c r="E20" s="55">
        <v>5.72</v>
      </c>
      <c r="F20" s="55">
        <v>4.91</v>
      </c>
      <c r="G20" s="55">
        <v>7.32</v>
      </c>
      <c r="H20" s="55">
        <v>4.3099999999999996</v>
      </c>
      <c r="I20" s="55">
        <v>2.61</v>
      </c>
      <c r="J20" s="55">
        <v>1.04</v>
      </c>
      <c r="K20" s="55">
        <v>272.89999999999998</v>
      </c>
      <c r="L20" s="55">
        <v>28.08</v>
      </c>
      <c r="M20" s="55">
        <v>83.64</v>
      </c>
      <c r="N20" s="55">
        <v>360.9</v>
      </c>
      <c r="O20" s="55">
        <v>0</v>
      </c>
      <c r="P20" s="55">
        <v>0.42</v>
      </c>
      <c r="Q20" s="55">
        <v>3.44</v>
      </c>
    </row>
    <row r="21" spans="1:17" customFormat="1">
      <c r="A21" s="50" t="s">
        <v>288</v>
      </c>
      <c r="B21" s="55">
        <v>8.9</v>
      </c>
      <c r="C21" s="55">
        <v>23.98</v>
      </c>
      <c r="D21" s="55">
        <v>20.89</v>
      </c>
      <c r="E21" s="55">
        <v>5.91</v>
      </c>
      <c r="F21" s="55">
        <v>4.8</v>
      </c>
      <c r="G21" s="55">
        <v>9.11</v>
      </c>
      <c r="H21" s="55">
        <v>4.3099999999999996</v>
      </c>
      <c r="I21" s="55">
        <v>2.89</v>
      </c>
      <c r="J21" s="55">
        <v>0.73</v>
      </c>
      <c r="K21" s="55">
        <v>270.24</v>
      </c>
      <c r="L21" s="55">
        <v>27.63</v>
      </c>
      <c r="M21" s="55">
        <v>87.32</v>
      </c>
      <c r="N21" s="55">
        <v>158.69999999999999</v>
      </c>
      <c r="O21" s="55">
        <v>0</v>
      </c>
      <c r="P21" s="55">
        <v>0.48</v>
      </c>
      <c r="Q21" s="55">
        <v>3.56</v>
      </c>
    </row>
    <row r="22" spans="1:17" customFormat="1">
      <c r="A22" s="50" t="s">
        <v>289</v>
      </c>
      <c r="B22" s="55">
        <v>10.02</v>
      </c>
      <c r="C22" s="55">
        <v>24.14</v>
      </c>
      <c r="D22" s="55">
        <v>21.66</v>
      </c>
      <c r="E22" s="55">
        <v>5.88</v>
      </c>
      <c r="F22" s="55">
        <v>5.18</v>
      </c>
      <c r="G22" s="55">
        <v>10.67</v>
      </c>
      <c r="H22" s="55">
        <v>3.89</v>
      </c>
      <c r="I22" s="55">
        <v>3.23</v>
      </c>
      <c r="J22" s="55">
        <v>0.84</v>
      </c>
      <c r="K22" s="55">
        <v>271.10000000000002</v>
      </c>
      <c r="L22" s="55">
        <v>28.39</v>
      </c>
      <c r="M22" s="55">
        <v>87.25</v>
      </c>
      <c r="N22" s="55">
        <v>393.6</v>
      </c>
      <c r="O22" s="55">
        <v>0</v>
      </c>
      <c r="P22" s="55">
        <v>0.51</v>
      </c>
      <c r="Q22" s="55">
        <v>3.61</v>
      </c>
    </row>
    <row r="23" spans="1:17" customFormat="1">
      <c r="A23" s="50" t="s">
        <v>290</v>
      </c>
      <c r="B23" s="55">
        <v>10.47</v>
      </c>
      <c r="C23" s="55">
        <v>21.24</v>
      </c>
      <c r="D23" s="55">
        <v>20.66</v>
      </c>
      <c r="E23" s="55">
        <v>4.75</v>
      </c>
      <c r="F23" s="55">
        <v>5.7</v>
      </c>
      <c r="G23" s="55">
        <v>13.22</v>
      </c>
      <c r="H23" s="55">
        <v>3.08</v>
      </c>
      <c r="I23" s="55">
        <v>3.33</v>
      </c>
      <c r="J23" s="55">
        <v>0.74</v>
      </c>
      <c r="K23" s="55">
        <v>267.64</v>
      </c>
      <c r="L23" s="55">
        <v>27.81</v>
      </c>
      <c r="M23" s="55">
        <v>86.23</v>
      </c>
      <c r="N23" s="55">
        <v>197.2</v>
      </c>
      <c r="O23" s="55">
        <v>0</v>
      </c>
      <c r="P23" s="55">
        <v>0.44</v>
      </c>
      <c r="Q23" s="55">
        <v>3.64</v>
      </c>
    </row>
    <row r="24" spans="1:17" customFormat="1">
      <c r="A24" s="50" t="s">
        <v>291</v>
      </c>
      <c r="B24" s="55">
        <v>10.53</v>
      </c>
      <c r="C24" s="55">
        <v>19.96</v>
      </c>
      <c r="D24" s="55">
        <v>20.23</v>
      </c>
      <c r="E24" s="55">
        <v>4.93</v>
      </c>
      <c r="F24" s="55">
        <v>6.27</v>
      </c>
      <c r="G24" s="55">
        <v>13.22</v>
      </c>
      <c r="H24" s="55">
        <v>2.91</v>
      </c>
      <c r="I24" s="55">
        <v>3.34</v>
      </c>
      <c r="J24" s="55">
        <v>0.63</v>
      </c>
      <c r="K24" s="55">
        <v>265.02999999999997</v>
      </c>
      <c r="L24" s="55">
        <v>27.34</v>
      </c>
      <c r="M24" s="55">
        <v>87.31</v>
      </c>
      <c r="N24" s="55">
        <v>92</v>
      </c>
      <c r="O24" s="55">
        <v>0</v>
      </c>
      <c r="P24" s="55">
        <v>0.41</v>
      </c>
      <c r="Q24" s="55">
        <v>3.64</v>
      </c>
    </row>
    <row r="25" spans="1:17" customFormat="1">
      <c r="A25" s="50" t="s">
        <v>292</v>
      </c>
      <c r="B25" s="55">
        <v>10.85</v>
      </c>
      <c r="C25" s="55">
        <v>21.15</v>
      </c>
      <c r="D25" s="55">
        <v>20.95</v>
      </c>
      <c r="E25" s="55">
        <v>4.79</v>
      </c>
      <c r="F25" s="55">
        <v>6.4</v>
      </c>
      <c r="G25" s="55">
        <v>10.47</v>
      </c>
      <c r="H25" s="55">
        <v>3.26</v>
      </c>
      <c r="I25" s="55">
        <v>3.22</v>
      </c>
      <c r="J25" s="55">
        <v>0.55000000000000004</v>
      </c>
      <c r="K25" s="55">
        <v>264.14</v>
      </c>
      <c r="L25" s="55">
        <v>27.13</v>
      </c>
      <c r="M25" s="55">
        <v>88.58</v>
      </c>
      <c r="N25" s="55">
        <v>62.8</v>
      </c>
      <c r="O25" s="55">
        <v>0</v>
      </c>
      <c r="P25" s="55">
        <v>0.43</v>
      </c>
      <c r="Q25" s="55">
        <v>3.66</v>
      </c>
    </row>
    <row r="26" spans="1:17" customFormat="1">
      <c r="A26" s="50" t="s">
        <v>293</v>
      </c>
      <c r="B26" s="55">
        <v>11.06</v>
      </c>
      <c r="C26" s="55">
        <v>20.72</v>
      </c>
      <c r="D26" s="55">
        <v>20.97</v>
      </c>
      <c r="E26" s="55">
        <v>5.0599999999999996</v>
      </c>
      <c r="F26" s="55">
        <v>7.6</v>
      </c>
      <c r="G26" s="55">
        <v>11.65</v>
      </c>
      <c r="H26" s="55">
        <v>3.88</v>
      </c>
      <c r="I26" s="55">
        <v>3.12</v>
      </c>
      <c r="J26" s="55">
        <v>0.43</v>
      </c>
      <c r="K26" s="55">
        <v>262.73</v>
      </c>
      <c r="L26" s="55">
        <v>26.76</v>
      </c>
      <c r="M26" s="55">
        <v>93.35</v>
      </c>
      <c r="N26" s="55">
        <v>17.399999999999999</v>
      </c>
      <c r="O26" s="55">
        <v>0</v>
      </c>
      <c r="P26" s="55">
        <v>0.41</v>
      </c>
      <c r="Q26" s="55">
        <v>3.72</v>
      </c>
    </row>
    <row r="27" spans="1:17" customFormat="1">
      <c r="A27" s="50" t="s">
        <v>294</v>
      </c>
      <c r="B27" s="55">
        <v>11.56</v>
      </c>
      <c r="C27" s="55">
        <v>24.39</v>
      </c>
      <c r="D27" s="55">
        <v>23.37</v>
      </c>
      <c r="E27" s="55">
        <v>8.14</v>
      </c>
      <c r="F27" s="55">
        <v>7.6</v>
      </c>
      <c r="G27" s="55">
        <v>11.65</v>
      </c>
      <c r="H27" s="55">
        <v>3.88</v>
      </c>
      <c r="I27" s="55">
        <v>3.29</v>
      </c>
      <c r="J27" s="55">
        <v>0.13</v>
      </c>
      <c r="K27" s="55">
        <v>237.69</v>
      </c>
      <c r="L27" s="55">
        <v>26.22</v>
      </c>
      <c r="M27" s="55">
        <v>94.88</v>
      </c>
      <c r="N27" s="55">
        <v>0</v>
      </c>
      <c r="O27" s="55">
        <v>0</v>
      </c>
      <c r="P27" s="55">
        <v>0.46</v>
      </c>
      <c r="Q27" s="55">
        <v>3.79</v>
      </c>
    </row>
    <row r="28" spans="1:17" customFormat="1">
      <c r="A28" s="50" t="s">
        <v>295</v>
      </c>
      <c r="B28" s="55">
        <v>12.04</v>
      </c>
      <c r="C28" s="55">
        <v>24.31</v>
      </c>
      <c r="D28" s="55">
        <v>23.71</v>
      </c>
      <c r="E28" s="55">
        <v>8.24</v>
      </c>
      <c r="F28" s="55">
        <v>4.0999999999999996</v>
      </c>
      <c r="G28" s="55">
        <v>10.29</v>
      </c>
      <c r="H28" s="55">
        <v>3.37</v>
      </c>
      <c r="I28" s="55">
        <v>3.9</v>
      </c>
      <c r="J28" s="55">
        <v>0.13</v>
      </c>
      <c r="K28" s="55">
        <v>229.86</v>
      </c>
      <c r="L28" s="55">
        <v>26.15</v>
      </c>
      <c r="M28" s="55">
        <v>95.55</v>
      </c>
      <c r="N28" s="55">
        <v>0</v>
      </c>
      <c r="O28" s="55">
        <v>0</v>
      </c>
      <c r="P28" s="55">
        <v>0.47</v>
      </c>
      <c r="Q28" s="55">
        <v>3.81</v>
      </c>
    </row>
    <row r="29" spans="1:17" customFormat="1">
      <c r="A29" s="50" t="s">
        <v>296</v>
      </c>
      <c r="B29" s="55">
        <v>12.62</v>
      </c>
      <c r="C29" s="55">
        <v>24.67</v>
      </c>
      <c r="D29" s="55">
        <v>24.36</v>
      </c>
      <c r="E29" s="55">
        <v>8.08</v>
      </c>
      <c r="F29" s="55">
        <v>4.03</v>
      </c>
      <c r="G29" s="55">
        <v>11.22</v>
      </c>
      <c r="H29" s="55">
        <v>4.6399999999999997</v>
      </c>
      <c r="I29" s="55">
        <v>4.12</v>
      </c>
      <c r="J29" s="55">
        <v>0.13</v>
      </c>
      <c r="K29" s="55">
        <v>242.46</v>
      </c>
      <c r="L29" s="55">
        <v>25.99</v>
      </c>
      <c r="M29" s="55">
        <v>98.63</v>
      </c>
      <c r="N29" s="55">
        <v>0</v>
      </c>
      <c r="O29" s="55">
        <v>0</v>
      </c>
      <c r="P29" s="55">
        <v>0.47</v>
      </c>
      <c r="Q29" s="55">
        <v>3.86</v>
      </c>
    </row>
    <row r="30" spans="1:17" customFormat="1">
      <c r="A30" s="50" t="s">
        <v>297</v>
      </c>
      <c r="B30" s="55">
        <v>13.49</v>
      </c>
      <c r="C30" s="55">
        <v>24.84</v>
      </c>
      <c r="D30" s="55">
        <v>25.02</v>
      </c>
      <c r="E30" s="55">
        <v>8.92</v>
      </c>
      <c r="F30" s="55">
        <v>4.1500000000000004</v>
      </c>
      <c r="G30" s="55">
        <v>12.87</v>
      </c>
      <c r="H30" s="55">
        <v>4.6399999999999997</v>
      </c>
      <c r="I30" s="55">
        <v>4.0199999999999996</v>
      </c>
      <c r="J30" s="55">
        <v>0.13</v>
      </c>
      <c r="K30" s="55">
        <v>254.62</v>
      </c>
      <c r="L30" s="55">
        <v>25.84</v>
      </c>
      <c r="M30" s="55">
        <v>99</v>
      </c>
      <c r="N30" s="55">
        <v>0</v>
      </c>
      <c r="O30" s="55">
        <v>0</v>
      </c>
      <c r="P30" s="55">
        <v>0.47</v>
      </c>
      <c r="Q30" s="55">
        <v>3.95</v>
      </c>
    </row>
    <row r="31" spans="1:17" customFormat="1">
      <c r="A31" s="50" t="s">
        <v>298</v>
      </c>
      <c r="B31" s="55">
        <v>14</v>
      </c>
      <c r="C31" s="55">
        <v>25.28</v>
      </c>
      <c r="D31" s="55">
        <v>25.64</v>
      </c>
      <c r="E31" s="55">
        <v>9.0299999999999994</v>
      </c>
      <c r="F31" s="55">
        <v>4.2300000000000004</v>
      </c>
      <c r="G31" s="55">
        <v>12.87</v>
      </c>
      <c r="H31" s="55">
        <v>3.41</v>
      </c>
      <c r="I31" s="55">
        <v>3.92</v>
      </c>
      <c r="J31" s="55">
        <v>0.25</v>
      </c>
      <c r="K31" s="55">
        <v>259.32</v>
      </c>
      <c r="L31" s="55">
        <v>25.8</v>
      </c>
      <c r="M31" s="55">
        <v>98.19</v>
      </c>
      <c r="N31" s="55">
        <v>0</v>
      </c>
      <c r="O31" s="55">
        <v>0</v>
      </c>
      <c r="P31" s="55">
        <v>0.46</v>
      </c>
      <c r="Q31" s="55">
        <v>3.99</v>
      </c>
    </row>
    <row r="32" spans="1:17" customFormat="1">
      <c r="A32" s="50" t="s">
        <v>299</v>
      </c>
      <c r="B32" s="55">
        <v>15.32</v>
      </c>
      <c r="C32" s="55">
        <v>25.52</v>
      </c>
      <c r="D32" s="55">
        <v>26.15</v>
      </c>
      <c r="E32" s="55">
        <v>9.5500000000000007</v>
      </c>
      <c r="F32" s="55">
        <v>4.87</v>
      </c>
      <c r="G32" s="55">
        <v>11.15</v>
      </c>
      <c r="H32" s="55">
        <v>5.52</v>
      </c>
      <c r="I32" s="55">
        <v>3.82</v>
      </c>
      <c r="J32" s="55">
        <v>0.37</v>
      </c>
      <c r="K32" s="55">
        <v>260.24</v>
      </c>
      <c r="L32" s="55">
        <v>25.78</v>
      </c>
      <c r="M32" s="55">
        <v>98.23</v>
      </c>
      <c r="N32" s="55">
        <v>0</v>
      </c>
      <c r="O32" s="55">
        <v>0</v>
      </c>
      <c r="P32" s="55">
        <v>0.46</v>
      </c>
      <c r="Q32" s="55">
        <v>4.04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4.5199999999999996</v>
      </c>
      <c r="C34" s="40">
        <f t="shared" si="0"/>
        <v>17.48</v>
      </c>
      <c r="D34" s="40">
        <f t="shared" si="0"/>
        <v>13.87</v>
      </c>
      <c r="E34" s="40">
        <f t="shared" si="0"/>
        <v>4.75</v>
      </c>
      <c r="F34" s="40">
        <f t="shared" si="0"/>
        <v>4.03</v>
      </c>
      <c r="G34" s="40">
        <f t="shared" si="0"/>
        <v>4.26</v>
      </c>
      <c r="H34" s="40">
        <f t="shared" si="0"/>
        <v>2.34</v>
      </c>
      <c r="I34" s="40">
        <f t="shared" si="0"/>
        <v>1.91</v>
      </c>
      <c r="J34" s="40">
        <f t="shared" si="0"/>
        <v>0.13</v>
      </c>
      <c r="K34" s="40">
        <f t="shared" si="0"/>
        <v>229.86</v>
      </c>
      <c r="L34" s="40">
        <f t="shared" si="0"/>
        <v>24.23</v>
      </c>
      <c r="M34" s="40">
        <f t="shared" si="0"/>
        <v>83.64</v>
      </c>
      <c r="N34" s="40">
        <f t="shared" si="0"/>
        <v>0</v>
      </c>
      <c r="O34" s="40">
        <f t="shared" si="0"/>
        <v>0</v>
      </c>
      <c r="P34" s="40">
        <f t="shared" si="0"/>
        <v>0.38</v>
      </c>
      <c r="Q34" s="40">
        <f t="shared" si="0"/>
        <v>3.35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16.98</v>
      </c>
      <c r="C35" s="33">
        <f t="shared" si="1"/>
        <v>25.52</v>
      </c>
      <c r="D35" s="33">
        <f t="shared" si="1"/>
        <v>27.84</v>
      </c>
      <c r="E35" s="33">
        <f t="shared" si="1"/>
        <v>9.68</v>
      </c>
      <c r="F35" s="33">
        <f t="shared" si="1"/>
        <v>9.7100000000000009</v>
      </c>
      <c r="G35" s="33">
        <f t="shared" si="1"/>
        <v>13.22</v>
      </c>
      <c r="H35" s="33">
        <f t="shared" si="1"/>
        <v>5.52</v>
      </c>
      <c r="I35" s="33">
        <f t="shared" si="1"/>
        <v>5.14</v>
      </c>
      <c r="J35" s="33">
        <f t="shared" si="1"/>
        <v>1.04</v>
      </c>
      <c r="K35" s="33">
        <f t="shared" si="1"/>
        <v>275.74</v>
      </c>
      <c r="L35" s="33">
        <f t="shared" si="1"/>
        <v>28.39</v>
      </c>
      <c r="M35" s="33">
        <f t="shared" si="1"/>
        <v>99</v>
      </c>
      <c r="N35" s="33">
        <f t="shared" si="1"/>
        <v>393.6</v>
      </c>
      <c r="O35" s="33">
        <f t="shared" si="1"/>
        <v>0.2</v>
      </c>
      <c r="P35" s="33">
        <f t="shared" si="1"/>
        <v>0.6</v>
      </c>
      <c r="Q35" s="33">
        <f t="shared" si="1"/>
        <v>4.2300000000000004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12.396666666666667</v>
      </c>
      <c r="C36" s="40">
        <f t="shared" si="2"/>
        <v>23.11333333333333</v>
      </c>
      <c r="D36" s="40">
        <f t="shared" si="2"/>
        <v>23.233750000000004</v>
      </c>
      <c r="E36" s="40">
        <f t="shared" si="2"/>
        <v>7.7804166666666665</v>
      </c>
      <c r="F36" s="40">
        <f t="shared" si="2"/>
        <v>5.297083333333334</v>
      </c>
      <c r="G36" s="40">
        <f t="shared" si="2"/>
        <v>9.7754166666666666</v>
      </c>
      <c r="H36" s="40">
        <f t="shared" si="2"/>
        <v>3.7779166666666666</v>
      </c>
      <c r="I36" s="40">
        <f t="shared" si="2"/>
        <v>3.6604166666666664</v>
      </c>
      <c r="J36" s="40">
        <f t="shared" si="2"/>
        <v>0.57416666666666694</v>
      </c>
      <c r="K36" s="40">
        <f t="shared" si="2"/>
        <v>262.88249999999994</v>
      </c>
      <c r="L36" s="40">
        <f t="shared" si="2"/>
        <v>25.98041666666666</v>
      </c>
      <c r="M36" s="40">
        <f t="shared" si="2"/>
        <v>93.682916666666657</v>
      </c>
      <c r="N36" s="40">
        <f t="shared" si="2"/>
        <v>82.454166666666666</v>
      </c>
      <c r="O36" s="40">
        <f t="shared" si="2"/>
        <v>8.3333333333333332E-3</v>
      </c>
      <c r="P36" s="40">
        <f t="shared" si="2"/>
        <v>0.46833333333333355</v>
      </c>
      <c r="Q36" s="40">
        <f t="shared" si="2"/>
        <v>3.851666666666667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3.2917534202473617</v>
      </c>
      <c r="C37" s="40">
        <f t="shared" ref="C37:Q37" si="3">STDEV(C9:C32)</f>
        <v>2.0566195705504646</v>
      </c>
      <c r="D37" s="40">
        <f t="shared" si="3"/>
        <v>3.3911083381203597</v>
      </c>
      <c r="E37" s="40">
        <f t="shared" si="3"/>
        <v>1.890151774827636</v>
      </c>
      <c r="F37" s="40">
        <f t="shared" si="3"/>
        <v>1.3519469991112059</v>
      </c>
      <c r="G37" s="40">
        <f t="shared" si="3"/>
        <v>2.6039017198555499</v>
      </c>
      <c r="H37" s="40">
        <f t="shared" si="3"/>
        <v>0.73331871691626238</v>
      </c>
      <c r="I37" s="40">
        <f t="shared" si="3"/>
        <v>0.74225554703312868</v>
      </c>
      <c r="J37" s="40">
        <f t="shared" si="3"/>
        <v>0.26360241251562477</v>
      </c>
      <c r="K37" s="40">
        <f t="shared" si="3"/>
        <v>11.263496734836533</v>
      </c>
      <c r="L37" s="40">
        <f t="shared" si="3"/>
        <v>1.3761397779317042</v>
      </c>
      <c r="M37" s="40">
        <f t="shared" si="3"/>
        <v>4.5368265859535555</v>
      </c>
      <c r="N37" s="40">
        <f t="shared" si="3"/>
        <v>128.65880384944907</v>
      </c>
      <c r="O37" s="40">
        <f t="shared" si="3"/>
        <v>4.0824829046386311E-2</v>
      </c>
      <c r="P37" s="40">
        <f t="shared" si="3"/>
        <v>5.4267186551650859E-2</v>
      </c>
      <c r="Q37" s="40">
        <f t="shared" si="3"/>
        <v>0.26809580809635331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300</v>
      </c>
      <c r="B9" s="55">
        <v>15.93</v>
      </c>
      <c r="C9" s="55">
        <v>22.78</v>
      </c>
      <c r="D9" s="55">
        <v>26.03</v>
      </c>
      <c r="E9" s="55">
        <v>8.44</v>
      </c>
      <c r="F9" s="55">
        <v>5.81</v>
      </c>
      <c r="G9" s="55">
        <v>11.87</v>
      </c>
      <c r="H9" s="55">
        <v>5.52</v>
      </c>
      <c r="I9" s="55">
        <v>3.7</v>
      </c>
      <c r="J9" s="55">
        <v>0.27</v>
      </c>
      <c r="K9" s="55">
        <v>259.04000000000002</v>
      </c>
      <c r="L9" s="55">
        <v>25.42</v>
      </c>
      <c r="M9" s="55">
        <v>97.45</v>
      </c>
      <c r="N9" s="55">
        <v>0</v>
      </c>
      <c r="O9" s="55">
        <v>0</v>
      </c>
      <c r="P9" s="55">
        <v>0.4</v>
      </c>
      <c r="Q9" s="55">
        <v>4.12</v>
      </c>
    </row>
    <row r="10" spans="1:21" customFormat="1">
      <c r="A10" s="50" t="s">
        <v>301</v>
      </c>
      <c r="B10" s="55">
        <v>16.88</v>
      </c>
      <c r="C10" s="55">
        <v>22.76</v>
      </c>
      <c r="D10" s="55">
        <v>26.54</v>
      </c>
      <c r="E10" s="55">
        <v>8.27</v>
      </c>
      <c r="F10" s="55">
        <v>4.7699999999999996</v>
      </c>
      <c r="G10" s="55">
        <v>11.87</v>
      </c>
      <c r="H10" s="55">
        <v>4.95</v>
      </c>
      <c r="I10" s="55">
        <v>3.64</v>
      </c>
      <c r="J10" s="55">
        <v>0.4</v>
      </c>
      <c r="K10" s="55">
        <v>265.8</v>
      </c>
      <c r="L10" s="55">
        <v>25.29</v>
      </c>
      <c r="M10" s="55">
        <v>98.61</v>
      </c>
      <c r="N10" s="55">
        <v>0</v>
      </c>
      <c r="O10" s="55">
        <v>0</v>
      </c>
      <c r="P10" s="55">
        <v>0.4</v>
      </c>
      <c r="Q10" s="55">
        <v>4.1900000000000004</v>
      </c>
    </row>
    <row r="11" spans="1:21" customFormat="1">
      <c r="A11" s="50" t="s">
        <v>302</v>
      </c>
      <c r="B11" s="55">
        <v>17.260000000000002</v>
      </c>
      <c r="C11" s="55">
        <v>22.38</v>
      </c>
      <c r="D11" s="55">
        <v>26.89</v>
      </c>
      <c r="E11" s="55">
        <v>8.92</v>
      </c>
      <c r="F11" s="55">
        <v>5.0199999999999996</v>
      </c>
      <c r="G11" s="55">
        <v>13.41</v>
      </c>
      <c r="H11" s="55">
        <v>4.95</v>
      </c>
      <c r="I11" s="55">
        <v>3.58</v>
      </c>
      <c r="J11" s="55">
        <v>0.48</v>
      </c>
      <c r="K11" s="55">
        <v>266.55</v>
      </c>
      <c r="L11" s="55">
        <v>25.3</v>
      </c>
      <c r="M11" s="55">
        <v>98.08</v>
      </c>
      <c r="N11" s="55">
        <v>0</v>
      </c>
      <c r="O11" s="55">
        <v>0</v>
      </c>
      <c r="P11" s="55">
        <v>0.38</v>
      </c>
      <c r="Q11" s="55">
        <v>4.22</v>
      </c>
    </row>
    <row r="12" spans="1:21" customFormat="1">
      <c r="A12" s="50" t="s">
        <v>303</v>
      </c>
      <c r="B12" s="55">
        <v>17.46</v>
      </c>
      <c r="C12" s="55">
        <v>22.27</v>
      </c>
      <c r="D12" s="55">
        <v>26.99</v>
      </c>
      <c r="E12" s="55">
        <v>9.19</v>
      </c>
      <c r="F12" s="55">
        <v>4.9800000000000004</v>
      </c>
      <c r="G12" s="55">
        <v>13.41</v>
      </c>
      <c r="H12" s="55">
        <v>5.72</v>
      </c>
      <c r="I12" s="55">
        <v>3.48</v>
      </c>
      <c r="J12" s="55">
        <v>0.48</v>
      </c>
      <c r="K12" s="55">
        <v>265.45999999999998</v>
      </c>
      <c r="L12" s="55">
        <v>25.28</v>
      </c>
      <c r="M12" s="55">
        <v>98.25</v>
      </c>
      <c r="N12" s="55">
        <v>0</v>
      </c>
      <c r="O12" s="55">
        <v>0</v>
      </c>
      <c r="P12" s="55">
        <v>0.38</v>
      </c>
      <c r="Q12" s="55">
        <v>4.21</v>
      </c>
    </row>
    <row r="13" spans="1:21" customFormat="1">
      <c r="A13" s="50" t="s">
        <v>304</v>
      </c>
      <c r="B13" s="55">
        <v>17.2</v>
      </c>
      <c r="C13" s="55">
        <v>21.57</v>
      </c>
      <c r="D13" s="55">
        <v>25.93</v>
      </c>
      <c r="E13" s="55">
        <v>8.58</v>
      </c>
      <c r="F13" s="55">
        <v>5.03</v>
      </c>
      <c r="G13" s="55">
        <v>11.11</v>
      </c>
      <c r="H13" s="55">
        <v>5.74</v>
      </c>
      <c r="I13" s="55">
        <v>3.38</v>
      </c>
      <c r="J13" s="55">
        <v>0.1</v>
      </c>
      <c r="K13" s="55">
        <v>280.64999999999998</v>
      </c>
      <c r="L13" s="55">
        <v>25.66</v>
      </c>
      <c r="M13" s="55">
        <v>97.86</v>
      </c>
      <c r="N13" s="55">
        <v>0</v>
      </c>
      <c r="O13" s="55">
        <v>0.2</v>
      </c>
      <c r="P13" s="55">
        <v>0.38</v>
      </c>
      <c r="Q13" s="55">
        <v>4.1900000000000004</v>
      </c>
    </row>
    <row r="14" spans="1:21" customFormat="1">
      <c r="A14" s="50" t="s">
        <v>305</v>
      </c>
      <c r="B14" s="55">
        <v>15.8</v>
      </c>
      <c r="C14" s="55">
        <v>22.64</v>
      </c>
      <c r="D14" s="55">
        <v>25.41</v>
      </c>
      <c r="E14" s="55">
        <v>8.7200000000000006</v>
      </c>
      <c r="F14" s="55">
        <v>4.3499999999999996</v>
      </c>
      <c r="G14" s="55">
        <v>13.12</v>
      </c>
      <c r="H14" s="55">
        <v>5.74</v>
      </c>
      <c r="I14" s="55">
        <v>3.17</v>
      </c>
      <c r="J14" s="55">
        <v>0.13</v>
      </c>
      <c r="K14" s="55">
        <v>236.09</v>
      </c>
      <c r="L14" s="55">
        <v>25.5</v>
      </c>
      <c r="M14" s="55">
        <v>99.21</v>
      </c>
      <c r="N14" s="55">
        <v>0</v>
      </c>
      <c r="O14" s="55">
        <v>0.4</v>
      </c>
      <c r="P14" s="55">
        <v>0.39</v>
      </c>
      <c r="Q14" s="55">
        <v>4.1500000000000004</v>
      </c>
    </row>
    <row r="15" spans="1:21" customFormat="1">
      <c r="A15" s="50" t="s">
        <v>306</v>
      </c>
      <c r="B15" s="55">
        <v>16.350000000000001</v>
      </c>
      <c r="C15" s="55">
        <v>24.71</v>
      </c>
      <c r="D15" s="55">
        <v>27.38</v>
      </c>
      <c r="E15" s="55">
        <v>9.1199999999999992</v>
      </c>
      <c r="F15" s="55">
        <v>4.3499999999999996</v>
      </c>
      <c r="G15" s="55">
        <v>13.12</v>
      </c>
      <c r="H15" s="55">
        <v>4.3499999999999996</v>
      </c>
      <c r="I15" s="55">
        <v>3.03</v>
      </c>
      <c r="J15" s="55">
        <v>1.02</v>
      </c>
      <c r="K15" s="55">
        <v>85.8</v>
      </c>
      <c r="L15" s="55">
        <v>25.36</v>
      </c>
      <c r="M15" s="55">
        <v>99.44</v>
      </c>
      <c r="N15" s="55">
        <v>0</v>
      </c>
      <c r="O15" s="55">
        <v>0.6</v>
      </c>
      <c r="P15" s="55">
        <v>0.41</v>
      </c>
      <c r="Q15" s="55">
        <v>4.2300000000000004</v>
      </c>
    </row>
    <row r="16" spans="1:21" customFormat="1">
      <c r="A16" s="50" t="s">
        <v>307</v>
      </c>
      <c r="B16" s="55">
        <v>16.260000000000002</v>
      </c>
      <c r="C16" s="55">
        <v>27.16</v>
      </c>
      <c r="D16" s="55">
        <v>28.42</v>
      </c>
      <c r="E16" s="55">
        <v>9.43</v>
      </c>
      <c r="F16" s="55">
        <v>4.1900000000000004</v>
      </c>
      <c r="G16" s="55">
        <v>9.6199999999999992</v>
      </c>
      <c r="H16" s="55">
        <v>3.38</v>
      </c>
      <c r="I16" s="55">
        <v>3.1</v>
      </c>
      <c r="J16" s="55">
        <v>0.47</v>
      </c>
      <c r="K16" s="55">
        <v>311.12</v>
      </c>
      <c r="L16" s="55">
        <v>24.27</v>
      </c>
      <c r="M16" s="55">
        <v>100.58</v>
      </c>
      <c r="N16" s="55">
        <v>5.5</v>
      </c>
      <c r="O16" s="55">
        <v>0.4</v>
      </c>
      <c r="P16" s="55">
        <v>0.4</v>
      </c>
      <c r="Q16" s="55">
        <v>4.2699999999999996</v>
      </c>
    </row>
    <row r="17" spans="1:17" customFormat="1">
      <c r="A17" s="50" t="s">
        <v>308</v>
      </c>
      <c r="B17" s="55">
        <v>15.29</v>
      </c>
      <c r="C17" s="55">
        <v>27.16</v>
      </c>
      <c r="D17" s="55">
        <v>27.8</v>
      </c>
      <c r="E17" s="55">
        <v>9.61</v>
      </c>
      <c r="F17" s="55">
        <v>3.98</v>
      </c>
      <c r="G17" s="55">
        <v>7.35</v>
      </c>
      <c r="H17" s="55">
        <v>3.38</v>
      </c>
      <c r="I17" s="55">
        <v>3.17</v>
      </c>
      <c r="J17" s="55">
        <v>0.28000000000000003</v>
      </c>
      <c r="K17" s="55">
        <v>257.63</v>
      </c>
      <c r="L17" s="55">
        <v>25.1</v>
      </c>
      <c r="M17" s="55">
        <v>100.72</v>
      </c>
      <c r="N17" s="55">
        <v>30.2</v>
      </c>
      <c r="O17" s="55">
        <v>0.4</v>
      </c>
      <c r="P17" s="55">
        <v>0.42</v>
      </c>
      <c r="Q17" s="55">
        <v>4.21</v>
      </c>
    </row>
    <row r="18" spans="1:17" customFormat="1">
      <c r="A18" s="50" t="s">
        <v>309</v>
      </c>
      <c r="B18" s="55">
        <v>15.95</v>
      </c>
      <c r="C18" s="55">
        <v>26.82</v>
      </c>
      <c r="D18" s="55">
        <v>27.43</v>
      </c>
      <c r="E18" s="55">
        <v>9.81</v>
      </c>
      <c r="F18" s="55">
        <v>4.83</v>
      </c>
      <c r="G18" s="55">
        <v>7.62</v>
      </c>
      <c r="H18" s="55">
        <v>3.06</v>
      </c>
      <c r="I18" s="55">
        <v>3.3</v>
      </c>
      <c r="J18" s="55">
        <v>0.36</v>
      </c>
      <c r="K18" s="55">
        <v>276.13</v>
      </c>
      <c r="L18" s="55">
        <v>25.91</v>
      </c>
      <c r="M18" s="55">
        <v>101.37</v>
      </c>
      <c r="N18" s="55">
        <v>106.8</v>
      </c>
      <c r="O18" s="55">
        <v>0.4</v>
      </c>
      <c r="P18" s="55">
        <v>0.44</v>
      </c>
      <c r="Q18" s="55">
        <v>4.1900000000000004</v>
      </c>
    </row>
    <row r="19" spans="1:17" customFormat="1">
      <c r="A19" s="50" t="s">
        <v>310</v>
      </c>
      <c r="B19" s="55">
        <v>16.12</v>
      </c>
      <c r="C19" s="55">
        <v>22.48</v>
      </c>
      <c r="D19" s="55">
        <v>26</v>
      </c>
      <c r="E19" s="55">
        <v>8.58</v>
      </c>
      <c r="F19" s="55">
        <v>5.13</v>
      </c>
      <c r="G19" s="55">
        <v>10.92</v>
      </c>
      <c r="H19" s="55">
        <v>6.49</v>
      </c>
      <c r="I19" s="55">
        <v>3.3</v>
      </c>
      <c r="J19" s="55">
        <v>0.71</v>
      </c>
      <c r="K19" s="55">
        <v>272.58</v>
      </c>
      <c r="L19" s="55">
        <v>27.98</v>
      </c>
      <c r="M19" s="55">
        <v>99.24</v>
      </c>
      <c r="N19" s="55">
        <v>665</v>
      </c>
      <c r="O19" s="55">
        <v>0</v>
      </c>
      <c r="P19" s="55">
        <v>0.4</v>
      </c>
      <c r="Q19" s="55">
        <v>4.1399999999999997</v>
      </c>
    </row>
    <row r="20" spans="1:17" customFormat="1">
      <c r="A20" s="50" t="s">
        <v>311</v>
      </c>
      <c r="B20" s="55">
        <v>16.29</v>
      </c>
      <c r="C20" s="55">
        <v>23.82</v>
      </c>
      <c r="D20" s="55">
        <v>26.81</v>
      </c>
      <c r="E20" s="55">
        <v>9.4700000000000006</v>
      </c>
      <c r="F20" s="55">
        <v>5.35</v>
      </c>
      <c r="G20" s="55">
        <v>16.739999999999998</v>
      </c>
      <c r="H20" s="55">
        <v>7.58</v>
      </c>
      <c r="I20" s="55">
        <v>3.81</v>
      </c>
      <c r="J20" s="55">
        <v>0.59</v>
      </c>
      <c r="K20" s="55">
        <v>320.52</v>
      </c>
      <c r="L20" s="55">
        <v>29.93</v>
      </c>
      <c r="M20" s="55">
        <v>85.2</v>
      </c>
      <c r="N20" s="55">
        <v>843.9</v>
      </c>
      <c r="O20" s="55">
        <v>0</v>
      </c>
      <c r="P20" s="55">
        <v>0.47</v>
      </c>
      <c r="Q20" s="55">
        <v>4.1399999999999997</v>
      </c>
    </row>
    <row r="21" spans="1:17" customFormat="1">
      <c r="A21" s="50" t="s">
        <v>312</v>
      </c>
      <c r="B21" s="55">
        <v>15.73</v>
      </c>
      <c r="C21" s="55">
        <v>22.32</v>
      </c>
      <c r="D21" s="55">
        <v>25.62</v>
      </c>
      <c r="E21" s="55">
        <v>8.93</v>
      </c>
      <c r="F21" s="55">
        <v>6.04</v>
      </c>
      <c r="G21" s="55">
        <v>25.39</v>
      </c>
      <c r="H21" s="55">
        <v>10.73</v>
      </c>
      <c r="I21" s="55">
        <v>3.99</v>
      </c>
      <c r="J21" s="55">
        <v>0.42</v>
      </c>
      <c r="K21" s="55">
        <v>280.55</v>
      </c>
      <c r="L21" s="55">
        <v>30.83</v>
      </c>
      <c r="M21" s="55">
        <v>75.989999999999995</v>
      </c>
      <c r="N21" s="55">
        <v>805.6</v>
      </c>
      <c r="O21" s="55">
        <v>0</v>
      </c>
      <c r="P21" s="55">
        <v>0.48</v>
      </c>
      <c r="Q21" s="55">
        <v>4.09</v>
      </c>
    </row>
    <row r="22" spans="1:17" customFormat="1">
      <c r="A22" s="50" t="s">
        <v>313</v>
      </c>
      <c r="B22" s="55">
        <v>13.33</v>
      </c>
      <c r="C22" s="55">
        <v>22.79</v>
      </c>
      <c r="D22" s="55">
        <v>23.83</v>
      </c>
      <c r="E22" s="55">
        <v>9.0500000000000007</v>
      </c>
      <c r="F22" s="55">
        <v>6.83</v>
      </c>
      <c r="G22" s="55">
        <v>25.39</v>
      </c>
      <c r="H22" s="55">
        <v>10.73</v>
      </c>
      <c r="I22" s="55">
        <v>4.13</v>
      </c>
      <c r="J22" s="55">
        <v>0.47</v>
      </c>
      <c r="K22" s="55">
        <v>290.10000000000002</v>
      </c>
      <c r="L22" s="55">
        <v>30.81</v>
      </c>
      <c r="M22" s="55">
        <v>75.44</v>
      </c>
      <c r="N22" s="55">
        <v>461</v>
      </c>
      <c r="O22" s="55">
        <v>0</v>
      </c>
      <c r="P22" s="55">
        <v>0.5</v>
      </c>
      <c r="Q22" s="55">
        <v>3.94</v>
      </c>
    </row>
    <row r="23" spans="1:17" customFormat="1">
      <c r="A23" s="50" t="s">
        <v>314</v>
      </c>
      <c r="B23" s="55">
        <v>11.33</v>
      </c>
      <c r="C23" s="55">
        <v>23.72</v>
      </c>
      <c r="D23" s="55">
        <v>22.28</v>
      </c>
      <c r="E23" s="55">
        <v>8.93</v>
      </c>
      <c r="F23" s="55">
        <v>7.79</v>
      </c>
      <c r="G23" s="55">
        <v>25.3</v>
      </c>
      <c r="H23" s="55">
        <v>10.28</v>
      </c>
      <c r="I23" s="55">
        <v>4.1500000000000004</v>
      </c>
      <c r="J23" s="55">
        <v>0.69</v>
      </c>
      <c r="K23" s="55">
        <v>261.68</v>
      </c>
      <c r="L23" s="55">
        <v>30.96</v>
      </c>
      <c r="M23" s="55">
        <v>76.959999999999994</v>
      </c>
      <c r="N23" s="55">
        <v>603.1</v>
      </c>
      <c r="O23" s="55">
        <v>0</v>
      </c>
      <c r="P23" s="55">
        <v>0.56000000000000005</v>
      </c>
      <c r="Q23" s="55">
        <v>3.79</v>
      </c>
    </row>
    <row r="24" spans="1:17" customFormat="1">
      <c r="A24" s="50" t="s">
        <v>315</v>
      </c>
      <c r="B24" s="55">
        <v>8.39</v>
      </c>
      <c r="C24" s="55">
        <v>23.78</v>
      </c>
      <c r="D24" s="55">
        <v>20.350000000000001</v>
      </c>
      <c r="E24" s="55">
        <v>8.5500000000000007</v>
      </c>
      <c r="F24" s="55">
        <v>6.66</v>
      </c>
      <c r="G24" s="55">
        <v>26.87</v>
      </c>
      <c r="H24" s="55">
        <v>10.59</v>
      </c>
      <c r="I24" s="55">
        <v>4.25</v>
      </c>
      <c r="J24" s="55">
        <v>0.48</v>
      </c>
      <c r="K24" s="55">
        <v>263.55</v>
      </c>
      <c r="L24" s="55">
        <v>30.68</v>
      </c>
      <c r="M24" s="55">
        <v>78.06</v>
      </c>
      <c r="N24" s="55">
        <v>284</v>
      </c>
      <c r="O24" s="55">
        <v>0</v>
      </c>
      <c r="P24" s="55">
        <v>0.59</v>
      </c>
      <c r="Q24" s="55">
        <v>3.66</v>
      </c>
    </row>
    <row r="25" spans="1:17" customFormat="1">
      <c r="A25" s="50" t="s">
        <v>316</v>
      </c>
      <c r="B25" s="55">
        <v>7.21</v>
      </c>
      <c r="C25" s="55">
        <v>23.58</v>
      </c>
      <c r="D25" s="55">
        <v>19.39</v>
      </c>
      <c r="E25" s="55">
        <v>8.67</v>
      </c>
      <c r="F25" s="55">
        <v>7.22</v>
      </c>
      <c r="G25" s="55">
        <v>28.16</v>
      </c>
      <c r="H25" s="55">
        <v>12.27</v>
      </c>
      <c r="I25" s="55">
        <v>4.42</v>
      </c>
      <c r="J25" s="55">
        <v>0.38</v>
      </c>
      <c r="K25" s="55">
        <v>258.85000000000002</v>
      </c>
      <c r="L25" s="55">
        <v>29.72</v>
      </c>
      <c r="M25" s="55">
        <v>84.83</v>
      </c>
      <c r="N25" s="55">
        <v>82.3</v>
      </c>
      <c r="O25" s="55">
        <v>0</v>
      </c>
      <c r="P25" s="55">
        <v>0.61</v>
      </c>
      <c r="Q25" s="55">
        <v>3.64</v>
      </c>
    </row>
    <row r="26" spans="1:17" customFormat="1">
      <c r="A26" s="50" t="s">
        <v>317</v>
      </c>
      <c r="B26" s="55">
        <v>7.46</v>
      </c>
      <c r="C26" s="55">
        <v>23.73</v>
      </c>
      <c r="D26" s="55">
        <v>19.72</v>
      </c>
      <c r="E26" s="55">
        <v>8.41</v>
      </c>
      <c r="F26" s="55">
        <v>5.99</v>
      </c>
      <c r="G26" s="55">
        <v>28.16</v>
      </c>
      <c r="H26" s="55">
        <v>12.4</v>
      </c>
      <c r="I26" s="55">
        <v>4.28</v>
      </c>
      <c r="J26" s="55">
        <v>0.14000000000000001</v>
      </c>
      <c r="K26" s="55">
        <v>237.11</v>
      </c>
      <c r="L26" s="55">
        <v>28.43</v>
      </c>
      <c r="M26" s="55">
        <v>91.48</v>
      </c>
      <c r="N26" s="55">
        <v>15.6</v>
      </c>
      <c r="O26" s="55">
        <v>0</v>
      </c>
      <c r="P26" s="55">
        <v>0.57999999999999996</v>
      </c>
      <c r="Q26" s="55">
        <v>3.65</v>
      </c>
    </row>
    <row r="27" spans="1:17" customFormat="1">
      <c r="A27" s="50" t="s">
        <v>318</v>
      </c>
      <c r="B27" s="55">
        <v>8.48</v>
      </c>
      <c r="C27" s="55">
        <v>24.37</v>
      </c>
      <c r="D27" s="55">
        <v>20.74</v>
      </c>
      <c r="E27" s="55">
        <v>6.86</v>
      </c>
      <c r="F27" s="55">
        <v>4.8600000000000003</v>
      </c>
      <c r="G27" s="55">
        <v>24.48</v>
      </c>
      <c r="H27" s="55">
        <v>12.4</v>
      </c>
      <c r="I27" s="55">
        <v>3.97</v>
      </c>
      <c r="J27" s="55">
        <v>0.19</v>
      </c>
      <c r="K27" s="55">
        <v>242.94</v>
      </c>
      <c r="L27" s="55">
        <v>27.52</v>
      </c>
      <c r="M27" s="55">
        <v>93.96</v>
      </c>
      <c r="N27" s="55">
        <v>0</v>
      </c>
      <c r="O27" s="55">
        <v>0</v>
      </c>
      <c r="P27" s="55">
        <v>0.55000000000000004</v>
      </c>
      <c r="Q27" s="55">
        <v>3.71</v>
      </c>
    </row>
    <row r="28" spans="1:17" customFormat="1">
      <c r="A28" s="50" t="s">
        <v>319</v>
      </c>
      <c r="B28" s="55">
        <v>9.99</v>
      </c>
      <c r="C28" s="55">
        <v>24.35</v>
      </c>
      <c r="D28" s="55">
        <v>21.27</v>
      </c>
      <c r="E28" s="55">
        <v>6.54</v>
      </c>
      <c r="F28" s="55">
        <v>5.66</v>
      </c>
      <c r="G28" s="55">
        <v>24.48</v>
      </c>
      <c r="H28" s="55">
        <v>11.62</v>
      </c>
      <c r="I28" s="55">
        <v>3.87</v>
      </c>
      <c r="J28" s="55">
        <v>0.35</v>
      </c>
      <c r="K28" s="55">
        <v>260.94</v>
      </c>
      <c r="L28" s="55">
        <v>26.82</v>
      </c>
      <c r="M28" s="55">
        <v>94.23</v>
      </c>
      <c r="N28" s="55">
        <v>0</v>
      </c>
      <c r="O28" s="55">
        <v>0</v>
      </c>
      <c r="P28" s="55">
        <v>0.53</v>
      </c>
      <c r="Q28" s="55">
        <v>3.78</v>
      </c>
    </row>
    <row r="29" spans="1:17" customFormat="1">
      <c r="A29" s="50" t="s">
        <v>320</v>
      </c>
      <c r="B29" s="55">
        <v>11.09</v>
      </c>
      <c r="C29" s="55">
        <v>22.35</v>
      </c>
      <c r="D29" s="55">
        <v>21.92</v>
      </c>
      <c r="E29" s="55">
        <v>5.93</v>
      </c>
      <c r="F29" s="55">
        <v>7.3</v>
      </c>
      <c r="G29" s="55">
        <v>18.579999999999998</v>
      </c>
      <c r="H29" s="55">
        <v>9.1</v>
      </c>
      <c r="I29" s="55">
        <v>3.75</v>
      </c>
      <c r="J29" s="55">
        <v>0.15</v>
      </c>
      <c r="K29" s="55">
        <v>237.38</v>
      </c>
      <c r="L29" s="55">
        <v>25.83</v>
      </c>
      <c r="M29" s="55">
        <v>94.17</v>
      </c>
      <c r="N29" s="55">
        <v>0</v>
      </c>
      <c r="O29" s="55">
        <v>0</v>
      </c>
      <c r="P29" s="55">
        <v>0.52</v>
      </c>
      <c r="Q29" s="55">
        <v>3.81</v>
      </c>
    </row>
    <row r="30" spans="1:17" customFormat="1">
      <c r="A30" s="50" t="s">
        <v>321</v>
      </c>
      <c r="B30" s="55">
        <v>12.58</v>
      </c>
      <c r="C30" s="55">
        <v>22.89</v>
      </c>
      <c r="D30" s="55">
        <v>23.3</v>
      </c>
      <c r="E30" s="55">
        <v>6.13</v>
      </c>
      <c r="F30" s="55">
        <v>4.92</v>
      </c>
      <c r="G30" s="55">
        <v>20.170000000000002</v>
      </c>
      <c r="H30" s="55">
        <v>8.0299999999999994</v>
      </c>
      <c r="I30" s="55">
        <v>4.03</v>
      </c>
      <c r="J30" s="55">
        <v>0.17</v>
      </c>
      <c r="K30" s="55">
        <v>246.65</v>
      </c>
      <c r="L30" s="55">
        <v>25.4</v>
      </c>
      <c r="M30" s="55">
        <v>98.09</v>
      </c>
      <c r="N30" s="55">
        <v>0</v>
      </c>
      <c r="O30" s="55">
        <v>0</v>
      </c>
      <c r="P30" s="55">
        <v>0.55000000000000004</v>
      </c>
      <c r="Q30" s="55">
        <v>3.92</v>
      </c>
    </row>
    <row r="31" spans="1:17" customFormat="1">
      <c r="A31" s="50" t="s">
        <v>322</v>
      </c>
      <c r="B31" s="55">
        <v>13.73</v>
      </c>
      <c r="C31" s="55">
        <v>22.11</v>
      </c>
      <c r="D31" s="55">
        <v>23.49</v>
      </c>
      <c r="E31" s="55">
        <v>6.12</v>
      </c>
      <c r="F31" s="55">
        <v>5.0999999999999996</v>
      </c>
      <c r="G31" s="55">
        <v>20.170000000000002</v>
      </c>
      <c r="H31" s="55">
        <v>6.41</v>
      </c>
      <c r="I31" s="55">
        <v>4.0199999999999996</v>
      </c>
      <c r="J31" s="55">
        <v>0.18</v>
      </c>
      <c r="K31" s="55">
        <v>358.76</v>
      </c>
      <c r="L31" s="55">
        <v>25.4</v>
      </c>
      <c r="M31" s="55">
        <v>97.66</v>
      </c>
      <c r="N31" s="55">
        <v>0</v>
      </c>
      <c r="O31" s="55">
        <v>0</v>
      </c>
      <c r="P31" s="55">
        <v>0.55000000000000004</v>
      </c>
      <c r="Q31" s="55">
        <v>3.96</v>
      </c>
    </row>
    <row r="32" spans="1:17" customFormat="1">
      <c r="A32" s="50" t="s">
        <v>323</v>
      </c>
      <c r="B32" s="55">
        <v>14.86</v>
      </c>
      <c r="C32" s="55">
        <v>22.95</v>
      </c>
      <c r="D32" s="55">
        <v>25.17</v>
      </c>
      <c r="E32" s="55">
        <v>6.43</v>
      </c>
      <c r="F32" s="55">
        <v>5.0199999999999996</v>
      </c>
      <c r="G32" s="55">
        <v>19.25</v>
      </c>
      <c r="H32" s="55">
        <v>6.75</v>
      </c>
      <c r="I32" s="55">
        <v>3.92</v>
      </c>
      <c r="J32" s="55">
        <v>0.3</v>
      </c>
      <c r="K32" s="55">
        <v>274.33999999999997</v>
      </c>
      <c r="L32" s="55">
        <v>25.23</v>
      </c>
      <c r="M32" s="55">
        <v>98.32</v>
      </c>
      <c r="N32" s="55">
        <v>0</v>
      </c>
      <c r="O32" s="55">
        <v>0</v>
      </c>
      <c r="P32" s="55">
        <v>0.54</v>
      </c>
      <c r="Q32" s="55">
        <v>4.0599999999999996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7.21</v>
      </c>
      <c r="C34" s="40">
        <f t="shared" si="0"/>
        <v>21.57</v>
      </c>
      <c r="D34" s="40">
        <f t="shared" si="0"/>
        <v>19.39</v>
      </c>
      <c r="E34" s="40">
        <f t="shared" si="0"/>
        <v>5.93</v>
      </c>
      <c r="F34" s="40">
        <f t="shared" si="0"/>
        <v>3.98</v>
      </c>
      <c r="G34" s="40">
        <f t="shared" si="0"/>
        <v>7.35</v>
      </c>
      <c r="H34" s="40">
        <f t="shared" si="0"/>
        <v>3.06</v>
      </c>
      <c r="I34" s="40">
        <f t="shared" si="0"/>
        <v>3.03</v>
      </c>
      <c r="J34" s="40">
        <f t="shared" si="0"/>
        <v>0.1</v>
      </c>
      <c r="K34" s="40">
        <f t="shared" si="0"/>
        <v>85.8</v>
      </c>
      <c r="L34" s="40">
        <f t="shared" si="0"/>
        <v>24.27</v>
      </c>
      <c r="M34" s="40">
        <f t="shared" si="0"/>
        <v>75.44</v>
      </c>
      <c r="N34" s="40">
        <f t="shared" si="0"/>
        <v>0</v>
      </c>
      <c r="O34" s="40">
        <f t="shared" si="0"/>
        <v>0</v>
      </c>
      <c r="P34" s="40">
        <f t="shared" si="0"/>
        <v>0.38</v>
      </c>
      <c r="Q34" s="40">
        <f t="shared" si="0"/>
        <v>3.64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17.46</v>
      </c>
      <c r="C35" s="33">
        <f t="shared" si="1"/>
        <v>27.16</v>
      </c>
      <c r="D35" s="33">
        <f t="shared" si="1"/>
        <v>28.42</v>
      </c>
      <c r="E35" s="33">
        <f t="shared" si="1"/>
        <v>9.81</v>
      </c>
      <c r="F35" s="33">
        <f t="shared" si="1"/>
        <v>7.79</v>
      </c>
      <c r="G35" s="33">
        <f t="shared" si="1"/>
        <v>28.16</v>
      </c>
      <c r="H35" s="33">
        <f t="shared" si="1"/>
        <v>12.4</v>
      </c>
      <c r="I35" s="33">
        <f t="shared" si="1"/>
        <v>4.42</v>
      </c>
      <c r="J35" s="33">
        <f t="shared" si="1"/>
        <v>1.02</v>
      </c>
      <c r="K35" s="33">
        <f t="shared" si="1"/>
        <v>358.76</v>
      </c>
      <c r="L35" s="33">
        <f t="shared" si="1"/>
        <v>30.96</v>
      </c>
      <c r="M35" s="33">
        <f t="shared" si="1"/>
        <v>101.37</v>
      </c>
      <c r="N35" s="33">
        <f t="shared" si="1"/>
        <v>843.9</v>
      </c>
      <c r="O35" s="33">
        <f t="shared" si="1"/>
        <v>0.6</v>
      </c>
      <c r="P35" s="33">
        <f t="shared" si="1"/>
        <v>0.61</v>
      </c>
      <c r="Q35" s="33">
        <f t="shared" si="1"/>
        <v>4.2699999999999996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13.790416666666667</v>
      </c>
      <c r="C36" s="40">
        <f t="shared" si="2"/>
        <v>23.562083333333337</v>
      </c>
      <c r="D36" s="40">
        <f t="shared" si="2"/>
        <v>24.529583333333331</v>
      </c>
      <c r="E36" s="40">
        <f t="shared" si="2"/>
        <v>8.2787500000000005</v>
      </c>
      <c r="F36" s="40">
        <f t="shared" si="2"/>
        <v>5.4658333333333324</v>
      </c>
      <c r="G36" s="40">
        <f t="shared" si="2"/>
        <v>17.773333333333337</v>
      </c>
      <c r="H36" s="40">
        <f t="shared" si="2"/>
        <v>7.590416666666667</v>
      </c>
      <c r="I36" s="40">
        <f t="shared" si="2"/>
        <v>3.726666666666667</v>
      </c>
      <c r="J36" s="40">
        <f t="shared" si="2"/>
        <v>0.38374999999999998</v>
      </c>
      <c r="K36" s="40">
        <f t="shared" si="2"/>
        <v>262.92583333333329</v>
      </c>
      <c r="L36" s="40">
        <f t="shared" si="2"/>
        <v>27.026250000000005</v>
      </c>
      <c r="M36" s="40">
        <f t="shared" si="2"/>
        <v>93.13333333333334</v>
      </c>
      <c r="N36" s="40">
        <f t="shared" si="2"/>
        <v>162.625</v>
      </c>
      <c r="O36" s="40">
        <f t="shared" si="2"/>
        <v>9.9999999999999992E-2</v>
      </c>
      <c r="P36" s="40">
        <f t="shared" si="2"/>
        <v>0.47625000000000001</v>
      </c>
      <c r="Q36" s="40">
        <f t="shared" si="2"/>
        <v>4.0112500000000004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3.3728164971116303</v>
      </c>
      <c r="C37" s="40">
        <f t="shared" ref="C37:Q37" si="3">STDEV(C9:C32)</f>
        <v>1.5620081254775338</v>
      </c>
      <c r="D37" s="40">
        <f t="shared" si="3"/>
        <v>2.7892580892426926</v>
      </c>
      <c r="E37" s="40">
        <f t="shared" si="3"/>
        <v>1.2184784257068455</v>
      </c>
      <c r="F37" s="40">
        <f t="shared" si="3"/>
        <v>1.0395062233607884</v>
      </c>
      <c r="G37" s="40">
        <f t="shared" si="3"/>
        <v>6.9068426478615184</v>
      </c>
      <c r="H37" s="40">
        <f t="shared" si="3"/>
        <v>3.1010888398679608</v>
      </c>
      <c r="I37" s="40">
        <f t="shared" si="3"/>
        <v>0.40899310791116367</v>
      </c>
      <c r="J37" s="40">
        <f t="shared" si="3"/>
        <v>0.21948185029449624</v>
      </c>
      <c r="K37" s="40">
        <f t="shared" si="3"/>
        <v>46.976195906906618</v>
      </c>
      <c r="L37" s="40">
        <f t="shared" si="3"/>
        <v>2.2608267293181883</v>
      </c>
      <c r="M37" s="40">
        <f t="shared" si="3"/>
        <v>8.6520445769954861</v>
      </c>
      <c r="N37" s="40">
        <f t="shared" si="3"/>
        <v>283.22137485351107</v>
      </c>
      <c r="O37" s="40">
        <f t="shared" si="3"/>
        <v>0.18650096164806276</v>
      </c>
      <c r="P37" s="40">
        <f t="shared" si="3"/>
        <v>7.85085151847984E-2</v>
      </c>
      <c r="Q37" s="40">
        <f t="shared" si="3"/>
        <v>0.21340536034993762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324</v>
      </c>
      <c r="B9" s="55">
        <v>14.73</v>
      </c>
      <c r="C9" s="55">
        <v>23.27</v>
      </c>
      <c r="D9" s="55">
        <v>24.85</v>
      </c>
      <c r="E9" s="55">
        <v>6.09</v>
      </c>
      <c r="F9" s="55">
        <v>4.6500000000000004</v>
      </c>
      <c r="G9" s="55">
        <v>17.63</v>
      </c>
      <c r="H9" s="55">
        <v>6.75</v>
      </c>
      <c r="I9" s="55">
        <v>3.94</v>
      </c>
      <c r="J9" s="55">
        <v>0.35</v>
      </c>
      <c r="K9" s="55">
        <v>262.06</v>
      </c>
      <c r="L9" s="55">
        <v>24.89</v>
      </c>
      <c r="M9" s="55">
        <v>98.46</v>
      </c>
      <c r="N9" s="55">
        <v>0</v>
      </c>
      <c r="O9" s="55">
        <v>0</v>
      </c>
      <c r="P9" s="55">
        <v>0.54</v>
      </c>
      <c r="Q9" s="55">
        <v>4.0599999999999996</v>
      </c>
    </row>
    <row r="10" spans="1:21" customFormat="1">
      <c r="A10" s="50" t="s">
        <v>325</v>
      </c>
      <c r="B10" s="55">
        <v>13.39</v>
      </c>
      <c r="C10" s="55">
        <v>23.78</v>
      </c>
      <c r="D10" s="55">
        <v>24.27</v>
      </c>
      <c r="E10" s="55">
        <v>6.18</v>
      </c>
      <c r="F10" s="55">
        <v>4.2300000000000004</v>
      </c>
      <c r="G10" s="55">
        <v>17.63</v>
      </c>
      <c r="H10" s="55">
        <v>5.49</v>
      </c>
      <c r="I10" s="55">
        <v>3.69</v>
      </c>
      <c r="J10" s="55">
        <v>0.1</v>
      </c>
      <c r="K10" s="55">
        <v>213.17</v>
      </c>
      <c r="L10" s="55">
        <v>24.74</v>
      </c>
      <c r="M10" s="55">
        <v>98.75</v>
      </c>
      <c r="N10" s="55">
        <v>0</v>
      </c>
      <c r="O10" s="55">
        <v>0</v>
      </c>
      <c r="P10" s="55">
        <v>0.52</v>
      </c>
      <c r="Q10" s="55">
        <v>4.04</v>
      </c>
    </row>
    <row r="11" spans="1:21" customFormat="1">
      <c r="A11" s="50" t="s">
        <v>326</v>
      </c>
      <c r="B11" s="55">
        <v>12.81</v>
      </c>
      <c r="C11" s="55">
        <v>24.1</v>
      </c>
      <c r="D11" s="55">
        <v>24.19</v>
      </c>
      <c r="E11" s="55">
        <v>9.49</v>
      </c>
      <c r="F11" s="55">
        <v>4.0599999999999996</v>
      </c>
      <c r="G11" s="55">
        <v>14.42</v>
      </c>
      <c r="H11" s="55">
        <v>4.55</v>
      </c>
      <c r="I11" s="55">
        <v>3.43</v>
      </c>
      <c r="J11" s="55">
        <v>0.11</v>
      </c>
      <c r="K11" s="55">
        <v>182.57</v>
      </c>
      <c r="L11" s="55">
        <v>24.58</v>
      </c>
      <c r="M11" s="55">
        <v>98.91</v>
      </c>
      <c r="N11" s="55">
        <v>0</v>
      </c>
      <c r="O11" s="55">
        <v>0</v>
      </c>
      <c r="P11" s="55">
        <v>0.5</v>
      </c>
      <c r="Q11" s="55">
        <v>4.07</v>
      </c>
    </row>
    <row r="12" spans="1:21" customFormat="1">
      <c r="A12" s="50" t="s">
        <v>327</v>
      </c>
      <c r="B12" s="55">
        <v>12.72</v>
      </c>
      <c r="C12" s="55">
        <v>24.7</v>
      </c>
      <c r="D12" s="55">
        <v>24.42</v>
      </c>
      <c r="E12" s="55">
        <v>9.51</v>
      </c>
      <c r="F12" s="55">
        <v>4.04</v>
      </c>
      <c r="G12" s="55">
        <v>11.66</v>
      </c>
      <c r="H12" s="55">
        <v>3.95</v>
      </c>
      <c r="I12" s="55">
        <v>3.3</v>
      </c>
      <c r="J12" s="55">
        <v>0.12</v>
      </c>
      <c r="K12" s="55">
        <v>237.91</v>
      </c>
      <c r="L12" s="55">
        <v>24.25</v>
      </c>
      <c r="M12" s="55">
        <v>99.09</v>
      </c>
      <c r="N12" s="55">
        <v>0</v>
      </c>
      <c r="O12" s="55">
        <v>0</v>
      </c>
      <c r="P12" s="55">
        <v>0.49</v>
      </c>
      <c r="Q12" s="55">
        <v>4.0599999999999996</v>
      </c>
    </row>
    <row r="13" spans="1:21" customFormat="1">
      <c r="A13" s="50" t="s">
        <v>328</v>
      </c>
      <c r="B13" s="55">
        <v>12.79</v>
      </c>
      <c r="C13" s="55">
        <v>25.44</v>
      </c>
      <c r="D13" s="55">
        <v>24.87</v>
      </c>
      <c r="E13" s="55">
        <v>9.5500000000000007</v>
      </c>
      <c r="F13" s="55">
        <v>3.99</v>
      </c>
      <c r="G13" s="55">
        <v>12.49</v>
      </c>
      <c r="H13" s="55">
        <v>2.85</v>
      </c>
      <c r="I13" s="55">
        <v>3.22</v>
      </c>
      <c r="J13" s="55">
        <v>0.09</v>
      </c>
      <c r="K13" s="55">
        <v>210.12</v>
      </c>
      <c r="L13" s="55">
        <v>24.11</v>
      </c>
      <c r="M13" s="55">
        <v>100.47</v>
      </c>
      <c r="N13" s="55">
        <v>0</v>
      </c>
      <c r="O13" s="55">
        <v>0</v>
      </c>
      <c r="P13" s="55">
        <v>0.47</v>
      </c>
      <c r="Q13" s="55">
        <v>4.0599999999999996</v>
      </c>
    </row>
    <row r="14" spans="1:21" customFormat="1">
      <c r="A14" s="50" t="s">
        <v>329</v>
      </c>
      <c r="B14" s="55">
        <v>14.11</v>
      </c>
      <c r="C14" s="55">
        <v>25.4</v>
      </c>
      <c r="D14" s="55">
        <v>24.86</v>
      </c>
      <c r="E14" s="55">
        <v>10.039999999999999</v>
      </c>
      <c r="F14" s="55">
        <v>4.8600000000000003</v>
      </c>
      <c r="G14" s="55">
        <v>12.49</v>
      </c>
      <c r="H14" s="55">
        <v>4.76</v>
      </c>
      <c r="I14" s="55">
        <v>3.09</v>
      </c>
      <c r="J14" s="55">
        <v>0.13</v>
      </c>
      <c r="K14" s="55">
        <v>230.13</v>
      </c>
      <c r="L14" s="55">
        <v>23.93</v>
      </c>
      <c r="M14" s="55">
        <v>100.13</v>
      </c>
      <c r="N14" s="55">
        <v>0</v>
      </c>
      <c r="O14" s="55">
        <v>0</v>
      </c>
      <c r="P14" s="55">
        <v>0.44</v>
      </c>
      <c r="Q14" s="55">
        <v>4.04</v>
      </c>
    </row>
    <row r="15" spans="1:21" customFormat="1">
      <c r="A15" s="50" t="s">
        <v>330</v>
      </c>
      <c r="B15" s="55">
        <v>15.07</v>
      </c>
      <c r="C15" s="55">
        <v>23.59</v>
      </c>
      <c r="D15" s="55">
        <v>25.76</v>
      </c>
      <c r="E15" s="55">
        <v>8.9</v>
      </c>
      <c r="F15" s="55">
        <v>4.49</v>
      </c>
      <c r="G15" s="55">
        <v>10.65</v>
      </c>
      <c r="H15" s="55">
        <v>6.04</v>
      </c>
      <c r="I15" s="55">
        <v>3.07</v>
      </c>
      <c r="J15" s="55">
        <v>0.23</v>
      </c>
      <c r="K15" s="55">
        <v>255.45</v>
      </c>
      <c r="L15" s="55">
        <v>24.73</v>
      </c>
      <c r="M15" s="55">
        <v>100.37</v>
      </c>
      <c r="N15" s="55">
        <v>54.8</v>
      </c>
      <c r="O15" s="55">
        <v>0</v>
      </c>
      <c r="P15" s="55">
        <v>0.41</v>
      </c>
      <c r="Q15" s="55">
        <v>4.08</v>
      </c>
    </row>
    <row r="16" spans="1:21" customFormat="1">
      <c r="A16" s="50" t="s">
        <v>331</v>
      </c>
      <c r="B16" s="55">
        <v>15.77</v>
      </c>
      <c r="C16" s="55">
        <v>23.35</v>
      </c>
      <c r="D16" s="55">
        <v>26.16</v>
      </c>
      <c r="E16" s="55">
        <v>9.16</v>
      </c>
      <c r="F16" s="55">
        <v>4.6100000000000003</v>
      </c>
      <c r="G16" s="55">
        <v>9.26</v>
      </c>
      <c r="H16" s="55">
        <v>6.04</v>
      </c>
      <c r="I16" s="55">
        <v>3.12</v>
      </c>
      <c r="J16" s="55">
        <v>0.47</v>
      </c>
      <c r="K16" s="55">
        <v>266.27999999999997</v>
      </c>
      <c r="L16" s="55">
        <v>25.93</v>
      </c>
      <c r="M16" s="55">
        <v>96.3</v>
      </c>
      <c r="N16" s="55">
        <v>145.6</v>
      </c>
      <c r="O16" s="55">
        <v>0</v>
      </c>
      <c r="P16" s="55">
        <v>0.41</v>
      </c>
      <c r="Q16" s="55">
        <v>4.1500000000000004</v>
      </c>
    </row>
    <row r="17" spans="1:17" customFormat="1">
      <c r="A17" s="50" t="s">
        <v>332</v>
      </c>
      <c r="B17" s="55">
        <v>15.99</v>
      </c>
      <c r="C17" s="55">
        <v>23.35</v>
      </c>
      <c r="D17" s="55">
        <v>26.23</v>
      </c>
      <c r="E17" s="55">
        <v>9</v>
      </c>
      <c r="F17" s="55">
        <v>4.8099999999999996</v>
      </c>
      <c r="G17" s="55">
        <v>8.61</v>
      </c>
      <c r="H17" s="55">
        <v>6.23</v>
      </c>
      <c r="I17" s="55">
        <v>3.28</v>
      </c>
      <c r="J17" s="55">
        <v>0.23</v>
      </c>
      <c r="K17" s="55">
        <v>359.7</v>
      </c>
      <c r="L17" s="55">
        <v>27.17</v>
      </c>
      <c r="M17" s="55">
        <v>92.6</v>
      </c>
      <c r="N17" s="55">
        <v>189.4</v>
      </c>
      <c r="O17" s="55">
        <v>0</v>
      </c>
      <c r="P17" s="55">
        <v>0.43</v>
      </c>
      <c r="Q17" s="55">
        <v>4.1500000000000004</v>
      </c>
    </row>
    <row r="18" spans="1:17" customFormat="1">
      <c r="A18" s="50" t="s">
        <v>333</v>
      </c>
      <c r="B18" s="55">
        <v>16.399999999999999</v>
      </c>
      <c r="C18" s="55">
        <v>24.34</v>
      </c>
      <c r="D18" s="55">
        <v>27.22</v>
      </c>
      <c r="E18" s="55">
        <v>8.77</v>
      </c>
      <c r="F18" s="55">
        <v>6.22</v>
      </c>
      <c r="G18" s="55">
        <v>17.89</v>
      </c>
      <c r="H18" s="55">
        <v>9.4</v>
      </c>
      <c r="I18" s="55">
        <v>3.57</v>
      </c>
      <c r="J18" s="55">
        <v>0.24</v>
      </c>
      <c r="K18" s="55">
        <v>349.64</v>
      </c>
      <c r="L18" s="55">
        <v>28.35</v>
      </c>
      <c r="M18" s="55">
        <v>86.74</v>
      </c>
      <c r="N18" s="55">
        <v>258.5</v>
      </c>
      <c r="O18" s="55">
        <v>0</v>
      </c>
      <c r="P18" s="55">
        <v>0.51</v>
      </c>
      <c r="Q18" s="55">
        <v>4.1500000000000004</v>
      </c>
    </row>
    <row r="19" spans="1:17" customFormat="1">
      <c r="A19" s="50" t="s">
        <v>334</v>
      </c>
      <c r="B19" s="55">
        <v>16.149999999999999</v>
      </c>
      <c r="C19" s="55">
        <v>27.41</v>
      </c>
      <c r="D19" s="55">
        <v>27.85</v>
      </c>
      <c r="E19" s="55">
        <v>7.82</v>
      </c>
      <c r="F19" s="55">
        <v>4.6399999999999997</v>
      </c>
      <c r="G19" s="55">
        <v>32.42</v>
      </c>
      <c r="H19" s="55">
        <v>12.82</v>
      </c>
      <c r="I19" s="55">
        <v>3.99</v>
      </c>
      <c r="J19" s="55">
        <v>0.39</v>
      </c>
      <c r="K19" s="55">
        <v>313.48</v>
      </c>
      <c r="L19" s="55">
        <v>29.27</v>
      </c>
      <c r="M19" s="55">
        <v>83.8</v>
      </c>
      <c r="N19" s="55">
        <v>324.2</v>
      </c>
      <c r="O19" s="55">
        <v>0</v>
      </c>
      <c r="P19" s="55">
        <v>0.61</v>
      </c>
      <c r="Q19" s="55">
        <v>4.2</v>
      </c>
    </row>
    <row r="20" spans="1:17" customFormat="1">
      <c r="A20" s="50" t="s">
        <v>335</v>
      </c>
      <c r="B20" s="55">
        <v>15.14</v>
      </c>
      <c r="C20" s="55">
        <v>29.29</v>
      </c>
      <c r="D20" s="55">
        <v>28.2</v>
      </c>
      <c r="E20" s="55">
        <v>8.2899999999999991</v>
      </c>
      <c r="F20" s="55">
        <v>4.7</v>
      </c>
      <c r="G20" s="55">
        <v>54.79</v>
      </c>
      <c r="H20" s="55">
        <v>19.23</v>
      </c>
      <c r="I20" s="55">
        <v>4.51</v>
      </c>
      <c r="J20" s="55">
        <v>0.41</v>
      </c>
      <c r="K20" s="55">
        <v>74.680000000000007</v>
      </c>
      <c r="L20" s="55">
        <v>30.46</v>
      </c>
      <c r="M20" s="55">
        <v>80.8</v>
      </c>
      <c r="N20" s="55">
        <v>565.79999999999995</v>
      </c>
      <c r="O20" s="55">
        <v>0</v>
      </c>
      <c r="P20" s="55">
        <v>0.67</v>
      </c>
      <c r="Q20" s="55">
        <v>4.22</v>
      </c>
    </row>
    <row r="21" spans="1:17" customFormat="1">
      <c r="A21" s="50" t="s">
        <v>336</v>
      </c>
      <c r="B21" s="55">
        <v>13.06</v>
      </c>
      <c r="C21" s="55">
        <v>29.84</v>
      </c>
      <c r="D21" s="55">
        <v>27.29</v>
      </c>
      <c r="E21" s="55">
        <v>8.43</v>
      </c>
      <c r="F21" s="55">
        <v>5.55</v>
      </c>
      <c r="G21" s="55">
        <v>68.06</v>
      </c>
      <c r="H21" s="55">
        <v>24.11</v>
      </c>
      <c r="I21" s="55">
        <v>4.6900000000000004</v>
      </c>
      <c r="J21" s="55">
        <v>0.42</v>
      </c>
      <c r="K21" s="55">
        <v>244.04</v>
      </c>
      <c r="L21" s="55">
        <v>31.6</v>
      </c>
      <c r="M21" s="55">
        <v>76.349999999999994</v>
      </c>
      <c r="N21" s="55">
        <v>674.1</v>
      </c>
      <c r="O21" s="55">
        <v>0</v>
      </c>
      <c r="P21" s="55">
        <v>0.68</v>
      </c>
      <c r="Q21" s="55">
        <v>4.1399999999999997</v>
      </c>
    </row>
    <row r="22" spans="1:17" customFormat="1">
      <c r="A22" s="50" t="s">
        <v>337</v>
      </c>
      <c r="B22" s="55">
        <v>10.199999999999999</v>
      </c>
      <c r="C22" s="55">
        <v>30.6</v>
      </c>
      <c r="D22" s="55">
        <v>25.52</v>
      </c>
      <c r="E22" s="55">
        <v>8.42</v>
      </c>
      <c r="F22" s="55">
        <v>5.03</v>
      </c>
      <c r="G22" s="55">
        <v>68.06</v>
      </c>
      <c r="H22" s="55">
        <v>25.51</v>
      </c>
      <c r="I22" s="55">
        <v>4.8</v>
      </c>
      <c r="J22" s="55">
        <v>0.28999999999999998</v>
      </c>
      <c r="K22" s="55">
        <v>351.62</v>
      </c>
      <c r="L22" s="55">
        <v>30.6</v>
      </c>
      <c r="M22" s="55">
        <v>84.59</v>
      </c>
      <c r="N22" s="55">
        <v>293.60000000000002</v>
      </c>
      <c r="O22" s="55">
        <v>0</v>
      </c>
      <c r="P22" s="55">
        <v>0.73</v>
      </c>
      <c r="Q22" s="55">
        <v>3.93</v>
      </c>
    </row>
    <row r="23" spans="1:17" customFormat="1">
      <c r="A23" s="50" t="s">
        <v>338</v>
      </c>
      <c r="B23" s="55">
        <v>11.19</v>
      </c>
      <c r="C23" s="55">
        <v>30.45</v>
      </c>
      <c r="D23" s="55">
        <v>26.1</v>
      </c>
      <c r="E23" s="55">
        <v>9.41</v>
      </c>
      <c r="F23" s="55">
        <v>5.16</v>
      </c>
      <c r="G23" s="55">
        <v>77.28</v>
      </c>
      <c r="H23" s="55">
        <v>28.71</v>
      </c>
      <c r="I23" s="55">
        <v>4.95</v>
      </c>
      <c r="J23" s="55">
        <v>0.28000000000000003</v>
      </c>
      <c r="K23" s="55">
        <v>352.8</v>
      </c>
      <c r="L23" s="55">
        <v>30.37</v>
      </c>
      <c r="M23" s="55">
        <v>96.7</v>
      </c>
      <c r="N23" s="55">
        <v>363.7</v>
      </c>
      <c r="O23" s="55">
        <v>7.2</v>
      </c>
      <c r="P23" s="55">
        <v>0.69</v>
      </c>
      <c r="Q23" s="55">
        <v>4</v>
      </c>
    </row>
    <row r="24" spans="1:17" customFormat="1">
      <c r="A24" s="50" t="s">
        <v>339</v>
      </c>
      <c r="B24" s="55">
        <v>11.55</v>
      </c>
      <c r="C24" s="55">
        <v>31.22</v>
      </c>
      <c r="D24" s="55">
        <v>25.91</v>
      </c>
      <c r="E24" s="55">
        <v>8.44</v>
      </c>
      <c r="F24" s="55">
        <v>6.62</v>
      </c>
      <c r="G24" s="55">
        <v>77.28</v>
      </c>
      <c r="H24" s="55">
        <v>28.71</v>
      </c>
      <c r="I24" s="55">
        <v>4.9800000000000004</v>
      </c>
      <c r="J24" s="55">
        <v>0.21</v>
      </c>
      <c r="K24" s="55">
        <v>279.02</v>
      </c>
      <c r="L24" s="55">
        <v>25.12</v>
      </c>
      <c r="M24" s="55">
        <v>101.57</v>
      </c>
      <c r="N24" s="55">
        <v>56</v>
      </c>
      <c r="O24" s="55">
        <v>3.4</v>
      </c>
      <c r="P24" s="55">
        <v>0.67</v>
      </c>
      <c r="Q24" s="55">
        <v>3.94</v>
      </c>
    </row>
    <row r="25" spans="1:17" customFormat="1">
      <c r="A25" s="50" t="s">
        <v>340</v>
      </c>
      <c r="B25" s="55">
        <v>13.53</v>
      </c>
      <c r="C25" s="55">
        <v>27.27</v>
      </c>
      <c r="D25" s="55">
        <v>26.07</v>
      </c>
      <c r="E25" s="55">
        <v>7.37</v>
      </c>
      <c r="F25" s="55">
        <v>6.06</v>
      </c>
      <c r="G25" s="55">
        <v>63.56</v>
      </c>
      <c r="H25" s="55">
        <v>25.38</v>
      </c>
      <c r="I25" s="55">
        <v>4.6500000000000004</v>
      </c>
      <c r="J25" s="55">
        <v>0.31</v>
      </c>
      <c r="K25" s="55">
        <v>333.83</v>
      </c>
      <c r="L25" s="55">
        <v>25.29</v>
      </c>
      <c r="M25" s="55">
        <v>102.01</v>
      </c>
      <c r="N25" s="55">
        <v>54.5</v>
      </c>
      <c r="O25" s="55">
        <v>0</v>
      </c>
      <c r="P25" s="55">
        <v>0.62</v>
      </c>
      <c r="Q25" s="55">
        <v>4.01</v>
      </c>
    </row>
    <row r="26" spans="1:17" customFormat="1">
      <c r="A26" s="50" t="s">
        <v>341</v>
      </c>
      <c r="B26" s="55">
        <v>15.49</v>
      </c>
      <c r="C26" s="55">
        <v>27.62</v>
      </c>
      <c r="D26" s="55">
        <v>27.74</v>
      </c>
      <c r="E26" s="55">
        <v>7.61</v>
      </c>
      <c r="F26" s="55">
        <v>4.93</v>
      </c>
      <c r="G26" s="55">
        <v>49.62</v>
      </c>
      <c r="H26" s="55">
        <v>18.82</v>
      </c>
      <c r="I26" s="55">
        <v>4.71</v>
      </c>
      <c r="J26" s="55">
        <v>0.22</v>
      </c>
      <c r="K26" s="55">
        <v>297.23</v>
      </c>
      <c r="L26" s="55">
        <v>25.02</v>
      </c>
      <c r="M26" s="55">
        <v>100.79</v>
      </c>
      <c r="N26" s="55">
        <v>4.5999999999999996</v>
      </c>
      <c r="O26" s="55">
        <v>0</v>
      </c>
      <c r="P26" s="55">
        <v>0.65</v>
      </c>
      <c r="Q26" s="55">
        <v>4.13</v>
      </c>
    </row>
    <row r="27" spans="1:17" customFormat="1">
      <c r="A27" s="50" t="s">
        <v>342</v>
      </c>
      <c r="B27" s="55">
        <v>17.84</v>
      </c>
      <c r="C27" s="55">
        <v>28.17</v>
      </c>
      <c r="D27" s="55">
        <v>29.93</v>
      </c>
      <c r="E27" s="55">
        <v>9.0500000000000007</v>
      </c>
      <c r="F27" s="55">
        <v>4.55</v>
      </c>
      <c r="G27" s="55">
        <v>49.8</v>
      </c>
      <c r="H27" s="55">
        <v>18.79</v>
      </c>
      <c r="I27" s="55">
        <v>5.0199999999999996</v>
      </c>
      <c r="J27" s="55">
        <v>0.18</v>
      </c>
      <c r="K27" s="55">
        <v>216.52</v>
      </c>
      <c r="L27" s="55">
        <v>25.07</v>
      </c>
      <c r="M27" s="55">
        <v>99.33</v>
      </c>
      <c r="N27" s="55">
        <v>0</v>
      </c>
      <c r="O27" s="55">
        <v>0</v>
      </c>
      <c r="P27" s="55">
        <v>0.68</v>
      </c>
      <c r="Q27" s="55">
        <v>4.29</v>
      </c>
    </row>
    <row r="28" spans="1:17" customFormat="1">
      <c r="A28" s="50" t="s">
        <v>343</v>
      </c>
      <c r="B28" s="55">
        <v>20.74</v>
      </c>
      <c r="C28" s="55">
        <v>28.16</v>
      </c>
      <c r="D28" s="55">
        <v>31.89</v>
      </c>
      <c r="E28" s="55">
        <v>8.94</v>
      </c>
      <c r="F28" s="55">
        <v>4.3099999999999996</v>
      </c>
      <c r="G28" s="55">
        <v>51.33</v>
      </c>
      <c r="H28" s="55">
        <v>18.350000000000001</v>
      </c>
      <c r="I28" s="55">
        <v>5.44</v>
      </c>
      <c r="J28" s="55">
        <v>0.18</v>
      </c>
      <c r="K28" s="55">
        <v>182.09</v>
      </c>
      <c r="L28" s="55">
        <v>24.99</v>
      </c>
      <c r="M28" s="55">
        <v>98.35</v>
      </c>
      <c r="N28" s="55">
        <v>0</v>
      </c>
      <c r="O28" s="55">
        <v>0</v>
      </c>
      <c r="P28" s="55">
        <v>0.75</v>
      </c>
      <c r="Q28" s="55">
        <v>4.45</v>
      </c>
    </row>
    <row r="29" spans="1:17" customFormat="1">
      <c r="A29" s="50" t="s">
        <v>344</v>
      </c>
      <c r="B29" s="55">
        <v>20.6</v>
      </c>
      <c r="C29" s="55">
        <v>28.08</v>
      </c>
      <c r="D29" s="55">
        <v>32.06</v>
      </c>
      <c r="E29" s="55">
        <v>8.83</v>
      </c>
      <c r="F29" s="55">
        <v>4.04</v>
      </c>
      <c r="G29" s="55">
        <v>51.33</v>
      </c>
      <c r="H29" s="55">
        <v>18.38</v>
      </c>
      <c r="I29" s="55">
        <v>5.81</v>
      </c>
      <c r="J29" s="55">
        <v>0.16</v>
      </c>
      <c r="K29" s="55">
        <v>233.37</v>
      </c>
      <c r="L29" s="55">
        <v>25.18</v>
      </c>
      <c r="M29" s="55">
        <v>98.72</v>
      </c>
      <c r="N29" s="55">
        <v>0</v>
      </c>
      <c r="O29" s="55">
        <v>0</v>
      </c>
      <c r="P29" s="55">
        <v>0.8</v>
      </c>
      <c r="Q29" s="55">
        <v>4.4400000000000004</v>
      </c>
    </row>
    <row r="30" spans="1:17" customFormat="1">
      <c r="A30" s="50" t="s">
        <v>345</v>
      </c>
      <c r="B30" s="55">
        <v>19.510000000000002</v>
      </c>
      <c r="C30" s="55">
        <v>28.52</v>
      </c>
      <c r="D30" s="55">
        <v>31.76</v>
      </c>
      <c r="E30" s="55">
        <v>8.99</v>
      </c>
      <c r="F30" s="55">
        <v>4.03</v>
      </c>
      <c r="G30" s="55">
        <v>50.4</v>
      </c>
      <c r="H30" s="55">
        <v>18.38</v>
      </c>
      <c r="I30" s="55">
        <v>10.28</v>
      </c>
      <c r="J30" s="55">
        <v>0.14000000000000001</v>
      </c>
      <c r="K30" s="55">
        <v>226.39</v>
      </c>
      <c r="L30" s="55">
        <v>25.32</v>
      </c>
      <c r="M30" s="55">
        <v>99.09</v>
      </c>
      <c r="N30" s="55">
        <v>0</v>
      </c>
      <c r="O30" s="55">
        <v>0</v>
      </c>
      <c r="P30" s="55">
        <v>0.83</v>
      </c>
      <c r="Q30" s="55">
        <v>4.46</v>
      </c>
    </row>
    <row r="31" spans="1:17" customFormat="1">
      <c r="A31" s="50" t="s">
        <v>346</v>
      </c>
      <c r="B31" s="55">
        <v>20.64</v>
      </c>
      <c r="C31" s="55">
        <v>30.1</v>
      </c>
      <c r="D31" s="55">
        <v>33.630000000000003</v>
      </c>
      <c r="E31" s="55">
        <v>9.2100000000000009</v>
      </c>
      <c r="F31" s="55">
        <v>3.96</v>
      </c>
      <c r="G31" s="55">
        <v>45.88</v>
      </c>
      <c r="H31" s="55">
        <v>17.87</v>
      </c>
      <c r="I31" s="55">
        <v>9.91</v>
      </c>
      <c r="J31" s="55">
        <v>0.09</v>
      </c>
      <c r="K31" s="55">
        <v>238.73</v>
      </c>
      <c r="L31" s="55">
        <v>25.14</v>
      </c>
      <c r="M31" s="55">
        <v>99.55</v>
      </c>
      <c r="N31" s="55">
        <v>0</v>
      </c>
      <c r="O31" s="55">
        <v>0</v>
      </c>
      <c r="P31" s="55">
        <v>0.88</v>
      </c>
      <c r="Q31" s="55">
        <v>4.6100000000000003</v>
      </c>
    </row>
    <row r="32" spans="1:17" customFormat="1">
      <c r="A32" s="50" t="s">
        <v>347</v>
      </c>
      <c r="B32" s="55">
        <v>22.4</v>
      </c>
      <c r="C32" s="55">
        <v>31.15</v>
      </c>
      <c r="D32" s="55">
        <v>35.590000000000003</v>
      </c>
      <c r="E32" s="55">
        <v>9.61</v>
      </c>
      <c r="F32" s="55">
        <v>4.0199999999999996</v>
      </c>
      <c r="G32" s="55">
        <v>42.96</v>
      </c>
      <c r="H32" s="55">
        <v>16.399999999999999</v>
      </c>
      <c r="I32" s="55">
        <v>9.85</v>
      </c>
      <c r="J32" s="55">
        <v>0.14000000000000001</v>
      </c>
      <c r="K32" s="55">
        <v>203.88</v>
      </c>
      <c r="L32" s="55">
        <v>24.93</v>
      </c>
      <c r="M32" s="55">
        <v>98.99</v>
      </c>
      <c r="N32" s="55">
        <v>0</v>
      </c>
      <c r="O32" s="55">
        <v>0.2</v>
      </c>
      <c r="P32" s="55">
        <v>0.9</v>
      </c>
      <c r="Q32" s="55">
        <v>4.74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10.199999999999999</v>
      </c>
      <c r="C34" s="40">
        <f t="shared" si="0"/>
        <v>23.27</v>
      </c>
      <c r="D34" s="40">
        <f t="shared" si="0"/>
        <v>24.19</v>
      </c>
      <c r="E34" s="40">
        <f t="shared" si="0"/>
        <v>6.09</v>
      </c>
      <c r="F34" s="40">
        <f t="shared" si="0"/>
        <v>3.96</v>
      </c>
      <c r="G34" s="40">
        <f t="shared" si="0"/>
        <v>8.61</v>
      </c>
      <c r="H34" s="40">
        <f t="shared" si="0"/>
        <v>2.85</v>
      </c>
      <c r="I34" s="40">
        <f t="shared" si="0"/>
        <v>3.07</v>
      </c>
      <c r="J34" s="40">
        <f t="shared" si="0"/>
        <v>0.09</v>
      </c>
      <c r="K34" s="40">
        <f t="shared" si="0"/>
        <v>74.680000000000007</v>
      </c>
      <c r="L34" s="40">
        <f t="shared" si="0"/>
        <v>23.93</v>
      </c>
      <c r="M34" s="40">
        <f t="shared" si="0"/>
        <v>76.349999999999994</v>
      </c>
      <c r="N34" s="40">
        <f t="shared" si="0"/>
        <v>0</v>
      </c>
      <c r="O34" s="40">
        <f t="shared" si="0"/>
        <v>0</v>
      </c>
      <c r="P34" s="40">
        <f t="shared" si="0"/>
        <v>0.41</v>
      </c>
      <c r="Q34" s="40">
        <f t="shared" si="0"/>
        <v>3.93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22.4</v>
      </c>
      <c r="C35" s="33">
        <f t="shared" si="1"/>
        <v>31.22</v>
      </c>
      <c r="D35" s="33">
        <f t="shared" si="1"/>
        <v>35.590000000000003</v>
      </c>
      <c r="E35" s="33">
        <f t="shared" si="1"/>
        <v>10.039999999999999</v>
      </c>
      <c r="F35" s="33">
        <f t="shared" si="1"/>
        <v>6.62</v>
      </c>
      <c r="G35" s="33">
        <f t="shared" si="1"/>
        <v>77.28</v>
      </c>
      <c r="H35" s="33">
        <f t="shared" si="1"/>
        <v>28.71</v>
      </c>
      <c r="I35" s="33">
        <f t="shared" si="1"/>
        <v>10.28</v>
      </c>
      <c r="J35" s="33">
        <f t="shared" si="1"/>
        <v>0.47</v>
      </c>
      <c r="K35" s="33">
        <f t="shared" si="1"/>
        <v>359.7</v>
      </c>
      <c r="L35" s="33">
        <f t="shared" si="1"/>
        <v>31.6</v>
      </c>
      <c r="M35" s="33">
        <f t="shared" si="1"/>
        <v>102.01</v>
      </c>
      <c r="N35" s="33">
        <f t="shared" si="1"/>
        <v>674.1</v>
      </c>
      <c r="O35" s="33">
        <f t="shared" si="1"/>
        <v>7.2</v>
      </c>
      <c r="P35" s="33">
        <f t="shared" si="1"/>
        <v>0.9</v>
      </c>
      <c r="Q35" s="33">
        <f t="shared" si="1"/>
        <v>4.74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15.4925</v>
      </c>
      <c r="C36" s="40">
        <f t="shared" si="2"/>
        <v>27.05</v>
      </c>
      <c r="D36" s="40">
        <f t="shared" si="2"/>
        <v>27.598750000000006</v>
      </c>
      <c r="E36" s="40">
        <f t="shared" si="2"/>
        <v>8.6295833333333363</v>
      </c>
      <c r="F36" s="40">
        <f t="shared" si="2"/>
        <v>4.7316666666666665</v>
      </c>
      <c r="G36" s="40">
        <f t="shared" si="2"/>
        <v>38.145833333333336</v>
      </c>
      <c r="H36" s="40">
        <f t="shared" si="2"/>
        <v>14.479999999999999</v>
      </c>
      <c r="I36" s="40">
        <f t="shared" si="2"/>
        <v>4.8874999999999993</v>
      </c>
      <c r="J36" s="40">
        <f t="shared" si="2"/>
        <v>0.22874999999999993</v>
      </c>
      <c r="K36" s="40">
        <f t="shared" si="2"/>
        <v>254.77958333333333</v>
      </c>
      <c r="L36" s="40">
        <f t="shared" si="2"/>
        <v>26.293333333333333</v>
      </c>
      <c r="M36" s="40">
        <f t="shared" si="2"/>
        <v>95.519166666666649</v>
      </c>
      <c r="N36" s="40">
        <f t="shared" si="2"/>
        <v>124.36666666666666</v>
      </c>
      <c r="O36" s="40">
        <f t="shared" si="2"/>
        <v>0.44999999999999996</v>
      </c>
      <c r="P36" s="40">
        <f t="shared" si="2"/>
        <v>0.62</v>
      </c>
      <c r="Q36" s="40">
        <f t="shared" si="2"/>
        <v>4.1841666666666661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3.3120363498320371</v>
      </c>
      <c r="C37" s="40">
        <f t="shared" ref="C37:Q37" si="3">STDEV(C9:C32)</f>
        <v>2.7810961242239496</v>
      </c>
      <c r="D37" s="40">
        <f t="shared" si="3"/>
        <v>3.2058076544594707</v>
      </c>
      <c r="E37" s="40">
        <f t="shared" si="3"/>
        <v>1.0039074925625111</v>
      </c>
      <c r="F37" s="40">
        <f t="shared" si="3"/>
        <v>0.74172341421071675</v>
      </c>
      <c r="G37" s="40">
        <f t="shared" si="3"/>
        <v>23.730723237236539</v>
      </c>
      <c r="H37" s="40">
        <f t="shared" si="3"/>
        <v>8.5405146978591304</v>
      </c>
      <c r="I37" s="40">
        <f t="shared" si="3"/>
        <v>2.1359739658077999</v>
      </c>
      <c r="J37" s="40">
        <f t="shared" si="3"/>
        <v>0.11380045464874429</v>
      </c>
      <c r="K37" s="40">
        <f t="shared" si="3"/>
        <v>67.407465428326319</v>
      </c>
      <c r="L37" s="40">
        <f t="shared" si="3"/>
        <v>2.3915097408498647</v>
      </c>
      <c r="M37" s="40">
        <f t="shared" si="3"/>
        <v>7.2875235351499956</v>
      </c>
      <c r="N37" s="40">
        <f t="shared" si="3"/>
        <v>193.36151468769279</v>
      </c>
      <c r="O37" s="40">
        <f t="shared" si="3"/>
        <v>1.5959187077477133</v>
      </c>
      <c r="P37" s="40">
        <f t="shared" si="3"/>
        <v>0.1487045509668781</v>
      </c>
      <c r="Q37" s="40">
        <f t="shared" si="3"/>
        <v>0.21097942752927662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348</v>
      </c>
      <c r="B9" s="55">
        <v>24.02</v>
      </c>
      <c r="C9" s="55">
        <v>31.75</v>
      </c>
      <c r="D9" s="55">
        <v>37.19</v>
      </c>
      <c r="E9" s="55">
        <v>9.73</v>
      </c>
      <c r="F9" s="55">
        <v>3.94</v>
      </c>
      <c r="G9" s="55">
        <v>47.85</v>
      </c>
      <c r="H9" s="55">
        <v>16.600000000000001</v>
      </c>
      <c r="I9" s="55">
        <v>9.43</v>
      </c>
      <c r="J9" s="55">
        <v>0.13</v>
      </c>
      <c r="K9" s="55">
        <v>202.46</v>
      </c>
      <c r="L9" s="55">
        <v>24.76</v>
      </c>
      <c r="M9" s="55">
        <v>100.45</v>
      </c>
      <c r="N9" s="55">
        <v>0</v>
      </c>
      <c r="O9" s="55">
        <v>0</v>
      </c>
      <c r="P9" s="55">
        <v>0.92</v>
      </c>
      <c r="Q9" s="55">
        <v>4.83</v>
      </c>
    </row>
    <row r="10" spans="1:21" customFormat="1">
      <c r="A10" s="50" t="s">
        <v>349</v>
      </c>
      <c r="B10" s="55">
        <v>27.42</v>
      </c>
      <c r="C10" s="55">
        <v>31.13</v>
      </c>
      <c r="D10" s="55">
        <v>37.25</v>
      </c>
      <c r="E10" s="55">
        <v>9.83</v>
      </c>
      <c r="F10" s="55">
        <v>4.75</v>
      </c>
      <c r="G10" s="55">
        <v>47.85</v>
      </c>
      <c r="H10" s="55">
        <v>16.600000000000001</v>
      </c>
      <c r="I10" s="55">
        <v>9.1999999999999993</v>
      </c>
      <c r="J10" s="55">
        <v>7.0000000000000007E-2</v>
      </c>
      <c r="K10" s="55">
        <v>242.4</v>
      </c>
      <c r="L10" s="55">
        <v>24.61</v>
      </c>
      <c r="M10" s="55">
        <v>100.71</v>
      </c>
      <c r="N10" s="55">
        <v>0</v>
      </c>
      <c r="O10" s="55">
        <v>0</v>
      </c>
      <c r="P10" s="55">
        <v>0.9</v>
      </c>
      <c r="Q10" s="55">
        <v>4.8899999999999997</v>
      </c>
    </row>
    <row r="11" spans="1:21" customFormat="1">
      <c r="A11" s="50" t="s">
        <v>350</v>
      </c>
      <c r="B11" s="55">
        <v>28.07</v>
      </c>
      <c r="C11" s="55">
        <v>27.23</v>
      </c>
      <c r="D11" s="55">
        <v>37.9</v>
      </c>
      <c r="E11" s="55">
        <v>6.78</v>
      </c>
      <c r="F11" s="55">
        <v>4.43</v>
      </c>
      <c r="G11" s="55">
        <v>47.52</v>
      </c>
      <c r="H11" s="55">
        <v>16.059999999999999</v>
      </c>
      <c r="I11" s="55">
        <v>9.0500000000000007</v>
      </c>
      <c r="J11" s="55">
        <v>0.18</v>
      </c>
      <c r="K11" s="55">
        <v>174.17</v>
      </c>
      <c r="L11" s="55">
        <v>24.72</v>
      </c>
      <c r="M11" s="55">
        <v>98.26</v>
      </c>
      <c r="N11" s="55">
        <v>0</v>
      </c>
      <c r="O11" s="55">
        <v>0</v>
      </c>
      <c r="P11" s="55">
        <v>0.88</v>
      </c>
      <c r="Q11" s="55">
        <v>4.93</v>
      </c>
    </row>
    <row r="12" spans="1:21" customFormat="1">
      <c r="A12" s="50" t="s">
        <v>351</v>
      </c>
      <c r="B12" s="55">
        <v>28.2</v>
      </c>
      <c r="C12" s="55">
        <v>26.43</v>
      </c>
      <c r="D12" s="55">
        <v>37.659999999999997</v>
      </c>
      <c r="E12" s="55">
        <v>6.92</v>
      </c>
      <c r="F12" s="55">
        <v>4.38</v>
      </c>
      <c r="G12" s="55">
        <v>47.52</v>
      </c>
      <c r="H12" s="55">
        <v>16.57</v>
      </c>
      <c r="I12" s="55">
        <v>8.8800000000000008</v>
      </c>
      <c r="J12" s="55">
        <v>0.11</v>
      </c>
      <c r="K12" s="55">
        <v>195.78</v>
      </c>
      <c r="L12" s="55">
        <v>24.59</v>
      </c>
      <c r="M12" s="55">
        <v>98.7</v>
      </c>
      <c r="N12" s="55">
        <v>0</v>
      </c>
      <c r="O12" s="55">
        <v>0</v>
      </c>
      <c r="P12" s="55">
        <v>0.87</v>
      </c>
      <c r="Q12" s="55">
        <v>4.92</v>
      </c>
    </row>
    <row r="13" spans="1:21" customFormat="1">
      <c r="A13" s="50" t="s">
        <v>352</v>
      </c>
      <c r="B13" s="55">
        <v>28.89</v>
      </c>
      <c r="C13" s="55">
        <v>25.47</v>
      </c>
      <c r="D13" s="55">
        <v>37.19</v>
      </c>
      <c r="E13" s="55">
        <v>7.22</v>
      </c>
      <c r="F13" s="55">
        <v>4.49</v>
      </c>
      <c r="G13" s="55">
        <v>46.21</v>
      </c>
      <c r="H13" s="55">
        <v>16.57</v>
      </c>
      <c r="I13" s="55">
        <v>8.92</v>
      </c>
      <c r="J13" s="55">
        <v>0.1</v>
      </c>
      <c r="K13" s="55">
        <v>178.91</v>
      </c>
      <c r="L13" s="55">
        <v>24.41</v>
      </c>
      <c r="M13" s="55">
        <v>99.56</v>
      </c>
      <c r="N13" s="55">
        <v>0</v>
      </c>
      <c r="O13" s="55">
        <v>0</v>
      </c>
      <c r="P13" s="55">
        <v>0.86</v>
      </c>
      <c r="Q13" s="55">
        <v>4.92</v>
      </c>
    </row>
    <row r="14" spans="1:21" customFormat="1">
      <c r="A14" s="50" t="s">
        <v>353</v>
      </c>
      <c r="B14" s="55">
        <v>29.82</v>
      </c>
      <c r="C14" s="55">
        <v>25.13</v>
      </c>
      <c r="D14" s="55">
        <v>38.1</v>
      </c>
      <c r="E14" s="55">
        <v>6.89</v>
      </c>
      <c r="F14" s="55">
        <v>4.3600000000000003</v>
      </c>
      <c r="G14" s="55">
        <v>35.520000000000003</v>
      </c>
      <c r="H14" s="55">
        <v>12.89</v>
      </c>
      <c r="I14" s="55">
        <v>8.7200000000000006</v>
      </c>
      <c r="J14" s="55">
        <v>0.15</v>
      </c>
      <c r="K14" s="55">
        <v>201.49</v>
      </c>
      <c r="L14" s="55">
        <v>24.56</v>
      </c>
      <c r="M14" s="55">
        <v>101</v>
      </c>
      <c r="N14" s="55">
        <v>1.4</v>
      </c>
      <c r="O14" s="55">
        <v>0</v>
      </c>
      <c r="P14" s="55">
        <v>0.83</v>
      </c>
      <c r="Q14" s="55">
        <v>4.99</v>
      </c>
    </row>
    <row r="15" spans="1:21" customFormat="1">
      <c r="A15" s="50" t="s">
        <v>354</v>
      </c>
      <c r="B15" s="55">
        <v>30.32</v>
      </c>
      <c r="C15" s="55">
        <v>26.99</v>
      </c>
      <c r="D15" s="55">
        <v>39.770000000000003</v>
      </c>
      <c r="E15" s="55">
        <v>7.19</v>
      </c>
      <c r="F15" s="55">
        <v>4.13</v>
      </c>
      <c r="G15" s="55">
        <v>33.17</v>
      </c>
      <c r="H15" s="55">
        <v>12.11</v>
      </c>
      <c r="I15" s="55">
        <v>8.44</v>
      </c>
      <c r="J15" s="55">
        <v>0.13</v>
      </c>
      <c r="K15" s="55">
        <v>333.9</v>
      </c>
      <c r="L15" s="55">
        <v>25.16</v>
      </c>
      <c r="M15" s="55">
        <v>100.39</v>
      </c>
      <c r="N15" s="55">
        <v>56.4</v>
      </c>
      <c r="O15" s="55">
        <v>0</v>
      </c>
      <c r="P15" s="55">
        <v>0.82</v>
      </c>
      <c r="Q15" s="55">
        <v>5.0999999999999996</v>
      </c>
    </row>
    <row r="16" spans="1:21" customFormat="1">
      <c r="A16" s="50" t="s">
        <v>355</v>
      </c>
      <c r="B16" s="55">
        <v>30.01</v>
      </c>
      <c r="C16" s="55">
        <v>28.92</v>
      </c>
      <c r="D16" s="55">
        <v>39.81</v>
      </c>
      <c r="E16" s="55">
        <v>6.95</v>
      </c>
      <c r="F16" s="55">
        <v>4.0999999999999996</v>
      </c>
      <c r="G16" s="55">
        <v>35.68</v>
      </c>
      <c r="H16" s="55">
        <v>11.83</v>
      </c>
      <c r="I16" s="55">
        <v>8.1199999999999992</v>
      </c>
      <c r="J16" s="55">
        <v>0.26</v>
      </c>
      <c r="K16" s="55">
        <v>335.61</v>
      </c>
      <c r="L16" s="55">
        <v>26.92</v>
      </c>
      <c r="M16" s="55">
        <v>99.48</v>
      </c>
      <c r="N16" s="55">
        <v>155.5</v>
      </c>
      <c r="O16" s="55">
        <v>0</v>
      </c>
      <c r="P16" s="55">
        <v>0.83</v>
      </c>
      <c r="Q16" s="55">
        <v>5.12</v>
      </c>
    </row>
    <row r="17" spans="1:17" customFormat="1">
      <c r="A17" s="50" t="s">
        <v>356</v>
      </c>
      <c r="B17" s="55">
        <v>28.49</v>
      </c>
      <c r="C17" s="55">
        <v>30</v>
      </c>
      <c r="D17" s="55">
        <v>39.619999999999997</v>
      </c>
      <c r="E17" s="55">
        <v>7.45</v>
      </c>
      <c r="F17" s="55">
        <v>4.17</v>
      </c>
      <c r="G17" s="55">
        <v>49.21</v>
      </c>
      <c r="H17" s="55">
        <v>17.87</v>
      </c>
      <c r="I17" s="55">
        <v>8.0399999999999991</v>
      </c>
      <c r="J17" s="55">
        <v>0.44</v>
      </c>
      <c r="K17" s="55">
        <v>168.65</v>
      </c>
      <c r="L17" s="55">
        <v>28.71</v>
      </c>
      <c r="M17" s="55">
        <v>90.93</v>
      </c>
      <c r="N17" s="55">
        <v>382.5</v>
      </c>
      <c r="O17" s="55">
        <v>0</v>
      </c>
      <c r="P17" s="55">
        <v>0.82</v>
      </c>
      <c r="Q17" s="55">
        <v>5.09</v>
      </c>
    </row>
    <row r="18" spans="1:17" customFormat="1">
      <c r="A18" s="49">
        <v>45195.416666666664</v>
      </c>
      <c r="B18" s="55">
        <v>25.38</v>
      </c>
      <c r="C18" s="55">
        <v>30.58</v>
      </c>
      <c r="D18" s="55">
        <v>37.5</v>
      </c>
      <c r="E18" s="55">
        <v>7.47</v>
      </c>
      <c r="F18" s="55">
        <v>4.2</v>
      </c>
      <c r="G18" s="55">
        <v>56.55</v>
      </c>
      <c r="H18" s="55">
        <v>23.22</v>
      </c>
      <c r="I18" s="55">
        <v>7.81</v>
      </c>
      <c r="J18" s="55">
        <v>0.31</v>
      </c>
      <c r="K18" s="55">
        <v>269.57</v>
      </c>
      <c r="L18" s="55">
        <v>28.87</v>
      </c>
      <c r="M18" s="55">
        <v>89.81</v>
      </c>
      <c r="N18" s="55">
        <v>230</v>
      </c>
      <c r="O18" s="55">
        <v>0</v>
      </c>
      <c r="P18" s="55">
        <v>0.79</v>
      </c>
      <c r="Q18" s="55">
        <v>4.9400000000000004</v>
      </c>
    </row>
    <row r="19" spans="1:17" customFormat="1">
      <c r="A19" s="50" t="s">
        <v>357</v>
      </c>
      <c r="B19" s="55">
        <v>20.61</v>
      </c>
      <c r="C19" s="55">
        <v>32.200000000000003</v>
      </c>
      <c r="D19" s="55">
        <v>33.83</v>
      </c>
      <c r="E19" s="55">
        <v>6.5</v>
      </c>
      <c r="F19" s="55">
        <v>4.6399999999999997</v>
      </c>
      <c r="G19" s="55">
        <v>56.55</v>
      </c>
      <c r="H19" s="55">
        <v>23.42</v>
      </c>
      <c r="I19" s="55">
        <v>7.39</v>
      </c>
      <c r="J19" s="55">
        <v>0.21</v>
      </c>
      <c r="K19" s="55">
        <v>177.7</v>
      </c>
      <c r="L19" s="55">
        <v>28.81</v>
      </c>
      <c r="M19" s="55">
        <v>92.95</v>
      </c>
      <c r="N19" s="55">
        <v>293.89999999999998</v>
      </c>
      <c r="O19" s="55">
        <v>0.4</v>
      </c>
      <c r="P19" s="55">
        <v>0.76</v>
      </c>
      <c r="Q19" s="55">
        <v>4.67</v>
      </c>
    </row>
    <row r="20" spans="1:17" customFormat="1">
      <c r="A20" s="50" t="s">
        <v>358</v>
      </c>
      <c r="B20" s="55">
        <v>17.71</v>
      </c>
      <c r="C20" s="55">
        <v>30.73</v>
      </c>
      <c r="D20" s="55">
        <v>31.6</v>
      </c>
      <c r="E20" s="55">
        <v>7.37</v>
      </c>
      <c r="F20" s="55">
        <v>7.18</v>
      </c>
      <c r="G20" s="55">
        <v>52.27</v>
      </c>
      <c r="H20" s="55">
        <v>23.42</v>
      </c>
      <c r="I20" s="55">
        <v>6.99</v>
      </c>
      <c r="J20" s="55">
        <v>0.39</v>
      </c>
      <c r="K20" s="55">
        <v>316.26</v>
      </c>
      <c r="L20" s="55">
        <v>29.94</v>
      </c>
      <c r="M20" s="55">
        <v>86.81</v>
      </c>
      <c r="N20" s="55">
        <v>630.79999999999995</v>
      </c>
      <c r="O20" s="55">
        <v>0</v>
      </c>
      <c r="P20" s="55">
        <v>0.72</v>
      </c>
      <c r="Q20" s="55">
        <v>4.42</v>
      </c>
    </row>
    <row r="21" spans="1:17" customFormat="1">
      <c r="A21" s="50" t="s">
        <v>359</v>
      </c>
      <c r="B21" s="55">
        <v>16.23</v>
      </c>
      <c r="C21" s="55">
        <v>26.87</v>
      </c>
      <c r="D21" s="55">
        <v>28.41</v>
      </c>
      <c r="E21" s="55">
        <v>9.5</v>
      </c>
      <c r="F21" s="55">
        <v>10.41</v>
      </c>
      <c r="G21" s="55">
        <v>53</v>
      </c>
      <c r="H21" s="55">
        <v>23.57</v>
      </c>
      <c r="I21" s="55">
        <v>6.72</v>
      </c>
      <c r="J21" s="55">
        <v>0.35</v>
      </c>
      <c r="K21" s="55">
        <v>337.22</v>
      </c>
      <c r="L21" s="55">
        <v>29.52</v>
      </c>
      <c r="M21" s="55">
        <v>81.42</v>
      </c>
      <c r="N21" s="55">
        <v>258.5</v>
      </c>
      <c r="O21" s="55">
        <v>0</v>
      </c>
      <c r="P21" s="55">
        <v>0.69</v>
      </c>
      <c r="Q21" s="55">
        <v>4.24</v>
      </c>
    </row>
    <row r="22" spans="1:17" customFormat="1">
      <c r="A22" s="50" t="s">
        <v>360</v>
      </c>
      <c r="B22" s="55">
        <v>15.49</v>
      </c>
      <c r="C22" s="55">
        <v>27.36</v>
      </c>
      <c r="D22" s="55">
        <v>28.06</v>
      </c>
      <c r="E22" s="55">
        <v>16.72</v>
      </c>
      <c r="F22" s="55">
        <v>8.74</v>
      </c>
      <c r="G22" s="55">
        <v>54.6</v>
      </c>
      <c r="H22" s="55">
        <v>23.57</v>
      </c>
      <c r="I22" s="55">
        <v>6.31</v>
      </c>
      <c r="J22" s="55">
        <v>0.87</v>
      </c>
      <c r="K22" s="55">
        <v>306.75</v>
      </c>
      <c r="L22" s="55">
        <v>30.7</v>
      </c>
      <c r="M22" s="55">
        <v>77.489999999999995</v>
      </c>
      <c r="N22" s="55">
        <v>582.6</v>
      </c>
      <c r="O22" s="55">
        <v>0</v>
      </c>
      <c r="P22" s="55">
        <v>0.68</v>
      </c>
      <c r="Q22" s="55">
        <v>4.12</v>
      </c>
    </row>
    <row r="23" spans="1:17" customFormat="1">
      <c r="A23" s="50" t="s">
        <v>361</v>
      </c>
      <c r="B23" s="55">
        <v>15.56</v>
      </c>
      <c r="C23" s="55">
        <v>27.25</v>
      </c>
      <c r="D23" s="55">
        <v>28.07</v>
      </c>
      <c r="E23" s="55">
        <v>12.71</v>
      </c>
      <c r="F23" s="55">
        <v>10.039999999999999</v>
      </c>
      <c r="G23" s="55">
        <v>54.6</v>
      </c>
      <c r="H23" s="55">
        <v>21.69</v>
      </c>
      <c r="I23" s="55">
        <v>6.14</v>
      </c>
      <c r="J23" s="55">
        <v>0.94</v>
      </c>
      <c r="K23" s="55">
        <v>41.49</v>
      </c>
      <c r="L23" s="55">
        <v>30.99</v>
      </c>
      <c r="M23" s="55">
        <v>74.08</v>
      </c>
      <c r="N23" s="55">
        <v>515.5</v>
      </c>
      <c r="O23" s="55">
        <v>0</v>
      </c>
      <c r="P23" s="55">
        <v>0.66</v>
      </c>
      <c r="Q23" s="55">
        <v>4.1500000000000004</v>
      </c>
    </row>
    <row r="24" spans="1:17" customFormat="1">
      <c r="A24" s="50" t="s">
        <v>362</v>
      </c>
      <c r="B24" s="55">
        <v>14.27</v>
      </c>
      <c r="C24" s="55">
        <v>26.27</v>
      </c>
      <c r="D24" s="55">
        <v>26.15</v>
      </c>
      <c r="E24" s="55">
        <v>6.69</v>
      </c>
      <c r="F24" s="55">
        <v>10.039999999999999</v>
      </c>
      <c r="G24" s="55">
        <v>54.44</v>
      </c>
      <c r="H24" s="55">
        <v>21.43</v>
      </c>
      <c r="I24" s="55">
        <v>5.75</v>
      </c>
      <c r="J24" s="55">
        <v>0.63</v>
      </c>
      <c r="K24" s="55">
        <v>140.35</v>
      </c>
      <c r="L24" s="55">
        <v>30.73</v>
      </c>
      <c r="M24" s="55">
        <v>79.67</v>
      </c>
      <c r="N24" s="55">
        <v>225.2</v>
      </c>
      <c r="O24" s="55">
        <v>0</v>
      </c>
      <c r="P24" s="55">
        <v>0.64</v>
      </c>
      <c r="Q24" s="55">
        <v>4.0599999999999996</v>
      </c>
    </row>
    <row r="25" spans="1:17" customFormat="1">
      <c r="A25" s="50" t="s">
        <v>363</v>
      </c>
      <c r="B25" s="55">
        <v>11.89</v>
      </c>
      <c r="C25" s="55">
        <v>26.44</v>
      </c>
      <c r="D25" s="55">
        <v>24.7</v>
      </c>
      <c r="E25" s="55">
        <v>4.8</v>
      </c>
      <c r="F25" s="55">
        <v>7.59</v>
      </c>
      <c r="G25" s="55">
        <v>52.07</v>
      </c>
      <c r="H25" s="55">
        <v>21.43</v>
      </c>
      <c r="I25" s="55">
        <v>5.39</v>
      </c>
      <c r="J25" s="55">
        <v>0.27</v>
      </c>
      <c r="K25" s="55">
        <v>298.13</v>
      </c>
      <c r="L25" s="55">
        <v>28.12</v>
      </c>
      <c r="M25" s="55">
        <v>88.15</v>
      </c>
      <c r="N25" s="55">
        <v>26.8</v>
      </c>
      <c r="O25" s="55">
        <v>0</v>
      </c>
      <c r="P25" s="55">
        <v>0.61</v>
      </c>
      <c r="Q25" s="55">
        <v>3.95</v>
      </c>
    </row>
    <row r="26" spans="1:17" customFormat="1">
      <c r="A26" s="50" t="s">
        <v>364</v>
      </c>
      <c r="B26" s="55">
        <v>9.9600000000000009</v>
      </c>
      <c r="C26" s="55">
        <v>25.92</v>
      </c>
      <c r="D26" s="55">
        <v>22.88</v>
      </c>
      <c r="E26" s="55">
        <v>4.57</v>
      </c>
      <c r="F26" s="55">
        <v>5.38</v>
      </c>
      <c r="G26" s="55">
        <v>39.909999999999997</v>
      </c>
      <c r="H26" s="55">
        <v>17.3</v>
      </c>
      <c r="I26" s="55">
        <v>4.99</v>
      </c>
      <c r="J26" s="55">
        <v>0.17</v>
      </c>
      <c r="K26" s="55">
        <v>218.26</v>
      </c>
      <c r="L26" s="55">
        <v>26.66</v>
      </c>
      <c r="M26" s="55">
        <v>91.08</v>
      </c>
      <c r="N26" s="55">
        <v>0</v>
      </c>
      <c r="O26" s="55">
        <v>0</v>
      </c>
      <c r="P26" s="55">
        <v>0.56000000000000005</v>
      </c>
      <c r="Q26" s="55">
        <v>3.85</v>
      </c>
    </row>
    <row r="27" spans="1:17" customFormat="1">
      <c r="A27" s="50" t="s">
        <v>365</v>
      </c>
      <c r="B27" s="55">
        <v>9.3699999999999992</v>
      </c>
      <c r="C27" s="55">
        <v>25.68</v>
      </c>
      <c r="D27" s="55">
        <v>22.21</v>
      </c>
      <c r="E27" s="55">
        <v>7.05</v>
      </c>
      <c r="F27" s="55">
        <v>4.33</v>
      </c>
      <c r="G27" s="55">
        <v>28.08</v>
      </c>
      <c r="H27" s="55">
        <v>15.69</v>
      </c>
      <c r="I27" s="55">
        <v>4.59</v>
      </c>
      <c r="J27" s="55">
        <v>0.12</v>
      </c>
      <c r="K27" s="55">
        <v>250.97</v>
      </c>
      <c r="L27" s="55">
        <v>26.06</v>
      </c>
      <c r="M27" s="55">
        <v>95.75</v>
      </c>
      <c r="N27" s="55">
        <v>0</v>
      </c>
      <c r="O27" s="55">
        <v>0</v>
      </c>
      <c r="P27" s="55">
        <v>0.53</v>
      </c>
      <c r="Q27" s="55">
        <v>3.86</v>
      </c>
    </row>
    <row r="28" spans="1:17" customFormat="1">
      <c r="A28" s="50" t="s">
        <v>366</v>
      </c>
      <c r="B28" s="55">
        <v>9.82</v>
      </c>
      <c r="C28" s="55">
        <v>26.16</v>
      </c>
      <c r="D28" s="55">
        <v>22.9</v>
      </c>
      <c r="E28" s="55">
        <v>6.85</v>
      </c>
      <c r="F28" s="55">
        <v>4.0599999999999996</v>
      </c>
      <c r="G28" s="55">
        <v>22.86</v>
      </c>
      <c r="H28" s="55">
        <v>11.1</v>
      </c>
      <c r="I28" s="55">
        <v>4.45</v>
      </c>
      <c r="J28" s="55">
        <v>0.2</v>
      </c>
      <c r="K28" s="55">
        <v>245.29</v>
      </c>
      <c r="L28" s="55">
        <v>25.91</v>
      </c>
      <c r="M28" s="55">
        <v>96.35</v>
      </c>
      <c r="N28" s="55">
        <v>0</v>
      </c>
      <c r="O28" s="55">
        <v>0</v>
      </c>
      <c r="P28" s="55">
        <v>0.52</v>
      </c>
      <c r="Q28" s="55">
        <v>3.89</v>
      </c>
    </row>
    <row r="29" spans="1:17" customFormat="1">
      <c r="A29" s="50" t="s">
        <v>367</v>
      </c>
      <c r="B29" s="55">
        <v>10.67</v>
      </c>
      <c r="C29" s="55">
        <v>26.57</v>
      </c>
      <c r="D29" s="55">
        <v>23.45</v>
      </c>
      <c r="E29" s="55">
        <v>7.24</v>
      </c>
      <c r="F29" s="55">
        <v>4.32</v>
      </c>
      <c r="G29" s="55">
        <v>19.09</v>
      </c>
      <c r="H29" s="55">
        <v>10.75</v>
      </c>
      <c r="I29" s="55">
        <v>4.7</v>
      </c>
      <c r="J29" s="55">
        <v>0.14000000000000001</v>
      </c>
      <c r="K29" s="55">
        <v>253.85</v>
      </c>
      <c r="L29" s="55">
        <v>25.72</v>
      </c>
      <c r="M29" s="55">
        <v>96.81</v>
      </c>
      <c r="N29" s="55">
        <v>0</v>
      </c>
      <c r="O29" s="55">
        <v>0</v>
      </c>
      <c r="P29" s="55">
        <v>0.52</v>
      </c>
      <c r="Q29" s="55">
        <v>3.94</v>
      </c>
    </row>
    <row r="30" spans="1:17" customFormat="1">
      <c r="A30" s="50" t="s">
        <v>368</v>
      </c>
      <c r="B30" s="55">
        <v>11.47</v>
      </c>
      <c r="C30" s="55">
        <v>23.61</v>
      </c>
      <c r="D30" s="55">
        <v>22.55</v>
      </c>
      <c r="E30" s="55">
        <v>6.61</v>
      </c>
      <c r="F30" s="55">
        <v>6.05</v>
      </c>
      <c r="G30" s="55">
        <v>16.809999999999999</v>
      </c>
      <c r="H30" s="55">
        <v>7.79</v>
      </c>
      <c r="I30" s="55">
        <v>4.67</v>
      </c>
      <c r="J30" s="55">
        <v>0.11</v>
      </c>
      <c r="K30" s="55">
        <v>235.41</v>
      </c>
      <c r="L30" s="55">
        <v>25.55</v>
      </c>
      <c r="M30" s="55">
        <v>99.33</v>
      </c>
      <c r="N30" s="55">
        <v>0</v>
      </c>
      <c r="O30" s="55">
        <v>0</v>
      </c>
      <c r="P30" s="55">
        <v>0.48</v>
      </c>
      <c r="Q30" s="55">
        <v>3.92</v>
      </c>
    </row>
    <row r="31" spans="1:17" customFormat="1">
      <c r="A31" s="50" t="s">
        <v>369</v>
      </c>
      <c r="B31" s="55">
        <v>12.84</v>
      </c>
      <c r="C31" s="55">
        <v>23.71</v>
      </c>
      <c r="D31" s="55">
        <v>23.75</v>
      </c>
      <c r="E31" s="55">
        <v>6.6</v>
      </c>
      <c r="F31" s="55">
        <v>5.0199999999999996</v>
      </c>
      <c r="G31" s="55">
        <v>13.85</v>
      </c>
      <c r="H31" s="55">
        <v>6.74</v>
      </c>
      <c r="I31" s="55">
        <v>4.59</v>
      </c>
      <c r="J31" s="55">
        <v>0.13</v>
      </c>
      <c r="K31" s="55">
        <v>269.10000000000002</v>
      </c>
      <c r="L31" s="55">
        <v>25.2</v>
      </c>
      <c r="M31" s="55">
        <v>99.25</v>
      </c>
      <c r="N31" s="55">
        <v>0</v>
      </c>
      <c r="O31" s="55">
        <v>0</v>
      </c>
      <c r="P31" s="55">
        <v>0.46</v>
      </c>
      <c r="Q31" s="55">
        <v>3.93</v>
      </c>
    </row>
    <row r="32" spans="1:17" customFormat="1">
      <c r="A32" s="50" t="s">
        <v>370</v>
      </c>
      <c r="B32" s="55">
        <v>14.16</v>
      </c>
      <c r="C32" s="55">
        <v>23.63</v>
      </c>
      <c r="D32" s="55">
        <v>25.05</v>
      </c>
      <c r="E32" s="55">
        <v>6.6</v>
      </c>
      <c r="F32" s="55">
        <v>4.8899999999999997</v>
      </c>
      <c r="G32" s="55">
        <v>12.85</v>
      </c>
      <c r="H32" s="55">
        <v>6.62</v>
      </c>
      <c r="I32" s="55">
        <v>4.53</v>
      </c>
      <c r="J32" s="55">
        <v>0.12</v>
      </c>
      <c r="K32" s="55">
        <v>187.36</v>
      </c>
      <c r="L32" s="55">
        <v>24.75</v>
      </c>
      <c r="M32" s="55">
        <v>100.39</v>
      </c>
      <c r="N32" s="55">
        <v>0</v>
      </c>
      <c r="O32" s="55">
        <v>0</v>
      </c>
      <c r="P32" s="55">
        <v>0.45</v>
      </c>
      <c r="Q32" s="55">
        <v>4.0599999999999996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9.3699999999999992</v>
      </c>
      <c r="C34" s="40">
        <f t="shared" si="0"/>
        <v>23.61</v>
      </c>
      <c r="D34" s="40">
        <f t="shared" si="0"/>
        <v>22.21</v>
      </c>
      <c r="E34" s="40">
        <f t="shared" si="0"/>
        <v>4.57</v>
      </c>
      <c r="F34" s="40">
        <f t="shared" si="0"/>
        <v>3.94</v>
      </c>
      <c r="G34" s="40">
        <f t="shared" si="0"/>
        <v>12.85</v>
      </c>
      <c r="H34" s="40">
        <f t="shared" si="0"/>
        <v>6.62</v>
      </c>
      <c r="I34" s="40">
        <f t="shared" si="0"/>
        <v>4.45</v>
      </c>
      <c r="J34" s="40">
        <f t="shared" si="0"/>
        <v>7.0000000000000007E-2</v>
      </c>
      <c r="K34" s="40">
        <f t="shared" si="0"/>
        <v>41.49</v>
      </c>
      <c r="L34" s="40">
        <f t="shared" si="0"/>
        <v>24.41</v>
      </c>
      <c r="M34" s="40">
        <f t="shared" si="0"/>
        <v>74.08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3.85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30.32</v>
      </c>
      <c r="C35" s="33">
        <f t="shared" si="1"/>
        <v>32.200000000000003</v>
      </c>
      <c r="D35" s="33">
        <f t="shared" si="1"/>
        <v>39.81</v>
      </c>
      <c r="E35" s="33">
        <f t="shared" si="1"/>
        <v>16.72</v>
      </c>
      <c r="F35" s="33">
        <f t="shared" si="1"/>
        <v>10.41</v>
      </c>
      <c r="G35" s="33">
        <f t="shared" si="1"/>
        <v>56.55</v>
      </c>
      <c r="H35" s="33">
        <f t="shared" si="1"/>
        <v>23.57</v>
      </c>
      <c r="I35" s="33">
        <f t="shared" si="1"/>
        <v>9.43</v>
      </c>
      <c r="J35" s="33">
        <f t="shared" si="1"/>
        <v>0.94</v>
      </c>
      <c r="K35" s="33">
        <f t="shared" si="1"/>
        <v>337.22</v>
      </c>
      <c r="L35" s="33">
        <f t="shared" si="1"/>
        <v>30.99</v>
      </c>
      <c r="M35" s="33">
        <f t="shared" si="1"/>
        <v>101</v>
      </c>
      <c r="N35" s="33">
        <f t="shared" si="1"/>
        <v>630.79999999999995</v>
      </c>
      <c r="O35" s="33">
        <f t="shared" si="1"/>
        <v>0.4</v>
      </c>
      <c r="P35" s="33">
        <f t="shared" si="1"/>
        <v>0.92</v>
      </c>
      <c r="Q35" s="33">
        <f t="shared" si="1"/>
        <v>5.12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19.611250000000002</v>
      </c>
      <c r="C36" s="40">
        <f t="shared" si="2"/>
        <v>27.334583333333338</v>
      </c>
      <c r="D36" s="40">
        <f t="shared" si="2"/>
        <v>31.066666666666666</v>
      </c>
      <c r="E36" s="40">
        <f t="shared" si="2"/>
        <v>7.7600000000000016</v>
      </c>
      <c r="F36" s="40">
        <f t="shared" si="2"/>
        <v>5.6516666666666664</v>
      </c>
      <c r="G36" s="40">
        <f t="shared" si="2"/>
        <v>40.752500000000012</v>
      </c>
      <c r="H36" s="40">
        <f t="shared" si="2"/>
        <v>16.451666666666672</v>
      </c>
      <c r="I36" s="40">
        <f t="shared" si="2"/>
        <v>6.8258333333333328</v>
      </c>
      <c r="J36" s="40">
        <f t="shared" si="2"/>
        <v>0.2720833333333334</v>
      </c>
      <c r="K36" s="40">
        <f t="shared" si="2"/>
        <v>232.54500000000004</v>
      </c>
      <c r="L36" s="40">
        <f t="shared" si="2"/>
        <v>26.915416666666669</v>
      </c>
      <c r="M36" s="40">
        <f t="shared" si="2"/>
        <v>93.28416666666665</v>
      </c>
      <c r="N36" s="40">
        <f t="shared" si="2"/>
        <v>139.96250000000001</v>
      </c>
      <c r="O36" s="40">
        <f t="shared" si="2"/>
        <v>1.6666666666666666E-2</v>
      </c>
      <c r="P36" s="40">
        <f t="shared" si="2"/>
        <v>0.70000000000000007</v>
      </c>
      <c r="Q36" s="40">
        <f t="shared" si="2"/>
        <v>4.4495833333333339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7.813716653090423</v>
      </c>
      <c r="C37" s="40">
        <f t="shared" ref="C37:Q37" si="3">STDEV(C9:C32)</f>
        <v>2.5378182673255023</v>
      </c>
      <c r="D37" s="40">
        <f t="shared" si="3"/>
        <v>6.7558140285538997</v>
      </c>
      <c r="E37" s="40">
        <f t="shared" si="3"/>
        <v>2.5306108559689311</v>
      </c>
      <c r="F37" s="40">
        <f t="shared" si="3"/>
        <v>2.1261532250126987</v>
      </c>
      <c r="G37" s="40">
        <f t="shared" si="3"/>
        <v>14.612718180020268</v>
      </c>
      <c r="H37" s="40">
        <f t="shared" si="3"/>
        <v>5.5358866118906418</v>
      </c>
      <c r="I37" s="40">
        <f t="shared" si="3"/>
        <v>1.7942393729756965</v>
      </c>
      <c r="J37" s="40">
        <f t="shared" si="3"/>
        <v>0.23513140020490422</v>
      </c>
      <c r="K37" s="40">
        <f t="shared" si="3"/>
        <v>71.10313660298398</v>
      </c>
      <c r="L37" s="40">
        <f t="shared" si="3"/>
        <v>2.2966648392958313</v>
      </c>
      <c r="M37" s="40">
        <f t="shared" si="3"/>
        <v>8.1671323883771976</v>
      </c>
      <c r="N37" s="40">
        <f t="shared" si="3"/>
        <v>204.74010845672024</v>
      </c>
      <c r="O37" s="40">
        <f t="shared" si="3"/>
        <v>8.1649658092772623E-2</v>
      </c>
      <c r="P37" s="40">
        <f t="shared" si="3"/>
        <v>0.15401863241320821</v>
      </c>
      <c r="Q37" s="40">
        <f t="shared" si="3"/>
        <v>0.48912058766255201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B38" sqref="B38:J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371</v>
      </c>
      <c r="B9" s="55">
        <v>15.39</v>
      </c>
      <c r="C9" s="55">
        <v>24.43</v>
      </c>
      <c r="D9" s="55">
        <v>26.09</v>
      </c>
      <c r="E9" s="55">
        <v>6.8</v>
      </c>
      <c r="F9" s="55">
        <v>4.72</v>
      </c>
      <c r="G9" s="55">
        <v>14.73</v>
      </c>
      <c r="H9" s="55">
        <v>6.62</v>
      </c>
      <c r="I9" s="55">
        <v>4.49</v>
      </c>
      <c r="J9" s="55">
        <v>0.14000000000000001</v>
      </c>
      <c r="K9" s="55">
        <v>194.98</v>
      </c>
      <c r="L9" s="55">
        <v>24.71</v>
      </c>
      <c r="M9" s="55">
        <v>99.24</v>
      </c>
      <c r="N9" s="55">
        <v>0</v>
      </c>
      <c r="O9" s="55">
        <v>0</v>
      </c>
      <c r="P9" s="55">
        <v>0.45</v>
      </c>
      <c r="Q9" s="55">
        <v>4.16</v>
      </c>
    </row>
    <row r="10" spans="1:21" customFormat="1">
      <c r="A10" s="50" t="s">
        <v>372</v>
      </c>
      <c r="B10" s="55">
        <v>18.54</v>
      </c>
      <c r="C10" s="55">
        <v>25.95</v>
      </c>
      <c r="D10" s="55">
        <v>29.78</v>
      </c>
      <c r="E10" s="55">
        <v>6.65</v>
      </c>
      <c r="F10" s="55">
        <v>4.34</v>
      </c>
      <c r="G10" s="55">
        <v>14.73</v>
      </c>
      <c r="H10" s="55">
        <v>5.41</v>
      </c>
      <c r="I10" s="55">
        <v>4.58</v>
      </c>
      <c r="J10" s="55">
        <v>0.13</v>
      </c>
      <c r="K10" s="55">
        <v>191.74</v>
      </c>
      <c r="L10" s="55">
        <v>24.8</v>
      </c>
      <c r="M10" s="55">
        <v>99.15</v>
      </c>
      <c r="N10" s="55">
        <v>0</v>
      </c>
      <c r="O10" s="55">
        <v>0</v>
      </c>
      <c r="P10" s="55">
        <v>0.47</v>
      </c>
      <c r="Q10" s="55">
        <v>4.33</v>
      </c>
    </row>
    <row r="11" spans="1:21" customFormat="1">
      <c r="A11" s="50" t="s">
        <v>373</v>
      </c>
      <c r="B11" s="55">
        <v>21.98</v>
      </c>
      <c r="C11" s="55">
        <v>27.84</v>
      </c>
      <c r="D11" s="55">
        <v>33.53</v>
      </c>
      <c r="E11" s="55">
        <v>8.6300000000000008</v>
      </c>
      <c r="F11" s="55">
        <v>4.01</v>
      </c>
      <c r="G11" s="55">
        <v>22.73</v>
      </c>
      <c r="H11" s="55">
        <v>5.41</v>
      </c>
      <c r="I11" s="55">
        <v>4.59</v>
      </c>
      <c r="J11" s="55">
        <v>0.15</v>
      </c>
      <c r="K11" s="55">
        <v>164.99</v>
      </c>
      <c r="L11" s="55">
        <v>24.97</v>
      </c>
      <c r="M11" s="55">
        <v>98.61</v>
      </c>
      <c r="N11" s="55">
        <v>0</v>
      </c>
      <c r="O11" s="55">
        <v>0</v>
      </c>
      <c r="P11" s="55">
        <v>0.49</v>
      </c>
      <c r="Q11" s="55">
        <v>4.6399999999999997</v>
      </c>
    </row>
    <row r="12" spans="1:21" customFormat="1">
      <c r="A12" s="50" t="s">
        <v>374</v>
      </c>
      <c r="B12" s="55">
        <v>22.96</v>
      </c>
      <c r="C12" s="55">
        <v>28.87</v>
      </c>
      <c r="D12" s="55">
        <v>34.85</v>
      </c>
      <c r="E12" s="55">
        <v>8.8699999999999992</v>
      </c>
      <c r="F12" s="55">
        <v>3.95</v>
      </c>
      <c r="G12" s="55">
        <v>22.73</v>
      </c>
      <c r="H12" s="55">
        <v>5.75</v>
      </c>
      <c r="I12" s="55">
        <v>4.58</v>
      </c>
      <c r="J12" s="55">
        <v>0.17</v>
      </c>
      <c r="K12" s="55">
        <v>149.03</v>
      </c>
      <c r="L12" s="55">
        <v>24.91</v>
      </c>
      <c r="M12" s="55">
        <v>99.25</v>
      </c>
      <c r="N12" s="55">
        <v>0</v>
      </c>
      <c r="O12" s="55">
        <v>0</v>
      </c>
      <c r="P12" s="55">
        <v>0.5</v>
      </c>
      <c r="Q12" s="55">
        <v>4.7300000000000004</v>
      </c>
    </row>
    <row r="13" spans="1:21" customFormat="1">
      <c r="A13" s="50" t="s">
        <v>375</v>
      </c>
      <c r="B13" s="55">
        <v>23.18</v>
      </c>
      <c r="C13" s="55">
        <v>29.57</v>
      </c>
      <c r="D13" s="55">
        <v>35.130000000000003</v>
      </c>
      <c r="E13" s="55">
        <v>9.1</v>
      </c>
      <c r="F13" s="55">
        <v>4.07</v>
      </c>
      <c r="G13" s="55">
        <v>24.67</v>
      </c>
      <c r="H13" s="55">
        <v>8.4499999999999993</v>
      </c>
      <c r="I13" s="55">
        <v>4.66</v>
      </c>
      <c r="J13" s="55">
        <v>0.18</v>
      </c>
      <c r="K13" s="55">
        <v>220.92</v>
      </c>
      <c r="L13" s="55">
        <v>24.85</v>
      </c>
      <c r="M13" s="55">
        <v>101.08</v>
      </c>
      <c r="N13" s="55">
        <v>0</v>
      </c>
      <c r="O13" s="55">
        <v>0</v>
      </c>
      <c r="P13" s="55">
        <v>0.51</v>
      </c>
      <c r="Q13" s="55">
        <v>4.75</v>
      </c>
    </row>
    <row r="14" spans="1:21" customFormat="1">
      <c r="A14" s="50" t="s">
        <v>376</v>
      </c>
      <c r="B14" s="55">
        <v>24.4</v>
      </c>
      <c r="C14" s="55">
        <v>29.77</v>
      </c>
      <c r="D14" s="55">
        <v>36.479999999999997</v>
      </c>
      <c r="E14" s="55">
        <v>9.59</v>
      </c>
      <c r="F14" s="55">
        <v>3.97</v>
      </c>
      <c r="G14" s="55">
        <v>27.21</v>
      </c>
      <c r="H14" s="55">
        <v>8.98</v>
      </c>
      <c r="I14" s="55">
        <v>4.66</v>
      </c>
      <c r="J14" s="55">
        <v>7.0000000000000007E-2</v>
      </c>
      <c r="K14" s="55">
        <v>192.13</v>
      </c>
      <c r="L14" s="55">
        <v>24.41</v>
      </c>
      <c r="M14" s="55">
        <v>99.92</v>
      </c>
      <c r="N14" s="55">
        <v>0.1</v>
      </c>
      <c r="O14" s="55">
        <v>0</v>
      </c>
      <c r="P14" s="55">
        <v>0.52</v>
      </c>
      <c r="Q14" s="55">
        <v>4.8099999999999996</v>
      </c>
    </row>
    <row r="15" spans="1:21" customFormat="1">
      <c r="A15" s="50" t="s">
        <v>377</v>
      </c>
      <c r="B15" s="55">
        <v>26.15</v>
      </c>
      <c r="C15" s="55">
        <v>30.57</v>
      </c>
      <c r="D15" s="55">
        <v>37.79</v>
      </c>
      <c r="E15" s="55">
        <v>9.2100000000000009</v>
      </c>
      <c r="F15" s="55">
        <v>4.32</v>
      </c>
      <c r="G15" s="55">
        <v>31.48</v>
      </c>
      <c r="H15" s="55">
        <v>8.98</v>
      </c>
      <c r="I15" s="55">
        <v>4.59</v>
      </c>
      <c r="J15" s="55">
        <v>0.28999999999999998</v>
      </c>
      <c r="K15" s="55">
        <v>218.57</v>
      </c>
      <c r="L15" s="55">
        <v>25.57</v>
      </c>
      <c r="M15" s="55">
        <v>101.7</v>
      </c>
      <c r="N15" s="55">
        <v>75.2</v>
      </c>
      <c r="O15" s="55">
        <v>0</v>
      </c>
      <c r="P15" s="55">
        <v>0.52</v>
      </c>
      <c r="Q15" s="55">
        <v>4.9000000000000004</v>
      </c>
    </row>
    <row r="16" spans="1:21" customFormat="1">
      <c r="A16" s="50" t="s">
        <v>378</v>
      </c>
      <c r="B16" s="55">
        <v>26.92</v>
      </c>
      <c r="C16" s="55">
        <v>26.6</v>
      </c>
      <c r="D16" s="55">
        <v>36.619999999999997</v>
      </c>
      <c r="E16" s="55">
        <v>8.9700000000000006</v>
      </c>
      <c r="F16" s="55">
        <v>4.8600000000000003</v>
      </c>
      <c r="G16" s="55">
        <v>31.48</v>
      </c>
      <c r="H16" s="55">
        <v>7.62</v>
      </c>
      <c r="I16" s="55">
        <v>4.54</v>
      </c>
      <c r="J16" s="55">
        <v>0.14000000000000001</v>
      </c>
      <c r="K16" s="55">
        <v>148.66</v>
      </c>
      <c r="L16" s="55">
        <v>27.46</v>
      </c>
      <c r="M16" s="55">
        <v>96.5</v>
      </c>
      <c r="N16" s="55">
        <v>152.69999999999999</v>
      </c>
      <c r="O16" s="55">
        <v>0</v>
      </c>
      <c r="P16" s="55">
        <v>0.46</v>
      </c>
      <c r="Q16" s="55">
        <v>4.87</v>
      </c>
    </row>
    <row r="17" spans="1:17" customFormat="1">
      <c r="A17" s="50" t="s">
        <v>379</v>
      </c>
      <c r="B17" s="55">
        <v>26.86</v>
      </c>
      <c r="C17" s="55">
        <v>27.48</v>
      </c>
      <c r="D17" s="55">
        <v>37.21</v>
      </c>
      <c r="E17" s="55">
        <v>9.74</v>
      </c>
      <c r="F17" s="55">
        <v>5.18</v>
      </c>
      <c r="G17" s="55">
        <v>38.119999999999997</v>
      </c>
      <c r="H17" s="55">
        <v>9.1999999999999993</v>
      </c>
      <c r="I17" s="55">
        <v>4.74</v>
      </c>
      <c r="J17" s="55">
        <v>0.47</v>
      </c>
      <c r="K17" s="55">
        <v>47.85</v>
      </c>
      <c r="L17" s="55">
        <v>28.93</v>
      </c>
      <c r="M17" s="55">
        <v>86.75</v>
      </c>
      <c r="N17" s="55">
        <v>359.1</v>
      </c>
      <c r="O17" s="55">
        <v>0</v>
      </c>
      <c r="P17" s="55">
        <v>0.52</v>
      </c>
      <c r="Q17" s="55">
        <v>4.8099999999999996</v>
      </c>
    </row>
    <row r="18" spans="1:17" customFormat="1">
      <c r="A18" s="50" t="s">
        <v>380</v>
      </c>
      <c r="B18" s="55">
        <v>25.87</v>
      </c>
      <c r="C18" s="55">
        <v>26.17</v>
      </c>
      <c r="D18" s="55">
        <v>35.380000000000003</v>
      </c>
      <c r="E18" s="55">
        <v>12.39</v>
      </c>
      <c r="F18" s="55">
        <v>6.81</v>
      </c>
      <c r="G18" s="55">
        <v>48.75</v>
      </c>
      <c r="H18" s="55">
        <v>17.420000000000002</v>
      </c>
      <c r="I18" s="55">
        <v>4.9000000000000004</v>
      </c>
      <c r="J18" s="55">
        <v>0.4</v>
      </c>
      <c r="K18" s="55">
        <v>56.06</v>
      </c>
      <c r="L18" s="55">
        <v>30.4</v>
      </c>
      <c r="M18" s="55">
        <v>77.98</v>
      </c>
      <c r="N18" s="55">
        <v>447.5</v>
      </c>
      <c r="O18" s="55">
        <v>0</v>
      </c>
      <c r="P18" s="55">
        <v>0.56000000000000005</v>
      </c>
      <c r="Q18" s="55">
        <v>4.76</v>
      </c>
    </row>
    <row r="19" spans="1:17" customFormat="1">
      <c r="A19" s="50" t="s">
        <v>381</v>
      </c>
      <c r="B19" s="55">
        <v>23.8</v>
      </c>
      <c r="C19" s="55">
        <v>26.87</v>
      </c>
      <c r="D19" s="55">
        <v>33.82</v>
      </c>
      <c r="E19" s="55">
        <v>12.4</v>
      </c>
      <c r="F19" s="55">
        <v>8.08</v>
      </c>
      <c r="G19" s="55">
        <v>59.51</v>
      </c>
      <c r="H19" s="55">
        <v>21.88</v>
      </c>
      <c r="I19" s="55">
        <v>5.0199999999999996</v>
      </c>
      <c r="J19" s="55">
        <v>0.66</v>
      </c>
      <c r="K19" s="55">
        <v>44.78</v>
      </c>
      <c r="L19" s="55">
        <v>30.75</v>
      </c>
      <c r="M19" s="55">
        <v>75.62</v>
      </c>
      <c r="N19" s="55">
        <v>608</v>
      </c>
      <c r="O19" s="55">
        <v>0</v>
      </c>
      <c r="P19" s="55">
        <v>0.57999999999999996</v>
      </c>
      <c r="Q19" s="55">
        <v>4.62</v>
      </c>
    </row>
    <row r="20" spans="1:17" customFormat="1">
      <c r="A20" s="50" t="s">
        <v>382</v>
      </c>
      <c r="B20" s="55">
        <v>20.88</v>
      </c>
      <c r="C20" s="55">
        <v>28.02</v>
      </c>
      <c r="D20" s="55">
        <v>31.99</v>
      </c>
      <c r="E20" s="55">
        <v>10.53</v>
      </c>
      <c r="F20" s="55">
        <v>7.76</v>
      </c>
      <c r="G20" s="55">
        <v>60.7</v>
      </c>
      <c r="H20" s="55">
        <v>21.88</v>
      </c>
      <c r="I20" s="55">
        <v>5.03</v>
      </c>
      <c r="J20" s="55">
        <v>0.62</v>
      </c>
      <c r="K20" s="55">
        <v>97.29</v>
      </c>
      <c r="L20" s="55">
        <v>32.049999999999997</v>
      </c>
      <c r="M20" s="55">
        <v>72.680000000000007</v>
      </c>
      <c r="N20" s="55">
        <v>730.5</v>
      </c>
      <c r="O20" s="55">
        <v>0</v>
      </c>
      <c r="P20" s="55">
        <v>0.57999999999999996</v>
      </c>
      <c r="Q20" s="55">
        <v>4.51</v>
      </c>
    </row>
    <row r="21" spans="1:17" customFormat="1">
      <c r="A21" s="50" t="s">
        <v>383</v>
      </c>
      <c r="B21" s="11" t="s">
        <v>12</v>
      </c>
      <c r="C21" s="11" t="s">
        <v>12</v>
      </c>
      <c r="D21" s="11" t="s">
        <v>12</v>
      </c>
      <c r="E21" s="11" t="s">
        <v>12</v>
      </c>
      <c r="F21" s="55">
        <v>15.97</v>
      </c>
      <c r="G21" s="11" t="s">
        <v>12</v>
      </c>
      <c r="H21" s="11" t="s">
        <v>12</v>
      </c>
      <c r="I21" s="55">
        <v>11.17</v>
      </c>
      <c r="J21" s="55">
        <v>0.65</v>
      </c>
      <c r="K21" s="55">
        <v>65.56</v>
      </c>
      <c r="L21" s="55">
        <v>31.75</v>
      </c>
      <c r="M21" s="55">
        <v>71.45</v>
      </c>
      <c r="N21" s="55">
        <v>556.29999999999995</v>
      </c>
      <c r="O21" s="55">
        <v>0</v>
      </c>
      <c r="P21" s="55">
        <v>0.61</v>
      </c>
      <c r="Q21" s="55">
        <v>4.2699999999999996</v>
      </c>
    </row>
    <row r="22" spans="1:17" customFormat="1">
      <c r="A22" s="50" t="s">
        <v>384</v>
      </c>
      <c r="B22" s="55">
        <v>6.47</v>
      </c>
      <c r="C22" s="55">
        <v>25.11</v>
      </c>
      <c r="D22" s="55">
        <v>19.600000000000001</v>
      </c>
      <c r="E22" s="11" t="s">
        <v>12</v>
      </c>
      <c r="F22" s="55">
        <v>23.86</v>
      </c>
      <c r="G22" s="55">
        <v>47.2</v>
      </c>
      <c r="H22" s="55">
        <v>13.08</v>
      </c>
      <c r="I22" s="55">
        <v>37.22</v>
      </c>
      <c r="J22" s="55">
        <v>0.28999999999999998</v>
      </c>
      <c r="K22" s="55">
        <v>62.12</v>
      </c>
      <c r="L22" s="55">
        <v>32.15</v>
      </c>
      <c r="M22" s="55">
        <v>72.459999999999994</v>
      </c>
      <c r="N22" s="55">
        <v>466</v>
      </c>
      <c r="O22" s="55">
        <v>0</v>
      </c>
      <c r="P22" s="55">
        <v>0.57999999999999996</v>
      </c>
      <c r="Q22" s="55">
        <v>3.97</v>
      </c>
    </row>
    <row r="23" spans="1:17" customFormat="1">
      <c r="A23" s="50" t="s">
        <v>385</v>
      </c>
      <c r="B23" s="55">
        <v>5.81</v>
      </c>
      <c r="C23" s="55">
        <v>30.25</v>
      </c>
      <c r="D23" s="55">
        <v>21.08</v>
      </c>
      <c r="E23" s="55">
        <v>17.46</v>
      </c>
      <c r="F23" s="55">
        <v>27.45</v>
      </c>
      <c r="G23" s="55">
        <v>47.88</v>
      </c>
      <c r="H23" s="55">
        <v>16.78</v>
      </c>
      <c r="I23" s="55">
        <v>80.34</v>
      </c>
      <c r="J23" s="55">
        <v>0.28000000000000003</v>
      </c>
      <c r="K23" s="55">
        <v>65.569999999999993</v>
      </c>
      <c r="L23" s="55">
        <v>31.45</v>
      </c>
      <c r="M23" s="55">
        <v>72.55</v>
      </c>
      <c r="N23" s="55">
        <v>209.5</v>
      </c>
      <c r="O23" s="55">
        <v>0</v>
      </c>
      <c r="P23" s="55">
        <v>0.59</v>
      </c>
      <c r="Q23" s="55">
        <v>3.56</v>
      </c>
    </row>
    <row r="24" spans="1:17" customFormat="1">
      <c r="A24" s="50" t="s">
        <v>386</v>
      </c>
      <c r="B24" s="55">
        <v>8.23</v>
      </c>
      <c r="C24" s="55">
        <v>32.4</v>
      </c>
      <c r="D24" s="55">
        <v>24.87</v>
      </c>
      <c r="E24" s="55">
        <v>12.89</v>
      </c>
      <c r="F24" s="55">
        <v>8.17</v>
      </c>
      <c r="G24" s="55">
        <v>63.07</v>
      </c>
      <c r="H24" s="55">
        <v>21.83</v>
      </c>
      <c r="I24" s="55">
        <v>138.31</v>
      </c>
      <c r="J24" s="55">
        <v>0.34</v>
      </c>
      <c r="K24" s="55">
        <v>48.26</v>
      </c>
      <c r="L24" s="55">
        <v>30.47</v>
      </c>
      <c r="M24" s="55">
        <v>80.31</v>
      </c>
      <c r="N24" s="55">
        <v>47.9</v>
      </c>
      <c r="O24" s="55">
        <v>0</v>
      </c>
      <c r="P24" s="55">
        <v>0.66</v>
      </c>
      <c r="Q24" s="55">
        <v>3.79</v>
      </c>
    </row>
    <row r="25" spans="1:17" customFormat="1">
      <c r="A25" s="50" t="s">
        <v>387</v>
      </c>
      <c r="B25" s="55">
        <v>8.75</v>
      </c>
      <c r="C25" s="55">
        <v>32.11</v>
      </c>
      <c r="D25" s="55">
        <v>25.14</v>
      </c>
      <c r="E25" s="55">
        <v>13.81</v>
      </c>
      <c r="F25" s="55">
        <v>15.12</v>
      </c>
      <c r="G25" s="55">
        <v>68.12</v>
      </c>
      <c r="H25" s="55">
        <v>29.5</v>
      </c>
      <c r="I25" s="55">
        <v>110.01</v>
      </c>
      <c r="J25" s="55">
        <v>0.23</v>
      </c>
      <c r="K25" s="55">
        <v>163.85</v>
      </c>
      <c r="L25" s="55">
        <v>29.77</v>
      </c>
      <c r="M25" s="55">
        <v>83.68</v>
      </c>
      <c r="N25" s="55">
        <v>51.3</v>
      </c>
      <c r="O25" s="55">
        <v>0</v>
      </c>
      <c r="P25" s="55">
        <v>0.68</v>
      </c>
      <c r="Q25" s="55">
        <v>3.83</v>
      </c>
    </row>
    <row r="26" spans="1:17" customFormat="1">
      <c r="A26" s="50" t="s">
        <v>388</v>
      </c>
      <c r="B26" s="55">
        <v>8.5</v>
      </c>
      <c r="C26" s="55">
        <v>24.51</v>
      </c>
      <c r="D26" s="55">
        <v>20.91</v>
      </c>
      <c r="E26" s="55">
        <v>14.59</v>
      </c>
      <c r="F26" s="55">
        <v>17.8</v>
      </c>
      <c r="G26" s="55">
        <v>68.12</v>
      </c>
      <c r="H26" s="55">
        <v>29.5</v>
      </c>
      <c r="I26" s="55">
        <v>82.81</v>
      </c>
      <c r="J26" s="55">
        <v>0.16</v>
      </c>
      <c r="K26" s="55">
        <v>180.5</v>
      </c>
      <c r="L26" s="55">
        <v>29.57</v>
      </c>
      <c r="M26" s="55">
        <v>90.04</v>
      </c>
      <c r="N26" s="55">
        <v>37.9</v>
      </c>
      <c r="O26" s="55">
        <v>0</v>
      </c>
      <c r="P26" s="55">
        <v>0.68</v>
      </c>
      <c r="Q26" s="55">
        <v>3.81</v>
      </c>
    </row>
    <row r="27" spans="1:17" customFormat="1">
      <c r="A27" s="50" t="s">
        <v>389</v>
      </c>
      <c r="B27" s="55">
        <v>12.31</v>
      </c>
      <c r="C27" s="55">
        <v>30.84</v>
      </c>
      <c r="D27" s="55">
        <v>27.33</v>
      </c>
      <c r="E27" s="55">
        <v>9.23</v>
      </c>
      <c r="F27" s="55">
        <v>16.25</v>
      </c>
      <c r="G27" s="55">
        <v>66.650000000000006</v>
      </c>
      <c r="H27" s="55">
        <v>29.96</v>
      </c>
      <c r="I27" s="55">
        <v>65.349999999999994</v>
      </c>
      <c r="J27" s="55">
        <v>0.21</v>
      </c>
      <c r="K27" s="55">
        <v>212.5</v>
      </c>
      <c r="L27" s="55">
        <v>28.3</v>
      </c>
      <c r="M27" s="55">
        <v>94.17</v>
      </c>
      <c r="N27" s="55">
        <v>0</v>
      </c>
      <c r="O27" s="55">
        <v>0</v>
      </c>
      <c r="P27" s="55">
        <v>0.9</v>
      </c>
      <c r="Q27" s="55">
        <v>3.73</v>
      </c>
    </row>
    <row r="28" spans="1:17" customFormat="1">
      <c r="A28" s="50" t="s">
        <v>390</v>
      </c>
      <c r="B28" s="55">
        <v>12.79</v>
      </c>
      <c r="C28" s="55">
        <v>28.87</v>
      </c>
      <c r="D28" s="55">
        <v>25.75</v>
      </c>
      <c r="E28" s="55">
        <v>7.95</v>
      </c>
      <c r="F28" s="55">
        <v>7.33</v>
      </c>
      <c r="G28" s="55">
        <v>70.75</v>
      </c>
      <c r="H28" s="55">
        <v>31.04</v>
      </c>
      <c r="I28" s="55">
        <v>62.19</v>
      </c>
      <c r="J28" s="55">
        <v>0.31</v>
      </c>
      <c r="K28" s="55">
        <v>205.7</v>
      </c>
      <c r="L28" s="55">
        <v>27.94</v>
      </c>
      <c r="M28" s="55">
        <v>98.01</v>
      </c>
      <c r="N28" s="55">
        <v>0</v>
      </c>
      <c r="O28" s="55">
        <v>0</v>
      </c>
      <c r="P28" s="55">
        <v>0.92</v>
      </c>
      <c r="Q28" s="55">
        <v>3.83</v>
      </c>
    </row>
    <row r="29" spans="1:17" customFormat="1">
      <c r="A29" s="50" t="s">
        <v>391</v>
      </c>
      <c r="B29" s="55">
        <v>11.36</v>
      </c>
      <c r="C29" s="55">
        <v>24.2</v>
      </c>
      <c r="D29" s="55">
        <v>23.1</v>
      </c>
      <c r="E29" s="55">
        <v>6.3</v>
      </c>
      <c r="F29" s="55">
        <v>9.16</v>
      </c>
      <c r="G29" s="55">
        <v>70.75</v>
      </c>
      <c r="H29" s="55">
        <v>31.58</v>
      </c>
      <c r="I29" s="55">
        <v>52.07</v>
      </c>
      <c r="J29" s="55">
        <v>0.15</v>
      </c>
      <c r="K29" s="55">
        <v>214.41</v>
      </c>
      <c r="L29" s="55">
        <v>27.49</v>
      </c>
      <c r="M29" s="55">
        <v>98.56</v>
      </c>
      <c r="N29" s="55">
        <v>0</v>
      </c>
      <c r="O29" s="55">
        <v>0</v>
      </c>
      <c r="P29" s="55">
        <v>0.91</v>
      </c>
      <c r="Q29" s="55">
        <v>3.93</v>
      </c>
    </row>
    <row r="30" spans="1:17" customFormat="1">
      <c r="A30" s="50" t="s">
        <v>392</v>
      </c>
      <c r="B30" s="55">
        <v>13.72</v>
      </c>
      <c r="C30" s="55">
        <v>36.21</v>
      </c>
      <c r="D30" s="55">
        <v>31.11</v>
      </c>
      <c r="E30" s="55">
        <v>6.5</v>
      </c>
      <c r="F30" s="55">
        <v>5.45</v>
      </c>
      <c r="G30" s="55">
        <v>66.260000000000005</v>
      </c>
      <c r="H30" s="55">
        <v>32.11</v>
      </c>
      <c r="I30" s="55">
        <v>54.04</v>
      </c>
      <c r="J30" s="55">
        <v>0.16</v>
      </c>
      <c r="K30" s="55">
        <v>204.45</v>
      </c>
      <c r="L30" s="55">
        <v>27.19</v>
      </c>
      <c r="M30" s="55">
        <v>97.72</v>
      </c>
      <c r="N30" s="55">
        <v>0</v>
      </c>
      <c r="O30" s="55">
        <v>0</v>
      </c>
      <c r="P30" s="55">
        <v>0.88</v>
      </c>
      <c r="Q30" s="55">
        <v>4.08</v>
      </c>
    </row>
    <row r="31" spans="1:17" customFormat="1">
      <c r="A31" s="50" t="s">
        <v>393</v>
      </c>
      <c r="B31" s="55">
        <v>14.38</v>
      </c>
      <c r="C31" s="55">
        <v>33.65</v>
      </c>
      <c r="D31" s="55">
        <v>30.1</v>
      </c>
      <c r="E31" s="55">
        <v>6.37</v>
      </c>
      <c r="F31" s="55">
        <v>3.02</v>
      </c>
      <c r="G31" s="55">
        <v>64.760000000000005</v>
      </c>
      <c r="H31" s="55">
        <v>32.11</v>
      </c>
      <c r="I31" s="55">
        <v>51.67</v>
      </c>
      <c r="J31" s="55">
        <v>0.16</v>
      </c>
      <c r="K31" s="55">
        <v>234.48</v>
      </c>
      <c r="L31" s="55">
        <v>26.79</v>
      </c>
      <c r="M31" s="55">
        <v>99.78</v>
      </c>
      <c r="N31" s="55">
        <v>0</v>
      </c>
      <c r="O31" s="55">
        <v>0</v>
      </c>
      <c r="P31" s="55">
        <v>0.87</v>
      </c>
      <c r="Q31" s="55">
        <v>4.12</v>
      </c>
    </row>
    <row r="32" spans="1:17" customFormat="1">
      <c r="A32" s="50" t="s">
        <v>394</v>
      </c>
      <c r="B32" s="55">
        <v>15.2</v>
      </c>
      <c r="C32" s="55">
        <v>31.05</v>
      </c>
      <c r="D32" s="55">
        <v>29.31</v>
      </c>
      <c r="E32" s="55">
        <v>7.01</v>
      </c>
      <c r="F32" s="55">
        <v>2.95</v>
      </c>
      <c r="G32" s="55">
        <v>54.86</v>
      </c>
      <c r="H32" s="55">
        <v>30.37</v>
      </c>
      <c r="I32" s="55">
        <v>44.64</v>
      </c>
      <c r="J32" s="55">
        <v>0.11</v>
      </c>
      <c r="K32" s="55">
        <v>230.55</v>
      </c>
      <c r="L32" s="55">
        <v>26.56</v>
      </c>
      <c r="M32" s="55">
        <v>101.59</v>
      </c>
      <c r="N32" s="55">
        <v>0</v>
      </c>
      <c r="O32" s="55">
        <v>0</v>
      </c>
      <c r="P32" s="55">
        <v>0.89</v>
      </c>
      <c r="Q32" s="55">
        <v>4.1500000000000004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5.81</v>
      </c>
      <c r="C34" s="40">
        <f t="shared" si="0"/>
        <v>24.2</v>
      </c>
      <c r="D34" s="40">
        <f t="shared" si="0"/>
        <v>19.600000000000001</v>
      </c>
      <c r="E34" s="40">
        <f t="shared" si="0"/>
        <v>6.3</v>
      </c>
      <c r="F34" s="40">
        <f t="shared" si="0"/>
        <v>2.95</v>
      </c>
      <c r="G34" s="40">
        <f t="shared" si="0"/>
        <v>14.73</v>
      </c>
      <c r="H34" s="40">
        <f t="shared" si="0"/>
        <v>5.41</v>
      </c>
      <c r="I34" s="40">
        <f t="shared" si="0"/>
        <v>4.49</v>
      </c>
      <c r="J34" s="40">
        <f t="shared" si="0"/>
        <v>7.0000000000000007E-2</v>
      </c>
      <c r="K34" s="40">
        <f t="shared" si="0"/>
        <v>44.78</v>
      </c>
      <c r="L34" s="40">
        <f t="shared" si="0"/>
        <v>24.41</v>
      </c>
      <c r="M34" s="40">
        <f t="shared" si="0"/>
        <v>71.45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3.56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26.92</v>
      </c>
      <c r="C35" s="33">
        <f t="shared" si="1"/>
        <v>36.21</v>
      </c>
      <c r="D35" s="33">
        <f t="shared" si="1"/>
        <v>37.79</v>
      </c>
      <c r="E35" s="33">
        <f t="shared" si="1"/>
        <v>17.46</v>
      </c>
      <c r="F35" s="33">
        <f t="shared" si="1"/>
        <v>27.45</v>
      </c>
      <c r="G35" s="33">
        <f t="shared" si="1"/>
        <v>70.75</v>
      </c>
      <c r="H35" s="33">
        <f t="shared" si="1"/>
        <v>32.11</v>
      </c>
      <c r="I35" s="33">
        <f t="shared" si="1"/>
        <v>138.31</v>
      </c>
      <c r="J35" s="33">
        <f t="shared" si="1"/>
        <v>0.66</v>
      </c>
      <c r="K35" s="33">
        <f t="shared" si="1"/>
        <v>234.48</v>
      </c>
      <c r="L35" s="33">
        <f t="shared" si="1"/>
        <v>32.15</v>
      </c>
      <c r="M35" s="33">
        <f t="shared" si="1"/>
        <v>101.7</v>
      </c>
      <c r="N35" s="33">
        <f t="shared" si="1"/>
        <v>730.5</v>
      </c>
      <c r="O35" s="33">
        <f t="shared" si="1"/>
        <v>0</v>
      </c>
      <c r="P35" s="33">
        <f t="shared" si="1"/>
        <v>0.92</v>
      </c>
      <c r="Q35" s="33">
        <f t="shared" si="1"/>
        <v>4.9000000000000004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17.150000000000006</v>
      </c>
      <c r="C36" s="40">
        <f t="shared" si="2"/>
        <v>28.753913043478256</v>
      </c>
      <c r="D36" s="40">
        <f t="shared" si="2"/>
        <v>29.868260869565219</v>
      </c>
      <c r="E36" s="40">
        <f t="shared" si="2"/>
        <v>9.7722727272727283</v>
      </c>
      <c r="F36" s="40">
        <f t="shared" si="2"/>
        <v>8.9416666666666664</v>
      </c>
      <c r="G36" s="40">
        <f t="shared" si="2"/>
        <v>47.185217391304349</v>
      </c>
      <c r="H36" s="40">
        <f t="shared" si="2"/>
        <v>18.498260869565218</v>
      </c>
      <c r="I36" s="40">
        <f t="shared" si="2"/>
        <v>35.258333333333333</v>
      </c>
      <c r="J36" s="40">
        <f t="shared" si="2"/>
        <v>0.2695833333333334</v>
      </c>
      <c r="K36" s="40">
        <f t="shared" si="2"/>
        <v>150.62291666666664</v>
      </c>
      <c r="L36" s="40">
        <f t="shared" si="2"/>
        <v>28.051666666666666</v>
      </c>
      <c r="M36" s="40">
        <f t="shared" si="2"/>
        <v>90.366666666666688</v>
      </c>
      <c r="N36" s="40">
        <f t="shared" si="2"/>
        <v>155.91666666666666</v>
      </c>
      <c r="O36" s="40">
        <f t="shared" si="2"/>
        <v>0</v>
      </c>
      <c r="P36" s="40">
        <f t="shared" si="2"/>
        <v>0.63875000000000004</v>
      </c>
      <c r="Q36" s="40">
        <f t="shared" si="2"/>
        <v>4.2900000000000009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7.1438320503519757</v>
      </c>
      <c r="C37" s="40">
        <f t="shared" ref="C37:Q37" si="3">STDEV(C9:C32)</f>
        <v>3.1439317294381146</v>
      </c>
      <c r="D37" s="40">
        <f t="shared" si="3"/>
        <v>5.7129363984285595</v>
      </c>
      <c r="E37" s="40">
        <f t="shared" si="3"/>
        <v>3.0110857586404696</v>
      </c>
      <c r="F37" s="40">
        <f t="shared" si="3"/>
        <v>6.8095327469573164</v>
      </c>
      <c r="G37" s="40">
        <f t="shared" si="3"/>
        <v>19.623343906861464</v>
      </c>
      <c r="H37" s="40">
        <f t="shared" si="3"/>
        <v>10.475057670561103</v>
      </c>
      <c r="I37" s="40">
        <f t="shared" si="3"/>
        <v>38.962623077783789</v>
      </c>
      <c r="J37" s="40">
        <f t="shared" si="3"/>
        <v>0.17329239343718569</v>
      </c>
      <c r="K37" s="40">
        <f t="shared" si="3"/>
        <v>69.093765935308497</v>
      </c>
      <c r="L37" s="40">
        <f t="shared" si="3"/>
        <v>2.6272794106164117</v>
      </c>
      <c r="M37" s="40">
        <f t="shared" si="3"/>
        <v>11.271712831017341</v>
      </c>
      <c r="N37" s="40">
        <f t="shared" si="3"/>
        <v>233.58397925011644</v>
      </c>
      <c r="O37" s="40">
        <f t="shared" si="3"/>
        <v>0</v>
      </c>
      <c r="P37" s="40">
        <f t="shared" si="3"/>
        <v>0.16360909138128168</v>
      </c>
      <c r="Q37" s="40">
        <f t="shared" si="3"/>
        <v>0.42980278591768345</v>
      </c>
      <c r="R37" s="40"/>
      <c r="S37" s="40"/>
      <c r="T37" s="40"/>
      <c r="U37" s="40"/>
    </row>
    <row r="38" spans="1:21" s="1" customFormat="1">
      <c r="A38" s="44" t="s">
        <v>52</v>
      </c>
      <c r="B38" s="45">
        <v>24</v>
      </c>
      <c r="C38" s="45">
        <v>24</v>
      </c>
      <c r="D38" s="45">
        <v>24</v>
      </c>
      <c r="E38" s="45">
        <v>24</v>
      </c>
      <c r="F38" s="45">
        <v>24</v>
      </c>
      <c r="G38" s="45">
        <v>24</v>
      </c>
      <c r="H38" s="45">
        <v>24</v>
      </c>
      <c r="I38" s="45">
        <v>24</v>
      </c>
      <c r="J38" s="45">
        <v>24</v>
      </c>
      <c r="K38" s="45">
        <f t="shared" ref="B38:Q38" si="4">COUNT(K9:K32)</f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395</v>
      </c>
      <c r="B9" s="55">
        <v>16.37</v>
      </c>
      <c r="C9" s="55">
        <v>30.11</v>
      </c>
      <c r="D9" s="55">
        <v>29.97</v>
      </c>
      <c r="E9" s="55">
        <v>6.77</v>
      </c>
      <c r="F9" s="55">
        <v>2.98</v>
      </c>
      <c r="G9" s="55">
        <v>56.36</v>
      </c>
      <c r="H9" s="55">
        <v>30.37</v>
      </c>
      <c r="I9" s="55">
        <v>38.79</v>
      </c>
      <c r="J9" s="55">
        <v>0.14000000000000001</v>
      </c>
      <c r="K9" s="55">
        <v>184.1</v>
      </c>
      <c r="L9" s="55">
        <v>26.44</v>
      </c>
      <c r="M9" s="55">
        <v>99.73</v>
      </c>
      <c r="N9" s="55">
        <v>0</v>
      </c>
      <c r="O9" s="55">
        <v>0</v>
      </c>
      <c r="P9" s="55">
        <v>0.92</v>
      </c>
      <c r="Q9" s="55">
        <v>4.28</v>
      </c>
    </row>
    <row r="10" spans="1:21" customFormat="1">
      <c r="A10" s="50" t="s">
        <v>396</v>
      </c>
      <c r="B10" s="55">
        <v>17.649999999999999</v>
      </c>
      <c r="C10" s="55">
        <v>30.23</v>
      </c>
      <c r="D10" s="55">
        <v>30.92</v>
      </c>
      <c r="E10" s="55">
        <v>7.15</v>
      </c>
      <c r="F10" s="55">
        <v>2.87</v>
      </c>
      <c r="G10" s="55">
        <v>56.36</v>
      </c>
      <c r="H10" s="55">
        <v>26.43</v>
      </c>
      <c r="I10" s="55">
        <v>33.32</v>
      </c>
      <c r="J10" s="55">
        <v>0.19</v>
      </c>
      <c r="K10" s="55">
        <v>204.1</v>
      </c>
      <c r="L10" s="55">
        <v>26.49</v>
      </c>
      <c r="M10" s="55">
        <v>101.07</v>
      </c>
      <c r="N10" s="55">
        <v>0</v>
      </c>
      <c r="O10" s="55">
        <v>0</v>
      </c>
      <c r="P10" s="55">
        <v>0.93</v>
      </c>
      <c r="Q10" s="55">
        <v>4.37</v>
      </c>
    </row>
    <row r="11" spans="1:21" customFormat="1">
      <c r="A11" s="50" t="s">
        <v>397</v>
      </c>
      <c r="B11" s="55">
        <v>18.66</v>
      </c>
      <c r="C11" s="55">
        <v>29.57</v>
      </c>
      <c r="D11" s="55">
        <v>31.04</v>
      </c>
      <c r="E11" s="55">
        <v>6.28</v>
      </c>
      <c r="F11" s="55">
        <v>3.48</v>
      </c>
      <c r="G11" s="55">
        <v>55.3</v>
      </c>
      <c r="H11" s="55">
        <v>25.24</v>
      </c>
      <c r="I11" s="55">
        <v>28.76</v>
      </c>
      <c r="J11" s="55">
        <v>0.16</v>
      </c>
      <c r="K11" s="55">
        <v>223.62</v>
      </c>
      <c r="L11" s="55">
        <v>26.09</v>
      </c>
      <c r="M11" s="55">
        <v>100.59</v>
      </c>
      <c r="N11" s="55">
        <v>0</v>
      </c>
      <c r="O11" s="55">
        <v>0</v>
      </c>
      <c r="P11" s="55">
        <v>0.91</v>
      </c>
      <c r="Q11" s="55">
        <v>4.4000000000000004</v>
      </c>
    </row>
    <row r="12" spans="1:21" customFormat="1">
      <c r="A12" s="50" t="s">
        <v>398</v>
      </c>
      <c r="B12" s="55">
        <v>19.079999999999998</v>
      </c>
      <c r="C12" s="55">
        <v>22.95</v>
      </c>
      <c r="D12" s="55">
        <v>28.64</v>
      </c>
      <c r="E12" s="55">
        <v>5.47</v>
      </c>
      <c r="F12" s="55">
        <v>4.41</v>
      </c>
      <c r="G12" s="55">
        <v>44.57</v>
      </c>
      <c r="H12" s="55">
        <v>23.82</v>
      </c>
      <c r="I12" s="55">
        <v>25.12</v>
      </c>
      <c r="J12" s="55">
        <v>0.16</v>
      </c>
      <c r="K12" s="55">
        <v>167.76</v>
      </c>
      <c r="L12" s="55">
        <v>25.82</v>
      </c>
      <c r="M12" s="55">
        <v>99.19</v>
      </c>
      <c r="N12" s="55">
        <v>0</v>
      </c>
      <c r="O12" s="55">
        <v>0</v>
      </c>
      <c r="P12" s="55">
        <v>0.83</v>
      </c>
      <c r="Q12" s="55">
        <v>4.3899999999999997</v>
      </c>
    </row>
    <row r="13" spans="1:21" customFormat="1">
      <c r="A13" s="50" t="s">
        <v>399</v>
      </c>
      <c r="B13" s="55">
        <v>19.66</v>
      </c>
      <c r="C13" s="55">
        <v>23.92</v>
      </c>
      <c r="D13" s="55">
        <v>29.62</v>
      </c>
      <c r="E13" s="55">
        <v>5.38</v>
      </c>
      <c r="F13" s="55">
        <v>4.1399999999999997</v>
      </c>
      <c r="G13" s="55">
        <v>42.73</v>
      </c>
      <c r="H13" s="55">
        <v>21.89</v>
      </c>
      <c r="I13" s="55">
        <v>23.69</v>
      </c>
      <c r="J13" s="55">
        <v>0.1</v>
      </c>
      <c r="K13" s="55">
        <v>199.41</v>
      </c>
      <c r="L13" s="55">
        <v>25.46</v>
      </c>
      <c r="M13" s="55">
        <v>99.58</v>
      </c>
      <c r="N13" s="55">
        <v>0</v>
      </c>
      <c r="O13" s="55">
        <v>0</v>
      </c>
      <c r="P13" s="55">
        <v>0.8</v>
      </c>
      <c r="Q13" s="55">
        <v>4.3600000000000003</v>
      </c>
    </row>
    <row r="14" spans="1:21" customFormat="1">
      <c r="A14" s="50" t="s">
        <v>400</v>
      </c>
      <c r="B14" s="55">
        <v>20.64</v>
      </c>
      <c r="C14" s="55">
        <v>24.19</v>
      </c>
      <c r="D14" s="55">
        <v>30.54</v>
      </c>
      <c r="E14" s="55">
        <v>5.25</v>
      </c>
      <c r="F14" s="55">
        <v>3.4</v>
      </c>
      <c r="G14" s="55">
        <v>39.51</v>
      </c>
      <c r="H14" s="55">
        <v>19.809999999999999</v>
      </c>
      <c r="I14" s="55">
        <v>22.86</v>
      </c>
      <c r="J14" s="55">
        <v>0.12</v>
      </c>
      <c r="K14" s="55">
        <v>188.04</v>
      </c>
      <c r="L14" s="55">
        <v>25.32</v>
      </c>
      <c r="M14" s="55">
        <v>100.02</v>
      </c>
      <c r="N14" s="55">
        <v>0.1</v>
      </c>
      <c r="O14" s="55">
        <v>0</v>
      </c>
      <c r="P14" s="55">
        <v>0.79</v>
      </c>
      <c r="Q14" s="55">
        <v>4.43</v>
      </c>
    </row>
    <row r="15" spans="1:21" customFormat="1">
      <c r="A15" s="50" t="s">
        <v>401</v>
      </c>
      <c r="B15" s="55">
        <v>20.74</v>
      </c>
      <c r="C15" s="55">
        <v>23.63</v>
      </c>
      <c r="D15" s="55">
        <v>30.33</v>
      </c>
      <c r="E15" s="55">
        <v>5.23</v>
      </c>
      <c r="F15" s="55">
        <v>3.51</v>
      </c>
      <c r="G15" s="55">
        <v>39.51</v>
      </c>
      <c r="H15" s="55">
        <v>21.24</v>
      </c>
      <c r="I15" s="55">
        <v>21.27</v>
      </c>
      <c r="J15" s="55">
        <v>0.14000000000000001</v>
      </c>
      <c r="K15" s="55">
        <v>255.1</v>
      </c>
      <c r="L15" s="55">
        <v>26.18</v>
      </c>
      <c r="M15" s="55">
        <v>100.12</v>
      </c>
      <c r="N15" s="55">
        <v>57</v>
      </c>
      <c r="O15" s="55">
        <v>0</v>
      </c>
      <c r="P15" s="55">
        <v>0.77</v>
      </c>
      <c r="Q15" s="55">
        <v>4.47</v>
      </c>
    </row>
    <row r="16" spans="1:21" customFormat="1">
      <c r="A16" s="50" t="s">
        <v>402</v>
      </c>
      <c r="B16" s="55">
        <v>21</v>
      </c>
      <c r="C16" s="55">
        <v>30.38</v>
      </c>
      <c r="D16" s="55">
        <v>34.06</v>
      </c>
      <c r="E16" s="55">
        <v>6.09</v>
      </c>
      <c r="F16" s="55">
        <v>3.56</v>
      </c>
      <c r="G16" s="55">
        <v>36.31</v>
      </c>
      <c r="H16" s="55">
        <v>21.24</v>
      </c>
      <c r="I16" s="55">
        <v>19.47</v>
      </c>
      <c r="J16" s="55">
        <v>0.35</v>
      </c>
      <c r="K16" s="55">
        <v>230.19</v>
      </c>
      <c r="L16" s="55">
        <v>28.13</v>
      </c>
      <c r="M16" s="55">
        <v>95.4</v>
      </c>
      <c r="N16" s="55">
        <v>151.4</v>
      </c>
      <c r="O16" s="55">
        <v>0</v>
      </c>
      <c r="P16" s="55">
        <v>0.83</v>
      </c>
      <c r="Q16" s="55">
        <v>4.54</v>
      </c>
    </row>
    <row r="17" spans="1:17" customFormat="1">
      <c r="A17" s="50" t="s">
        <v>403</v>
      </c>
      <c r="B17" s="55">
        <v>22.34</v>
      </c>
      <c r="C17" s="55">
        <v>31.84</v>
      </c>
      <c r="D17" s="55">
        <v>35.86</v>
      </c>
      <c r="E17" s="55">
        <v>8.56</v>
      </c>
      <c r="F17" s="55">
        <v>3.09</v>
      </c>
      <c r="G17" s="55">
        <v>129.30000000000001</v>
      </c>
      <c r="H17" s="55">
        <v>31.39</v>
      </c>
      <c r="I17" s="55">
        <v>18.29</v>
      </c>
      <c r="J17" s="55">
        <v>0.53</v>
      </c>
      <c r="K17" s="55">
        <v>60.44</v>
      </c>
      <c r="L17" s="55">
        <v>29.95</v>
      </c>
      <c r="M17" s="55">
        <v>86.45</v>
      </c>
      <c r="N17" s="55">
        <v>309.39999999999998</v>
      </c>
      <c r="O17" s="55">
        <v>0</v>
      </c>
      <c r="P17" s="55">
        <v>0.92</v>
      </c>
      <c r="Q17" s="55">
        <v>4.66</v>
      </c>
    </row>
    <row r="18" spans="1:17" customFormat="1">
      <c r="A18" s="50" t="s">
        <v>404</v>
      </c>
      <c r="B18" s="55">
        <v>21.68</v>
      </c>
      <c r="C18" s="55">
        <v>31.31</v>
      </c>
      <c r="D18" s="55">
        <v>35.03</v>
      </c>
      <c r="E18" s="55">
        <v>7.19</v>
      </c>
      <c r="F18" s="55">
        <v>4.1500000000000004</v>
      </c>
      <c r="G18" s="55">
        <v>129.30000000000001</v>
      </c>
      <c r="H18" s="55">
        <v>31.53</v>
      </c>
      <c r="I18" s="55">
        <v>16.96</v>
      </c>
      <c r="J18" s="55">
        <v>0.72</v>
      </c>
      <c r="K18" s="55">
        <v>52.69</v>
      </c>
      <c r="L18" s="55">
        <v>30.54</v>
      </c>
      <c r="M18" s="55">
        <v>77.180000000000007</v>
      </c>
      <c r="N18" s="55">
        <v>374.4</v>
      </c>
      <c r="O18" s="55">
        <v>0</v>
      </c>
      <c r="P18" s="55">
        <v>0.91</v>
      </c>
      <c r="Q18" s="55">
        <v>4.6500000000000004</v>
      </c>
    </row>
    <row r="19" spans="1:17" customFormat="1">
      <c r="A19" s="50" t="s">
        <v>405</v>
      </c>
      <c r="B19" s="55">
        <v>19.36</v>
      </c>
      <c r="C19" s="55">
        <v>31.53</v>
      </c>
      <c r="D19" s="55">
        <v>33.35</v>
      </c>
      <c r="E19" s="55">
        <v>7.34</v>
      </c>
      <c r="F19" s="55">
        <v>5.46</v>
      </c>
      <c r="G19" s="55">
        <v>71.59</v>
      </c>
      <c r="H19" s="55">
        <v>31.53</v>
      </c>
      <c r="I19" s="55">
        <v>15.26</v>
      </c>
      <c r="J19" s="55">
        <v>0.81</v>
      </c>
      <c r="K19" s="55">
        <v>45.22</v>
      </c>
      <c r="L19" s="55">
        <v>31.44</v>
      </c>
      <c r="M19" s="55">
        <v>75.38</v>
      </c>
      <c r="N19" s="55">
        <v>575.4</v>
      </c>
      <c r="O19" s="55">
        <v>0</v>
      </c>
      <c r="P19" s="55">
        <v>0.88</v>
      </c>
      <c r="Q19" s="55">
        <v>4.51</v>
      </c>
    </row>
    <row r="20" spans="1:17" customFormat="1">
      <c r="A20" s="50" t="s">
        <v>406</v>
      </c>
      <c r="B20" s="55">
        <v>15.73</v>
      </c>
      <c r="C20" s="55">
        <v>30.96</v>
      </c>
      <c r="D20" s="55">
        <v>30.11</v>
      </c>
      <c r="E20" s="55">
        <v>7.65</v>
      </c>
      <c r="F20" s="55">
        <v>6.2</v>
      </c>
      <c r="G20" s="55">
        <v>71.59</v>
      </c>
      <c r="H20" s="55">
        <v>28.9</v>
      </c>
      <c r="I20" s="55">
        <v>13.16</v>
      </c>
      <c r="J20" s="55">
        <v>0.55000000000000004</v>
      </c>
      <c r="K20" s="55">
        <v>82.83</v>
      </c>
      <c r="L20" s="55">
        <v>32.51</v>
      </c>
      <c r="M20" s="55">
        <v>68.8</v>
      </c>
      <c r="N20" s="55">
        <v>673.5</v>
      </c>
      <c r="O20" s="55">
        <v>0</v>
      </c>
      <c r="P20" s="55">
        <v>0.81</v>
      </c>
      <c r="Q20" s="55">
        <v>4.3099999999999996</v>
      </c>
    </row>
    <row r="21" spans="1:17" customFormat="1">
      <c r="A21" s="50" t="s">
        <v>407</v>
      </c>
      <c r="B21" s="55">
        <v>11.81</v>
      </c>
      <c r="C21" s="55">
        <v>30.2</v>
      </c>
      <c r="D21" s="55">
        <v>26.6</v>
      </c>
      <c r="E21" s="55">
        <v>9.69</v>
      </c>
      <c r="F21" s="55">
        <v>10.37</v>
      </c>
      <c r="G21" s="55">
        <v>66.78</v>
      </c>
      <c r="H21" s="55">
        <v>28.9</v>
      </c>
      <c r="I21" s="55">
        <v>11.63</v>
      </c>
      <c r="J21" s="55">
        <v>0.67</v>
      </c>
      <c r="K21" s="55">
        <v>57.69</v>
      </c>
      <c r="L21" s="55">
        <v>32.61</v>
      </c>
      <c r="M21" s="55">
        <v>67.680000000000007</v>
      </c>
      <c r="N21" s="55">
        <v>691.5</v>
      </c>
      <c r="O21" s="55">
        <v>0</v>
      </c>
      <c r="P21" s="55">
        <v>0.75</v>
      </c>
      <c r="Q21" s="55">
        <v>4.0599999999999996</v>
      </c>
    </row>
    <row r="22" spans="1:17" customFormat="1">
      <c r="A22" s="50" t="s">
        <v>408</v>
      </c>
      <c r="B22" s="55">
        <v>10.15</v>
      </c>
      <c r="C22" s="55">
        <v>26.45</v>
      </c>
      <c r="D22" s="55">
        <v>23.03</v>
      </c>
      <c r="E22" s="55">
        <v>12.65</v>
      </c>
      <c r="F22" s="55">
        <v>10.86</v>
      </c>
      <c r="G22" s="55">
        <v>60.85</v>
      </c>
      <c r="H22" s="55">
        <v>28.62</v>
      </c>
      <c r="I22" s="55">
        <v>10.35</v>
      </c>
      <c r="J22" s="55">
        <v>0.71</v>
      </c>
      <c r="K22" s="55">
        <v>46.75</v>
      </c>
      <c r="L22" s="55">
        <v>32.840000000000003</v>
      </c>
      <c r="M22" s="55">
        <v>67.22</v>
      </c>
      <c r="N22" s="55">
        <v>575.29999999999995</v>
      </c>
      <c r="O22" s="55">
        <v>0</v>
      </c>
      <c r="P22" s="55">
        <v>0.7</v>
      </c>
      <c r="Q22" s="55">
        <v>3.8</v>
      </c>
    </row>
    <row r="23" spans="1:17" customFormat="1">
      <c r="A23" s="50" t="s">
        <v>409</v>
      </c>
      <c r="B23" s="55">
        <v>11.62</v>
      </c>
      <c r="C23" s="55">
        <v>29.36</v>
      </c>
      <c r="D23" s="55">
        <v>26</v>
      </c>
      <c r="E23" s="55">
        <v>23.5</v>
      </c>
      <c r="F23" s="55">
        <v>14.88</v>
      </c>
      <c r="G23" s="55">
        <v>60.85</v>
      </c>
      <c r="H23" s="55">
        <v>27.79</v>
      </c>
      <c r="I23" s="55">
        <v>9.2100000000000009</v>
      </c>
      <c r="J23" s="55">
        <v>0.64</v>
      </c>
      <c r="K23" s="55">
        <v>51.09</v>
      </c>
      <c r="L23" s="55">
        <v>32.36</v>
      </c>
      <c r="M23" s="55">
        <v>67.19</v>
      </c>
      <c r="N23" s="55">
        <v>451.3</v>
      </c>
      <c r="O23" s="55">
        <v>0</v>
      </c>
      <c r="P23" s="55">
        <v>0.64</v>
      </c>
      <c r="Q23" s="55">
        <v>3.74</v>
      </c>
    </row>
    <row r="24" spans="1:17" customFormat="1">
      <c r="A24" s="50" t="s">
        <v>410</v>
      </c>
      <c r="B24" s="55">
        <v>10.32</v>
      </c>
      <c r="C24" s="55">
        <v>25.33</v>
      </c>
      <c r="D24" s="55">
        <v>22.53</v>
      </c>
      <c r="E24" s="55">
        <v>15.82</v>
      </c>
      <c r="F24" s="55">
        <v>16.149999999999999</v>
      </c>
      <c r="G24" s="55">
        <v>66.81</v>
      </c>
      <c r="H24" s="55">
        <v>30.67</v>
      </c>
      <c r="I24" s="55">
        <v>8.36</v>
      </c>
      <c r="J24" s="55">
        <v>0.73</v>
      </c>
      <c r="K24" s="55">
        <v>40.64</v>
      </c>
      <c r="L24" s="55">
        <v>31.81</v>
      </c>
      <c r="M24" s="55">
        <v>69.47</v>
      </c>
      <c r="N24" s="55">
        <v>229.2</v>
      </c>
      <c r="O24" s="55">
        <v>0</v>
      </c>
      <c r="P24" s="55">
        <v>0.62</v>
      </c>
      <c r="Q24" s="55">
        <v>3.73</v>
      </c>
    </row>
    <row r="25" spans="1:17" customFormat="1">
      <c r="A25" s="50" t="s">
        <v>411</v>
      </c>
      <c r="B25" s="55">
        <v>12.41</v>
      </c>
      <c r="C25" s="55">
        <v>26.92</v>
      </c>
      <c r="D25" s="55">
        <v>25.37</v>
      </c>
      <c r="E25" s="55">
        <v>11.27</v>
      </c>
      <c r="F25" s="55">
        <v>18.47</v>
      </c>
      <c r="G25" s="55">
        <v>66.81</v>
      </c>
      <c r="H25" s="55">
        <v>30.67</v>
      </c>
      <c r="I25" s="55">
        <v>7.56</v>
      </c>
      <c r="J25" s="55">
        <v>0.73</v>
      </c>
      <c r="K25" s="55">
        <v>53.12</v>
      </c>
      <c r="L25" s="55">
        <v>30.94</v>
      </c>
      <c r="M25" s="55">
        <v>74.53</v>
      </c>
      <c r="N25" s="55">
        <v>85.2</v>
      </c>
      <c r="O25" s="55">
        <v>0</v>
      </c>
      <c r="P25" s="55">
        <v>0.62</v>
      </c>
      <c r="Q25" s="55">
        <v>3.73</v>
      </c>
    </row>
    <row r="26" spans="1:17" customFormat="1">
      <c r="A26" s="50" t="s">
        <v>412</v>
      </c>
      <c r="B26" s="55">
        <v>11.1</v>
      </c>
      <c r="C26" s="55">
        <v>31.87</v>
      </c>
      <c r="D26" s="55">
        <v>26.36</v>
      </c>
      <c r="E26" s="55">
        <v>8.2100000000000009</v>
      </c>
      <c r="F26" s="55">
        <v>8.68</v>
      </c>
      <c r="G26" s="55">
        <v>65.23</v>
      </c>
      <c r="H26" s="55">
        <v>28.72</v>
      </c>
      <c r="I26" s="55">
        <v>7.55</v>
      </c>
      <c r="J26" s="55">
        <v>0.45</v>
      </c>
      <c r="K26" s="55">
        <v>60.1</v>
      </c>
      <c r="L26" s="55">
        <v>30.38</v>
      </c>
      <c r="M26" s="55">
        <v>79.59</v>
      </c>
      <c r="N26" s="55">
        <v>23.7</v>
      </c>
      <c r="O26" s="55">
        <v>0</v>
      </c>
      <c r="P26" s="55">
        <v>0.69</v>
      </c>
      <c r="Q26" s="55">
        <v>3.88</v>
      </c>
    </row>
    <row r="27" spans="1:17" customFormat="1">
      <c r="A27" s="50" t="s">
        <v>413</v>
      </c>
      <c r="B27" s="55">
        <v>12.76</v>
      </c>
      <c r="C27" s="55">
        <v>33.049999999999997</v>
      </c>
      <c r="D27" s="55">
        <v>28.81</v>
      </c>
      <c r="E27" s="55">
        <v>9.74</v>
      </c>
      <c r="F27" s="55">
        <v>6.12</v>
      </c>
      <c r="G27" s="55">
        <v>65.23</v>
      </c>
      <c r="H27" s="55">
        <v>28.03</v>
      </c>
      <c r="I27" s="55">
        <v>7.39</v>
      </c>
      <c r="J27" s="55">
        <v>0.27</v>
      </c>
      <c r="K27" s="55">
        <v>165.95</v>
      </c>
      <c r="L27" s="55">
        <v>29.42</v>
      </c>
      <c r="M27" s="55">
        <v>86.25</v>
      </c>
      <c r="N27" s="55">
        <v>0</v>
      </c>
      <c r="O27" s="55">
        <v>0</v>
      </c>
      <c r="P27" s="55">
        <v>0.76</v>
      </c>
      <c r="Q27" s="55">
        <v>4.12</v>
      </c>
    </row>
    <row r="28" spans="1:17" customFormat="1">
      <c r="A28" s="50" t="s">
        <v>414</v>
      </c>
      <c r="B28" s="55">
        <v>12.27</v>
      </c>
      <c r="C28" s="55">
        <v>30.82</v>
      </c>
      <c r="D28" s="55">
        <v>27.14</v>
      </c>
      <c r="E28" s="55">
        <v>10.06</v>
      </c>
      <c r="F28" s="55">
        <v>7.54</v>
      </c>
      <c r="G28" s="55">
        <v>62.74</v>
      </c>
      <c r="H28" s="55">
        <v>28.03</v>
      </c>
      <c r="I28" s="55">
        <v>7.38</v>
      </c>
      <c r="J28" s="55">
        <v>0.23</v>
      </c>
      <c r="K28" s="55">
        <v>172.69</v>
      </c>
      <c r="L28" s="55">
        <v>28.84</v>
      </c>
      <c r="M28" s="55">
        <v>88.62</v>
      </c>
      <c r="N28" s="55">
        <v>0</v>
      </c>
      <c r="O28" s="55">
        <v>0</v>
      </c>
      <c r="P28" s="55">
        <v>0.74</v>
      </c>
      <c r="Q28" s="55">
        <v>4.1399999999999997</v>
      </c>
    </row>
    <row r="29" spans="1:17" customFormat="1">
      <c r="A29" s="50" t="s">
        <v>415</v>
      </c>
      <c r="B29" s="55">
        <v>12.41</v>
      </c>
      <c r="C29" s="55">
        <v>29.18</v>
      </c>
      <c r="D29" s="55">
        <v>26.43</v>
      </c>
      <c r="E29" s="55">
        <v>9.48</v>
      </c>
      <c r="F29" s="55">
        <v>5.68</v>
      </c>
      <c r="G29" s="55">
        <v>51.49</v>
      </c>
      <c r="H29" s="55">
        <v>26.83</v>
      </c>
      <c r="I29" s="55">
        <v>7.36</v>
      </c>
      <c r="J29" s="55">
        <v>0.18</v>
      </c>
      <c r="K29" s="55">
        <v>218.44</v>
      </c>
      <c r="L29" s="55">
        <v>28.3</v>
      </c>
      <c r="M29" s="55">
        <v>95.33</v>
      </c>
      <c r="N29" s="55">
        <v>0</v>
      </c>
      <c r="O29" s="55">
        <v>0</v>
      </c>
      <c r="P29" s="55">
        <v>0.72</v>
      </c>
      <c r="Q29" s="55">
        <v>4.1399999999999997</v>
      </c>
    </row>
    <row r="30" spans="1:17" customFormat="1">
      <c r="A30" s="50" t="s">
        <v>416</v>
      </c>
      <c r="B30" s="55">
        <v>13.06</v>
      </c>
      <c r="C30" s="55">
        <v>28.9</v>
      </c>
      <c r="D30" s="55">
        <v>26.59</v>
      </c>
      <c r="E30" s="55">
        <v>9.57</v>
      </c>
      <c r="F30" s="55">
        <v>3.82</v>
      </c>
      <c r="G30" s="55">
        <v>48.47</v>
      </c>
      <c r="H30" s="55">
        <v>25.07</v>
      </c>
      <c r="I30" s="55">
        <v>6.92</v>
      </c>
      <c r="J30" s="55">
        <v>0.17</v>
      </c>
      <c r="K30" s="55">
        <v>237.89</v>
      </c>
      <c r="L30" s="55">
        <v>27.67</v>
      </c>
      <c r="M30" s="55">
        <v>97.04</v>
      </c>
      <c r="N30" s="55">
        <v>0</v>
      </c>
      <c r="O30" s="55">
        <v>0</v>
      </c>
      <c r="P30" s="55">
        <v>0.71</v>
      </c>
      <c r="Q30" s="55">
        <v>4.0999999999999996</v>
      </c>
    </row>
    <row r="31" spans="1:17" customFormat="1">
      <c r="A31" s="50" t="s">
        <v>417</v>
      </c>
      <c r="B31" s="55">
        <v>13.46</v>
      </c>
      <c r="C31" s="55">
        <v>27.28</v>
      </c>
      <c r="D31" s="55">
        <v>26.4</v>
      </c>
      <c r="E31" s="55">
        <v>9.49</v>
      </c>
      <c r="F31" s="55">
        <v>4.8499999999999996</v>
      </c>
      <c r="G31" s="55">
        <v>48.47</v>
      </c>
      <c r="H31" s="55">
        <v>24.16</v>
      </c>
      <c r="I31" s="55">
        <v>6.71</v>
      </c>
      <c r="J31" s="55">
        <v>0.14000000000000001</v>
      </c>
      <c r="K31" s="55">
        <v>214.89</v>
      </c>
      <c r="L31" s="55">
        <v>27.3</v>
      </c>
      <c r="M31" s="55">
        <v>98.99</v>
      </c>
      <c r="N31" s="55">
        <v>0</v>
      </c>
      <c r="O31" s="55">
        <v>0</v>
      </c>
      <c r="P31" s="55">
        <v>0.68</v>
      </c>
      <c r="Q31" s="55">
        <v>4.1399999999999997</v>
      </c>
    </row>
    <row r="32" spans="1:17" customFormat="1">
      <c r="A32" s="50" t="s">
        <v>418</v>
      </c>
      <c r="B32" s="55">
        <v>12.98</v>
      </c>
      <c r="C32" s="55">
        <v>20.68</v>
      </c>
      <c r="D32" s="55">
        <v>22.57</v>
      </c>
      <c r="E32" s="55">
        <v>8.66</v>
      </c>
      <c r="F32" s="55">
        <v>5.68</v>
      </c>
      <c r="G32" s="55">
        <v>47.17</v>
      </c>
      <c r="H32" s="55">
        <v>23.22</v>
      </c>
      <c r="I32" s="55">
        <v>6.23</v>
      </c>
      <c r="J32" s="55">
        <v>0.17</v>
      </c>
      <c r="K32" s="55">
        <v>194.12</v>
      </c>
      <c r="L32" s="55">
        <v>27.22</v>
      </c>
      <c r="M32" s="55">
        <v>97.32</v>
      </c>
      <c r="N32" s="55">
        <v>0</v>
      </c>
      <c r="O32" s="55">
        <v>0</v>
      </c>
      <c r="P32" s="55">
        <v>0.66</v>
      </c>
      <c r="Q32" s="55">
        <v>4.08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10.15</v>
      </c>
      <c r="C34" s="40">
        <f t="shared" si="0"/>
        <v>20.68</v>
      </c>
      <c r="D34" s="40">
        <f t="shared" si="0"/>
        <v>22.53</v>
      </c>
      <c r="E34" s="40">
        <f t="shared" si="0"/>
        <v>5.23</v>
      </c>
      <c r="F34" s="40">
        <f t="shared" si="0"/>
        <v>2.87</v>
      </c>
      <c r="G34" s="40">
        <f t="shared" si="0"/>
        <v>36.31</v>
      </c>
      <c r="H34" s="40">
        <f t="shared" si="0"/>
        <v>19.809999999999999</v>
      </c>
      <c r="I34" s="40">
        <f t="shared" si="0"/>
        <v>6.23</v>
      </c>
      <c r="J34" s="40">
        <f t="shared" si="0"/>
        <v>0.1</v>
      </c>
      <c r="K34" s="40">
        <f t="shared" si="0"/>
        <v>40.64</v>
      </c>
      <c r="L34" s="40">
        <f t="shared" si="0"/>
        <v>25.32</v>
      </c>
      <c r="M34" s="40">
        <f t="shared" si="0"/>
        <v>67.19</v>
      </c>
      <c r="N34" s="40">
        <f t="shared" si="0"/>
        <v>0</v>
      </c>
      <c r="O34" s="40">
        <f t="shared" si="0"/>
        <v>0</v>
      </c>
      <c r="P34" s="40">
        <f t="shared" si="0"/>
        <v>0.62</v>
      </c>
      <c r="Q34" s="40">
        <f t="shared" si="0"/>
        <v>3.73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22.34</v>
      </c>
      <c r="C35" s="33">
        <f t="shared" si="1"/>
        <v>33.049999999999997</v>
      </c>
      <c r="D35" s="33">
        <f t="shared" si="1"/>
        <v>35.86</v>
      </c>
      <c r="E35" s="33">
        <f t="shared" si="1"/>
        <v>23.5</v>
      </c>
      <c r="F35" s="33">
        <f t="shared" si="1"/>
        <v>18.47</v>
      </c>
      <c r="G35" s="33">
        <f t="shared" si="1"/>
        <v>129.30000000000001</v>
      </c>
      <c r="H35" s="33">
        <f t="shared" si="1"/>
        <v>31.53</v>
      </c>
      <c r="I35" s="33">
        <f t="shared" si="1"/>
        <v>38.79</v>
      </c>
      <c r="J35" s="33">
        <f t="shared" si="1"/>
        <v>0.81</v>
      </c>
      <c r="K35" s="33">
        <f t="shared" si="1"/>
        <v>255.1</v>
      </c>
      <c r="L35" s="33">
        <f t="shared" si="1"/>
        <v>32.840000000000003</v>
      </c>
      <c r="M35" s="33">
        <f t="shared" si="1"/>
        <v>101.07</v>
      </c>
      <c r="N35" s="33">
        <f t="shared" si="1"/>
        <v>691.5</v>
      </c>
      <c r="O35" s="33">
        <f t="shared" si="1"/>
        <v>0</v>
      </c>
      <c r="P35" s="33">
        <f t="shared" si="1"/>
        <v>0.93</v>
      </c>
      <c r="Q35" s="33">
        <f t="shared" si="1"/>
        <v>4.66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15.719166666666668</v>
      </c>
      <c r="C36" s="40">
        <f t="shared" si="2"/>
        <v>28.360833333333328</v>
      </c>
      <c r="D36" s="40">
        <f t="shared" si="2"/>
        <v>28.637499999999999</v>
      </c>
      <c r="E36" s="40">
        <f t="shared" si="2"/>
        <v>9.0208333333333339</v>
      </c>
      <c r="F36" s="40">
        <f t="shared" si="2"/>
        <v>6.6812499999999995</v>
      </c>
      <c r="G36" s="40">
        <f t="shared" si="2"/>
        <v>61.805416666666673</v>
      </c>
      <c r="H36" s="40">
        <f t="shared" si="2"/>
        <v>26.837500000000002</v>
      </c>
      <c r="I36" s="40">
        <f t="shared" si="2"/>
        <v>15.56666666666667</v>
      </c>
      <c r="J36" s="40">
        <f t="shared" si="2"/>
        <v>0.3775</v>
      </c>
      <c r="K36" s="40">
        <f t="shared" si="2"/>
        <v>141.95291666666665</v>
      </c>
      <c r="L36" s="40">
        <f t="shared" si="2"/>
        <v>28.919166666666666</v>
      </c>
      <c r="M36" s="40">
        <f t="shared" si="2"/>
        <v>87.197499999999991</v>
      </c>
      <c r="N36" s="40">
        <f t="shared" si="2"/>
        <v>174.89166666666665</v>
      </c>
      <c r="O36" s="40">
        <f t="shared" si="2"/>
        <v>0</v>
      </c>
      <c r="P36" s="40">
        <f t="shared" si="2"/>
        <v>0.77458333333333329</v>
      </c>
      <c r="Q36" s="40">
        <f t="shared" si="2"/>
        <v>4.2095833333333337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4.0933646377974853</v>
      </c>
      <c r="C37" s="40">
        <f t="shared" ref="C37:Q37" si="3">STDEV(C9:C32)</f>
        <v>3.357263270383648</v>
      </c>
      <c r="D37" s="40">
        <f t="shared" si="3"/>
        <v>3.7059895703647561</v>
      </c>
      <c r="E37" s="40">
        <f t="shared" si="3"/>
        <v>3.9839906982895865</v>
      </c>
      <c r="F37" s="40">
        <f t="shared" si="3"/>
        <v>4.4094526057787151</v>
      </c>
      <c r="G37" s="40">
        <f t="shared" si="3"/>
        <v>23.300047206365072</v>
      </c>
      <c r="H37" s="40">
        <f t="shared" si="3"/>
        <v>3.595466045863366</v>
      </c>
      <c r="I37" s="40">
        <f t="shared" si="3"/>
        <v>9.3414898107345739</v>
      </c>
      <c r="J37" s="40">
        <f t="shared" si="3"/>
        <v>0.25346726055629554</v>
      </c>
      <c r="K37" s="40">
        <f t="shared" si="3"/>
        <v>78.114738100530701</v>
      </c>
      <c r="L37" s="40">
        <f t="shared" si="3"/>
        <v>2.5431851249388502</v>
      </c>
      <c r="M37" s="40">
        <f t="shared" si="3"/>
        <v>13.061947804013919</v>
      </c>
      <c r="N37" s="40">
        <f t="shared" si="3"/>
        <v>245.46665569476235</v>
      </c>
      <c r="O37" s="40">
        <f t="shared" si="3"/>
        <v>0</v>
      </c>
      <c r="P37" s="40">
        <f t="shared" si="3"/>
        <v>0.10051948401512349</v>
      </c>
      <c r="Q37" s="40">
        <f t="shared" si="3"/>
        <v>0.2855578699693711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selection activeCell="A9" sqref="A9:XFD32"/>
    </sheetView>
  </sheetViews>
  <sheetFormatPr defaultColWidth="9" defaultRowHeight="15"/>
  <cols>
    <col min="1" max="1" width="15.4257812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29/09/2023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 t="s">
        <v>419</v>
      </c>
      <c r="B9" s="55">
        <v>14.9</v>
      </c>
      <c r="C9" s="55">
        <v>21.08</v>
      </c>
      <c r="D9" s="55">
        <v>24.31</v>
      </c>
      <c r="E9" s="55">
        <v>8.39</v>
      </c>
      <c r="F9" s="55">
        <v>6.39</v>
      </c>
      <c r="G9" s="55">
        <v>47.17</v>
      </c>
      <c r="H9" s="55">
        <v>25.95</v>
      </c>
      <c r="I9" s="55">
        <v>6.32</v>
      </c>
      <c r="J9" s="55">
        <v>0.13</v>
      </c>
      <c r="K9" s="55">
        <v>168.72</v>
      </c>
      <c r="L9" s="55">
        <v>26.87</v>
      </c>
      <c r="M9" s="55">
        <v>96.34</v>
      </c>
      <c r="N9" s="55">
        <v>0</v>
      </c>
      <c r="O9" s="55">
        <v>0</v>
      </c>
      <c r="P9" s="55">
        <v>0.65</v>
      </c>
      <c r="Q9" s="55">
        <v>4.1399999999999997</v>
      </c>
    </row>
    <row r="10" spans="1:21">
      <c r="A10" s="50" t="s">
        <v>420</v>
      </c>
      <c r="B10" s="55">
        <v>18.079999999999998</v>
      </c>
      <c r="C10" s="55">
        <v>22.73</v>
      </c>
      <c r="D10" s="55">
        <v>27.73</v>
      </c>
      <c r="E10" s="55">
        <v>10.17</v>
      </c>
      <c r="F10" s="55">
        <v>6.2</v>
      </c>
      <c r="G10" s="55">
        <v>45.12</v>
      </c>
      <c r="H10" s="55">
        <v>25.95</v>
      </c>
      <c r="I10" s="55">
        <v>6.1</v>
      </c>
      <c r="J10" s="55">
        <v>0.27</v>
      </c>
      <c r="K10" s="55">
        <v>196.45</v>
      </c>
      <c r="L10" s="55">
        <v>26.57</v>
      </c>
      <c r="M10" s="55">
        <v>98.09</v>
      </c>
      <c r="N10" s="55">
        <v>0</v>
      </c>
      <c r="O10" s="55">
        <v>0</v>
      </c>
      <c r="P10" s="55">
        <v>0.7</v>
      </c>
      <c r="Q10" s="55">
        <v>4.2</v>
      </c>
    </row>
    <row r="11" spans="1:21">
      <c r="A11" s="50" t="s">
        <v>421</v>
      </c>
      <c r="B11" s="55">
        <v>20.38</v>
      </c>
      <c r="C11" s="55">
        <v>25.2</v>
      </c>
      <c r="D11" s="55">
        <v>30.86</v>
      </c>
      <c r="E11" s="55">
        <v>7.88</v>
      </c>
      <c r="F11" s="55">
        <v>3.41</v>
      </c>
      <c r="G11" s="55">
        <v>69.11</v>
      </c>
      <c r="H11" s="55">
        <v>27.34</v>
      </c>
      <c r="I11" s="55">
        <v>6.39</v>
      </c>
      <c r="J11" s="55">
        <v>0.28999999999999998</v>
      </c>
      <c r="K11" s="55">
        <v>310.33</v>
      </c>
      <c r="L11" s="55">
        <v>26.47</v>
      </c>
      <c r="M11" s="55">
        <v>95.14</v>
      </c>
      <c r="N11" s="55">
        <v>0</v>
      </c>
      <c r="O11" s="55">
        <v>0</v>
      </c>
      <c r="P11" s="55">
        <v>0.7</v>
      </c>
      <c r="Q11" s="55">
        <v>4.29</v>
      </c>
    </row>
    <row r="12" spans="1:21">
      <c r="A12" s="50" t="s">
        <v>422</v>
      </c>
      <c r="B12" s="55">
        <v>21.69</v>
      </c>
      <c r="C12" s="55">
        <v>26.85</v>
      </c>
      <c r="D12" s="55">
        <v>32.770000000000003</v>
      </c>
      <c r="E12" s="55">
        <v>8.19</v>
      </c>
      <c r="F12" s="55">
        <v>3.2</v>
      </c>
      <c r="G12" s="55">
        <v>69.11</v>
      </c>
      <c r="H12" s="55">
        <v>28.99</v>
      </c>
      <c r="I12" s="55">
        <v>6.65</v>
      </c>
      <c r="J12" s="55">
        <v>0.22</v>
      </c>
      <c r="K12" s="55">
        <v>143.15</v>
      </c>
      <c r="L12" s="55">
        <v>26.48</v>
      </c>
      <c r="M12" s="55">
        <v>95.19</v>
      </c>
      <c r="N12" s="55">
        <v>0</v>
      </c>
      <c r="O12" s="55">
        <v>0</v>
      </c>
      <c r="P12" s="55">
        <v>0.72</v>
      </c>
      <c r="Q12" s="55">
        <v>4.5</v>
      </c>
    </row>
    <row r="13" spans="1:21">
      <c r="A13" s="50" t="s">
        <v>423</v>
      </c>
      <c r="B13" s="55">
        <v>22.47</v>
      </c>
      <c r="C13" s="55">
        <v>27.89</v>
      </c>
      <c r="D13" s="55">
        <v>33.9</v>
      </c>
      <c r="E13" s="55">
        <v>7.97</v>
      </c>
      <c r="F13" s="55">
        <v>3.04</v>
      </c>
      <c r="G13" s="55">
        <v>67.099999999999994</v>
      </c>
      <c r="H13" s="55">
        <v>28.99</v>
      </c>
      <c r="I13" s="55">
        <v>6.51</v>
      </c>
      <c r="J13" s="55">
        <v>0.28000000000000003</v>
      </c>
      <c r="K13" s="55">
        <v>126.89</v>
      </c>
      <c r="L13" s="55">
        <v>26.23</v>
      </c>
      <c r="M13" s="55">
        <v>94.09</v>
      </c>
      <c r="N13" s="55">
        <v>0</v>
      </c>
      <c r="O13" s="55">
        <v>0</v>
      </c>
      <c r="P13" s="55">
        <v>0.71</v>
      </c>
      <c r="Q13" s="55">
        <v>4.5999999999999996</v>
      </c>
    </row>
    <row r="14" spans="1:21">
      <c r="A14" s="50" t="s">
        <v>424</v>
      </c>
      <c r="B14" s="55">
        <v>23.62</v>
      </c>
      <c r="C14" s="55">
        <v>28.72</v>
      </c>
      <c r="D14" s="55">
        <v>35.299999999999997</v>
      </c>
      <c r="E14" s="55">
        <v>8.24</v>
      </c>
      <c r="F14" s="55">
        <v>2.7</v>
      </c>
      <c r="G14" s="55">
        <v>56.76</v>
      </c>
      <c r="H14" s="55">
        <v>24.88</v>
      </c>
      <c r="I14" s="55">
        <v>6.38</v>
      </c>
      <c r="J14" s="55">
        <v>0.17</v>
      </c>
      <c r="K14" s="55">
        <v>182.18</v>
      </c>
      <c r="L14" s="55">
        <v>26.15</v>
      </c>
      <c r="M14" s="55">
        <v>95.15</v>
      </c>
      <c r="N14" s="55">
        <v>0</v>
      </c>
      <c r="O14" s="55">
        <v>0</v>
      </c>
      <c r="P14" s="55">
        <v>0.68</v>
      </c>
      <c r="Q14" s="55">
        <v>4.6900000000000004</v>
      </c>
    </row>
    <row r="15" spans="1:21">
      <c r="A15" s="50" t="s">
        <v>425</v>
      </c>
      <c r="B15" s="55">
        <v>25.69</v>
      </c>
      <c r="C15" s="55">
        <v>29.41</v>
      </c>
      <c r="D15" s="55">
        <v>37.32</v>
      </c>
      <c r="E15" s="55">
        <v>8.52</v>
      </c>
      <c r="F15" s="55">
        <v>2.64</v>
      </c>
      <c r="G15" s="55">
        <v>51.33</v>
      </c>
      <c r="H15" s="55">
        <v>24.88</v>
      </c>
      <c r="I15" s="55">
        <v>6.25</v>
      </c>
      <c r="J15" s="55">
        <v>0.21</v>
      </c>
      <c r="K15" s="55">
        <v>168.39</v>
      </c>
      <c r="L15" s="55">
        <v>26.6</v>
      </c>
      <c r="M15" s="55">
        <v>94.8</v>
      </c>
      <c r="N15" s="55">
        <v>43.2</v>
      </c>
      <c r="O15" s="55">
        <v>0</v>
      </c>
      <c r="P15" s="55">
        <v>0.67</v>
      </c>
      <c r="Q15" s="55">
        <v>4.7699999999999996</v>
      </c>
    </row>
    <row r="16" spans="1:21">
      <c r="A16" s="50" t="s">
        <v>426</v>
      </c>
      <c r="B16" s="55">
        <v>26.5</v>
      </c>
      <c r="C16" s="55">
        <v>29.48</v>
      </c>
      <c r="D16" s="55">
        <v>37.86</v>
      </c>
      <c r="E16" s="55">
        <v>8.5399999999999991</v>
      </c>
      <c r="F16" s="55">
        <v>2.78</v>
      </c>
      <c r="G16" s="55">
        <v>48.43</v>
      </c>
      <c r="H16" s="55">
        <v>22.68</v>
      </c>
      <c r="I16" s="55">
        <v>6.34</v>
      </c>
      <c r="J16" s="55">
        <v>0.54</v>
      </c>
      <c r="K16" s="55">
        <v>46.18</v>
      </c>
      <c r="L16" s="55">
        <v>27.66</v>
      </c>
      <c r="M16" s="55">
        <v>92.26</v>
      </c>
      <c r="N16" s="55">
        <v>138.30000000000001</v>
      </c>
      <c r="O16" s="55">
        <v>0</v>
      </c>
      <c r="P16" s="55">
        <v>0.68</v>
      </c>
      <c r="Q16" s="55">
        <v>4.82</v>
      </c>
    </row>
    <row r="17" spans="1:17">
      <c r="A17" s="50" t="s">
        <v>427</v>
      </c>
      <c r="B17" s="55">
        <v>26.8</v>
      </c>
      <c r="C17" s="55">
        <v>29.56</v>
      </c>
      <c r="D17" s="55">
        <v>38.200000000000003</v>
      </c>
      <c r="E17" s="55">
        <v>9.06</v>
      </c>
      <c r="F17" s="55">
        <v>4.55</v>
      </c>
      <c r="G17" s="55">
        <v>54.16</v>
      </c>
      <c r="H17" s="55">
        <v>21.77</v>
      </c>
      <c r="I17" s="55">
        <v>6.31</v>
      </c>
      <c r="J17" s="55">
        <v>0.42</v>
      </c>
      <c r="K17" s="55">
        <v>58.64</v>
      </c>
      <c r="L17" s="55">
        <v>29.54</v>
      </c>
      <c r="M17" s="55">
        <v>88.88</v>
      </c>
      <c r="N17" s="55">
        <v>327.10000000000002</v>
      </c>
      <c r="O17" s="55">
        <v>0</v>
      </c>
      <c r="P17" s="55">
        <v>0.68</v>
      </c>
      <c r="Q17" s="55">
        <v>4.8499999999999996</v>
      </c>
    </row>
    <row r="18" spans="1:17">
      <c r="A18" s="50" t="s">
        <v>428</v>
      </c>
      <c r="B18" s="55">
        <v>26.11</v>
      </c>
      <c r="C18" s="55">
        <v>24.23</v>
      </c>
      <c r="D18" s="55">
        <v>34.85</v>
      </c>
      <c r="E18" s="55">
        <v>13.06</v>
      </c>
      <c r="F18" s="55">
        <v>6.82</v>
      </c>
      <c r="G18" s="55">
        <v>59.86</v>
      </c>
      <c r="H18" s="55">
        <v>25.28</v>
      </c>
      <c r="I18" s="55">
        <v>6.12</v>
      </c>
      <c r="J18" s="55">
        <v>0.4</v>
      </c>
      <c r="K18" s="55">
        <v>118.88</v>
      </c>
      <c r="L18" s="55">
        <v>30.9</v>
      </c>
      <c r="M18" s="55">
        <v>82.06</v>
      </c>
      <c r="N18" s="55">
        <v>392.4</v>
      </c>
      <c r="O18" s="55">
        <v>0</v>
      </c>
      <c r="P18" s="55">
        <v>0.66</v>
      </c>
      <c r="Q18" s="55">
        <v>4.7300000000000004</v>
      </c>
    </row>
    <row r="19" spans="1:17">
      <c r="A19" s="50" t="s">
        <v>429</v>
      </c>
      <c r="B19" s="55">
        <v>24.27</v>
      </c>
      <c r="C19" s="55">
        <v>23.97</v>
      </c>
      <c r="D19" s="55">
        <v>33.33</v>
      </c>
      <c r="E19" s="55">
        <v>14.98</v>
      </c>
      <c r="F19" s="55">
        <v>8.86</v>
      </c>
      <c r="G19" s="55">
        <v>59.86</v>
      </c>
      <c r="H19" s="55">
        <v>25.28</v>
      </c>
      <c r="I19" s="55">
        <v>6</v>
      </c>
      <c r="J19" s="55">
        <v>0.22</v>
      </c>
      <c r="K19" s="55">
        <v>153.13999999999999</v>
      </c>
      <c r="L19" s="55">
        <v>32.090000000000003</v>
      </c>
      <c r="M19" s="55">
        <v>77.12</v>
      </c>
      <c r="N19" s="55">
        <v>581.6</v>
      </c>
      <c r="O19" s="55">
        <v>0</v>
      </c>
      <c r="P19" s="55">
        <v>0.65</v>
      </c>
      <c r="Q19" s="55">
        <v>4.5999999999999996</v>
      </c>
    </row>
    <row r="20" spans="1:17">
      <c r="A20" s="50" t="s">
        <v>430</v>
      </c>
      <c r="B20" s="55">
        <v>20.3</v>
      </c>
      <c r="C20" s="55">
        <v>24.04</v>
      </c>
      <c r="D20" s="55">
        <v>30.01</v>
      </c>
      <c r="E20" s="55">
        <v>14.73</v>
      </c>
      <c r="F20" s="55">
        <v>8.11</v>
      </c>
      <c r="G20" s="55">
        <v>57.15</v>
      </c>
      <c r="H20" s="55">
        <v>26.6</v>
      </c>
      <c r="I20" s="55">
        <v>5.8</v>
      </c>
      <c r="J20" s="55">
        <v>1.36</v>
      </c>
      <c r="K20" s="55">
        <v>62.24</v>
      </c>
      <c r="L20" s="55">
        <v>32.47</v>
      </c>
      <c r="M20" s="55">
        <v>78.84</v>
      </c>
      <c r="N20" s="55">
        <v>453.9</v>
      </c>
      <c r="O20" s="55">
        <v>0</v>
      </c>
      <c r="P20" s="55">
        <v>0.62</v>
      </c>
      <c r="Q20" s="55">
        <v>4.38</v>
      </c>
    </row>
    <row r="21" spans="1:17">
      <c r="A21" s="50" t="s">
        <v>431</v>
      </c>
      <c r="B21" s="55">
        <v>18</v>
      </c>
      <c r="C21" s="55">
        <v>23.89</v>
      </c>
      <c r="D21" s="55">
        <v>27.86</v>
      </c>
      <c r="E21" s="55">
        <v>9.43</v>
      </c>
      <c r="F21" s="55">
        <v>8.2799999999999994</v>
      </c>
      <c r="G21" s="55">
        <v>57.15</v>
      </c>
      <c r="H21" s="55">
        <v>26.6</v>
      </c>
      <c r="I21" s="55">
        <v>5.47</v>
      </c>
      <c r="J21" s="55">
        <v>0.93</v>
      </c>
      <c r="K21" s="55">
        <v>346.49</v>
      </c>
      <c r="L21" s="55">
        <v>30.94</v>
      </c>
      <c r="M21" s="55">
        <v>78.13</v>
      </c>
      <c r="N21" s="55">
        <v>684.9</v>
      </c>
      <c r="O21" s="55">
        <v>0</v>
      </c>
      <c r="P21" s="55">
        <v>0.57999999999999996</v>
      </c>
      <c r="Q21" s="55">
        <v>4.16</v>
      </c>
    </row>
    <row r="22" spans="1:17">
      <c r="A22" s="50" t="s">
        <v>432</v>
      </c>
      <c r="B22" s="55">
        <v>16.07</v>
      </c>
      <c r="C22" s="55">
        <v>28.76</v>
      </c>
      <c r="D22" s="55">
        <v>29.27</v>
      </c>
      <c r="E22" s="55">
        <v>24.05</v>
      </c>
      <c r="F22" s="55">
        <v>6.89</v>
      </c>
      <c r="G22" s="55">
        <v>49.58</v>
      </c>
      <c r="H22" s="55">
        <v>18.04</v>
      </c>
      <c r="I22" s="55">
        <v>5.22</v>
      </c>
      <c r="J22" s="55">
        <v>0.85</v>
      </c>
      <c r="K22" s="55">
        <v>24.08</v>
      </c>
      <c r="L22" s="55">
        <v>31.39</v>
      </c>
      <c r="M22" s="55">
        <v>70.819999999999993</v>
      </c>
      <c r="N22" s="55">
        <v>622.9</v>
      </c>
      <c r="O22" s="55">
        <v>0</v>
      </c>
      <c r="P22" s="55">
        <v>0.65</v>
      </c>
      <c r="Q22" s="55">
        <v>4.09</v>
      </c>
    </row>
    <row r="23" spans="1:17">
      <c r="A23" s="50" t="s">
        <v>433</v>
      </c>
      <c r="B23" s="55">
        <v>16.059999999999999</v>
      </c>
      <c r="C23" s="55">
        <v>29.58</v>
      </c>
      <c r="D23" s="55">
        <v>29.61</v>
      </c>
      <c r="E23" s="55">
        <v>22.68</v>
      </c>
      <c r="F23" s="55">
        <v>8.6999999999999993</v>
      </c>
      <c r="G23" s="55">
        <v>65.010000000000005</v>
      </c>
      <c r="H23" s="55">
        <v>24.48</v>
      </c>
      <c r="I23" s="55">
        <v>5.25</v>
      </c>
      <c r="J23" s="55">
        <v>0.77</v>
      </c>
      <c r="K23" s="55">
        <v>35.39</v>
      </c>
      <c r="L23" s="55">
        <v>31.49</v>
      </c>
      <c r="M23" s="55">
        <v>74.150000000000006</v>
      </c>
      <c r="N23" s="55">
        <v>443.2</v>
      </c>
      <c r="O23" s="55">
        <v>0</v>
      </c>
      <c r="P23" s="55">
        <v>0.7</v>
      </c>
      <c r="Q23" s="55">
        <v>4.1399999999999997</v>
      </c>
    </row>
    <row r="24" spans="1:17">
      <c r="A24" s="50" t="s">
        <v>434</v>
      </c>
      <c r="B24" s="55">
        <v>15.63</v>
      </c>
      <c r="C24" s="55">
        <v>31.99</v>
      </c>
      <c r="D24" s="55">
        <v>30.6</v>
      </c>
      <c r="E24" s="55">
        <v>16.09</v>
      </c>
      <c r="F24" s="55">
        <v>8.9499999999999993</v>
      </c>
      <c r="G24" s="55">
        <v>80.06</v>
      </c>
      <c r="H24" s="55">
        <v>26.94</v>
      </c>
      <c r="I24" s="55">
        <v>5.29</v>
      </c>
      <c r="J24" s="55">
        <v>0.37</v>
      </c>
      <c r="K24" s="55">
        <v>33.549999999999997</v>
      </c>
      <c r="L24" s="55">
        <v>30.38</v>
      </c>
      <c r="M24" s="55">
        <v>78.290000000000006</v>
      </c>
      <c r="N24" s="55">
        <v>96.5</v>
      </c>
      <c r="O24" s="55">
        <v>0</v>
      </c>
      <c r="P24" s="55">
        <v>0.76</v>
      </c>
      <c r="Q24" s="55">
        <v>4.1399999999999997</v>
      </c>
    </row>
    <row r="25" spans="1:17">
      <c r="A25" s="50" t="s">
        <v>435</v>
      </c>
      <c r="B25" s="55">
        <v>17.36</v>
      </c>
      <c r="C25" s="55">
        <v>33.590000000000003</v>
      </c>
      <c r="D25" s="55">
        <v>32.83</v>
      </c>
      <c r="E25" s="55">
        <v>13.6</v>
      </c>
      <c r="F25" s="55">
        <v>8.32</v>
      </c>
      <c r="G25" s="55">
        <v>80.06</v>
      </c>
      <c r="H25" s="55">
        <v>27.94</v>
      </c>
      <c r="I25" s="55">
        <v>5.35</v>
      </c>
      <c r="J25" s="55">
        <v>0.34</v>
      </c>
      <c r="K25" s="55">
        <v>33.200000000000003</v>
      </c>
      <c r="L25" s="55">
        <v>30.17</v>
      </c>
      <c r="M25" s="55">
        <v>85.11</v>
      </c>
      <c r="N25" s="55">
        <v>39.799999999999997</v>
      </c>
      <c r="O25" s="55">
        <v>0</v>
      </c>
      <c r="P25" s="55">
        <v>0.79</v>
      </c>
      <c r="Q25" s="55">
        <v>4.24</v>
      </c>
    </row>
    <row r="26" spans="1:17">
      <c r="A26" s="50" t="s">
        <v>436</v>
      </c>
      <c r="B26" s="55">
        <v>17.98</v>
      </c>
      <c r="C26" s="55">
        <v>34.020000000000003</v>
      </c>
      <c r="D26" s="55">
        <v>33.54</v>
      </c>
      <c r="E26" s="55">
        <v>14.08</v>
      </c>
      <c r="F26" s="55">
        <v>4.62</v>
      </c>
      <c r="G26" s="55">
        <v>88.74</v>
      </c>
      <c r="H26" s="55">
        <v>30.36</v>
      </c>
      <c r="I26" s="55">
        <v>5.63</v>
      </c>
      <c r="J26" s="55">
        <v>0.3</v>
      </c>
      <c r="K26" s="55">
        <v>309.61</v>
      </c>
      <c r="L26" s="55">
        <v>29.31</v>
      </c>
      <c r="M26" s="55">
        <v>87.7</v>
      </c>
      <c r="N26" s="55">
        <v>7.4</v>
      </c>
      <c r="O26" s="55">
        <v>0</v>
      </c>
      <c r="P26" s="55">
        <v>0.86</v>
      </c>
      <c r="Q26" s="55">
        <v>4.3499999999999996</v>
      </c>
    </row>
    <row r="27" spans="1:17">
      <c r="A27" s="50" t="s">
        <v>437</v>
      </c>
      <c r="B27" s="55">
        <v>18.68</v>
      </c>
      <c r="C27" s="55">
        <v>32.68</v>
      </c>
      <c r="D27" s="55">
        <v>33.200000000000003</v>
      </c>
      <c r="E27" s="55">
        <v>8.33</v>
      </c>
      <c r="F27" s="55">
        <v>4.03</v>
      </c>
      <c r="G27" s="55">
        <v>88.74</v>
      </c>
      <c r="H27" s="55">
        <v>30.36</v>
      </c>
      <c r="I27" s="55">
        <v>5.93</v>
      </c>
      <c r="J27" s="55">
        <v>0.92</v>
      </c>
      <c r="K27" s="55">
        <v>262.39999999999998</v>
      </c>
      <c r="L27" s="55">
        <v>27.72</v>
      </c>
      <c r="M27" s="55">
        <v>86.2</v>
      </c>
      <c r="N27" s="55">
        <v>0</v>
      </c>
      <c r="O27" s="55">
        <v>0</v>
      </c>
      <c r="P27" s="55">
        <v>0.84</v>
      </c>
      <c r="Q27" s="55">
        <v>4.3600000000000003</v>
      </c>
    </row>
    <row r="28" spans="1:17">
      <c r="A28" s="50" t="s">
        <v>438</v>
      </c>
      <c r="B28" s="55">
        <v>17.91</v>
      </c>
      <c r="C28" s="55">
        <v>27.02</v>
      </c>
      <c r="D28" s="55">
        <v>29.31</v>
      </c>
      <c r="E28" s="55">
        <v>6.14</v>
      </c>
      <c r="F28" s="55">
        <v>3.88</v>
      </c>
      <c r="G28" s="55">
        <v>65.77</v>
      </c>
      <c r="H28" s="55">
        <v>21.33</v>
      </c>
      <c r="I28" s="55">
        <v>5.69</v>
      </c>
      <c r="J28" s="55">
        <v>0.15</v>
      </c>
      <c r="K28" s="55">
        <v>203.44</v>
      </c>
      <c r="L28" s="55">
        <v>25.35</v>
      </c>
      <c r="M28" s="55">
        <v>90.15</v>
      </c>
      <c r="N28" s="55">
        <v>0</v>
      </c>
      <c r="O28" s="55">
        <v>0</v>
      </c>
      <c r="P28" s="55">
        <v>0.72</v>
      </c>
      <c r="Q28" s="55">
        <v>4.18</v>
      </c>
    </row>
    <row r="29" spans="1:17">
      <c r="A29" s="50" t="s">
        <v>439</v>
      </c>
      <c r="B29" s="55">
        <v>17.489999999999998</v>
      </c>
      <c r="C29" s="55">
        <v>26.58</v>
      </c>
      <c r="D29" s="55">
        <v>29.26</v>
      </c>
      <c r="E29" s="55">
        <v>5.89</v>
      </c>
      <c r="F29" s="55">
        <v>3.86</v>
      </c>
      <c r="G29" s="55">
        <v>36.31</v>
      </c>
      <c r="H29" s="55">
        <v>13.25</v>
      </c>
      <c r="I29" s="55">
        <v>5.49</v>
      </c>
      <c r="J29" s="55">
        <v>0.16</v>
      </c>
      <c r="K29" s="55">
        <v>341.58</v>
      </c>
      <c r="L29" s="55">
        <v>24.83</v>
      </c>
      <c r="M29" s="55">
        <v>93.44</v>
      </c>
      <c r="N29" s="55">
        <v>0</v>
      </c>
      <c r="O29" s="55">
        <v>0.2</v>
      </c>
      <c r="P29" s="55">
        <v>0.7</v>
      </c>
      <c r="Q29" s="55">
        <v>4.1399999999999997</v>
      </c>
    </row>
    <row r="30" spans="1:17">
      <c r="A30" s="50" t="s">
        <v>440</v>
      </c>
      <c r="B30" s="55">
        <v>19.64</v>
      </c>
      <c r="C30" s="55">
        <v>27.26</v>
      </c>
      <c r="D30" s="55">
        <v>31.34</v>
      </c>
      <c r="E30" s="55">
        <v>6.06</v>
      </c>
      <c r="F30" s="55">
        <v>3.48</v>
      </c>
      <c r="G30" s="55">
        <v>30.6</v>
      </c>
      <c r="H30" s="55">
        <v>13.25</v>
      </c>
      <c r="I30" s="55">
        <v>5.34</v>
      </c>
      <c r="J30" s="55">
        <v>0.15</v>
      </c>
      <c r="K30" s="55">
        <v>355.34</v>
      </c>
      <c r="L30" s="55">
        <v>24.93</v>
      </c>
      <c r="M30" s="55">
        <v>95.04</v>
      </c>
      <c r="N30" s="55">
        <v>0</v>
      </c>
      <c r="O30" s="55">
        <v>0.2</v>
      </c>
      <c r="P30" s="55">
        <v>0.7</v>
      </c>
      <c r="Q30" s="55">
        <v>4.25</v>
      </c>
    </row>
    <row r="31" spans="1:17">
      <c r="A31" s="50" t="s">
        <v>441</v>
      </c>
      <c r="B31" s="55">
        <v>19.87</v>
      </c>
      <c r="C31" s="55">
        <v>27.17</v>
      </c>
      <c r="D31" s="55">
        <v>31.34</v>
      </c>
      <c r="E31" s="55">
        <v>6.26</v>
      </c>
      <c r="F31" s="55">
        <v>3.32</v>
      </c>
      <c r="G31" s="55">
        <v>27.26</v>
      </c>
      <c r="H31" s="55">
        <v>12.1</v>
      </c>
      <c r="I31" s="55">
        <v>5.26</v>
      </c>
      <c r="J31" s="55">
        <v>0.21</v>
      </c>
      <c r="K31" s="55">
        <v>254.66</v>
      </c>
      <c r="L31" s="55">
        <v>24.81</v>
      </c>
      <c r="M31" s="55">
        <v>97.85</v>
      </c>
      <c r="N31" s="55">
        <v>0</v>
      </c>
      <c r="O31" s="55">
        <v>0.6</v>
      </c>
      <c r="P31" s="55">
        <v>0.68</v>
      </c>
      <c r="Q31" s="55">
        <v>4.3</v>
      </c>
    </row>
    <row r="32" spans="1:17">
      <c r="A32" s="50" t="s">
        <v>442</v>
      </c>
      <c r="B32" s="55">
        <v>19.3</v>
      </c>
      <c r="C32" s="55">
        <v>27.75</v>
      </c>
      <c r="D32" s="55">
        <v>31.04</v>
      </c>
      <c r="E32" s="55">
        <v>6.43</v>
      </c>
      <c r="F32" s="55">
        <v>2.74</v>
      </c>
      <c r="G32" s="55">
        <v>27.26</v>
      </c>
      <c r="H32" s="55">
        <v>11.51</v>
      </c>
      <c r="I32" s="55">
        <v>5.16</v>
      </c>
      <c r="J32" s="55">
        <v>0.18</v>
      </c>
      <c r="K32" s="55">
        <v>212.36</v>
      </c>
      <c r="L32" s="55">
        <v>25.06</v>
      </c>
      <c r="M32" s="55">
        <v>98.09</v>
      </c>
      <c r="N32" s="55">
        <v>0</v>
      </c>
      <c r="O32" s="55">
        <v>0</v>
      </c>
      <c r="P32" s="55">
        <v>0.67</v>
      </c>
      <c r="Q32" s="55">
        <v>4.28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14.9</v>
      </c>
      <c r="C34" s="40">
        <f t="shared" si="0"/>
        <v>21.08</v>
      </c>
      <c r="D34" s="40">
        <f t="shared" si="0"/>
        <v>24.31</v>
      </c>
      <c r="E34" s="40">
        <f t="shared" si="0"/>
        <v>5.89</v>
      </c>
      <c r="F34" s="40">
        <f t="shared" si="0"/>
        <v>2.64</v>
      </c>
      <c r="G34" s="40">
        <f t="shared" si="0"/>
        <v>27.26</v>
      </c>
      <c r="H34" s="40">
        <f t="shared" si="0"/>
        <v>11.51</v>
      </c>
      <c r="I34" s="40">
        <f t="shared" si="0"/>
        <v>5.16</v>
      </c>
      <c r="J34" s="40">
        <f t="shared" si="0"/>
        <v>0.13</v>
      </c>
      <c r="K34" s="40">
        <f t="shared" si="0"/>
        <v>24.08</v>
      </c>
      <c r="L34" s="40">
        <f t="shared" si="0"/>
        <v>24.81</v>
      </c>
      <c r="M34" s="40">
        <f t="shared" si="0"/>
        <v>70.819999999999993</v>
      </c>
      <c r="N34" s="40">
        <f t="shared" si="0"/>
        <v>0</v>
      </c>
      <c r="O34" s="40">
        <f t="shared" si="0"/>
        <v>0</v>
      </c>
      <c r="P34" s="40">
        <f t="shared" si="0"/>
        <v>0.57999999999999996</v>
      </c>
      <c r="Q34" s="40">
        <f t="shared" si="0"/>
        <v>4.09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26.8</v>
      </c>
      <c r="C35" s="33">
        <f t="shared" si="1"/>
        <v>34.020000000000003</v>
      </c>
      <c r="D35" s="33">
        <f t="shared" si="1"/>
        <v>38.200000000000003</v>
      </c>
      <c r="E35" s="33">
        <f t="shared" si="1"/>
        <v>24.05</v>
      </c>
      <c r="F35" s="33">
        <f t="shared" si="1"/>
        <v>8.9499999999999993</v>
      </c>
      <c r="G35" s="33">
        <f t="shared" si="1"/>
        <v>88.74</v>
      </c>
      <c r="H35" s="33">
        <f t="shared" si="1"/>
        <v>30.36</v>
      </c>
      <c r="I35" s="33">
        <f t="shared" si="1"/>
        <v>6.65</v>
      </c>
      <c r="J35" s="33">
        <f t="shared" si="1"/>
        <v>1.36</v>
      </c>
      <c r="K35" s="33">
        <f t="shared" si="1"/>
        <v>355.34</v>
      </c>
      <c r="L35" s="33">
        <f t="shared" si="1"/>
        <v>32.47</v>
      </c>
      <c r="M35" s="33">
        <f t="shared" si="1"/>
        <v>98.09</v>
      </c>
      <c r="N35" s="33">
        <f t="shared" si="1"/>
        <v>684.9</v>
      </c>
      <c r="O35" s="33">
        <f t="shared" si="1"/>
        <v>0.6</v>
      </c>
      <c r="P35" s="33">
        <f t="shared" si="1"/>
        <v>0.86</v>
      </c>
      <c r="Q35" s="33">
        <f t="shared" si="1"/>
        <v>4.8499999999999996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20.200000000000003</v>
      </c>
      <c r="C36" s="40">
        <f t="shared" si="2"/>
        <v>27.643749999999997</v>
      </c>
      <c r="D36" s="40">
        <f t="shared" si="2"/>
        <v>31.901666666666667</v>
      </c>
      <c r="E36" s="40">
        <f t="shared" si="2"/>
        <v>10.782083333333334</v>
      </c>
      <c r="F36" s="40">
        <f t="shared" si="2"/>
        <v>5.2404166666666665</v>
      </c>
      <c r="G36" s="40">
        <f t="shared" si="2"/>
        <v>57.570833333333326</v>
      </c>
      <c r="H36" s="40">
        <f t="shared" si="2"/>
        <v>23.531250000000004</v>
      </c>
      <c r="I36" s="40">
        <f t="shared" si="2"/>
        <v>5.8437499999999991</v>
      </c>
      <c r="J36" s="40">
        <f t="shared" si="2"/>
        <v>0.41</v>
      </c>
      <c r="K36" s="40">
        <f t="shared" si="2"/>
        <v>172.80375000000001</v>
      </c>
      <c r="L36" s="40">
        <f t="shared" si="2"/>
        <v>28.100416666666661</v>
      </c>
      <c r="M36" s="40">
        <f t="shared" si="2"/>
        <v>88.455416666666679</v>
      </c>
      <c r="N36" s="40">
        <f t="shared" si="2"/>
        <v>159.63333333333335</v>
      </c>
      <c r="O36" s="40">
        <f t="shared" si="2"/>
        <v>4.1666666666666664E-2</v>
      </c>
      <c r="P36" s="40">
        <f t="shared" si="2"/>
        <v>0.69874999999999998</v>
      </c>
      <c r="Q36" s="40">
        <f t="shared" si="2"/>
        <v>4.3833333333333329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3.6452816435591746</v>
      </c>
      <c r="C37" s="40">
        <f t="shared" ref="C37:Q37" si="3">STDEV(C9:C32)</f>
        <v>3.391849325637303</v>
      </c>
      <c r="D37" s="40">
        <f t="shared" si="3"/>
        <v>3.373583653426512</v>
      </c>
      <c r="E37" s="40">
        <f t="shared" si="3"/>
        <v>4.9638422873438621</v>
      </c>
      <c r="F37" s="40">
        <f t="shared" si="3"/>
        <v>2.3218648411524101</v>
      </c>
      <c r="G37" s="40">
        <f t="shared" si="3"/>
        <v>17.350430872150586</v>
      </c>
      <c r="H37" s="40">
        <f t="shared" si="3"/>
        <v>5.7673393100624066</v>
      </c>
      <c r="I37" s="40">
        <f t="shared" si="3"/>
        <v>0.48451510946961707</v>
      </c>
      <c r="J37" s="40">
        <f t="shared" si="3"/>
        <v>0.32178848035154478</v>
      </c>
      <c r="K37" s="40">
        <f t="shared" si="3"/>
        <v>109.34009610276033</v>
      </c>
      <c r="L37" s="40">
        <f t="shared" si="3"/>
        <v>2.5846730163503771</v>
      </c>
      <c r="M37" s="40">
        <f t="shared" si="3"/>
        <v>8.4260573993474459</v>
      </c>
      <c r="N37" s="40">
        <f t="shared" si="3"/>
        <v>235.82708784683501</v>
      </c>
      <c r="O37" s="40">
        <f t="shared" si="3"/>
        <v>0.13160106602801569</v>
      </c>
      <c r="P37" s="40">
        <f t="shared" si="3"/>
        <v>6.2922485094240518E-2</v>
      </c>
      <c r="Q37" s="40">
        <f t="shared" si="3"/>
        <v>0.24616478515270557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30/09/2023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443</v>
      </c>
      <c r="B9" s="55">
        <v>17.72</v>
      </c>
      <c r="C9" s="55">
        <v>27.98</v>
      </c>
      <c r="D9" s="55">
        <v>30.12</v>
      </c>
      <c r="E9" s="55">
        <v>6.61</v>
      </c>
      <c r="F9" s="55">
        <v>2.72</v>
      </c>
      <c r="G9" s="55">
        <v>25.62</v>
      </c>
      <c r="H9" s="55">
        <v>11.51</v>
      </c>
      <c r="I9" s="55">
        <v>5.0599999999999996</v>
      </c>
      <c r="J9" s="55">
        <v>0.17</v>
      </c>
      <c r="K9" s="55">
        <v>247.61</v>
      </c>
      <c r="L9" s="55">
        <v>24.97</v>
      </c>
      <c r="M9" s="55">
        <v>97.97</v>
      </c>
      <c r="N9" s="55">
        <v>0</v>
      </c>
      <c r="O9" s="55">
        <v>0</v>
      </c>
      <c r="P9" s="55">
        <v>0.69</v>
      </c>
      <c r="Q9" s="55">
        <v>4.3499999999999996</v>
      </c>
    </row>
    <row r="10" spans="1:21" customFormat="1">
      <c r="A10" s="50" t="s">
        <v>444</v>
      </c>
      <c r="B10" s="55">
        <v>17.690000000000001</v>
      </c>
      <c r="C10" s="55">
        <v>27.97</v>
      </c>
      <c r="D10" s="55">
        <v>30.08</v>
      </c>
      <c r="E10" s="55">
        <v>6.84</v>
      </c>
      <c r="F10" s="55">
        <v>2.46</v>
      </c>
      <c r="G10" s="55">
        <v>22.83</v>
      </c>
      <c r="H10" s="55">
        <v>10.86</v>
      </c>
      <c r="I10" s="55">
        <v>5.13</v>
      </c>
      <c r="J10" s="55">
        <v>0.15</v>
      </c>
      <c r="K10" s="55">
        <v>242.51</v>
      </c>
      <c r="L10" s="55">
        <v>24.9</v>
      </c>
      <c r="M10" s="55">
        <v>98.49</v>
      </c>
      <c r="N10" s="55">
        <v>0</v>
      </c>
      <c r="O10" s="55">
        <v>0</v>
      </c>
      <c r="P10" s="55">
        <v>0.68</v>
      </c>
      <c r="Q10" s="55">
        <v>4.37</v>
      </c>
    </row>
    <row r="11" spans="1:21" customFormat="1">
      <c r="A11" s="50" t="s">
        <v>445</v>
      </c>
      <c r="B11" s="55">
        <v>17.98</v>
      </c>
      <c r="C11" s="55">
        <v>28.21</v>
      </c>
      <c r="D11" s="55">
        <v>30.5</v>
      </c>
      <c r="E11" s="55">
        <v>8.16</v>
      </c>
      <c r="F11" s="55">
        <v>2.56</v>
      </c>
      <c r="G11" s="55">
        <v>19.600000000000001</v>
      </c>
      <c r="H11" s="55">
        <v>7.71</v>
      </c>
      <c r="I11" s="55">
        <v>5.23</v>
      </c>
      <c r="J11" s="55">
        <v>0.13</v>
      </c>
      <c r="K11" s="55">
        <v>220.54</v>
      </c>
      <c r="L11" s="55">
        <v>24.78</v>
      </c>
      <c r="M11" s="55">
        <v>99.53</v>
      </c>
      <c r="N11" s="55">
        <v>0</v>
      </c>
      <c r="O11" s="55">
        <v>0</v>
      </c>
      <c r="P11" s="55">
        <v>0.68</v>
      </c>
      <c r="Q11" s="55">
        <v>4.3899999999999997</v>
      </c>
    </row>
    <row r="12" spans="1:21" customFormat="1">
      <c r="A12" s="50" t="s">
        <v>446</v>
      </c>
      <c r="B12" s="55">
        <v>17.78</v>
      </c>
      <c r="C12" s="55">
        <v>28.32</v>
      </c>
      <c r="D12" s="55">
        <v>30.08</v>
      </c>
      <c r="E12" s="55">
        <v>8.2799999999999994</v>
      </c>
      <c r="F12" s="55">
        <v>2.4300000000000002</v>
      </c>
      <c r="G12" s="55">
        <v>18.920000000000002</v>
      </c>
      <c r="H12" s="55">
        <v>7.28</v>
      </c>
      <c r="I12" s="55">
        <v>5.15</v>
      </c>
      <c r="J12" s="55">
        <v>0.14000000000000001</v>
      </c>
      <c r="K12" s="55">
        <v>237.9</v>
      </c>
      <c r="L12" s="55">
        <v>24.54</v>
      </c>
      <c r="M12" s="55">
        <v>100.02</v>
      </c>
      <c r="N12" s="55">
        <v>0</v>
      </c>
      <c r="O12" s="55">
        <v>0</v>
      </c>
      <c r="P12" s="55">
        <v>0.64</v>
      </c>
      <c r="Q12" s="55">
        <v>4.3600000000000003</v>
      </c>
    </row>
    <row r="13" spans="1:21" customFormat="1">
      <c r="A13" s="50" t="s">
        <v>447</v>
      </c>
      <c r="B13" s="55">
        <v>18.96</v>
      </c>
      <c r="C13" s="55">
        <v>27.62</v>
      </c>
      <c r="D13" s="55">
        <v>30.08</v>
      </c>
      <c r="E13" s="55">
        <v>8.17</v>
      </c>
      <c r="F13" s="55">
        <v>3.36</v>
      </c>
      <c r="G13" s="55">
        <v>18.920000000000002</v>
      </c>
      <c r="H13" s="55">
        <v>7.28</v>
      </c>
      <c r="I13" s="55">
        <v>4.8600000000000003</v>
      </c>
      <c r="J13" s="55">
        <v>0.18</v>
      </c>
      <c r="K13" s="55">
        <v>214.63</v>
      </c>
      <c r="L13" s="55">
        <v>24.51</v>
      </c>
      <c r="M13" s="55">
        <v>101.15</v>
      </c>
      <c r="N13" s="55">
        <v>0</v>
      </c>
      <c r="O13" s="55">
        <v>0</v>
      </c>
      <c r="P13" s="55">
        <v>0.57999999999999996</v>
      </c>
      <c r="Q13" s="55">
        <v>4.37</v>
      </c>
    </row>
    <row r="14" spans="1:21" customFormat="1">
      <c r="A14" s="50" t="s">
        <v>448</v>
      </c>
      <c r="B14" s="55">
        <v>19.16</v>
      </c>
      <c r="C14" s="55">
        <v>24.08</v>
      </c>
      <c r="D14" s="55">
        <v>29.29</v>
      </c>
      <c r="E14" s="55">
        <v>6.88</v>
      </c>
      <c r="F14" s="55">
        <v>3.54</v>
      </c>
      <c r="G14" s="55">
        <v>16.91</v>
      </c>
      <c r="H14" s="55">
        <v>5.25</v>
      </c>
      <c r="I14" s="55">
        <v>4.78</v>
      </c>
      <c r="J14" s="55">
        <v>0.12</v>
      </c>
      <c r="K14" s="55">
        <v>232.17</v>
      </c>
      <c r="L14" s="55">
        <v>24.59</v>
      </c>
      <c r="M14" s="55">
        <v>99.3</v>
      </c>
      <c r="N14" s="55">
        <v>0</v>
      </c>
      <c r="O14" s="55">
        <v>0</v>
      </c>
      <c r="P14" s="55">
        <v>0.54</v>
      </c>
      <c r="Q14" s="55">
        <v>4.28</v>
      </c>
    </row>
    <row r="15" spans="1:21" customFormat="1">
      <c r="A15" s="50" t="s">
        <v>449</v>
      </c>
      <c r="B15" s="55">
        <v>20.02</v>
      </c>
      <c r="C15" s="55">
        <v>23.38</v>
      </c>
      <c r="D15" s="55">
        <v>29.29</v>
      </c>
      <c r="E15" s="55">
        <v>6.89</v>
      </c>
      <c r="F15" s="55">
        <v>3.21</v>
      </c>
      <c r="G15" s="55">
        <v>12.98</v>
      </c>
      <c r="H15" s="55">
        <v>6.48</v>
      </c>
      <c r="I15" s="55">
        <v>4.72</v>
      </c>
      <c r="J15" s="55">
        <v>0.31</v>
      </c>
      <c r="K15" s="55">
        <v>260.24</v>
      </c>
      <c r="L15" s="55">
        <v>24.74</v>
      </c>
      <c r="M15" s="55">
        <v>98.28</v>
      </c>
      <c r="N15" s="55">
        <v>18.600000000000001</v>
      </c>
      <c r="O15" s="55">
        <v>0</v>
      </c>
      <c r="P15" s="55">
        <v>0.52</v>
      </c>
      <c r="Q15" s="55">
        <v>4.3499999999999996</v>
      </c>
    </row>
    <row r="16" spans="1:21" customFormat="1">
      <c r="A16" s="50" t="s">
        <v>450</v>
      </c>
      <c r="B16" s="55">
        <v>20.14</v>
      </c>
      <c r="C16" s="55">
        <v>23.47</v>
      </c>
      <c r="D16" s="55">
        <v>29.65</v>
      </c>
      <c r="E16" s="55">
        <v>7.34</v>
      </c>
      <c r="F16" s="55">
        <v>3.29</v>
      </c>
      <c r="G16" s="55">
        <v>15.75</v>
      </c>
      <c r="H16" s="55">
        <v>6.48</v>
      </c>
      <c r="I16" s="55">
        <v>4.9400000000000004</v>
      </c>
      <c r="J16" s="55">
        <v>0.3</v>
      </c>
      <c r="K16" s="55">
        <v>265.68</v>
      </c>
      <c r="L16" s="55">
        <v>25.24</v>
      </c>
      <c r="M16" s="55">
        <v>98.75</v>
      </c>
      <c r="N16" s="55">
        <v>88.8</v>
      </c>
      <c r="O16" s="55">
        <v>0</v>
      </c>
      <c r="P16" s="55">
        <v>0.54</v>
      </c>
      <c r="Q16" s="55">
        <v>4.37</v>
      </c>
    </row>
    <row r="17" spans="1:17" customFormat="1">
      <c r="A17" s="50" t="s">
        <v>451</v>
      </c>
      <c r="B17" s="55">
        <v>20.16</v>
      </c>
      <c r="C17" s="55">
        <v>23.33</v>
      </c>
      <c r="D17" s="55">
        <v>29.71</v>
      </c>
      <c r="E17" s="55">
        <v>7.05</v>
      </c>
      <c r="F17" s="55">
        <v>3.18</v>
      </c>
      <c r="G17" s="55">
        <v>21.61</v>
      </c>
      <c r="H17" s="55">
        <v>7.23</v>
      </c>
      <c r="I17" s="55">
        <v>5.18</v>
      </c>
      <c r="J17" s="55">
        <v>0.35</v>
      </c>
      <c r="K17" s="55">
        <v>265.18</v>
      </c>
      <c r="L17" s="55">
        <v>26.84</v>
      </c>
      <c r="M17" s="55">
        <v>94.56</v>
      </c>
      <c r="N17" s="55">
        <v>295.7</v>
      </c>
      <c r="O17" s="55">
        <v>0</v>
      </c>
      <c r="P17" s="55">
        <v>0.57999999999999996</v>
      </c>
      <c r="Q17" s="55">
        <v>4.3600000000000003</v>
      </c>
    </row>
    <row r="18" spans="1:17" customFormat="1">
      <c r="A18" s="50" t="s">
        <v>452</v>
      </c>
      <c r="B18" s="55">
        <v>18.670000000000002</v>
      </c>
      <c r="C18" s="55">
        <v>24.58</v>
      </c>
      <c r="D18" s="55">
        <v>28.35</v>
      </c>
      <c r="E18" s="55">
        <v>6.69</v>
      </c>
      <c r="F18" s="55">
        <v>3.09</v>
      </c>
      <c r="G18" s="55">
        <v>26.22</v>
      </c>
      <c r="H18" s="55">
        <v>10.32</v>
      </c>
      <c r="I18" s="55">
        <v>5.37</v>
      </c>
      <c r="J18" s="55">
        <v>0.31</v>
      </c>
      <c r="K18" s="55">
        <v>266.27999999999997</v>
      </c>
      <c r="L18" s="55">
        <v>28.84</v>
      </c>
      <c r="M18" s="55">
        <v>85.27</v>
      </c>
      <c r="N18" s="55">
        <v>349.3</v>
      </c>
      <c r="O18" s="55">
        <v>0</v>
      </c>
      <c r="P18" s="55">
        <v>0.61</v>
      </c>
      <c r="Q18" s="55">
        <v>4.22</v>
      </c>
    </row>
    <row r="19" spans="1:17" customFormat="1">
      <c r="A19" s="50" t="s">
        <v>453</v>
      </c>
      <c r="B19" s="55">
        <v>15.55</v>
      </c>
      <c r="C19" s="55">
        <v>25.74</v>
      </c>
      <c r="D19" s="55">
        <v>26.83</v>
      </c>
      <c r="E19" s="55">
        <v>8.2899999999999991</v>
      </c>
      <c r="F19" s="55">
        <v>3</v>
      </c>
      <c r="G19" s="55">
        <v>26.22</v>
      </c>
      <c r="H19" s="55">
        <v>12.15</v>
      </c>
      <c r="I19" s="55">
        <v>5.48</v>
      </c>
      <c r="J19" s="55">
        <v>0.28000000000000003</v>
      </c>
      <c r="K19" s="55">
        <v>262.39999999999998</v>
      </c>
      <c r="L19" s="55">
        <v>29.97</v>
      </c>
      <c r="M19" s="55">
        <v>80.8</v>
      </c>
      <c r="N19" s="55">
        <v>435.3</v>
      </c>
      <c r="O19" s="55">
        <v>0</v>
      </c>
      <c r="P19" s="55">
        <v>0.66</v>
      </c>
      <c r="Q19" s="55">
        <v>4.12</v>
      </c>
    </row>
    <row r="20" spans="1:17" customFormat="1">
      <c r="A20" s="50" t="s">
        <v>454</v>
      </c>
      <c r="B20" s="55">
        <v>12.34</v>
      </c>
      <c r="C20" s="55">
        <v>26.32</v>
      </c>
      <c r="D20" s="55">
        <v>24.79</v>
      </c>
      <c r="E20" s="55">
        <v>8.82</v>
      </c>
      <c r="F20" s="55">
        <v>4.45</v>
      </c>
      <c r="G20" s="55">
        <v>37.26</v>
      </c>
      <c r="H20" s="55">
        <v>16.260000000000002</v>
      </c>
      <c r="I20" s="55">
        <v>6.1</v>
      </c>
      <c r="J20" s="55">
        <v>0.28999999999999998</v>
      </c>
      <c r="K20" s="55">
        <v>341.48</v>
      </c>
      <c r="L20" s="55">
        <v>30.74</v>
      </c>
      <c r="M20" s="55">
        <v>75.510000000000005</v>
      </c>
      <c r="N20" s="55">
        <v>536.5</v>
      </c>
      <c r="O20" s="55">
        <v>0</v>
      </c>
      <c r="P20" s="55">
        <v>0.79</v>
      </c>
      <c r="Q20" s="55">
        <v>4</v>
      </c>
    </row>
    <row r="21" spans="1:17" customFormat="1">
      <c r="A21" s="50" t="s">
        <v>455</v>
      </c>
      <c r="B21" s="55">
        <v>8.6300000000000008</v>
      </c>
      <c r="C21" s="55">
        <v>25.36</v>
      </c>
      <c r="D21" s="55">
        <v>21.52</v>
      </c>
      <c r="E21" s="55">
        <v>8.86</v>
      </c>
      <c r="F21" s="55">
        <v>6.6</v>
      </c>
      <c r="G21" s="55">
        <v>53.58</v>
      </c>
      <c r="H21" s="55">
        <v>20.71</v>
      </c>
      <c r="I21" s="55">
        <v>6.99</v>
      </c>
      <c r="J21" s="55">
        <v>0.4</v>
      </c>
      <c r="K21" s="55">
        <v>289.37</v>
      </c>
      <c r="L21" s="55">
        <v>31.6</v>
      </c>
      <c r="M21" s="55">
        <v>74.7</v>
      </c>
      <c r="N21" s="55">
        <v>568.9</v>
      </c>
      <c r="O21" s="55">
        <v>0</v>
      </c>
      <c r="P21" s="55">
        <v>0.84</v>
      </c>
      <c r="Q21" s="55">
        <v>3.83</v>
      </c>
    </row>
    <row r="22" spans="1:17" customFormat="1">
      <c r="A22" s="50" t="s">
        <v>456</v>
      </c>
      <c r="B22" s="55">
        <v>5.2</v>
      </c>
      <c r="C22" s="55">
        <v>26.21</v>
      </c>
      <c r="D22" s="55">
        <v>18.68</v>
      </c>
      <c r="E22" s="55">
        <v>9.14</v>
      </c>
      <c r="F22" s="55">
        <v>8.86</v>
      </c>
      <c r="G22" s="55">
        <v>59.83</v>
      </c>
      <c r="H22" s="55">
        <v>20.71</v>
      </c>
      <c r="I22" s="55">
        <v>7.49</v>
      </c>
      <c r="J22" s="55">
        <v>0.25</v>
      </c>
      <c r="K22" s="55">
        <v>279.44</v>
      </c>
      <c r="L22" s="55">
        <v>32.08</v>
      </c>
      <c r="M22" s="55">
        <v>74.31</v>
      </c>
      <c r="N22" s="55">
        <v>481.8</v>
      </c>
      <c r="O22" s="55">
        <v>0</v>
      </c>
      <c r="P22" s="55">
        <v>0.9</v>
      </c>
      <c r="Q22" s="55">
        <v>3.72</v>
      </c>
    </row>
    <row r="23" spans="1:17" customFormat="1">
      <c r="A23" s="50" t="s">
        <v>457</v>
      </c>
      <c r="B23" s="55">
        <v>4.1100000000000003</v>
      </c>
      <c r="C23" s="55">
        <v>25.34</v>
      </c>
      <c r="D23" s="55">
        <v>17.8</v>
      </c>
      <c r="E23" s="55">
        <v>9.75</v>
      </c>
      <c r="F23" s="55">
        <v>25.37</v>
      </c>
      <c r="G23" s="55">
        <v>59.83</v>
      </c>
      <c r="H23" s="55">
        <v>23.24</v>
      </c>
      <c r="I23" s="55">
        <v>7.6</v>
      </c>
      <c r="J23" s="55">
        <v>0.47</v>
      </c>
      <c r="K23" s="55">
        <v>281.23</v>
      </c>
      <c r="L23" s="55">
        <v>31.08</v>
      </c>
      <c r="M23" s="55">
        <v>76.75</v>
      </c>
      <c r="N23" s="55">
        <v>259</v>
      </c>
      <c r="O23" s="55">
        <v>0</v>
      </c>
      <c r="P23" s="55">
        <v>0.87</v>
      </c>
      <c r="Q23" s="55">
        <v>3.64</v>
      </c>
    </row>
    <row r="24" spans="1:17" customFormat="1">
      <c r="A24" s="50" t="s">
        <v>458</v>
      </c>
      <c r="B24" s="55">
        <v>2.13</v>
      </c>
      <c r="C24" s="55">
        <v>21.25</v>
      </c>
      <c r="D24" s="55">
        <v>14.16</v>
      </c>
      <c r="E24" s="55">
        <v>9.24</v>
      </c>
      <c r="F24" s="55">
        <v>14.71</v>
      </c>
      <c r="G24" s="55">
        <v>55.51</v>
      </c>
      <c r="H24" s="55">
        <v>23.24</v>
      </c>
      <c r="I24" s="55">
        <v>6.5</v>
      </c>
      <c r="J24" s="55">
        <v>0.8</v>
      </c>
      <c r="K24" s="55">
        <v>269.89999999999998</v>
      </c>
      <c r="L24" s="55">
        <v>30.34</v>
      </c>
      <c r="M24" s="55">
        <v>79.64</v>
      </c>
      <c r="N24" s="55">
        <v>161.30000000000001</v>
      </c>
      <c r="O24" s="55">
        <v>0</v>
      </c>
      <c r="P24" s="55">
        <v>0.77</v>
      </c>
      <c r="Q24" s="55">
        <v>3.31</v>
      </c>
    </row>
    <row r="25" spans="1:17" customFormat="1">
      <c r="A25" s="50" t="s">
        <v>459</v>
      </c>
      <c r="B25" s="55">
        <v>2.95</v>
      </c>
      <c r="C25" s="55">
        <v>21.11</v>
      </c>
      <c r="D25" s="55">
        <v>14.52</v>
      </c>
      <c r="E25" s="55">
        <v>10.83</v>
      </c>
      <c r="F25" s="55">
        <v>12.35</v>
      </c>
      <c r="G25" s="55">
        <v>49.94</v>
      </c>
      <c r="H25" s="55">
        <v>22.95</v>
      </c>
      <c r="I25" s="55">
        <v>6.14</v>
      </c>
      <c r="J25" s="55">
        <v>0.84</v>
      </c>
      <c r="K25" s="55">
        <v>271.58999999999997</v>
      </c>
      <c r="L25" s="55">
        <v>29.96</v>
      </c>
      <c r="M25" s="55">
        <v>79.38</v>
      </c>
      <c r="N25" s="55">
        <v>98.3</v>
      </c>
      <c r="O25" s="55">
        <v>0</v>
      </c>
      <c r="P25" s="55">
        <v>0.74</v>
      </c>
      <c r="Q25" s="55">
        <v>3.34</v>
      </c>
    </row>
    <row r="26" spans="1:17" customFormat="1">
      <c r="A26" s="50" t="s">
        <v>460</v>
      </c>
      <c r="B26" s="55">
        <v>4.38</v>
      </c>
      <c r="C26" s="55">
        <v>21.56</v>
      </c>
      <c r="D26" s="55">
        <v>16.13</v>
      </c>
      <c r="E26" s="55">
        <v>8.1300000000000008</v>
      </c>
      <c r="F26" s="55">
        <v>11.27</v>
      </c>
      <c r="G26" s="55">
        <v>44.22</v>
      </c>
      <c r="H26" s="55">
        <v>20.82</v>
      </c>
      <c r="I26" s="55">
        <v>5.9</v>
      </c>
      <c r="J26" s="55">
        <v>0.63</v>
      </c>
      <c r="K26" s="55">
        <v>284.05</v>
      </c>
      <c r="L26" s="55">
        <v>28.78</v>
      </c>
      <c r="M26" s="55">
        <v>83.46</v>
      </c>
      <c r="N26" s="55">
        <v>7.6</v>
      </c>
      <c r="O26" s="55">
        <v>0</v>
      </c>
      <c r="P26" s="55">
        <v>0.7</v>
      </c>
      <c r="Q26" s="55">
        <v>3.53</v>
      </c>
    </row>
    <row r="27" spans="1:17" customFormat="1">
      <c r="A27" s="50" t="s">
        <v>461</v>
      </c>
      <c r="B27" s="55">
        <v>6.68</v>
      </c>
      <c r="C27" s="55">
        <v>27.61</v>
      </c>
      <c r="D27" s="55">
        <v>21.13</v>
      </c>
      <c r="E27" s="55">
        <v>6.9</v>
      </c>
      <c r="F27" s="55">
        <v>6.08</v>
      </c>
      <c r="G27" s="55">
        <v>43.2</v>
      </c>
      <c r="H27" s="55">
        <v>20.51</v>
      </c>
      <c r="I27" s="55">
        <v>5.7</v>
      </c>
      <c r="J27" s="55">
        <v>0.49</v>
      </c>
      <c r="K27" s="55">
        <v>353.11</v>
      </c>
      <c r="L27" s="55">
        <v>27.7</v>
      </c>
      <c r="M27" s="55">
        <v>83.94</v>
      </c>
      <c r="N27" s="55">
        <v>0</v>
      </c>
      <c r="O27" s="55">
        <v>0</v>
      </c>
      <c r="P27" s="55">
        <v>0.74</v>
      </c>
      <c r="Q27" s="55">
        <v>3.8</v>
      </c>
    </row>
    <row r="28" spans="1:17" customFormat="1">
      <c r="A28" s="50" t="s">
        <v>462</v>
      </c>
      <c r="B28" s="55">
        <v>8.6999999999999993</v>
      </c>
      <c r="C28" s="55">
        <v>28.65</v>
      </c>
      <c r="D28" s="55">
        <v>23.1</v>
      </c>
      <c r="E28" s="55">
        <v>7.03</v>
      </c>
      <c r="F28" s="55">
        <v>3.93</v>
      </c>
      <c r="G28" s="55">
        <v>38.729999999999997</v>
      </c>
      <c r="H28" s="55">
        <v>17.43</v>
      </c>
      <c r="I28" s="55">
        <v>5.78</v>
      </c>
      <c r="J28" s="55">
        <v>0.32</v>
      </c>
      <c r="K28" s="55">
        <v>265.14999999999998</v>
      </c>
      <c r="L28" s="55">
        <v>27.04</v>
      </c>
      <c r="M28" s="55">
        <v>85.52</v>
      </c>
      <c r="N28" s="55">
        <v>0</v>
      </c>
      <c r="O28" s="55">
        <v>0</v>
      </c>
      <c r="P28" s="55">
        <v>0.76</v>
      </c>
      <c r="Q28" s="55">
        <v>4.08</v>
      </c>
    </row>
    <row r="29" spans="1:17" customFormat="1">
      <c r="A29" s="50" t="s">
        <v>463</v>
      </c>
      <c r="B29" s="55">
        <v>9.83</v>
      </c>
      <c r="C29" s="55">
        <v>28.41</v>
      </c>
      <c r="D29" s="55">
        <v>23.74</v>
      </c>
      <c r="E29" s="55">
        <v>7.55</v>
      </c>
      <c r="F29" s="55">
        <v>3.1</v>
      </c>
      <c r="G29" s="55">
        <v>38.729999999999997</v>
      </c>
      <c r="H29" s="55">
        <v>13.11</v>
      </c>
      <c r="I29" s="55">
        <v>6.18</v>
      </c>
      <c r="J29" s="55">
        <v>0.33</v>
      </c>
      <c r="K29" s="55">
        <v>263.17</v>
      </c>
      <c r="L29" s="55">
        <v>26.54</v>
      </c>
      <c r="M29" s="55">
        <v>91.05</v>
      </c>
      <c r="N29" s="55">
        <v>0</v>
      </c>
      <c r="O29" s="55">
        <v>0</v>
      </c>
      <c r="P29" s="55">
        <v>0.81</v>
      </c>
      <c r="Q29" s="55">
        <v>4.1500000000000004</v>
      </c>
    </row>
    <row r="30" spans="1:17" customFormat="1">
      <c r="A30" s="50" t="s">
        <v>464</v>
      </c>
      <c r="B30" s="55">
        <v>10.5</v>
      </c>
      <c r="C30" s="55">
        <v>27.63</v>
      </c>
      <c r="D30" s="55">
        <v>24</v>
      </c>
      <c r="E30" s="55">
        <v>7.85</v>
      </c>
      <c r="F30" s="55">
        <v>2.95</v>
      </c>
      <c r="G30" s="55">
        <v>37.119999999999997</v>
      </c>
      <c r="H30" s="55">
        <v>15.51</v>
      </c>
      <c r="I30" s="55">
        <v>6.85</v>
      </c>
      <c r="J30" s="55">
        <v>0.24</v>
      </c>
      <c r="K30" s="55">
        <v>271.32</v>
      </c>
      <c r="L30" s="55">
        <v>26.2</v>
      </c>
      <c r="M30" s="55">
        <v>93.03</v>
      </c>
      <c r="N30" s="55">
        <v>0</v>
      </c>
      <c r="O30" s="55">
        <v>0</v>
      </c>
      <c r="P30" s="55">
        <v>0.82</v>
      </c>
      <c r="Q30" s="55">
        <v>4.16</v>
      </c>
    </row>
    <row r="31" spans="1:17" customFormat="1">
      <c r="A31" s="50" t="s">
        <v>465</v>
      </c>
      <c r="B31" s="55">
        <v>11.58</v>
      </c>
      <c r="C31" s="55">
        <v>27.89</v>
      </c>
      <c r="D31" s="55">
        <v>25.21</v>
      </c>
      <c r="E31" s="55">
        <v>8.43</v>
      </c>
      <c r="F31" s="55">
        <v>2.71</v>
      </c>
      <c r="G31" s="55">
        <v>37.119999999999997</v>
      </c>
      <c r="H31" s="55">
        <v>15.51</v>
      </c>
      <c r="I31" s="55">
        <v>6.8</v>
      </c>
      <c r="J31" s="55">
        <v>0.4</v>
      </c>
      <c r="K31" s="55">
        <v>275.79000000000002</v>
      </c>
      <c r="L31" s="55">
        <v>26.29</v>
      </c>
      <c r="M31" s="55">
        <v>92.8</v>
      </c>
      <c r="N31" s="55">
        <v>0</v>
      </c>
      <c r="O31" s="55">
        <v>0</v>
      </c>
      <c r="P31" s="55">
        <v>0.85</v>
      </c>
      <c r="Q31" s="55">
        <v>4.09</v>
      </c>
    </row>
    <row r="32" spans="1:17" customFormat="1">
      <c r="A32" s="50" t="s">
        <v>466</v>
      </c>
      <c r="B32" s="55">
        <v>12.92</v>
      </c>
      <c r="C32" s="55">
        <v>28.22</v>
      </c>
      <c r="D32" s="55">
        <v>26.02</v>
      </c>
      <c r="E32" s="55">
        <v>8.39</v>
      </c>
      <c r="F32" s="55">
        <v>2.82</v>
      </c>
      <c r="G32" s="55">
        <v>34.049999999999997</v>
      </c>
      <c r="H32" s="55">
        <v>15.56</v>
      </c>
      <c r="I32" s="55">
        <v>7.25</v>
      </c>
      <c r="J32" s="55">
        <v>0.31</v>
      </c>
      <c r="K32" s="55">
        <v>254.07</v>
      </c>
      <c r="L32" s="55">
        <v>26.1</v>
      </c>
      <c r="M32" s="55">
        <v>95.07</v>
      </c>
      <c r="N32" s="55">
        <v>0</v>
      </c>
      <c r="O32" s="55">
        <v>0</v>
      </c>
      <c r="P32" s="55">
        <v>0.86</v>
      </c>
      <c r="Q32" s="55">
        <v>4.0599999999999996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2.13</v>
      </c>
      <c r="C34" s="40">
        <f t="shared" si="0"/>
        <v>21.11</v>
      </c>
      <c r="D34" s="40">
        <f t="shared" si="0"/>
        <v>14.16</v>
      </c>
      <c r="E34" s="40">
        <f t="shared" si="0"/>
        <v>6.61</v>
      </c>
      <c r="F34" s="40">
        <f t="shared" si="0"/>
        <v>2.4300000000000002</v>
      </c>
      <c r="G34" s="40">
        <f t="shared" si="0"/>
        <v>12.98</v>
      </c>
      <c r="H34" s="40">
        <f t="shared" si="0"/>
        <v>5.25</v>
      </c>
      <c r="I34" s="40">
        <f t="shared" si="0"/>
        <v>4.72</v>
      </c>
      <c r="J34" s="40">
        <f t="shared" si="0"/>
        <v>0.12</v>
      </c>
      <c r="K34" s="40">
        <f t="shared" si="0"/>
        <v>214.63</v>
      </c>
      <c r="L34" s="40">
        <f t="shared" si="0"/>
        <v>24.51</v>
      </c>
      <c r="M34" s="40">
        <f t="shared" si="0"/>
        <v>74.31</v>
      </c>
      <c r="N34" s="40">
        <f t="shared" si="0"/>
        <v>0</v>
      </c>
      <c r="O34" s="40">
        <f t="shared" si="0"/>
        <v>0</v>
      </c>
      <c r="P34" s="40">
        <f t="shared" si="0"/>
        <v>0.52</v>
      </c>
      <c r="Q34" s="40">
        <f t="shared" si="0"/>
        <v>3.31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20.16</v>
      </c>
      <c r="C35" s="33">
        <f t="shared" si="1"/>
        <v>28.65</v>
      </c>
      <c r="D35" s="33">
        <f t="shared" si="1"/>
        <v>30.5</v>
      </c>
      <c r="E35" s="33">
        <f t="shared" si="1"/>
        <v>10.83</v>
      </c>
      <c r="F35" s="33">
        <f t="shared" si="1"/>
        <v>25.37</v>
      </c>
      <c r="G35" s="33">
        <f t="shared" si="1"/>
        <v>59.83</v>
      </c>
      <c r="H35" s="33">
        <f t="shared" si="1"/>
        <v>23.24</v>
      </c>
      <c r="I35" s="33">
        <f t="shared" si="1"/>
        <v>7.6</v>
      </c>
      <c r="J35" s="33">
        <f t="shared" si="1"/>
        <v>0.84</v>
      </c>
      <c r="K35" s="33">
        <f t="shared" si="1"/>
        <v>353.11</v>
      </c>
      <c r="L35" s="33">
        <f t="shared" si="1"/>
        <v>32.08</v>
      </c>
      <c r="M35" s="33">
        <f t="shared" si="1"/>
        <v>101.15</v>
      </c>
      <c r="N35" s="33">
        <f t="shared" si="1"/>
        <v>568.9</v>
      </c>
      <c r="O35" s="33">
        <f t="shared" si="1"/>
        <v>0</v>
      </c>
      <c r="P35" s="33">
        <f t="shared" si="1"/>
        <v>0.9</v>
      </c>
      <c r="Q35" s="33">
        <f t="shared" si="1"/>
        <v>4.3899999999999997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12.657499999999999</v>
      </c>
      <c r="C36" s="40">
        <f t="shared" si="2"/>
        <v>25.843333333333334</v>
      </c>
      <c r="D36" s="40">
        <f t="shared" si="2"/>
        <v>24.782500000000002</v>
      </c>
      <c r="E36" s="40">
        <f t="shared" si="2"/>
        <v>8.0050000000000008</v>
      </c>
      <c r="F36" s="40">
        <f t="shared" si="2"/>
        <v>5.751666666666666</v>
      </c>
      <c r="G36" s="40">
        <f t="shared" si="2"/>
        <v>33.945833333333333</v>
      </c>
      <c r="H36" s="40">
        <f t="shared" si="2"/>
        <v>14.087916666666667</v>
      </c>
      <c r="I36" s="40">
        <f t="shared" si="2"/>
        <v>5.8825000000000003</v>
      </c>
      <c r="J36" s="40">
        <f t="shared" si="2"/>
        <v>0.34208333333333335</v>
      </c>
      <c r="K36" s="40">
        <f t="shared" si="2"/>
        <v>267.28374999999994</v>
      </c>
      <c r="L36" s="40">
        <f t="shared" si="2"/>
        <v>27.432083333333335</v>
      </c>
      <c r="M36" s="40">
        <f t="shared" si="2"/>
        <v>89.136666666666656</v>
      </c>
      <c r="N36" s="40">
        <f t="shared" si="2"/>
        <v>137.54583333333335</v>
      </c>
      <c r="O36" s="40">
        <f t="shared" si="2"/>
        <v>0</v>
      </c>
      <c r="P36" s="40">
        <f t="shared" si="2"/>
        <v>0.7154166666666667</v>
      </c>
      <c r="Q36" s="40">
        <f t="shared" si="2"/>
        <v>4.052083333333333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6.1938772362221846</v>
      </c>
      <c r="C37" s="40">
        <f t="shared" ref="C37:Q37" si="3">STDEV(C9:C32)</f>
        <v>2.4674201747656159</v>
      </c>
      <c r="D37" s="40">
        <f t="shared" si="3"/>
        <v>5.3574135956431972</v>
      </c>
      <c r="E37" s="40">
        <f t="shared" si="3"/>
        <v>1.0851808104202485</v>
      </c>
      <c r="F37" s="40">
        <f t="shared" si="3"/>
        <v>5.4093201908868584</v>
      </c>
      <c r="G37" s="40">
        <f t="shared" si="3"/>
        <v>14.591669129027517</v>
      </c>
      <c r="H37" s="40">
        <f t="shared" si="3"/>
        <v>6.0887386993757033</v>
      </c>
      <c r="I37" s="40">
        <f t="shared" si="3"/>
        <v>0.9007207259117288</v>
      </c>
      <c r="J37" s="40">
        <f t="shared" si="3"/>
        <v>0.19160600804473887</v>
      </c>
      <c r="K37" s="40">
        <f t="shared" si="3"/>
        <v>31.227473524405188</v>
      </c>
      <c r="L37" s="40">
        <f t="shared" si="3"/>
        <v>2.5607318572875712</v>
      </c>
      <c r="M37" s="40">
        <f t="shared" si="3"/>
        <v>9.3761272559006024</v>
      </c>
      <c r="N37" s="40">
        <f t="shared" si="3"/>
        <v>197.76401831072755</v>
      </c>
      <c r="O37" s="40">
        <f t="shared" si="3"/>
        <v>0</v>
      </c>
      <c r="P37" s="40">
        <f t="shared" si="3"/>
        <v>0.1149283015307957</v>
      </c>
      <c r="Q37" s="40">
        <f t="shared" si="3"/>
        <v>0.33743249459084546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39" sqref="A39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45170.041666666664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45170.041666666664</v>
      </c>
      <c r="B9" s="17">
        <f>'01'!B36</f>
        <v>9.6245833333333337</v>
      </c>
      <c r="C9" s="17">
        <f>'01'!C36</f>
        <v>17.515416666666663</v>
      </c>
      <c r="D9" s="17">
        <f>'01'!D36</f>
        <v>18.178749999999997</v>
      </c>
      <c r="E9" s="17">
        <f>'01'!E36</f>
        <v>10.557500000000001</v>
      </c>
      <c r="F9" s="17">
        <f>'01'!F36</f>
        <v>10.959999999999999</v>
      </c>
      <c r="G9" s="17">
        <f>'01'!G36</f>
        <v>53.385416666666657</v>
      </c>
      <c r="H9" s="17">
        <f>'01'!H36</f>
        <v>17.778333333333332</v>
      </c>
      <c r="I9" s="17">
        <f>'01'!I36</f>
        <v>10.656666666666668</v>
      </c>
      <c r="J9" s="17">
        <f>'01'!J36</f>
        <v>0.28541666666666671</v>
      </c>
      <c r="K9" s="17">
        <f>'01'!K36</f>
        <v>233.37375000000006</v>
      </c>
      <c r="L9" s="17">
        <f>'01'!L36</f>
        <v>30.257083333333327</v>
      </c>
      <c r="M9" s="17">
        <f>'01'!M36</f>
        <v>83.344999999999985</v>
      </c>
      <c r="N9" s="17">
        <f>'01'!N36</f>
        <v>199.13333333333335</v>
      </c>
      <c r="O9" s="17">
        <f>'01'!O36</f>
        <v>0</v>
      </c>
      <c r="P9" s="17">
        <f>'01'!P36</f>
        <v>0.7316666666666668</v>
      </c>
      <c r="Q9" s="17">
        <f>'01'!Q36</f>
        <v>4.5566666666666675</v>
      </c>
      <c r="R9" s="34"/>
      <c r="S9" s="34"/>
      <c r="T9" s="34"/>
      <c r="U9" s="35"/>
    </row>
    <row r="10" spans="1:21" s="2" customFormat="1">
      <c r="A10" s="16">
        <f>'02'!$B$2</f>
        <v>45171.041666666664</v>
      </c>
      <c r="B10" s="17">
        <f>'02'!B36</f>
        <v>11.106666666666667</v>
      </c>
      <c r="C10" s="17">
        <f>'02'!C36</f>
        <v>18.431666666666668</v>
      </c>
      <c r="D10" s="17">
        <f>'02'!D36</f>
        <v>19.815000000000001</v>
      </c>
      <c r="E10" s="17">
        <f>'02'!E36</f>
        <v>12.535833333333331</v>
      </c>
      <c r="F10" s="17">
        <f>'02'!F36</f>
        <v>10.531250000000002</v>
      </c>
      <c r="G10" s="17">
        <f>'02'!G36</f>
        <v>55.185416666666647</v>
      </c>
      <c r="H10" s="17">
        <f>'02'!H36</f>
        <v>17.055833333333329</v>
      </c>
      <c r="I10" s="17">
        <f>'02'!I36</f>
        <v>5.9958333333333327</v>
      </c>
      <c r="J10" s="17">
        <f>'02'!J36</f>
        <v>0.39916666666666673</v>
      </c>
      <c r="K10" s="17">
        <f>'02'!K36</f>
        <v>241.76958333333332</v>
      </c>
      <c r="L10" s="17">
        <f>'02'!L36</f>
        <v>29.630000000000006</v>
      </c>
      <c r="M10" s="17">
        <f>'02'!M36</f>
        <v>82.861666666666679</v>
      </c>
      <c r="N10" s="17">
        <f>'02'!N36</f>
        <v>198.01250000000002</v>
      </c>
      <c r="O10" s="17">
        <f>'02'!O36</f>
        <v>0.54999999999999993</v>
      </c>
      <c r="P10" s="17">
        <f>'02'!P36</f>
        <v>0.67541666666666667</v>
      </c>
      <c r="Q10" s="17">
        <f>'02'!Q36</f>
        <v>4.6958333333333329</v>
      </c>
      <c r="R10" s="36"/>
      <c r="S10" s="36"/>
      <c r="T10" s="36"/>
      <c r="U10" s="36"/>
    </row>
    <row r="11" spans="1:21" s="2" customFormat="1">
      <c r="A11" s="16">
        <f>'03'!$B$2</f>
        <v>45172.041666666664</v>
      </c>
      <c r="B11" s="17">
        <f>'03'!B36</f>
        <v>9.4320833333333347</v>
      </c>
      <c r="C11" s="17">
        <f>'03'!C36</f>
        <v>17.967083333333331</v>
      </c>
      <c r="D11" s="17">
        <f>'03'!D36</f>
        <v>18.153333333333336</v>
      </c>
      <c r="E11" s="17">
        <f>'03'!E36</f>
        <v>8.3533333333333335</v>
      </c>
      <c r="F11" s="17">
        <f>'03'!F36</f>
        <v>6.3666666666666663</v>
      </c>
      <c r="G11" s="17">
        <f>'03'!G36</f>
        <v>18.466666666666665</v>
      </c>
      <c r="H11" s="17">
        <f>'03'!H36</f>
        <v>7.0325000000000015</v>
      </c>
      <c r="I11" s="17">
        <f>'03'!I36</f>
        <v>5.03125</v>
      </c>
      <c r="J11" s="17">
        <f>'03'!J36</f>
        <v>0.38708333333333328</v>
      </c>
      <c r="K11" s="17">
        <f>'03'!K36</f>
        <v>268.84291666666672</v>
      </c>
      <c r="L11" s="17">
        <f>'03'!L36</f>
        <v>26.454583333333332</v>
      </c>
      <c r="M11" s="17">
        <f>'03'!M36</f>
        <v>93.852083333333326</v>
      </c>
      <c r="N11" s="17">
        <f>'03'!N36</f>
        <v>114.69583333333334</v>
      </c>
      <c r="O11" s="17">
        <f>'03'!O36</f>
        <v>0.31666666666666671</v>
      </c>
      <c r="P11" s="17">
        <f>'03'!P36</f>
        <v>0.60750000000000004</v>
      </c>
      <c r="Q11" s="17">
        <f>'03'!Q36</f>
        <v>4.4733333333333327</v>
      </c>
      <c r="R11" s="36"/>
      <c r="S11" s="36"/>
      <c r="T11" s="36"/>
      <c r="U11" s="36"/>
    </row>
    <row r="12" spans="1:21" s="2" customFormat="1">
      <c r="A12" s="16">
        <f>'04'!$B$2</f>
        <v>45173.041666666664</v>
      </c>
      <c r="B12" s="17">
        <f>'04'!B36</f>
        <v>8.6362499999999986</v>
      </c>
      <c r="C12" s="17">
        <f>'04'!C36</f>
        <v>18.943333333333335</v>
      </c>
      <c r="D12" s="17">
        <f>'04'!D36</f>
        <v>18.049583333333338</v>
      </c>
      <c r="E12" s="17">
        <f>'04'!E36</f>
        <v>8.2920833333333324</v>
      </c>
      <c r="F12" s="17">
        <f>'04'!F36</f>
        <v>6.7212500000000013</v>
      </c>
      <c r="G12" s="17">
        <f>'04'!G36</f>
        <v>28.018749999999997</v>
      </c>
      <c r="H12" s="17">
        <f>'04'!H36</f>
        <v>10.183333333333335</v>
      </c>
      <c r="I12" s="17">
        <f>'04'!I36</f>
        <v>5.8383333333333338</v>
      </c>
      <c r="J12" s="17">
        <f>'04'!J36</f>
        <v>0.35958333333333331</v>
      </c>
      <c r="K12" s="17">
        <f>'04'!K36</f>
        <v>261.33166666666665</v>
      </c>
      <c r="L12" s="17">
        <f>'04'!L36</f>
        <v>25.903333333333336</v>
      </c>
      <c r="M12" s="17">
        <f>'04'!M36</f>
        <v>94.92583333333333</v>
      </c>
      <c r="N12" s="17">
        <f>'04'!N36</f>
        <v>91.074999999999989</v>
      </c>
      <c r="O12" s="17">
        <f>'04'!O36</f>
        <v>0.36666666666666664</v>
      </c>
      <c r="P12" s="17">
        <f>'04'!P36</f>
        <v>0.78874999999999995</v>
      </c>
      <c r="Q12" s="17">
        <f>'04'!Q36</f>
        <v>4.5037499999999993</v>
      </c>
      <c r="R12" s="36"/>
      <c r="S12" s="36"/>
      <c r="T12" s="36"/>
      <c r="U12" s="36"/>
    </row>
    <row r="13" spans="1:21" s="2" customFormat="1">
      <c r="A13" s="16">
        <f>'05'!$B$2</f>
        <v>45174.041666666664</v>
      </c>
      <c r="B13" s="17">
        <f>'05'!B36</f>
        <v>12.439583333333333</v>
      </c>
      <c r="C13" s="17">
        <f>'05'!C36</f>
        <v>20.387499999999999</v>
      </c>
      <c r="D13" s="17">
        <f>'05'!D36</f>
        <v>21.810000000000002</v>
      </c>
      <c r="E13" s="17">
        <f>'05'!E36</f>
        <v>9.2291666666666661</v>
      </c>
      <c r="F13" s="17">
        <f>'05'!F36</f>
        <v>8.3237499999999986</v>
      </c>
      <c r="G13" s="17">
        <f>'05'!G36</f>
        <v>44.478749999999991</v>
      </c>
      <c r="H13" s="17">
        <f>'05'!H36</f>
        <v>17.203749999999999</v>
      </c>
      <c r="I13" s="17">
        <f>'05'!I36</f>
        <v>5.2579166666666675</v>
      </c>
      <c r="J13" s="17">
        <f>'05'!J36</f>
        <v>0.31208333333333343</v>
      </c>
      <c r="K13" s="17">
        <f>'05'!K36</f>
        <v>142.80666666666667</v>
      </c>
      <c r="L13" s="17">
        <f>'05'!L36</f>
        <v>27.212083333333336</v>
      </c>
      <c r="M13" s="17">
        <f>'05'!M36</f>
        <v>88.680416666666659</v>
      </c>
      <c r="N13" s="17">
        <f>'05'!N36</f>
        <v>158.84166666666667</v>
      </c>
      <c r="O13" s="17">
        <f>'05'!O36</f>
        <v>2.5000000000000005E-2</v>
      </c>
      <c r="P13" s="17">
        <f>'05'!P36</f>
        <v>0.76208333333333333</v>
      </c>
      <c r="Q13" s="17">
        <f>'05'!Q36</f>
        <v>5.1483333333333334</v>
      </c>
      <c r="R13" s="36"/>
      <c r="S13" s="36"/>
      <c r="T13" s="36"/>
      <c r="U13" s="36"/>
    </row>
    <row r="14" spans="1:21" s="2" customFormat="1">
      <c r="A14" s="16">
        <f>'06'!$B$2</f>
        <v>45175.041666666664</v>
      </c>
      <c r="B14" s="18">
        <f>'06'!B36</f>
        <v>14.039583333333333</v>
      </c>
      <c r="C14" s="18">
        <f>'06'!C36</f>
        <v>18.620416666666667</v>
      </c>
      <c r="D14" s="18">
        <f>'06'!D36</f>
        <v>22.226666666666663</v>
      </c>
      <c r="E14" s="18">
        <f>'06'!E36</f>
        <v>8.0845833333333328</v>
      </c>
      <c r="F14" s="18">
        <f>'06'!F36</f>
        <v>6.952916666666666</v>
      </c>
      <c r="G14" s="18">
        <f>'06'!G36</f>
        <v>25.003333333333334</v>
      </c>
      <c r="H14" s="18">
        <f>'06'!H36</f>
        <v>8.9612499999999997</v>
      </c>
      <c r="I14" s="18">
        <f>'06'!I36</f>
        <v>3.9612499999999997</v>
      </c>
      <c r="J14" s="18">
        <f>'06'!J36</f>
        <v>0.36749999999999999</v>
      </c>
      <c r="K14" s="18">
        <f>'06'!K36</f>
        <v>147.67291666666668</v>
      </c>
      <c r="L14" s="18">
        <f>'06'!L36</f>
        <v>27.671666666666667</v>
      </c>
      <c r="M14" s="18">
        <f>'06'!M36</f>
        <v>88.419166666666669</v>
      </c>
      <c r="N14" s="18">
        <f>'06'!N36</f>
        <v>161.15</v>
      </c>
      <c r="O14" s="18">
        <f>'06'!O36</f>
        <v>1.125</v>
      </c>
      <c r="P14" s="18">
        <f>'06'!P36</f>
        <v>0.60291666666666655</v>
      </c>
      <c r="Q14" s="18">
        <f>'06'!Q36</f>
        <v>5.7833333333333323</v>
      </c>
      <c r="R14" s="36"/>
      <c r="S14" s="36"/>
      <c r="T14" s="36"/>
      <c r="U14" s="36"/>
    </row>
    <row r="15" spans="1:21" s="2" customFormat="1">
      <c r="A15" s="16">
        <f>'07'!$B$2</f>
        <v>45176.041666666664</v>
      </c>
      <c r="B15" s="18">
        <f>'07'!B36</f>
        <v>10.744166666666667</v>
      </c>
      <c r="C15" s="18">
        <f>'07'!C36</f>
        <v>16.914583333333336</v>
      </c>
      <c r="D15" s="18">
        <f>'07'!D36</f>
        <v>18.717916666666671</v>
      </c>
      <c r="E15" s="18">
        <f>'07'!E36</f>
        <v>8.0908333333333307</v>
      </c>
      <c r="F15" s="18">
        <f>'07'!F36</f>
        <v>6.2362499999999992</v>
      </c>
      <c r="G15" s="18">
        <f>'07'!G36</f>
        <v>7.7200000000000015</v>
      </c>
      <c r="H15" s="18">
        <f>'07'!H36</f>
        <v>2.5679166666666671</v>
      </c>
      <c r="I15" s="18">
        <f>'07'!I36</f>
        <v>3.681249999999999</v>
      </c>
      <c r="J15" s="18">
        <f>'07'!J36</f>
        <v>0.23499999999999999</v>
      </c>
      <c r="K15" s="18">
        <f>'07'!K36</f>
        <v>208.99625</v>
      </c>
      <c r="L15" s="18">
        <f>'07'!L36</f>
        <v>26.482499999999998</v>
      </c>
      <c r="M15" s="18">
        <f>'07'!M36</f>
        <v>95.000833333333347</v>
      </c>
      <c r="N15" s="18">
        <f>'07'!N36</f>
        <v>145.72916666666669</v>
      </c>
      <c r="O15" s="18">
        <f>'07'!O36</f>
        <v>0.16666666666666666</v>
      </c>
      <c r="P15" s="18">
        <f>'07'!P36</f>
        <v>0.5162500000000001</v>
      </c>
      <c r="Q15" s="18">
        <f>'07'!Q36</f>
        <v>5.6254166666666672</v>
      </c>
      <c r="R15" s="36"/>
      <c r="S15" s="36"/>
      <c r="T15" s="36"/>
      <c r="U15" s="36"/>
    </row>
    <row r="16" spans="1:21" s="2" customFormat="1">
      <c r="A16" s="16">
        <f>'08'!$B$2</f>
        <v>45177.041666666664</v>
      </c>
      <c r="B16" s="18">
        <f>'08'!B36</f>
        <v>9.6499999999999986</v>
      </c>
      <c r="C16" s="18">
        <f>'08'!C36</f>
        <v>16.78041666666666</v>
      </c>
      <c r="D16" s="18">
        <f>'08'!D36</f>
        <v>17.76125</v>
      </c>
      <c r="E16" s="18">
        <f>'08'!E36</f>
        <v>7.8908333333333323</v>
      </c>
      <c r="F16" s="18">
        <f>'08'!F36</f>
        <v>5.8537500000000007</v>
      </c>
      <c r="G16" s="18">
        <f>'08'!G36</f>
        <v>5.4413636363636355</v>
      </c>
      <c r="H16" s="18">
        <f>'08'!H36</f>
        <v>2.063181818181818</v>
      </c>
      <c r="I16" s="18">
        <f>'08'!I36</f>
        <v>3.1395833333333338</v>
      </c>
      <c r="J16" s="18">
        <f>'08'!J36</f>
        <v>0.32750000000000001</v>
      </c>
      <c r="K16" s="18">
        <f>'08'!K36</f>
        <v>256.28041666666667</v>
      </c>
      <c r="L16" s="18">
        <f>'08'!L36</f>
        <v>26.360416666666669</v>
      </c>
      <c r="M16" s="18">
        <f>'08'!M36</f>
        <v>92.053749999999994</v>
      </c>
      <c r="N16" s="18">
        <f>'08'!N36</f>
        <v>93.541666666666671</v>
      </c>
      <c r="O16" s="18">
        <f>'08'!O36</f>
        <v>2.5000000000000005E-2</v>
      </c>
      <c r="P16" s="18">
        <f>'08'!P36</f>
        <v>0.44583333333333336</v>
      </c>
      <c r="Q16" s="18">
        <f>'08'!Q36</f>
        <v>5.5704166666666675</v>
      </c>
      <c r="R16" s="36"/>
      <c r="S16" s="36"/>
      <c r="T16" s="36"/>
      <c r="U16" s="36"/>
    </row>
    <row r="17" spans="1:24" s="2" customFormat="1">
      <c r="A17" s="16">
        <f>'09'!$B$2</f>
        <v>45178.041666666664</v>
      </c>
      <c r="B17" s="18">
        <f>'09'!B36</f>
        <v>10.384583333333333</v>
      </c>
      <c r="C17" s="18">
        <f>'09'!C36</f>
        <v>15.744166666666667</v>
      </c>
      <c r="D17" s="18">
        <f>'09'!D36</f>
        <v>17.851249999999997</v>
      </c>
      <c r="E17" s="18">
        <f>'09'!E36</f>
        <v>8.1987499999999986</v>
      </c>
      <c r="F17" s="18">
        <f>'09'!F36</f>
        <v>6.7987499999999992</v>
      </c>
      <c r="G17" s="18">
        <f>'09'!G36</f>
        <v>8.1554166666666692</v>
      </c>
      <c r="H17" s="18">
        <f>'09'!H36</f>
        <v>2.7666666666666671</v>
      </c>
      <c r="I17" s="18">
        <f>'09'!I36</f>
        <v>2.8658333333333328</v>
      </c>
      <c r="J17" s="18">
        <f>'09'!J36</f>
        <v>0.32458333333333333</v>
      </c>
      <c r="K17" s="18">
        <f>'09'!K36</f>
        <v>262.32916666666665</v>
      </c>
      <c r="L17" s="18">
        <f>'09'!L36</f>
        <v>27.316666666666674</v>
      </c>
      <c r="M17" s="18">
        <f>'09'!M36</f>
        <v>86.48</v>
      </c>
      <c r="N17" s="18">
        <f>'09'!N36</f>
        <v>122.21666666666668</v>
      </c>
      <c r="O17" s="18">
        <f>'09'!O36</f>
        <v>0</v>
      </c>
      <c r="P17" s="18">
        <f>'09'!P36</f>
        <v>0.38624999999999993</v>
      </c>
      <c r="Q17" s="18">
        <f>'09'!Q36</f>
        <v>5.4695833333333335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45179.041666666664</v>
      </c>
      <c r="B18" s="18">
        <f>'10'!B36</f>
        <v>9.7816666666666698</v>
      </c>
      <c r="C18" s="18">
        <f>'10'!C36</f>
        <v>15.185416666666669</v>
      </c>
      <c r="D18" s="18">
        <f>'10'!D36</f>
        <v>17.049166666666668</v>
      </c>
      <c r="E18" s="18">
        <f>'10'!E36</f>
        <v>8.9700000000000006</v>
      </c>
      <c r="F18" s="18">
        <f>'10'!F36</f>
        <v>6.7266666666666657</v>
      </c>
      <c r="G18" s="18">
        <f>'10'!G36</f>
        <v>10.509583333333333</v>
      </c>
      <c r="H18" s="18">
        <f>'10'!H36</f>
        <v>5.17875</v>
      </c>
      <c r="I18" s="18">
        <f>'10'!I36</f>
        <v>2.9599999999999995</v>
      </c>
      <c r="J18" s="18">
        <f>'10'!J36</f>
        <v>0.42166666666666663</v>
      </c>
      <c r="K18" s="18">
        <f>'10'!K36</f>
        <v>258.05833333333334</v>
      </c>
      <c r="L18" s="18">
        <f>'10'!L36</f>
        <v>27.752500000000001</v>
      </c>
      <c r="M18" s="18">
        <f>'10'!M36</f>
        <v>87.727499999999978</v>
      </c>
      <c r="N18" s="18">
        <f>'10'!N36</f>
        <v>181.78749999999999</v>
      </c>
      <c r="O18" s="18">
        <f>'10'!O36</f>
        <v>1.6666666666666666E-2</v>
      </c>
      <c r="P18" s="18">
        <f>'10'!P36</f>
        <v>0.37208333333333338</v>
      </c>
      <c r="Q18" s="18">
        <f>'10'!Q36</f>
        <v>5.0616666666666665</v>
      </c>
      <c r="R18" s="36"/>
      <c r="S18" s="36"/>
      <c r="T18" s="36"/>
      <c r="U18" s="36"/>
    </row>
    <row r="19" spans="1:24" s="2" customFormat="1">
      <c r="A19" s="16">
        <f>'11'!$B$2</f>
        <v>45180.041666666664</v>
      </c>
      <c r="B19" s="18">
        <f>'11'!B36</f>
        <v>9.8762500000000006</v>
      </c>
      <c r="C19" s="18">
        <f>'11'!C36</f>
        <v>16.547083333333333</v>
      </c>
      <c r="D19" s="18">
        <f>'11'!D36</f>
        <v>17.857916666666664</v>
      </c>
      <c r="E19" s="18">
        <f>'11'!E36</f>
        <v>8.0224999999999991</v>
      </c>
      <c r="F19" s="18">
        <f>'11'!F36</f>
        <v>6.5666666666666664</v>
      </c>
      <c r="G19" s="18">
        <f>'11'!G36</f>
        <v>21.772500000000004</v>
      </c>
      <c r="H19" s="18">
        <f>'11'!H36</f>
        <v>9.4962500000000016</v>
      </c>
      <c r="I19" s="18">
        <f>'11'!I36</f>
        <v>3.7341666666666669</v>
      </c>
      <c r="J19" s="18">
        <f>'11'!J36</f>
        <v>0.51833333333333342</v>
      </c>
      <c r="K19" s="18">
        <f>'11'!K36</f>
        <v>271.97249999999991</v>
      </c>
      <c r="L19" s="18">
        <f>'11'!L36</f>
        <v>27.653749999999999</v>
      </c>
      <c r="M19" s="18">
        <f>'11'!M36</f>
        <v>87.723333333333343</v>
      </c>
      <c r="N19" s="18">
        <f>'11'!N36</f>
        <v>148.52500000000001</v>
      </c>
      <c r="O19" s="18">
        <f>'11'!O36</f>
        <v>0</v>
      </c>
      <c r="P19" s="18">
        <f>'11'!P36</f>
        <v>0.4991666666666667</v>
      </c>
      <c r="Q19" s="18">
        <f>'11'!Q36</f>
        <v>4.9524999999999997</v>
      </c>
      <c r="R19" s="36"/>
      <c r="S19" s="36"/>
      <c r="T19" s="36"/>
      <c r="U19" s="36"/>
    </row>
    <row r="20" spans="1:24" s="2" customFormat="1">
      <c r="A20" s="16">
        <f>'12'!$B$2</f>
        <v>45181.041666666664</v>
      </c>
      <c r="B20" s="18">
        <f>'12'!B36</f>
        <v>9.0287500000000005</v>
      </c>
      <c r="C20" s="18">
        <f>'12'!C36</f>
        <v>16.561666666666664</v>
      </c>
      <c r="D20" s="18">
        <f>'12'!D36</f>
        <v>17.159166666666664</v>
      </c>
      <c r="E20" s="18">
        <f>'12'!E36</f>
        <v>8.8266666666666662</v>
      </c>
      <c r="F20" s="18">
        <f>'12'!F36</f>
        <v>6.7108333333333325</v>
      </c>
      <c r="G20" s="18">
        <f>'12'!G36</f>
        <v>31.427083333333332</v>
      </c>
      <c r="H20" s="18">
        <f>'12'!H36</f>
        <v>10.377916666666666</v>
      </c>
      <c r="I20" s="18">
        <f>'12'!I36</f>
        <v>4.7774999999999999</v>
      </c>
      <c r="J20" s="18">
        <f>'12'!J36</f>
        <v>0.54749999999999999</v>
      </c>
      <c r="K20" s="18">
        <f>'12'!K36</f>
        <v>273.86166666666674</v>
      </c>
      <c r="L20" s="18">
        <f>'12'!L36</f>
        <v>27.980000000000004</v>
      </c>
      <c r="M20" s="18">
        <f>'12'!M36</f>
        <v>87.474166666666648</v>
      </c>
      <c r="N20" s="18">
        <f>'12'!N36</f>
        <v>187.05416666666667</v>
      </c>
      <c r="O20" s="18">
        <f>'12'!O36</f>
        <v>6.6666666666666666E-2</v>
      </c>
      <c r="P20" s="18">
        <f>'12'!P36</f>
        <v>0.62291666666666667</v>
      </c>
      <c r="Q20" s="18">
        <f>'12'!Q36</f>
        <v>5.1858333333333331</v>
      </c>
      <c r="R20" s="36"/>
      <c r="S20" s="36"/>
      <c r="T20" s="36"/>
      <c r="U20" s="36"/>
    </row>
    <row r="21" spans="1:24" s="2" customFormat="1">
      <c r="A21" s="16">
        <f>'13'!$B$2</f>
        <v>45182.041666666664</v>
      </c>
      <c r="B21" s="18">
        <f>'13'!B36</f>
        <v>12.026250000000003</v>
      </c>
      <c r="C21" s="18">
        <f>'13'!C36</f>
        <v>18.83958333333333</v>
      </c>
      <c r="D21" s="18">
        <f>'13'!D36</f>
        <v>20.759166666666662</v>
      </c>
      <c r="E21" s="18">
        <f>'13'!E36</f>
        <v>8.4187500000000011</v>
      </c>
      <c r="F21" s="18">
        <f>'13'!F36</f>
        <v>5.8045833333333334</v>
      </c>
      <c r="G21" s="18">
        <f>'13'!G36</f>
        <v>27.110833333333328</v>
      </c>
      <c r="H21" s="18">
        <f>'13'!H36</f>
        <v>8.7079166666666659</v>
      </c>
      <c r="I21" s="18">
        <f>'13'!I36</f>
        <v>4.8266666666666671</v>
      </c>
      <c r="J21" s="18">
        <f>'13'!J36</f>
        <v>0.52916666666666667</v>
      </c>
      <c r="K21" s="18">
        <f>'13'!K36</f>
        <v>305.9470833333333</v>
      </c>
      <c r="L21" s="18">
        <f>'13'!L36</f>
        <v>26.652916666666666</v>
      </c>
      <c r="M21" s="18">
        <f>'13'!M36</f>
        <v>91.689166666666665</v>
      </c>
      <c r="N21" s="18">
        <f>'13'!N36</f>
        <v>130.68749999999997</v>
      </c>
      <c r="O21" s="18">
        <f>'13'!O36</f>
        <v>1.9583333333333333</v>
      </c>
      <c r="P21" s="18">
        <f>'13'!P36</f>
        <v>0.59708333333333319</v>
      </c>
      <c r="Q21" s="18">
        <f>'13'!Q36</f>
        <v>5.6154166666666656</v>
      </c>
      <c r="R21" s="36"/>
      <c r="S21" s="36"/>
      <c r="T21" s="36"/>
      <c r="U21" s="36"/>
    </row>
    <row r="22" spans="1:24" s="2" customFormat="1">
      <c r="A22" s="16" t="str">
        <f>'14'!$B$2</f>
        <v>14/09/2023 01:00</v>
      </c>
      <c r="B22" s="18">
        <f>'14'!B36</f>
        <v>12.539565217391301</v>
      </c>
      <c r="C22" s="18">
        <f>'14'!C36</f>
        <v>19.35565217391305</v>
      </c>
      <c r="D22" s="18">
        <f>'14'!D36</f>
        <v>21.394347826086957</v>
      </c>
      <c r="E22" s="18">
        <f>'14'!E36</f>
        <v>9.2083333333333339</v>
      </c>
      <c r="F22" s="18">
        <f>'14'!F36</f>
        <v>7.404583333333334</v>
      </c>
      <c r="G22" s="18">
        <f>'14'!G36</f>
        <v>21.7504347826087</v>
      </c>
      <c r="H22" s="18">
        <f>'14'!H36</f>
        <v>9.657826086956522</v>
      </c>
      <c r="I22" s="18">
        <f>'14'!I36</f>
        <v>12.912083333333337</v>
      </c>
      <c r="J22" s="18">
        <f>'14'!J36</f>
        <v>0.4695833333333333</v>
      </c>
      <c r="K22" s="18">
        <f>'14'!K36</f>
        <v>292.13</v>
      </c>
      <c r="L22" s="18">
        <f>'14'!L36</f>
        <v>25.728333333333335</v>
      </c>
      <c r="M22" s="18">
        <f>'14'!M36</f>
        <v>98.130833333333328</v>
      </c>
      <c r="N22" s="18">
        <f>'14'!N36</f>
        <v>59.854166666666664</v>
      </c>
      <c r="O22" s="18">
        <f>'14'!O36</f>
        <v>1.9916666666666665</v>
      </c>
      <c r="P22" s="18">
        <f>'14'!P36</f>
        <v>0.56625000000000003</v>
      </c>
      <c r="Q22" s="18">
        <f>'14'!Q36</f>
        <v>5.3524999999999991</v>
      </c>
      <c r="R22" s="38"/>
      <c r="S22" s="38"/>
      <c r="T22" s="38"/>
      <c r="U22" s="38"/>
    </row>
    <row r="23" spans="1:24" s="2" customFormat="1">
      <c r="A23" s="16" t="str">
        <f>'15'!$B$2</f>
        <v>15/09/2023 01:00</v>
      </c>
      <c r="B23" s="19">
        <f>'15'!B36</f>
        <v>9.3279166666666686</v>
      </c>
      <c r="C23" s="19">
        <f>'15'!C36</f>
        <v>17.964166666666667</v>
      </c>
      <c r="D23" s="19">
        <f>'15'!D36</f>
        <v>18.142916666666672</v>
      </c>
      <c r="E23" s="19">
        <f>'15'!E36</f>
        <v>8.916249999999998</v>
      </c>
      <c r="F23" s="19">
        <f>'15'!F36</f>
        <v>5.902916666666667</v>
      </c>
      <c r="G23" s="19">
        <f>'15'!G36</f>
        <v>4.7691666666666661</v>
      </c>
      <c r="H23" s="19">
        <f>'15'!H36</f>
        <v>3.219583333333333</v>
      </c>
      <c r="I23" s="19">
        <f>'15'!I36</f>
        <v>5.0783333333333323</v>
      </c>
      <c r="J23" s="19">
        <f>'15'!J36</f>
        <v>0.49791666666666673</v>
      </c>
      <c r="K23" s="19">
        <f>'15'!K36</f>
        <v>268.40208333333334</v>
      </c>
      <c r="L23" s="19">
        <f>'15'!L36</f>
        <v>25.921249999999997</v>
      </c>
      <c r="M23" s="19">
        <f>'15'!M36</f>
        <v>93.668749999999974</v>
      </c>
      <c r="N23" s="19">
        <f>'15'!N36</f>
        <v>104.84583333333332</v>
      </c>
      <c r="O23" s="19">
        <f>'15'!O36</f>
        <v>0.25833333333333336</v>
      </c>
      <c r="P23" s="19">
        <f>'15'!P36</f>
        <v>0.42041666666666649</v>
      </c>
      <c r="Q23" s="19">
        <f>'15'!Q36</f>
        <v>5.1320833333333331</v>
      </c>
      <c r="R23" s="38"/>
      <c r="S23" s="38"/>
      <c r="T23" s="38"/>
      <c r="U23" s="36"/>
    </row>
    <row r="24" spans="1:24" s="2" customFormat="1">
      <c r="A24" s="16" t="str">
        <f>'16'!$B$2</f>
        <v>16/09/2023 01:00</v>
      </c>
      <c r="B24" s="18">
        <f>'16'!B36</f>
        <v>11.1775</v>
      </c>
      <c r="C24" s="18">
        <f>'16'!C36</f>
        <v>17.846666666666668</v>
      </c>
      <c r="D24" s="18">
        <f>'16'!D36</f>
        <v>19.577916666666667</v>
      </c>
      <c r="E24" s="18">
        <f>'16'!E36</f>
        <v>8.5037499999999984</v>
      </c>
      <c r="F24" s="18">
        <f>'16'!F36</f>
        <v>5.8112500000000002</v>
      </c>
      <c r="G24" s="18">
        <f>'16'!G36</f>
        <v>11.322500000000003</v>
      </c>
      <c r="H24" s="18">
        <f>'16'!H36</f>
        <v>4.7629166666666682</v>
      </c>
      <c r="I24" s="18">
        <f>'16'!I36</f>
        <v>3.2570833333333336</v>
      </c>
      <c r="J24" s="18">
        <f>'16'!J36</f>
        <v>0.35208333333333336</v>
      </c>
      <c r="K24" s="18">
        <f>'16'!K36</f>
        <v>263.32875000000007</v>
      </c>
      <c r="L24" s="18">
        <f>'16'!L36</f>
        <v>27.283333333333335</v>
      </c>
      <c r="M24" s="18">
        <f>'16'!M36</f>
        <v>87.658749999999998</v>
      </c>
      <c r="N24" s="18">
        <f>'16'!N36</f>
        <v>180.3666666666667</v>
      </c>
      <c r="O24" s="18">
        <f>'16'!O36</f>
        <v>0</v>
      </c>
      <c r="P24" s="18">
        <f>'16'!P36</f>
        <v>0.37166666666666665</v>
      </c>
      <c r="Q24" s="18">
        <f>'16'!Q36</f>
        <v>5.298750000000001</v>
      </c>
      <c r="R24" s="38"/>
      <c r="S24" s="38"/>
      <c r="T24" s="38"/>
      <c r="U24" s="36"/>
    </row>
    <row r="25" spans="1:24" s="2" customFormat="1">
      <c r="A25" s="16" t="str">
        <f>'17'!$B$2</f>
        <v>17/09/2023 01:00</v>
      </c>
      <c r="B25" s="18">
        <f>'17'!B36</f>
        <v>11.45458333333333</v>
      </c>
      <c r="C25" s="18">
        <f>'17'!C36</f>
        <v>18.952499999999997</v>
      </c>
      <c r="D25" s="18">
        <f>'17'!D36</f>
        <v>20.372916666666669</v>
      </c>
      <c r="E25" s="18">
        <f>'17'!E36</f>
        <v>7.5654166666666667</v>
      </c>
      <c r="F25" s="18">
        <f>'17'!F36</f>
        <v>6.9254166666666661</v>
      </c>
      <c r="G25" s="18">
        <f>'17'!G36</f>
        <v>14.784583333333332</v>
      </c>
      <c r="H25" s="18">
        <f>'17'!H36</f>
        <v>5.5995833333333342</v>
      </c>
      <c r="I25" s="18">
        <f>'17'!I36</f>
        <v>3.8866666666666672</v>
      </c>
      <c r="J25" s="18">
        <f>'17'!J36</f>
        <v>0.35583333333333328</v>
      </c>
      <c r="K25" s="18">
        <f>'17'!K36</f>
        <v>250.08000000000004</v>
      </c>
      <c r="L25" s="18">
        <f>'17'!L36</f>
        <v>28.34</v>
      </c>
      <c r="M25" s="18">
        <f>'17'!M36</f>
        <v>81.977916666666658</v>
      </c>
      <c r="N25" s="18">
        <f>'17'!N36</f>
        <v>252.49166666666667</v>
      </c>
      <c r="O25" s="18">
        <f>'17'!O36</f>
        <v>0</v>
      </c>
      <c r="P25" s="18">
        <f>'17'!P36</f>
        <v>0.4316666666666667</v>
      </c>
      <c r="Q25" s="18">
        <f>'17'!Q36</f>
        <v>5.364583333333333</v>
      </c>
      <c r="R25" s="38"/>
      <c r="S25" s="38"/>
      <c r="T25" s="38"/>
      <c r="U25" s="36"/>
    </row>
    <row r="26" spans="1:24" s="2" customFormat="1">
      <c r="A26" s="16" t="str">
        <f>'18'!$B$2</f>
        <v>18/09/2023 01:00</v>
      </c>
      <c r="B26" s="18">
        <f>'18'!B36</f>
        <v>13.012916666666667</v>
      </c>
      <c r="C26" s="18">
        <f>'18'!C36</f>
        <v>21.361666666666665</v>
      </c>
      <c r="D26" s="18">
        <f>'18'!D36</f>
        <v>22.818333333333332</v>
      </c>
      <c r="E26" s="18">
        <f>'18'!E36</f>
        <v>8.6154166666666665</v>
      </c>
      <c r="F26" s="18">
        <f>'18'!F36</f>
        <v>7.8950000000000022</v>
      </c>
      <c r="G26" s="18">
        <f>'18'!G36</f>
        <v>26.221666666666664</v>
      </c>
      <c r="H26" s="18">
        <f>'18'!H36</f>
        <v>8.1175000000000015</v>
      </c>
      <c r="I26" s="18">
        <f>'18'!I36</f>
        <v>4.793333333333333</v>
      </c>
      <c r="J26" s="18">
        <f>'18'!J36</f>
        <v>0.3008333333333334</v>
      </c>
      <c r="K26" s="18">
        <f>'18'!K36</f>
        <v>270.18375000000003</v>
      </c>
      <c r="L26" s="18">
        <f>'18'!L36</f>
        <v>28.91791666666667</v>
      </c>
      <c r="M26" s="18">
        <f>'18'!M36</f>
        <v>82.797499999999999</v>
      </c>
      <c r="N26" s="18">
        <f>'18'!N36</f>
        <v>201.46666666666667</v>
      </c>
      <c r="O26" s="18">
        <f>'18'!O36</f>
        <v>0</v>
      </c>
      <c r="P26" s="18">
        <f>'18'!P36</f>
        <v>0.53958333333333341</v>
      </c>
      <c r="Q26" s="18">
        <f>'18'!Q36</f>
        <v>5.5424999999999995</v>
      </c>
      <c r="R26" s="38"/>
      <c r="S26" s="38"/>
      <c r="T26" s="38"/>
      <c r="U26" s="36"/>
    </row>
    <row r="27" spans="1:24" s="2" customFormat="1">
      <c r="A27" s="16" t="str">
        <f>'19'!$B$2</f>
        <v>19/09/2023 01:00</v>
      </c>
      <c r="B27" s="18">
        <f>'19'!B36</f>
        <v>15.532916666666665</v>
      </c>
      <c r="C27" s="18">
        <f>'19'!C36</f>
        <v>22.818333333333332</v>
      </c>
      <c r="D27" s="18">
        <f>'19'!D36</f>
        <v>25.56625</v>
      </c>
      <c r="E27" s="18">
        <f>'19'!E36</f>
        <v>10.729999999999999</v>
      </c>
      <c r="F27" s="18">
        <f>'19'!F36</f>
        <v>7.8137500000000015</v>
      </c>
      <c r="G27" s="18">
        <f>'19'!G36</f>
        <v>35.775000000000006</v>
      </c>
      <c r="H27" s="18">
        <f>'19'!H36</f>
        <v>11.8775</v>
      </c>
      <c r="I27" s="18">
        <f>'19'!I36</f>
        <v>4.552083333333333</v>
      </c>
      <c r="J27" s="18">
        <f>'19'!J36</f>
        <v>0.40416666666666656</v>
      </c>
      <c r="K27" s="18">
        <f>'19'!K36</f>
        <v>257.76249999999999</v>
      </c>
      <c r="L27" s="18">
        <f>'19'!L36</f>
        <v>29.502916666666664</v>
      </c>
      <c r="M27" s="18">
        <f>'19'!M36</f>
        <v>79.625000000000014</v>
      </c>
      <c r="N27" s="18">
        <f>'19'!N36</f>
        <v>206.32916666666665</v>
      </c>
      <c r="O27" s="18">
        <f>'19'!O36</f>
        <v>0</v>
      </c>
      <c r="P27" s="18">
        <f>'19'!P36</f>
        <v>0.56208333333333338</v>
      </c>
      <c r="Q27" s="18">
        <f>'19'!Q36</f>
        <v>5.7037499999999994</v>
      </c>
      <c r="R27" s="38"/>
      <c r="S27" s="38"/>
      <c r="T27" s="38"/>
      <c r="U27" s="36"/>
    </row>
    <row r="28" spans="1:24" s="2" customFormat="1">
      <c r="A28" s="16" t="str">
        <f>'20'!$B$2</f>
        <v>20/09/2023 01:00</v>
      </c>
      <c r="B28" s="18">
        <f>'20'!B36</f>
        <v>14.518749999999999</v>
      </c>
      <c r="C28" s="18">
        <f>'20'!C36</f>
        <v>24.503333333333341</v>
      </c>
      <c r="D28" s="18">
        <f>'20'!D36</f>
        <v>25.661666666666665</v>
      </c>
      <c r="E28" s="18">
        <f>'20'!E36</f>
        <v>11.295500000000002</v>
      </c>
      <c r="F28" s="18">
        <f>'20'!F36</f>
        <v>8.0416666666666661</v>
      </c>
      <c r="G28" s="18">
        <f>'20'!G36</f>
        <v>37.204166666666659</v>
      </c>
      <c r="H28" s="18">
        <f>'20'!H36</f>
        <v>14.437083333333335</v>
      </c>
      <c r="I28" s="18">
        <f>'20'!I36</f>
        <v>4.7791666666666668</v>
      </c>
      <c r="J28" s="18">
        <f>'20'!J36</f>
        <v>0.46458333333333335</v>
      </c>
      <c r="K28" s="18">
        <f>'20'!K36</f>
        <v>248.6320833333333</v>
      </c>
      <c r="L28" s="18">
        <f>'20'!L36</f>
        <v>27.974166666666665</v>
      </c>
      <c r="M28" s="18">
        <f>'20'!M36</f>
        <v>87.214583333333351</v>
      </c>
      <c r="N28" s="18">
        <f>'20'!N36</f>
        <v>145.10833333333338</v>
      </c>
      <c r="O28" s="18">
        <f>'20'!O36</f>
        <v>1.3916666666666666</v>
      </c>
      <c r="P28" s="18">
        <f>'20'!P36</f>
        <v>0.59416666666666662</v>
      </c>
      <c r="Q28" s="18">
        <f>'20'!Q36</f>
        <v>5.1149999999999993</v>
      </c>
      <c r="R28" s="38"/>
      <c r="S28" s="38"/>
      <c r="T28" s="38"/>
      <c r="U28" s="36"/>
    </row>
    <row r="29" spans="1:24" s="2" customFormat="1">
      <c r="A29" s="16" t="str">
        <f>'21'!$B$2</f>
        <v>21/09/2023 01:00</v>
      </c>
      <c r="B29" s="18">
        <f>'21'!B36</f>
        <v>16.472916666666666</v>
      </c>
      <c r="C29" s="18">
        <f>'21'!C36</f>
        <v>25.493750000000006</v>
      </c>
      <c r="D29" s="18">
        <f>'21'!D36</f>
        <v>27.674583333333331</v>
      </c>
      <c r="E29" s="18">
        <f>'21'!E36</f>
        <v>8.0279166666666661</v>
      </c>
      <c r="F29" s="18">
        <f>'21'!F36</f>
        <v>5.4291666666666671</v>
      </c>
      <c r="G29" s="18">
        <f>'21'!G36</f>
        <v>15.028749999999997</v>
      </c>
      <c r="H29" s="18">
        <f>'21'!H36</f>
        <v>6.8625000000000016</v>
      </c>
      <c r="I29" s="18">
        <f>'21'!I36</f>
        <v>4.3916666666666666</v>
      </c>
      <c r="J29" s="18">
        <f>'21'!J36</f>
        <v>0.42499999999999988</v>
      </c>
      <c r="K29" s="18">
        <f>'21'!K36</f>
        <v>290.89291666666662</v>
      </c>
      <c r="L29" s="18">
        <f>'21'!L36</f>
        <v>25.600416666666664</v>
      </c>
      <c r="M29" s="18">
        <f>'21'!M36</f>
        <v>97.200833333333321</v>
      </c>
      <c r="N29" s="18">
        <f>'21'!N36</f>
        <v>60.329166666666659</v>
      </c>
      <c r="O29" s="18">
        <f>'21'!O36</f>
        <v>0.69999999999999984</v>
      </c>
      <c r="P29" s="18">
        <f>'21'!P36</f>
        <v>0.52250000000000008</v>
      </c>
      <c r="Q29" s="18">
        <f>'21'!Q36</f>
        <v>4.2750000000000004</v>
      </c>
      <c r="R29" s="38"/>
      <c r="S29" s="38"/>
      <c r="T29" s="38"/>
      <c r="U29" s="36"/>
    </row>
    <row r="30" spans="1:24" s="2" customFormat="1">
      <c r="A30" s="16" t="str">
        <f>'22'!$B$2</f>
        <v>22/09/2023 01:00</v>
      </c>
      <c r="B30" s="18">
        <f>'22'!B36</f>
        <v>15.564166666666667</v>
      </c>
      <c r="C30" s="18">
        <f>'22'!C36</f>
        <v>24.661666666666672</v>
      </c>
      <c r="D30" s="18">
        <f>'22'!D36</f>
        <v>26.592916666666664</v>
      </c>
      <c r="E30" s="18">
        <f>'22'!E36</f>
        <v>8.9412499999999984</v>
      </c>
      <c r="F30" s="18">
        <f>'22'!F36</f>
        <v>4.7916666666666652</v>
      </c>
      <c r="G30" s="18">
        <f>'22'!G36</f>
        <v>15.04916666666667</v>
      </c>
      <c r="H30" s="18">
        <f>'22'!H36</f>
        <v>5.9337500000000025</v>
      </c>
      <c r="I30" s="18">
        <f>'22'!I36</f>
        <v>4.7737499999999997</v>
      </c>
      <c r="J30" s="18">
        <f>'22'!J36</f>
        <v>0.50250000000000006</v>
      </c>
      <c r="K30" s="18">
        <f>'22'!K36</f>
        <v>270.11958333333342</v>
      </c>
      <c r="L30" s="18">
        <f>'22'!L36</f>
        <v>24.985000000000003</v>
      </c>
      <c r="M30" s="18">
        <f>'22'!M36</f>
        <v>96.747499999999988</v>
      </c>
      <c r="N30" s="18">
        <f>'22'!N36</f>
        <v>38.779166666666669</v>
      </c>
      <c r="O30" s="18">
        <f>'22'!O36</f>
        <v>0.12500000000000003</v>
      </c>
      <c r="P30" s="18">
        <f>'22'!P36</f>
        <v>0.54875000000000018</v>
      </c>
      <c r="Q30" s="18">
        <f>'22'!Q36</f>
        <v>4.2479166666666668</v>
      </c>
      <c r="R30" s="38"/>
      <c r="S30" s="36"/>
      <c r="T30" s="36"/>
      <c r="U30" s="36"/>
    </row>
    <row r="31" spans="1:24" s="2" customFormat="1">
      <c r="A31" s="16" t="str">
        <f>'23'!$B$2</f>
        <v>23/09/2023 01:00</v>
      </c>
      <c r="B31" s="18">
        <f>'23'!B36</f>
        <v>12.396666666666667</v>
      </c>
      <c r="C31" s="18">
        <f>'23'!C36</f>
        <v>23.11333333333333</v>
      </c>
      <c r="D31" s="18">
        <f>'23'!D36</f>
        <v>23.233750000000004</v>
      </c>
      <c r="E31" s="18">
        <f>'23'!E36</f>
        <v>7.7804166666666665</v>
      </c>
      <c r="F31" s="18">
        <f>'23'!F36</f>
        <v>5.297083333333334</v>
      </c>
      <c r="G31" s="18">
        <f>'23'!G36</f>
        <v>9.7754166666666666</v>
      </c>
      <c r="H31" s="18">
        <f>'23'!H36</f>
        <v>3.7779166666666666</v>
      </c>
      <c r="I31" s="18">
        <f>'23'!I36</f>
        <v>3.6604166666666664</v>
      </c>
      <c r="J31" s="18">
        <f>'23'!J36</f>
        <v>0.57416666666666694</v>
      </c>
      <c r="K31" s="18">
        <f>'23'!K36</f>
        <v>262.88249999999994</v>
      </c>
      <c r="L31" s="18">
        <f>'23'!L36</f>
        <v>25.98041666666666</v>
      </c>
      <c r="M31" s="18">
        <f>'23'!M36</f>
        <v>93.682916666666657</v>
      </c>
      <c r="N31" s="18">
        <f>'23'!N36</f>
        <v>82.454166666666666</v>
      </c>
      <c r="O31" s="18">
        <f>'23'!O36</f>
        <v>8.3333333333333332E-3</v>
      </c>
      <c r="P31" s="18">
        <f>'23'!P36</f>
        <v>0.46833333333333355</v>
      </c>
      <c r="Q31" s="18">
        <f>'23'!Q36</f>
        <v>3.851666666666667</v>
      </c>
      <c r="R31" s="36"/>
      <c r="S31" s="36"/>
      <c r="T31" s="36"/>
      <c r="U31" s="36"/>
    </row>
    <row r="32" spans="1:24" s="2" customFormat="1">
      <c r="A32" s="16" t="str">
        <f>'24'!$B$2</f>
        <v>24/09/2023 01:00</v>
      </c>
      <c r="B32" s="18">
        <f>'24'!B36</f>
        <v>13.790416666666667</v>
      </c>
      <c r="C32" s="18">
        <f>'24'!C36</f>
        <v>23.562083333333337</v>
      </c>
      <c r="D32" s="18">
        <f>'24'!D36</f>
        <v>24.529583333333331</v>
      </c>
      <c r="E32" s="18">
        <f>'24'!E36</f>
        <v>8.2787500000000005</v>
      </c>
      <c r="F32" s="18">
        <f>'24'!F36</f>
        <v>5.4658333333333324</v>
      </c>
      <c r="G32" s="18">
        <f>'24'!G36</f>
        <v>17.773333333333337</v>
      </c>
      <c r="H32" s="18">
        <f>'24'!H36</f>
        <v>7.590416666666667</v>
      </c>
      <c r="I32" s="18">
        <f>'24'!I36</f>
        <v>3.726666666666667</v>
      </c>
      <c r="J32" s="18">
        <f>'24'!J36</f>
        <v>0.38374999999999998</v>
      </c>
      <c r="K32" s="18">
        <f>'24'!K36</f>
        <v>262.92583333333329</v>
      </c>
      <c r="L32" s="18">
        <f>'24'!L36</f>
        <v>27.026250000000005</v>
      </c>
      <c r="M32" s="18">
        <f>'24'!M36</f>
        <v>93.13333333333334</v>
      </c>
      <c r="N32" s="18">
        <f>'24'!N36</f>
        <v>162.625</v>
      </c>
      <c r="O32" s="18">
        <f>'24'!O36</f>
        <v>9.9999999999999992E-2</v>
      </c>
      <c r="P32" s="18">
        <f>'24'!P36</f>
        <v>0.47625000000000001</v>
      </c>
      <c r="Q32" s="18">
        <f>'24'!Q36</f>
        <v>4.0112500000000004</v>
      </c>
      <c r="R32" s="36"/>
      <c r="S32" s="36"/>
      <c r="T32" s="36"/>
      <c r="U32" s="36"/>
    </row>
    <row r="33" spans="1:21" s="2" customFormat="1">
      <c r="A33" s="16" t="str">
        <f>'25'!$B$2</f>
        <v>25/09/2023 01:00</v>
      </c>
      <c r="B33" s="18">
        <f>'25'!B36</f>
        <v>15.4925</v>
      </c>
      <c r="C33" s="18">
        <f>'25'!C36</f>
        <v>27.05</v>
      </c>
      <c r="D33" s="18">
        <f>'25'!D36</f>
        <v>27.598750000000006</v>
      </c>
      <c r="E33" s="18">
        <f>'25'!E36</f>
        <v>8.6295833333333363</v>
      </c>
      <c r="F33" s="18">
        <f>'25'!F36</f>
        <v>4.7316666666666665</v>
      </c>
      <c r="G33" s="18">
        <f>'25'!G36</f>
        <v>38.145833333333336</v>
      </c>
      <c r="H33" s="18">
        <f>'25'!H36</f>
        <v>14.479999999999999</v>
      </c>
      <c r="I33" s="18">
        <f>'25'!I36</f>
        <v>4.8874999999999993</v>
      </c>
      <c r="J33" s="18">
        <f>'25'!J36</f>
        <v>0.22874999999999993</v>
      </c>
      <c r="K33" s="18">
        <f>'25'!K36</f>
        <v>254.77958333333333</v>
      </c>
      <c r="L33" s="18">
        <f>'25'!L36</f>
        <v>26.293333333333333</v>
      </c>
      <c r="M33" s="18">
        <f>'25'!M36</f>
        <v>95.519166666666649</v>
      </c>
      <c r="N33" s="18">
        <f>'25'!N36</f>
        <v>124.36666666666666</v>
      </c>
      <c r="O33" s="18">
        <f>'25'!O36</f>
        <v>0.44999999999999996</v>
      </c>
      <c r="P33" s="18">
        <f>'25'!P36</f>
        <v>0.62</v>
      </c>
      <c r="Q33" s="18">
        <f>'25'!Q36</f>
        <v>4.1841666666666661</v>
      </c>
      <c r="R33" s="36"/>
      <c r="S33" s="36"/>
      <c r="T33" s="36"/>
      <c r="U33" s="36"/>
    </row>
    <row r="34" spans="1:21" s="2" customFormat="1">
      <c r="A34" s="16" t="str">
        <f>'26'!$B$2</f>
        <v>26/09/2023 01:00</v>
      </c>
      <c r="B34" s="18">
        <f>'26'!B36</f>
        <v>19.611250000000002</v>
      </c>
      <c r="C34" s="18">
        <f>'26'!C36</f>
        <v>27.334583333333338</v>
      </c>
      <c r="D34" s="18">
        <f>'26'!D36</f>
        <v>31.066666666666666</v>
      </c>
      <c r="E34" s="18">
        <f>'26'!E36</f>
        <v>7.7600000000000016</v>
      </c>
      <c r="F34" s="18">
        <f>'26'!F36</f>
        <v>5.6516666666666664</v>
      </c>
      <c r="G34" s="18">
        <f>'26'!G36</f>
        <v>40.752500000000012</v>
      </c>
      <c r="H34" s="18">
        <f>'26'!H36</f>
        <v>16.451666666666672</v>
      </c>
      <c r="I34" s="18">
        <f>'26'!I36</f>
        <v>6.8258333333333328</v>
      </c>
      <c r="J34" s="18">
        <f>'26'!J36</f>
        <v>0.2720833333333334</v>
      </c>
      <c r="K34" s="18">
        <f>'26'!K36</f>
        <v>232.54500000000004</v>
      </c>
      <c r="L34" s="18">
        <f>'26'!L36</f>
        <v>26.915416666666669</v>
      </c>
      <c r="M34" s="18">
        <f>'26'!M36</f>
        <v>93.28416666666665</v>
      </c>
      <c r="N34" s="18">
        <f>'26'!N36</f>
        <v>139.96250000000001</v>
      </c>
      <c r="O34" s="18">
        <f>'26'!O36</f>
        <v>1.6666666666666666E-2</v>
      </c>
      <c r="P34" s="18">
        <f>'26'!P36</f>
        <v>0.70000000000000007</v>
      </c>
      <c r="Q34" s="18">
        <f>'26'!Q36</f>
        <v>4.4495833333333339</v>
      </c>
      <c r="R34" s="36"/>
      <c r="S34" s="36"/>
      <c r="T34" s="36"/>
      <c r="U34" s="36"/>
    </row>
    <row r="35" spans="1:21" s="2" customFormat="1">
      <c r="A35" s="16" t="str">
        <f>'27'!$B$2</f>
        <v>27/09/2023 01:00</v>
      </c>
      <c r="B35" s="18">
        <f>'27'!B36</f>
        <v>17.150000000000006</v>
      </c>
      <c r="C35" s="18">
        <f>'27'!C36</f>
        <v>28.753913043478256</v>
      </c>
      <c r="D35" s="18">
        <f>'27'!D36</f>
        <v>29.868260869565219</v>
      </c>
      <c r="E35" s="18">
        <f>'27'!E36</f>
        <v>9.7722727272727283</v>
      </c>
      <c r="F35" s="18">
        <f>'27'!F36</f>
        <v>8.9416666666666664</v>
      </c>
      <c r="G35" s="18">
        <f>'27'!G36</f>
        <v>47.185217391304349</v>
      </c>
      <c r="H35" s="18">
        <f>'27'!H36</f>
        <v>18.498260869565218</v>
      </c>
      <c r="I35" s="18">
        <f>'27'!I36</f>
        <v>35.258333333333333</v>
      </c>
      <c r="J35" s="18">
        <f>'27'!J36</f>
        <v>0.2695833333333334</v>
      </c>
      <c r="K35" s="18">
        <f>'27'!K36</f>
        <v>150.62291666666664</v>
      </c>
      <c r="L35" s="18">
        <f>'27'!L36</f>
        <v>28.051666666666666</v>
      </c>
      <c r="M35" s="18">
        <f>'27'!M36</f>
        <v>90.366666666666688</v>
      </c>
      <c r="N35" s="18">
        <f>'27'!N36</f>
        <v>155.91666666666666</v>
      </c>
      <c r="O35" s="18">
        <f>'27'!O36</f>
        <v>0</v>
      </c>
      <c r="P35" s="18">
        <f>'27'!P36</f>
        <v>0.63875000000000004</v>
      </c>
      <c r="Q35" s="18">
        <f>'27'!Q36</f>
        <v>4.2900000000000009</v>
      </c>
      <c r="R35" s="36"/>
      <c r="S35" s="36"/>
      <c r="T35" s="36"/>
      <c r="U35" s="36"/>
    </row>
    <row r="36" spans="1:21" s="2" customFormat="1">
      <c r="A36" s="16" t="str">
        <f>'28'!$B$2</f>
        <v>28/09/2023 01:00</v>
      </c>
      <c r="B36" s="18">
        <f>'28'!B36</f>
        <v>15.719166666666668</v>
      </c>
      <c r="C36" s="18">
        <f>'28'!C36</f>
        <v>28.360833333333328</v>
      </c>
      <c r="D36" s="18">
        <f>'28'!D36</f>
        <v>28.637499999999999</v>
      </c>
      <c r="E36" s="18">
        <f>'28'!E36</f>
        <v>9.0208333333333339</v>
      </c>
      <c r="F36" s="18">
        <f>'28'!F36</f>
        <v>6.6812499999999995</v>
      </c>
      <c r="G36" s="18">
        <f>'28'!G36</f>
        <v>61.805416666666673</v>
      </c>
      <c r="H36" s="18">
        <f>'28'!H36</f>
        <v>26.837500000000002</v>
      </c>
      <c r="I36" s="18">
        <f>'28'!I36</f>
        <v>15.56666666666667</v>
      </c>
      <c r="J36" s="18">
        <f>'28'!J36</f>
        <v>0.3775</v>
      </c>
      <c r="K36" s="18">
        <f>'28'!K36</f>
        <v>141.95291666666665</v>
      </c>
      <c r="L36" s="18">
        <f>'28'!L36</f>
        <v>28.919166666666666</v>
      </c>
      <c r="M36" s="18">
        <f>'28'!M36</f>
        <v>87.197499999999991</v>
      </c>
      <c r="N36" s="18">
        <f>'28'!N36</f>
        <v>174.89166666666665</v>
      </c>
      <c r="O36" s="18">
        <f>'28'!O36</f>
        <v>0</v>
      </c>
      <c r="P36" s="18">
        <f>'28'!P36</f>
        <v>0.77458333333333329</v>
      </c>
      <c r="Q36" s="18">
        <f>'28'!Q36</f>
        <v>4.2095833333333337</v>
      </c>
      <c r="R36" s="36"/>
      <c r="S36" s="36"/>
      <c r="T36" s="36"/>
      <c r="U36" s="36"/>
    </row>
    <row r="37" spans="1:21" s="2" customFormat="1">
      <c r="A37" s="16" t="str">
        <f>'29'!$B$2</f>
        <v>29/09/2023 01:00</v>
      </c>
      <c r="B37" s="18">
        <f>'29'!B36</f>
        <v>20.200000000000003</v>
      </c>
      <c r="C37" s="18">
        <f>'29'!C36</f>
        <v>27.643749999999997</v>
      </c>
      <c r="D37" s="18">
        <f>'29'!D36</f>
        <v>31.901666666666667</v>
      </c>
      <c r="E37" s="18">
        <f>'29'!E36</f>
        <v>10.782083333333334</v>
      </c>
      <c r="F37" s="18">
        <f>'29'!F36</f>
        <v>5.2404166666666665</v>
      </c>
      <c r="G37" s="18">
        <f>'29'!G36</f>
        <v>57.570833333333326</v>
      </c>
      <c r="H37" s="18">
        <f>'29'!H36</f>
        <v>23.531250000000004</v>
      </c>
      <c r="I37" s="18">
        <f>'29'!I36</f>
        <v>5.8437499999999991</v>
      </c>
      <c r="J37" s="18">
        <f>'29'!J36</f>
        <v>0.41</v>
      </c>
      <c r="K37" s="18">
        <f>'29'!K36</f>
        <v>172.80375000000001</v>
      </c>
      <c r="L37" s="18">
        <f>'29'!L36</f>
        <v>28.100416666666661</v>
      </c>
      <c r="M37" s="18">
        <f>'29'!M36</f>
        <v>88.455416666666679</v>
      </c>
      <c r="N37" s="18">
        <f>'29'!N36</f>
        <v>159.63333333333335</v>
      </c>
      <c r="O37" s="18">
        <f>'29'!O36</f>
        <v>4.1666666666666664E-2</v>
      </c>
      <c r="P37" s="18">
        <f>'29'!P36</f>
        <v>0.69874999999999998</v>
      </c>
      <c r="Q37" s="18">
        <f>'29'!Q36</f>
        <v>4.3833333333333329</v>
      </c>
      <c r="R37" s="36"/>
      <c r="S37" s="36"/>
      <c r="T37" s="36"/>
      <c r="U37" s="36"/>
    </row>
    <row r="38" spans="1:21" s="2" customFormat="1">
      <c r="A38" s="16" t="str">
        <f>'30'!$B$2</f>
        <v>30/09/2023 01:00</v>
      </c>
      <c r="B38" s="18">
        <f>'30'!B36</f>
        <v>12.657499999999999</v>
      </c>
      <c r="C38" s="18">
        <f>'30'!C36</f>
        <v>25.843333333333334</v>
      </c>
      <c r="D38" s="18">
        <f>'30'!D36</f>
        <v>24.782500000000002</v>
      </c>
      <c r="E38" s="18">
        <f>'30'!E36</f>
        <v>8.0050000000000008</v>
      </c>
      <c r="F38" s="18">
        <f>'30'!F36</f>
        <v>5.751666666666666</v>
      </c>
      <c r="G38" s="18">
        <f>'30'!G36</f>
        <v>33.945833333333333</v>
      </c>
      <c r="H38" s="18">
        <f>'30'!H36</f>
        <v>14.087916666666667</v>
      </c>
      <c r="I38" s="18">
        <f>'30'!I36</f>
        <v>5.8825000000000003</v>
      </c>
      <c r="J38" s="18">
        <f>'30'!J36</f>
        <v>0.34208333333333335</v>
      </c>
      <c r="K38" s="18">
        <f>'30'!K36</f>
        <v>267.28374999999994</v>
      </c>
      <c r="L38" s="18">
        <f>'30'!L36</f>
        <v>27.432083333333335</v>
      </c>
      <c r="M38" s="18">
        <f>'30'!M36</f>
        <v>89.136666666666656</v>
      </c>
      <c r="N38" s="18">
        <f>'30'!N36</f>
        <v>137.54583333333335</v>
      </c>
      <c r="O38" s="18">
        <f>'30'!O36</f>
        <v>0</v>
      </c>
      <c r="P38" s="18">
        <f>'30'!P36</f>
        <v>0.7154166666666667</v>
      </c>
      <c r="Q38" s="18">
        <f>'30'!Q36</f>
        <v>4.052083333333333</v>
      </c>
      <c r="R38" s="36"/>
      <c r="S38" s="36"/>
      <c r="T38" s="36"/>
      <c r="U38" s="36"/>
    </row>
    <row r="39" spans="1:21" s="1" customFormat="1">
      <c r="A39"/>
      <c r="R39" s="40"/>
      <c r="S39" s="40"/>
      <c r="T39" s="40"/>
      <c r="U39" s="40"/>
    </row>
    <row r="40" spans="1:21" s="1" customFormat="1">
      <c r="A40" s="3" t="s">
        <v>48</v>
      </c>
      <c r="B40" s="20">
        <f t="shared" ref="B40:Q40" si="0">MIN(B9:B38)</f>
        <v>8.6362499999999986</v>
      </c>
      <c r="C40" s="20">
        <f t="shared" si="0"/>
        <v>15.185416666666669</v>
      </c>
      <c r="D40" s="20">
        <f t="shared" si="0"/>
        <v>17.049166666666668</v>
      </c>
      <c r="E40" s="20">
        <f t="shared" si="0"/>
        <v>7.5654166666666667</v>
      </c>
      <c r="F40" s="20">
        <f t="shared" si="0"/>
        <v>4.7316666666666665</v>
      </c>
      <c r="G40" s="20">
        <f t="shared" si="0"/>
        <v>4.7691666666666661</v>
      </c>
      <c r="H40" s="20">
        <f t="shared" si="0"/>
        <v>2.063181818181818</v>
      </c>
      <c r="I40" s="20">
        <f t="shared" si="0"/>
        <v>2.8658333333333328</v>
      </c>
      <c r="J40" s="20">
        <f t="shared" si="0"/>
        <v>0.22874999999999993</v>
      </c>
      <c r="K40" s="20">
        <f t="shared" si="0"/>
        <v>141.95291666666665</v>
      </c>
      <c r="L40" s="20">
        <f t="shared" si="0"/>
        <v>24.985000000000003</v>
      </c>
      <c r="M40" s="20">
        <f t="shared" si="0"/>
        <v>79.625000000000014</v>
      </c>
      <c r="N40" s="20">
        <f t="shared" si="0"/>
        <v>38.779166666666669</v>
      </c>
      <c r="O40" s="20">
        <f t="shared" si="0"/>
        <v>0</v>
      </c>
      <c r="P40" s="20">
        <f t="shared" si="0"/>
        <v>0.37166666666666665</v>
      </c>
      <c r="Q40" s="20">
        <f t="shared" si="0"/>
        <v>3.851666666666667</v>
      </c>
      <c r="R40" s="40"/>
      <c r="S40" s="40"/>
      <c r="T40" s="40"/>
      <c r="U40" s="40"/>
    </row>
    <row r="41" spans="1:21" s="1" customFormat="1">
      <c r="A41" s="3" t="s">
        <v>49</v>
      </c>
      <c r="B41" s="20">
        <f t="shared" ref="B41:Q41" si="1">MAX(B9:B38)</f>
        <v>20.200000000000003</v>
      </c>
      <c r="C41" s="20">
        <f t="shared" si="1"/>
        <v>28.753913043478256</v>
      </c>
      <c r="D41" s="20">
        <f t="shared" si="1"/>
        <v>31.901666666666667</v>
      </c>
      <c r="E41" s="20">
        <f t="shared" si="1"/>
        <v>12.535833333333331</v>
      </c>
      <c r="F41" s="20">
        <f t="shared" si="1"/>
        <v>10.959999999999999</v>
      </c>
      <c r="G41" s="20">
        <f t="shared" si="1"/>
        <v>61.805416666666673</v>
      </c>
      <c r="H41" s="20">
        <f t="shared" si="1"/>
        <v>26.837500000000002</v>
      </c>
      <c r="I41" s="20">
        <f t="shared" si="1"/>
        <v>35.258333333333333</v>
      </c>
      <c r="J41" s="20">
        <f t="shared" si="1"/>
        <v>0.57416666666666694</v>
      </c>
      <c r="K41" s="20">
        <f t="shared" si="1"/>
        <v>305.9470833333333</v>
      </c>
      <c r="L41" s="20">
        <f t="shared" si="1"/>
        <v>30.257083333333327</v>
      </c>
      <c r="M41" s="20">
        <f t="shared" si="1"/>
        <v>98.130833333333328</v>
      </c>
      <c r="N41" s="20">
        <f t="shared" si="1"/>
        <v>252.49166666666667</v>
      </c>
      <c r="O41" s="20">
        <f t="shared" si="1"/>
        <v>1.9916666666666665</v>
      </c>
      <c r="P41" s="20">
        <f t="shared" si="1"/>
        <v>0.78874999999999995</v>
      </c>
      <c r="Q41" s="20">
        <f t="shared" si="1"/>
        <v>5.7833333333333323</v>
      </c>
      <c r="R41" s="40"/>
      <c r="S41" s="40"/>
      <c r="T41" s="40"/>
      <c r="U41" s="40"/>
    </row>
    <row r="42" spans="1:21" s="1" customFormat="1">
      <c r="A42" s="3" t="s">
        <v>50</v>
      </c>
      <c r="B42" s="20">
        <f t="shared" ref="B42:Q42" si="2">AVERAGE(B9:B38)</f>
        <v>12.779638285024157</v>
      </c>
      <c r="C42" s="20">
        <f t="shared" si="2"/>
        <v>21.101929951690821</v>
      </c>
      <c r="D42" s="20">
        <f t="shared" si="2"/>
        <v>22.493656400966188</v>
      </c>
      <c r="E42" s="20">
        <f t="shared" si="2"/>
        <v>8.9101202020202024</v>
      </c>
      <c r="F42" s="20">
        <f t="shared" si="2"/>
        <v>6.7443333333333326</v>
      </c>
      <c r="G42" s="20">
        <f t="shared" si="2"/>
        <v>27.517831082564776</v>
      </c>
      <c r="H42" s="20">
        <f t="shared" si="2"/>
        <v>10.503225625823452</v>
      </c>
      <c r="I42" s="20">
        <f t="shared" si="2"/>
        <v>6.4267361111111105</v>
      </c>
      <c r="J42" s="20">
        <f t="shared" si="2"/>
        <v>0.38816666666666666</v>
      </c>
      <c r="K42" s="20">
        <f t="shared" si="2"/>
        <v>243.01902777777775</v>
      </c>
      <c r="L42" s="20">
        <f t="shared" si="2"/>
        <v>27.343319444444443</v>
      </c>
      <c r="M42" s="20">
        <f t="shared" si="2"/>
        <v>89.867680555555566</v>
      </c>
      <c r="N42" s="20">
        <f t="shared" si="2"/>
        <v>143.98055555555564</v>
      </c>
      <c r="O42" s="20">
        <f t="shared" si="2"/>
        <v>0.32333333333333325</v>
      </c>
      <c r="P42" s="20">
        <f t="shared" si="2"/>
        <v>0.57523611111111106</v>
      </c>
      <c r="Q42" s="20">
        <f t="shared" si="2"/>
        <v>4.8701944444444454</v>
      </c>
      <c r="R42" s="40"/>
      <c r="S42" s="40"/>
      <c r="T42" s="40"/>
      <c r="U42" s="40"/>
    </row>
    <row r="43" spans="1:21" s="1" customFormat="1">
      <c r="A43" s="3" t="s">
        <v>51</v>
      </c>
      <c r="B43" s="20">
        <f t="shared" ref="B43:Q43" si="3">STDEV(B9:B38)</f>
        <v>3.1123939048212081</v>
      </c>
      <c r="C43" s="20">
        <f t="shared" si="3"/>
        <v>4.2468916578947358</v>
      </c>
      <c r="D43" s="20">
        <f t="shared" si="3"/>
        <v>4.5189994948086598</v>
      </c>
      <c r="E43" s="20">
        <f t="shared" si="3"/>
        <v>1.1843352683642903</v>
      </c>
      <c r="F43" s="20">
        <f t="shared" si="3"/>
        <v>1.5035373982227411</v>
      </c>
      <c r="G43" s="20">
        <f t="shared" si="3"/>
        <v>16.669079270294901</v>
      </c>
      <c r="H43" s="20">
        <f t="shared" si="3"/>
        <v>6.3466595482778052</v>
      </c>
      <c r="I43" s="20">
        <f t="shared" si="3"/>
        <v>6.1376225603280288</v>
      </c>
      <c r="J43" s="20">
        <f t="shared" si="3"/>
        <v>9.3159641850598857E-2</v>
      </c>
      <c r="K43" s="20">
        <f t="shared" si="3"/>
        <v>45.77045365980981</v>
      </c>
      <c r="L43" s="20">
        <f t="shared" si="3"/>
        <v>1.2883929940915073</v>
      </c>
      <c r="M43" s="20">
        <f t="shared" si="3"/>
        <v>4.874525683875274</v>
      </c>
      <c r="N43" s="20">
        <f t="shared" si="3"/>
        <v>48.961727032454888</v>
      </c>
      <c r="O43" s="20">
        <f t="shared" si="3"/>
        <v>0.56402952967449105</v>
      </c>
      <c r="P43" s="20">
        <f t="shared" si="3"/>
        <v>0.12197030895248369</v>
      </c>
      <c r="Q43" s="20">
        <f t="shared" si="3"/>
        <v>0.59392437682714738</v>
      </c>
      <c r="R43" s="33"/>
      <c r="S43" s="33"/>
      <c r="T43" s="33"/>
      <c r="U43" s="33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30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&gt;90%</v>
      </c>
      <c r="R45" s="33"/>
      <c r="S45" s="33"/>
      <c r="T45" s="33"/>
      <c r="U45" s="33"/>
    </row>
    <row r="46" spans="1:2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OK</v>
      </c>
      <c r="R46" s="1"/>
      <c r="S46" s="1"/>
      <c r="T46" s="1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2023-10-06T12:24:18Z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