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12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24519"/>
</workbook>
</file>

<file path=xl/calcChain.xml><?xml version="1.0" encoding="utf-8"?>
<calcChain xmlns="http://schemas.openxmlformats.org/spreadsheetml/2006/main">
  <c r="D23" i="5"/>
  <c r="D22"/>
  <c r="D21"/>
  <c r="D20"/>
  <c r="D19"/>
  <c r="D18"/>
  <c r="D17"/>
  <c r="D16"/>
  <c r="D15"/>
  <c r="D14"/>
  <c r="D13"/>
  <c r="D12"/>
  <c r="D11"/>
  <c r="D10"/>
  <c r="D9"/>
  <c r="D8"/>
  <c r="D24" s="1"/>
  <c r="D44" s="1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L38" i="39"/>
  <c r="J38"/>
  <c r="E38"/>
  <c r="C38"/>
  <c r="J37"/>
  <c r="F37"/>
  <c r="E37"/>
  <c r="B37"/>
  <c r="Q36"/>
  <c r="F36"/>
  <c r="D36"/>
  <c r="O35"/>
  <c r="N34"/>
  <c r="L34"/>
  <c r="D34"/>
  <c r="Q33"/>
  <c r="L33"/>
  <c r="D33"/>
  <c r="Q32"/>
  <c r="K31"/>
  <c r="O29"/>
  <c r="M29"/>
  <c r="K29"/>
  <c r="C29"/>
  <c r="P27"/>
  <c r="G27"/>
  <c r="B26"/>
  <c r="Q25"/>
  <c r="C25"/>
  <c r="B25"/>
  <c r="G21"/>
  <c r="F21"/>
  <c r="E21"/>
  <c r="H20"/>
  <c r="I19"/>
  <c r="J18"/>
  <c r="K17"/>
  <c r="M15"/>
  <c r="N14"/>
  <c r="O13"/>
  <c r="P12"/>
  <c r="Q11"/>
  <c r="A11"/>
  <c r="Q110" i="4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K108"/>
  <c r="K38" i="39" s="1"/>
  <c r="J108" i="40"/>
  <c r="I108"/>
  <c r="I38" i="39" s="1"/>
  <c r="H108" i="40"/>
  <c r="H38" i="39" s="1"/>
  <c r="G108" i="40"/>
  <c r="G38" i="39" s="1"/>
  <c r="F108" i="40"/>
  <c r="F38" i="39" s="1"/>
  <c r="E108" i="40"/>
  <c r="D108"/>
  <c r="D38" i="39" s="1"/>
  <c r="C108" i="40"/>
  <c r="B108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I108"/>
  <c r="I37" i="39" s="1"/>
  <c r="H108" i="44"/>
  <c r="H37" i="39" s="1"/>
  <c r="G108" i="44"/>
  <c r="G37" i="39" s="1"/>
  <c r="F108" i="44"/>
  <c r="E108"/>
  <c r="D108"/>
  <c r="D37" i="39" s="1"/>
  <c r="C108" i="44"/>
  <c r="C37" i="39" s="1"/>
  <c r="B108" i="44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E108"/>
  <c r="E36" i="39" s="1"/>
  <c r="D108" i="33"/>
  <c r="C108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2" i="32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N108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M108"/>
  <c r="M34" i="39" s="1"/>
  <c r="L108" i="31"/>
  <c r="K108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C108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3" i="39" s="1"/>
  <c r="O108" i="30"/>
  <c r="O33" i="39" s="1"/>
  <c r="N108" i="30"/>
  <c r="N33" i="39" s="1"/>
  <c r="M108" i="30"/>
  <c r="M33" i="39" s="1"/>
  <c r="L108" i="30"/>
  <c r="K108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C108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J10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M112" i="26"/>
  <c r="Q110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N108"/>
  <c r="N29" i="39" s="1"/>
  <c r="M108" i="26"/>
  <c r="L108"/>
  <c r="L29" i="39" s="1"/>
  <c r="K108" i="26"/>
  <c r="J108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B108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2" i="25"/>
  <c r="P112"/>
  <c r="O112"/>
  <c r="N111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O108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F108"/>
  <c r="F27" i="39" s="1"/>
  <c r="E108" i="24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2" i="19"/>
  <c r="P112"/>
  <c r="O112"/>
  <c r="N112"/>
  <c r="M112"/>
  <c r="L112"/>
  <c r="K112"/>
  <c r="J112"/>
  <c r="I112"/>
  <c r="H112"/>
  <c r="G112"/>
  <c r="F112"/>
  <c r="E112"/>
  <c r="D111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F108"/>
  <c r="E108"/>
  <c r="D10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G108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1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H108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I108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J108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2" i="13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L108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M108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N108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O108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P111" i="40" l="1"/>
  <c r="O111"/>
  <c r="N111"/>
  <c r="M111"/>
  <c r="L111"/>
  <c r="K111"/>
  <c r="J111"/>
  <c r="I111"/>
  <c r="H111"/>
  <c r="G111"/>
  <c r="F111"/>
  <c r="E111"/>
  <c r="D111"/>
  <c r="C111"/>
  <c r="B111"/>
  <c r="Q111"/>
  <c r="N111" i="44"/>
  <c r="M111"/>
  <c r="L111"/>
  <c r="K111"/>
  <c r="J111"/>
  <c r="I111"/>
  <c r="H111"/>
  <c r="G111"/>
  <c r="F111"/>
  <c r="E111"/>
  <c r="D111"/>
  <c r="C111"/>
  <c r="B111"/>
  <c r="Q111"/>
  <c r="P111"/>
  <c r="O111"/>
  <c r="L111" i="33"/>
  <c r="M111"/>
  <c r="K111"/>
  <c r="J111"/>
  <c r="I111"/>
  <c r="H111"/>
  <c r="G111"/>
  <c r="F111"/>
  <c r="E111"/>
  <c r="D111"/>
  <c r="C111"/>
  <c r="B111"/>
  <c r="Q111"/>
  <c r="P111"/>
  <c r="O111"/>
  <c r="N111"/>
  <c r="K111" i="32"/>
  <c r="J111"/>
  <c r="I111"/>
  <c r="H111"/>
  <c r="G111"/>
  <c r="F111"/>
  <c r="E111"/>
  <c r="D111"/>
  <c r="C111"/>
  <c r="B111"/>
  <c r="Q111"/>
  <c r="P111"/>
  <c r="O111"/>
  <c r="N111"/>
  <c r="M111"/>
  <c r="L111"/>
  <c r="I111" i="31"/>
  <c r="H111"/>
  <c r="G111"/>
  <c r="F111"/>
  <c r="E111"/>
  <c r="D111"/>
  <c r="C111"/>
  <c r="B111"/>
  <c r="Q111"/>
  <c r="P111"/>
  <c r="O111"/>
  <c r="N111"/>
  <c r="M111"/>
  <c r="L111"/>
  <c r="K111"/>
  <c r="J111"/>
  <c r="H111" i="30"/>
  <c r="G111"/>
  <c r="F111"/>
  <c r="E111"/>
  <c r="D111"/>
  <c r="C111"/>
  <c r="B111"/>
  <c r="Q111"/>
  <c r="P111"/>
  <c r="O111"/>
  <c r="N111"/>
  <c r="M111"/>
  <c r="L111"/>
  <c r="K111"/>
  <c r="J111"/>
  <c r="I111"/>
  <c r="I111" i="29"/>
  <c r="H111"/>
  <c r="G111"/>
  <c r="F111"/>
  <c r="E111"/>
  <c r="D111"/>
  <c r="C111"/>
  <c r="B111"/>
  <c r="Q111"/>
  <c r="P111"/>
  <c r="O111"/>
  <c r="N111"/>
  <c r="M111"/>
  <c r="L111"/>
  <c r="K111"/>
  <c r="J111"/>
  <c r="I111" i="28"/>
  <c r="H111"/>
  <c r="G111"/>
  <c r="J112"/>
  <c r="F111"/>
  <c r="E111"/>
  <c r="D111"/>
  <c r="C111"/>
  <c r="B111"/>
  <c r="Q111"/>
  <c r="P111"/>
  <c r="O111"/>
  <c r="N111"/>
  <c r="M111"/>
  <c r="L111"/>
  <c r="K111"/>
  <c r="K111" i="27"/>
  <c r="J111"/>
  <c r="I111"/>
  <c r="H111"/>
  <c r="G111"/>
  <c r="F111"/>
  <c r="E111"/>
  <c r="L112"/>
  <c r="D111"/>
  <c r="C111"/>
  <c r="B111"/>
  <c r="Q111"/>
  <c r="P111"/>
  <c r="O111"/>
  <c r="N111"/>
  <c r="M111"/>
  <c r="J111" i="26"/>
  <c r="I111"/>
  <c r="H111"/>
  <c r="G111"/>
  <c r="F111"/>
  <c r="E111"/>
  <c r="D111"/>
  <c r="C111"/>
  <c r="B111"/>
  <c r="Q111"/>
  <c r="P111"/>
  <c r="O111"/>
  <c r="N111"/>
  <c r="L111"/>
  <c r="K111"/>
  <c r="N112" i="25"/>
  <c r="M111"/>
  <c r="L111"/>
  <c r="K111"/>
  <c r="J111"/>
  <c r="I111"/>
  <c r="H111"/>
  <c r="G111"/>
  <c r="F111"/>
  <c r="E111"/>
  <c r="D111"/>
  <c r="C111"/>
  <c r="B111"/>
  <c r="Q111"/>
  <c r="P111"/>
  <c r="O111"/>
  <c r="N111" i="24"/>
  <c r="M111"/>
  <c r="L111"/>
  <c r="K111"/>
  <c r="J111"/>
  <c r="I111"/>
  <c r="H111"/>
  <c r="G111"/>
  <c r="F111"/>
  <c r="E111"/>
  <c r="D111"/>
  <c r="C111"/>
  <c r="B111"/>
  <c r="Q111"/>
  <c r="P111"/>
  <c r="O111"/>
  <c r="N111" i="23"/>
  <c r="M111"/>
  <c r="L111"/>
  <c r="K111"/>
  <c r="J111"/>
  <c r="I111"/>
  <c r="O112"/>
  <c r="H111"/>
  <c r="G111"/>
  <c r="F111"/>
  <c r="E111"/>
  <c r="D111"/>
  <c r="C111"/>
  <c r="B111"/>
  <c r="Q111"/>
  <c r="P111"/>
  <c r="L111" i="22"/>
  <c r="K111"/>
  <c r="J111"/>
  <c r="N111"/>
  <c r="I111"/>
  <c r="H111"/>
  <c r="G111"/>
  <c r="F111"/>
  <c r="M112"/>
  <c r="E111"/>
  <c r="D111"/>
  <c r="C111"/>
  <c r="B111"/>
  <c r="Q111"/>
  <c r="P111"/>
  <c r="O111"/>
  <c r="O111" i="21"/>
  <c r="P112"/>
  <c r="N111"/>
  <c r="M111"/>
  <c r="L111"/>
  <c r="K111"/>
  <c r="J111"/>
  <c r="I111"/>
  <c r="H111"/>
  <c r="G111"/>
  <c r="F111"/>
  <c r="E111"/>
  <c r="D111"/>
  <c r="C111"/>
  <c r="B111"/>
  <c r="Q111"/>
  <c r="B111" i="20"/>
  <c r="Q111"/>
  <c r="P111"/>
  <c r="O111"/>
  <c r="N111"/>
  <c r="M111"/>
  <c r="L111"/>
  <c r="K111"/>
  <c r="J111"/>
  <c r="I111"/>
  <c r="H111"/>
  <c r="G111"/>
  <c r="F111"/>
  <c r="E111"/>
  <c r="D111"/>
  <c r="C111"/>
  <c r="C111" i="19"/>
  <c r="B111"/>
  <c r="Q111"/>
  <c r="P111"/>
  <c r="D112"/>
  <c r="O111"/>
  <c r="N111"/>
  <c r="M111"/>
  <c r="L111"/>
  <c r="K111"/>
  <c r="J111"/>
  <c r="I111"/>
  <c r="H111"/>
  <c r="G111"/>
  <c r="F111"/>
  <c r="E111"/>
  <c r="B112" i="18"/>
  <c r="Q112"/>
  <c r="P111"/>
  <c r="O111"/>
  <c r="N111"/>
  <c r="D111"/>
  <c r="M111"/>
  <c r="L111"/>
  <c r="K111"/>
  <c r="C111"/>
  <c r="J111"/>
  <c r="I111"/>
  <c r="H111"/>
  <c r="G111"/>
  <c r="F111"/>
  <c r="E111"/>
  <c r="E111" i="17"/>
  <c r="D111"/>
  <c r="C111"/>
  <c r="B111"/>
  <c r="Q111"/>
  <c r="P111"/>
  <c r="O111"/>
  <c r="N111"/>
  <c r="M111"/>
  <c r="L111"/>
  <c r="K111"/>
  <c r="J111"/>
  <c r="I111"/>
  <c r="H111"/>
  <c r="G111"/>
  <c r="F111"/>
  <c r="E111" i="16"/>
  <c r="D111"/>
  <c r="C111"/>
  <c r="B111"/>
  <c r="Q111"/>
  <c r="P111"/>
  <c r="O111"/>
  <c r="N111"/>
  <c r="F112"/>
  <c r="M111"/>
  <c r="L111"/>
  <c r="K111"/>
  <c r="J111"/>
  <c r="I111"/>
  <c r="H111"/>
  <c r="G111"/>
  <c r="F111" i="15"/>
  <c r="E111"/>
  <c r="D111"/>
  <c r="C111"/>
  <c r="G112"/>
  <c r="B111"/>
  <c r="Q111"/>
  <c r="P111"/>
  <c r="O111"/>
  <c r="N111"/>
  <c r="M111"/>
  <c r="L111"/>
  <c r="K111"/>
  <c r="J111"/>
  <c r="I111"/>
  <c r="H111"/>
  <c r="G111" i="14"/>
  <c r="F111"/>
  <c r="E111"/>
  <c r="H112"/>
  <c r="D111"/>
  <c r="C111"/>
  <c r="B111"/>
  <c r="Q111"/>
  <c r="P111"/>
  <c r="O111"/>
  <c r="N111"/>
  <c r="M111"/>
  <c r="L111"/>
  <c r="K111"/>
  <c r="J111"/>
  <c r="I111"/>
  <c r="I111" i="13"/>
  <c r="H111"/>
  <c r="G111"/>
  <c r="F111"/>
  <c r="E111"/>
  <c r="D111"/>
  <c r="C111"/>
  <c r="B111"/>
  <c r="Q111"/>
  <c r="P111"/>
  <c r="O111"/>
  <c r="N111"/>
  <c r="M111"/>
  <c r="L111"/>
  <c r="K111"/>
  <c r="J111"/>
  <c r="J112" i="12"/>
  <c r="I111"/>
  <c r="H111"/>
  <c r="G111"/>
  <c r="F111"/>
  <c r="E111"/>
  <c r="D111"/>
  <c r="C111"/>
  <c r="B111"/>
  <c r="Q111"/>
  <c r="P111"/>
  <c r="O111"/>
  <c r="N111"/>
  <c r="M111"/>
  <c r="L111"/>
  <c r="K111"/>
  <c r="J111" i="11"/>
  <c r="I111"/>
  <c r="H111"/>
  <c r="G111"/>
  <c r="F111"/>
  <c r="E111"/>
  <c r="D111"/>
  <c r="C111"/>
  <c r="B111"/>
  <c r="K112"/>
  <c r="Q111"/>
  <c r="P111"/>
  <c r="O111"/>
  <c r="N111"/>
  <c r="M111"/>
  <c r="L111"/>
  <c r="K111" i="10"/>
  <c r="J111"/>
  <c r="I111"/>
  <c r="L111"/>
  <c r="H111"/>
  <c r="G111"/>
  <c r="F111"/>
  <c r="E111"/>
  <c r="D111"/>
  <c r="C111"/>
  <c r="B111"/>
  <c r="Q111"/>
  <c r="P111"/>
  <c r="O111"/>
  <c r="N111"/>
  <c r="M111"/>
  <c r="L111" i="9"/>
  <c r="K111"/>
  <c r="J111"/>
  <c r="I111"/>
  <c r="H111"/>
  <c r="G111"/>
  <c r="F111"/>
  <c r="E111"/>
  <c r="D111"/>
  <c r="C111"/>
  <c r="B111"/>
  <c r="Q111"/>
  <c r="M112"/>
  <c r="P111"/>
  <c r="O111"/>
  <c r="N111"/>
  <c r="L111" i="8"/>
  <c r="K111"/>
  <c r="J111"/>
  <c r="I111"/>
  <c r="H111"/>
  <c r="G111"/>
  <c r="F111"/>
  <c r="E111"/>
  <c r="D111"/>
  <c r="C111"/>
  <c r="B111"/>
  <c r="M112"/>
  <c r="Q111"/>
  <c r="P111"/>
  <c r="O111"/>
  <c r="N111"/>
  <c r="C44" i="39"/>
  <c r="C46" s="1"/>
  <c r="B44"/>
  <c r="B45" s="1"/>
  <c r="Q44"/>
  <c r="Q46" s="1"/>
  <c r="P44"/>
  <c r="P45" s="1"/>
  <c r="O111" i="3"/>
  <c r="O44" i="39"/>
  <c r="O45" s="1"/>
  <c r="N111" i="3"/>
  <c r="N44" i="39"/>
  <c r="N45" s="1"/>
  <c r="M111" i="3"/>
  <c r="L111"/>
  <c r="L44" i="39"/>
  <c r="L46" s="1"/>
  <c r="K111" i="3"/>
  <c r="J111"/>
  <c r="J44" i="39"/>
  <c r="J45" s="1"/>
  <c r="I111" i="3"/>
  <c r="I44" i="39"/>
  <c r="I45" s="1"/>
  <c r="H111" i="3"/>
  <c r="K44" i="39"/>
  <c r="K45" s="1"/>
  <c r="H44"/>
  <c r="H45" s="1"/>
  <c r="G111" i="3"/>
  <c r="M44" i="39"/>
  <c r="M45" s="1"/>
  <c r="G44"/>
  <c r="G45" s="1"/>
  <c r="F111" i="3"/>
  <c r="F44" i="39"/>
  <c r="F45" s="1"/>
  <c r="E111" i="3"/>
  <c r="D111"/>
  <c r="D44" i="39"/>
  <c r="D46" s="1"/>
  <c r="C111" i="3"/>
  <c r="B111"/>
  <c r="Q111"/>
  <c r="E44" i="39"/>
  <c r="E45" s="1"/>
  <c r="P111" i="3"/>
  <c r="Q111" i="2"/>
  <c r="H111"/>
  <c r="P111"/>
  <c r="O111"/>
  <c r="N111"/>
  <c r="M111"/>
  <c r="L111"/>
  <c r="K111"/>
  <c r="J111"/>
  <c r="I111"/>
  <c r="G111"/>
  <c r="F111"/>
  <c r="E111"/>
  <c r="D111"/>
  <c r="C111"/>
  <c r="B111"/>
  <c r="G40" i="39"/>
  <c r="G41"/>
  <c r="G42"/>
  <c r="G43"/>
  <c r="F40"/>
  <c r="F41"/>
  <c r="F42"/>
  <c r="F43"/>
  <c r="E40"/>
  <c r="E41"/>
  <c r="E42"/>
  <c r="E43"/>
  <c r="D40"/>
  <c r="D41"/>
  <c r="D42"/>
  <c r="D43"/>
  <c r="C40"/>
  <c r="C41"/>
  <c r="C42"/>
  <c r="C43"/>
  <c r="B40"/>
  <c r="B41"/>
  <c r="B42"/>
  <c r="B43"/>
  <c r="Q40"/>
  <c r="Q41"/>
  <c r="Q42"/>
  <c r="Q43"/>
  <c r="P40"/>
  <c r="P41"/>
  <c r="P42"/>
  <c r="P43"/>
  <c r="O40"/>
  <c r="O41"/>
  <c r="O42"/>
  <c r="O43"/>
  <c r="N40"/>
  <c r="N41"/>
  <c r="N42"/>
  <c r="N43"/>
  <c r="M40"/>
  <c r="M41"/>
  <c r="M42"/>
  <c r="M43"/>
  <c r="L40"/>
  <c r="L41"/>
  <c r="L42"/>
  <c r="L43"/>
  <c r="K40"/>
  <c r="K41"/>
  <c r="K42"/>
  <c r="K43"/>
  <c r="J40"/>
  <c r="J41"/>
  <c r="J42"/>
  <c r="J43"/>
  <c r="I40"/>
  <c r="I41"/>
  <c r="I42"/>
  <c r="I43"/>
  <c r="H40"/>
  <c r="H41"/>
  <c r="H42"/>
  <c r="H43"/>
  <c r="N46" l="1"/>
  <c r="J46"/>
  <c r="E46"/>
  <c r="L45"/>
  <c r="K46"/>
  <c r="I46"/>
  <c r="F46"/>
  <c r="D45"/>
  <c r="C45"/>
  <c r="B46"/>
  <c r="Q45"/>
  <c r="P46"/>
  <c r="O46"/>
  <c r="H46"/>
  <c r="G46"/>
  <c r="M46"/>
</calcChain>
</file>

<file path=xl/sharedStrings.xml><?xml version="1.0" encoding="utf-8"?>
<sst xmlns="http://schemas.openxmlformats.org/spreadsheetml/2006/main" count="5825" uniqueCount="3116">
  <si>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</si>
  <si>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</si>
  <si>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</si>
  <si>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</si>
  <si>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</si>
  <si>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</si>
  <si>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</si>
  <si>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</si>
  <si>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</si>
  <si>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</si>
  <si>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</si>
  <si>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</si>
  <si>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</si>
  <si>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</si>
  <si>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</si>
  <si>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</si>
  <si>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</si>
  <si>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</si>
  <si>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</si>
  <si>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</si>
  <si>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</si>
  <si>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</si>
  <si>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</si>
  <si>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</si>
  <si>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</si>
  <si>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</si>
  <si>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</si>
  <si>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</si>
  <si>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</si>
  <si>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</si>
  <si>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</si>
  <si>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</si>
  <si>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</si>
  <si>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</si>
  <si>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</si>
  <si>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</si>
  <si>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</si>
  <si>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</si>
  <si>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</si>
  <si>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</si>
  <si>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</si>
  <si>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</si>
  <si>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</si>
  <si>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</si>
  <si>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</si>
  <si>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</si>
  <si>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</si>
  <si>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</si>
  <si>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</si>
  <si>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</si>
  <si>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</si>
  <si>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</si>
  <si>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</si>
  <si>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</si>
  <si>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</si>
  <si>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</si>
  <si>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</si>
  <si>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</si>
  <si>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</si>
  <si>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</si>
  <si>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</si>
  <si>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</si>
  <si>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</si>
  <si>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</si>
  <si>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</si>
  <si>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</si>
  <si>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</si>
  <si>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</si>
  <si>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</si>
  <si>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</si>
  <si>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</si>
  <si>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</si>
  <si>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</si>
  <si>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</si>
  <si>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</si>
  <si>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</si>
  <si>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</si>
  <si>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</si>
  <si>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</si>
  <si>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</si>
  <si>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</si>
  <si>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</si>
  <si>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</si>
  <si>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</si>
  <si>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</si>
  <si>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</si>
  <si>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</si>
  <si>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</si>
  <si>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</si>
  <si>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</si>
  <si>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</si>
  <si>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</si>
  <si>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</si>
  <si>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</si>
  <si>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</si>
  <si>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</si>
  <si>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</si>
  <si>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</si>
  <si>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</si>
  <si>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</si>
  <si>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</si>
  <si>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</si>
  <si>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</si>
  <si>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</si>
  <si>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</si>
  <si>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</si>
  <si>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</si>
  <si>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</si>
  <si>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</si>
  <si>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</si>
  <si>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</si>
  <si>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</si>
  <si>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</si>
  <si>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</si>
  <si>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</si>
  <si>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</si>
  <si>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</si>
  <si>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</si>
  <si>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</si>
  <si>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</si>
  <si>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</si>
  <si>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</si>
  <si>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</si>
  <si>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</si>
  <si>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</si>
  <si>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</si>
  <si>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</si>
  <si>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</si>
  <si>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</si>
  <si>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</si>
  <si>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</si>
  <si>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</si>
  <si>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</si>
  <si>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</si>
  <si>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</si>
  <si>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</si>
  <si>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</si>
  <si>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</si>
  <si>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</si>
  <si>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</si>
  <si>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</si>
  <si>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</si>
  <si>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</si>
  <si>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</si>
  <si>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</si>
  <si>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</si>
  <si>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</si>
  <si>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</si>
  <si>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</si>
  <si>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</si>
  <si>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</si>
  <si>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</si>
  <si>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</si>
  <si>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</si>
  <si>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</si>
  <si>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</si>
  <si>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</si>
  <si>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</si>
  <si>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</si>
  <si>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</si>
  <si>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</si>
  <si>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</si>
  <si>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</si>
  <si>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</si>
  <si>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</si>
  <si>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</si>
  <si>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</si>
  <si>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</si>
  <si>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</si>
  <si>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</si>
  <si>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</si>
  <si>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</si>
  <si>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</si>
  <si>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</si>
  <si>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</si>
  <si>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</si>
  <si>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</si>
  <si>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</si>
  <si>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</si>
  <si>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</si>
  <si>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</si>
  <si>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</si>
  <si>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</si>
  <si>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</si>
  <si>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</si>
  <si>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</si>
  <si>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</si>
  <si>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</si>
  <si>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</si>
  <si>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</si>
  <si>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</si>
  <si>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</si>
  <si>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</si>
  <si>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</si>
  <si>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</si>
  <si>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</si>
  <si>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</si>
  <si>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</si>
  <si>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</si>
  <si>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</si>
  <si>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</si>
  <si>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</si>
  <si>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</si>
  <si>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</si>
  <si>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</si>
  <si>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</si>
  <si>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</si>
  <si>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</si>
  <si>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</si>
  <si>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</si>
  <si>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</si>
  <si>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</si>
  <si>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</si>
  <si>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</si>
  <si>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</si>
  <si>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</si>
  <si>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</si>
  <si>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</si>
  <si>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</si>
  <si>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</si>
  <si>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</si>
  <si>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</si>
  <si>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</si>
  <si>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</si>
  <si>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</si>
  <si>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</si>
  <si>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</si>
  <si>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</si>
  <si>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</si>
  <si>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</si>
  <si>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</si>
  <si>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</si>
  <si>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</si>
  <si>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</si>
  <si>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</si>
  <si>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</si>
  <si>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</si>
  <si>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</si>
  <si>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01/09/2022 00:15 - 30/09/2022 00:00</t>
  </si>
  <si>
    <t>01/09/2023 00:15</t>
  </si>
  <si>
    <t>01/09/2023 00:30</t>
  </si>
  <si>
    <t>01/09/2023 00:45</t>
  </si>
  <si>
    <t>01/09/2023 01:00</t>
  </si>
  <si>
    <t>01/09/2023 01:15</t>
  </si>
  <si>
    <t>01/09/2023 01:30</t>
  </si>
  <si>
    <t>01/09/2023 01:45</t>
  </si>
  <si>
    <t>01/09/2023 02:00</t>
  </si>
  <si>
    <t>01/09/2023 02:15</t>
  </si>
  <si>
    <t>01/09/2023 02:30</t>
  </si>
  <si>
    <t>01/09/2023 02:45</t>
  </si>
  <si>
    <t>01/09/2023 03:00</t>
  </si>
  <si>
    <t>01/09/2023 03:15</t>
  </si>
  <si>
    <t>01/09/2023 03:30</t>
  </si>
  <si>
    <t>01/09/2023 03:45</t>
  </si>
  <si>
    <t>01/09/2023 04:00</t>
  </si>
  <si>
    <t>01/09/2023 04:15</t>
  </si>
  <si>
    <t>01/09/2023 04:30</t>
  </si>
  <si>
    <t>01/09/2023 04:45</t>
  </si>
  <si>
    <t>01/09/2023 05:00</t>
  </si>
  <si>
    <t>01/09/2023 05:15</t>
  </si>
  <si>
    <t>01/09/2023 05:30</t>
  </si>
  <si>
    <t>01/09/2023 05:45</t>
  </si>
  <si>
    <t>01/09/2023 06:00</t>
  </si>
  <si>
    <t>01/09/2023 06:15</t>
  </si>
  <si>
    <t>01/09/2023 06:30</t>
  </si>
  <si>
    <t>01/09/2023 06:45</t>
  </si>
  <si>
    <t>01/09/2023 07:00</t>
  </si>
  <si>
    <t>01/09/2023 07:15</t>
  </si>
  <si>
    <t>01/09/2023 07:30</t>
  </si>
  <si>
    <t>01/09/2023 07:45</t>
  </si>
  <si>
    <t>01/09/2023 08:00</t>
  </si>
  <si>
    <t>01/09/2023 08:15</t>
  </si>
  <si>
    <t>01/09/2023 08:30</t>
  </si>
  <si>
    <t>01/09/2023 08:45</t>
  </si>
  <si>
    <t>01/09/2023 09:00</t>
  </si>
  <si>
    <t>01/09/2023 09:15</t>
  </si>
  <si>
    <t>01/09/2023 09:30</t>
  </si>
  <si>
    <t>01/09/2023 09:45</t>
  </si>
  <si>
    <t>01/09/2023 10:00</t>
  </si>
  <si>
    <t>01/09/2023 10:15</t>
  </si>
  <si>
    <t>01/09/2023 10:30</t>
  </si>
  <si>
    <t>01/09/2023 10:45</t>
  </si>
  <si>
    <t>01/09/2023 11:00</t>
  </si>
  <si>
    <t>01/09/2023 11:15</t>
  </si>
  <si>
    <t>01/09/2023 11:30</t>
  </si>
  <si>
    <t>01/09/2023 11:45</t>
  </si>
  <si>
    <t>01/09/2023 12:00</t>
  </si>
  <si>
    <t>01/09/2023 12:15</t>
  </si>
  <si>
    <t>01/09/2023 12:30</t>
  </si>
  <si>
    <t>01/09/2023 12:45</t>
  </si>
  <si>
    <t>01/09/2023 13:00</t>
  </si>
  <si>
    <t>01/09/2023 13:15</t>
  </si>
  <si>
    <t>01/09/2023 13:30</t>
  </si>
  <si>
    <t>01/09/2023 13:45</t>
  </si>
  <si>
    <t>01/09/2023 14:00</t>
  </si>
  <si>
    <t>01/09/2023 14:15</t>
  </si>
  <si>
    <t>01/09/2023 14:30</t>
  </si>
  <si>
    <t>01/09/2023 14:45</t>
  </si>
  <si>
    <t>01/09/2023 15:00</t>
  </si>
  <si>
    <t>01/09/2023 15:15</t>
  </si>
  <si>
    <t>01/09/2023 15:30</t>
  </si>
  <si>
    <t>01/09/2023 15:45</t>
  </si>
  <si>
    <t>01/09/2023 16:00</t>
  </si>
  <si>
    <t>01/09/2023 16:15</t>
  </si>
  <si>
    <t>01/09/2023 16:30</t>
  </si>
  <si>
    <t>01/09/2023 16:45</t>
  </si>
  <si>
    <t>01/09/2023 17:00</t>
  </si>
  <si>
    <t>01/09/2023 17:15</t>
  </si>
  <si>
    <t>01/09/2023 17:30</t>
  </si>
  <si>
    <t>01/09/2023 17:45</t>
  </si>
  <si>
    <t>01/09/2023 18:00</t>
  </si>
  <si>
    <t>01/09/2023 18:15</t>
  </si>
  <si>
    <t>01/09/2023 18:30</t>
  </si>
  <si>
    <t>01/09/2023 18:45</t>
  </si>
  <si>
    <t>01/09/2023 19:00</t>
  </si>
  <si>
    <t>01/09/2023 19:15</t>
  </si>
  <si>
    <t>01/09/2023 19:30</t>
  </si>
  <si>
    <t>01/09/2023 19:45</t>
  </si>
  <si>
    <t>01/09/2023 20:00</t>
  </si>
  <si>
    <t>01/09/2023 20:15</t>
  </si>
  <si>
    <t>01/09/2023 20:30</t>
  </si>
  <si>
    <t>01/09/2023 20:45</t>
  </si>
  <si>
    <t>01/09/2023 21:00</t>
  </si>
  <si>
    <t>01/09/2023 21:15</t>
  </si>
  <si>
    <t>01/09/2023 21:30</t>
  </si>
  <si>
    <t>01/09/2023 21:45</t>
  </si>
  <si>
    <t>01/09/2023 22:00</t>
  </si>
  <si>
    <t>01/09/2023 22:15</t>
  </si>
  <si>
    <t>01/09/2023 22:30</t>
  </si>
  <si>
    <t>01/09/2023 22:45</t>
  </si>
  <si>
    <t>01/09/2023 23:00</t>
  </si>
  <si>
    <t>01/09/2023 23:15</t>
  </si>
  <si>
    <t>01/09/2023 23:30</t>
  </si>
  <si>
    <t>01/09/2023 23:45</t>
  </si>
  <si>
    <t>01/09/2023 24:00</t>
  </si>
  <si>
    <t>02/09/2023 00:15</t>
  </si>
  <si>
    <t>02/09/2023 00:30</t>
  </si>
  <si>
    <t>02/09/2023 00:45</t>
  </si>
  <si>
    <t>02/09/2023 01:00</t>
  </si>
  <si>
    <t>02/09/2023 01:15</t>
  </si>
  <si>
    <t>02/09/2023 01:30</t>
  </si>
  <si>
    <t>02/09/2023 01:45</t>
  </si>
  <si>
    <t>02/09/2023 02:00</t>
  </si>
  <si>
    <t>02/09/2023 02:15</t>
  </si>
  <si>
    <t>02/09/2023 02:30</t>
  </si>
  <si>
    <t>02/09/2023 02:45</t>
  </si>
  <si>
    <t>02/09/2023 03:00</t>
  </si>
  <si>
    <t>02/09/2023 03:15</t>
  </si>
  <si>
    <t>02/09/2023 03:30</t>
  </si>
  <si>
    <t>02/09/2023 03:45</t>
  </si>
  <si>
    <t>02/09/2023 04:00</t>
  </si>
  <si>
    <t>02/09/2023 04:15</t>
  </si>
  <si>
    <t>02/09/2023 04:30</t>
  </si>
  <si>
    <t>02/09/2023 04:45</t>
  </si>
  <si>
    <t>02/09/2023 05:00</t>
  </si>
  <si>
    <t>02/09/2023 05:15</t>
  </si>
  <si>
    <t>02/09/2023 05:30</t>
  </si>
  <si>
    <t>02/09/2023 05:45</t>
  </si>
  <si>
    <t>02/09/2023 06:00</t>
  </si>
  <si>
    <t>02/09/2023 06:15</t>
  </si>
  <si>
    <t>02/09/2023 06:30</t>
  </si>
  <si>
    <t>02/09/2023 06:45</t>
  </si>
  <si>
    <t>02/09/2023 07:00</t>
  </si>
  <si>
    <t>02/09/2023 07:15</t>
  </si>
  <si>
    <t>02/09/2023 07:30</t>
  </si>
  <si>
    <t>02/09/2023 07:45</t>
  </si>
  <si>
    <t>02/09/2023 08:00</t>
  </si>
  <si>
    <t>02/09/2023 08:15</t>
  </si>
  <si>
    <t>02/09/2023 08:30</t>
  </si>
  <si>
    <t>02/09/2023 08:45</t>
  </si>
  <si>
    <t>02/09/2023 09:00</t>
  </si>
  <si>
    <t>02/09/2023 09:15</t>
  </si>
  <si>
    <t>02/09/2023 09:30</t>
  </si>
  <si>
    <t>02/09/2023 09:45</t>
  </si>
  <si>
    <t>02/09/2023 10:00</t>
  </si>
  <si>
    <t>02/09/2023 10:15</t>
  </si>
  <si>
    <t>02/09/2023 10:30</t>
  </si>
  <si>
    <t>02/09/2023 10:45</t>
  </si>
  <si>
    <t>02/09/2023 11:00</t>
  </si>
  <si>
    <t>02/09/2023 11:15</t>
  </si>
  <si>
    <t>02/09/2023 11:30</t>
  </si>
  <si>
    <t>02/09/2023 11:45</t>
  </si>
  <si>
    <t>02/09/2023 12:00</t>
  </si>
  <si>
    <t>02/09/2023 12:15</t>
  </si>
  <si>
    <t>02/09/2023 12:30</t>
  </si>
  <si>
    <t>02/09/2023 12:45</t>
  </si>
  <si>
    <t>02/09/2023 13:00</t>
  </si>
  <si>
    <t>02/09/2023 13:15</t>
  </si>
  <si>
    <t>02/09/2023 13:30</t>
  </si>
  <si>
    <t>02/09/2023 13:45</t>
  </si>
  <si>
    <t>02/09/2023 14:00</t>
  </si>
  <si>
    <t>02/09/2023 14:15</t>
  </si>
  <si>
    <t>02/09/2023 14:30</t>
  </si>
  <si>
    <t>02/09/2023 14:45</t>
  </si>
  <si>
    <t>02/09/2023 15:00</t>
  </si>
  <si>
    <t>02/09/2023 15:15</t>
  </si>
  <si>
    <t>02/09/2023 15:30</t>
  </si>
  <si>
    <t>02/09/2023 15:45</t>
  </si>
  <si>
    <t>02/09/2023 16:00</t>
  </si>
  <si>
    <t>02/09/2023 16:15</t>
  </si>
  <si>
    <t>02/09/2023 16:30</t>
  </si>
  <si>
    <t>02/09/2023 16:45</t>
  </si>
  <si>
    <t>02/09/2023 17:00</t>
  </si>
  <si>
    <t>02/09/2023 17:15</t>
  </si>
  <si>
    <t>02/09/2023 17:30</t>
  </si>
  <si>
    <t>02/09/2023 17:45</t>
  </si>
  <si>
    <t>02/09/2023 18:00</t>
  </si>
  <si>
    <t>02/09/2023 18:15</t>
  </si>
  <si>
    <t>02/09/2023 18:30</t>
  </si>
  <si>
    <t>02/09/2023 18:45</t>
  </si>
  <si>
    <t>02/09/2023 19:00</t>
  </si>
  <si>
    <t>02/09/2023 19:15</t>
  </si>
  <si>
    <t>02/09/2023 19:30</t>
  </si>
  <si>
    <t>02/09/2023 19:45</t>
  </si>
  <si>
    <t>02/09/2023 20:00</t>
  </si>
  <si>
    <t>02/09/2023 20:15</t>
  </si>
  <si>
    <t>02/09/2023 20:30</t>
  </si>
  <si>
    <t>02/09/2023 20:45</t>
  </si>
  <si>
    <t>02/09/2023 21:00</t>
  </si>
  <si>
    <t>02/09/2023 21:15</t>
  </si>
  <si>
    <t>02/09/2023 21:30</t>
  </si>
  <si>
    <t>02/09/2023 21:45</t>
  </si>
  <si>
    <t>02/09/2023 22:00</t>
  </si>
  <si>
    <t>02/09/2023 22:15</t>
  </si>
  <si>
    <t>02/09/2023 22:30</t>
  </si>
  <si>
    <t>02/09/2023 22:45</t>
  </si>
  <si>
    <t>02/09/2023 23:00</t>
  </si>
  <si>
    <t>02/09/2023 23:15</t>
  </si>
  <si>
    <t>02/09/2023 23:30</t>
  </si>
  <si>
    <t>02/09/2023 23:45</t>
  </si>
  <si>
    <t>02/09/2023 24:00</t>
  </si>
  <si>
    <t>03/09/2023 00:15</t>
  </si>
  <si>
    <t>03/09/2023 00:30</t>
  </si>
  <si>
    <t>03/09/2023 00:45</t>
  </si>
  <si>
    <t>03/09/2023 01:00</t>
  </si>
  <si>
    <t>03/09/2023 01:15</t>
  </si>
  <si>
    <t>03/09/2023 01:30</t>
  </si>
  <si>
    <t>03/09/2023 01:45</t>
  </si>
  <si>
    <t>03/09/2023 02:00</t>
  </si>
  <si>
    <t>03/09/2023 02:15</t>
  </si>
  <si>
    <t>03/09/2023 02:30</t>
  </si>
  <si>
    <t>03/09/2023 02:45</t>
  </si>
  <si>
    <t>03/09/2023 03:00</t>
  </si>
  <si>
    <t>03/09/2023 03:15</t>
  </si>
  <si>
    <t>03/09/2023 03:30</t>
  </si>
  <si>
    <t>03/09/2023 03:45</t>
  </si>
  <si>
    <t>03/09/2023 04:00</t>
  </si>
  <si>
    <t>03/09/2023 04:15</t>
  </si>
  <si>
    <t>03/09/2023 04:30</t>
  </si>
  <si>
    <t>03/09/2023 04:45</t>
  </si>
  <si>
    <t>03/09/2023 05:00</t>
  </si>
  <si>
    <t>03/09/2023 05:15</t>
  </si>
  <si>
    <t>03/09/2023 05:30</t>
  </si>
  <si>
    <t>03/09/2023 05:45</t>
  </si>
  <si>
    <t>03/09/2023 06:00</t>
  </si>
  <si>
    <t>03/09/2023 06:15</t>
  </si>
  <si>
    <t>03/09/2023 06:30</t>
  </si>
  <si>
    <t>03/09/2023 06:45</t>
  </si>
  <si>
    <t>03/09/2023 07:00</t>
  </si>
  <si>
    <t>03/09/2023 07:15</t>
  </si>
  <si>
    <t>03/09/2023 07:30</t>
  </si>
  <si>
    <t>03/09/2023 07:45</t>
  </si>
  <si>
    <t>03/09/2023 08:00</t>
  </si>
  <si>
    <t>03/09/2023 08:15</t>
  </si>
  <si>
    <t>03/09/2023 08:30</t>
  </si>
  <si>
    <t>03/09/2023 08:45</t>
  </si>
  <si>
    <t>03/09/2023 09:00</t>
  </si>
  <si>
    <t>03/09/2023 09:15</t>
  </si>
  <si>
    <t>03/09/2023 09:30</t>
  </si>
  <si>
    <t>03/09/2023 09:45</t>
  </si>
  <si>
    <t>03/09/2023 10:00</t>
  </si>
  <si>
    <t>03/09/2023 10:15</t>
  </si>
  <si>
    <t>03/09/2023 10:30</t>
  </si>
  <si>
    <t>03/09/2023 10:45</t>
  </si>
  <si>
    <t>03/09/2023 11:00</t>
  </si>
  <si>
    <t>03/09/2023 11:15</t>
  </si>
  <si>
    <t>03/09/2023 11:30</t>
  </si>
  <si>
    <t>03/09/2023 11:45</t>
  </si>
  <si>
    <t>03/09/2023 12:00</t>
  </si>
  <si>
    <t>03/09/2023 12:15</t>
  </si>
  <si>
    <t>03/09/2023 12:30</t>
  </si>
  <si>
    <t>03/09/2023 12:45</t>
  </si>
  <si>
    <t>03/09/2023 13:00</t>
  </si>
  <si>
    <t>03/09/2023 13:15</t>
  </si>
  <si>
    <t>03/09/2023 13:30</t>
  </si>
  <si>
    <t>03/09/2023 13:45</t>
  </si>
  <si>
    <t>03/09/2023 14:00</t>
  </si>
  <si>
    <t>03/09/2023 14:15</t>
  </si>
  <si>
    <t>03/09/2023 14:30</t>
  </si>
  <si>
    <t>03/09/2023 14:45</t>
  </si>
  <si>
    <t>03/09/2023 15:00</t>
  </si>
  <si>
    <t>03/09/2023 15:15</t>
  </si>
  <si>
    <t>03/09/2023 15:30</t>
  </si>
  <si>
    <t>03/09/2023 15:45</t>
  </si>
  <si>
    <t>03/09/2023 16:00</t>
  </si>
  <si>
    <t>03/09/2023 16:15</t>
  </si>
  <si>
    <t>03/09/2023 16:30</t>
  </si>
  <si>
    <t>03/09/2023 16:45</t>
  </si>
  <si>
    <t>03/09/2023 17:00</t>
  </si>
  <si>
    <t>03/09/2023 17:15</t>
  </si>
  <si>
    <t>03/09/2023 17:30</t>
  </si>
  <si>
    <t>03/09/2023 17:45</t>
  </si>
  <si>
    <t>03/09/2023 18:00</t>
  </si>
  <si>
    <t>03/09/2023 18:15</t>
  </si>
  <si>
    <t>03/09/2023 18:30</t>
  </si>
  <si>
    <t>03/09/2023 18:45</t>
  </si>
  <si>
    <t>03/09/2023 19:00</t>
  </si>
  <si>
    <t>03/09/2023 19:15</t>
  </si>
  <si>
    <t>03/09/2023 19:30</t>
  </si>
  <si>
    <t>03/09/2023 19:45</t>
  </si>
  <si>
    <t>03/09/2023 20:00</t>
  </si>
  <si>
    <t>03/09/2023 20:15</t>
  </si>
  <si>
    <t>03/09/2023 20:30</t>
  </si>
  <si>
    <t>03/09/2023 20:45</t>
  </si>
  <si>
    <t>03/09/2023 21:00</t>
  </si>
  <si>
    <t>03/09/2023 21:15</t>
  </si>
  <si>
    <t>03/09/2023 21:30</t>
  </si>
  <si>
    <t>03/09/2023 21:45</t>
  </si>
  <si>
    <t>03/09/2023 22:00</t>
  </si>
  <si>
    <t>03/09/2023 22:15</t>
  </si>
  <si>
    <t>03/09/2023 22:30</t>
  </si>
  <si>
    <t>03/09/2023 22:45</t>
  </si>
  <si>
    <t>03/09/2023 23:00</t>
  </si>
  <si>
    <t>03/09/2023 23:15</t>
  </si>
  <si>
    <t>03/09/2023 23:30</t>
  </si>
  <si>
    <t>03/09/2023 23:45</t>
  </si>
  <si>
    <t>03/09/2023 24:00</t>
  </si>
  <si>
    <t>04/09/2023 00:15</t>
  </si>
  <si>
    <t>04/09/2023 00:30</t>
  </si>
  <si>
    <t>04/09/2023 00:45</t>
  </si>
  <si>
    <t>04/09/2023 01:00</t>
  </si>
  <si>
    <t>04/09/2023 01:15</t>
  </si>
  <si>
    <t>04/09/2023 01:30</t>
  </si>
  <si>
    <t>04/09/2023 01:45</t>
  </si>
  <si>
    <t>04/09/2023 02:00</t>
  </si>
  <si>
    <t>04/09/2023 02:15</t>
  </si>
  <si>
    <t>04/09/2023 02:30</t>
  </si>
  <si>
    <t>04/09/2023 02:45</t>
  </si>
  <si>
    <t>04/09/2023 03:00</t>
  </si>
  <si>
    <t>04/09/2023 03:15</t>
  </si>
  <si>
    <t>04/09/2023 03:30</t>
  </si>
  <si>
    <t>04/09/2023 03:45</t>
  </si>
  <si>
    <t>04/09/2023 04:00</t>
  </si>
  <si>
    <t>04/09/2023 04:15</t>
  </si>
  <si>
    <t>04/09/2023 04:30</t>
  </si>
  <si>
    <t>04/09/2023 04:45</t>
  </si>
  <si>
    <t>04/09/2023 05:00</t>
  </si>
  <si>
    <t>04/09/2023 05:15</t>
  </si>
  <si>
    <t>04/09/2023 05:30</t>
  </si>
  <si>
    <t>04/09/2023 05:45</t>
  </si>
  <si>
    <t>04/09/2023 06:00</t>
  </si>
  <si>
    <t>04/09/2023 06:15</t>
  </si>
  <si>
    <t>04/09/2023 06:30</t>
  </si>
  <si>
    <t>04/09/2023 06:45</t>
  </si>
  <si>
    <t>04/09/2023 07:00</t>
  </si>
  <si>
    <t>04/09/2023 07:15</t>
  </si>
  <si>
    <t>04/09/2023 07:30</t>
  </si>
  <si>
    <t>04/09/2023 07:45</t>
  </si>
  <si>
    <t>04/09/2023 08:00</t>
  </si>
  <si>
    <t>04/09/2023 08:15</t>
  </si>
  <si>
    <t>04/09/2023 08:30</t>
  </si>
  <si>
    <t>04/09/2023 08:45</t>
  </si>
  <si>
    <t>04/09/2023 09:00</t>
  </si>
  <si>
    <t>04/09/2023 09:15</t>
  </si>
  <si>
    <t>04/09/2023 09:30</t>
  </si>
  <si>
    <t>04/09/2023 09:45</t>
  </si>
  <si>
    <t>04/09/2023 10:00</t>
  </si>
  <si>
    <t>04/09/2023 10:15</t>
  </si>
  <si>
    <t>04/09/2023 10:30</t>
  </si>
  <si>
    <t>04/09/2023 10:45</t>
  </si>
  <si>
    <t>04/09/2023 11:00</t>
  </si>
  <si>
    <t>04/09/2023 11:15</t>
  </si>
  <si>
    <t>04/09/2023 11:30</t>
  </si>
  <si>
    <t>04/09/2023 11:45</t>
  </si>
  <si>
    <t>04/09/2023 12:00</t>
  </si>
  <si>
    <t>04/09/2023 12:15</t>
  </si>
  <si>
    <t>04/09/2023 12:30</t>
  </si>
  <si>
    <t>04/09/2023 12:45</t>
  </si>
  <si>
    <t>04/09/2023 13:00</t>
  </si>
  <si>
    <t>04/09/2023 13:15</t>
  </si>
  <si>
    <t>04/09/2023 13:30</t>
  </si>
  <si>
    <t>04/09/2023 13:45</t>
  </si>
  <si>
    <t>04/09/2023 14:00</t>
  </si>
  <si>
    <t>04/09/2023 14:15</t>
  </si>
  <si>
    <t>04/09/2023 14:30</t>
  </si>
  <si>
    <t>04/09/2023 14:45</t>
  </si>
  <si>
    <t>04/09/2023 15:00</t>
  </si>
  <si>
    <t>04/09/2023 15:15</t>
  </si>
  <si>
    <t>04/09/2023 15:30</t>
  </si>
  <si>
    <t>04/09/2023 15:45</t>
  </si>
  <si>
    <t>04/09/2023 16:00</t>
  </si>
  <si>
    <t>04/09/2023 16:15</t>
  </si>
  <si>
    <t>04/09/2023 16:30</t>
  </si>
  <si>
    <t>04/09/2023 16:45</t>
  </si>
  <si>
    <t>04/09/2023 17:00</t>
  </si>
  <si>
    <t>04/09/2023 17:15</t>
  </si>
  <si>
    <t>04/09/2023 17:30</t>
  </si>
  <si>
    <t>04/09/2023 17:45</t>
  </si>
  <si>
    <t>04/09/2023 18:00</t>
  </si>
  <si>
    <t>04/09/2023 18:15</t>
  </si>
  <si>
    <t>04/09/2023 18:30</t>
  </si>
  <si>
    <t>04/09/2023 18:45</t>
  </si>
  <si>
    <t>04/09/2023 19:00</t>
  </si>
  <si>
    <t>04/09/2023 19:15</t>
  </si>
  <si>
    <t>04/09/2023 19:30</t>
  </si>
  <si>
    <t>04/09/2023 19:45</t>
  </si>
  <si>
    <t>04/09/2023 20:00</t>
  </si>
  <si>
    <t>04/09/2023 20:15</t>
  </si>
  <si>
    <t>04/09/2023 20:30</t>
  </si>
  <si>
    <t>04/09/2023 20:45</t>
  </si>
  <si>
    <t>04/09/2023 21:00</t>
  </si>
  <si>
    <t>04/09/2023 21:15</t>
  </si>
  <si>
    <t>04/09/2023 21:30</t>
  </si>
  <si>
    <t>04/09/2023 21:45</t>
  </si>
  <si>
    <t>04/09/2023 22:00</t>
  </si>
  <si>
    <t>04/09/2023 22:15</t>
  </si>
  <si>
    <t>04/09/2023 22:30</t>
  </si>
  <si>
    <t>04/09/2023 22:45</t>
  </si>
  <si>
    <t>04/09/2023 23:00</t>
  </si>
  <si>
    <t>04/09/2023 23:15</t>
  </si>
  <si>
    <t>04/09/2023 23:30</t>
  </si>
  <si>
    <t>04/09/2023 23:45</t>
  </si>
  <si>
    <t>04/09/2023 24:00</t>
  </si>
  <si>
    <t>05/09/2023 00:15</t>
  </si>
  <si>
    <t>05/09/2023 00:30</t>
  </si>
  <si>
    <t>05/09/2023 00:45</t>
  </si>
  <si>
    <t>05/09/2023 01:00</t>
  </si>
  <si>
    <t>05/09/2023 01:15</t>
  </si>
  <si>
    <t>05/09/2023 01:30</t>
  </si>
  <si>
    <t>05/09/2023 01:45</t>
  </si>
  <si>
    <t>05/09/2023 02:00</t>
  </si>
  <si>
    <t>05/09/2023 02:15</t>
  </si>
  <si>
    <t>05/09/2023 02:30</t>
  </si>
  <si>
    <t>05/09/2023 02:45</t>
  </si>
  <si>
    <t>05/09/2023 03:00</t>
  </si>
  <si>
    <t>05/09/2023 03:15</t>
  </si>
  <si>
    <t>05/09/2023 03:30</t>
  </si>
  <si>
    <t>05/09/2023 03:45</t>
  </si>
  <si>
    <t>05/09/2023 04:00</t>
  </si>
  <si>
    <t>05/09/2023 04:15</t>
  </si>
  <si>
    <t>05/09/2023 04:30</t>
  </si>
  <si>
    <t>05/09/2023 04:45</t>
  </si>
  <si>
    <t>05/09/2023 05:00</t>
  </si>
  <si>
    <t>05/09/2023 05:15</t>
  </si>
  <si>
    <t>05/09/2023 05:30</t>
  </si>
  <si>
    <t>05/09/2023 05:45</t>
  </si>
  <si>
    <t>05/09/2023 06:00</t>
  </si>
  <si>
    <t>05/09/2023 06:15</t>
  </si>
  <si>
    <t>05/09/2023 06:30</t>
  </si>
  <si>
    <t>05/09/2023 06:45</t>
  </si>
  <si>
    <t>05/09/2023 07:00</t>
  </si>
  <si>
    <t>05/09/2023 07:15</t>
  </si>
  <si>
    <t>05/09/2023 07:30</t>
  </si>
  <si>
    <t>05/09/2023 07:45</t>
  </si>
  <si>
    <t>05/09/2023 08:00</t>
  </si>
  <si>
    <t>05/09/2023 08:15</t>
  </si>
  <si>
    <t>05/09/2023 08:30</t>
  </si>
  <si>
    <t>05/09/2023 08:45</t>
  </si>
  <si>
    <t>05/09/2023 09:00</t>
  </si>
  <si>
    <t>05/09/2023 09:15</t>
  </si>
  <si>
    <t>05/09/2023 09:30</t>
  </si>
  <si>
    <t>05/09/2023 09:45</t>
  </si>
  <si>
    <t>05/09/2023 10:00</t>
  </si>
  <si>
    <t>05/09/2023 10:15</t>
  </si>
  <si>
    <t>05/09/2023 10:30</t>
  </si>
  <si>
    <t>05/09/2023 10:45</t>
  </si>
  <si>
    <t>05/09/2023 11:00</t>
  </si>
  <si>
    <t>05/09/2023 11:15</t>
  </si>
  <si>
    <t>05/09/2023 11:30</t>
  </si>
  <si>
    <t>05/09/2023 11:45</t>
  </si>
  <si>
    <t>05/09/2023 12:00</t>
  </si>
  <si>
    <t>05/09/2023 12:15</t>
  </si>
  <si>
    <t>05/09/2023 12:30</t>
  </si>
  <si>
    <t>05/09/2023 12:45</t>
  </si>
  <si>
    <t>05/09/2023 13:00</t>
  </si>
  <si>
    <t>05/09/2023 13:15</t>
  </si>
  <si>
    <t>05/09/2023 13:30</t>
  </si>
  <si>
    <t>05/09/2023 13:45</t>
  </si>
  <si>
    <t>05/09/2023 14:00</t>
  </si>
  <si>
    <t>05/09/2023 14:15</t>
  </si>
  <si>
    <t>05/09/2023 14:30</t>
  </si>
  <si>
    <t>05/09/2023 14:45</t>
  </si>
  <si>
    <t>05/09/2023 15:00</t>
  </si>
  <si>
    <t>05/09/2023 15:15</t>
  </si>
  <si>
    <t>05/09/2023 15:30</t>
  </si>
  <si>
    <t>05/09/2023 15:45</t>
  </si>
  <si>
    <t>05/09/2023 16:00</t>
  </si>
  <si>
    <t>05/09/2023 16:15</t>
  </si>
  <si>
    <t>05/09/2023 16:30</t>
  </si>
  <si>
    <t>05/09/2023 16:45</t>
  </si>
  <si>
    <t>05/09/2023 17:00</t>
  </si>
  <si>
    <t>05/09/2023 17:15</t>
  </si>
  <si>
    <t>05/09/2023 17:30</t>
  </si>
  <si>
    <t>05/09/2023 17:45</t>
  </si>
  <si>
    <t>05/09/2023 18:00</t>
  </si>
  <si>
    <t>05/09/2023 18:15</t>
  </si>
  <si>
    <t>05/09/2023 18:30</t>
  </si>
  <si>
    <t>05/09/2023 18:45</t>
  </si>
  <si>
    <t>05/09/2023 19:00</t>
  </si>
  <si>
    <t>05/09/2023 19:15</t>
  </si>
  <si>
    <t>05/09/2023 19:30</t>
  </si>
  <si>
    <t>05/09/2023 19:45</t>
  </si>
  <si>
    <t>05/09/2023 20:00</t>
  </si>
  <si>
    <t>05/09/2023 20:15</t>
  </si>
  <si>
    <t>05/09/2023 20:30</t>
  </si>
  <si>
    <t>05/09/2023 20:45</t>
  </si>
  <si>
    <t>05/09/2023 21:00</t>
  </si>
  <si>
    <t>05/09/2023 21:15</t>
  </si>
  <si>
    <t>05/09/2023 21:30</t>
  </si>
  <si>
    <t>05/09/2023 21:45</t>
  </si>
  <si>
    <t>05/09/2023 22:00</t>
  </si>
  <si>
    <t>05/09/2023 22:15</t>
  </si>
  <si>
    <t>05/09/2023 22:30</t>
  </si>
  <si>
    <t>05/09/2023 22:45</t>
  </si>
  <si>
    <t>05/09/2023 23:00</t>
  </si>
  <si>
    <t>05/09/2023 23:15</t>
  </si>
  <si>
    <t>05/09/2023 23:30</t>
  </si>
  <si>
    <t>05/09/2023 23:45</t>
  </si>
  <si>
    <t>05/09/2023 24:00</t>
  </si>
  <si>
    <t>06/09/2023 00:15</t>
  </si>
  <si>
    <t>06/09/2023 00:30</t>
  </si>
  <si>
    <t>06/09/2023 00:45</t>
  </si>
  <si>
    <t>06/09/2023 01:00</t>
  </si>
  <si>
    <t>06/09/2023 01:15</t>
  </si>
  <si>
    <t>06/09/2023 01:30</t>
  </si>
  <si>
    <t>06/09/2023 01:45</t>
  </si>
  <si>
    <t>06/09/2023 02:00</t>
  </si>
  <si>
    <t>06/09/2023 02:15</t>
  </si>
  <si>
    <t>06/09/2023 02:30</t>
  </si>
  <si>
    <t>06/09/2023 02:45</t>
  </si>
  <si>
    <t>06/09/2023 03:00</t>
  </si>
  <si>
    <t>06/09/2023 03:15</t>
  </si>
  <si>
    <t>06/09/2023 03:30</t>
  </si>
  <si>
    <t>06/09/2023 03:45</t>
  </si>
  <si>
    <t>06/09/2023 04:00</t>
  </si>
  <si>
    <t>06/09/2023 04:15</t>
  </si>
  <si>
    <t>06/09/2023 04:30</t>
  </si>
  <si>
    <t>06/09/2023 04:45</t>
  </si>
  <si>
    <t>06/09/2023 05:00</t>
  </si>
  <si>
    <t>06/09/2023 05:15</t>
  </si>
  <si>
    <t>06/09/2023 05:30</t>
  </si>
  <si>
    <t>06/09/2023 05:45</t>
  </si>
  <si>
    <t>06/09/2023 06:00</t>
  </si>
  <si>
    <t>06/09/2023 06:15</t>
  </si>
  <si>
    <t>06/09/2023 06:30</t>
  </si>
  <si>
    <t>06/09/2023 06:45</t>
  </si>
  <si>
    <t>06/09/2023 07:00</t>
  </si>
  <si>
    <t>06/09/2023 07:15</t>
  </si>
  <si>
    <t>06/09/2023 07:30</t>
  </si>
  <si>
    <t>06/09/2023 07:45</t>
  </si>
  <si>
    <t>06/09/2023 08:00</t>
  </si>
  <si>
    <t>06/09/2023 08:15</t>
  </si>
  <si>
    <t>06/09/2023 08:30</t>
  </si>
  <si>
    <t>06/09/2023 08:45</t>
  </si>
  <si>
    <t>06/09/2023 09:00</t>
  </si>
  <si>
    <t>06/09/2023 09:15</t>
  </si>
  <si>
    <t>06/09/2023 09:30</t>
  </si>
  <si>
    <t>06/09/2023 09:45</t>
  </si>
  <si>
    <t>06/09/2023 10:00</t>
  </si>
  <si>
    <t>06/09/2023 10:15</t>
  </si>
  <si>
    <t>06/09/2023 10:30</t>
  </si>
  <si>
    <t>06/09/2023 10:45</t>
  </si>
  <si>
    <t>06/09/2023 11:00</t>
  </si>
  <si>
    <t>06/09/2023 11:15</t>
  </si>
  <si>
    <t>06/09/2023 11:30</t>
  </si>
  <si>
    <t>06/09/2023 11:45</t>
  </si>
  <si>
    <t>06/09/2023 12:00</t>
  </si>
  <si>
    <t>06/09/2023 12:15</t>
  </si>
  <si>
    <t>06/09/2023 12:30</t>
  </si>
  <si>
    <t>06/09/2023 12:45</t>
  </si>
  <si>
    <t>06/09/2023 13:00</t>
  </si>
  <si>
    <t>06/09/2023 13:15</t>
  </si>
  <si>
    <t>06/09/2023 13:30</t>
  </si>
  <si>
    <t>06/09/2023 13:45</t>
  </si>
  <si>
    <t>06/09/2023 14:00</t>
  </si>
  <si>
    <t>06/09/2023 14:15</t>
  </si>
  <si>
    <t>06/09/2023 14:30</t>
  </si>
  <si>
    <t>06/09/2023 14:45</t>
  </si>
  <si>
    <t>06/09/2023 15:00</t>
  </si>
  <si>
    <t>06/09/2023 15:15</t>
  </si>
  <si>
    <t>06/09/2023 15:30</t>
  </si>
  <si>
    <t>06/09/2023 15:45</t>
  </si>
  <si>
    <t>06/09/2023 16:00</t>
  </si>
  <si>
    <t>06/09/2023 16:15</t>
  </si>
  <si>
    <t>06/09/2023 16:30</t>
  </si>
  <si>
    <t>06/09/2023 16:45</t>
  </si>
  <si>
    <t>06/09/2023 17:00</t>
  </si>
  <si>
    <t>06/09/2023 17:15</t>
  </si>
  <si>
    <t>06/09/2023 17:30</t>
  </si>
  <si>
    <t>06/09/2023 17:45</t>
  </si>
  <si>
    <t>06/09/2023 18:00</t>
  </si>
  <si>
    <t>06/09/2023 18:15</t>
  </si>
  <si>
    <t>06/09/2023 18:30</t>
  </si>
  <si>
    <t>06/09/2023 18:45</t>
  </si>
  <si>
    <t>06/09/2023 19:00</t>
  </si>
  <si>
    <t>06/09/2023 19:15</t>
  </si>
  <si>
    <t>06/09/2023 19:30</t>
  </si>
  <si>
    <t>06/09/2023 19:45</t>
  </si>
  <si>
    <t>06/09/2023 20:00</t>
  </si>
  <si>
    <t>06/09/2023 20:15</t>
  </si>
  <si>
    <t>06/09/2023 20:30</t>
  </si>
  <si>
    <t>06/09/2023 20:45</t>
  </si>
  <si>
    <t>06/09/2023 21:00</t>
  </si>
  <si>
    <t>06/09/2023 21:15</t>
  </si>
  <si>
    <t>06/09/2023 21:30</t>
  </si>
  <si>
    <t>06/09/2023 21:45</t>
  </si>
  <si>
    <t>06/09/2023 22:00</t>
  </si>
  <si>
    <t>06/09/2023 22:15</t>
  </si>
  <si>
    <t>06/09/2023 22:30</t>
  </si>
  <si>
    <t>06/09/2023 22:45</t>
  </si>
  <si>
    <t>06/09/2023 23:00</t>
  </si>
  <si>
    <t>06/09/2023 23:15</t>
  </si>
  <si>
    <t>06/09/2023 23:30</t>
  </si>
  <si>
    <t>06/09/2023 23:45</t>
  </si>
  <si>
    <t>06/09/2023 24:00</t>
  </si>
  <si>
    <t>07/09/2023 00:15</t>
  </si>
  <si>
    <t>07/09/2023 00:30</t>
  </si>
  <si>
    <t>07/09/2023 00:45</t>
  </si>
  <si>
    <t>07/09/2023 01:00</t>
  </si>
  <si>
    <t>07/09/2023 01:15</t>
  </si>
  <si>
    <t>07/09/2023 01:30</t>
  </si>
  <si>
    <t>07/09/2023 01:45</t>
  </si>
  <si>
    <t>07/09/2023 02:00</t>
  </si>
  <si>
    <t>07/09/2023 02:15</t>
  </si>
  <si>
    <t>07/09/2023 02:30</t>
  </si>
  <si>
    <t>07/09/2023 02:45</t>
  </si>
  <si>
    <t>07/09/2023 03:00</t>
  </si>
  <si>
    <t>07/09/2023 03:15</t>
  </si>
  <si>
    <t>07/09/2023 03:30</t>
  </si>
  <si>
    <t>07/09/2023 03:45</t>
  </si>
  <si>
    <t>07/09/2023 04:00</t>
  </si>
  <si>
    <t>07/09/2023 04:15</t>
  </si>
  <si>
    <t>07/09/2023 04:30</t>
  </si>
  <si>
    <t>07/09/2023 04:45</t>
  </si>
  <si>
    <t>07/09/2023 05:00</t>
  </si>
  <si>
    <t>07/09/2023 05:15</t>
  </si>
  <si>
    <t>07/09/2023 05:30</t>
  </si>
  <si>
    <t>07/09/2023 05:45</t>
  </si>
  <si>
    <t>07/09/2023 06:00</t>
  </si>
  <si>
    <t>07/09/2023 06:15</t>
  </si>
  <si>
    <t>07/09/2023 06:30</t>
  </si>
  <si>
    <t>07/09/2023 06:45</t>
  </si>
  <si>
    <t>07/09/2023 07:00</t>
  </si>
  <si>
    <t>07/09/2023 07:15</t>
  </si>
  <si>
    <t>07/09/2023 07:30</t>
  </si>
  <si>
    <t>07/09/2023 07:45</t>
  </si>
  <si>
    <t>07/09/2023 08:00</t>
  </si>
  <si>
    <t>07/09/2023 08:15</t>
  </si>
  <si>
    <t>07/09/2023 08:30</t>
  </si>
  <si>
    <t>07/09/2023 08:45</t>
  </si>
  <si>
    <t>07/09/2023 09:00</t>
  </si>
  <si>
    <t>07/09/2023 09:15</t>
  </si>
  <si>
    <t>07/09/2023 09:30</t>
  </si>
  <si>
    <t>07/09/2023 09:45</t>
  </si>
  <si>
    <t>07/09/2023 10:00</t>
  </si>
  <si>
    <t>07/09/2023 10:15</t>
  </si>
  <si>
    <t>07/09/2023 10:30</t>
  </si>
  <si>
    <t>07/09/2023 10:45</t>
  </si>
  <si>
    <t>07/09/2023 11:00</t>
  </si>
  <si>
    <t>07/09/2023 11:15</t>
  </si>
  <si>
    <t>07/09/2023 11:30</t>
  </si>
  <si>
    <t>07/09/2023 11:45</t>
  </si>
  <si>
    <t>07/09/2023 12:00</t>
  </si>
  <si>
    <t>07/09/2023 12:15</t>
  </si>
  <si>
    <t>07/09/2023 12:30</t>
  </si>
  <si>
    <t>07/09/2023 12:45</t>
  </si>
  <si>
    <t>07/09/2023 13:00</t>
  </si>
  <si>
    <t>07/09/2023 13:15</t>
  </si>
  <si>
    <t>07/09/2023 13:30</t>
  </si>
  <si>
    <t>07/09/2023 13:45</t>
  </si>
  <si>
    <t>07/09/2023 14:00</t>
  </si>
  <si>
    <t>07/09/2023 14:15</t>
  </si>
  <si>
    <t>07/09/2023 14:30</t>
  </si>
  <si>
    <t>07/09/2023 14:45</t>
  </si>
  <si>
    <t>07/09/2023 15:00</t>
  </si>
  <si>
    <t>07/09/2023 15:15</t>
  </si>
  <si>
    <t>07/09/2023 15:30</t>
  </si>
  <si>
    <t>07/09/2023 15:45</t>
  </si>
  <si>
    <t>07/09/2023 16:00</t>
  </si>
  <si>
    <t>07/09/2023 16:15</t>
  </si>
  <si>
    <t>07/09/2023 16:30</t>
  </si>
  <si>
    <t>07/09/2023 16:45</t>
  </si>
  <si>
    <t>07/09/2023 17:00</t>
  </si>
  <si>
    <t>07/09/2023 17:15</t>
  </si>
  <si>
    <t>07/09/2023 17:30</t>
  </si>
  <si>
    <t>07/09/2023 17:45</t>
  </si>
  <si>
    <t>07/09/2023 18:00</t>
  </si>
  <si>
    <t>07/09/2023 18:15</t>
  </si>
  <si>
    <t>07/09/2023 18:30</t>
  </si>
  <si>
    <t>07/09/2023 18:45</t>
  </si>
  <si>
    <t>07/09/2023 19:00</t>
  </si>
  <si>
    <t>07/09/2023 19:15</t>
  </si>
  <si>
    <t>07/09/2023 19:30</t>
  </si>
  <si>
    <t>07/09/2023 19:45</t>
  </si>
  <si>
    <t>07/09/2023 20:00</t>
  </si>
  <si>
    <t>07/09/2023 20:15</t>
  </si>
  <si>
    <t>07/09/2023 20:30</t>
  </si>
  <si>
    <t>07/09/2023 20:45</t>
  </si>
  <si>
    <t>07/09/2023 21:00</t>
  </si>
  <si>
    <t>07/09/2023 21:15</t>
  </si>
  <si>
    <t>07/09/2023 21:30</t>
  </si>
  <si>
    <t>07/09/2023 21:45</t>
  </si>
  <si>
    <t>07/09/2023 22:00</t>
  </si>
  <si>
    <t>07/09/2023 22:15</t>
  </si>
  <si>
    <t>07/09/2023 22:30</t>
  </si>
  <si>
    <t>07/09/2023 22:45</t>
  </si>
  <si>
    <t>07/09/2023 23:00</t>
  </si>
  <si>
    <t>07/09/2023 23:15</t>
  </si>
  <si>
    <t>07/09/2023 23:30</t>
  </si>
  <si>
    <t>07/09/2023 23:45</t>
  </si>
  <si>
    <t>07/09/2023 24:00</t>
  </si>
  <si>
    <t>08/09/2023 00:15</t>
  </si>
  <si>
    <t>08/09/2023 00:30</t>
  </si>
  <si>
    <t>08/09/2023 00:45</t>
  </si>
  <si>
    <t>08/09/2023 01:00</t>
  </si>
  <si>
    <t>08/09/2023 01:15</t>
  </si>
  <si>
    <t>08/09/2023 01:30</t>
  </si>
  <si>
    <t>08/09/2023 01:45</t>
  </si>
  <si>
    <t>08/09/2023 02:00</t>
  </si>
  <si>
    <t>08/09/2023 02:15</t>
  </si>
  <si>
    <t>08/09/2023 02:30</t>
  </si>
  <si>
    <t>08/09/2023 02:45</t>
  </si>
  <si>
    <t>08/09/2023 03:00</t>
  </si>
  <si>
    <t>08/09/2023 03:15</t>
  </si>
  <si>
    <t>08/09/2023 03:30</t>
  </si>
  <si>
    <t>08/09/2023 03:45</t>
  </si>
  <si>
    <t>08/09/2023 04:00</t>
  </si>
  <si>
    <t>08/09/2023 04:15</t>
  </si>
  <si>
    <t>08/09/2023 04:30</t>
  </si>
  <si>
    <t>08/09/2023 04:45</t>
  </si>
  <si>
    <t>08/09/2023 05:00</t>
  </si>
  <si>
    <t>08/09/2023 05:15</t>
  </si>
  <si>
    <t>08/09/2023 05:30</t>
  </si>
  <si>
    <t>08/09/2023 05:45</t>
  </si>
  <si>
    <t>08/09/2023 06:00</t>
  </si>
  <si>
    <t>08/09/2023 06:15</t>
  </si>
  <si>
    <t>08/09/2023 06:30</t>
  </si>
  <si>
    <t>08/09/2023 06:45</t>
  </si>
  <si>
    <t>08/09/2023 07:00</t>
  </si>
  <si>
    <t>08/09/2023 07:15</t>
  </si>
  <si>
    <t>08/09/2023 07:30</t>
  </si>
  <si>
    <t>08/09/2023 07:45</t>
  </si>
  <si>
    <t>08/09/2023 08:00</t>
  </si>
  <si>
    <t>08/09/2023 08:15</t>
  </si>
  <si>
    <t>08/09/2023 08:30</t>
  </si>
  <si>
    <t>08/09/2023 08:45</t>
  </si>
  <si>
    <t>08/09/2023 09:00</t>
  </si>
  <si>
    <t>08/09/2023 09:15</t>
  </si>
  <si>
    <t>08/09/2023 09:30</t>
  </si>
  <si>
    <t>08/09/2023 09:45</t>
  </si>
  <si>
    <t>08/09/2023 10:00</t>
  </si>
  <si>
    <t>08/09/2023 10:15</t>
  </si>
  <si>
    <t>08/09/2023 10:30</t>
  </si>
  <si>
    <t>08/09/2023 10:45</t>
  </si>
  <si>
    <t>08/09/2023 11:00</t>
  </si>
  <si>
    <t>08/09/2023 11:15</t>
  </si>
  <si>
    <t>08/09/2023 11:30</t>
  </si>
  <si>
    <t>08/09/2023 11:45</t>
  </si>
  <si>
    <t>08/09/2023 12:00</t>
  </si>
  <si>
    <t>08/09/2023 12:15</t>
  </si>
  <si>
    <t>08/09/2023 12:30</t>
  </si>
  <si>
    <t>08/09/2023 12:45</t>
  </si>
  <si>
    <t>08/09/2023 13:00</t>
  </si>
  <si>
    <t>08/09/2023 13:15</t>
  </si>
  <si>
    <t>08/09/2023 13:30</t>
  </si>
  <si>
    <t>08/09/2023 13:45</t>
  </si>
  <si>
    <t>08/09/2023 14:00</t>
  </si>
  <si>
    <t>08/09/2023 14:15</t>
  </si>
  <si>
    <t>08/09/2023 14:30</t>
  </si>
  <si>
    <t>08/09/2023 14:45</t>
  </si>
  <si>
    <t>08/09/2023 15:00</t>
  </si>
  <si>
    <t>08/09/2023 15:15</t>
  </si>
  <si>
    <t>08/09/2023 15:30</t>
  </si>
  <si>
    <t>08/09/2023 15:45</t>
  </si>
  <si>
    <t>08/09/2023 16:00</t>
  </si>
  <si>
    <t>08/09/2023 16:15</t>
  </si>
  <si>
    <t>08/09/2023 16:30</t>
  </si>
  <si>
    <t>08/09/2023 16:45</t>
  </si>
  <si>
    <t>08/09/2023 17:00</t>
  </si>
  <si>
    <t>08/09/2023 17:15</t>
  </si>
  <si>
    <t>08/09/2023 17:30</t>
  </si>
  <si>
    <t>08/09/2023 17:45</t>
  </si>
  <si>
    <t>08/09/2023 18:00</t>
  </si>
  <si>
    <t>08/09/2023 18:15</t>
  </si>
  <si>
    <t>08/09/2023 18:30</t>
  </si>
  <si>
    <t>08/09/2023 18:45</t>
  </si>
  <si>
    <t>08/09/2023 19:00</t>
  </si>
  <si>
    <t>08/09/2023 19:15</t>
  </si>
  <si>
    <t>08/09/2023 19:30</t>
  </si>
  <si>
    <t>08/09/2023 19:45</t>
  </si>
  <si>
    <t>08/09/2023 20:00</t>
  </si>
  <si>
    <t>08/09/2023 20:15</t>
  </si>
  <si>
    <t>08/09/2023 20:30</t>
  </si>
  <si>
    <t>08/09/2023 20:45</t>
  </si>
  <si>
    <t>08/09/2023 21:00</t>
  </si>
  <si>
    <t>08/09/2023 21:15</t>
  </si>
  <si>
    <t>08/09/2023 21:30</t>
  </si>
  <si>
    <t>08/09/2023 21:45</t>
  </si>
  <si>
    <t>08/09/2023 22:00</t>
  </si>
  <si>
    <t>08/09/2023 22:15</t>
  </si>
  <si>
    <t>08/09/2023 22:30</t>
  </si>
  <si>
    <t>08/09/2023 22:45</t>
  </si>
  <si>
    <t>08/09/2023 23:00</t>
  </si>
  <si>
    <t>08/09/2023 23:15</t>
  </si>
  <si>
    <t>08/09/2023 23:30</t>
  </si>
  <si>
    <t>08/09/2023 23:45</t>
  </si>
  <si>
    <t>08/09/2023 24:00</t>
  </si>
  <si>
    <t>09/09/2023 00:15</t>
  </si>
  <si>
    <t>09/09/2023 00:30</t>
  </si>
  <si>
    <t>09/09/2023 00:45</t>
  </si>
  <si>
    <t>09/09/2023 01:00</t>
  </si>
  <si>
    <t>09/09/2023 01:15</t>
  </si>
  <si>
    <t>09/09/2023 01:30</t>
  </si>
  <si>
    <t>09/09/2023 01:45</t>
  </si>
  <si>
    <t>09/09/2023 02:00</t>
  </si>
  <si>
    <t>09/09/2023 02:15</t>
  </si>
  <si>
    <t>09/09/2023 02:30</t>
  </si>
  <si>
    <t>09/09/2023 02:45</t>
  </si>
  <si>
    <t>09/09/2023 03:00</t>
  </si>
  <si>
    <t>09/09/2023 03:15</t>
  </si>
  <si>
    <t>09/09/2023 03:30</t>
  </si>
  <si>
    <t>09/09/2023 03:45</t>
  </si>
  <si>
    <t>09/09/2023 04:00</t>
  </si>
  <si>
    <t>09/09/2023 04:15</t>
  </si>
  <si>
    <t>09/09/2023 04:30</t>
  </si>
  <si>
    <t>09/09/2023 04:45</t>
  </si>
  <si>
    <t>09/09/2023 05:00</t>
  </si>
  <si>
    <t>09/09/2023 05:15</t>
  </si>
  <si>
    <t>09/09/2023 05:30</t>
  </si>
  <si>
    <t>09/09/2023 05:45</t>
  </si>
  <si>
    <t>09/09/2023 06:00</t>
  </si>
  <si>
    <t>09/09/2023 06:15</t>
  </si>
  <si>
    <t>09/09/2023 06:30</t>
  </si>
  <si>
    <t>09/09/2023 06:45</t>
  </si>
  <si>
    <t>09/09/2023 07:00</t>
  </si>
  <si>
    <t>09/09/2023 07:15</t>
  </si>
  <si>
    <t>09/09/2023 07:30</t>
  </si>
  <si>
    <t>09/09/2023 07:45</t>
  </si>
  <si>
    <t>09/09/2023 08:00</t>
  </si>
  <si>
    <t>09/09/2023 08:15</t>
  </si>
  <si>
    <t>09/09/2023 08:30</t>
  </si>
  <si>
    <t>09/09/2023 08:45</t>
  </si>
  <si>
    <t>09/09/2023 09:00</t>
  </si>
  <si>
    <t>09/09/2023 09:15</t>
  </si>
  <si>
    <t>09/09/2023 09:30</t>
  </si>
  <si>
    <t>09/09/2023 09:45</t>
  </si>
  <si>
    <t>09/09/2023 10:00</t>
  </si>
  <si>
    <t>09/09/2023 10:15</t>
  </si>
  <si>
    <t>09/09/2023 10:30</t>
  </si>
  <si>
    <t>09/09/2023 10:45</t>
  </si>
  <si>
    <t>09/09/2023 11:00</t>
  </si>
  <si>
    <t>09/09/2023 11:15</t>
  </si>
  <si>
    <t>09/09/2023 11:30</t>
  </si>
  <si>
    <t>09/09/2023 11:45</t>
  </si>
  <si>
    <t>09/09/2023 12:00</t>
  </si>
  <si>
    <t>09/09/2023 12:15</t>
  </si>
  <si>
    <t>09/09/2023 12:30</t>
  </si>
  <si>
    <t>09/09/2023 12:45</t>
  </si>
  <si>
    <t>09/09/2023 13:00</t>
  </si>
  <si>
    <t>09/09/2023 13:15</t>
  </si>
  <si>
    <t>09/09/2023 13:30</t>
  </si>
  <si>
    <t>09/09/2023 13:45</t>
  </si>
  <si>
    <t>09/09/2023 14:00</t>
  </si>
  <si>
    <t>09/09/2023 14:15</t>
  </si>
  <si>
    <t>09/09/2023 14:30</t>
  </si>
  <si>
    <t>09/09/2023 14:45</t>
  </si>
  <si>
    <t>09/09/2023 15:00</t>
  </si>
  <si>
    <t>09/09/2023 15:15</t>
  </si>
  <si>
    <t>09/09/2023 15:30</t>
  </si>
  <si>
    <t>09/09/2023 15:45</t>
  </si>
  <si>
    <t>09/09/2023 16:00</t>
  </si>
  <si>
    <t>09/09/2023 16:15</t>
  </si>
  <si>
    <t>09/09/2023 16:30</t>
  </si>
  <si>
    <t>09/09/2023 16:45</t>
  </si>
  <si>
    <t>09/09/2023 17:00</t>
  </si>
  <si>
    <t>09/09/2023 17:15</t>
  </si>
  <si>
    <t>09/09/2023 17:30</t>
  </si>
  <si>
    <t>09/09/2023 17:45</t>
  </si>
  <si>
    <t>09/09/2023 18:00</t>
  </si>
  <si>
    <t>09/09/2023 18:15</t>
  </si>
  <si>
    <t>09/09/2023 18:30</t>
  </si>
  <si>
    <t>09/09/2023 18:45</t>
  </si>
  <si>
    <t>09/09/2023 19:00</t>
  </si>
  <si>
    <t>09/09/2023 19:15</t>
  </si>
  <si>
    <t>09/09/2023 19:30</t>
  </si>
  <si>
    <t>09/09/2023 19:45</t>
  </si>
  <si>
    <t>09/09/2023 20:00</t>
  </si>
  <si>
    <t>09/09/2023 20:15</t>
  </si>
  <si>
    <t>09/09/2023 20:30</t>
  </si>
  <si>
    <t>09/09/2023 20:45</t>
  </si>
  <si>
    <t>09/09/2023 21:00</t>
  </si>
  <si>
    <t>09/09/2023 21:15</t>
  </si>
  <si>
    <t>09/09/2023 21:30</t>
  </si>
  <si>
    <t>09/09/2023 21:45</t>
  </si>
  <si>
    <t>09/09/2023 22:00</t>
  </si>
  <si>
    <t>09/09/2023 22:15</t>
  </si>
  <si>
    <t>09/09/2023 22:30</t>
  </si>
  <si>
    <t>09/09/2023 22:45</t>
  </si>
  <si>
    <t>09/09/2023 23:00</t>
  </si>
  <si>
    <t>09/09/2023 23:15</t>
  </si>
  <si>
    <t>09/09/2023 23:30</t>
  </si>
  <si>
    <t>09/09/2023 23:45</t>
  </si>
  <si>
    <t>09/09/2023 24:00</t>
  </si>
  <si>
    <t>10/09/2023 00:15</t>
  </si>
  <si>
    <t>10/09/2023 00:30</t>
  </si>
  <si>
    <t>10/09/2023 00:45</t>
  </si>
  <si>
    <t>10/09/2023 01:00</t>
  </si>
  <si>
    <t>10/09/2023 01:15</t>
  </si>
  <si>
    <t>10/09/2023 01:30</t>
  </si>
  <si>
    <t>10/09/2023 01:45</t>
  </si>
  <si>
    <t>10/09/2023 02:00</t>
  </si>
  <si>
    <t>10/09/2023 02:15</t>
  </si>
  <si>
    <t>10/09/2023 02:30</t>
  </si>
  <si>
    <t>10/09/2023 02:45</t>
  </si>
  <si>
    <t>10/09/2023 03:00</t>
  </si>
  <si>
    <t>10/09/2023 03:15</t>
  </si>
  <si>
    <t>10/09/2023 03:30</t>
  </si>
  <si>
    <t>10/09/2023 03:45</t>
  </si>
  <si>
    <t>10/09/2023 04:00</t>
  </si>
  <si>
    <t>10/09/2023 04:15</t>
  </si>
  <si>
    <t>10/09/2023 04:30</t>
  </si>
  <si>
    <t>10/09/2023 04:45</t>
  </si>
  <si>
    <t>10/09/2023 05:00</t>
  </si>
  <si>
    <t>10/09/2023 05:15</t>
  </si>
  <si>
    <t>10/09/2023 05:30</t>
  </si>
  <si>
    <t>10/09/2023 05:45</t>
  </si>
  <si>
    <t>10/09/2023 06:00</t>
  </si>
  <si>
    <t>10/09/2023 06:15</t>
  </si>
  <si>
    <t>10/09/2023 06:30</t>
  </si>
  <si>
    <t>10/09/2023 06:45</t>
  </si>
  <si>
    <t>10/09/2023 07:00</t>
  </si>
  <si>
    <t>10/09/2023 07:15</t>
  </si>
  <si>
    <t>10/09/2023 07:30</t>
  </si>
  <si>
    <t>10/09/2023 07:45</t>
  </si>
  <si>
    <t>10/09/2023 08:00</t>
  </si>
  <si>
    <t>10/09/2023 08:15</t>
  </si>
  <si>
    <t>10/09/2023 08:30</t>
  </si>
  <si>
    <t>10/09/2023 08:45</t>
  </si>
  <si>
    <t>10/09/2023 09:00</t>
  </si>
  <si>
    <t>10/09/2023 09:15</t>
  </si>
  <si>
    <t>10/09/2023 09:30</t>
  </si>
  <si>
    <t>10/09/2023 09:45</t>
  </si>
  <si>
    <t>10/09/2023 10:00</t>
  </si>
  <si>
    <t>10/09/2023 10:15</t>
  </si>
  <si>
    <t>10/09/2023 10:30</t>
  </si>
  <si>
    <t>10/09/2023 10:45</t>
  </si>
  <si>
    <t>10/09/2023 11:00</t>
  </si>
  <si>
    <t>10/09/2023 11:15</t>
  </si>
  <si>
    <t>10/09/2023 11:30</t>
  </si>
  <si>
    <t>10/09/2023 11:45</t>
  </si>
  <si>
    <t>10/09/2023 12:00</t>
  </si>
  <si>
    <t>10/09/2023 12:15</t>
  </si>
  <si>
    <t>10/09/2023 12:30</t>
  </si>
  <si>
    <t>10/09/2023 12:45</t>
  </si>
  <si>
    <t>10/09/2023 13:00</t>
  </si>
  <si>
    <t>10/09/2023 13:15</t>
  </si>
  <si>
    <t>10/09/2023 13:30</t>
  </si>
  <si>
    <t>10/09/2023 13:45</t>
  </si>
  <si>
    <t>10/09/2023 14:00</t>
  </si>
  <si>
    <t>10/09/2023 14:15</t>
  </si>
  <si>
    <t>10/09/2023 14:30</t>
  </si>
  <si>
    <t>10/09/2023 14:45</t>
  </si>
  <si>
    <t>10/09/2023 15:00</t>
  </si>
  <si>
    <t>10/09/2023 15:15</t>
  </si>
  <si>
    <t>10/09/2023 15:30</t>
  </si>
  <si>
    <t>10/09/2023 15:45</t>
  </si>
  <si>
    <t>10/09/2023 16:00</t>
  </si>
  <si>
    <t>10/09/2023 16:15</t>
  </si>
  <si>
    <t>10/09/2023 16:30</t>
  </si>
  <si>
    <t>10/09/2023 16:45</t>
  </si>
  <si>
    <t>10/09/2023 17:00</t>
  </si>
  <si>
    <t>10/09/2023 17:15</t>
  </si>
  <si>
    <t>10/09/2023 17:30</t>
  </si>
  <si>
    <t>10/09/2023 17:45</t>
  </si>
  <si>
    <t>10/09/2023 18:00</t>
  </si>
  <si>
    <t>10/09/2023 18:15</t>
  </si>
  <si>
    <t>10/09/2023 18:30</t>
  </si>
  <si>
    <t>10/09/2023 18:45</t>
  </si>
  <si>
    <t>10/09/2023 19:00</t>
  </si>
  <si>
    <t>10/09/2023 19:15</t>
  </si>
  <si>
    <t>10/09/2023 19:30</t>
  </si>
  <si>
    <t>10/09/2023 19:45</t>
  </si>
  <si>
    <t>10/09/2023 20:00</t>
  </si>
  <si>
    <t>10/09/2023 20:15</t>
  </si>
  <si>
    <t>10/09/2023 20:30</t>
  </si>
  <si>
    <t>10/09/2023 20:45</t>
  </si>
  <si>
    <t>10/09/2023 21:00</t>
  </si>
  <si>
    <t>10/09/2023 21:15</t>
  </si>
  <si>
    <t>10/09/2023 21:30</t>
  </si>
  <si>
    <t>10/09/2023 21:45</t>
  </si>
  <si>
    <t>10/09/2023 22:00</t>
  </si>
  <si>
    <t>10/09/2023 22:15</t>
  </si>
  <si>
    <t>10/09/2023 22:30</t>
  </si>
  <si>
    <t>10/09/2023 22:45</t>
  </si>
  <si>
    <t>10/09/2023 23:00</t>
  </si>
  <si>
    <t>10/09/2023 23:15</t>
  </si>
  <si>
    <t>10/09/2023 23:30</t>
  </si>
  <si>
    <t>10/09/2023 23:45</t>
  </si>
  <si>
    <t>10/09/2023 24:00</t>
  </si>
  <si>
    <t>11/09/2023 00:15</t>
  </si>
  <si>
    <t>11/09/2023 00:30</t>
  </si>
  <si>
    <t>11/09/2023 00:45</t>
  </si>
  <si>
    <t>11/09/2023 01:00</t>
  </si>
  <si>
    <t>11/09/2023 01:15</t>
  </si>
  <si>
    <t>11/09/2023 01:30</t>
  </si>
  <si>
    <t>11/09/2023 01:45</t>
  </si>
  <si>
    <t>11/09/2023 02:00</t>
  </si>
  <si>
    <t>11/09/2023 02:15</t>
  </si>
  <si>
    <t>11/09/2023 02:30</t>
  </si>
  <si>
    <t>11/09/2023 02:45</t>
  </si>
  <si>
    <t>11/09/2023 03:00</t>
  </si>
  <si>
    <t>11/09/2023 03:15</t>
  </si>
  <si>
    <t>11/09/2023 03:30</t>
  </si>
  <si>
    <t>11/09/2023 03:45</t>
  </si>
  <si>
    <t>11/09/2023 04:00</t>
  </si>
  <si>
    <t>11/09/2023 04:15</t>
  </si>
  <si>
    <t>11/09/2023 04:30</t>
  </si>
  <si>
    <t>11/09/2023 04:45</t>
  </si>
  <si>
    <t>11/09/2023 05:00</t>
  </si>
  <si>
    <t>11/09/2023 05:15</t>
  </si>
  <si>
    <t>11/09/2023 05:30</t>
  </si>
  <si>
    <t>11/09/2023 05:45</t>
  </si>
  <si>
    <t>11/09/2023 06:00</t>
  </si>
  <si>
    <t>11/09/2023 06:15</t>
  </si>
  <si>
    <t>11/09/2023 06:30</t>
  </si>
  <si>
    <t>11/09/2023 06:45</t>
  </si>
  <si>
    <t>11/09/2023 07:00</t>
  </si>
  <si>
    <t>11/09/2023 07:15</t>
  </si>
  <si>
    <t>11/09/2023 07:30</t>
  </si>
  <si>
    <t>11/09/2023 07:45</t>
  </si>
  <si>
    <t>11/09/2023 08:00</t>
  </si>
  <si>
    <t>11/09/2023 08:15</t>
  </si>
  <si>
    <t>11/09/2023 08:30</t>
  </si>
  <si>
    <t>11/09/2023 08:45</t>
  </si>
  <si>
    <t>11/09/2023 09:00</t>
  </si>
  <si>
    <t>11/09/2023 09:15</t>
  </si>
  <si>
    <t>11/09/2023 09:30</t>
  </si>
  <si>
    <t>11/09/2023 09:45</t>
  </si>
  <si>
    <t>11/09/2023 10:00</t>
  </si>
  <si>
    <t>11/09/2023 10:15</t>
  </si>
  <si>
    <t>11/09/2023 10:30</t>
  </si>
  <si>
    <t>11/09/2023 10:45</t>
  </si>
  <si>
    <t>11/09/2023 11:00</t>
  </si>
  <si>
    <t>11/09/2023 11:15</t>
  </si>
  <si>
    <t>11/09/2023 11:30</t>
  </si>
  <si>
    <t>11/09/2023 11:45</t>
  </si>
  <si>
    <t>11/09/2023 12:00</t>
  </si>
  <si>
    <t>11/09/2023 12:15</t>
  </si>
  <si>
    <t>11/09/2023 12:30</t>
  </si>
  <si>
    <t>11/09/2023 12:45</t>
  </si>
  <si>
    <t>11/09/2023 13:00</t>
  </si>
  <si>
    <t>11/09/2023 13:15</t>
  </si>
  <si>
    <t>11/09/2023 13:30</t>
  </si>
  <si>
    <t>11/09/2023 13:45</t>
  </si>
  <si>
    <t>11/09/2023 14:00</t>
  </si>
  <si>
    <t>11/09/2023 14:15</t>
  </si>
  <si>
    <t>11/09/2023 14:30</t>
  </si>
  <si>
    <t>11/09/2023 14:45</t>
  </si>
  <si>
    <t>11/09/2023 15:00</t>
  </si>
  <si>
    <t>11/09/2023 15:15</t>
  </si>
  <si>
    <t>11/09/2023 15:30</t>
  </si>
  <si>
    <t>11/09/2023 15:45</t>
  </si>
  <si>
    <t>11/09/2023 16:00</t>
  </si>
  <si>
    <t>11/09/2023 16:15</t>
  </si>
  <si>
    <t>11/09/2023 16:30</t>
  </si>
  <si>
    <t>11/09/2023 16:45</t>
  </si>
  <si>
    <t>11/09/2023 17:00</t>
  </si>
  <si>
    <t>11/09/2023 17:15</t>
  </si>
  <si>
    <t>11/09/2023 17:30</t>
  </si>
  <si>
    <t>11/09/2023 17:45</t>
  </si>
  <si>
    <t>11/09/2023 18:00</t>
  </si>
  <si>
    <t>11/09/2023 18:15</t>
  </si>
  <si>
    <t>11/09/2023 18:30</t>
  </si>
  <si>
    <t>11/09/2023 18:45</t>
  </si>
  <si>
    <t>11/09/2023 19:00</t>
  </si>
  <si>
    <t>11/09/2023 19:15</t>
  </si>
  <si>
    <t>11/09/2023 19:30</t>
  </si>
  <si>
    <t>11/09/2023 19:45</t>
  </si>
  <si>
    <t>11/09/2023 20:00</t>
  </si>
  <si>
    <t>11/09/2023 20:15</t>
  </si>
  <si>
    <t>11/09/2023 20:30</t>
  </si>
  <si>
    <t>11/09/2023 20:45</t>
  </si>
  <si>
    <t>11/09/2023 21:00</t>
  </si>
  <si>
    <t>11/09/2023 21:15</t>
  </si>
  <si>
    <t>11/09/2023 21:30</t>
  </si>
  <si>
    <t>11/09/2023 21:45</t>
  </si>
  <si>
    <t>11/09/2023 22:00</t>
  </si>
  <si>
    <t>11/09/2023 22:15</t>
  </si>
  <si>
    <t>11/09/2023 22:30</t>
  </si>
  <si>
    <t>11/09/2023 22:45</t>
  </si>
  <si>
    <t>11/09/2023 23:00</t>
  </si>
  <si>
    <t>11/09/2023 23:15</t>
  </si>
  <si>
    <t>11/09/2023 23:30</t>
  </si>
  <si>
    <t>11/09/2023 23:45</t>
  </si>
  <si>
    <t>11/09/2023 24:00</t>
  </si>
  <si>
    <t>12/09/2023 00:15</t>
  </si>
  <si>
    <t>12/09/2023 00:30</t>
  </si>
  <si>
    <t>12/09/2023 00:45</t>
  </si>
  <si>
    <t>12/09/2023 01:00</t>
  </si>
  <si>
    <t>12/09/2023 01:15</t>
  </si>
  <si>
    <t>12/09/2023 01:30</t>
  </si>
  <si>
    <t>12/09/2023 01:45</t>
  </si>
  <si>
    <t>12/09/2023 02:00</t>
  </si>
  <si>
    <t>12/09/2023 02:15</t>
  </si>
  <si>
    <t>12/09/2023 02:30</t>
  </si>
  <si>
    <t>12/09/2023 02:45</t>
  </si>
  <si>
    <t>12/09/2023 03:00</t>
  </si>
  <si>
    <t>12/09/2023 03:15</t>
  </si>
  <si>
    <t>12/09/2023 03:30</t>
  </si>
  <si>
    <t>12/09/2023 03:45</t>
  </si>
  <si>
    <t>12/09/2023 04:00</t>
  </si>
  <si>
    <t>12/09/2023 04:15</t>
  </si>
  <si>
    <t>12/09/2023 04:30</t>
  </si>
  <si>
    <t>12/09/2023 04:45</t>
  </si>
  <si>
    <t>12/09/2023 05:00</t>
  </si>
  <si>
    <t>12/09/2023 05:15</t>
  </si>
  <si>
    <t>12/09/2023 05:30</t>
  </si>
  <si>
    <t>12/09/2023 05:45</t>
  </si>
  <si>
    <t>12/09/2023 06:00</t>
  </si>
  <si>
    <t>12/09/2023 06:15</t>
  </si>
  <si>
    <t>12/09/2023 06:30</t>
  </si>
  <si>
    <t>12/09/2023 06:45</t>
  </si>
  <si>
    <t>12/09/2023 07:00</t>
  </si>
  <si>
    <t>12/09/2023 07:15</t>
  </si>
  <si>
    <t>12/09/2023 07:30</t>
  </si>
  <si>
    <t>12/09/2023 07:45</t>
  </si>
  <si>
    <t>12/09/2023 08:00</t>
  </si>
  <si>
    <t>12/09/2023 08:15</t>
  </si>
  <si>
    <t>12/09/2023 08:30</t>
  </si>
  <si>
    <t>12/09/2023 08:45</t>
  </si>
  <si>
    <t>12/09/2023 09:00</t>
  </si>
  <si>
    <t>12/09/2023 09:15</t>
  </si>
  <si>
    <t>12/09/2023 09:30</t>
  </si>
  <si>
    <t>12/09/2023 09:45</t>
  </si>
  <si>
    <t>12/09/2023 10:00</t>
  </si>
  <si>
    <t>12/09/2023 10:15</t>
  </si>
  <si>
    <t>12/09/2023 10:30</t>
  </si>
  <si>
    <t>12/09/2023 10:45</t>
  </si>
  <si>
    <t>12/09/2023 11:00</t>
  </si>
  <si>
    <t>12/09/2023 11:15</t>
  </si>
  <si>
    <t>12/09/2023 11:30</t>
  </si>
  <si>
    <t>12/09/2023 11:45</t>
  </si>
  <si>
    <t>12/09/2023 12:00</t>
  </si>
  <si>
    <t>12/09/2023 12:15</t>
  </si>
  <si>
    <t>12/09/2023 12:30</t>
  </si>
  <si>
    <t>12/09/2023 12:45</t>
  </si>
  <si>
    <t>12/09/2023 13:00</t>
  </si>
  <si>
    <t>12/09/2023 13:15</t>
  </si>
  <si>
    <t>12/09/2023 13:30</t>
  </si>
  <si>
    <t>12/09/2023 13:45</t>
  </si>
  <si>
    <t>12/09/2023 14:00</t>
  </si>
  <si>
    <t>12/09/2023 14:15</t>
  </si>
  <si>
    <t>12/09/2023 14:30</t>
  </si>
  <si>
    <t>12/09/2023 14:45</t>
  </si>
  <si>
    <t>12/09/2023 15:00</t>
  </si>
  <si>
    <t>12/09/2023 15:15</t>
  </si>
  <si>
    <t>12/09/2023 15:30</t>
  </si>
  <si>
    <t>12/09/2023 15:45</t>
  </si>
  <si>
    <t>12/09/2023 16:00</t>
  </si>
  <si>
    <t>12/09/2023 16:15</t>
  </si>
  <si>
    <t>12/09/2023 16:30</t>
  </si>
  <si>
    <t>12/09/2023 16:45</t>
  </si>
  <si>
    <t>12/09/2023 17:00</t>
  </si>
  <si>
    <t>12/09/2023 17:15</t>
  </si>
  <si>
    <t>12/09/2023 17:30</t>
  </si>
  <si>
    <t>12/09/2023 17:45</t>
  </si>
  <si>
    <t>12/09/2023 18:00</t>
  </si>
  <si>
    <t>12/09/2023 18:15</t>
  </si>
  <si>
    <t>12/09/2023 18:30</t>
  </si>
  <si>
    <t>12/09/2023 18:45</t>
  </si>
  <si>
    <t>12/09/2023 19:00</t>
  </si>
  <si>
    <t>12/09/2023 19:15</t>
  </si>
  <si>
    <t>12/09/2023 19:30</t>
  </si>
  <si>
    <t>12/09/2023 19:45</t>
  </si>
  <si>
    <t>12/09/2023 20:00</t>
  </si>
  <si>
    <t>12/09/2023 20:15</t>
  </si>
  <si>
    <t>12/09/2023 20:30</t>
  </si>
  <si>
    <t>12/09/2023 20:45</t>
  </si>
  <si>
    <t>12/09/2023 21:00</t>
  </si>
  <si>
    <t>12/09/2023 21:15</t>
  </si>
  <si>
    <t>12/09/2023 21:30</t>
  </si>
  <si>
    <t>12/09/2023 21:45</t>
  </si>
  <si>
    <t>12/09/2023 22:00</t>
  </si>
  <si>
    <t>12/09/2023 22:15</t>
  </si>
  <si>
    <t>12/09/2023 22:30</t>
  </si>
  <si>
    <t>12/09/2023 22:45</t>
  </si>
  <si>
    <t>12/09/2023 23:00</t>
  </si>
  <si>
    <t>12/09/2023 23:15</t>
  </si>
  <si>
    <t>12/09/2023 23:30</t>
  </si>
  <si>
    <t>12/09/2023 23:45</t>
  </si>
  <si>
    <t>12/09/2023 24:00</t>
  </si>
  <si>
    <t>13/09/2023 00:15</t>
  </si>
  <si>
    <t>13/09/2023 00:30</t>
  </si>
  <si>
    <t>13/09/2023 00:45</t>
  </si>
  <si>
    <t>13/09/2023 01:00</t>
  </si>
  <si>
    <t>13/09/2023 01:15</t>
  </si>
  <si>
    <t>13/09/2023 01:30</t>
  </si>
  <si>
    <t>13/09/2023 01:45</t>
  </si>
  <si>
    <t>13/09/2023 02:00</t>
  </si>
  <si>
    <t>13/09/2023 02:15</t>
  </si>
  <si>
    <t>13/09/2023 02:30</t>
  </si>
  <si>
    <t>13/09/2023 02:45</t>
  </si>
  <si>
    <t>13/09/2023 03:00</t>
  </si>
  <si>
    <t>13/09/2023 03:15</t>
  </si>
  <si>
    <t>13/09/2023 03:30</t>
  </si>
  <si>
    <t>13/09/2023 03:45</t>
  </si>
  <si>
    <t>13/09/2023 04:00</t>
  </si>
  <si>
    <t>13/09/2023 04:15</t>
  </si>
  <si>
    <t>13/09/2023 04:30</t>
  </si>
  <si>
    <t>13/09/2023 04:45</t>
  </si>
  <si>
    <t>13/09/2023 05:00</t>
  </si>
  <si>
    <t>13/09/2023 05:15</t>
  </si>
  <si>
    <t>13/09/2023 05:30</t>
  </si>
  <si>
    <t>13/09/2023 05:45</t>
  </si>
  <si>
    <t>13/09/2023 06:00</t>
  </si>
  <si>
    <t>13/09/2023 06:15</t>
  </si>
  <si>
    <t>13/09/2023 06:30</t>
  </si>
  <si>
    <t>13/09/2023 06:45</t>
  </si>
  <si>
    <t>13/09/2023 07:00</t>
  </si>
  <si>
    <t>13/09/2023 07:15</t>
  </si>
  <si>
    <t>13/09/2023 07:30</t>
  </si>
  <si>
    <t>13/09/2023 07:45</t>
  </si>
  <si>
    <t>13/09/2023 08:00</t>
  </si>
  <si>
    <t>13/09/2023 08:15</t>
  </si>
  <si>
    <t>13/09/2023 08:30</t>
  </si>
  <si>
    <t>13/09/2023 08:45</t>
  </si>
  <si>
    <t>13/09/2023 09:00</t>
  </si>
  <si>
    <t>13/09/2023 09:15</t>
  </si>
  <si>
    <t>13/09/2023 09:30</t>
  </si>
  <si>
    <t>13/09/2023 09:45</t>
  </si>
  <si>
    <t>13/09/2023 10:00</t>
  </si>
  <si>
    <t>13/09/2023 10:15</t>
  </si>
  <si>
    <t>13/09/2023 10:30</t>
  </si>
  <si>
    <t>13/09/2023 10:45</t>
  </si>
  <si>
    <t>13/09/2023 11:00</t>
  </si>
  <si>
    <t>13/09/2023 11:15</t>
  </si>
  <si>
    <t>13/09/2023 11:30</t>
  </si>
  <si>
    <t>13/09/2023 11:45</t>
  </si>
  <si>
    <t>13/09/2023 12:00</t>
  </si>
  <si>
    <t>13/09/2023 12:15</t>
  </si>
  <si>
    <t>13/09/2023 12:30</t>
  </si>
  <si>
    <t>13/09/2023 12:45</t>
  </si>
  <si>
    <t>13/09/2023 13:00</t>
  </si>
  <si>
    <t>13/09/2023 13:15</t>
  </si>
  <si>
    <t>13/09/2023 13:30</t>
  </si>
  <si>
    <t>13/09/2023 13:45</t>
  </si>
  <si>
    <t>13/09/2023 14:00</t>
  </si>
  <si>
    <t>13/09/2023 14:15</t>
  </si>
  <si>
    <t>13/09/2023 14:30</t>
  </si>
  <si>
    <t>13/09/2023 14:45</t>
  </si>
  <si>
    <t>13/09/2023 15:00</t>
  </si>
  <si>
    <t>13/09/2023 15:15</t>
  </si>
  <si>
    <t>13/09/2023 15:30</t>
  </si>
  <si>
    <t>13/09/2023 15:45</t>
  </si>
  <si>
    <t>13/09/2023 16:00</t>
  </si>
  <si>
    <t>13/09/2023 16:15</t>
  </si>
  <si>
    <t>13/09/2023 16:30</t>
  </si>
  <si>
    <t>13/09/2023 16:45</t>
  </si>
  <si>
    <t>13/09/2023 17:00</t>
  </si>
  <si>
    <t>13/09/2023 17:15</t>
  </si>
  <si>
    <t>13/09/2023 17:30</t>
  </si>
  <si>
    <t>13/09/2023 17:45</t>
  </si>
  <si>
    <t>13/09/2023 18:00</t>
  </si>
  <si>
    <t>13/09/2023 18:15</t>
  </si>
  <si>
    <t>13/09/2023 18:30</t>
  </si>
  <si>
    <t>13/09/2023 18:45</t>
  </si>
  <si>
    <t>13/09/2023 19:00</t>
  </si>
  <si>
    <t>13/09/2023 19:15</t>
  </si>
  <si>
    <t>13/09/2023 19:30</t>
  </si>
  <si>
    <t>13/09/2023 19:45</t>
  </si>
  <si>
    <t>13/09/2023 20:00</t>
  </si>
  <si>
    <t>13/09/2023 20:15</t>
  </si>
  <si>
    <t>13/09/2023 20:30</t>
  </si>
  <si>
    <t>13/09/2023 20:45</t>
  </si>
  <si>
    <t>13/09/2023 21:00</t>
  </si>
  <si>
    <t>13/09/2023 21:15</t>
  </si>
  <si>
    <t>13/09/2023 21:30</t>
  </si>
  <si>
    <t>13/09/2023 21:45</t>
  </si>
  <si>
    <t>13/09/2023 22:00</t>
  </si>
  <si>
    <t>13/09/2023 22:15</t>
  </si>
  <si>
    <t>13/09/2023 22:30</t>
  </si>
  <si>
    <t>13/09/2023 22:45</t>
  </si>
  <si>
    <t>13/09/2023 23:00</t>
  </si>
  <si>
    <t>13/09/2023 23:15</t>
  </si>
  <si>
    <t>13/09/2023 23:30</t>
  </si>
  <si>
    <t>13/09/2023 23:45</t>
  </si>
  <si>
    <t>13/09/2023 24:00</t>
  </si>
  <si>
    <t>14/09/2023 00:15</t>
  </si>
  <si>
    <t>14/09/2023 00:30</t>
  </si>
  <si>
    <t>14/09/2023 00:45</t>
  </si>
  <si>
    <t>14/09/2023 01:00</t>
  </si>
  <si>
    <t>14/09/2023 01:15</t>
  </si>
  <si>
    <t>14/09/2023 01:30</t>
  </si>
  <si>
    <t>14/09/2023 01:45</t>
  </si>
  <si>
    <t>14/09/2023 02:00</t>
  </si>
  <si>
    <t>14/09/2023 02:15</t>
  </si>
  <si>
    <t>14/09/2023 02:30</t>
  </si>
  <si>
    <t>14/09/2023 02:45</t>
  </si>
  <si>
    <t>14/09/2023 03:00</t>
  </si>
  <si>
    <t>14/09/2023 03:15</t>
  </si>
  <si>
    <t>14/09/2023 03:30</t>
  </si>
  <si>
    <t>14/09/2023 03:45</t>
  </si>
  <si>
    <t>14/09/2023 04:00</t>
  </si>
  <si>
    <t>14/09/2023 04:15</t>
  </si>
  <si>
    <t>14/09/2023 04:30</t>
  </si>
  <si>
    <t>14/09/2023 04:45</t>
  </si>
  <si>
    <t>14/09/2023 05:00</t>
  </si>
  <si>
    <t>14/09/2023 05:15</t>
  </si>
  <si>
    <t>14/09/2023 05:30</t>
  </si>
  <si>
    <t>14/09/2023 05:45</t>
  </si>
  <si>
    <t>14/09/2023 06:00</t>
  </si>
  <si>
    <t>14/09/2023 06:15</t>
  </si>
  <si>
    <t>14/09/2023 06:30</t>
  </si>
  <si>
    <t>14/09/2023 06:45</t>
  </si>
  <si>
    <t>14/09/2023 07:00</t>
  </si>
  <si>
    <t>14/09/2023 07:15</t>
  </si>
  <si>
    <t>14/09/2023 07:30</t>
  </si>
  <si>
    <t>14/09/2023 07:45</t>
  </si>
  <si>
    <t>14/09/2023 08:00</t>
  </si>
  <si>
    <t>14/09/2023 08:15</t>
  </si>
  <si>
    <t>14/09/2023 08:30</t>
  </si>
  <si>
    <t>14/09/2023 08:45</t>
  </si>
  <si>
    <t>14/09/2023 09:00</t>
  </si>
  <si>
    <t>14/09/2023 09:15</t>
  </si>
  <si>
    <t>14/09/2023 09:30</t>
  </si>
  <si>
    <t>14/09/2023 09:45</t>
  </si>
  <si>
    <t>14/09/2023 10:00</t>
  </si>
  <si>
    <t>14/09/2023 10:15</t>
  </si>
  <si>
    <t>14/09/2023 10:30</t>
  </si>
  <si>
    <t>14/09/2023 10:45</t>
  </si>
  <si>
    <t>14/09/2023 11:00</t>
  </si>
  <si>
    <t>14/09/2023 11:15</t>
  </si>
  <si>
    <t>14/09/2023 11:30</t>
  </si>
  <si>
    <t>14/09/2023 11:45</t>
  </si>
  <si>
    <t>14/09/2023 12:00</t>
  </si>
  <si>
    <t>14/09/2023 12:15</t>
  </si>
  <si>
    <t>14/09/2023 12:30</t>
  </si>
  <si>
    <t>14/09/2023 12:45</t>
  </si>
  <si>
    <t>14/09/2023 13:00</t>
  </si>
  <si>
    <t>14/09/2023 13:15</t>
  </si>
  <si>
    <t>14/09/2023 13:30</t>
  </si>
  <si>
    <t>14/09/2023 13:45</t>
  </si>
  <si>
    <t>14/09/2023 14:00</t>
  </si>
  <si>
    <t>14/09/2023 14:15</t>
  </si>
  <si>
    <t>14/09/2023 14:30</t>
  </si>
  <si>
    <t>14/09/2023 14:45</t>
  </si>
  <si>
    <t>14/09/2023 15:00</t>
  </si>
  <si>
    <t>14/09/2023 15:15</t>
  </si>
  <si>
    <t>14/09/2023 15:30</t>
  </si>
  <si>
    <t>14/09/2023 15:45</t>
  </si>
  <si>
    <t>14/09/2023 16:00</t>
  </si>
  <si>
    <t>14/09/2023 16:15</t>
  </si>
  <si>
    <t>14/09/2023 16:30</t>
  </si>
  <si>
    <t>14/09/2023 16:45</t>
  </si>
  <si>
    <t>14/09/2023 17:00</t>
  </si>
  <si>
    <t>14/09/2023 17:15</t>
  </si>
  <si>
    <t>14/09/2023 17:30</t>
  </si>
  <si>
    <t>14/09/2023 17:45</t>
  </si>
  <si>
    <t>14/09/2023 18:00</t>
  </si>
  <si>
    <t>14/09/2023 18:15</t>
  </si>
  <si>
    <t>14/09/2023 18:30</t>
  </si>
  <si>
    <t>14/09/2023 18:45</t>
  </si>
  <si>
    <t>14/09/2023 19:00</t>
  </si>
  <si>
    <t>14/09/2023 19:15</t>
  </si>
  <si>
    <t>14/09/2023 19:30</t>
  </si>
  <si>
    <t>14/09/2023 19:45</t>
  </si>
  <si>
    <t>14/09/2023 20:00</t>
  </si>
  <si>
    <t>14/09/2023 20:15</t>
  </si>
  <si>
    <t>14/09/2023 20:30</t>
  </si>
  <si>
    <t>14/09/2023 20:45</t>
  </si>
  <si>
    <t>14/09/2023 21:00</t>
  </si>
  <si>
    <t>14/09/2023 21:15</t>
  </si>
  <si>
    <t>14/09/2023 21:30</t>
  </si>
  <si>
    <t>14/09/2023 21:45</t>
  </si>
  <si>
    <t>14/09/2023 22:00</t>
  </si>
  <si>
    <t>14/09/2023 22:15</t>
  </si>
  <si>
    <t>14/09/2023 22:30</t>
  </si>
  <si>
    <t>14/09/2023 22:45</t>
  </si>
  <si>
    <t>14/09/2023 23:00</t>
  </si>
  <si>
    <t>14/09/2023 23:15</t>
  </si>
  <si>
    <t>14/09/2023 23:30</t>
  </si>
  <si>
    <t>14/09/2023 23:45</t>
  </si>
  <si>
    <t>14/09/2023 24:00</t>
  </si>
  <si>
    <t>15/09/2023 00:15</t>
  </si>
  <si>
    <t>15/09/2023 00:30</t>
  </si>
  <si>
    <t>15/09/2023 00:45</t>
  </si>
  <si>
    <t>15/09/2023 01:00</t>
  </si>
  <si>
    <t>15/09/2023 01:15</t>
  </si>
  <si>
    <t>15/09/2023 01:30</t>
  </si>
  <si>
    <t>15/09/2023 01:45</t>
  </si>
  <si>
    <t>15/09/2023 02:00</t>
  </si>
  <si>
    <t>15/09/2023 02:15</t>
  </si>
  <si>
    <t>15/09/2023 02:30</t>
  </si>
  <si>
    <t>15/09/2023 02:45</t>
  </si>
  <si>
    <t>15/09/2023 03:00</t>
  </si>
  <si>
    <t>15/09/2023 03:15</t>
  </si>
  <si>
    <t>15/09/2023 03:30</t>
  </si>
  <si>
    <t>15/09/2023 03:45</t>
  </si>
  <si>
    <t>15/09/2023 04:00</t>
  </si>
  <si>
    <t>15/09/2023 04:15</t>
  </si>
  <si>
    <t>15/09/2023 04:30</t>
  </si>
  <si>
    <t>15/09/2023 04:45</t>
  </si>
  <si>
    <t>15/09/2023 05:00</t>
  </si>
  <si>
    <t>15/09/2023 05:15</t>
  </si>
  <si>
    <t>15/09/2023 05:30</t>
  </si>
  <si>
    <t>15/09/2023 05:45</t>
  </si>
  <si>
    <t>15/09/2023 06:00</t>
  </si>
  <si>
    <t>15/09/2023 06:15</t>
  </si>
  <si>
    <t>15/09/2023 06:30</t>
  </si>
  <si>
    <t>15/09/2023 06:45</t>
  </si>
  <si>
    <t>15/09/2023 07:00</t>
  </si>
  <si>
    <t>15/09/2023 07:15</t>
  </si>
  <si>
    <t>15/09/2023 07:30</t>
  </si>
  <si>
    <t>15/09/2023 07:45</t>
  </si>
  <si>
    <t>15/09/2023 08:00</t>
  </si>
  <si>
    <t>15/09/2023 08:15</t>
  </si>
  <si>
    <t>15/09/2023 08:30</t>
  </si>
  <si>
    <t>15/09/2023 08:45</t>
  </si>
  <si>
    <t>15/09/2023 09:00</t>
  </si>
  <si>
    <t>15/09/2023 09:15</t>
  </si>
  <si>
    <t>15/09/2023 09:30</t>
  </si>
  <si>
    <t>15/09/2023 09:45</t>
  </si>
  <si>
    <t>15/09/2023 10:00</t>
  </si>
  <si>
    <t>15/09/2023 10:15</t>
  </si>
  <si>
    <t>15/09/2023 10:30</t>
  </si>
  <si>
    <t>15/09/2023 10:45</t>
  </si>
  <si>
    <t>15/09/2023 11:00</t>
  </si>
  <si>
    <t>15/09/2023 11:15</t>
  </si>
  <si>
    <t>15/09/2023 11:30</t>
  </si>
  <si>
    <t>15/09/2023 11:45</t>
  </si>
  <si>
    <t>15/09/2023 12:00</t>
  </si>
  <si>
    <t>15/09/2023 12:15</t>
  </si>
  <si>
    <t>15/09/2023 12:30</t>
  </si>
  <si>
    <t>15/09/2023 12:45</t>
  </si>
  <si>
    <t>15/09/2023 13:00</t>
  </si>
  <si>
    <t>15/09/2023 13:15</t>
  </si>
  <si>
    <t>15/09/2023 13:30</t>
  </si>
  <si>
    <t>15/09/2023 13:45</t>
  </si>
  <si>
    <t>15/09/2023 14:00</t>
  </si>
  <si>
    <t>15/09/2023 14:15</t>
  </si>
  <si>
    <t>15/09/2023 14:30</t>
  </si>
  <si>
    <t>15/09/2023 14:45</t>
  </si>
  <si>
    <t>15/09/2023 15:00</t>
  </si>
  <si>
    <t>15/09/2023 15:15</t>
  </si>
  <si>
    <t>15/09/2023 15:30</t>
  </si>
  <si>
    <t>15/09/2023 15:45</t>
  </si>
  <si>
    <t>15/09/2023 16:00</t>
  </si>
  <si>
    <t>15/09/2023 16:15</t>
  </si>
  <si>
    <t>15/09/2023 16:30</t>
  </si>
  <si>
    <t>15/09/2023 16:45</t>
  </si>
  <si>
    <t>15/09/2023 17:00</t>
  </si>
  <si>
    <t>15/09/2023 17:15</t>
  </si>
  <si>
    <t>15/09/2023 17:30</t>
  </si>
  <si>
    <t>15/09/2023 17:45</t>
  </si>
  <si>
    <t>15/09/2023 18:00</t>
  </si>
  <si>
    <t>15/09/2023 18:15</t>
  </si>
  <si>
    <t>15/09/2023 18:30</t>
  </si>
  <si>
    <t>15/09/2023 18:45</t>
  </si>
  <si>
    <t>15/09/2023 19:00</t>
  </si>
  <si>
    <t>15/09/2023 19:15</t>
  </si>
  <si>
    <t>15/09/2023 19:30</t>
  </si>
  <si>
    <t>15/09/2023 19:45</t>
  </si>
  <si>
    <t>15/09/2023 20:00</t>
  </si>
  <si>
    <t>15/09/2023 20:15</t>
  </si>
  <si>
    <t>15/09/2023 20:30</t>
  </si>
  <si>
    <t>15/09/2023 20:45</t>
  </si>
  <si>
    <t>15/09/2023 21:00</t>
  </si>
  <si>
    <t>15/09/2023 21:15</t>
  </si>
  <si>
    <t>15/09/2023 21:30</t>
  </si>
  <si>
    <t>15/09/2023 21:45</t>
  </si>
  <si>
    <t>15/09/2023 22:00</t>
  </si>
  <si>
    <t>15/09/2023 22:15</t>
  </si>
  <si>
    <t>15/09/2023 22:30</t>
  </si>
  <si>
    <t>15/09/2023 22:45</t>
  </si>
  <si>
    <t>15/09/2023 23:00</t>
  </si>
  <si>
    <t>15/09/2023 23:15</t>
  </si>
  <si>
    <t>15/09/2023 23:30</t>
  </si>
  <si>
    <t>15/09/2023 23:45</t>
  </si>
  <si>
    <t>15/09/2023 24:00</t>
  </si>
  <si>
    <t>16/09/2023 00:15</t>
  </si>
  <si>
    <t>16/09/2023 00:30</t>
  </si>
  <si>
    <t>16/09/2023 00:45</t>
  </si>
  <si>
    <t>16/09/2023 01:00</t>
  </si>
  <si>
    <t>16/09/2023 01:15</t>
  </si>
  <si>
    <t>16/09/2023 01:30</t>
  </si>
  <si>
    <t>16/09/2023 01:45</t>
  </si>
  <si>
    <t>16/09/2023 02:00</t>
  </si>
  <si>
    <t>16/09/2023 02:15</t>
  </si>
  <si>
    <t>16/09/2023 02:30</t>
  </si>
  <si>
    <t>16/09/2023 02:45</t>
  </si>
  <si>
    <t>16/09/2023 03:00</t>
  </si>
  <si>
    <t>16/09/2023 03:15</t>
  </si>
  <si>
    <t>16/09/2023 03:30</t>
  </si>
  <si>
    <t>16/09/2023 03:45</t>
  </si>
  <si>
    <t>16/09/2023 04:00</t>
  </si>
  <si>
    <t>16/09/2023 04:15</t>
  </si>
  <si>
    <t>16/09/2023 04:30</t>
  </si>
  <si>
    <t>16/09/2023 04:45</t>
  </si>
  <si>
    <t>16/09/2023 05:00</t>
  </si>
  <si>
    <t>16/09/2023 05:15</t>
  </si>
  <si>
    <t>16/09/2023 05:30</t>
  </si>
  <si>
    <t>16/09/2023 05:45</t>
  </si>
  <si>
    <t>16/09/2023 06:00</t>
  </si>
  <si>
    <t>16/09/2023 06:15</t>
  </si>
  <si>
    <t>16/09/2023 06:30</t>
  </si>
  <si>
    <t>16/09/2023 06:45</t>
  </si>
  <si>
    <t>16/09/2023 07:00</t>
  </si>
  <si>
    <t>16/09/2023 07:15</t>
  </si>
  <si>
    <t>16/09/2023 07:30</t>
  </si>
  <si>
    <t>16/09/2023 07:45</t>
  </si>
  <si>
    <t>16/09/2023 08:00</t>
  </si>
  <si>
    <t>16/09/2023 08:15</t>
  </si>
  <si>
    <t>16/09/2023 08:30</t>
  </si>
  <si>
    <t>16/09/2023 08:45</t>
  </si>
  <si>
    <t>16/09/2023 09:00</t>
  </si>
  <si>
    <t>16/09/2023 09:15</t>
  </si>
  <si>
    <t>16/09/2023 09:30</t>
  </si>
  <si>
    <t>16/09/2023 09:45</t>
  </si>
  <si>
    <t>16/09/2023 10:00</t>
  </si>
  <si>
    <t>16/09/2023 10:15</t>
  </si>
  <si>
    <t>16/09/2023 10:30</t>
  </si>
  <si>
    <t>16/09/2023 10:45</t>
  </si>
  <si>
    <t>16/09/2023 11:00</t>
  </si>
  <si>
    <t>16/09/2023 11:15</t>
  </si>
  <si>
    <t>16/09/2023 11:30</t>
  </si>
  <si>
    <t>16/09/2023 11:45</t>
  </si>
  <si>
    <t>16/09/2023 12:00</t>
  </si>
  <si>
    <t>16/09/2023 12:15</t>
  </si>
  <si>
    <t>16/09/2023 12:30</t>
  </si>
  <si>
    <t>16/09/2023 12:45</t>
  </si>
  <si>
    <t>16/09/2023 13:00</t>
  </si>
  <si>
    <t>16/09/2023 13:15</t>
  </si>
  <si>
    <t>16/09/2023 13:30</t>
  </si>
  <si>
    <t>16/09/2023 13:45</t>
  </si>
  <si>
    <t>16/09/2023 14:00</t>
  </si>
  <si>
    <t>16/09/2023 14:15</t>
  </si>
  <si>
    <t>16/09/2023 14:30</t>
  </si>
  <si>
    <t>16/09/2023 14:45</t>
  </si>
  <si>
    <t>16/09/2023 15:00</t>
  </si>
  <si>
    <t>16/09/2023 15:15</t>
  </si>
  <si>
    <t>16/09/2023 15:30</t>
  </si>
  <si>
    <t>16/09/2023 15:45</t>
  </si>
  <si>
    <t>16/09/2023 16:00</t>
  </si>
  <si>
    <t>16/09/2023 16:15</t>
  </si>
  <si>
    <t>16/09/2023 16:30</t>
  </si>
  <si>
    <t>16/09/2023 16:45</t>
  </si>
  <si>
    <t>16/09/2023 17:00</t>
  </si>
  <si>
    <t>16/09/2023 17:15</t>
  </si>
  <si>
    <t>16/09/2023 17:30</t>
  </si>
  <si>
    <t>16/09/2023 17:45</t>
  </si>
  <si>
    <t>16/09/2023 18:00</t>
  </si>
  <si>
    <t>16/09/2023 18:15</t>
  </si>
  <si>
    <t>16/09/2023 18:30</t>
  </si>
  <si>
    <t>16/09/2023 18:45</t>
  </si>
  <si>
    <t>16/09/2023 19:00</t>
  </si>
  <si>
    <t>16/09/2023 19:15</t>
  </si>
  <si>
    <t>16/09/2023 19:30</t>
  </si>
  <si>
    <t>16/09/2023 19:45</t>
  </si>
  <si>
    <t>16/09/2023 20:00</t>
  </si>
  <si>
    <t>16/09/2023 20:15</t>
  </si>
  <si>
    <t>16/09/2023 20:30</t>
  </si>
  <si>
    <t>16/09/2023 20:45</t>
  </si>
  <si>
    <t>16/09/2023 21:00</t>
  </si>
  <si>
    <t>16/09/2023 21:15</t>
  </si>
  <si>
    <t>16/09/2023 21:30</t>
  </si>
  <si>
    <t>16/09/2023 21:45</t>
  </si>
  <si>
    <t>16/09/2023 22:00</t>
  </si>
  <si>
    <t>16/09/2023 22:15</t>
  </si>
  <si>
    <t>16/09/2023 22:30</t>
  </si>
  <si>
    <t>16/09/2023 22:45</t>
  </si>
  <si>
    <t>16/09/2023 23:00</t>
  </si>
  <si>
    <t>16/09/2023 23:15</t>
  </si>
  <si>
    <t>16/09/2023 23:30</t>
  </si>
  <si>
    <t>16/09/2023 23:45</t>
  </si>
  <si>
    <t>16/09/2023 24:00</t>
  </si>
  <si>
    <t>17/09/2023 00:15</t>
  </si>
  <si>
    <t>17/09/2023 00:30</t>
  </si>
  <si>
    <t>17/09/2023 00:45</t>
  </si>
  <si>
    <t>17/09/2023 01:00</t>
  </si>
  <si>
    <t>17/09/2023 01:15</t>
  </si>
  <si>
    <t>17/09/2023 01:30</t>
  </si>
  <si>
    <t>17/09/2023 01:45</t>
  </si>
  <si>
    <t>17/09/2023 02:00</t>
  </si>
  <si>
    <t>17/09/2023 02:15</t>
  </si>
  <si>
    <t>17/09/2023 02:30</t>
  </si>
  <si>
    <t>17/09/2023 02:45</t>
  </si>
  <si>
    <t>17/09/2023 03:00</t>
  </si>
  <si>
    <t>17/09/2023 03:15</t>
  </si>
  <si>
    <t>17/09/2023 03:30</t>
  </si>
  <si>
    <t>17/09/2023 03:45</t>
  </si>
  <si>
    <t>17/09/2023 04:00</t>
  </si>
  <si>
    <t>17/09/2023 04:15</t>
  </si>
  <si>
    <t>17/09/2023 04:30</t>
  </si>
  <si>
    <t>17/09/2023 04:45</t>
  </si>
  <si>
    <t>17/09/2023 05:00</t>
  </si>
  <si>
    <t>17/09/2023 05:15</t>
  </si>
  <si>
    <t>17/09/2023 05:30</t>
  </si>
  <si>
    <t>17/09/2023 05:45</t>
  </si>
  <si>
    <t>17/09/2023 06:00</t>
  </si>
  <si>
    <t>17/09/2023 06:15</t>
  </si>
  <si>
    <t>17/09/2023 06:30</t>
  </si>
  <si>
    <t>17/09/2023 06:45</t>
  </si>
  <si>
    <t>17/09/2023 07:00</t>
  </si>
  <si>
    <t>17/09/2023 07:15</t>
  </si>
  <si>
    <t>17/09/2023 07:30</t>
  </si>
  <si>
    <t>17/09/2023 07:45</t>
  </si>
  <si>
    <t>17/09/2023 08:00</t>
  </si>
  <si>
    <t>17/09/2023 08:15</t>
  </si>
  <si>
    <t>17/09/2023 08:30</t>
  </si>
  <si>
    <t>17/09/2023 08:45</t>
  </si>
  <si>
    <t>17/09/2023 09:00</t>
  </si>
  <si>
    <t>17/09/2023 09:15</t>
  </si>
  <si>
    <t>17/09/2023 09:30</t>
  </si>
  <si>
    <t>17/09/2023 09:45</t>
  </si>
  <si>
    <t>17/09/2023 10:00</t>
  </si>
  <si>
    <t>17/09/2023 10:15</t>
  </si>
  <si>
    <t>17/09/2023 10:30</t>
  </si>
  <si>
    <t>17/09/2023 10:45</t>
  </si>
  <si>
    <t>17/09/2023 11:00</t>
  </si>
  <si>
    <t>17/09/2023 11:15</t>
  </si>
  <si>
    <t>17/09/2023 11:30</t>
  </si>
  <si>
    <t>17/09/2023 11:45</t>
  </si>
  <si>
    <t>17/09/2023 12:00</t>
  </si>
  <si>
    <t>17/09/2023 12:15</t>
  </si>
  <si>
    <t>17/09/2023 12:30</t>
  </si>
  <si>
    <t>17/09/2023 12:45</t>
  </si>
  <si>
    <t>17/09/2023 13:00</t>
  </si>
  <si>
    <t>17/09/2023 13:15</t>
  </si>
  <si>
    <t>17/09/2023 13:30</t>
  </si>
  <si>
    <t>17/09/2023 13:45</t>
  </si>
  <si>
    <t>17/09/2023 14:00</t>
  </si>
  <si>
    <t>17/09/2023 14:15</t>
  </si>
  <si>
    <t>17/09/2023 14:30</t>
  </si>
  <si>
    <t>17/09/2023 14:45</t>
  </si>
  <si>
    <t>17/09/2023 15:00</t>
  </si>
  <si>
    <t>17/09/2023 15:15</t>
  </si>
  <si>
    <t>17/09/2023 15:30</t>
  </si>
  <si>
    <t>17/09/2023 15:45</t>
  </si>
  <si>
    <t>17/09/2023 16:00</t>
  </si>
  <si>
    <t>17/09/2023 16:15</t>
  </si>
  <si>
    <t>17/09/2023 16:30</t>
  </si>
  <si>
    <t>17/09/2023 16:45</t>
  </si>
  <si>
    <t>17/09/2023 17:00</t>
  </si>
  <si>
    <t>17/09/2023 17:15</t>
  </si>
  <si>
    <t>17/09/2023 17:30</t>
  </si>
  <si>
    <t>17/09/2023 17:45</t>
  </si>
  <si>
    <t>17/09/2023 18:00</t>
  </si>
  <si>
    <t>17/09/2023 18:15</t>
  </si>
  <si>
    <t>17/09/2023 18:30</t>
  </si>
  <si>
    <t>17/09/2023 18:45</t>
  </si>
  <si>
    <t>17/09/2023 19:00</t>
  </si>
  <si>
    <t>17/09/2023 19:15</t>
  </si>
  <si>
    <t>17/09/2023 19:30</t>
  </si>
  <si>
    <t>17/09/2023 19:45</t>
  </si>
  <si>
    <t>17/09/2023 20:00</t>
  </si>
  <si>
    <t>17/09/2023 20:15</t>
  </si>
  <si>
    <t>17/09/2023 20:30</t>
  </si>
  <si>
    <t>17/09/2023 20:45</t>
  </si>
  <si>
    <t>17/09/2023 21:00</t>
  </si>
  <si>
    <t>17/09/2023 21:15</t>
  </si>
  <si>
    <t>17/09/2023 21:30</t>
  </si>
  <si>
    <t>17/09/2023 21:45</t>
  </si>
  <si>
    <t>17/09/2023 22:00</t>
  </si>
  <si>
    <t>17/09/2023 22:15</t>
  </si>
  <si>
    <t>17/09/2023 22:30</t>
  </si>
  <si>
    <t>17/09/2023 22:45</t>
  </si>
  <si>
    <t>17/09/2023 23:00</t>
  </si>
  <si>
    <t>17/09/2023 23:15</t>
  </si>
  <si>
    <t>17/09/2023 23:30</t>
  </si>
  <si>
    <t>17/09/2023 23:45</t>
  </si>
  <si>
    <t>17/09/2023 24:00</t>
  </si>
  <si>
    <t>18/09/2023 00:15</t>
  </si>
  <si>
    <t>18/09/2023 00:30</t>
  </si>
  <si>
    <t>18/09/2023 00:45</t>
  </si>
  <si>
    <t>18/09/2023 01:00</t>
  </si>
  <si>
    <t>18/09/2023 01:15</t>
  </si>
  <si>
    <t>18/09/2023 01:30</t>
  </si>
  <si>
    <t>18/09/2023 01:45</t>
  </si>
  <si>
    <t>18/09/2023 02:00</t>
  </si>
  <si>
    <t>18/09/2023 02:15</t>
  </si>
  <si>
    <t>18/09/2023 02:30</t>
  </si>
  <si>
    <t>18/09/2023 02:45</t>
  </si>
  <si>
    <t>18/09/2023 03:00</t>
  </si>
  <si>
    <t>18/09/2023 03:15</t>
  </si>
  <si>
    <t>18/09/2023 03:30</t>
  </si>
  <si>
    <t>18/09/2023 03:45</t>
  </si>
  <si>
    <t>18/09/2023 04:00</t>
  </si>
  <si>
    <t>18/09/2023 04:15</t>
  </si>
  <si>
    <t>18/09/2023 04:30</t>
  </si>
  <si>
    <t>18/09/2023 04:45</t>
  </si>
  <si>
    <t>18/09/2023 05:00</t>
  </si>
  <si>
    <t>18/09/2023 05:15</t>
  </si>
  <si>
    <t>18/09/2023 05:30</t>
  </si>
  <si>
    <t>18/09/2023 05:45</t>
  </si>
  <si>
    <t>18/09/2023 06:00</t>
  </si>
  <si>
    <t>18/09/2023 06:15</t>
  </si>
  <si>
    <t>18/09/2023 06:30</t>
  </si>
  <si>
    <t>18/09/2023 06:45</t>
  </si>
  <si>
    <t>18/09/2023 07:00</t>
  </si>
  <si>
    <t>18/09/2023 07:15</t>
  </si>
  <si>
    <t>18/09/2023 07:30</t>
  </si>
  <si>
    <t>18/09/2023 07:45</t>
  </si>
  <si>
    <t>18/09/2023 08:00</t>
  </si>
  <si>
    <t>18/09/2023 08:15</t>
  </si>
  <si>
    <t>18/09/2023 08:30</t>
  </si>
  <si>
    <t>18/09/2023 08:45</t>
  </si>
  <si>
    <t>18/09/2023 09:00</t>
  </si>
  <si>
    <t>18/09/2023 09:15</t>
  </si>
  <si>
    <t>18/09/2023 09:30</t>
  </si>
  <si>
    <t>18/09/2023 09:45</t>
  </si>
  <si>
    <t>18/09/2023 10:00</t>
  </si>
  <si>
    <t>18/09/2023 10:15</t>
  </si>
  <si>
    <t>18/09/2023 10:30</t>
  </si>
  <si>
    <t>18/09/2023 10:45</t>
  </si>
  <si>
    <t>18/09/2023 11:00</t>
  </si>
  <si>
    <t>18/09/2023 11:15</t>
  </si>
  <si>
    <t>18/09/2023 11:30</t>
  </si>
  <si>
    <t>18/09/2023 11:45</t>
  </si>
  <si>
    <t>18/09/2023 12:00</t>
  </si>
  <si>
    <t>18/09/2023 12:15</t>
  </si>
  <si>
    <t>18/09/2023 12:30</t>
  </si>
  <si>
    <t>18/09/2023 12:45</t>
  </si>
  <si>
    <t>18/09/2023 13:00</t>
  </si>
  <si>
    <t>18/09/2023 13:15</t>
  </si>
  <si>
    <t>18/09/2023 13:30</t>
  </si>
  <si>
    <t>18/09/2023 13:45</t>
  </si>
  <si>
    <t>18/09/2023 14:00</t>
  </si>
  <si>
    <t>18/09/2023 14:15</t>
  </si>
  <si>
    <t>18/09/2023 14:30</t>
  </si>
  <si>
    <t>18/09/2023 14:45</t>
  </si>
  <si>
    <t>18/09/2023 15:00</t>
  </si>
  <si>
    <t>18/09/2023 15:15</t>
  </si>
  <si>
    <t>18/09/2023 15:30</t>
  </si>
  <si>
    <t>18/09/2023 15:45</t>
  </si>
  <si>
    <t>18/09/2023 16:00</t>
  </si>
  <si>
    <t>18/09/2023 16:15</t>
  </si>
  <si>
    <t>18/09/2023 16:30</t>
  </si>
  <si>
    <t>18/09/2023 16:45</t>
  </si>
  <si>
    <t>18/09/2023 17:00</t>
  </si>
  <si>
    <t>18/09/2023 17:15</t>
  </si>
  <si>
    <t>18/09/2023 17:30</t>
  </si>
  <si>
    <t>18/09/2023 17:45</t>
  </si>
  <si>
    <t>18/09/2023 18:00</t>
  </si>
  <si>
    <t>18/09/2023 18:15</t>
  </si>
  <si>
    <t>18/09/2023 18:30</t>
  </si>
  <si>
    <t>18/09/2023 18:45</t>
  </si>
  <si>
    <t>18/09/2023 19:00</t>
  </si>
  <si>
    <t>18/09/2023 19:15</t>
  </si>
  <si>
    <t>18/09/2023 19:30</t>
  </si>
  <si>
    <t>18/09/2023 19:45</t>
  </si>
  <si>
    <t>18/09/2023 20:00</t>
  </si>
  <si>
    <t>18/09/2023 20:15</t>
  </si>
  <si>
    <t>18/09/2023 20:30</t>
  </si>
  <si>
    <t>18/09/2023 20:45</t>
  </si>
  <si>
    <t>18/09/2023 21:00</t>
  </si>
  <si>
    <t>18/09/2023 21:15</t>
  </si>
  <si>
    <t>18/09/2023 21:30</t>
  </si>
  <si>
    <t>18/09/2023 21:45</t>
  </si>
  <si>
    <t>18/09/2023 22:00</t>
  </si>
  <si>
    <t>18/09/2023 22:15</t>
  </si>
  <si>
    <t>18/09/2023 22:30</t>
  </si>
  <si>
    <t>18/09/2023 22:45</t>
  </si>
  <si>
    <t>18/09/2023 23:00</t>
  </si>
  <si>
    <t>18/09/2023 23:15</t>
  </si>
  <si>
    <t>18/09/2023 23:30</t>
  </si>
  <si>
    <t>18/09/2023 23:45</t>
  </si>
  <si>
    <t>18/09/2023 24:00</t>
  </si>
  <si>
    <t>19/09/2023 00:15</t>
  </si>
  <si>
    <t>19/09/2023 00:30</t>
  </si>
  <si>
    <t>19/09/2023 00:45</t>
  </si>
  <si>
    <t>19/09/2023 01:00</t>
  </si>
  <si>
    <t>19/09/2023 01:15</t>
  </si>
  <si>
    <t>19/09/2023 01:30</t>
  </si>
  <si>
    <t>19/09/2023 01:45</t>
  </si>
  <si>
    <t>19/09/2023 02:00</t>
  </si>
  <si>
    <t>19/09/2023 02:15</t>
  </si>
  <si>
    <t>19/09/2023 02:30</t>
  </si>
  <si>
    <t>19/09/2023 02:45</t>
  </si>
  <si>
    <t>19/09/2023 03:00</t>
  </si>
  <si>
    <t>19/09/2023 03:15</t>
  </si>
  <si>
    <t>19/09/2023 03:30</t>
  </si>
  <si>
    <t>19/09/2023 03:45</t>
  </si>
  <si>
    <t>19/09/2023 04:00</t>
  </si>
  <si>
    <t>19/09/2023 04:15</t>
  </si>
  <si>
    <t>19/09/2023 04:30</t>
  </si>
  <si>
    <t>19/09/2023 04:45</t>
  </si>
  <si>
    <t>19/09/2023 05:00</t>
  </si>
  <si>
    <t>19/09/2023 05:15</t>
  </si>
  <si>
    <t>19/09/2023 05:30</t>
  </si>
  <si>
    <t>19/09/2023 05:45</t>
  </si>
  <si>
    <t>19/09/2023 06:00</t>
  </si>
  <si>
    <t>19/09/2023 06:15</t>
  </si>
  <si>
    <t>19/09/2023 06:30</t>
  </si>
  <si>
    <t>19/09/2023 06:45</t>
  </si>
  <si>
    <t>19/09/2023 07:00</t>
  </si>
  <si>
    <t>19/09/2023 07:15</t>
  </si>
  <si>
    <t>19/09/2023 07:30</t>
  </si>
  <si>
    <t>19/09/2023 07:45</t>
  </si>
  <si>
    <t>19/09/2023 08:00</t>
  </si>
  <si>
    <t>19/09/2023 08:15</t>
  </si>
  <si>
    <t>19/09/2023 08:30</t>
  </si>
  <si>
    <t>19/09/2023 08:45</t>
  </si>
  <si>
    <t>19/09/2023 09:00</t>
  </si>
  <si>
    <t>19/09/2023 09:15</t>
  </si>
  <si>
    <t>19/09/2023 09:30</t>
  </si>
  <si>
    <t>19/09/2023 09:45</t>
  </si>
  <si>
    <t>19/09/2023 10:00</t>
  </si>
  <si>
    <t>19/09/2023 10:15</t>
  </si>
  <si>
    <t>19/09/2023 10:30</t>
  </si>
  <si>
    <t>19/09/2023 10:45</t>
  </si>
  <si>
    <t>19/09/2023 11:00</t>
  </si>
  <si>
    <t>19/09/2023 11:15</t>
  </si>
  <si>
    <t>19/09/2023 11:30</t>
  </si>
  <si>
    <t>19/09/2023 11:45</t>
  </si>
  <si>
    <t>19/09/2023 12:00</t>
  </si>
  <si>
    <t>19/09/2023 12:15</t>
  </si>
  <si>
    <t>19/09/2023 12:30</t>
  </si>
  <si>
    <t>19/09/2023 12:45</t>
  </si>
  <si>
    <t>19/09/2023 13:00</t>
  </si>
  <si>
    <t>19/09/2023 13:15</t>
  </si>
  <si>
    <t>19/09/2023 13:30</t>
  </si>
  <si>
    <t>19/09/2023 13:45</t>
  </si>
  <si>
    <t>19/09/2023 14:00</t>
  </si>
  <si>
    <t>19/09/2023 14:15</t>
  </si>
  <si>
    <t>19/09/2023 14:30</t>
  </si>
  <si>
    <t>19/09/2023 14:45</t>
  </si>
  <si>
    <t>19/09/2023 15:00</t>
  </si>
  <si>
    <t>19/09/2023 15:15</t>
  </si>
  <si>
    <t>19/09/2023 15:30</t>
  </si>
  <si>
    <t>19/09/2023 15:45</t>
  </si>
  <si>
    <t>19/09/2023 16:00</t>
  </si>
  <si>
    <t>19/09/2023 16:15</t>
  </si>
  <si>
    <t>19/09/2023 16:30</t>
  </si>
  <si>
    <t>19/09/2023 16:45</t>
  </si>
  <si>
    <t>19/09/2023 17:00</t>
  </si>
  <si>
    <t>19/09/2023 17:15</t>
  </si>
  <si>
    <t>19/09/2023 17:30</t>
  </si>
  <si>
    <t>19/09/2023 17:45</t>
  </si>
  <si>
    <t>19/09/2023 18:00</t>
  </si>
  <si>
    <t>19/09/2023 18:15</t>
  </si>
  <si>
    <t>19/09/2023 18:30</t>
  </si>
  <si>
    <t>19/09/2023 18:45</t>
  </si>
  <si>
    <t>19/09/2023 19:00</t>
  </si>
  <si>
    <t>19/09/2023 19:15</t>
  </si>
  <si>
    <t>19/09/2023 19:30</t>
  </si>
  <si>
    <t>19/09/2023 19:45</t>
  </si>
  <si>
    <t>19/09/2023 20:00</t>
  </si>
  <si>
    <t>19/09/2023 20:15</t>
  </si>
  <si>
    <t>19/09/2023 20:30</t>
  </si>
  <si>
    <t>19/09/2023 20:45</t>
  </si>
  <si>
    <t>19/09/2023 21:00</t>
  </si>
  <si>
    <t>19/09/2023 21:15</t>
  </si>
  <si>
    <t>19/09/2023 21:30</t>
  </si>
  <si>
    <t>19/09/2023 21:45</t>
  </si>
  <si>
    <t>19/09/2023 22:00</t>
  </si>
  <si>
    <t>19/09/2023 22:15</t>
  </si>
  <si>
    <t>19/09/2023 22:30</t>
  </si>
  <si>
    <t>19/09/2023 22:45</t>
  </si>
  <si>
    <t>19/09/2023 23:00</t>
  </si>
  <si>
    <t>19/09/2023 23:15</t>
  </si>
  <si>
    <t>19/09/2023 23:30</t>
  </si>
  <si>
    <t>19/09/2023 23:45</t>
  </si>
  <si>
    <t>19/09/2023 24:00</t>
  </si>
  <si>
    <t>20/09/2023 00:15</t>
  </si>
  <si>
    <t>20/09/2023 00:30</t>
  </si>
  <si>
    <t>20/09/2023 00:45</t>
  </si>
  <si>
    <t>20/09/2023 01:00</t>
  </si>
  <si>
    <t>20/09/2023 01:15</t>
  </si>
  <si>
    <t>20/09/2023 01:30</t>
  </si>
  <si>
    <t>20/09/2023 01:45</t>
  </si>
  <si>
    <t>20/09/2023 02:00</t>
  </si>
  <si>
    <t>20/09/2023 02:15</t>
  </si>
  <si>
    <t>20/09/2023 02:30</t>
  </si>
  <si>
    <t>20/09/2023 02:45</t>
  </si>
  <si>
    <t>20/09/2023 03:00</t>
  </si>
  <si>
    <t>20/09/2023 03:15</t>
  </si>
  <si>
    <t>20/09/2023 03:30</t>
  </si>
  <si>
    <t>20/09/2023 03:45</t>
  </si>
  <si>
    <t>20/09/2023 04:00</t>
  </si>
  <si>
    <t>20/09/2023 04:15</t>
  </si>
  <si>
    <t>20/09/2023 04:30</t>
  </si>
  <si>
    <t>20/09/2023 04:45</t>
  </si>
  <si>
    <t>20/09/2023 05:00</t>
  </si>
  <si>
    <t>20/09/2023 05:15</t>
  </si>
  <si>
    <t>20/09/2023 05:30</t>
  </si>
  <si>
    <t>20/09/2023 05:45</t>
  </si>
  <si>
    <t>20/09/2023 06:00</t>
  </si>
  <si>
    <t>20/09/2023 06:15</t>
  </si>
  <si>
    <t>20/09/2023 06:30</t>
  </si>
  <si>
    <t>20/09/2023 06:45</t>
  </si>
  <si>
    <t>20/09/2023 07:00</t>
  </si>
  <si>
    <t>20/09/2023 07:15</t>
  </si>
  <si>
    <t>20/09/2023 07:30</t>
  </si>
  <si>
    <t>20/09/2023 07:45</t>
  </si>
  <si>
    <t>20/09/2023 08:00</t>
  </si>
  <si>
    <t>20/09/2023 08:15</t>
  </si>
  <si>
    <t>20/09/2023 08:30</t>
  </si>
  <si>
    <t>20/09/2023 08:45</t>
  </si>
  <si>
    <t>20/09/2023 09:00</t>
  </si>
  <si>
    <t>20/09/2023 09:15</t>
  </si>
  <si>
    <t>20/09/2023 09:30</t>
  </si>
  <si>
    <t>20/09/2023 09:45</t>
  </si>
  <si>
    <t>20/09/2023 10:00</t>
  </si>
  <si>
    <t>20/09/2023 10:15</t>
  </si>
  <si>
    <t>20/09/2023 10:30</t>
  </si>
  <si>
    <t>20/09/2023 10:45</t>
  </si>
  <si>
    <t>20/09/2023 11:00</t>
  </si>
  <si>
    <t>20/09/2023 11:15</t>
  </si>
  <si>
    <t>20/09/2023 11:30</t>
  </si>
  <si>
    <t>20/09/2023 11:45</t>
  </si>
  <si>
    <t>20/09/2023 12:00</t>
  </si>
  <si>
    <t>20/09/2023 12:15</t>
  </si>
  <si>
    <t>20/09/2023 12:30</t>
  </si>
  <si>
    <t>20/09/2023 13:15</t>
  </si>
  <si>
    <t>20/09/2023 13:30</t>
  </si>
  <si>
    <t>20/09/2023 13:45</t>
  </si>
  <si>
    <t>20/09/2023 14:00</t>
  </si>
  <si>
    <t>20/09/2023 14:15</t>
  </si>
  <si>
    <t>20/09/2023 14:30</t>
  </si>
  <si>
    <t>20/09/2023 14:45</t>
  </si>
  <si>
    <t>20/09/2023 15:00</t>
  </si>
  <si>
    <t>20/09/2023 15:15</t>
  </si>
  <si>
    <t>20/09/2023 15:30</t>
  </si>
  <si>
    <t>20/09/2023 15:45</t>
  </si>
  <si>
    <t>20/09/2023 16:00</t>
  </si>
  <si>
    <t>20/09/2023 16:15</t>
  </si>
  <si>
    <t>20/09/2023 16:30</t>
  </si>
  <si>
    <t>20/09/2023 16:45</t>
  </si>
  <si>
    <t>20/09/2023 17:00</t>
  </si>
  <si>
    <t>20/09/2023 17:15</t>
  </si>
  <si>
    <t>20/09/2023 17:30</t>
  </si>
  <si>
    <t>20/09/2023 17:45</t>
  </si>
  <si>
    <t>20/09/2023 18:00</t>
  </si>
  <si>
    <t>20/09/2023 18:15</t>
  </si>
  <si>
    <t>20/09/2023 18:30</t>
  </si>
  <si>
    <t>20/09/2023 18:45</t>
  </si>
  <si>
    <t>20/09/2023 19:00</t>
  </si>
  <si>
    <t>20/09/2023 19:15</t>
  </si>
  <si>
    <t>20/09/2023 19:30</t>
  </si>
  <si>
    <t>20/09/2023 19:45</t>
  </si>
  <si>
    <t>20/09/2023 20:00</t>
  </si>
  <si>
    <t>20/09/2023 20:15</t>
  </si>
  <si>
    <t>20/09/2023 20:30</t>
  </si>
  <si>
    <t>20/09/2023 20:45</t>
  </si>
  <si>
    <t>20/09/2023 21:00</t>
  </si>
  <si>
    <t>20/09/2023 21:15</t>
  </si>
  <si>
    <t>20/09/2023 21:30</t>
  </si>
  <si>
    <t>20/09/2023 21:45</t>
  </si>
  <si>
    <t>20/09/2023 22:00</t>
  </si>
  <si>
    <t>20/09/2023 22:15</t>
  </si>
  <si>
    <t>20/09/2023 22:30</t>
  </si>
  <si>
    <t>20/09/2023 22:45</t>
  </si>
  <si>
    <t>20/09/2023 23:00</t>
  </si>
  <si>
    <t>20/09/2023 23:15</t>
  </si>
  <si>
    <t>20/09/2023 23:30</t>
  </si>
  <si>
    <t>20/09/2023 23:45</t>
  </si>
  <si>
    <t>20/09/2023 24:00</t>
  </si>
  <si>
    <t>21/09/2023 00:15</t>
  </si>
  <si>
    <t>21/09/2023 00:30</t>
  </si>
  <si>
    <t>21/09/2023 00:45</t>
  </si>
  <si>
    <t>21/09/2023 01:00</t>
  </si>
  <si>
    <t>21/09/2023 01:15</t>
  </si>
  <si>
    <t>21/09/2023 01:30</t>
  </si>
  <si>
    <t>21/09/2023 01:45</t>
  </si>
  <si>
    <t>21/09/2023 02:00</t>
  </si>
  <si>
    <t>21/09/2023 02:15</t>
  </si>
  <si>
    <t>21/09/2023 02:30</t>
  </si>
  <si>
    <t>21/09/2023 02:45</t>
  </si>
  <si>
    <t>21/09/2023 03:00</t>
  </si>
  <si>
    <t>21/09/2023 03:15</t>
  </si>
  <si>
    <t>21/09/2023 03:30</t>
  </si>
  <si>
    <t>21/09/2023 03:45</t>
  </si>
  <si>
    <t>21/09/2023 04:00</t>
  </si>
  <si>
    <t>21/09/2023 04:15</t>
  </si>
  <si>
    <t>21/09/2023 04:30</t>
  </si>
  <si>
    <t>21/09/2023 04:45</t>
  </si>
  <si>
    <t>21/09/2023 05:00</t>
  </si>
  <si>
    <t>21/09/2023 05:15</t>
  </si>
  <si>
    <t>21/09/2023 05:30</t>
  </si>
  <si>
    <t>21/09/2023 05:45</t>
  </si>
  <si>
    <t>21/09/2023 06:00</t>
  </si>
  <si>
    <t>21/09/2023 06:15</t>
  </si>
  <si>
    <t>21/09/2023 06:30</t>
  </si>
  <si>
    <t>21/09/2023 06:45</t>
  </si>
  <si>
    <t>21/09/2023 07:00</t>
  </si>
  <si>
    <t>21/09/2023 07:15</t>
  </si>
  <si>
    <t>21/09/2023 07:30</t>
  </si>
  <si>
    <t>21/09/2023 07:45</t>
  </si>
  <si>
    <t>21/09/2023 08:00</t>
  </si>
  <si>
    <t>21/09/2023 08:15</t>
  </si>
  <si>
    <t>21/09/2023 08:30</t>
  </si>
  <si>
    <t>21/09/2023 08:45</t>
  </si>
  <si>
    <t>21/09/2023 09:00</t>
  </si>
  <si>
    <t>21/09/2023 09:15</t>
  </si>
  <si>
    <t>21/09/2023 09:30</t>
  </si>
  <si>
    <t>21/09/2023 09:45</t>
  </si>
  <si>
    <t>21/09/2023 10:00</t>
  </si>
  <si>
    <t>21/09/2023 10:15</t>
  </si>
  <si>
    <t>21/09/2023 10:30</t>
  </si>
  <si>
    <t>21/09/2023 10:45</t>
  </si>
  <si>
    <t>21/09/2023 11:00</t>
  </si>
  <si>
    <t>21/09/2023 11:15</t>
  </si>
  <si>
    <t>21/09/2023 11:30</t>
  </si>
  <si>
    <t>21/09/2023 11:45</t>
  </si>
  <si>
    <t>21/09/2023 12:00</t>
  </si>
  <si>
    <t>21/09/2023 12:15</t>
  </si>
  <si>
    <t>21/09/2023 12:30</t>
  </si>
  <si>
    <t>21/09/2023 12:45</t>
  </si>
  <si>
    <t>21/09/2023 13:00</t>
  </si>
  <si>
    <t>21/09/2023 13:15</t>
  </si>
  <si>
    <t>21/09/2023 13:30</t>
  </si>
  <si>
    <t>21/09/2023 13:45</t>
  </si>
  <si>
    <t>21/09/2023 14:00</t>
  </si>
  <si>
    <t>21/09/2023 14:15</t>
  </si>
  <si>
    <t>21/09/2023 14:30</t>
  </si>
  <si>
    <t>21/09/2023 14:45</t>
  </si>
  <si>
    <t>21/09/2023 15:00</t>
  </si>
  <si>
    <t>21/09/2023 15:15</t>
  </si>
  <si>
    <t>21/09/2023 15:30</t>
  </si>
  <si>
    <t>21/09/2023 15:45</t>
  </si>
  <si>
    <t>21/09/2023 16:00</t>
  </si>
  <si>
    <t>21/09/2023 16:15</t>
  </si>
  <si>
    <t>21/09/2023 16:30</t>
  </si>
  <si>
    <t>21/09/2023 16:45</t>
  </si>
  <si>
    <t>21/09/2023 17:00</t>
  </si>
  <si>
    <t>21/09/2023 17:15</t>
  </si>
  <si>
    <t>21/09/2023 17:30</t>
  </si>
  <si>
    <t>21/09/2023 17:45</t>
  </si>
  <si>
    <t>21/09/2023 18:00</t>
  </si>
  <si>
    <t>21/09/2023 18:15</t>
  </si>
  <si>
    <t>21/09/2023 18:30</t>
  </si>
  <si>
    <t>21/09/2023 18:45</t>
  </si>
  <si>
    <t>21/09/2023 19:00</t>
  </si>
  <si>
    <t>21/09/2023 19:15</t>
  </si>
  <si>
    <t>21/09/2023 19:30</t>
  </si>
  <si>
    <t>21/09/2023 19:45</t>
  </si>
  <si>
    <t>21/09/2023 20:00</t>
  </si>
  <si>
    <t>21/09/2023 20:15</t>
  </si>
  <si>
    <t>21/09/2023 20:30</t>
  </si>
  <si>
    <t>21/09/2023 20:45</t>
  </si>
  <si>
    <t>21/09/2023 21:00</t>
  </si>
  <si>
    <t>21/09/2023 21:15</t>
  </si>
  <si>
    <t>21/09/2023 21:30</t>
  </si>
  <si>
    <t>21/09/2023 21:45</t>
  </si>
  <si>
    <t>21/09/2023 22:00</t>
  </si>
  <si>
    <t>21/09/2023 22:15</t>
  </si>
  <si>
    <t>21/09/2023 22:30</t>
  </si>
  <si>
    <t>21/09/2023 22:45</t>
  </si>
  <si>
    <t>21/09/2023 23:00</t>
  </si>
  <si>
    <t>21/09/2023 23:15</t>
  </si>
  <si>
    <t>21/09/2023 23:30</t>
  </si>
  <si>
    <t>21/09/2023 23:45</t>
  </si>
  <si>
    <t>21/09/2023 24:00</t>
  </si>
  <si>
    <t>22/09/2023 00:15</t>
  </si>
  <si>
    <t>22/09/2023 00:30</t>
  </si>
  <si>
    <t>22/09/2023 00:45</t>
  </si>
  <si>
    <t>22/09/2023 01:00</t>
  </si>
  <si>
    <t>22/09/2023 01:15</t>
  </si>
  <si>
    <t>22/09/2023 01:30</t>
  </si>
  <si>
    <t>22/09/2023 01:45</t>
  </si>
  <si>
    <t>22/09/2023 02:00</t>
  </si>
  <si>
    <t>22/09/2023 02:15</t>
  </si>
  <si>
    <t>22/09/2023 02:30</t>
  </si>
  <si>
    <t>22/09/2023 02:45</t>
  </si>
  <si>
    <t>22/09/2023 03:00</t>
  </si>
  <si>
    <t>22/09/2023 03:15</t>
  </si>
  <si>
    <t>22/09/2023 03:30</t>
  </si>
  <si>
    <t>22/09/2023 03:45</t>
  </si>
  <si>
    <t>22/09/2023 04:00</t>
  </si>
  <si>
    <t>22/09/2023 04:15</t>
  </si>
  <si>
    <t>22/09/2023 04:30</t>
  </si>
  <si>
    <t>22/09/2023 04:45</t>
  </si>
  <si>
    <t>22/09/2023 05:00</t>
  </si>
  <si>
    <t>22/09/2023 05:15</t>
  </si>
  <si>
    <t>22/09/2023 05:30</t>
  </si>
  <si>
    <t>22/09/2023 05:45</t>
  </si>
  <si>
    <t>22/09/2023 06:00</t>
  </si>
  <si>
    <t>22/09/2023 06:15</t>
  </si>
  <si>
    <t>22/09/2023 06:30</t>
  </si>
  <si>
    <t>22/09/2023 06:45</t>
  </si>
  <si>
    <t>22/09/2023 07:00</t>
  </si>
  <si>
    <t>22/09/2023 07:15</t>
  </si>
  <si>
    <t>22/09/2023 07:30</t>
  </si>
  <si>
    <t>22/09/2023 07:45</t>
  </si>
  <si>
    <t>22/09/2023 08:00</t>
  </si>
  <si>
    <t>22/09/2023 08:15</t>
  </si>
  <si>
    <t>22/09/2023 08:30</t>
  </si>
  <si>
    <t>22/09/2023 08:45</t>
  </si>
  <si>
    <t>22/09/2023 09:00</t>
  </si>
  <si>
    <t>22/09/2023 09:15</t>
  </si>
  <si>
    <t>22/09/2023 09:30</t>
  </si>
  <si>
    <t>22/09/2023 09:45</t>
  </si>
  <si>
    <t>22/09/2023 10:00</t>
  </si>
  <si>
    <t>22/09/2023 10:15</t>
  </si>
  <si>
    <t>22/09/2023 10:30</t>
  </si>
  <si>
    <t>22/09/2023 10:45</t>
  </si>
  <si>
    <t>22/09/2023 11:00</t>
  </si>
  <si>
    <t>22/09/2023 11:15</t>
  </si>
  <si>
    <t>22/09/2023 11:30</t>
  </si>
  <si>
    <t>22/09/2023 11:45</t>
  </si>
  <si>
    <t>22/09/2023 12:00</t>
  </si>
  <si>
    <t>22/09/2023 12:15</t>
  </si>
  <si>
    <t>22/09/2023 12:30</t>
  </si>
  <si>
    <t>22/09/2023 12:45</t>
  </si>
  <si>
    <t>22/09/2023 13:00</t>
  </si>
  <si>
    <t>22/09/2023 13:15</t>
  </si>
  <si>
    <t>22/09/2023 13:30</t>
  </si>
  <si>
    <t>22/09/2023 13:45</t>
  </si>
  <si>
    <t>22/09/2023 14:00</t>
  </si>
  <si>
    <t>22/09/2023 14:15</t>
  </si>
  <si>
    <t>22/09/2023 14:30</t>
  </si>
  <si>
    <t>22/09/2023 14:45</t>
  </si>
  <si>
    <t>22/09/2023 15:00</t>
  </si>
  <si>
    <t>22/09/2023 15:15</t>
  </si>
  <si>
    <t>22/09/2023 15:30</t>
  </si>
  <si>
    <t>22/09/2023 15:45</t>
  </si>
  <si>
    <t>22/09/2023 16:00</t>
  </si>
  <si>
    <t>22/09/2023 16:15</t>
  </si>
  <si>
    <t>22/09/2023 16:30</t>
  </si>
  <si>
    <t>22/09/2023 16:45</t>
  </si>
  <si>
    <t>22/09/2023 17:00</t>
  </si>
  <si>
    <t>22/09/2023 17:15</t>
  </si>
  <si>
    <t>22/09/2023 17:30</t>
  </si>
  <si>
    <t>22/09/2023 17:45</t>
  </si>
  <si>
    <t>22/09/2023 18:00</t>
  </si>
  <si>
    <t>22/09/2023 18:15</t>
  </si>
  <si>
    <t>22/09/2023 18:30</t>
  </si>
  <si>
    <t>22/09/2023 18:45</t>
  </si>
  <si>
    <t>22/09/2023 19:00</t>
  </si>
  <si>
    <t>22/09/2023 19:15</t>
  </si>
  <si>
    <t>22/09/2023 19:30</t>
  </si>
  <si>
    <t>22/09/2023 19:45</t>
  </si>
  <si>
    <t>22/09/2023 20:00</t>
  </si>
  <si>
    <t>22/09/2023 20:15</t>
  </si>
  <si>
    <t>22/09/2023 20:30</t>
  </si>
  <si>
    <t>22/09/2023 20:45</t>
  </si>
  <si>
    <t>22/09/2023 21:00</t>
  </si>
  <si>
    <t>22/09/2023 21:15</t>
  </si>
  <si>
    <t>22/09/2023 21:30</t>
  </si>
  <si>
    <t>22/09/2023 21:45</t>
  </si>
  <si>
    <t>22/09/2023 22:00</t>
  </si>
  <si>
    <t>22/09/2023 22:15</t>
  </si>
  <si>
    <t>22/09/2023 22:30</t>
  </si>
  <si>
    <t>22/09/2023 22:45</t>
  </si>
  <si>
    <t>22/09/2023 23:00</t>
  </si>
  <si>
    <t>22/09/2023 23:15</t>
  </si>
  <si>
    <t>22/09/2023 23:30</t>
  </si>
  <si>
    <t>22/09/2023 23:45</t>
  </si>
  <si>
    <t>22/09/2023 24:00</t>
  </si>
  <si>
    <t>23/09/2023 00:15</t>
  </si>
  <si>
    <t>23/09/2023 00:30</t>
  </si>
  <si>
    <t>23/09/2023 00:45</t>
  </si>
  <si>
    <t>23/09/2023 01:00</t>
  </si>
  <si>
    <t>23/09/2023 01:15</t>
  </si>
  <si>
    <t>23/09/2023 01:30</t>
  </si>
  <si>
    <t>23/09/2023 01:45</t>
  </si>
  <si>
    <t>23/09/2023 02:00</t>
  </si>
  <si>
    <t>23/09/2023 02:15</t>
  </si>
  <si>
    <t>23/09/2023 02:30</t>
  </si>
  <si>
    <t>23/09/2023 02:45</t>
  </si>
  <si>
    <t>23/09/2023 03:00</t>
  </si>
  <si>
    <t>23/09/2023 03:15</t>
  </si>
  <si>
    <t>23/09/2023 03:30</t>
  </si>
  <si>
    <t>23/09/2023 03:45</t>
  </si>
  <si>
    <t>23/09/2023 04:00</t>
  </si>
  <si>
    <t>23/09/2023 04:15</t>
  </si>
  <si>
    <t>23/09/2023 04:30</t>
  </si>
  <si>
    <t>23/09/2023 04:45</t>
  </si>
  <si>
    <t>23/09/2023 05:00</t>
  </si>
  <si>
    <t>23/09/2023 05:15</t>
  </si>
  <si>
    <t>23/09/2023 05:30</t>
  </si>
  <si>
    <t>23/09/2023 05:45</t>
  </si>
  <si>
    <t>23/09/2023 06:00</t>
  </si>
  <si>
    <t>23/09/2023 06:15</t>
  </si>
  <si>
    <t>23/09/2023 06:30</t>
  </si>
  <si>
    <t>23/09/2023 06:45</t>
  </si>
  <si>
    <t>23/09/2023 07:00</t>
  </si>
  <si>
    <t>23/09/2023 07:15</t>
  </si>
  <si>
    <t>23/09/2023 07:30</t>
  </si>
  <si>
    <t>23/09/2023 07:45</t>
  </si>
  <si>
    <t>23/09/2023 08:00</t>
  </si>
  <si>
    <t>23/09/2023 08:15</t>
  </si>
  <si>
    <t>23/09/2023 08:30</t>
  </si>
  <si>
    <t>23/09/2023 08:45</t>
  </si>
  <si>
    <t>23/09/2023 09:00</t>
  </si>
  <si>
    <t>23/09/2023 09:15</t>
  </si>
  <si>
    <t>23/09/2023 09:30</t>
  </si>
  <si>
    <t>23/09/2023 09:45</t>
  </si>
  <si>
    <t>23/09/2023 10:00</t>
  </si>
  <si>
    <t>23/09/2023 10:15</t>
  </si>
  <si>
    <t>23/09/2023 10:30</t>
  </si>
  <si>
    <t>23/09/2023 10:45</t>
  </si>
  <si>
    <t>23/09/2023 11:00</t>
  </si>
  <si>
    <t>23/09/2023 11:15</t>
  </si>
  <si>
    <t>23/09/2023 11:30</t>
  </si>
  <si>
    <t>23/09/2023 11:45</t>
  </si>
  <si>
    <t>23/09/2023 12:00</t>
  </si>
  <si>
    <t>23/09/2023 12:15</t>
  </si>
  <si>
    <t>23/09/2023 12:30</t>
  </si>
  <si>
    <t>23/09/2023 12:45</t>
  </si>
  <si>
    <t>23/09/2023 13:00</t>
  </si>
  <si>
    <t>23/09/2023 13:15</t>
  </si>
  <si>
    <t>23/09/2023 13:30</t>
  </si>
  <si>
    <t>23/09/2023 13:45</t>
  </si>
  <si>
    <t>23/09/2023 14:00</t>
  </si>
  <si>
    <t>23/09/2023 14:15</t>
  </si>
  <si>
    <t>23/09/2023 14:30</t>
  </si>
  <si>
    <t>23/09/2023 14:45</t>
  </si>
  <si>
    <t>23/09/2023 15:00</t>
  </si>
  <si>
    <t>23/09/2023 15:15</t>
  </si>
  <si>
    <t>23/09/2023 15:30</t>
  </si>
  <si>
    <t>23/09/2023 15:45</t>
  </si>
  <si>
    <t>23/09/2023 16:00</t>
  </si>
  <si>
    <t>23/09/2023 16:15</t>
  </si>
  <si>
    <t>23/09/2023 16:30</t>
  </si>
  <si>
    <t>23/09/2023 16:45</t>
  </si>
  <si>
    <t>23/09/2023 17:00</t>
  </si>
  <si>
    <t>23/09/2023 17:15</t>
  </si>
  <si>
    <t>23/09/2023 17:30</t>
  </si>
  <si>
    <t>23/09/2023 17:45</t>
  </si>
  <si>
    <t>23/09/2023 18:00</t>
  </si>
  <si>
    <t>23/09/2023 18:15</t>
  </si>
  <si>
    <t>23/09/2023 18:30</t>
  </si>
  <si>
    <t>23/09/2023 18:45</t>
  </si>
  <si>
    <t>23/09/2023 19:00</t>
  </si>
  <si>
    <t>23/09/2023 19:15</t>
  </si>
  <si>
    <t>23/09/2023 19:30</t>
  </si>
  <si>
    <t>23/09/2023 19:45</t>
  </si>
  <si>
    <t>23/09/2023 20:00</t>
  </si>
  <si>
    <t>23/09/2023 20:15</t>
  </si>
  <si>
    <t>23/09/2023 20:30</t>
  </si>
  <si>
    <t>23/09/2023 20:45</t>
  </si>
  <si>
    <t>23/09/2023 21:00</t>
  </si>
  <si>
    <t>23/09/2023 21:15</t>
  </si>
  <si>
    <t>23/09/2023 21:30</t>
  </si>
  <si>
    <t>23/09/2023 21:45</t>
  </si>
  <si>
    <t>23/09/2023 22:00</t>
  </si>
  <si>
    <t>23/09/2023 22:15</t>
  </si>
  <si>
    <t>23/09/2023 22:30</t>
  </si>
  <si>
    <t>23/09/2023 22:45</t>
  </si>
  <si>
    <t>23/09/2023 23:00</t>
  </si>
  <si>
    <t>23/09/2023 23:15</t>
  </si>
  <si>
    <t>23/09/2023 23:30</t>
  </si>
  <si>
    <t>23/09/2023 23:45</t>
  </si>
  <si>
    <t>23/09/2023 24:00</t>
  </si>
  <si>
    <t>24/09/2023 00:15</t>
  </si>
  <si>
    <t>24/09/2023 00:30</t>
  </si>
  <si>
    <t>24/09/2023 00:45</t>
  </si>
  <si>
    <t>24/09/2023 01:00</t>
  </si>
  <si>
    <t>24/09/2023 01:15</t>
  </si>
  <si>
    <t>24/09/2023 01:30</t>
  </si>
  <si>
    <t>24/09/2023 01:45</t>
  </si>
  <si>
    <t>24/09/2023 02:00</t>
  </si>
  <si>
    <t>24/09/2023 02:15</t>
  </si>
  <si>
    <t>24/09/2023 02:30</t>
  </si>
  <si>
    <t>24/09/2023 02:45</t>
  </si>
  <si>
    <t>24/09/2023 03:00</t>
  </si>
  <si>
    <t>24/09/2023 03:15</t>
  </si>
  <si>
    <t>24/09/2023 03:30</t>
  </si>
  <si>
    <t>24/09/2023 03:45</t>
  </si>
  <si>
    <t>24/09/2023 04:00</t>
  </si>
  <si>
    <t>24/09/2023 04:15</t>
  </si>
  <si>
    <t>24/09/2023 04:30</t>
  </si>
  <si>
    <t>24/09/2023 04:45</t>
  </si>
  <si>
    <t>24/09/2023 05:00</t>
  </si>
  <si>
    <t>24/09/2023 05:15</t>
  </si>
  <si>
    <t>24/09/2023 05:30</t>
  </si>
  <si>
    <t>24/09/2023 05:45</t>
  </si>
  <si>
    <t>24/09/2023 06:00</t>
  </si>
  <si>
    <t>24/09/2023 06:15</t>
  </si>
  <si>
    <t>24/09/2023 06:30</t>
  </si>
  <si>
    <t>24/09/2023 06:45</t>
  </si>
  <si>
    <t>24/09/2023 07:00</t>
  </si>
  <si>
    <t>24/09/2023 07:15</t>
  </si>
  <si>
    <t>24/09/2023 07:30</t>
  </si>
  <si>
    <t>24/09/2023 07:45</t>
  </si>
  <si>
    <t>24/09/2023 08:00</t>
  </si>
  <si>
    <t>24/09/2023 08:15</t>
  </si>
  <si>
    <t>24/09/2023 08:30</t>
  </si>
  <si>
    <t>24/09/2023 08:45</t>
  </si>
  <si>
    <t>24/09/2023 09:00</t>
  </si>
  <si>
    <t>24/09/2023 09:15</t>
  </si>
  <si>
    <t>24/09/2023 09:30</t>
  </si>
  <si>
    <t>24/09/2023 09:45</t>
  </si>
  <si>
    <t>24/09/2023 10:00</t>
  </si>
  <si>
    <t>24/09/2023 10:15</t>
  </si>
  <si>
    <t>24/09/2023 10:30</t>
  </si>
  <si>
    <t>24/09/2023 10:45</t>
  </si>
  <si>
    <t>24/09/2023 11:00</t>
  </si>
  <si>
    <t>24/09/2023 11:15</t>
  </si>
  <si>
    <t>24/09/2023 11:30</t>
  </si>
  <si>
    <t>24/09/2023 11:45</t>
  </si>
  <si>
    <t>24/09/2023 12:00</t>
  </si>
  <si>
    <t>24/09/2023 12:15</t>
  </si>
  <si>
    <t>24/09/2023 12:30</t>
  </si>
  <si>
    <t>24/09/2023 12:45</t>
  </si>
  <si>
    <t>24/09/2023 13:00</t>
  </si>
  <si>
    <t>24/09/2023 13:15</t>
  </si>
  <si>
    <t>24/09/2023 13:30</t>
  </si>
  <si>
    <t>24/09/2023 13:45</t>
  </si>
  <si>
    <t>24/09/2023 14:00</t>
  </si>
  <si>
    <t>24/09/2023 14:15</t>
  </si>
  <si>
    <t>24/09/2023 14:30</t>
  </si>
  <si>
    <t>24/09/2023 14:45</t>
  </si>
  <si>
    <t>24/09/2023 15:00</t>
  </si>
  <si>
    <t>24/09/2023 15:15</t>
  </si>
  <si>
    <t>24/09/2023 15:30</t>
  </si>
  <si>
    <t>24/09/2023 15:45</t>
  </si>
  <si>
    <t>24/09/2023 16:00</t>
  </si>
  <si>
    <t>24/09/2023 16:15</t>
  </si>
  <si>
    <t>24/09/2023 16:30</t>
  </si>
  <si>
    <t>24/09/2023 16:45</t>
  </si>
  <si>
    <t>24/09/2023 17:00</t>
  </si>
  <si>
    <t>24/09/2023 17:15</t>
  </si>
  <si>
    <t>24/09/2023 17:30</t>
  </si>
  <si>
    <t>24/09/2023 17:45</t>
  </si>
  <si>
    <t>24/09/2023 18:00</t>
  </si>
  <si>
    <t>24/09/2023 18:15</t>
  </si>
  <si>
    <t>24/09/2023 18:30</t>
  </si>
  <si>
    <t>24/09/2023 18:45</t>
  </si>
  <si>
    <t>24/09/2023 19:00</t>
  </si>
  <si>
    <t>24/09/2023 19:15</t>
  </si>
  <si>
    <t>24/09/2023 19:30</t>
  </si>
  <si>
    <t>24/09/2023 19:45</t>
  </si>
  <si>
    <t>24/09/2023 20:00</t>
  </si>
  <si>
    <t>24/09/2023 20:15</t>
  </si>
  <si>
    <t>24/09/2023 20:30</t>
  </si>
  <si>
    <t>24/09/2023 20:45</t>
  </si>
  <si>
    <t>24/09/2023 21:00</t>
  </si>
  <si>
    <t>24/09/2023 21:15</t>
  </si>
  <si>
    <t>24/09/2023 21:30</t>
  </si>
  <si>
    <t>24/09/2023 21:45</t>
  </si>
  <si>
    <t>24/09/2023 22:00</t>
  </si>
  <si>
    <t>24/09/2023 22:15</t>
  </si>
  <si>
    <t>24/09/2023 22:30</t>
  </si>
  <si>
    <t>24/09/2023 22:45</t>
  </si>
  <si>
    <t>24/09/2023 23:00</t>
  </si>
  <si>
    <t>24/09/2023 23:15</t>
  </si>
  <si>
    <t>24/09/2023 23:30</t>
  </si>
  <si>
    <t>24/09/2023 23:45</t>
  </si>
  <si>
    <t>24/09/2023 24:00</t>
  </si>
  <si>
    <t>25/09/2023 00:15</t>
  </si>
  <si>
    <t>25/09/2023 00:30</t>
  </si>
  <si>
    <t>25/09/2023 00:45</t>
  </si>
  <si>
    <t>25/09/2023 01:00</t>
  </si>
  <si>
    <t>25/09/2023 01:15</t>
  </si>
  <si>
    <t>25/09/2023 01:30</t>
  </si>
  <si>
    <t>25/09/2023 01:45</t>
  </si>
  <si>
    <t>25/09/2023 02:00</t>
  </si>
  <si>
    <t>25/09/2023 02:15</t>
  </si>
  <si>
    <t>25/09/2023 02:30</t>
  </si>
  <si>
    <t>25/09/2023 02:45</t>
  </si>
  <si>
    <t>25/09/2023 03:00</t>
  </si>
  <si>
    <t>25/09/2023 03:15</t>
  </si>
  <si>
    <t>25/09/2023 03:30</t>
  </si>
  <si>
    <t>25/09/2023 03:45</t>
  </si>
  <si>
    <t>25/09/2023 04:00</t>
  </si>
  <si>
    <t>25/09/2023 04:15</t>
  </si>
  <si>
    <t>25/09/2023 04:30</t>
  </si>
  <si>
    <t>25/09/2023 04:45</t>
  </si>
  <si>
    <t>25/09/2023 05:00</t>
  </si>
  <si>
    <t>25/09/2023 05:15</t>
  </si>
  <si>
    <t>25/09/2023 05:30</t>
  </si>
  <si>
    <t>25/09/2023 05:45</t>
  </si>
  <si>
    <t>25/09/2023 06:00</t>
  </si>
  <si>
    <t>25/09/2023 06:15</t>
  </si>
  <si>
    <t>25/09/2023 06:30</t>
  </si>
  <si>
    <t>25/09/2023 06:45</t>
  </si>
  <si>
    <t>25/09/2023 07:00</t>
  </si>
  <si>
    <t>25/09/2023 07:15</t>
  </si>
  <si>
    <t>25/09/2023 07:30</t>
  </si>
  <si>
    <t>25/09/2023 07:45</t>
  </si>
  <si>
    <t>25/09/2023 08:00</t>
  </si>
  <si>
    <t>25/09/2023 08:15</t>
  </si>
  <si>
    <t>25/09/2023 08:30</t>
  </si>
  <si>
    <t>25/09/2023 08:45</t>
  </si>
  <si>
    <t>25/09/2023 09:00</t>
  </si>
  <si>
    <t>25/09/2023 09:15</t>
  </si>
  <si>
    <t>25/09/2023 09:30</t>
  </si>
  <si>
    <t>25/09/2023 09:45</t>
  </si>
  <si>
    <t>25/09/2023 10:00</t>
  </si>
  <si>
    <t>25/09/2023 10:15</t>
  </si>
  <si>
    <t>25/09/2023 10:30</t>
  </si>
  <si>
    <t>25/09/2023 10:45</t>
  </si>
  <si>
    <t>25/09/2023 11:00</t>
  </si>
  <si>
    <t>25/09/2023 11:15</t>
  </si>
  <si>
    <t>25/09/2023 11:30</t>
  </si>
  <si>
    <t>25/09/2023 11:45</t>
  </si>
  <si>
    <t>25/09/2023 12:00</t>
  </si>
  <si>
    <t>25/09/2023 12:15</t>
  </si>
  <si>
    <t>25/09/2023 12:30</t>
  </si>
  <si>
    <t>25/09/2023 12:45</t>
  </si>
  <si>
    <t>25/09/2023 13:00</t>
  </si>
  <si>
    <t>25/09/2023 13:15</t>
  </si>
  <si>
    <t>25/09/2023 13:30</t>
  </si>
  <si>
    <t>25/09/2023 13:45</t>
  </si>
  <si>
    <t>25/09/2023 14:00</t>
  </si>
  <si>
    <t>25/09/2023 14:15</t>
  </si>
  <si>
    <t>25/09/2023 14:30</t>
  </si>
  <si>
    <t>25/09/2023 14:45</t>
  </si>
  <si>
    <t>25/09/2023 15:00</t>
  </si>
  <si>
    <t>25/09/2023 15:15</t>
  </si>
  <si>
    <t>25/09/2023 15:30</t>
  </si>
  <si>
    <t>25/09/2023 15:45</t>
  </si>
  <si>
    <t>25/09/2023 16:00</t>
  </si>
  <si>
    <t>25/09/2023 16:15</t>
  </si>
  <si>
    <t>25/09/2023 16:30</t>
  </si>
  <si>
    <t>25/09/2023 16:45</t>
  </si>
  <si>
    <t>25/09/2023 17:00</t>
  </si>
  <si>
    <t>25/09/2023 17:15</t>
  </si>
  <si>
    <t>25/09/2023 17:30</t>
  </si>
  <si>
    <t>25/09/2023 17:45</t>
  </si>
  <si>
    <t>25/09/2023 18:00</t>
  </si>
  <si>
    <t>25/09/2023 18:15</t>
  </si>
  <si>
    <t>25/09/2023 18:30</t>
  </si>
  <si>
    <t>25/09/2023 18:45</t>
  </si>
  <si>
    <t>25/09/2023 19:00</t>
  </si>
  <si>
    <t>25/09/2023 19:15</t>
  </si>
  <si>
    <t>25/09/2023 19:30</t>
  </si>
  <si>
    <t>25/09/2023 19:45</t>
  </si>
  <si>
    <t>25/09/2023 20:00</t>
  </si>
  <si>
    <t>25/09/2023 20:15</t>
  </si>
  <si>
    <t>25/09/2023 20:30</t>
  </si>
  <si>
    <t>25/09/2023 20:45</t>
  </si>
  <si>
    <t>25/09/2023 21:00</t>
  </si>
  <si>
    <t>25/09/2023 21:15</t>
  </si>
  <si>
    <t>25/09/2023 21:30</t>
  </si>
  <si>
    <t>25/09/2023 21:45</t>
  </si>
  <si>
    <t>25/09/2023 22:00</t>
  </si>
  <si>
    <t>25/09/2023 22:15</t>
  </si>
  <si>
    <t>25/09/2023 22:30</t>
  </si>
  <si>
    <t>25/09/2023 22:45</t>
  </si>
  <si>
    <t>25/09/2023 23:00</t>
  </si>
  <si>
    <t>25/09/2023 23:15</t>
  </si>
  <si>
    <t>25/09/2023 23:30</t>
  </si>
  <si>
    <t>25/09/2023 23:45</t>
  </si>
  <si>
    <t>25/09/2023 24:00</t>
  </si>
  <si>
    <t>26/09/2023 00:15</t>
  </si>
  <si>
    <t>26/09/2023 00:30</t>
  </si>
  <si>
    <t>26/09/2023 00:45</t>
  </si>
  <si>
    <t>26/09/2023 01:00</t>
  </si>
  <si>
    <t>26/09/2023 01:15</t>
  </si>
  <si>
    <t>26/09/2023 01:30</t>
  </si>
  <si>
    <t>26/09/2023 01:45</t>
  </si>
  <si>
    <t>26/09/2023 02:00</t>
  </si>
  <si>
    <t>26/09/2023 02:15</t>
  </si>
  <si>
    <t>26/09/2023 02:30</t>
  </si>
  <si>
    <t>26/09/2023 02:45</t>
  </si>
  <si>
    <t>26/09/2023 03:00</t>
  </si>
  <si>
    <t>26/09/2023 03:15</t>
  </si>
  <si>
    <t>26/09/2023 03:30</t>
  </si>
  <si>
    <t>26/09/2023 03:45</t>
  </si>
  <si>
    <t>26/09/2023 04:00</t>
  </si>
  <si>
    <t>26/09/2023 04:15</t>
  </si>
  <si>
    <t>26/09/2023 04:30</t>
  </si>
  <si>
    <t>26/09/2023 04:45</t>
  </si>
  <si>
    <t>26/09/2023 05:00</t>
  </si>
  <si>
    <t>26/09/2023 05:15</t>
  </si>
  <si>
    <t>26/09/2023 05:30</t>
  </si>
  <si>
    <t>26/09/2023 05:45</t>
  </si>
  <si>
    <t>26/09/2023 06:00</t>
  </si>
  <si>
    <t>26/09/2023 06:15</t>
  </si>
  <si>
    <t>26/09/2023 06:30</t>
  </si>
  <si>
    <t>26/09/2023 06:45</t>
  </si>
  <si>
    <t>26/09/2023 07:00</t>
  </si>
  <si>
    <t>26/09/2023 07:15</t>
  </si>
  <si>
    <t>26/09/2023 07:30</t>
  </si>
  <si>
    <t>26/09/2023 07:45</t>
  </si>
  <si>
    <t>26/09/2023 08:00</t>
  </si>
  <si>
    <t>26/09/2023 08:15</t>
  </si>
  <si>
    <t>26/09/2023 08:30</t>
  </si>
  <si>
    <t>26/09/2023 08:45</t>
  </si>
  <si>
    <t>26/09/2023 09:00</t>
  </si>
  <si>
    <t>26/09/2023 09:15</t>
  </si>
  <si>
    <t>26/09/2023 09:30</t>
  </si>
  <si>
    <t>26/09/2023 09:45</t>
  </si>
  <si>
    <t>26/09/2023 10:00</t>
  </si>
  <si>
    <t>26/09/2023 10:15</t>
  </si>
  <si>
    <t>26/09/2023 10:30</t>
  </si>
  <si>
    <t>26/09/2023 10:45</t>
  </si>
  <si>
    <t>26/09/2023 11:00</t>
  </si>
  <si>
    <t>26/09/2023 11:15</t>
  </si>
  <si>
    <t>26/09/2023 11:30</t>
  </si>
  <si>
    <t>26/09/2023 11:45</t>
  </si>
  <si>
    <t>26/09/2023 12:00</t>
  </si>
  <si>
    <t>26/09/2023 12:15</t>
  </si>
  <si>
    <t>26/09/2023 12:30</t>
  </si>
  <si>
    <t>26/09/2023 12:45</t>
  </si>
  <si>
    <t>26/09/2023 13:00</t>
  </si>
  <si>
    <t>26/09/2023 13:15</t>
  </si>
  <si>
    <t>26/09/2023 13:30</t>
  </si>
  <si>
    <t>26/09/2023 13:45</t>
  </si>
  <si>
    <t>26/09/2023 14:00</t>
  </si>
  <si>
    <t>26/09/2023 14:15</t>
  </si>
  <si>
    <t>26/09/2023 14:30</t>
  </si>
  <si>
    <t>26/09/2023 14:45</t>
  </si>
  <si>
    <t>26/09/2023 15:00</t>
  </si>
  <si>
    <t>26/09/2023 15:15</t>
  </si>
  <si>
    <t>26/09/2023 15:30</t>
  </si>
  <si>
    <t>26/09/2023 15:45</t>
  </si>
  <si>
    <t>26/09/2023 16:00</t>
  </si>
  <si>
    <t>26/09/2023 16:15</t>
  </si>
  <si>
    <t>26/09/2023 16:30</t>
  </si>
  <si>
    <t>26/09/2023 16:45</t>
  </si>
  <si>
    <t>26/09/2023 17:00</t>
  </si>
  <si>
    <t>26/09/2023 17:15</t>
  </si>
  <si>
    <t>26/09/2023 17:30</t>
  </si>
  <si>
    <t>26/09/2023 17:45</t>
  </si>
  <si>
    <t>26/09/2023 18:00</t>
  </si>
  <si>
    <t>26/09/2023 18:15</t>
  </si>
  <si>
    <t>26/09/2023 18:30</t>
  </si>
  <si>
    <t>26/09/2023 18:45</t>
  </si>
  <si>
    <t>26/09/2023 19:00</t>
  </si>
  <si>
    <t>26/09/2023 19:15</t>
  </si>
  <si>
    <t>26/09/2023 19:30</t>
  </si>
  <si>
    <t>26/09/2023 19:45</t>
  </si>
  <si>
    <t>26/09/2023 20:00</t>
  </si>
  <si>
    <t>26/09/2023 20:15</t>
  </si>
  <si>
    <t>26/09/2023 20:30</t>
  </si>
  <si>
    <t>26/09/2023 20:45</t>
  </si>
  <si>
    <t>26/09/2023 21:00</t>
  </si>
  <si>
    <t>26/09/2023 21:15</t>
  </si>
  <si>
    <t>26/09/2023 21:30</t>
  </si>
  <si>
    <t>26/09/2023 21:45</t>
  </si>
  <si>
    <t>26/09/2023 22:00</t>
  </si>
  <si>
    <t>26/09/2023 22:15</t>
  </si>
  <si>
    <t>26/09/2023 22:30</t>
  </si>
  <si>
    <t>26/09/2023 22:45</t>
  </si>
  <si>
    <t>26/09/2023 23:00</t>
  </si>
  <si>
    <t>26/09/2023 23:15</t>
  </si>
  <si>
    <t>26/09/2023 23:30</t>
  </si>
  <si>
    <t>26/09/2023 23:45</t>
  </si>
  <si>
    <t>26/09/2023 24:00</t>
  </si>
  <si>
    <t>27/09/2023 00:15</t>
  </si>
  <si>
    <t>27/09/2023 00:30</t>
  </si>
  <si>
    <t>27/09/2023 00:45</t>
  </si>
  <si>
    <t>27/09/2023 01:15</t>
  </si>
  <si>
    <t>27/09/2023 01:30</t>
  </si>
  <si>
    <t>27/09/2023 01:45</t>
  </si>
  <si>
    <t>27/09/2023 02:00</t>
  </si>
  <si>
    <t>27/09/2023 02:15</t>
  </si>
  <si>
    <t>27/09/2023 02:30</t>
  </si>
  <si>
    <t>27/09/2023 02:45</t>
  </si>
  <si>
    <t>27/09/2023 03:00</t>
  </si>
  <si>
    <t>27/09/2023 03:15</t>
  </si>
  <si>
    <t>27/09/2023 03:30</t>
  </si>
  <si>
    <t>27/09/2023 03:45</t>
  </si>
  <si>
    <t>27/09/2023 04:00</t>
  </si>
  <si>
    <t>27/09/2023 04:15</t>
  </si>
  <si>
    <t>27/09/2023 04:30</t>
  </si>
  <si>
    <t>27/09/2023 04:45</t>
  </si>
  <si>
    <t>27/09/2023 05:00</t>
  </si>
  <si>
    <t>27/09/2023 05:15</t>
  </si>
  <si>
    <t>27/09/2023 05:30</t>
  </si>
  <si>
    <t>27/09/2023 05:45</t>
  </si>
  <si>
    <t>27/09/2023 06:00</t>
  </si>
  <si>
    <t>27/09/2023 06:15</t>
  </si>
  <si>
    <t>27/09/2023 06:30</t>
  </si>
  <si>
    <t>27/09/2023 06:45</t>
  </si>
  <si>
    <t>27/09/2023 07:00</t>
  </si>
  <si>
    <t>27/09/2023 07:15</t>
  </si>
  <si>
    <t>27/09/2023 07:30</t>
  </si>
  <si>
    <t>27/09/2023 07:45</t>
  </si>
  <si>
    <t>27/09/2023 08:00</t>
  </si>
  <si>
    <t>27/09/2023 08:15</t>
  </si>
  <si>
    <t>27/09/2023 08:30</t>
  </si>
  <si>
    <t>27/09/2023 08:45</t>
  </si>
  <si>
    <t>27/09/2023 09:00</t>
  </si>
  <si>
    <t>27/09/2023 09:15</t>
  </si>
  <si>
    <t>27/09/2023 09:30</t>
  </si>
  <si>
    <t>27/09/2023 09:45</t>
  </si>
  <si>
    <t>27/09/2023 10:00</t>
  </si>
  <si>
    <t>27/09/2023 10:15</t>
  </si>
  <si>
    <t>27/09/2023 10:30</t>
  </si>
  <si>
    <t>27/09/2023 10:45</t>
  </si>
  <si>
    <t>27/09/2023 11:00</t>
  </si>
  <si>
    <t>27/09/2023 11:15</t>
  </si>
  <si>
    <t>27/09/2023 11:30</t>
  </si>
  <si>
    <t>27/09/2023 11:45</t>
  </si>
  <si>
    <t>27/09/2023 12:00</t>
  </si>
  <si>
    <t>27/09/2023 12:15</t>
  </si>
  <si>
    <t>27/09/2023 12:30</t>
  </si>
  <si>
    <t>27/09/2023 12:45</t>
  </si>
  <si>
    <t>27/09/2023 13:00</t>
  </si>
  <si>
    <t>27/09/2023 13:15</t>
  </si>
  <si>
    <t>27/09/2023 13:30</t>
  </si>
  <si>
    <t>27/09/2023 13:45</t>
  </si>
  <si>
    <t>27/09/2023 14:00</t>
  </si>
  <si>
    <t>27/09/2023 14:15</t>
  </si>
  <si>
    <t>27/09/2023 14:30</t>
  </si>
  <si>
    <t>27/09/2023 14:45</t>
  </si>
  <si>
    <t>27/09/2023 15:00</t>
  </si>
  <si>
    <t>27/09/2023 15:15</t>
  </si>
  <si>
    <t>27/09/2023 15:30</t>
  </si>
  <si>
    <t>27/09/2023 15:45</t>
  </si>
  <si>
    <t>27/09/2023 16:00</t>
  </si>
  <si>
    <t>27/09/2023 16:15</t>
  </si>
  <si>
    <t>27/09/2023 16:30</t>
  </si>
  <si>
    <t>27/09/2023 16:45</t>
  </si>
  <si>
    <t>27/09/2023 17:00</t>
  </si>
  <si>
    <t>27/09/2023 17:15</t>
  </si>
  <si>
    <t>27/09/2023 17:30</t>
  </si>
  <si>
    <t>27/09/2023 17:45</t>
  </si>
  <si>
    <t>27/09/2023 18:00</t>
  </si>
  <si>
    <t>27/09/2023 18:15</t>
  </si>
  <si>
    <t>27/09/2023 18:30</t>
  </si>
  <si>
    <t>27/09/2023 18:45</t>
  </si>
  <si>
    <t>27/09/2023 19:00</t>
  </si>
  <si>
    <t>27/09/2023 19:15</t>
  </si>
  <si>
    <t>27/09/2023 19:30</t>
  </si>
  <si>
    <t>27/09/2023 19:45</t>
  </si>
  <si>
    <t>27/09/2023 20:00</t>
  </si>
  <si>
    <t>27/09/2023 20:15</t>
  </si>
  <si>
    <t>27/09/2023 20:30</t>
  </si>
  <si>
    <t>27/09/2023 20:45</t>
  </si>
  <si>
    <t>27/09/2023 21:00</t>
  </si>
  <si>
    <t>27/09/2023 21:15</t>
  </si>
  <si>
    <t>27/09/2023 21:30</t>
  </si>
  <si>
    <t>27/09/2023 21:45</t>
  </si>
  <si>
    <t>27/09/2023 22:00</t>
  </si>
  <si>
    <t>27/09/2023 22:15</t>
  </si>
  <si>
    <t>27/09/2023 22:30</t>
  </si>
  <si>
    <t>27/09/2023 22:45</t>
  </si>
  <si>
    <t>27/09/2023 23:00</t>
  </si>
  <si>
    <t>27/09/2023 23:15</t>
  </si>
  <si>
    <t>27/09/2023 23:30</t>
  </si>
  <si>
    <t>27/09/2023 23:45</t>
  </si>
  <si>
    <t>27/09/2023 24:00</t>
  </si>
  <si>
    <t>28/09/2023 00:15</t>
  </si>
  <si>
    <t>28/09/2023 00:30</t>
  </si>
  <si>
    <t>28/09/2023 00:45</t>
  </si>
  <si>
    <t>28/09/2023 01:00</t>
  </si>
  <si>
    <t>28/09/2023 01:15</t>
  </si>
  <si>
    <t>28/09/2023 01:30</t>
  </si>
  <si>
    <t>28/09/2023 01:45</t>
  </si>
  <si>
    <t>28/09/2023 02:00</t>
  </si>
  <si>
    <t>28/09/2023 02:15</t>
  </si>
  <si>
    <t>28/09/2023 02:30</t>
  </si>
  <si>
    <t>28/09/2023 02:45</t>
  </si>
  <si>
    <t>28/09/2023 03:00</t>
  </si>
  <si>
    <t>28/09/2023 03:15</t>
  </si>
  <si>
    <t>28/09/2023 03:30</t>
  </si>
  <si>
    <t>28/09/2023 03:45</t>
  </si>
  <si>
    <t>28/09/2023 04:00</t>
  </si>
  <si>
    <t>28/09/2023 04:15</t>
  </si>
  <si>
    <t>28/09/2023 04:30</t>
  </si>
  <si>
    <t>28/09/2023 04:45</t>
  </si>
  <si>
    <t>28/09/2023 05:00</t>
  </si>
  <si>
    <t>28/09/2023 05:15</t>
  </si>
  <si>
    <t>28/09/2023 05:30</t>
  </si>
  <si>
    <t>28/09/2023 05:45</t>
  </si>
  <si>
    <t>28/09/2023 06:00</t>
  </si>
  <si>
    <t>28/09/2023 06:15</t>
  </si>
  <si>
    <t>28/09/2023 06:30</t>
  </si>
  <si>
    <t>28/09/2023 06:45</t>
  </si>
  <si>
    <t>28/09/2023 07:00</t>
  </si>
  <si>
    <t>28/09/2023 07:15</t>
  </si>
  <si>
    <t>28/09/2023 07:30</t>
  </si>
  <si>
    <t>28/09/2023 07:45</t>
  </si>
  <si>
    <t>28/09/2023 08:00</t>
  </si>
  <si>
    <t>28/09/2023 08:15</t>
  </si>
  <si>
    <t>28/09/2023 08:30</t>
  </si>
  <si>
    <t>28/09/2023 08:45</t>
  </si>
  <si>
    <t>28/09/2023 09:00</t>
  </si>
  <si>
    <t>28/09/2023 09:15</t>
  </si>
  <si>
    <t>28/09/2023 09:30</t>
  </si>
  <si>
    <t>28/09/2023 09:45</t>
  </si>
  <si>
    <t>28/09/2023 10:00</t>
  </si>
  <si>
    <t>28/09/2023 10:15</t>
  </si>
  <si>
    <t>28/09/2023 10:30</t>
  </si>
  <si>
    <t>28/09/2023 10:45</t>
  </si>
  <si>
    <t>28/09/2023 11:00</t>
  </si>
  <si>
    <t>28/09/2023 11:15</t>
  </si>
  <si>
    <t>28/09/2023 11:30</t>
  </si>
  <si>
    <t>28/09/2023 11:45</t>
  </si>
  <si>
    <t>28/09/2023 12:00</t>
  </si>
  <si>
    <t>28/09/2023 12:15</t>
  </si>
  <si>
    <t>28/09/2023 12:30</t>
  </si>
  <si>
    <t>28/09/2023 12:45</t>
  </si>
  <si>
    <t>28/09/2023 13:00</t>
  </si>
  <si>
    <t>28/09/2023 13:15</t>
  </si>
  <si>
    <t>28/09/2023 13:30</t>
  </si>
  <si>
    <t>28/09/2023 13:45</t>
  </si>
  <si>
    <t>28/09/2023 14:00</t>
  </si>
  <si>
    <t>28/09/2023 14:15</t>
  </si>
  <si>
    <t>28/09/2023 14:30</t>
  </si>
  <si>
    <t>28/09/2023 14:45</t>
  </si>
  <si>
    <t>28/09/2023 15:00</t>
  </si>
  <si>
    <t>28/09/2023 15:15</t>
  </si>
  <si>
    <t>28/09/2023 15:30</t>
  </si>
  <si>
    <t>28/09/2023 15:45</t>
  </si>
  <si>
    <t>28/09/2023 16:00</t>
  </si>
  <si>
    <t>28/09/2023 16:15</t>
  </si>
  <si>
    <t>28/09/2023 16:30</t>
  </si>
  <si>
    <t>28/09/2023 16:45</t>
  </si>
  <si>
    <t>28/09/2023 17:00</t>
  </si>
  <si>
    <t>28/09/2023 17:15</t>
  </si>
  <si>
    <t>28/09/2023 17:30</t>
  </si>
  <si>
    <t>28/09/2023 17:45</t>
  </si>
  <si>
    <t>28/09/2023 18:00</t>
  </si>
  <si>
    <t>28/09/2023 18:15</t>
  </si>
  <si>
    <t>28/09/2023 18:30</t>
  </si>
  <si>
    <t>28/09/2023 18:45</t>
  </si>
  <si>
    <t>28/09/2023 19:00</t>
  </si>
  <si>
    <t>28/09/2023 19:15</t>
  </si>
  <si>
    <t>28/09/2023 19:30</t>
  </si>
  <si>
    <t>28/09/2023 19:45</t>
  </si>
  <si>
    <t>28/09/2023 20:00</t>
  </si>
  <si>
    <t>28/09/2023 20:15</t>
  </si>
  <si>
    <t>28/09/2023 20:30</t>
  </si>
  <si>
    <t>28/09/2023 20:45</t>
  </si>
  <si>
    <t>28/09/2023 21:00</t>
  </si>
  <si>
    <t>28/09/2023 21:15</t>
  </si>
  <si>
    <t>28/09/2023 21:30</t>
  </si>
  <si>
    <t>28/09/2023 21:45</t>
  </si>
  <si>
    <t>28/09/2023 22:00</t>
  </si>
  <si>
    <t>28/09/2023 22:15</t>
  </si>
  <si>
    <t>28/09/2023 22:30</t>
  </si>
  <si>
    <t>28/09/2023 22:45</t>
  </si>
  <si>
    <t>28/09/2023 23:00</t>
  </si>
  <si>
    <t>28/09/2023 23:15</t>
  </si>
  <si>
    <t>28/09/2023 23:30</t>
  </si>
  <si>
    <t>28/09/2023 23:45</t>
  </si>
  <si>
    <t>28/09/2023 24:00</t>
  </si>
  <si>
    <t>29/09/2023 00:15</t>
  </si>
  <si>
    <t>29/09/2023 00:30</t>
  </si>
  <si>
    <t>29/09/2023 00:45</t>
  </si>
  <si>
    <t>29/09/2023 01:00</t>
  </si>
  <si>
    <t>29/09/2023 01:15</t>
  </si>
  <si>
    <t>29/09/2023 01:30</t>
  </si>
  <si>
    <t>29/09/2023 01:45</t>
  </si>
  <si>
    <t>29/09/2023 02:00</t>
  </si>
  <si>
    <t>29/09/2023 02:15</t>
  </si>
  <si>
    <t>29/09/2023 02:30</t>
  </si>
  <si>
    <t>29/09/2023 02:45</t>
  </si>
  <si>
    <t>29/09/2023 03:00</t>
  </si>
  <si>
    <t>29/09/2023 03:15</t>
  </si>
  <si>
    <t>29/09/2023 03:30</t>
  </si>
  <si>
    <t>29/09/2023 03:45</t>
  </si>
  <si>
    <t>29/09/2023 04:00</t>
  </si>
  <si>
    <t>29/09/2023 04:15</t>
  </si>
  <si>
    <t>29/09/2023 04:30</t>
  </si>
  <si>
    <t>29/09/2023 04:45</t>
  </si>
  <si>
    <t>29/09/2023 05:00</t>
  </si>
  <si>
    <t>29/09/2023 05:15</t>
  </si>
  <si>
    <t>29/09/2023 05:30</t>
  </si>
  <si>
    <t>29/09/2023 05:45</t>
  </si>
  <si>
    <t>29/09/2023 06:00</t>
  </si>
  <si>
    <t>29/09/2023 06:15</t>
  </si>
  <si>
    <t>29/09/2023 06:30</t>
  </si>
  <si>
    <t>29/09/2023 06:45</t>
  </si>
  <si>
    <t>29/09/2023 07:00</t>
  </si>
  <si>
    <t>29/09/2023 07:15</t>
  </si>
  <si>
    <t>29/09/2023 07:30</t>
  </si>
  <si>
    <t>29/09/2023 07:45</t>
  </si>
  <si>
    <t>29/09/2023 08:00</t>
  </si>
  <si>
    <t>29/09/2023 08:15</t>
  </si>
  <si>
    <t>29/09/2023 08:30</t>
  </si>
  <si>
    <t>29/09/2023 08:45</t>
  </si>
  <si>
    <t>29/09/2023 09:00</t>
  </si>
  <si>
    <t>29/09/2023 09:15</t>
  </si>
  <si>
    <t>29/09/2023 09:30</t>
  </si>
  <si>
    <t>29/09/2023 09:45</t>
  </si>
  <si>
    <t>29/09/2023 10:00</t>
  </si>
  <si>
    <t>29/09/2023 10:15</t>
  </si>
  <si>
    <t>29/09/2023 10:30</t>
  </si>
  <si>
    <t>29/09/2023 10:45</t>
  </si>
  <si>
    <t>29/09/2023 11:00</t>
  </si>
  <si>
    <t>29/09/2023 11:15</t>
  </si>
  <si>
    <t>29/09/2023 11:30</t>
  </si>
  <si>
    <t>29/09/2023 11:45</t>
  </si>
  <si>
    <t>29/09/2023 12:00</t>
  </si>
  <si>
    <t>29/09/2023 12:15</t>
  </si>
  <si>
    <t>29/09/2023 12:30</t>
  </si>
  <si>
    <t>29/09/2023 12:45</t>
  </si>
  <si>
    <t>29/09/2023 13:00</t>
  </si>
  <si>
    <t>29/09/2023 13:15</t>
  </si>
  <si>
    <t>29/09/2023 13:30</t>
  </si>
  <si>
    <t>29/09/2023 13:45</t>
  </si>
  <si>
    <t>29/09/2023 14:00</t>
  </si>
  <si>
    <t>29/09/2023 14:15</t>
  </si>
  <si>
    <t>29/09/2023 14:30</t>
  </si>
  <si>
    <t>29/09/2023 14:45</t>
  </si>
  <si>
    <t>29/09/2023 15:00</t>
  </si>
  <si>
    <t>29/09/2023 15:15</t>
  </si>
  <si>
    <t>29/09/2023 15:30</t>
  </si>
  <si>
    <t>29/09/2023 15:45</t>
  </si>
  <si>
    <t>29/09/2023 16:00</t>
  </si>
  <si>
    <t>29/09/2023 16:15</t>
  </si>
  <si>
    <t>29/09/2023 16:30</t>
  </si>
  <si>
    <t>29/09/2023 16:45</t>
  </si>
  <si>
    <t>29/09/2023 17:00</t>
  </si>
  <si>
    <t>29/09/2023 17:15</t>
  </si>
  <si>
    <t>29/09/2023 17:30</t>
  </si>
  <si>
    <t>29/09/2023 17:45</t>
  </si>
  <si>
    <t>29/09/2023 18:00</t>
  </si>
  <si>
    <t>29/09/2023 18:15</t>
  </si>
  <si>
    <t>29/09/2023 18:30</t>
  </si>
  <si>
    <t>29/09/2023 18:45</t>
  </si>
  <si>
    <t>29/09/2023 19:00</t>
  </si>
  <si>
    <t>29/09/2023 19:15</t>
  </si>
  <si>
    <t>29/09/2023 19:30</t>
  </si>
  <si>
    <t>29/09/2023 19:45</t>
  </si>
  <si>
    <t>29/09/2023 20:00</t>
  </si>
  <si>
    <t>29/09/2023 20:15</t>
  </si>
  <si>
    <t>29/09/2023 20:30</t>
  </si>
  <si>
    <t>29/09/2023 20:45</t>
  </si>
  <si>
    <t>29/09/2023 21:00</t>
  </si>
  <si>
    <t>29/09/2023 21:15</t>
  </si>
  <si>
    <t>29/09/2023 21:30</t>
  </si>
  <si>
    <t>29/09/2023 21:45</t>
  </si>
  <si>
    <t>29/09/2023 22:00</t>
  </si>
  <si>
    <t>29/09/2023 22:15</t>
  </si>
  <si>
    <t>29/09/2023 22:30</t>
  </si>
  <si>
    <t>29/09/2023 22:45</t>
  </si>
  <si>
    <t>29/09/2023 23:00</t>
  </si>
  <si>
    <t>29/09/2023 23:15</t>
  </si>
  <si>
    <t>29/09/2023 23:30</t>
  </si>
  <si>
    <t>29/09/2023 23:45</t>
  </si>
  <si>
    <t>29/09/2023 24:00</t>
  </si>
  <si>
    <t>30/09/2023 00:15</t>
  </si>
  <si>
    <t>30/09/2023 00:30</t>
  </si>
  <si>
    <t>30/09/2023 00:45</t>
  </si>
  <si>
    <t>30/09/2023 01:00</t>
  </si>
  <si>
    <t>30/09/2023 01:15</t>
  </si>
  <si>
    <t>30/09/2023 01:30</t>
  </si>
  <si>
    <t>30/09/2023 01:45</t>
  </si>
  <si>
    <t>30/09/2023 02:00</t>
  </si>
  <si>
    <t>30/09/2023 02:15</t>
  </si>
  <si>
    <t>30/09/2023 02:30</t>
  </si>
  <si>
    <t>30/09/2023 02:45</t>
  </si>
  <si>
    <t>30/09/2023 03:00</t>
  </si>
  <si>
    <t>30/09/2023 03:15</t>
  </si>
  <si>
    <t>30/09/2023 03:30</t>
  </si>
  <si>
    <t>30/09/2023 03:45</t>
  </si>
  <si>
    <t>30/09/2023 04:00</t>
  </si>
  <si>
    <t>30/09/2023 04:15</t>
  </si>
  <si>
    <t>30/09/2023 04:30</t>
  </si>
  <si>
    <t>30/09/2023 04:45</t>
  </si>
  <si>
    <t>30/09/2023 05:00</t>
  </si>
  <si>
    <t>30/09/2023 05:15</t>
  </si>
  <si>
    <t>30/09/2023 05:30</t>
  </si>
  <si>
    <t>30/09/2023 05:45</t>
  </si>
  <si>
    <t>30/09/2023 06:00</t>
  </si>
  <si>
    <t>30/09/2023 06:15</t>
  </si>
  <si>
    <t>30/09/2023 06:30</t>
  </si>
  <si>
    <t>30/09/2023 06:45</t>
  </si>
  <si>
    <t>30/09/2023 07:00</t>
  </si>
  <si>
    <t>30/09/2023 07:15</t>
  </si>
  <si>
    <t>30/09/2023 07:30</t>
  </si>
  <si>
    <t>30/09/2023 07:45</t>
  </si>
  <si>
    <t>30/09/2023 08:00</t>
  </si>
  <si>
    <t>30/09/2023 08:15</t>
  </si>
  <si>
    <t>30/09/2023 08:30</t>
  </si>
  <si>
    <t>30/09/2023 08:45</t>
  </si>
  <si>
    <t>30/09/2023 09:00</t>
  </si>
  <si>
    <t>30/09/2023 09:15</t>
  </si>
  <si>
    <t>30/09/2023 09:30</t>
  </si>
  <si>
    <t>30/09/2023 09:45</t>
  </si>
  <si>
    <t>30/09/2023 10:00</t>
  </si>
  <si>
    <t>30/09/2023 10:15</t>
  </si>
  <si>
    <t>30/09/2023 10:30</t>
  </si>
  <si>
    <t>30/09/2023 10:45</t>
  </si>
  <si>
    <t>30/09/2023 11:00</t>
  </si>
  <si>
    <t>30/09/2023 11:15</t>
  </si>
  <si>
    <t>30/09/2023 11:30</t>
  </si>
  <si>
    <t>30/09/2023 11:45</t>
  </si>
  <si>
    <t>30/09/2023 12:00</t>
  </si>
  <si>
    <t>30/09/2023 12:15</t>
  </si>
  <si>
    <t>30/09/2023 12:30</t>
  </si>
  <si>
    <t>30/09/2023 12:45</t>
  </si>
  <si>
    <t>30/09/2023 13:00</t>
  </si>
  <si>
    <t>30/09/2023 13:15</t>
  </si>
  <si>
    <t>30/09/2023 13:30</t>
  </si>
  <si>
    <t>30/09/2023 13:45</t>
  </si>
  <si>
    <t>30/09/2023 14:00</t>
  </si>
  <si>
    <t>30/09/2023 14:15</t>
  </si>
  <si>
    <t>30/09/2023 14:30</t>
  </si>
  <si>
    <t>30/09/2023 14:45</t>
  </si>
  <si>
    <t>30/09/2023 15:00</t>
  </si>
  <si>
    <t>30/09/2023 15:15</t>
  </si>
  <si>
    <t>30/09/2023 15:30</t>
  </si>
  <si>
    <t>30/09/2023 15:45</t>
  </si>
  <si>
    <t>30/09/2023 16:00</t>
  </si>
  <si>
    <t>30/09/2023 16:15</t>
  </si>
  <si>
    <t>30/09/2023 16:30</t>
  </si>
  <si>
    <t>30/09/2023 16:45</t>
  </si>
  <si>
    <t>30/09/2023 17:00</t>
  </si>
  <si>
    <t>30/09/2023 17:15</t>
  </si>
  <si>
    <t>30/09/2023 17:30</t>
  </si>
  <si>
    <t>30/09/2023 17:45</t>
  </si>
  <si>
    <t>30/09/2023 18:00</t>
  </si>
  <si>
    <t>30/09/2023 18:15</t>
  </si>
  <si>
    <t>30/09/2023 18:30</t>
  </si>
  <si>
    <t>30/09/2023 18:45</t>
  </si>
  <si>
    <t>30/09/2023 19:00</t>
  </si>
  <si>
    <t>30/09/2023 19:15</t>
  </si>
  <si>
    <t>30/09/2023 19:30</t>
  </si>
  <si>
    <t>30/09/2023 19:45</t>
  </si>
  <si>
    <t>30/09/2023 20:00</t>
  </si>
  <si>
    <t>30/09/2023 20:15</t>
  </si>
  <si>
    <t>30/09/2023 20:30</t>
  </si>
  <si>
    <t>30/09/2023 20:45</t>
  </si>
  <si>
    <t>30/09/2023 21:00</t>
  </si>
  <si>
    <t>30/09/2023 21:15</t>
  </si>
  <si>
    <t>30/09/2023 21:30</t>
  </si>
  <si>
    <t>30/09/2023 21:45</t>
  </si>
  <si>
    <t>30/09/2023 22:00</t>
  </si>
  <si>
    <t>30/09/2023 22:15</t>
  </si>
  <si>
    <t>30/09/2023 22:30</t>
  </si>
  <si>
    <t>30/09/2023 22:45</t>
  </si>
  <si>
    <t>30/09/2023 23:00</t>
  </si>
  <si>
    <t>30/09/2023 23:15</t>
  </si>
  <si>
    <t>30/09/2023 23:30</t>
  </si>
  <si>
    <t>30/09/2023 23:45</t>
  </si>
  <si>
    <t>30/09/2023 24:00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</si>
</sst>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01/09/2023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239</v>
      </c>
      <c r="B9" s="112">
        <v>8.57</v>
      </c>
      <c r="C9" s="112">
        <v>14.33</v>
      </c>
      <c r="D9" s="112">
        <v>15.71</v>
      </c>
      <c r="E9" s="112">
        <v>7.41</v>
      </c>
      <c r="F9" s="112">
        <v>5.27</v>
      </c>
      <c r="G9" s="112">
        <v>55.21</v>
      </c>
      <c r="H9" s="112">
        <v>17.87</v>
      </c>
      <c r="I9" s="112">
        <v>17.78</v>
      </c>
      <c r="J9" s="112">
        <v>0.09</v>
      </c>
      <c r="K9" s="112">
        <v>201.91</v>
      </c>
      <c r="L9" s="112">
        <v>27.52</v>
      </c>
      <c r="M9" s="112">
        <v>97.26</v>
      </c>
      <c r="N9" s="112">
        <v>0</v>
      </c>
      <c r="O9" s="112">
        <v>0</v>
      </c>
      <c r="P9" s="112">
        <v>0.76</v>
      </c>
      <c r="Q9" s="112">
        <v>4.67</v>
      </c>
    </row>
    <row r="10" spans="1:21" customFormat="1">
      <c r="A10" s="189" t="s">
        <v>240</v>
      </c>
      <c r="B10" s="112">
        <v>9.51</v>
      </c>
      <c r="C10" s="112">
        <v>15.6</v>
      </c>
      <c r="D10" s="112">
        <v>17.13</v>
      </c>
      <c r="E10" s="112">
        <v>7.96</v>
      </c>
      <c r="F10" s="112">
        <v>5.34</v>
      </c>
      <c r="G10" s="112">
        <v>55.21</v>
      </c>
      <c r="H10" s="112">
        <v>17.87</v>
      </c>
      <c r="I10" s="112">
        <v>17.02</v>
      </c>
      <c r="J10" s="112">
        <v>0.25</v>
      </c>
      <c r="K10" s="112">
        <v>256.91000000000003</v>
      </c>
      <c r="L10" s="112">
        <v>27.48</v>
      </c>
      <c r="M10" s="112">
        <v>96.37</v>
      </c>
      <c r="N10" s="112">
        <v>0</v>
      </c>
      <c r="O10" s="112">
        <v>0</v>
      </c>
      <c r="P10" s="112">
        <v>0.76</v>
      </c>
      <c r="Q10" s="112">
        <v>4.6500000000000004</v>
      </c>
    </row>
    <row r="11" spans="1:21" customFormat="1">
      <c r="A11" s="189" t="s">
        <v>241</v>
      </c>
      <c r="B11" s="112">
        <v>9.93</v>
      </c>
      <c r="C11" s="112">
        <v>17.739999999999998</v>
      </c>
      <c r="D11" s="112">
        <v>18.59</v>
      </c>
      <c r="E11" s="112">
        <v>9.1300000000000008</v>
      </c>
      <c r="F11" s="112">
        <v>5.47</v>
      </c>
      <c r="G11" s="112">
        <v>55.21</v>
      </c>
      <c r="H11" s="112">
        <v>17.87</v>
      </c>
      <c r="I11" s="112">
        <v>17.72</v>
      </c>
      <c r="J11" s="112">
        <v>0.21</v>
      </c>
      <c r="K11" s="112">
        <v>202.97</v>
      </c>
      <c r="L11" s="112">
        <v>27.59</v>
      </c>
      <c r="M11" s="112">
        <v>91.05</v>
      </c>
      <c r="N11" s="112">
        <v>0</v>
      </c>
      <c r="O11" s="112">
        <v>0</v>
      </c>
      <c r="P11" s="112">
        <v>0.78</v>
      </c>
      <c r="Q11" s="112">
        <v>4.71</v>
      </c>
    </row>
    <row r="12" spans="1:21" customFormat="1">
      <c r="A12" s="189" t="s">
        <v>242</v>
      </c>
      <c r="B12" s="112">
        <v>9.52</v>
      </c>
      <c r="C12" s="112">
        <v>15.88</v>
      </c>
      <c r="D12" s="112">
        <v>17.28</v>
      </c>
      <c r="E12" s="112">
        <v>8.24</v>
      </c>
      <c r="F12" s="112">
        <v>5.97</v>
      </c>
      <c r="G12" s="112">
        <v>51.89</v>
      </c>
      <c r="H12" s="112">
        <v>18.100000000000001</v>
      </c>
      <c r="I12" s="112">
        <v>19</v>
      </c>
      <c r="J12" s="112">
        <v>0.25</v>
      </c>
      <c r="K12" s="112">
        <v>171.32</v>
      </c>
      <c r="L12" s="112">
        <v>27.52</v>
      </c>
      <c r="M12" s="112">
        <v>94.37</v>
      </c>
      <c r="N12" s="112">
        <v>0</v>
      </c>
      <c r="O12" s="112">
        <v>0</v>
      </c>
      <c r="P12" s="112">
        <v>0.76</v>
      </c>
      <c r="Q12" s="112">
        <v>4.7</v>
      </c>
    </row>
    <row r="13" spans="1:21" customFormat="1">
      <c r="A13" s="189" t="s">
        <v>243</v>
      </c>
      <c r="B13" s="112">
        <v>9.49</v>
      </c>
      <c r="C13" s="112">
        <v>14.47</v>
      </c>
      <c r="D13" s="112">
        <v>16.52</v>
      </c>
      <c r="E13" s="112">
        <v>7.99</v>
      </c>
      <c r="F13" s="112">
        <v>6.87</v>
      </c>
      <c r="G13" s="112">
        <v>51.74</v>
      </c>
      <c r="H13" s="112">
        <v>18.100000000000001</v>
      </c>
      <c r="I13" s="112">
        <v>18.2</v>
      </c>
      <c r="J13" s="112">
        <v>0.16</v>
      </c>
      <c r="K13" s="112">
        <v>188.5</v>
      </c>
      <c r="L13" s="112">
        <v>27.1</v>
      </c>
      <c r="M13" s="112">
        <v>95.87</v>
      </c>
      <c r="N13" s="112">
        <v>0</v>
      </c>
      <c r="O13" s="112">
        <v>0</v>
      </c>
      <c r="P13" s="112">
        <v>0.72</v>
      </c>
      <c r="Q13" s="112">
        <v>4.6900000000000004</v>
      </c>
    </row>
    <row r="14" spans="1:21" customFormat="1">
      <c r="A14" s="189" t="s">
        <v>244</v>
      </c>
      <c r="B14" s="112">
        <v>10.59</v>
      </c>
      <c r="C14" s="112">
        <v>16.239999999999998</v>
      </c>
      <c r="D14" s="112">
        <v>18.329999999999998</v>
      </c>
      <c r="E14" s="112">
        <v>8.4700000000000006</v>
      </c>
      <c r="F14" s="112">
        <v>6.54</v>
      </c>
      <c r="G14" s="112">
        <v>51.74</v>
      </c>
      <c r="H14" s="112">
        <v>18.100000000000001</v>
      </c>
      <c r="I14" s="112">
        <v>16.989999999999998</v>
      </c>
      <c r="J14" s="112">
        <v>0.12</v>
      </c>
      <c r="K14" s="112">
        <v>203.46</v>
      </c>
      <c r="L14" s="112">
        <v>27.13</v>
      </c>
      <c r="M14" s="112">
        <v>93.12</v>
      </c>
      <c r="N14" s="112">
        <v>0</v>
      </c>
      <c r="O14" s="112">
        <v>0</v>
      </c>
      <c r="P14" s="112">
        <v>0.75</v>
      </c>
      <c r="Q14" s="112">
        <v>4.6500000000000004</v>
      </c>
    </row>
    <row r="15" spans="1:21" customFormat="1">
      <c r="A15" s="189" t="s">
        <v>245</v>
      </c>
      <c r="B15" s="112">
        <v>10.73</v>
      </c>
      <c r="C15" s="112">
        <v>16.21</v>
      </c>
      <c r="D15" s="112">
        <v>18.420000000000002</v>
      </c>
      <c r="E15" s="112">
        <v>8.5</v>
      </c>
      <c r="F15" s="112">
        <v>6.15</v>
      </c>
      <c r="G15" s="112">
        <v>51.74</v>
      </c>
      <c r="H15" s="112">
        <v>18.100000000000001</v>
      </c>
      <c r="I15" s="112">
        <v>17.239999999999998</v>
      </c>
      <c r="J15" s="112">
        <v>0.28999999999999998</v>
      </c>
      <c r="K15" s="112">
        <v>172.43</v>
      </c>
      <c r="L15" s="112">
        <v>27.15</v>
      </c>
      <c r="M15" s="112">
        <v>95.51</v>
      </c>
      <c r="N15" s="112">
        <v>0</v>
      </c>
      <c r="O15" s="112">
        <v>0</v>
      </c>
      <c r="P15" s="112">
        <v>0.76</v>
      </c>
      <c r="Q15" s="112">
        <v>4.6900000000000004</v>
      </c>
    </row>
    <row r="16" spans="1:21" customFormat="1">
      <c r="A16" s="189" t="s">
        <v>246</v>
      </c>
      <c r="B16" s="112">
        <v>10</v>
      </c>
      <c r="C16" s="112">
        <v>14.63</v>
      </c>
      <c r="D16" s="112">
        <v>17.010000000000002</v>
      </c>
      <c r="E16" s="112">
        <v>8.2100000000000009</v>
      </c>
      <c r="F16" s="112">
        <v>7.02</v>
      </c>
      <c r="G16" s="112">
        <v>49.99</v>
      </c>
      <c r="H16" s="112">
        <v>18.48</v>
      </c>
      <c r="I16" s="112">
        <v>18.93</v>
      </c>
      <c r="J16" s="112">
        <v>0.14000000000000001</v>
      </c>
      <c r="K16" s="112">
        <v>206</v>
      </c>
      <c r="L16" s="112">
        <v>26.86</v>
      </c>
      <c r="M16" s="112">
        <v>95.55</v>
      </c>
      <c r="N16" s="112">
        <v>0</v>
      </c>
      <c r="O16" s="112">
        <v>0</v>
      </c>
      <c r="P16" s="112">
        <v>0.72</v>
      </c>
      <c r="Q16" s="112">
        <v>4.6900000000000004</v>
      </c>
    </row>
    <row r="17" spans="1:17" customFormat="1">
      <c r="A17" s="189" t="s">
        <v>247</v>
      </c>
      <c r="B17" s="112">
        <v>10.039999999999999</v>
      </c>
      <c r="C17" s="112">
        <v>13.78</v>
      </c>
      <c r="D17" s="112">
        <v>16.600000000000001</v>
      </c>
      <c r="E17" s="112">
        <v>6.76</v>
      </c>
      <c r="F17" s="112">
        <v>7.14</v>
      </c>
      <c r="G17" s="112">
        <v>49.88</v>
      </c>
      <c r="H17" s="112">
        <v>18.48</v>
      </c>
      <c r="I17" s="112">
        <v>17.690000000000001</v>
      </c>
      <c r="J17" s="112">
        <v>0.24</v>
      </c>
      <c r="K17" s="112">
        <v>180.62</v>
      </c>
      <c r="L17" s="112">
        <v>26.8</v>
      </c>
      <c r="M17" s="112">
        <v>96.96</v>
      </c>
      <c r="N17" s="112">
        <v>0</v>
      </c>
      <c r="O17" s="112">
        <v>0</v>
      </c>
      <c r="P17" s="112">
        <v>0.71</v>
      </c>
      <c r="Q17" s="112">
        <v>4.66</v>
      </c>
    </row>
    <row r="18" spans="1:17" customFormat="1">
      <c r="A18" s="189" t="s">
        <v>248</v>
      </c>
      <c r="B18" s="112">
        <v>9.99</v>
      </c>
      <c r="C18" s="112">
        <v>13.19</v>
      </c>
      <c r="D18" s="112">
        <v>16.25</v>
      </c>
      <c r="E18" s="112">
        <v>8.09</v>
      </c>
      <c r="F18" s="112">
        <v>6.63</v>
      </c>
      <c r="G18" s="112">
        <v>49.88</v>
      </c>
      <c r="H18" s="112">
        <v>18.48</v>
      </c>
      <c r="I18" s="112">
        <v>16.28</v>
      </c>
      <c r="J18" s="112">
        <v>0.13</v>
      </c>
      <c r="K18" s="112">
        <v>200.93</v>
      </c>
      <c r="L18" s="112">
        <v>26.67</v>
      </c>
      <c r="M18" s="112">
        <v>97.99</v>
      </c>
      <c r="N18" s="112">
        <v>0</v>
      </c>
      <c r="O18" s="112">
        <v>0</v>
      </c>
      <c r="P18" s="112">
        <v>0.7</v>
      </c>
      <c r="Q18" s="112">
        <v>4.6399999999999997</v>
      </c>
    </row>
    <row r="19" spans="1:17" customFormat="1">
      <c r="A19" s="189" t="s">
        <v>249</v>
      </c>
      <c r="B19" s="112">
        <v>9.69</v>
      </c>
      <c r="C19" s="112">
        <v>13.11</v>
      </c>
      <c r="D19" s="112">
        <v>15.97</v>
      </c>
      <c r="E19" s="112">
        <v>7.96</v>
      </c>
      <c r="F19" s="112">
        <v>6.51</v>
      </c>
      <c r="G19" s="112">
        <v>49.88</v>
      </c>
      <c r="H19" s="112">
        <v>18.48</v>
      </c>
      <c r="I19" s="112">
        <v>16.010000000000002</v>
      </c>
      <c r="J19" s="112">
        <v>0.13</v>
      </c>
      <c r="K19" s="112">
        <v>162.79</v>
      </c>
      <c r="L19" s="112">
        <v>26.69</v>
      </c>
      <c r="M19" s="112">
        <v>97.21</v>
      </c>
      <c r="N19" s="112">
        <v>0</v>
      </c>
      <c r="O19" s="112">
        <v>0</v>
      </c>
      <c r="P19" s="112">
        <v>0.7</v>
      </c>
      <c r="Q19" s="112">
        <v>4.6100000000000003</v>
      </c>
    </row>
    <row r="20" spans="1:17" customFormat="1">
      <c r="A20" s="189" t="s">
        <v>250</v>
      </c>
      <c r="B20" s="112">
        <v>10.36</v>
      </c>
      <c r="C20" s="112">
        <v>15.01</v>
      </c>
      <c r="D20" s="112">
        <v>17.5</v>
      </c>
      <c r="E20" s="112">
        <v>8.27</v>
      </c>
      <c r="F20" s="112">
        <v>5.48</v>
      </c>
      <c r="G20" s="112">
        <v>47.38</v>
      </c>
      <c r="H20" s="112">
        <v>20.73</v>
      </c>
      <c r="I20" s="112">
        <v>15.53</v>
      </c>
      <c r="J20" s="112">
        <v>0.11</v>
      </c>
      <c r="K20" s="112">
        <v>186.06</v>
      </c>
      <c r="L20" s="112">
        <v>26.57</v>
      </c>
      <c r="M20" s="112">
        <v>98.01</v>
      </c>
      <c r="N20" s="112">
        <v>0</v>
      </c>
      <c r="O20" s="112">
        <v>0</v>
      </c>
      <c r="P20" s="112">
        <v>0.72</v>
      </c>
      <c r="Q20" s="112">
        <v>4.67</v>
      </c>
    </row>
    <row r="21" spans="1:17" customFormat="1">
      <c r="A21" s="189" t="s">
        <v>251</v>
      </c>
      <c r="B21" s="112">
        <v>10.83</v>
      </c>
      <c r="C21" s="112">
        <v>16.190000000000001</v>
      </c>
      <c r="D21" s="112">
        <v>18.489999999999998</v>
      </c>
      <c r="E21" s="112">
        <v>8.5</v>
      </c>
      <c r="F21" s="112">
        <v>4.78</v>
      </c>
      <c r="G21" s="112">
        <v>47.24</v>
      </c>
      <c r="H21" s="112">
        <v>20.73</v>
      </c>
      <c r="I21" s="112">
        <v>15.57</v>
      </c>
      <c r="J21" s="112">
        <v>0.11</v>
      </c>
      <c r="K21" s="112">
        <v>218.04</v>
      </c>
      <c r="L21" s="112">
        <v>26.5</v>
      </c>
      <c r="M21" s="112">
        <v>98.65</v>
      </c>
      <c r="N21" s="112">
        <v>0</v>
      </c>
      <c r="O21" s="112">
        <v>0</v>
      </c>
      <c r="P21" s="112">
        <v>0.74</v>
      </c>
      <c r="Q21" s="112">
        <v>4.6900000000000004</v>
      </c>
    </row>
    <row r="22" spans="1:17" customFormat="1">
      <c r="A22" s="189" t="s">
        <v>252</v>
      </c>
      <c r="B22" s="112">
        <v>10.69</v>
      </c>
      <c r="C22" s="112">
        <v>14.96</v>
      </c>
      <c r="D22" s="112">
        <v>17.73</v>
      </c>
      <c r="E22" s="112">
        <v>8.34</v>
      </c>
      <c r="F22" s="112">
        <v>5.2</v>
      </c>
      <c r="G22" s="112">
        <v>47.24</v>
      </c>
      <c r="H22" s="112">
        <v>20.73</v>
      </c>
      <c r="I22" s="112">
        <v>16.399999999999999</v>
      </c>
      <c r="J22" s="112">
        <v>0.13</v>
      </c>
      <c r="K22" s="112">
        <v>195.97</v>
      </c>
      <c r="L22" s="112">
        <v>26.55</v>
      </c>
      <c r="M22" s="112">
        <v>98.69</v>
      </c>
      <c r="N22" s="112">
        <v>0</v>
      </c>
      <c r="O22" s="112">
        <v>0</v>
      </c>
      <c r="P22" s="112">
        <v>0.73</v>
      </c>
      <c r="Q22" s="112">
        <v>4.6900000000000004</v>
      </c>
    </row>
    <row r="23" spans="1:17" customFormat="1">
      <c r="A23" s="189" t="s">
        <v>253</v>
      </c>
      <c r="B23" s="112">
        <v>10.32</v>
      </c>
      <c r="C23" s="112">
        <v>14.02</v>
      </c>
      <c r="D23" s="112">
        <v>16.95</v>
      </c>
      <c r="E23" s="112">
        <v>8.15</v>
      </c>
      <c r="F23" s="112">
        <v>5.74</v>
      </c>
      <c r="G23" s="112">
        <v>47.24</v>
      </c>
      <c r="H23" s="112">
        <v>20.73</v>
      </c>
      <c r="I23" s="112">
        <v>15.89</v>
      </c>
      <c r="J23" s="112">
        <v>0.18</v>
      </c>
      <c r="K23" s="112">
        <v>189.49</v>
      </c>
      <c r="L23" s="112">
        <v>26.45</v>
      </c>
      <c r="M23" s="112">
        <v>99.14</v>
      </c>
      <c r="N23" s="112">
        <v>0</v>
      </c>
      <c r="O23" s="112">
        <v>0</v>
      </c>
      <c r="P23" s="112">
        <v>0.7</v>
      </c>
      <c r="Q23" s="112">
        <v>4.6500000000000004</v>
      </c>
    </row>
    <row r="24" spans="1:17" customFormat="1">
      <c r="A24" s="189" t="s">
        <v>254</v>
      </c>
      <c r="B24" s="112">
        <v>10.31</v>
      </c>
      <c r="C24" s="112">
        <v>13.3</v>
      </c>
      <c r="D24" s="112">
        <v>16.57</v>
      </c>
      <c r="E24" s="112">
        <v>7.85</v>
      </c>
      <c r="F24" s="112">
        <v>5.69</v>
      </c>
      <c r="G24" s="112">
        <v>44.88</v>
      </c>
      <c r="H24" s="112">
        <v>15.85</v>
      </c>
      <c r="I24" s="112">
        <v>15.22</v>
      </c>
      <c r="J24" s="112">
        <v>0.12</v>
      </c>
      <c r="K24" s="112">
        <v>158.28</v>
      </c>
      <c r="L24" s="112">
        <v>26.48</v>
      </c>
      <c r="M24" s="112">
        <v>98.26</v>
      </c>
      <c r="N24" s="112">
        <v>0</v>
      </c>
      <c r="O24" s="112">
        <v>0</v>
      </c>
      <c r="P24" s="112">
        <v>0.69</v>
      </c>
      <c r="Q24" s="112">
        <v>4.66</v>
      </c>
    </row>
    <row r="25" spans="1:17" customFormat="1">
      <c r="A25" s="189" t="s">
        <v>255</v>
      </c>
      <c r="B25" s="112">
        <v>11.46</v>
      </c>
      <c r="C25" s="112">
        <v>15.34</v>
      </c>
      <c r="D25" s="112">
        <v>18.559999999999999</v>
      </c>
      <c r="E25" s="112">
        <v>8.49</v>
      </c>
      <c r="F25" s="112">
        <v>5.07</v>
      </c>
      <c r="G25" s="112">
        <v>44.74</v>
      </c>
      <c r="H25" s="112">
        <v>15.85</v>
      </c>
      <c r="I25" s="112">
        <v>14.42</v>
      </c>
      <c r="J25" s="112">
        <v>0.13</v>
      </c>
      <c r="K25" s="112">
        <v>208.39</v>
      </c>
      <c r="L25" s="112">
        <v>26.43</v>
      </c>
      <c r="M25" s="112">
        <v>99.1</v>
      </c>
      <c r="N25" s="112">
        <v>0</v>
      </c>
      <c r="O25" s="112">
        <v>0</v>
      </c>
      <c r="P25" s="112">
        <v>0.72</v>
      </c>
      <c r="Q25" s="112">
        <v>4.67</v>
      </c>
    </row>
    <row r="26" spans="1:17" customFormat="1">
      <c r="A26" s="189" t="s">
        <v>256</v>
      </c>
      <c r="B26" s="112">
        <v>11.53</v>
      </c>
      <c r="C26" s="112">
        <v>16.03</v>
      </c>
      <c r="D26" s="112">
        <v>18.97</v>
      </c>
      <c r="E26" s="112">
        <v>8.52</v>
      </c>
      <c r="F26" s="112">
        <v>4.6500000000000004</v>
      </c>
      <c r="G26" s="112">
        <v>44.74</v>
      </c>
      <c r="H26" s="112">
        <v>15.85</v>
      </c>
      <c r="I26" s="112">
        <v>14</v>
      </c>
      <c r="J26" s="112">
        <v>0.13</v>
      </c>
      <c r="K26" s="112">
        <v>193.91</v>
      </c>
      <c r="L26" s="112">
        <v>26.36</v>
      </c>
      <c r="M26" s="112">
        <v>99.47</v>
      </c>
      <c r="N26" s="112">
        <v>0</v>
      </c>
      <c r="O26" s="112">
        <v>0</v>
      </c>
      <c r="P26" s="112">
        <v>0.73</v>
      </c>
      <c r="Q26" s="112">
        <v>4.74</v>
      </c>
    </row>
    <row r="27" spans="1:17" customFormat="1">
      <c r="A27" s="189" t="s">
        <v>257</v>
      </c>
      <c r="B27" s="112">
        <v>11.38</v>
      </c>
      <c r="C27" s="112">
        <v>14.92</v>
      </c>
      <c r="D27" s="112">
        <v>18.27</v>
      </c>
      <c r="E27" s="112">
        <v>8.2799999999999994</v>
      </c>
      <c r="F27" s="112">
        <v>4.93</v>
      </c>
      <c r="G27" s="112">
        <v>44.74</v>
      </c>
      <c r="H27" s="112">
        <v>15.85</v>
      </c>
      <c r="I27" s="112">
        <v>14.14</v>
      </c>
      <c r="J27" s="112">
        <v>0.18</v>
      </c>
      <c r="K27" s="112">
        <v>222.02</v>
      </c>
      <c r="L27" s="112">
        <v>26.33</v>
      </c>
      <c r="M27" s="112">
        <v>106.97</v>
      </c>
      <c r="N27" s="112">
        <v>0</v>
      </c>
      <c r="O27" s="112">
        <v>0</v>
      </c>
      <c r="P27" s="112">
        <v>0.72</v>
      </c>
      <c r="Q27" s="112">
        <v>4.71</v>
      </c>
    </row>
    <row r="28" spans="1:17" customFormat="1">
      <c r="A28" s="189" t="s">
        <v>258</v>
      </c>
      <c r="B28" s="112">
        <v>10.79</v>
      </c>
      <c r="C28" s="112">
        <v>14.06</v>
      </c>
      <c r="D28" s="112">
        <v>17.350000000000001</v>
      </c>
      <c r="E28" s="112">
        <v>7.45</v>
      </c>
      <c r="F28" s="112">
        <v>5.07</v>
      </c>
      <c r="G28" s="112">
        <v>43.84</v>
      </c>
      <c r="H28" s="112">
        <v>14.17</v>
      </c>
      <c r="I28" s="112">
        <v>13.58</v>
      </c>
      <c r="J28" s="112">
        <v>0.14000000000000001</v>
      </c>
      <c r="K28" s="112">
        <v>175.35</v>
      </c>
      <c r="L28" s="112">
        <v>26.31</v>
      </c>
      <c r="M28" s="112">
        <v>109.6</v>
      </c>
      <c r="N28" s="112">
        <v>0</v>
      </c>
      <c r="O28" s="112">
        <v>0</v>
      </c>
      <c r="P28" s="112">
        <v>0.68</v>
      </c>
      <c r="Q28" s="112">
        <v>4.6900000000000004</v>
      </c>
    </row>
    <row r="29" spans="1:17" customFormat="1">
      <c r="A29" s="189" t="s">
        <v>259</v>
      </c>
      <c r="B29" s="112">
        <v>10.72</v>
      </c>
      <c r="C29" s="112">
        <v>13.35</v>
      </c>
      <c r="D29" s="112">
        <v>16.920000000000002</v>
      </c>
      <c r="E29" s="112">
        <v>7.68</v>
      </c>
      <c r="F29" s="112">
        <v>4.99</v>
      </c>
      <c r="G29" s="112">
        <v>43.79</v>
      </c>
      <c r="H29" s="112">
        <v>14.17</v>
      </c>
      <c r="I29" s="112">
        <v>12.87</v>
      </c>
      <c r="J29" s="112">
        <v>0.15</v>
      </c>
      <c r="K29" s="112">
        <v>198.88</v>
      </c>
      <c r="L29" s="112">
        <v>26.32</v>
      </c>
      <c r="M29" s="112">
        <v>102.19</v>
      </c>
      <c r="N29" s="112">
        <v>0</v>
      </c>
      <c r="O29" s="112">
        <v>0</v>
      </c>
      <c r="P29" s="112">
        <v>0.68</v>
      </c>
      <c r="Q29" s="112">
        <v>4.6900000000000004</v>
      </c>
    </row>
    <row r="30" spans="1:17" customFormat="1">
      <c r="A30" s="189" t="s">
        <v>260</v>
      </c>
      <c r="B30" s="112">
        <v>11.64</v>
      </c>
      <c r="C30" s="112">
        <v>15.1</v>
      </c>
      <c r="D30" s="112">
        <v>18.57</v>
      </c>
      <c r="E30" s="112">
        <v>8.17</v>
      </c>
      <c r="F30" s="112">
        <v>4.7</v>
      </c>
      <c r="G30" s="112">
        <v>43.79</v>
      </c>
      <c r="H30" s="112">
        <v>14.17</v>
      </c>
      <c r="I30" s="112">
        <v>12.08</v>
      </c>
      <c r="J30" s="112">
        <v>0.1</v>
      </c>
      <c r="K30" s="112">
        <v>167.84</v>
      </c>
      <c r="L30" s="112">
        <v>26.22</v>
      </c>
      <c r="M30" s="112">
        <v>99.99</v>
      </c>
      <c r="N30" s="112">
        <v>0</v>
      </c>
      <c r="O30" s="112">
        <v>0</v>
      </c>
      <c r="P30" s="112">
        <v>0.71</v>
      </c>
      <c r="Q30" s="112">
        <v>4.71</v>
      </c>
    </row>
    <row r="31" spans="1:17" customFormat="1">
      <c r="A31" s="189" t="s">
        <v>261</v>
      </c>
      <c r="B31" s="112">
        <v>11.84</v>
      </c>
      <c r="C31" s="112">
        <v>16.32</v>
      </c>
      <c r="D31" s="112">
        <v>19.38</v>
      </c>
      <c r="E31" s="112">
        <v>7.92</v>
      </c>
      <c r="F31" s="112">
        <v>4.21</v>
      </c>
      <c r="G31" s="112">
        <v>43.79</v>
      </c>
      <c r="H31" s="112">
        <v>14.17</v>
      </c>
      <c r="I31" s="112">
        <v>12.35</v>
      </c>
      <c r="J31" s="112">
        <v>0.14000000000000001</v>
      </c>
      <c r="K31" s="112">
        <v>177.02</v>
      </c>
      <c r="L31" s="112">
        <v>26.2</v>
      </c>
      <c r="M31" s="112">
        <v>100.03</v>
      </c>
      <c r="N31" s="112">
        <v>0</v>
      </c>
      <c r="O31" s="112">
        <v>0</v>
      </c>
      <c r="P31" s="112">
        <v>0.72</v>
      </c>
      <c r="Q31" s="112">
        <v>4.75</v>
      </c>
    </row>
    <row r="32" spans="1:17" customFormat="1">
      <c r="A32" s="189" t="s">
        <v>262</v>
      </c>
      <c r="B32" s="112">
        <v>11.46</v>
      </c>
      <c r="C32" s="112">
        <v>14.31</v>
      </c>
      <c r="D32" s="112">
        <v>18.02</v>
      </c>
      <c r="E32" s="112">
        <v>7.91</v>
      </c>
      <c r="F32" s="112">
        <v>4.55</v>
      </c>
      <c r="G32" s="112">
        <v>40.29</v>
      </c>
      <c r="H32" s="112">
        <v>16.309999999999999</v>
      </c>
      <c r="I32" s="112">
        <v>13.08</v>
      </c>
      <c r="J32" s="112">
        <v>0.1</v>
      </c>
      <c r="K32" s="112">
        <v>168.96</v>
      </c>
      <c r="L32" s="112">
        <v>26.25</v>
      </c>
      <c r="M32" s="112">
        <v>100.59</v>
      </c>
      <c r="N32" s="112">
        <v>1.1000000000000001</v>
      </c>
      <c r="O32" s="112">
        <v>0</v>
      </c>
      <c r="P32" s="112">
        <v>0.7</v>
      </c>
      <c r="Q32" s="112">
        <v>4.75</v>
      </c>
    </row>
    <row r="33" spans="1:17" customFormat="1">
      <c r="A33" s="189" t="s">
        <v>263</v>
      </c>
      <c r="B33" s="112">
        <v>12.14</v>
      </c>
      <c r="C33" s="112">
        <v>15.03</v>
      </c>
      <c r="D33" s="112">
        <v>18.940000000000001</v>
      </c>
      <c r="E33" s="112">
        <v>8.09</v>
      </c>
      <c r="F33" s="112">
        <v>4.95</v>
      </c>
      <c r="G33" s="112">
        <v>40.08</v>
      </c>
      <c r="H33" s="112">
        <v>16.309999999999999</v>
      </c>
      <c r="I33" s="112">
        <v>12.56</v>
      </c>
      <c r="J33" s="112">
        <v>0.09</v>
      </c>
      <c r="K33" s="112">
        <v>150.68</v>
      </c>
      <c r="L33" s="112">
        <v>26.33</v>
      </c>
      <c r="M33" s="112">
        <v>100.7</v>
      </c>
      <c r="N33" s="112">
        <v>11.5</v>
      </c>
      <c r="O33" s="112">
        <v>0</v>
      </c>
      <c r="P33" s="112">
        <v>0.7</v>
      </c>
      <c r="Q33" s="112">
        <v>4.7300000000000004</v>
      </c>
    </row>
    <row r="34" spans="1:17" customFormat="1">
      <c r="A34" s="189" t="s">
        <v>264</v>
      </c>
      <c r="B34" s="112">
        <v>12.53</v>
      </c>
      <c r="C34" s="112">
        <v>16.059999999999999</v>
      </c>
      <c r="D34" s="112">
        <v>19.79</v>
      </c>
      <c r="E34" s="112">
        <v>7.9</v>
      </c>
      <c r="F34" s="112">
        <v>4.9400000000000004</v>
      </c>
      <c r="G34" s="112">
        <v>40.08</v>
      </c>
      <c r="H34" s="112">
        <v>16.309999999999999</v>
      </c>
      <c r="I34" s="112">
        <v>11.88</v>
      </c>
      <c r="J34" s="112">
        <v>0.2</v>
      </c>
      <c r="K34" s="112">
        <v>162.81</v>
      </c>
      <c r="L34" s="112">
        <v>26.71</v>
      </c>
      <c r="M34" s="112">
        <v>99.67</v>
      </c>
      <c r="N34" s="112">
        <v>24</v>
      </c>
      <c r="O34" s="112">
        <v>0</v>
      </c>
      <c r="P34" s="112">
        <v>0.71</v>
      </c>
      <c r="Q34" s="112">
        <v>4.79</v>
      </c>
    </row>
    <row r="35" spans="1:17" customFormat="1">
      <c r="A35" s="189" t="s">
        <v>265</v>
      </c>
      <c r="B35" s="112">
        <v>12.4</v>
      </c>
      <c r="C35" s="112">
        <v>14.78</v>
      </c>
      <c r="D35" s="112">
        <v>19.010000000000002</v>
      </c>
      <c r="E35" s="112">
        <v>7.69</v>
      </c>
      <c r="F35" s="112">
        <v>5.09</v>
      </c>
      <c r="G35" s="112">
        <v>40.08</v>
      </c>
      <c r="H35" s="112">
        <v>16.309999999999999</v>
      </c>
      <c r="I35" s="112">
        <v>12.46</v>
      </c>
      <c r="J35" s="112">
        <v>0.14000000000000001</v>
      </c>
      <c r="K35" s="112">
        <v>219.1</v>
      </c>
      <c r="L35" s="112">
        <v>27.01</v>
      </c>
      <c r="M35" s="112">
        <v>98.15</v>
      </c>
      <c r="N35" s="112">
        <v>43.3</v>
      </c>
      <c r="O35" s="112">
        <v>0</v>
      </c>
      <c r="P35" s="112">
        <v>0.7</v>
      </c>
      <c r="Q35" s="112">
        <v>4.76</v>
      </c>
    </row>
    <row r="36" spans="1:17" customFormat="1">
      <c r="A36" s="189" t="s">
        <v>266</v>
      </c>
      <c r="B36" s="112">
        <v>12.14</v>
      </c>
      <c r="C36" s="112">
        <v>13.71</v>
      </c>
      <c r="D36" s="112">
        <v>18.25</v>
      </c>
      <c r="E36" s="112">
        <v>6.98</v>
      </c>
      <c r="F36" s="112">
        <v>5.12</v>
      </c>
      <c r="G36" s="112">
        <v>40.71</v>
      </c>
      <c r="H36" s="112">
        <v>16.62</v>
      </c>
      <c r="I36" s="112">
        <v>12.29</v>
      </c>
      <c r="J36" s="112">
        <v>0.09</v>
      </c>
      <c r="K36" s="112">
        <v>246.13</v>
      </c>
      <c r="L36" s="112">
        <v>27.46</v>
      </c>
      <c r="M36" s="112">
        <v>96.71</v>
      </c>
      <c r="N36" s="112">
        <v>59.3</v>
      </c>
      <c r="O36" s="112">
        <v>0</v>
      </c>
      <c r="P36" s="112">
        <v>0.68</v>
      </c>
      <c r="Q36" s="112">
        <v>4.76</v>
      </c>
    </row>
    <row r="37" spans="1:17" customFormat="1">
      <c r="A37" s="189" t="s">
        <v>267</v>
      </c>
      <c r="B37" s="112">
        <v>12.42</v>
      </c>
      <c r="C37" s="112">
        <v>14.11</v>
      </c>
      <c r="D37" s="112">
        <v>18.68</v>
      </c>
      <c r="E37" s="112">
        <v>7.38</v>
      </c>
      <c r="F37" s="112">
        <v>5.73</v>
      </c>
      <c r="G37" s="112">
        <v>40.75</v>
      </c>
      <c r="H37" s="112">
        <v>16.62</v>
      </c>
      <c r="I37" s="112">
        <v>11.58</v>
      </c>
      <c r="J37" s="112">
        <v>0.13</v>
      </c>
      <c r="K37" s="112">
        <v>230.94</v>
      </c>
      <c r="L37" s="112">
        <v>27.98</v>
      </c>
      <c r="M37" s="112">
        <v>93.29</v>
      </c>
      <c r="N37" s="112">
        <v>73.3</v>
      </c>
      <c r="O37" s="112">
        <v>0</v>
      </c>
      <c r="P37" s="112">
        <v>0.67</v>
      </c>
      <c r="Q37" s="112">
        <v>4.74</v>
      </c>
    </row>
    <row r="38" spans="1:17" customFormat="1">
      <c r="A38" s="189" t="s">
        <v>268</v>
      </c>
      <c r="B38" s="112">
        <v>12.42</v>
      </c>
      <c r="C38" s="112">
        <v>14.24</v>
      </c>
      <c r="D38" s="112">
        <v>18.75</v>
      </c>
      <c r="E38" s="112">
        <v>7.9</v>
      </c>
      <c r="F38" s="112">
        <v>6.06</v>
      </c>
      <c r="G38" s="112">
        <v>40.75</v>
      </c>
      <c r="H38" s="112">
        <v>16.62</v>
      </c>
      <c r="I38" s="112">
        <v>11.19</v>
      </c>
      <c r="J38" s="112">
        <v>0.15</v>
      </c>
      <c r="K38" s="112">
        <v>214.13</v>
      </c>
      <c r="L38" s="112">
        <v>28.44</v>
      </c>
      <c r="M38" s="112">
        <v>89.4</v>
      </c>
      <c r="N38" s="112">
        <v>88.5</v>
      </c>
      <c r="O38" s="112">
        <v>0</v>
      </c>
      <c r="P38" s="112">
        <v>0.66</v>
      </c>
      <c r="Q38" s="112">
        <v>4.76</v>
      </c>
    </row>
    <row r="39" spans="1:17" customFormat="1">
      <c r="A39" s="189" t="s">
        <v>269</v>
      </c>
      <c r="B39" s="112">
        <v>12.57</v>
      </c>
      <c r="C39" s="112">
        <v>14.68</v>
      </c>
      <c r="D39" s="112">
        <v>19.100000000000001</v>
      </c>
      <c r="E39" s="112">
        <v>8.01</v>
      </c>
      <c r="F39" s="112">
        <v>6.48</v>
      </c>
      <c r="G39" s="112">
        <v>40.75</v>
      </c>
      <c r="H39" s="112">
        <v>16.62</v>
      </c>
      <c r="I39" s="112">
        <v>11.53</v>
      </c>
      <c r="J39" s="112">
        <v>0.19</v>
      </c>
      <c r="K39" s="112">
        <v>210.68</v>
      </c>
      <c r="L39" s="112">
        <v>29</v>
      </c>
      <c r="M39" s="112">
        <v>84.72</v>
      </c>
      <c r="N39" s="112">
        <v>169.4</v>
      </c>
      <c r="O39" s="112">
        <v>0</v>
      </c>
      <c r="P39" s="112">
        <v>0.65</v>
      </c>
      <c r="Q39" s="112">
        <v>4.72</v>
      </c>
    </row>
    <row r="40" spans="1:17" customFormat="1">
      <c r="A40" s="189" t="s">
        <v>270</v>
      </c>
      <c r="B40" s="112">
        <v>13.07</v>
      </c>
      <c r="C40" s="112">
        <v>16.82</v>
      </c>
      <c r="D40" s="112">
        <v>20.62</v>
      </c>
      <c r="E40" s="112">
        <v>8.41</v>
      </c>
      <c r="F40" s="112">
        <v>5.33</v>
      </c>
      <c r="G40" s="112">
        <v>35.86</v>
      </c>
      <c r="H40" s="112">
        <v>12.73</v>
      </c>
      <c r="I40" s="112">
        <v>11.4</v>
      </c>
      <c r="J40" s="112">
        <v>0.15</v>
      </c>
      <c r="K40" s="112">
        <v>264.57</v>
      </c>
      <c r="L40" s="112">
        <v>29.61</v>
      </c>
      <c r="M40" s="112">
        <v>81.62</v>
      </c>
      <c r="N40" s="112">
        <v>241.3</v>
      </c>
      <c r="O40" s="112">
        <v>0</v>
      </c>
      <c r="P40" s="112">
        <v>0.7</v>
      </c>
      <c r="Q40" s="112">
        <v>4.74</v>
      </c>
    </row>
    <row r="41" spans="1:17" customFormat="1">
      <c r="A41" s="189" t="s">
        <v>271</v>
      </c>
      <c r="B41" s="112">
        <v>13.24</v>
      </c>
      <c r="C41" s="112">
        <v>17.579999999999998</v>
      </c>
      <c r="D41" s="112">
        <v>21.16</v>
      </c>
      <c r="E41" s="112">
        <v>8.49</v>
      </c>
      <c r="F41" s="112">
        <v>5.18</v>
      </c>
      <c r="G41" s="112">
        <v>35.58</v>
      </c>
      <c r="H41" s="112">
        <v>12.73</v>
      </c>
      <c r="I41" s="112">
        <v>11.61</v>
      </c>
      <c r="J41" s="112">
        <v>0.2</v>
      </c>
      <c r="K41" s="112">
        <v>207.83</v>
      </c>
      <c r="L41" s="112">
        <v>30.07</v>
      </c>
      <c r="M41" s="112">
        <v>78.73</v>
      </c>
      <c r="N41" s="112">
        <v>291.39999999999998</v>
      </c>
      <c r="O41" s="112">
        <v>0</v>
      </c>
      <c r="P41" s="112">
        <v>0.71</v>
      </c>
      <c r="Q41" s="112">
        <v>4.76</v>
      </c>
    </row>
    <row r="42" spans="1:17" customFormat="1">
      <c r="A42" s="189" t="s">
        <v>272</v>
      </c>
      <c r="B42" s="112">
        <v>13.04</v>
      </c>
      <c r="C42" s="112">
        <v>16.850000000000001</v>
      </c>
      <c r="D42" s="112">
        <v>20.61</v>
      </c>
      <c r="E42" s="112">
        <v>7.78</v>
      </c>
      <c r="F42" s="112">
        <v>5.85</v>
      </c>
      <c r="G42" s="112">
        <v>35.58</v>
      </c>
      <c r="H42" s="112">
        <v>12.73</v>
      </c>
      <c r="I42" s="112">
        <v>11.93</v>
      </c>
      <c r="J42" s="112">
        <v>0.19</v>
      </c>
      <c r="K42" s="112">
        <v>227.85</v>
      </c>
      <c r="L42" s="112">
        <v>30.74</v>
      </c>
      <c r="M42" s="112">
        <v>76.88</v>
      </c>
      <c r="N42" s="112">
        <v>236.1</v>
      </c>
      <c r="O42" s="112">
        <v>0</v>
      </c>
      <c r="P42" s="112">
        <v>0.69</v>
      </c>
      <c r="Q42" s="112">
        <v>4.7300000000000004</v>
      </c>
    </row>
    <row r="43" spans="1:17" customFormat="1">
      <c r="A43" s="189" t="s">
        <v>273</v>
      </c>
      <c r="B43" s="112">
        <v>12.54</v>
      </c>
      <c r="C43" s="112">
        <v>16.68</v>
      </c>
      <c r="D43" s="112">
        <v>20.12</v>
      </c>
      <c r="E43" s="112">
        <v>7.31</v>
      </c>
      <c r="F43" s="112">
        <v>6.72</v>
      </c>
      <c r="G43" s="112">
        <v>35.58</v>
      </c>
      <c r="H43" s="112">
        <v>12.73</v>
      </c>
      <c r="I43" s="112">
        <v>11.75</v>
      </c>
      <c r="J43" s="112">
        <v>0.26</v>
      </c>
      <c r="K43" s="112">
        <v>259.12</v>
      </c>
      <c r="L43" s="112">
        <v>31.07</v>
      </c>
      <c r="M43" s="112">
        <v>74.62</v>
      </c>
      <c r="N43" s="112">
        <v>255.7</v>
      </c>
      <c r="O43" s="112">
        <v>0</v>
      </c>
      <c r="P43" s="112">
        <v>0.68</v>
      </c>
      <c r="Q43" s="112">
        <v>4.7</v>
      </c>
    </row>
    <row r="44" spans="1:17" customFormat="1">
      <c r="A44" s="189" t="s">
        <v>274</v>
      </c>
      <c r="B44" s="112">
        <v>12.14</v>
      </c>
      <c r="C44" s="112">
        <v>16.52</v>
      </c>
      <c r="D44" s="112">
        <v>19.72</v>
      </c>
      <c r="E44" s="112">
        <v>7.85</v>
      </c>
      <c r="F44" s="112">
        <v>7.61</v>
      </c>
      <c r="G44" s="112">
        <v>37.19</v>
      </c>
      <c r="H44" s="112">
        <v>16.940000000000001</v>
      </c>
      <c r="I44" s="112">
        <v>11.49</v>
      </c>
      <c r="J44" s="112">
        <v>0.19</v>
      </c>
      <c r="K44" s="112">
        <v>284.64999999999998</v>
      </c>
      <c r="L44" s="112">
        <v>31.6</v>
      </c>
      <c r="M44" s="112">
        <v>71.84</v>
      </c>
      <c r="N44" s="112">
        <v>212.2</v>
      </c>
      <c r="O44" s="112">
        <v>0</v>
      </c>
      <c r="P44" s="112">
        <v>0.68</v>
      </c>
      <c r="Q44" s="112">
        <v>4.66</v>
      </c>
    </row>
    <row r="45" spans="1:17" customFormat="1">
      <c r="A45" s="189" t="s">
        <v>275</v>
      </c>
      <c r="B45" s="112">
        <v>11.7</v>
      </c>
      <c r="C45" s="112">
        <v>17.32</v>
      </c>
      <c r="D45" s="112">
        <v>19.78</v>
      </c>
      <c r="E45" s="112">
        <v>7.83</v>
      </c>
      <c r="F45" s="112">
        <v>7.52</v>
      </c>
      <c r="G45" s="112">
        <v>37.29</v>
      </c>
      <c r="H45" s="112">
        <v>16.940000000000001</v>
      </c>
      <c r="I45" s="112">
        <v>11.24</v>
      </c>
      <c r="J45" s="112">
        <v>0.28999999999999998</v>
      </c>
      <c r="K45" s="112">
        <v>290.06</v>
      </c>
      <c r="L45" s="112">
        <v>31.99</v>
      </c>
      <c r="M45" s="112">
        <v>70.099999999999994</v>
      </c>
      <c r="N45" s="112">
        <v>314.39999999999998</v>
      </c>
      <c r="O45" s="112">
        <v>0</v>
      </c>
      <c r="P45" s="112">
        <v>0.69</v>
      </c>
      <c r="Q45" s="112">
        <v>4.68</v>
      </c>
    </row>
    <row r="46" spans="1:17" customFormat="1">
      <c r="A46" s="189" t="s">
        <v>276</v>
      </c>
      <c r="B46" s="112">
        <v>11.34</v>
      </c>
      <c r="C46" s="112">
        <v>17.989999999999998</v>
      </c>
      <c r="D46" s="112">
        <v>19.84</v>
      </c>
      <c r="E46" s="112">
        <v>7.39</v>
      </c>
      <c r="F46" s="112">
        <v>7.09</v>
      </c>
      <c r="G46" s="112">
        <v>37.29</v>
      </c>
      <c r="H46" s="112">
        <v>16.940000000000001</v>
      </c>
      <c r="I46" s="112">
        <v>11</v>
      </c>
      <c r="J46" s="112">
        <v>0.34</v>
      </c>
      <c r="K46" s="112">
        <v>254.92</v>
      </c>
      <c r="L46" s="112">
        <v>32.46</v>
      </c>
      <c r="M46" s="112">
        <v>69.13</v>
      </c>
      <c r="N46" s="112">
        <v>491.5</v>
      </c>
      <c r="O46" s="112">
        <v>0</v>
      </c>
      <c r="P46" s="112">
        <v>0.7</v>
      </c>
      <c r="Q46" s="112">
        <v>4.67</v>
      </c>
    </row>
    <row r="47" spans="1:17" customFormat="1">
      <c r="A47" s="189" t="s">
        <v>277</v>
      </c>
      <c r="B47" s="112">
        <v>10.79</v>
      </c>
      <c r="C47" s="112">
        <v>18.399999999999999</v>
      </c>
      <c r="D47" s="112">
        <v>19.62</v>
      </c>
      <c r="E47" s="112">
        <v>7.98</v>
      </c>
      <c r="F47" s="112">
        <v>8.23</v>
      </c>
      <c r="G47" s="112">
        <v>37.29</v>
      </c>
      <c r="H47" s="112">
        <v>16.940000000000001</v>
      </c>
      <c r="I47" s="112">
        <v>10.88</v>
      </c>
      <c r="J47" s="112">
        <v>0.31</v>
      </c>
      <c r="K47" s="112">
        <v>19.329999999999998</v>
      </c>
      <c r="L47" s="112">
        <v>32.79</v>
      </c>
      <c r="M47" s="112">
        <v>68.05</v>
      </c>
      <c r="N47" s="112">
        <v>518</v>
      </c>
      <c r="O47" s="112">
        <v>0</v>
      </c>
      <c r="P47" s="112">
        <v>0.71</v>
      </c>
      <c r="Q47" s="112">
        <v>4.66</v>
      </c>
    </row>
    <row r="48" spans="1:17" customFormat="1">
      <c r="A48" s="189" t="s">
        <v>278</v>
      </c>
      <c r="B48" s="112">
        <v>10.01</v>
      </c>
      <c r="C48" s="112">
        <v>18.21</v>
      </c>
      <c r="D48" s="112">
        <v>18.89</v>
      </c>
      <c r="E48" s="112">
        <v>7.92</v>
      </c>
      <c r="F48" s="112">
        <v>11.09</v>
      </c>
      <c r="G48" s="112">
        <v>40.799999999999997</v>
      </c>
      <c r="H48" s="112">
        <v>14.18</v>
      </c>
      <c r="I48" s="112">
        <v>10.98</v>
      </c>
      <c r="J48" s="112">
        <v>0.22</v>
      </c>
      <c r="K48" s="112">
        <v>344.22</v>
      </c>
      <c r="L48" s="112">
        <v>33.049999999999997</v>
      </c>
      <c r="M48" s="112">
        <v>64.540000000000006</v>
      </c>
      <c r="N48" s="112">
        <v>455.1</v>
      </c>
      <c r="O48" s="112">
        <v>0</v>
      </c>
      <c r="P48" s="112">
        <v>0.71</v>
      </c>
      <c r="Q48" s="112">
        <v>4.63</v>
      </c>
    </row>
    <row r="49" spans="1:17" customFormat="1">
      <c r="A49" s="189" t="s">
        <v>279</v>
      </c>
      <c r="B49" s="112">
        <v>9.6199999999999992</v>
      </c>
      <c r="C49" s="112">
        <v>18.420000000000002</v>
      </c>
      <c r="D49" s="112">
        <v>18.690000000000001</v>
      </c>
      <c r="E49" s="112">
        <v>8.19</v>
      </c>
      <c r="F49" s="112">
        <v>10.86</v>
      </c>
      <c r="G49" s="112">
        <v>41</v>
      </c>
      <c r="H49" s="112">
        <v>14.18</v>
      </c>
      <c r="I49" s="112">
        <v>11.33</v>
      </c>
      <c r="J49" s="112">
        <v>0.31</v>
      </c>
      <c r="K49" s="112">
        <v>4.2699999999999996</v>
      </c>
      <c r="L49" s="112">
        <v>33.590000000000003</v>
      </c>
      <c r="M49" s="112">
        <v>61.94</v>
      </c>
      <c r="N49" s="112">
        <v>518.79999999999995</v>
      </c>
      <c r="O49" s="112">
        <v>0</v>
      </c>
      <c r="P49" s="112">
        <v>0.69</v>
      </c>
      <c r="Q49" s="112">
        <v>4.6100000000000003</v>
      </c>
    </row>
    <row r="50" spans="1:17" customFormat="1">
      <c r="A50" s="189" t="s">
        <v>280</v>
      </c>
      <c r="B50" s="112">
        <v>9.0500000000000007</v>
      </c>
      <c r="C50" s="112">
        <v>18.91</v>
      </c>
      <c r="D50" s="112">
        <v>18.489999999999998</v>
      </c>
      <c r="E50" s="112">
        <v>9.84</v>
      </c>
      <c r="F50" s="112">
        <v>9.84</v>
      </c>
      <c r="G50" s="112">
        <v>41</v>
      </c>
      <c r="H50" s="112">
        <v>14.18</v>
      </c>
      <c r="I50" s="112">
        <v>10.06</v>
      </c>
      <c r="J50" s="112">
        <v>0.1</v>
      </c>
      <c r="K50" s="112">
        <v>307.36</v>
      </c>
      <c r="L50" s="112">
        <v>33.74</v>
      </c>
      <c r="M50" s="112">
        <v>61.9</v>
      </c>
      <c r="N50" s="112">
        <v>520.20000000000005</v>
      </c>
      <c r="O50" s="112">
        <v>0</v>
      </c>
      <c r="P50" s="112">
        <v>0.7</v>
      </c>
      <c r="Q50" s="112">
        <v>4.5599999999999996</v>
      </c>
    </row>
    <row r="51" spans="1:17" customFormat="1">
      <c r="A51" s="189" t="s">
        <v>281</v>
      </c>
      <c r="B51" s="112">
        <v>8.41</v>
      </c>
      <c r="C51" s="112">
        <v>18.23</v>
      </c>
      <c r="D51" s="112">
        <v>17.62</v>
      </c>
      <c r="E51" s="112">
        <v>10.88</v>
      </c>
      <c r="F51" s="112">
        <v>13.1</v>
      </c>
      <c r="G51" s="112">
        <v>41</v>
      </c>
      <c r="H51" s="112">
        <v>14.18</v>
      </c>
      <c r="I51" s="112">
        <v>10.210000000000001</v>
      </c>
      <c r="J51" s="112">
        <v>0.12</v>
      </c>
      <c r="K51" s="112">
        <v>144.16999999999999</v>
      </c>
      <c r="L51" s="112">
        <v>34.369999999999997</v>
      </c>
      <c r="M51" s="112">
        <v>58.72</v>
      </c>
      <c r="N51" s="112">
        <v>689.6</v>
      </c>
      <c r="O51" s="112">
        <v>0</v>
      </c>
      <c r="P51" s="112">
        <v>0.68</v>
      </c>
      <c r="Q51" s="112">
        <v>4.54</v>
      </c>
    </row>
    <row r="52" spans="1:17" customFormat="1">
      <c r="A52" s="189" t="s">
        <v>282</v>
      </c>
      <c r="B52" s="112">
        <v>7.76</v>
      </c>
      <c r="C52" s="112">
        <v>17.309999999999999</v>
      </c>
      <c r="D52" s="112">
        <v>16.62</v>
      </c>
      <c r="E52" s="112">
        <v>12.47</v>
      </c>
      <c r="F52" s="112">
        <v>12.02</v>
      </c>
      <c r="G52" s="112">
        <v>45.49</v>
      </c>
      <c r="H52" s="112">
        <v>14.51</v>
      </c>
      <c r="I52" s="112">
        <v>11.03</v>
      </c>
      <c r="J52" s="112">
        <v>0.12</v>
      </c>
      <c r="K52" s="112">
        <v>7.77</v>
      </c>
      <c r="L52" s="112">
        <v>34.65</v>
      </c>
      <c r="M52" s="112">
        <v>58.56</v>
      </c>
      <c r="N52" s="112">
        <v>713.2</v>
      </c>
      <c r="O52" s="112">
        <v>0</v>
      </c>
      <c r="P52" s="112">
        <v>0.68</v>
      </c>
      <c r="Q52" s="112">
        <v>4.4800000000000004</v>
      </c>
    </row>
    <row r="53" spans="1:17" customFormat="1">
      <c r="A53" s="189" t="s">
        <v>283</v>
      </c>
      <c r="B53" s="112">
        <v>7.46</v>
      </c>
      <c r="C53" s="112">
        <v>18.989999999999998</v>
      </c>
      <c r="D53" s="112">
        <v>17.25</v>
      </c>
      <c r="E53" s="112">
        <v>11.63</v>
      </c>
      <c r="F53" s="112">
        <v>9.3699999999999992</v>
      </c>
      <c r="G53" s="112">
        <v>45.76</v>
      </c>
      <c r="H53" s="112">
        <v>14.51</v>
      </c>
      <c r="I53" s="112">
        <v>10.199999999999999</v>
      </c>
      <c r="J53" s="112">
        <v>0.51</v>
      </c>
      <c r="K53" s="112">
        <v>31.34</v>
      </c>
      <c r="L53" s="112">
        <v>34.6</v>
      </c>
      <c r="M53" s="112">
        <v>60.28</v>
      </c>
      <c r="N53" s="112">
        <v>677.2</v>
      </c>
      <c r="O53" s="112">
        <v>0</v>
      </c>
      <c r="P53" s="112">
        <v>0.71</v>
      </c>
      <c r="Q53" s="112">
        <v>4.4800000000000004</v>
      </c>
    </row>
    <row r="54" spans="1:17" customFormat="1">
      <c r="A54" s="189" t="s">
        <v>284</v>
      </c>
      <c r="B54" s="112">
        <v>7.03</v>
      </c>
      <c r="C54" s="112">
        <v>18.8</v>
      </c>
      <c r="D54" s="112">
        <v>16.82</v>
      </c>
      <c r="E54" s="112">
        <v>12.43</v>
      </c>
      <c r="F54" s="112">
        <v>12.9</v>
      </c>
      <c r="G54" s="112">
        <v>45.76</v>
      </c>
      <c r="H54" s="112">
        <v>14.51</v>
      </c>
      <c r="I54" s="112">
        <v>9.15</v>
      </c>
      <c r="J54" s="112">
        <v>0.47</v>
      </c>
      <c r="K54" s="112">
        <v>19.059999999999999</v>
      </c>
      <c r="L54" s="112">
        <v>34.369999999999997</v>
      </c>
      <c r="M54" s="112">
        <v>58.4</v>
      </c>
      <c r="N54" s="112">
        <v>781.7</v>
      </c>
      <c r="O54" s="112">
        <v>0</v>
      </c>
      <c r="P54" s="112">
        <v>0.69</v>
      </c>
      <c r="Q54" s="112">
        <v>4.46</v>
      </c>
    </row>
    <row r="55" spans="1:17" customFormat="1">
      <c r="A55" s="189" t="s">
        <v>285</v>
      </c>
      <c r="B55" s="112">
        <v>6.89</v>
      </c>
      <c r="C55" s="112">
        <v>18.45</v>
      </c>
      <c r="D55" s="112">
        <v>16.52</v>
      </c>
      <c r="E55" s="112">
        <v>11.45</v>
      </c>
      <c r="F55" s="112">
        <v>12.12</v>
      </c>
      <c r="G55" s="112">
        <v>45.76</v>
      </c>
      <c r="H55" s="112">
        <v>14.51</v>
      </c>
      <c r="I55" s="112">
        <v>9.34</v>
      </c>
      <c r="J55" s="112">
        <v>0.28000000000000003</v>
      </c>
      <c r="K55" s="112">
        <v>25.28</v>
      </c>
      <c r="L55" s="112">
        <v>34.729999999999997</v>
      </c>
      <c r="M55" s="112">
        <v>56.04</v>
      </c>
      <c r="N55" s="112">
        <v>815.4</v>
      </c>
      <c r="O55" s="112">
        <v>0</v>
      </c>
      <c r="P55" s="112">
        <v>0.68</v>
      </c>
      <c r="Q55" s="112">
        <v>4.4400000000000004</v>
      </c>
    </row>
    <row r="56" spans="1:17" customFormat="1">
      <c r="A56" s="189" t="s">
        <v>286</v>
      </c>
      <c r="B56" s="112">
        <v>6.9</v>
      </c>
      <c r="C56" s="112">
        <v>19.02</v>
      </c>
      <c r="D56" s="112">
        <v>16.829999999999998</v>
      </c>
      <c r="E56" s="112">
        <v>13.75</v>
      </c>
      <c r="F56" s="112">
        <v>11.82</v>
      </c>
      <c r="G56" s="112">
        <v>53.72</v>
      </c>
      <c r="H56" s="112">
        <v>17.78</v>
      </c>
      <c r="I56" s="112">
        <v>9.15</v>
      </c>
      <c r="J56" s="112">
        <v>0.23</v>
      </c>
      <c r="K56" s="112">
        <v>22.82</v>
      </c>
      <c r="L56" s="112">
        <v>34.93</v>
      </c>
      <c r="M56" s="112">
        <v>55.69</v>
      </c>
      <c r="N56" s="112">
        <v>836.2</v>
      </c>
      <c r="O56" s="112">
        <v>0</v>
      </c>
      <c r="P56" s="112">
        <v>0.68</v>
      </c>
      <c r="Q56" s="112">
        <v>4.42</v>
      </c>
    </row>
    <row r="57" spans="1:17" customFormat="1">
      <c r="A57" s="189" t="s">
        <v>287</v>
      </c>
      <c r="B57" s="112">
        <v>6.81</v>
      </c>
      <c r="C57" s="112">
        <v>18.829999999999998</v>
      </c>
      <c r="D57" s="112">
        <v>16.649999999999999</v>
      </c>
      <c r="E57" s="112">
        <v>14.22</v>
      </c>
      <c r="F57" s="112">
        <v>10.84</v>
      </c>
      <c r="G57" s="112">
        <v>54.19</v>
      </c>
      <c r="H57" s="112">
        <v>17.78</v>
      </c>
      <c r="I57" s="112">
        <v>9.4499999999999993</v>
      </c>
      <c r="J57" s="112">
        <v>0.33</v>
      </c>
      <c r="K57" s="112">
        <v>235.49</v>
      </c>
      <c r="L57" s="112">
        <v>35.39</v>
      </c>
      <c r="M57" s="112">
        <v>54.84</v>
      </c>
      <c r="N57" s="112">
        <v>866</v>
      </c>
      <c r="O57" s="112">
        <v>0</v>
      </c>
      <c r="P57" s="112">
        <v>0.67</v>
      </c>
      <c r="Q57" s="112">
        <v>4.37</v>
      </c>
    </row>
    <row r="58" spans="1:17" customFormat="1">
      <c r="A58" s="189" t="s">
        <v>288</v>
      </c>
      <c r="B58" s="112">
        <v>6.49</v>
      </c>
      <c r="C58" s="112">
        <v>18.73</v>
      </c>
      <c r="D58" s="112">
        <v>16.34</v>
      </c>
      <c r="E58" s="112">
        <v>12.8</v>
      </c>
      <c r="F58" s="112">
        <v>9.3699999999999992</v>
      </c>
      <c r="G58" s="112">
        <v>54.19</v>
      </c>
      <c r="H58" s="112">
        <v>17.78</v>
      </c>
      <c r="I58" s="112">
        <v>8.4700000000000006</v>
      </c>
      <c r="J58" s="112">
        <v>0.53</v>
      </c>
      <c r="K58" s="112">
        <v>298.68</v>
      </c>
      <c r="L58" s="112">
        <v>34.9</v>
      </c>
      <c r="M58" s="112">
        <v>57.83</v>
      </c>
      <c r="N58" s="112">
        <v>466.4</v>
      </c>
      <c r="O58" s="112">
        <v>0</v>
      </c>
      <c r="P58" s="112">
        <v>0.67</v>
      </c>
      <c r="Q58" s="112">
        <v>4.38</v>
      </c>
    </row>
    <row r="59" spans="1:17" customFormat="1">
      <c r="A59" s="189" t="s">
        <v>289</v>
      </c>
      <c r="B59" s="112">
        <v>6.46</v>
      </c>
      <c r="C59" s="112">
        <v>18.57</v>
      </c>
      <c r="D59" s="112">
        <v>16.239999999999998</v>
      </c>
      <c r="E59" s="112">
        <v>9.77</v>
      </c>
      <c r="F59" s="112">
        <v>8.57</v>
      </c>
      <c r="G59" s="112">
        <v>54.19</v>
      </c>
      <c r="H59" s="112">
        <v>17.78</v>
      </c>
      <c r="I59" s="112">
        <v>8.74</v>
      </c>
      <c r="J59" s="112">
        <v>0.73</v>
      </c>
      <c r="K59" s="112">
        <v>268.94</v>
      </c>
      <c r="L59" s="112">
        <v>32.33</v>
      </c>
      <c r="M59" s="112">
        <v>67.64</v>
      </c>
      <c r="N59" s="112">
        <v>246.1</v>
      </c>
      <c r="O59" s="112">
        <v>0</v>
      </c>
      <c r="P59" s="112">
        <v>0.66</v>
      </c>
      <c r="Q59" s="112">
        <v>4.3499999999999996</v>
      </c>
    </row>
    <row r="60" spans="1:17" customFormat="1">
      <c r="A60" s="189" t="s">
        <v>290</v>
      </c>
      <c r="B60" s="112">
        <v>6.17</v>
      </c>
      <c r="C60" s="112">
        <v>17.86</v>
      </c>
      <c r="D60" s="112">
        <v>15.64</v>
      </c>
      <c r="E60" s="112">
        <v>10.23</v>
      </c>
      <c r="F60" s="112">
        <v>11.55</v>
      </c>
      <c r="G60" s="112">
        <v>55.76</v>
      </c>
      <c r="H60" s="112">
        <v>18.100000000000001</v>
      </c>
      <c r="I60" s="112">
        <v>9.4499999999999993</v>
      </c>
      <c r="J60" s="112">
        <v>0.65</v>
      </c>
      <c r="K60" s="112">
        <v>274.42</v>
      </c>
      <c r="L60" s="112">
        <v>31.82</v>
      </c>
      <c r="M60" s="112">
        <v>69.540000000000006</v>
      </c>
      <c r="N60" s="112">
        <v>135.69999999999999</v>
      </c>
      <c r="O60" s="112">
        <v>0</v>
      </c>
      <c r="P60" s="112">
        <v>0.65</v>
      </c>
      <c r="Q60" s="112">
        <v>4.32</v>
      </c>
    </row>
    <row r="61" spans="1:17" customFormat="1">
      <c r="A61" s="189" t="s">
        <v>291</v>
      </c>
      <c r="B61" s="112">
        <v>6.13</v>
      </c>
      <c r="C61" s="112">
        <v>17.82</v>
      </c>
      <c r="D61" s="112">
        <v>15.58</v>
      </c>
      <c r="E61" s="112">
        <v>10.14</v>
      </c>
      <c r="F61" s="112">
        <v>11.76</v>
      </c>
      <c r="G61" s="112">
        <v>55.85</v>
      </c>
      <c r="H61" s="112">
        <v>18.100000000000001</v>
      </c>
      <c r="I61" s="112">
        <v>9.3000000000000007</v>
      </c>
      <c r="J61" s="112">
        <v>0.6</v>
      </c>
      <c r="K61" s="112">
        <v>279.63</v>
      </c>
      <c r="L61" s="112">
        <v>32.090000000000003</v>
      </c>
      <c r="M61" s="112">
        <v>68.97</v>
      </c>
      <c r="N61" s="112">
        <v>441</v>
      </c>
      <c r="O61" s="112">
        <v>0</v>
      </c>
      <c r="P61" s="112">
        <v>0.65</v>
      </c>
      <c r="Q61" s="112">
        <v>4.29</v>
      </c>
    </row>
    <row r="62" spans="1:17" customFormat="1">
      <c r="A62" s="189" t="s">
        <v>292</v>
      </c>
      <c r="B62" s="112">
        <v>6.15</v>
      </c>
      <c r="C62" s="112">
        <v>17.75</v>
      </c>
      <c r="D62" s="112">
        <v>15.56</v>
      </c>
      <c r="E62" s="112">
        <v>11.44</v>
      </c>
      <c r="F62" s="112">
        <v>10.42</v>
      </c>
      <c r="G62" s="112">
        <v>55.85</v>
      </c>
      <c r="H62" s="112">
        <v>18.100000000000001</v>
      </c>
      <c r="I62" s="112">
        <v>8.65</v>
      </c>
      <c r="J62" s="112">
        <v>0.63</v>
      </c>
      <c r="K62" s="112">
        <v>282.41000000000003</v>
      </c>
      <c r="L62" s="112">
        <v>32.49</v>
      </c>
      <c r="M62" s="112">
        <v>62.55</v>
      </c>
      <c r="N62" s="112">
        <v>508</v>
      </c>
      <c r="O62" s="112">
        <v>0</v>
      </c>
      <c r="P62" s="112">
        <v>0.64</v>
      </c>
      <c r="Q62" s="112">
        <v>4.29</v>
      </c>
    </row>
    <row r="63" spans="1:17" customFormat="1">
      <c r="A63" s="189" t="s">
        <v>293</v>
      </c>
      <c r="B63" s="112">
        <v>6.37</v>
      </c>
      <c r="C63" s="112">
        <v>17.760000000000002</v>
      </c>
      <c r="D63" s="112">
        <v>15.74</v>
      </c>
      <c r="E63" s="112">
        <v>13.59</v>
      </c>
      <c r="F63" s="112">
        <v>12.14</v>
      </c>
      <c r="G63" s="112">
        <v>55.85</v>
      </c>
      <c r="H63" s="112">
        <v>18.100000000000001</v>
      </c>
      <c r="I63" s="112">
        <v>8.52</v>
      </c>
      <c r="J63" s="112">
        <v>0.41</v>
      </c>
      <c r="K63" s="112">
        <v>283.57</v>
      </c>
      <c r="L63" s="112">
        <v>32.880000000000003</v>
      </c>
      <c r="M63" s="112">
        <v>61.01</v>
      </c>
      <c r="N63" s="112">
        <v>240.9</v>
      </c>
      <c r="O63" s="112">
        <v>0</v>
      </c>
      <c r="P63" s="112">
        <v>0.63</v>
      </c>
      <c r="Q63" s="112">
        <v>4.28</v>
      </c>
    </row>
    <row r="64" spans="1:17" customFormat="1">
      <c r="A64" s="189" t="s">
        <v>294</v>
      </c>
      <c r="B64" s="112">
        <v>5.79</v>
      </c>
      <c r="C64" s="112">
        <v>15.99</v>
      </c>
      <c r="D64" s="112">
        <v>14.35</v>
      </c>
      <c r="E64" s="112">
        <v>14.99</v>
      </c>
      <c r="F64" s="112">
        <v>19.59</v>
      </c>
      <c r="G64" s="112">
        <v>52.92</v>
      </c>
      <c r="H64" s="112">
        <v>16.52</v>
      </c>
      <c r="I64" s="112">
        <v>8.36</v>
      </c>
      <c r="J64" s="112">
        <v>0.36</v>
      </c>
      <c r="K64" s="112">
        <v>165.26</v>
      </c>
      <c r="L64" s="112">
        <v>32.590000000000003</v>
      </c>
      <c r="M64" s="112">
        <v>65.650000000000006</v>
      </c>
      <c r="N64" s="112">
        <v>136</v>
      </c>
      <c r="O64" s="112">
        <v>0</v>
      </c>
      <c r="P64" s="112">
        <v>0.6</v>
      </c>
      <c r="Q64" s="112">
        <v>4.28</v>
      </c>
    </row>
    <row r="65" spans="1:17" customFormat="1">
      <c r="A65" s="189" t="s">
        <v>295</v>
      </c>
      <c r="B65" s="112">
        <v>5.55</v>
      </c>
      <c r="C65" s="112">
        <v>14.43</v>
      </c>
      <c r="D65" s="112">
        <v>13.34</v>
      </c>
      <c r="E65" s="112">
        <v>13.53</v>
      </c>
      <c r="F65" s="112">
        <v>20.96</v>
      </c>
      <c r="G65" s="112">
        <v>52.75</v>
      </c>
      <c r="H65" s="112">
        <v>16.52</v>
      </c>
      <c r="I65" s="112">
        <v>7.75</v>
      </c>
      <c r="J65" s="112">
        <v>0.39</v>
      </c>
      <c r="K65" s="112">
        <v>161.57</v>
      </c>
      <c r="L65" s="112">
        <v>32.19</v>
      </c>
      <c r="M65" s="112">
        <v>70.03</v>
      </c>
      <c r="N65" s="112">
        <v>133.6</v>
      </c>
      <c r="O65" s="112">
        <v>0</v>
      </c>
      <c r="P65" s="112">
        <v>0.56999999999999995</v>
      </c>
      <c r="Q65" s="112">
        <v>4.2300000000000004</v>
      </c>
    </row>
    <row r="66" spans="1:17" customFormat="1">
      <c r="A66" s="189" t="s">
        <v>296</v>
      </c>
      <c r="B66" s="112">
        <v>5.48</v>
      </c>
      <c r="C66" s="112">
        <v>13.34</v>
      </c>
      <c r="D66" s="112">
        <v>12.72</v>
      </c>
      <c r="E66" s="112">
        <v>12.53</v>
      </c>
      <c r="F66" s="112">
        <v>21.81</v>
      </c>
      <c r="G66" s="112">
        <v>52.75</v>
      </c>
      <c r="H66" s="112">
        <v>16.52</v>
      </c>
      <c r="I66" s="112">
        <v>7.03</v>
      </c>
      <c r="J66" s="112">
        <v>0.22</v>
      </c>
      <c r="K66" s="112">
        <v>157.66999999999999</v>
      </c>
      <c r="L66" s="112">
        <v>31.89</v>
      </c>
      <c r="M66" s="112">
        <v>73.5</v>
      </c>
      <c r="N66" s="112">
        <v>161.69999999999999</v>
      </c>
      <c r="O66" s="112">
        <v>0</v>
      </c>
      <c r="P66" s="112">
        <v>0.57999999999999996</v>
      </c>
      <c r="Q66" s="112">
        <v>4.2</v>
      </c>
    </row>
    <row r="67" spans="1:17" customFormat="1">
      <c r="A67" s="189" t="s">
        <v>297</v>
      </c>
      <c r="B67" s="112">
        <v>5.28</v>
      </c>
      <c r="C67" s="112">
        <v>12.82</v>
      </c>
      <c r="D67" s="112">
        <v>12.28</v>
      </c>
      <c r="E67" s="112">
        <v>13.18</v>
      </c>
      <c r="F67" s="112">
        <v>23.51</v>
      </c>
      <c r="G67" s="112">
        <v>52.75</v>
      </c>
      <c r="H67" s="112">
        <v>16.52</v>
      </c>
      <c r="I67" s="112">
        <v>6.85</v>
      </c>
      <c r="J67" s="112">
        <v>0.3</v>
      </c>
      <c r="K67" s="112">
        <v>154.43</v>
      </c>
      <c r="L67" s="112">
        <v>32.08</v>
      </c>
      <c r="M67" s="112">
        <v>74.06</v>
      </c>
      <c r="N67" s="112">
        <v>224</v>
      </c>
      <c r="O67" s="112">
        <v>0</v>
      </c>
      <c r="P67" s="112">
        <v>0.56999999999999995</v>
      </c>
      <c r="Q67" s="112">
        <v>4.17</v>
      </c>
    </row>
    <row r="68" spans="1:17" customFormat="1">
      <c r="A68" s="189" t="s">
        <v>298</v>
      </c>
      <c r="B68" s="112">
        <v>5.1100000000000003</v>
      </c>
      <c r="C68" s="112">
        <v>12.42</v>
      </c>
      <c r="D68" s="112">
        <v>11.94</v>
      </c>
      <c r="E68" s="112">
        <v>13.06</v>
      </c>
      <c r="F68" s="112">
        <v>23.25</v>
      </c>
      <c r="G68" s="112">
        <v>49.38</v>
      </c>
      <c r="H68" s="112">
        <v>18.02</v>
      </c>
      <c r="I68" s="112">
        <v>6.5</v>
      </c>
      <c r="J68" s="112">
        <v>0.34</v>
      </c>
      <c r="K68" s="112">
        <v>163.1</v>
      </c>
      <c r="L68" s="112">
        <v>32.369999999999997</v>
      </c>
      <c r="M68" s="112">
        <v>72.069999999999993</v>
      </c>
      <c r="N68" s="112">
        <v>284</v>
      </c>
      <c r="O68" s="112">
        <v>0</v>
      </c>
      <c r="P68" s="112">
        <v>0.56000000000000005</v>
      </c>
      <c r="Q68" s="112">
        <v>4.1900000000000004</v>
      </c>
    </row>
    <row r="69" spans="1:17" customFormat="1">
      <c r="A69" s="189" t="s">
        <v>299</v>
      </c>
      <c r="B69" s="112">
        <v>5.36</v>
      </c>
      <c r="C69" s="112">
        <v>13.5</v>
      </c>
      <c r="D69" s="112">
        <v>12.7</v>
      </c>
      <c r="E69" s="112">
        <v>12.37</v>
      </c>
      <c r="F69" s="112">
        <v>17.32</v>
      </c>
      <c r="G69" s="112">
        <v>49.23</v>
      </c>
      <c r="H69" s="112">
        <v>18.02</v>
      </c>
      <c r="I69" s="112">
        <v>6.28</v>
      </c>
      <c r="J69" s="112">
        <v>0.28999999999999998</v>
      </c>
      <c r="K69" s="112">
        <v>199.84</v>
      </c>
      <c r="L69" s="112">
        <v>32.909999999999997</v>
      </c>
      <c r="M69" s="112">
        <v>70.790000000000006</v>
      </c>
      <c r="N69" s="112">
        <v>314.5</v>
      </c>
      <c r="O69" s="112">
        <v>0</v>
      </c>
      <c r="P69" s="112">
        <v>0.57999999999999996</v>
      </c>
      <c r="Q69" s="112">
        <v>4.18</v>
      </c>
    </row>
    <row r="70" spans="1:17" customFormat="1">
      <c r="A70" s="189" t="s">
        <v>300</v>
      </c>
      <c r="B70" s="112">
        <v>5.6</v>
      </c>
      <c r="C70" s="112">
        <v>14.04</v>
      </c>
      <c r="D70" s="112">
        <v>13.18</v>
      </c>
      <c r="E70" s="112">
        <v>12.16</v>
      </c>
      <c r="F70" s="112">
        <v>17.68</v>
      </c>
      <c r="G70" s="112">
        <v>49.23</v>
      </c>
      <c r="H70" s="112">
        <v>18.02</v>
      </c>
      <c r="I70" s="112">
        <v>6.22</v>
      </c>
      <c r="J70" s="112">
        <v>0.28000000000000003</v>
      </c>
      <c r="K70" s="112">
        <v>230.64</v>
      </c>
      <c r="L70" s="112">
        <v>33.08</v>
      </c>
      <c r="M70" s="112">
        <v>69.94</v>
      </c>
      <c r="N70" s="112">
        <v>286</v>
      </c>
      <c r="O70" s="112">
        <v>0</v>
      </c>
      <c r="P70" s="112">
        <v>0.61</v>
      </c>
      <c r="Q70" s="112">
        <v>4.1900000000000004</v>
      </c>
    </row>
    <row r="71" spans="1:17" customFormat="1">
      <c r="A71" s="189" t="s">
        <v>301</v>
      </c>
      <c r="B71" s="112">
        <v>5.64</v>
      </c>
      <c r="C71" s="112">
        <v>14.32</v>
      </c>
      <c r="D71" s="112">
        <v>13.36</v>
      </c>
      <c r="E71" s="112">
        <v>10.94</v>
      </c>
      <c r="F71" s="112">
        <v>14.47</v>
      </c>
      <c r="G71" s="112">
        <v>49.23</v>
      </c>
      <c r="H71" s="112">
        <v>18.02</v>
      </c>
      <c r="I71" s="112">
        <v>6.58</v>
      </c>
      <c r="J71" s="112">
        <v>0.17</v>
      </c>
      <c r="K71" s="112">
        <v>197.62</v>
      </c>
      <c r="L71" s="112">
        <v>33.14</v>
      </c>
      <c r="M71" s="112">
        <v>69.47</v>
      </c>
      <c r="N71" s="112">
        <v>200.2</v>
      </c>
      <c r="O71" s="112">
        <v>0</v>
      </c>
      <c r="P71" s="112">
        <v>0.6</v>
      </c>
      <c r="Q71" s="112">
        <v>4.2</v>
      </c>
    </row>
    <row r="72" spans="1:17" customFormat="1">
      <c r="A72" s="189" t="s">
        <v>302</v>
      </c>
      <c r="B72" s="112">
        <v>5.65</v>
      </c>
      <c r="C72" s="112">
        <v>14.27</v>
      </c>
      <c r="D72" s="112">
        <v>13.34</v>
      </c>
      <c r="E72" s="112">
        <v>11.31</v>
      </c>
      <c r="F72" s="112">
        <v>18.420000000000002</v>
      </c>
      <c r="G72" s="112">
        <v>51.69</v>
      </c>
      <c r="H72" s="112">
        <v>17.649999999999999</v>
      </c>
      <c r="I72" s="112">
        <v>6.72</v>
      </c>
      <c r="J72" s="112">
        <v>0.23</v>
      </c>
      <c r="K72" s="112">
        <v>172.43</v>
      </c>
      <c r="L72" s="112">
        <v>32.58</v>
      </c>
      <c r="M72" s="112">
        <v>70.510000000000005</v>
      </c>
      <c r="N72" s="112">
        <v>134.80000000000001</v>
      </c>
      <c r="O72" s="112">
        <v>0</v>
      </c>
      <c r="P72" s="112">
        <v>0.59</v>
      </c>
      <c r="Q72" s="112">
        <v>4.22</v>
      </c>
    </row>
    <row r="73" spans="1:17" customFormat="1">
      <c r="A73" s="189" t="s">
        <v>303</v>
      </c>
      <c r="B73" s="112">
        <v>5.54</v>
      </c>
      <c r="C73" s="112">
        <v>12.78</v>
      </c>
      <c r="D73" s="112">
        <v>12.47</v>
      </c>
      <c r="E73" s="112">
        <v>11.16</v>
      </c>
      <c r="F73" s="112">
        <v>19.600000000000001</v>
      </c>
      <c r="G73" s="112">
        <v>51.8</v>
      </c>
      <c r="H73" s="112">
        <v>17.649999999999999</v>
      </c>
      <c r="I73" s="112">
        <v>6.74</v>
      </c>
      <c r="J73" s="112">
        <v>0.18</v>
      </c>
      <c r="K73" s="112">
        <v>172.6</v>
      </c>
      <c r="L73" s="112">
        <v>32.24</v>
      </c>
      <c r="M73" s="112">
        <v>72.81</v>
      </c>
      <c r="N73" s="112">
        <v>104.6</v>
      </c>
      <c r="O73" s="112">
        <v>0</v>
      </c>
      <c r="P73" s="112">
        <v>0.56999999999999995</v>
      </c>
      <c r="Q73" s="112">
        <v>4.21</v>
      </c>
    </row>
    <row r="74" spans="1:17" customFormat="1">
      <c r="A74" s="189" t="s">
        <v>304</v>
      </c>
      <c r="B74" s="112">
        <v>5.41</v>
      </c>
      <c r="C74" s="112">
        <v>12.31</v>
      </c>
      <c r="D74" s="112">
        <v>12.12</v>
      </c>
      <c r="E74" s="112">
        <v>11.1</v>
      </c>
      <c r="F74" s="112">
        <v>19.46</v>
      </c>
      <c r="G74" s="112">
        <v>51.8</v>
      </c>
      <c r="H74" s="112">
        <v>17.649999999999999</v>
      </c>
      <c r="I74" s="112">
        <v>6.42</v>
      </c>
      <c r="J74" s="112">
        <v>0.14000000000000001</v>
      </c>
      <c r="K74" s="112">
        <v>186.17</v>
      </c>
      <c r="L74" s="112">
        <v>32.15</v>
      </c>
      <c r="M74" s="112">
        <v>71.72</v>
      </c>
      <c r="N74" s="112">
        <v>91.9</v>
      </c>
      <c r="O74" s="112">
        <v>0</v>
      </c>
      <c r="P74" s="112">
        <v>0.54</v>
      </c>
      <c r="Q74" s="112">
        <v>4.2</v>
      </c>
    </row>
    <row r="75" spans="1:17" customFormat="1">
      <c r="A75" s="189" t="s">
        <v>305</v>
      </c>
      <c r="B75" s="112">
        <v>5.36</v>
      </c>
      <c r="C75" s="112">
        <v>11.92</v>
      </c>
      <c r="D75" s="112">
        <v>11.87</v>
      </c>
      <c r="E75" s="112">
        <v>11.03</v>
      </c>
      <c r="F75" s="112">
        <v>21.33</v>
      </c>
      <c r="G75" s="112">
        <v>51.8</v>
      </c>
      <c r="H75" s="112">
        <v>17.649999999999999</v>
      </c>
      <c r="I75" s="112">
        <v>5.91</v>
      </c>
      <c r="J75" s="112">
        <v>0.12</v>
      </c>
      <c r="K75" s="112">
        <v>224.42</v>
      </c>
      <c r="L75" s="112">
        <v>32.07</v>
      </c>
      <c r="M75" s="112">
        <v>72.040000000000006</v>
      </c>
      <c r="N75" s="112">
        <v>78.5</v>
      </c>
      <c r="O75" s="112">
        <v>0</v>
      </c>
      <c r="P75" s="112">
        <v>0.55000000000000004</v>
      </c>
      <c r="Q75" s="112">
        <v>4.16</v>
      </c>
    </row>
    <row r="76" spans="1:17" customFormat="1">
      <c r="A76" s="189" t="s">
        <v>306</v>
      </c>
      <c r="B76" s="112">
        <v>5.35</v>
      </c>
      <c r="C76" s="112">
        <v>11.44</v>
      </c>
      <c r="D76" s="112">
        <v>11.61</v>
      </c>
      <c r="E76" s="112">
        <v>11.15</v>
      </c>
      <c r="F76" s="112">
        <v>23.11</v>
      </c>
      <c r="G76" s="112">
        <v>50.83</v>
      </c>
      <c r="H76" s="112">
        <v>16.68</v>
      </c>
      <c r="I76" s="112">
        <v>5.7</v>
      </c>
      <c r="J76" s="112">
        <v>0.13</v>
      </c>
      <c r="K76" s="112">
        <v>184.45</v>
      </c>
      <c r="L76" s="112">
        <v>31.95</v>
      </c>
      <c r="M76" s="112">
        <v>72.239999999999995</v>
      </c>
      <c r="N76" s="112">
        <v>63.1</v>
      </c>
      <c r="O76" s="112">
        <v>0</v>
      </c>
      <c r="P76" s="112">
        <v>0.53</v>
      </c>
      <c r="Q76" s="112">
        <v>4.18</v>
      </c>
    </row>
    <row r="77" spans="1:17" customFormat="1">
      <c r="A77" s="189" t="s">
        <v>307</v>
      </c>
      <c r="B77" s="112">
        <v>5.35</v>
      </c>
      <c r="C77" s="112">
        <v>11.2</v>
      </c>
      <c r="D77" s="112">
        <v>11.5</v>
      </c>
      <c r="E77" s="112">
        <v>11.25</v>
      </c>
      <c r="F77" s="112">
        <v>23.12</v>
      </c>
      <c r="G77" s="112">
        <v>50.77</v>
      </c>
      <c r="H77" s="112">
        <v>16.68</v>
      </c>
      <c r="I77" s="112">
        <v>5.5</v>
      </c>
      <c r="J77" s="112">
        <v>0.19</v>
      </c>
      <c r="K77" s="112">
        <v>162.88</v>
      </c>
      <c r="L77" s="112">
        <v>31.77</v>
      </c>
      <c r="M77" s="112">
        <v>72.52</v>
      </c>
      <c r="N77" s="112">
        <v>41.6</v>
      </c>
      <c r="O77" s="112">
        <v>0</v>
      </c>
      <c r="P77" s="112">
        <v>0.53</v>
      </c>
      <c r="Q77" s="112">
        <v>4.16</v>
      </c>
    </row>
    <row r="78" spans="1:17" customFormat="1">
      <c r="A78" s="189" t="s">
        <v>308</v>
      </c>
      <c r="B78" s="112">
        <v>5.32</v>
      </c>
      <c r="C78" s="112">
        <v>11.32</v>
      </c>
      <c r="D78" s="112">
        <v>11.53</v>
      </c>
      <c r="E78" s="112">
        <v>10.93</v>
      </c>
      <c r="F78" s="112">
        <v>24.01</v>
      </c>
      <c r="G78" s="112">
        <v>50.77</v>
      </c>
      <c r="H78" s="112">
        <v>16.68</v>
      </c>
      <c r="I78" s="112">
        <v>5.34</v>
      </c>
      <c r="J78" s="112">
        <v>0.24</v>
      </c>
      <c r="K78" s="112">
        <v>155.65</v>
      </c>
      <c r="L78" s="112">
        <v>31.47</v>
      </c>
      <c r="M78" s="112">
        <v>72.94</v>
      </c>
      <c r="N78" s="112">
        <v>23.8</v>
      </c>
      <c r="O78" s="112">
        <v>0</v>
      </c>
      <c r="P78" s="112">
        <v>0.52</v>
      </c>
      <c r="Q78" s="112">
        <v>4.13</v>
      </c>
    </row>
    <row r="79" spans="1:17" customFormat="1">
      <c r="A79" s="189" t="s">
        <v>309</v>
      </c>
      <c r="B79" s="112">
        <v>5.24</v>
      </c>
      <c r="C79" s="112">
        <v>11.48</v>
      </c>
      <c r="D79" s="112">
        <v>11.55</v>
      </c>
      <c r="E79" s="112">
        <v>10.61</v>
      </c>
      <c r="F79" s="112">
        <v>23.72</v>
      </c>
      <c r="G79" s="112">
        <v>50.77</v>
      </c>
      <c r="H79" s="112">
        <v>16.68</v>
      </c>
      <c r="I79" s="112">
        <v>5.33</v>
      </c>
      <c r="J79" s="112">
        <v>0.19</v>
      </c>
      <c r="K79" s="112">
        <v>182.6</v>
      </c>
      <c r="L79" s="112">
        <v>31.14</v>
      </c>
      <c r="M79" s="112">
        <v>73.599999999999994</v>
      </c>
      <c r="N79" s="112">
        <v>10.4</v>
      </c>
      <c r="O79" s="112">
        <v>0</v>
      </c>
      <c r="P79" s="112">
        <v>0.53</v>
      </c>
      <c r="Q79" s="112">
        <v>4.1500000000000004</v>
      </c>
    </row>
    <row r="80" spans="1:17" customFormat="1">
      <c r="A80" s="189" t="s">
        <v>310</v>
      </c>
      <c r="B80" s="112">
        <v>6.35</v>
      </c>
      <c r="C80" s="112">
        <v>15.56</v>
      </c>
      <c r="D80" s="112">
        <v>14.57</v>
      </c>
      <c r="E80" s="112">
        <v>10.39</v>
      </c>
      <c r="F80" s="112">
        <v>14.83</v>
      </c>
      <c r="G80" s="112">
        <v>45.6</v>
      </c>
      <c r="H80" s="112">
        <v>16.62</v>
      </c>
      <c r="I80" s="112">
        <v>5.22</v>
      </c>
      <c r="J80" s="112">
        <v>0.08</v>
      </c>
      <c r="K80" s="112">
        <v>138.49</v>
      </c>
      <c r="L80" s="112">
        <v>31.11</v>
      </c>
      <c r="M80" s="112">
        <v>71.930000000000007</v>
      </c>
      <c r="N80" s="112">
        <v>1.6</v>
      </c>
      <c r="O80" s="112">
        <v>0</v>
      </c>
      <c r="P80" s="112">
        <v>0.66</v>
      </c>
      <c r="Q80" s="112">
        <v>4.18</v>
      </c>
    </row>
    <row r="81" spans="1:17" customFormat="1">
      <c r="A81" s="189" t="s">
        <v>311</v>
      </c>
      <c r="B81" s="112">
        <v>6.63</v>
      </c>
      <c r="C81" s="112">
        <v>20.149999999999999</v>
      </c>
      <c r="D81" s="112">
        <v>17.2</v>
      </c>
      <c r="E81" s="112">
        <v>7</v>
      </c>
      <c r="F81" s="112">
        <v>9.3800000000000008</v>
      </c>
      <c r="G81" s="112">
        <v>45.3</v>
      </c>
      <c r="H81" s="112">
        <v>16.62</v>
      </c>
      <c r="I81" s="112">
        <v>5.28</v>
      </c>
      <c r="J81" s="112">
        <v>0.17</v>
      </c>
      <c r="K81" s="112">
        <v>239.67</v>
      </c>
      <c r="L81" s="112">
        <v>30.82</v>
      </c>
      <c r="M81" s="112">
        <v>73.97</v>
      </c>
      <c r="N81" s="112">
        <v>0</v>
      </c>
      <c r="O81" s="112">
        <v>0</v>
      </c>
      <c r="P81" s="112">
        <v>0.73</v>
      </c>
      <c r="Q81" s="112">
        <v>4.21</v>
      </c>
    </row>
    <row r="82" spans="1:17" customFormat="1">
      <c r="A82" s="189" t="s">
        <v>312</v>
      </c>
      <c r="B82" s="112">
        <v>6.47</v>
      </c>
      <c r="C82" s="112">
        <v>20.21</v>
      </c>
      <c r="D82" s="112">
        <v>17.100000000000001</v>
      </c>
      <c r="E82" s="112">
        <v>8.74</v>
      </c>
      <c r="F82" s="112">
        <v>9.34</v>
      </c>
      <c r="G82" s="112">
        <v>45.3</v>
      </c>
      <c r="H82" s="112">
        <v>16.62</v>
      </c>
      <c r="I82" s="112">
        <v>5.6</v>
      </c>
      <c r="J82" s="112">
        <v>0.28999999999999998</v>
      </c>
      <c r="K82" s="112">
        <v>248.59</v>
      </c>
      <c r="L82" s="112">
        <v>30.69</v>
      </c>
      <c r="M82" s="112">
        <v>76.03</v>
      </c>
      <c r="N82" s="112">
        <v>0</v>
      </c>
      <c r="O82" s="112">
        <v>0</v>
      </c>
      <c r="P82" s="112">
        <v>0.79</v>
      </c>
      <c r="Q82" s="112">
        <v>4.2</v>
      </c>
    </row>
    <row r="83" spans="1:17" customFormat="1">
      <c r="A83" s="189" t="s">
        <v>313</v>
      </c>
      <c r="B83" s="112">
        <v>6.05</v>
      </c>
      <c r="C83" s="112">
        <v>17.91</v>
      </c>
      <c r="D83" s="112">
        <v>15.56</v>
      </c>
      <c r="E83" s="112">
        <v>8.93</v>
      </c>
      <c r="F83" s="112">
        <v>12.76</v>
      </c>
      <c r="G83" s="112">
        <v>45.3</v>
      </c>
      <c r="H83" s="112">
        <v>16.62</v>
      </c>
      <c r="I83" s="112">
        <v>6.21</v>
      </c>
      <c r="J83" s="112">
        <v>0.17</v>
      </c>
      <c r="K83" s="112">
        <v>214.7</v>
      </c>
      <c r="L83" s="112">
        <v>30.33</v>
      </c>
      <c r="M83" s="112">
        <v>78.47</v>
      </c>
      <c r="N83" s="112">
        <v>0</v>
      </c>
      <c r="O83" s="112">
        <v>0</v>
      </c>
      <c r="P83" s="112">
        <v>0.74</v>
      </c>
      <c r="Q83" s="112">
        <v>4.2699999999999996</v>
      </c>
    </row>
    <row r="84" spans="1:17" customFormat="1">
      <c r="A84" s="189" t="s">
        <v>314</v>
      </c>
      <c r="B84" s="112">
        <v>6.27</v>
      </c>
      <c r="C84" s="112">
        <v>17.649999999999999</v>
      </c>
      <c r="D84" s="112">
        <v>15.6</v>
      </c>
      <c r="E84" s="112">
        <v>8.32</v>
      </c>
      <c r="F84" s="112">
        <v>11.87</v>
      </c>
      <c r="G84" s="112">
        <v>65.36</v>
      </c>
      <c r="H84" s="112">
        <v>17.79</v>
      </c>
      <c r="I84" s="112">
        <v>6.59</v>
      </c>
      <c r="J84" s="112">
        <v>0.25</v>
      </c>
      <c r="K84" s="112">
        <v>232.23</v>
      </c>
      <c r="L84" s="112">
        <v>30.14</v>
      </c>
      <c r="M84" s="112">
        <v>78.44</v>
      </c>
      <c r="N84" s="112">
        <v>0</v>
      </c>
      <c r="O84" s="112">
        <v>0</v>
      </c>
      <c r="P84" s="112">
        <v>0.76</v>
      </c>
      <c r="Q84" s="112">
        <v>4.3</v>
      </c>
    </row>
    <row r="85" spans="1:17" customFormat="1">
      <c r="A85" s="189" t="s">
        <v>315</v>
      </c>
      <c r="B85" s="112">
        <v>6.08</v>
      </c>
      <c r="C85" s="112">
        <v>17.39</v>
      </c>
      <c r="D85" s="112">
        <v>15.31</v>
      </c>
      <c r="E85" s="112">
        <v>8.33</v>
      </c>
      <c r="F85" s="112">
        <v>10.73</v>
      </c>
      <c r="G85" s="112">
        <v>66.290000000000006</v>
      </c>
      <c r="H85" s="112">
        <v>17.79</v>
      </c>
      <c r="I85" s="112">
        <v>6.37</v>
      </c>
      <c r="J85" s="112">
        <v>0.18</v>
      </c>
      <c r="K85" s="112">
        <v>182.51</v>
      </c>
      <c r="L85" s="112">
        <v>30</v>
      </c>
      <c r="M85" s="112">
        <v>79.150000000000006</v>
      </c>
      <c r="N85" s="112">
        <v>0</v>
      </c>
      <c r="O85" s="112">
        <v>0</v>
      </c>
      <c r="P85" s="112">
        <v>0.72</v>
      </c>
      <c r="Q85" s="112">
        <v>4.29</v>
      </c>
    </row>
    <row r="86" spans="1:17" customFormat="1">
      <c r="A86" s="189" t="s">
        <v>316</v>
      </c>
      <c r="B86" s="112">
        <v>6.07</v>
      </c>
      <c r="C86" s="112">
        <v>16.21</v>
      </c>
      <c r="D86" s="112">
        <v>14.69</v>
      </c>
      <c r="E86" s="112">
        <v>8.2799999999999994</v>
      </c>
      <c r="F86" s="112">
        <v>11.5</v>
      </c>
      <c r="G86" s="112">
        <v>66.290000000000006</v>
      </c>
      <c r="H86" s="112">
        <v>17.79</v>
      </c>
      <c r="I86" s="112">
        <v>6.27</v>
      </c>
      <c r="J86" s="112">
        <v>0.23</v>
      </c>
      <c r="K86" s="112">
        <v>185.79</v>
      </c>
      <c r="L86" s="112">
        <v>29.73</v>
      </c>
      <c r="M86" s="112">
        <v>81.59</v>
      </c>
      <c r="N86" s="112">
        <v>0</v>
      </c>
      <c r="O86" s="112">
        <v>0</v>
      </c>
      <c r="P86" s="112">
        <v>0.7</v>
      </c>
      <c r="Q86" s="112">
        <v>4.34</v>
      </c>
    </row>
    <row r="87" spans="1:17" customFormat="1">
      <c r="A87" s="189" t="s">
        <v>317</v>
      </c>
      <c r="B87" s="112">
        <v>6.06</v>
      </c>
      <c r="C87" s="112">
        <v>15.19</v>
      </c>
      <c r="D87" s="112">
        <v>14.15</v>
      </c>
      <c r="E87" s="112">
        <v>7.55</v>
      </c>
      <c r="F87" s="112">
        <v>12.04</v>
      </c>
      <c r="G87" s="112">
        <v>66.290000000000006</v>
      </c>
      <c r="H87" s="112">
        <v>17.79</v>
      </c>
      <c r="I87" s="112">
        <v>6.31</v>
      </c>
      <c r="J87" s="112">
        <v>0.14000000000000001</v>
      </c>
      <c r="K87" s="112">
        <v>178.38</v>
      </c>
      <c r="L87" s="112">
        <v>29.63</v>
      </c>
      <c r="M87" s="112">
        <v>81.87</v>
      </c>
      <c r="N87" s="112">
        <v>0</v>
      </c>
      <c r="O87" s="112">
        <v>0</v>
      </c>
      <c r="P87" s="112">
        <v>0.71</v>
      </c>
      <c r="Q87" s="112">
        <v>4.33</v>
      </c>
    </row>
    <row r="88" spans="1:17" customFormat="1">
      <c r="A88" s="189" t="s">
        <v>318</v>
      </c>
      <c r="B88" s="112">
        <v>7.55</v>
      </c>
      <c r="C88" s="112">
        <v>17.34</v>
      </c>
      <c r="D88" s="112">
        <v>16.46</v>
      </c>
      <c r="E88" s="112">
        <v>7.96</v>
      </c>
      <c r="F88" s="112">
        <v>9.93</v>
      </c>
      <c r="G88" s="112">
        <v>57.61</v>
      </c>
      <c r="H88" s="112">
        <v>17.239999999999998</v>
      </c>
      <c r="I88" s="112">
        <v>6.39</v>
      </c>
      <c r="J88" s="112">
        <v>0.1</v>
      </c>
      <c r="K88" s="112">
        <v>232.9</v>
      </c>
      <c r="L88" s="112">
        <v>29.55</v>
      </c>
      <c r="M88" s="112">
        <v>82.42</v>
      </c>
      <c r="N88" s="112">
        <v>0</v>
      </c>
      <c r="O88" s="112">
        <v>0</v>
      </c>
      <c r="P88" s="112">
        <v>0.78</v>
      </c>
      <c r="Q88" s="112">
        <v>4.3600000000000003</v>
      </c>
    </row>
    <row r="89" spans="1:17" customFormat="1">
      <c r="A89" s="189" t="s">
        <v>319</v>
      </c>
      <c r="B89" s="112">
        <v>13.75</v>
      </c>
      <c r="C89" s="112">
        <v>23.71</v>
      </c>
      <c r="D89" s="112">
        <v>24.76</v>
      </c>
      <c r="E89" s="112">
        <v>8.33</v>
      </c>
      <c r="F89" s="112">
        <v>5.34</v>
      </c>
      <c r="G89" s="112">
        <v>57.1</v>
      </c>
      <c r="H89" s="112">
        <v>17.239999999999998</v>
      </c>
      <c r="I89" s="112">
        <v>6.53</v>
      </c>
      <c r="J89" s="112">
        <v>7.0000000000000007E-2</v>
      </c>
      <c r="K89" s="112">
        <v>192.92</v>
      </c>
      <c r="L89" s="112">
        <v>29.55</v>
      </c>
      <c r="M89" s="112">
        <v>81.52</v>
      </c>
      <c r="N89" s="112">
        <v>0</v>
      </c>
      <c r="O89" s="112">
        <v>0</v>
      </c>
      <c r="P89" s="112">
        <v>0.92</v>
      </c>
      <c r="Q89" s="112">
        <v>4.3899999999999997</v>
      </c>
    </row>
    <row r="90" spans="1:17" customFormat="1">
      <c r="A90" s="189" t="s">
        <v>320</v>
      </c>
      <c r="B90" s="112">
        <v>10.7</v>
      </c>
      <c r="C90" s="112">
        <v>21.89</v>
      </c>
      <c r="D90" s="112">
        <v>21.37</v>
      </c>
      <c r="E90" s="112">
        <v>8.19</v>
      </c>
      <c r="F90" s="112">
        <v>5.19</v>
      </c>
      <c r="G90" s="112">
        <v>57.1</v>
      </c>
      <c r="H90" s="112">
        <v>17.239999999999998</v>
      </c>
      <c r="I90" s="112">
        <v>6.86</v>
      </c>
      <c r="J90" s="112">
        <v>0.18</v>
      </c>
      <c r="K90" s="112">
        <v>205.19</v>
      </c>
      <c r="L90" s="112">
        <v>29.37</v>
      </c>
      <c r="M90" s="112">
        <v>80.75</v>
      </c>
      <c r="N90" s="112">
        <v>0</v>
      </c>
      <c r="O90" s="112">
        <v>0</v>
      </c>
      <c r="P90" s="112">
        <v>0.85</v>
      </c>
      <c r="Q90" s="112">
        <v>4.4400000000000004</v>
      </c>
    </row>
    <row r="91" spans="1:17" customFormat="1">
      <c r="A91" s="189" t="s">
        <v>321</v>
      </c>
      <c r="B91" s="112">
        <v>8.9700000000000006</v>
      </c>
      <c r="C91" s="112">
        <v>20</v>
      </c>
      <c r="D91" s="112">
        <v>18.989999999999998</v>
      </c>
      <c r="E91" s="112">
        <v>8.16</v>
      </c>
      <c r="F91" s="112">
        <v>6.88</v>
      </c>
      <c r="G91" s="112">
        <v>57.1</v>
      </c>
      <c r="H91" s="112">
        <v>17.239999999999998</v>
      </c>
      <c r="I91" s="112">
        <v>7.37</v>
      </c>
      <c r="J91" s="112">
        <v>0.18</v>
      </c>
      <c r="K91" s="112">
        <v>235.92</v>
      </c>
      <c r="L91" s="112">
        <v>29.36</v>
      </c>
      <c r="M91" s="112">
        <v>77.05</v>
      </c>
      <c r="N91" s="112">
        <v>0</v>
      </c>
      <c r="O91" s="112">
        <v>0</v>
      </c>
      <c r="P91" s="112">
        <v>0.8</v>
      </c>
      <c r="Q91" s="112">
        <v>4.51</v>
      </c>
    </row>
    <row r="92" spans="1:17" customFormat="1">
      <c r="A92" s="189" t="s">
        <v>322</v>
      </c>
      <c r="B92" s="112">
        <v>9.7799999999999994</v>
      </c>
      <c r="C92" s="112">
        <v>21.28</v>
      </c>
      <c r="D92" s="112">
        <v>20.309999999999999</v>
      </c>
      <c r="E92" s="112">
        <v>8.86</v>
      </c>
      <c r="F92" s="112">
        <v>6.39</v>
      </c>
      <c r="G92" s="112">
        <v>67.48</v>
      </c>
      <c r="H92" s="112">
        <v>18.260000000000002</v>
      </c>
      <c r="I92" s="112">
        <v>7.27</v>
      </c>
      <c r="J92" s="112">
        <v>0.04</v>
      </c>
      <c r="K92" s="112">
        <v>287.77999999999997</v>
      </c>
      <c r="L92" s="112">
        <v>29.38</v>
      </c>
      <c r="M92" s="112">
        <v>76.349999999999994</v>
      </c>
      <c r="N92" s="112">
        <v>0</v>
      </c>
      <c r="O92" s="112">
        <v>0</v>
      </c>
      <c r="P92" s="112">
        <v>0.89</v>
      </c>
      <c r="Q92" s="112">
        <v>4.59</v>
      </c>
    </row>
    <row r="93" spans="1:17" customFormat="1">
      <c r="A93" s="189" t="s">
        <v>323</v>
      </c>
      <c r="B93" s="112">
        <v>12.3</v>
      </c>
      <c r="C93" s="112">
        <v>22.46</v>
      </c>
      <c r="D93" s="112">
        <v>22.95</v>
      </c>
      <c r="E93" s="112">
        <v>10.3</v>
      </c>
      <c r="F93" s="112">
        <v>5.63</v>
      </c>
      <c r="G93" s="112">
        <v>67.959999999999994</v>
      </c>
      <c r="H93" s="112">
        <v>18.260000000000002</v>
      </c>
      <c r="I93" s="112">
        <v>7.14</v>
      </c>
      <c r="J93" s="112">
        <v>7.0000000000000007E-2</v>
      </c>
      <c r="K93" s="112">
        <v>229.81</v>
      </c>
      <c r="L93" s="112">
        <v>29.4</v>
      </c>
      <c r="M93" s="112">
        <v>76.63</v>
      </c>
      <c r="N93" s="112">
        <v>0</v>
      </c>
      <c r="O93" s="112">
        <v>0</v>
      </c>
      <c r="P93" s="112">
        <v>0.89</v>
      </c>
      <c r="Q93" s="112">
        <v>4.62</v>
      </c>
    </row>
    <row r="94" spans="1:17" customFormat="1">
      <c r="A94" s="189" t="s">
        <v>324</v>
      </c>
      <c r="B94" s="112">
        <v>11.56</v>
      </c>
      <c r="C94" s="112">
        <v>22.1</v>
      </c>
      <c r="D94" s="112">
        <v>22.17</v>
      </c>
      <c r="E94" s="112">
        <v>12.68</v>
      </c>
      <c r="F94" s="112">
        <v>5.26</v>
      </c>
      <c r="G94" s="112">
        <v>67.959999999999994</v>
      </c>
      <c r="H94" s="112">
        <v>18.260000000000002</v>
      </c>
      <c r="I94" s="112">
        <v>7.19</v>
      </c>
      <c r="J94" s="112">
        <v>0.1</v>
      </c>
      <c r="K94" s="112">
        <v>193.23</v>
      </c>
      <c r="L94" s="112">
        <v>29.2</v>
      </c>
      <c r="M94" s="112">
        <v>79.09</v>
      </c>
      <c r="N94" s="112">
        <v>0</v>
      </c>
      <c r="O94" s="112">
        <v>0</v>
      </c>
      <c r="P94" s="112">
        <v>0.85</v>
      </c>
      <c r="Q94" s="112">
        <v>4.6500000000000004</v>
      </c>
    </row>
    <row r="95" spans="1:17" customFormat="1">
      <c r="A95" s="189" t="s">
        <v>325</v>
      </c>
      <c r="B95" s="112">
        <v>13.54</v>
      </c>
      <c r="C95" s="112">
        <v>22.66</v>
      </c>
      <c r="D95" s="112">
        <v>24.04</v>
      </c>
      <c r="E95" s="112">
        <v>15.88</v>
      </c>
      <c r="F95" s="112">
        <v>5.07</v>
      </c>
      <c r="G95" s="112">
        <v>67.959999999999994</v>
      </c>
      <c r="H95" s="112">
        <v>18.260000000000002</v>
      </c>
      <c r="I95" s="112">
        <v>7.26</v>
      </c>
      <c r="J95" s="112">
        <v>0.11</v>
      </c>
      <c r="K95" s="112">
        <v>127.08</v>
      </c>
      <c r="L95" s="112">
        <v>29.18</v>
      </c>
      <c r="M95" s="112">
        <v>79.430000000000007</v>
      </c>
      <c r="N95" s="112">
        <v>0</v>
      </c>
      <c r="O95" s="112">
        <v>0</v>
      </c>
      <c r="P95" s="112">
        <v>0.85</v>
      </c>
      <c r="Q95" s="112">
        <v>4.67</v>
      </c>
    </row>
    <row r="96" spans="1:17" customFormat="1">
      <c r="A96" s="189" t="s">
        <v>326</v>
      </c>
      <c r="B96" s="112">
        <v>11.25</v>
      </c>
      <c r="C96" s="112">
        <v>21.39</v>
      </c>
      <c r="D96" s="112">
        <v>21.55</v>
      </c>
      <c r="E96" s="112">
        <v>16.91</v>
      </c>
      <c r="F96" s="112">
        <v>4.93</v>
      </c>
      <c r="G96" s="112">
        <v>71.78</v>
      </c>
      <c r="H96" s="112">
        <v>16.96</v>
      </c>
      <c r="I96" s="112">
        <v>7.09</v>
      </c>
      <c r="J96" s="112">
        <v>0.2</v>
      </c>
      <c r="K96" s="112">
        <v>191.61</v>
      </c>
      <c r="L96" s="112">
        <v>28.95</v>
      </c>
      <c r="M96" s="112">
        <v>81.099999999999994</v>
      </c>
      <c r="N96" s="112">
        <v>0</v>
      </c>
      <c r="O96" s="112">
        <v>0</v>
      </c>
      <c r="P96" s="112">
        <v>0.82</v>
      </c>
      <c r="Q96" s="112">
        <v>4.7300000000000004</v>
      </c>
    </row>
    <row r="97" spans="1:22" customFormat="1">
      <c r="A97" s="189" t="s">
        <v>327</v>
      </c>
      <c r="B97" s="112">
        <v>9.77</v>
      </c>
      <c r="C97" s="112">
        <v>19.77</v>
      </c>
      <c r="D97" s="112">
        <v>19.52</v>
      </c>
      <c r="E97" s="112">
        <v>14.74</v>
      </c>
      <c r="F97" s="112">
        <v>4.74</v>
      </c>
      <c r="G97" s="112">
        <v>71.959999999999994</v>
      </c>
      <c r="H97" s="112">
        <v>16.96</v>
      </c>
      <c r="I97" s="112">
        <v>6.87</v>
      </c>
      <c r="J97" s="112">
        <v>0.2</v>
      </c>
      <c r="K97" s="112">
        <v>171.33</v>
      </c>
      <c r="L97" s="112">
        <v>28.65</v>
      </c>
      <c r="M97" s="112">
        <v>85.46</v>
      </c>
      <c r="N97" s="112">
        <v>0</v>
      </c>
      <c r="O97" s="112">
        <v>0</v>
      </c>
      <c r="P97" s="112">
        <v>0.81</v>
      </c>
      <c r="Q97" s="112">
        <v>4.75</v>
      </c>
    </row>
    <row r="98" spans="1:22" customFormat="1">
      <c r="A98" s="189" t="s">
        <v>328</v>
      </c>
      <c r="B98" s="112">
        <v>9.42</v>
      </c>
      <c r="C98" s="112">
        <v>18.07</v>
      </c>
      <c r="D98" s="112">
        <v>18.34</v>
      </c>
      <c r="E98" s="112">
        <v>11.45</v>
      </c>
      <c r="F98" s="112">
        <v>5.13</v>
      </c>
      <c r="G98" s="112">
        <v>71.959999999999994</v>
      </c>
      <c r="H98" s="112">
        <v>16.96</v>
      </c>
      <c r="I98" s="112">
        <v>6.76</v>
      </c>
      <c r="J98" s="112">
        <v>0.24</v>
      </c>
      <c r="K98" s="112">
        <v>183.62</v>
      </c>
      <c r="L98" s="112">
        <v>28.3</v>
      </c>
      <c r="M98" s="112">
        <v>88.71</v>
      </c>
      <c r="N98" s="112">
        <v>0</v>
      </c>
      <c r="O98" s="112">
        <v>0</v>
      </c>
      <c r="P98" s="112">
        <v>0.8</v>
      </c>
      <c r="Q98" s="112">
        <v>4.72</v>
      </c>
    </row>
    <row r="99" spans="1:22" customFormat="1">
      <c r="A99" s="189" t="s">
        <v>329</v>
      </c>
      <c r="B99" s="112">
        <v>9.35</v>
      </c>
      <c r="C99" s="112">
        <v>17.28</v>
      </c>
      <c r="D99" s="112">
        <v>17.87</v>
      </c>
      <c r="E99" s="112">
        <v>9.57</v>
      </c>
      <c r="F99" s="112">
        <v>4.95</v>
      </c>
      <c r="G99" s="112">
        <v>71.959999999999994</v>
      </c>
      <c r="H99" s="112">
        <v>16.96</v>
      </c>
      <c r="I99" s="112">
        <v>6.71</v>
      </c>
      <c r="J99" s="112">
        <v>0.11</v>
      </c>
      <c r="K99" s="112">
        <v>187.52</v>
      </c>
      <c r="L99" s="112">
        <v>28.03</v>
      </c>
      <c r="M99" s="112">
        <v>88.56</v>
      </c>
      <c r="N99" s="112">
        <v>0</v>
      </c>
      <c r="O99" s="112">
        <v>0</v>
      </c>
      <c r="P99" s="112">
        <v>0.88</v>
      </c>
      <c r="Q99" s="112">
        <v>4.7300000000000004</v>
      </c>
    </row>
    <row r="100" spans="1:22" customFormat="1">
      <c r="A100" s="189" t="s">
        <v>330</v>
      </c>
      <c r="B100" s="112">
        <v>9.32</v>
      </c>
      <c r="C100" s="112">
        <v>17.809999999999999</v>
      </c>
      <c r="D100" s="112">
        <v>18.13</v>
      </c>
      <c r="E100" s="112">
        <v>8.1</v>
      </c>
      <c r="F100" s="112">
        <v>4.71</v>
      </c>
      <c r="G100" s="112">
        <v>68.69</v>
      </c>
      <c r="H100" s="112">
        <v>19.2</v>
      </c>
      <c r="I100" s="112">
        <v>6.82</v>
      </c>
      <c r="J100" s="112">
        <v>0.13</v>
      </c>
      <c r="K100" s="112">
        <v>182.37</v>
      </c>
      <c r="L100" s="112">
        <v>27.92</v>
      </c>
      <c r="M100" s="112">
        <v>89.17</v>
      </c>
      <c r="N100" s="112">
        <v>0</v>
      </c>
      <c r="O100" s="112">
        <v>0</v>
      </c>
      <c r="P100" s="112">
        <v>0.9</v>
      </c>
      <c r="Q100" s="112">
        <v>4.7</v>
      </c>
    </row>
    <row r="101" spans="1:22" customFormat="1">
      <c r="A101" s="189" t="s">
        <v>331</v>
      </c>
      <c r="B101" s="112">
        <v>10.51</v>
      </c>
      <c r="C101" s="112">
        <v>18.57</v>
      </c>
      <c r="D101" s="112">
        <v>19.48</v>
      </c>
      <c r="E101" s="112">
        <v>7.81</v>
      </c>
      <c r="F101" s="112">
        <v>4.93</v>
      </c>
      <c r="G101" s="112">
        <v>68.5</v>
      </c>
      <c r="H101" s="112">
        <v>19.2</v>
      </c>
      <c r="I101" s="112">
        <v>7.14</v>
      </c>
      <c r="J101" s="112">
        <v>0.14000000000000001</v>
      </c>
      <c r="K101" s="112">
        <v>250.31</v>
      </c>
      <c r="L101" s="112">
        <v>27.79</v>
      </c>
      <c r="M101" s="112">
        <v>90.72</v>
      </c>
      <c r="N101" s="112">
        <v>0</v>
      </c>
      <c r="O101" s="112">
        <v>0</v>
      </c>
      <c r="P101" s="112">
        <v>0.84</v>
      </c>
      <c r="Q101" s="112">
        <v>4.7300000000000004</v>
      </c>
    </row>
    <row r="102" spans="1:22" customFormat="1">
      <c r="A102" s="189" t="s">
        <v>332</v>
      </c>
      <c r="B102" s="112">
        <v>10.64</v>
      </c>
      <c r="C102" s="112">
        <v>18.239999999999998</v>
      </c>
      <c r="D102" s="112">
        <v>19.41</v>
      </c>
      <c r="E102" s="112">
        <v>7.43</v>
      </c>
      <c r="F102" s="112">
        <v>5.49</v>
      </c>
      <c r="G102" s="112">
        <v>68.5</v>
      </c>
      <c r="H102" s="112">
        <v>19.2</v>
      </c>
      <c r="I102" s="112">
        <v>7.42</v>
      </c>
      <c r="J102" s="112">
        <v>0.1</v>
      </c>
      <c r="K102" s="112">
        <v>206.44</v>
      </c>
      <c r="L102" s="112">
        <v>27.82</v>
      </c>
      <c r="M102" s="112">
        <v>89.43</v>
      </c>
      <c r="N102" s="112">
        <v>0</v>
      </c>
      <c r="O102" s="112">
        <v>0</v>
      </c>
      <c r="P102" s="112">
        <v>0.85</v>
      </c>
      <c r="Q102" s="112">
        <v>4.79</v>
      </c>
    </row>
    <row r="103" spans="1:22" customFormat="1">
      <c r="A103" s="189" t="s">
        <v>333</v>
      </c>
      <c r="B103" s="112">
        <v>10.130000000000001</v>
      </c>
      <c r="C103" s="112">
        <v>16.22</v>
      </c>
      <c r="D103" s="112">
        <v>17.95</v>
      </c>
      <c r="E103" s="112">
        <v>7.24</v>
      </c>
      <c r="F103" s="112">
        <v>7.46</v>
      </c>
      <c r="G103" s="112">
        <v>68.5</v>
      </c>
      <c r="H103" s="112">
        <v>19.2</v>
      </c>
      <c r="I103" s="112">
        <v>7.46</v>
      </c>
      <c r="J103" s="112">
        <v>0.15</v>
      </c>
      <c r="K103" s="112">
        <v>176.46</v>
      </c>
      <c r="L103" s="112">
        <v>27.81</v>
      </c>
      <c r="M103" s="112">
        <v>87.18</v>
      </c>
      <c r="N103" s="112">
        <v>0</v>
      </c>
      <c r="O103" s="112">
        <v>0</v>
      </c>
      <c r="P103" s="112">
        <v>0.8</v>
      </c>
      <c r="Q103" s="112">
        <v>4.76</v>
      </c>
    </row>
    <row r="104" spans="1:22" customFormat="1">
      <c r="A104" s="189" t="s">
        <v>334</v>
      </c>
      <c r="B104" s="112">
        <v>9.93</v>
      </c>
      <c r="C104" s="112">
        <v>14.6</v>
      </c>
      <c r="D104" s="112">
        <v>16.95</v>
      </c>
      <c r="E104" s="112">
        <v>7.24</v>
      </c>
      <c r="F104" s="112">
        <v>8.18</v>
      </c>
      <c r="G104" s="112">
        <v>57.5</v>
      </c>
      <c r="H104" s="112">
        <v>16.82</v>
      </c>
      <c r="I104" s="112">
        <v>7.16</v>
      </c>
      <c r="J104" s="112">
        <v>0.15</v>
      </c>
      <c r="K104" s="112">
        <v>241.83</v>
      </c>
      <c r="L104" s="112">
        <v>27.73</v>
      </c>
      <c r="M104" s="112">
        <v>88.61</v>
      </c>
      <c r="N104" s="112">
        <v>0</v>
      </c>
      <c r="O104" s="112">
        <v>0</v>
      </c>
      <c r="P104" s="112">
        <v>0.77</v>
      </c>
      <c r="Q104" s="112">
        <v>4.71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 t="shared" ref="B106:Q106" si="0">MIN(B9:B104)</f>
        <v>5.1100000000000003</v>
      </c>
      <c r="C106" s="183">
        <f t="shared" si="0"/>
        <v>11.2</v>
      </c>
      <c r="D106" s="183">
        <f t="shared" si="0"/>
        <v>11.5</v>
      </c>
      <c r="E106" s="183">
        <f t="shared" si="0"/>
        <v>6.76</v>
      </c>
      <c r="F106" s="183">
        <f t="shared" si="0"/>
        <v>4.21</v>
      </c>
      <c r="G106" s="183">
        <f t="shared" si="0"/>
        <v>35.58</v>
      </c>
      <c r="H106" s="183">
        <f t="shared" si="0"/>
        <v>12.73</v>
      </c>
      <c r="I106" s="183">
        <f t="shared" si="0"/>
        <v>5.22</v>
      </c>
      <c r="J106" s="183">
        <f t="shared" si="0"/>
        <v>0.04</v>
      </c>
      <c r="K106" s="183">
        <f t="shared" si="0"/>
        <v>4.2699999999999996</v>
      </c>
      <c r="L106" s="183">
        <f t="shared" si="0"/>
        <v>26.2</v>
      </c>
      <c r="M106" s="183">
        <f t="shared" si="0"/>
        <v>54.84</v>
      </c>
      <c r="N106" s="183">
        <f t="shared" si="0"/>
        <v>0</v>
      </c>
      <c r="O106" s="183">
        <f t="shared" si="0"/>
        <v>0</v>
      </c>
      <c r="P106" s="183">
        <f t="shared" si="0"/>
        <v>0.52</v>
      </c>
      <c r="Q106" s="183">
        <f t="shared" si="0"/>
        <v>4.13</v>
      </c>
      <c r="R106" s="187"/>
      <c r="S106" s="187"/>
      <c r="T106" s="187"/>
      <c r="U106" s="187"/>
    </row>
    <row r="107" spans="1:22">
      <c r="A107" s="182" t="s">
        <v>49</v>
      </c>
      <c r="B107" s="184">
        <f t="shared" ref="B107:Q107" si="1">MAX(B9:B104)</f>
        <v>13.75</v>
      </c>
      <c r="C107" s="184">
        <f t="shared" si="1"/>
        <v>23.71</v>
      </c>
      <c r="D107" s="184">
        <f t="shared" si="1"/>
        <v>24.76</v>
      </c>
      <c r="E107" s="184">
        <f t="shared" si="1"/>
        <v>16.91</v>
      </c>
      <c r="F107" s="184">
        <f t="shared" si="1"/>
        <v>24.01</v>
      </c>
      <c r="G107" s="184">
        <f t="shared" si="1"/>
        <v>71.959999999999994</v>
      </c>
      <c r="H107" s="184">
        <f t="shared" si="1"/>
        <v>20.73</v>
      </c>
      <c r="I107" s="184">
        <f t="shared" si="1"/>
        <v>19</v>
      </c>
      <c r="J107" s="184">
        <f t="shared" si="1"/>
        <v>0.73</v>
      </c>
      <c r="K107" s="184">
        <f t="shared" si="1"/>
        <v>344.22</v>
      </c>
      <c r="L107" s="184">
        <f t="shared" si="1"/>
        <v>35.39</v>
      </c>
      <c r="M107" s="184">
        <f t="shared" si="1"/>
        <v>109.6</v>
      </c>
      <c r="N107" s="184">
        <f t="shared" si="1"/>
        <v>866</v>
      </c>
      <c r="O107" s="184">
        <f t="shared" si="1"/>
        <v>0</v>
      </c>
      <c r="P107" s="184">
        <f t="shared" si="1"/>
        <v>0.92</v>
      </c>
      <c r="Q107" s="184">
        <f t="shared" si="1"/>
        <v>4.79</v>
      </c>
      <c r="R107" s="188"/>
      <c r="S107" s="188"/>
      <c r="T107" s="188"/>
      <c r="U107" s="188"/>
    </row>
    <row r="108" spans="1:22">
      <c r="A108" s="182" t="s">
        <v>50</v>
      </c>
      <c r="B108" s="183">
        <f t="shared" ref="B108:Q108" si="2">AVERAGE(B9:B104)</f>
        <v>9.0527083333333298</v>
      </c>
      <c r="C108" s="183">
        <f t="shared" si="2"/>
        <v>16.393333333333338</v>
      </c>
      <c r="D108" s="183">
        <f t="shared" si="2"/>
        <v>17.17552083333333</v>
      </c>
      <c r="E108" s="183">
        <f t="shared" si="2"/>
        <v>9.6008333333333304</v>
      </c>
      <c r="F108" s="183">
        <f t="shared" si="2"/>
        <v>9.6631250000000026</v>
      </c>
      <c r="G108" s="183">
        <f t="shared" si="2"/>
        <v>51.051250000000003</v>
      </c>
      <c r="H108" s="183">
        <f t="shared" si="2"/>
        <v>16.960312500000004</v>
      </c>
      <c r="I108" s="183">
        <f t="shared" si="2"/>
        <v>10.180520833333336</v>
      </c>
      <c r="J108" s="183">
        <f t="shared" si="2"/>
        <v>0.21291666666666667</v>
      </c>
      <c r="K108" s="183">
        <f t="shared" si="2"/>
        <v>194.46135416666675</v>
      </c>
      <c r="L108" s="183">
        <f t="shared" si="2"/>
        <v>29.90343750000001</v>
      </c>
      <c r="M108" s="183">
        <f t="shared" si="2"/>
        <v>81.057604166666707</v>
      </c>
      <c r="N108" s="183">
        <f t="shared" si="2"/>
        <v>148.25833333333335</v>
      </c>
      <c r="O108" s="183">
        <f t="shared" si="2"/>
        <v>0</v>
      </c>
      <c r="P108" s="183">
        <f t="shared" si="2"/>
        <v>0.70437500000000008</v>
      </c>
      <c r="Q108" s="183">
        <f t="shared" si="2"/>
        <v>4.5230208333333328</v>
      </c>
      <c r="R108" s="187"/>
      <c r="S108" s="187"/>
      <c r="T108" s="187"/>
      <c r="U108" s="187"/>
    </row>
    <row r="109" spans="1:22">
      <c r="A109" s="182" t="s">
        <v>51</v>
      </c>
      <c r="B109" s="183">
        <f t="shared" ref="B109:Q109" si="3">STDEV(B9:B104)</f>
        <v>2.6107000388751165</v>
      </c>
      <c r="C109" s="183">
        <f t="shared" si="3"/>
        <v>2.75221429194238</v>
      </c>
      <c r="D109" s="183">
        <f t="shared" si="3"/>
        <v>2.8443968446909569</v>
      </c>
      <c r="E109" s="183">
        <f t="shared" si="3"/>
        <v>2.2980676856262146</v>
      </c>
      <c r="F109" s="183">
        <f t="shared" si="3"/>
        <v>5.6893100705575348</v>
      </c>
      <c r="G109" s="183">
        <f t="shared" si="3"/>
        <v>9.7827488602722017</v>
      </c>
      <c r="H109" s="183">
        <f t="shared" si="3"/>
        <v>1.729759005498998</v>
      </c>
      <c r="I109" s="183">
        <f t="shared" si="3"/>
        <v>3.8960129065471971</v>
      </c>
      <c r="J109" s="183">
        <f t="shared" si="3"/>
        <v>0.13256908162731146</v>
      </c>
      <c r="K109" s="183">
        <f t="shared" si="3"/>
        <v>64.89500434296319</v>
      </c>
      <c r="L109" s="183">
        <f t="shared" si="3"/>
        <v>2.7108156970588024</v>
      </c>
      <c r="M109" s="183">
        <f t="shared" si="3"/>
        <v>13.975522492429254</v>
      </c>
      <c r="N109" s="183">
        <f t="shared" si="3"/>
        <v>230.37756545867626</v>
      </c>
      <c r="O109" s="183">
        <f t="shared" si="3"/>
        <v>0</v>
      </c>
      <c r="P109" s="183">
        <f t="shared" si="3"/>
        <v>8.8684093393642749E-2</v>
      </c>
      <c r="Q109" s="183">
        <f t="shared" si="3"/>
        <v>0.21697984282644656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02/09/2023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335</v>
      </c>
      <c r="B9" s="112">
        <v>9.73</v>
      </c>
      <c r="C9" s="112">
        <v>14.53</v>
      </c>
      <c r="D9" s="112">
        <v>16.739999999999998</v>
      </c>
      <c r="E9" s="112">
        <v>6.62</v>
      </c>
      <c r="F9" s="112">
        <v>7.9</v>
      </c>
      <c r="G9" s="112">
        <v>56.86</v>
      </c>
      <c r="H9" s="112">
        <v>16.82</v>
      </c>
      <c r="I9" s="112">
        <v>6.73</v>
      </c>
      <c r="J9" s="112">
        <v>0.13</v>
      </c>
      <c r="K9" s="112">
        <v>183.08</v>
      </c>
      <c r="L9" s="112">
        <v>27.69</v>
      </c>
      <c r="M9" s="112">
        <v>88.04</v>
      </c>
      <c r="N9" s="112">
        <v>0</v>
      </c>
      <c r="O9" s="112">
        <v>0</v>
      </c>
      <c r="P9" s="112">
        <v>0.75</v>
      </c>
      <c r="Q9" s="112">
        <v>4.6900000000000004</v>
      </c>
    </row>
    <row r="10" spans="1:21" customFormat="1">
      <c r="A10" s="189" t="s">
        <v>336</v>
      </c>
      <c r="B10" s="112">
        <v>9.25</v>
      </c>
      <c r="C10" s="112">
        <v>14.06</v>
      </c>
      <c r="D10" s="112">
        <v>16.11</v>
      </c>
      <c r="E10" s="112">
        <v>6.85</v>
      </c>
      <c r="F10" s="112">
        <v>8.02</v>
      </c>
      <c r="G10" s="112">
        <v>56.86</v>
      </c>
      <c r="H10" s="112">
        <v>16.82</v>
      </c>
      <c r="I10" s="112">
        <v>6.56</v>
      </c>
      <c r="J10" s="112">
        <v>0.11</v>
      </c>
      <c r="K10" s="112">
        <v>197.61</v>
      </c>
      <c r="L10" s="112">
        <v>27.57</v>
      </c>
      <c r="M10" s="112">
        <v>88.52</v>
      </c>
      <c r="N10" s="112">
        <v>0</v>
      </c>
      <c r="O10" s="112">
        <v>0</v>
      </c>
      <c r="P10" s="112">
        <v>0.74</v>
      </c>
      <c r="Q10" s="112">
        <v>4.7</v>
      </c>
    </row>
    <row r="11" spans="1:21" customFormat="1">
      <c r="A11" s="189" t="s">
        <v>337</v>
      </c>
      <c r="B11" s="112">
        <v>9.18</v>
      </c>
      <c r="C11" s="112">
        <v>14</v>
      </c>
      <c r="D11" s="112">
        <v>16.03</v>
      </c>
      <c r="E11" s="112">
        <v>7.11</v>
      </c>
      <c r="F11" s="112">
        <v>7.52</v>
      </c>
      <c r="G11" s="112">
        <v>56.86</v>
      </c>
      <c r="H11" s="112">
        <v>16.82</v>
      </c>
      <c r="I11" s="112">
        <v>6.57</v>
      </c>
      <c r="J11" s="112">
        <v>0.12</v>
      </c>
      <c r="K11" s="112">
        <v>187.6</v>
      </c>
      <c r="L11" s="112">
        <v>27.55</v>
      </c>
      <c r="M11" s="112">
        <v>88.61</v>
      </c>
      <c r="N11" s="112">
        <v>0</v>
      </c>
      <c r="O11" s="112">
        <v>0</v>
      </c>
      <c r="P11" s="112">
        <v>0.76</v>
      </c>
      <c r="Q11" s="112">
        <v>4.6900000000000004</v>
      </c>
    </row>
    <row r="12" spans="1:21" customFormat="1">
      <c r="A12" s="189" t="s">
        <v>338</v>
      </c>
      <c r="B12" s="112">
        <v>9.81</v>
      </c>
      <c r="C12" s="112">
        <v>14.93</v>
      </c>
      <c r="D12" s="112">
        <v>17.010000000000002</v>
      </c>
      <c r="E12" s="112">
        <v>7.36</v>
      </c>
      <c r="F12" s="112">
        <v>6.55</v>
      </c>
      <c r="G12" s="112">
        <v>51.16</v>
      </c>
      <c r="H12" s="112">
        <v>16</v>
      </c>
      <c r="I12" s="112">
        <v>6.63</v>
      </c>
      <c r="J12" s="112">
        <v>0.11</v>
      </c>
      <c r="K12" s="112">
        <v>173.83</v>
      </c>
      <c r="L12" s="112">
        <v>27.5</v>
      </c>
      <c r="M12" s="112">
        <v>89.32</v>
      </c>
      <c r="N12" s="112">
        <v>0</v>
      </c>
      <c r="O12" s="112">
        <v>0</v>
      </c>
      <c r="P12" s="112">
        <v>0.79</v>
      </c>
      <c r="Q12" s="112">
        <v>4.6900000000000004</v>
      </c>
    </row>
    <row r="13" spans="1:21" customFormat="1">
      <c r="A13" s="189" t="s">
        <v>339</v>
      </c>
      <c r="B13" s="112">
        <v>10.59</v>
      </c>
      <c r="C13" s="112">
        <v>17.09</v>
      </c>
      <c r="D13" s="112">
        <v>18.77</v>
      </c>
      <c r="E13" s="112">
        <v>7.7</v>
      </c>
      <c r="F13" s="112">
        <v>5.67</v>
      </c>
      <c r="G13" s="112">
        <v>50.9</v>
      </c>
      <c r="H13" s="112">
        <v>16</v>
      </c>
      <c r="I13" s="112">
        <v>6.97</v>
      </c>
      <c r="J13" s="112">
        <v>0.12</v>
      </c>
      <c r="K13" s="112">
        <v>224.91</v>
      </c>
      <c r="L13" s="112">
        <v>27.35</v>
      </c>
      <c r="M13" s="112">
        <v>89.94</v>
      </c>
      <c r="N13" s="112">
        <v>0</v>
      </c>
      <c r="O13" s="112">
        <v>0</v>
      </c>
      <c r="P13" s="112">
        <v>0.81</v>
      </c>
      <c r="Q13" s="112">
        <v>4.79</v>
      </c>
    </row>
    <row r="14" spans="1:21" customFormat="1">
      <c r="A14" s="189" t="s">
        <v>340</v>
      </c>
      <c r="B14" s="112">
        <v>11.16</v>
      </c>
      <c r="C14" s="112">
        <v>16.72</v>
      </c>
      <c r="D14" s="112">
        <v>19.04</v>
      </c>
      <c r="E14" s="112">
        <v>7.65</v>
      </c>
      <c r="F14" s="112">
        <v>5.9</v>
      </c>
      <c r="G14" s="112">
        <v>50.9</v>
      </c>
      <c r="H14" s="112">
        <v>16</v>
      </c>
      <c r="I14" s="112">
        <v>7.33</v>
      </c>
      <c r="J14" s="112">
        <v>0.13</v>
      </c>
      <c r="K14" s="112">
        <v>226.12</v>
      </c>
      <c r="L14" s="112">
        <v>27.34</v>
      </c>
      <c r="M14" s="112">
        <v>90.91</v>
      </c>
      <c r="N14" s="112">
        <v>0</v>
      </c>
      <c r="O14" s="112">
        <v>0</v>
      </c>
      <c r="P14" s="112">
        <v>0.82</v>
      </c>
      <c r="Q14" s="112">
        <v>4.75</v>
      </c>
    </row>
    <row r="15" spans="1:21" customFormat="1">
      <c r="A15" s="189" t="s">
        <v>341</v>
      </c>
      <c r="B15" s="112">
        <v>10.92</v>
      </c>
      <c r="C15" s="112">
        <v>15.65</v>
      </c>
      <c r="D15" s="112">
        <v>18.28</v>
      </c>
      <c r="E15" s="112">
        <v>7.46</v>
      </c>
      <c r="F15" s="112">
        <v>5.95</v>
      </c>
      <c r="G15" s="112">
        <v>50.9</v>
      </c>
      <c r="H15" s="112">
        <v>16</v>
      </c>
      <c r="I15" s="112">
        <v>7.54</v>
      </c>
      <c r="J15" s="112">
        <v>0.13</v>
      </c>
      <c r="K15" s="112">
        <v>191.75</v>
      </c>
      <c r="L15" s="112">
        <v>27.31</v>
      </c>
      <c r="M15" s="112">
        <v>92.07</v>
      </c>
      <c r="N15" s="112">
        <v>0</v>
      </c>
      <c r="O15" s="112">
        <v>0</v>
      </c>
      <c r="P15" s="112">
        <v>0.82</v>
      </c>
      <c r="Q15" s="112">
        <v>4.74</v>
      </c>
    </row>
    <row r="16" spans="1:21" customFormat="1">
      <c r="A16" s="189" t="s">
        <v>342</v>
      </c>
      <c r="B16" s="112">
        <v>10.41</v>
      </c>
      <c r="C16" s="112">
        <v>14.13</v>
      </c>
      <c r="D16" s="112">
        <v>17.09</v>
      </c>
      <c r="E16" s="112">
        <v>6.95</v>
      </c>
      <c r="F16" s="112">
        <v>6.44</v>
      </c>
      <c r="G16" s="112">
        <v>46.68</v>
      </c>
      <c r="H16" s="112">
        <v>14.39</v>
      </c>
      <c r="I16" s="112">
        <v>7.59</v>
      </c>
      <c r="J16" s="112">
        <v>0.11</v>
      </c>
      <c r="K16" s="112">
        <v>188.36</v>
      </c>
      <c r="L16" s="112">
        <v>27.31</v>
      </c>
      <c r="M16" s="112">
        <v>90.57</v>
      </c>
      <c r="N16" s="112">
        <v>0</v>
      </c>
      <c r="O16" s="112">
        <v>0</v>
      </c>
      <c r="P16" s="112">
        <v>0.81</v>
      </c>
      <c r="Q16" s="112">
        <v>4.74</v>
      </c>
    </row>
    <row r="17" spans="1:17" customFormat="1">
      <c r="A17" s="189" t="s">
        <v>343</v>
      </c>
      <c r="B17" s="112">
        <v>10.41</v>
      </c>
      <c r="C17" s="112">
        <v>13.65</v>
      </c>
      <c r="D17" s="112">
        <v>16.829999999999998</v>
      </c>
      <c r="E17" s="112">
        <v>6.24</v>
      </c>
      <c r="F17" s="112">
        <v>6.9</v>
      </c>
      <c r="G17" s="112">
        <v>46.44</v>
      </c>
      <c r="H17" s="112">
        <v>14.39</v>
      </c>
      <c r="I17" s="112">
        <v>7.66</v>
      </c>
      <c r="J17" s="112">
        <v>0.14000000000000001</v>
      </c>
      <c r="K17" s="112">
        <v>159.66999999999999</v>
      </c>
      <c r="L17" s="112">
        <v>27.21</v>
      </c>
      <c r="M17" s="112">
        <v>91.93</v>
      </c>
      <c r="N17" s="112">
        <v>0</v>
      </c>
      <c r="O17" s="112">
        <v>0</v>
      </c>
      <c r="P17" s="112">
        <v>0.76</v>
      </c>
      <c r="Q17" s="112">
        <v>4.6900000000000004</v>
      </c>
    </row>
    <row r="18" spans="1:17" customFormat="1">
      <c r="A18" s="189" t="s">
        <v>344</v>
      </c>
      <c r="B18" s="112">
        <v>10.11</v>
      </c>
      <c r="C18" s="112">
        <v>12.9</v>
      </c>
      <c r="D18" s="112">
        <v>16.2</v>
      </c>
      <c r="E18" s="112">
        <v>7.2</v>
      </c>
      <c r="F18" s="112">
        <v>7.52</v>
      </c>
      <c r="G18" s="112">
        <v>46.44</v>
      </c>
      <c r="H18" s="112">
        <v>14.39</v>
      </c>
      <c r="I18" s="112">
        <v>7.67</v>
      </c>
      <c r="J18" s="112">
        <v>0.06</v>
      </c>
      <c r="K18" s="112">
        <v>202.04</v>
      </c>
      <c r="L18" s="112">
        <v>27.14</v>
      </c>
      <c r="M18" s="112">
        <v>91.84</v>
      </c>
      <c r="N18" s="112">
        <v>0</v>
      </c>
      <c r="O18" s="112">
        <v>0</v>
      </c>
      <c r="P18" s="112">
        <v>0.71</v>
      </c>
      <c r="Q18" s="112">
        <v>4.6399999999999997</v>
      </c>
    </row>
    <row r="19" spans="1:17" customFormat="1">
      <c r="A19" s="189" t="s">
        <v>345</v>
      </c>
      <c r="B19" s="112">
        <v>9.76</v>
      </c>
      <c r="C19" s="112">
        <v>12.32</v>
      </c>
      <c r="D19" s="112">
        <v>15.61</v>
      </c>
      <c r="E19" s="112">
        <v>7.19</v>
      </c>
      <c r="F19" s="112">
        <v>8.01</v>
      </c>
      <c r="G19" s="112">
        <v>46.44</v>
      </c>
      <c r="H19" s="112">
        <v>14.39</v>
      </c>
      <c r="I19" s="112">
        <v>7.18</v>
      </c>
      <c r="J19" s="112">
        <v>0.13</v>
      </c>
      <c r="K19" s="112">
        <v>183.23</v>
      </c>
      <c r="L19" s="112">
        <v>27.24</v>
      </c>
      <c r="M19" s="112">
        <v>91.61</v>
      </c>
      <c r="N19" s="112">
        <v>0</v>
      </c>
      <c r="O19" s="112">
        <v>0</v>
      </c>
      <c r="P19" s="112">
        <v>0.68</v>
      </c>
      <c r="Q19" s="112">
        <v>4.6399999999999997</v>
      </c>
    </row>
    <row r="20" spans="1:17" customFormat="1">
      <c r="A20" s="189" t="s">
        <v>346</v>
      </c>
      <c r="B20" s="112">
        <v>9.33</v>
      </c>
      <c r="C20" s="112">
        <v>11.42</v>
      </c>
      <c r="D20" s="112">
        <v>14.8</v>
      </c>
      <c r="E20" s="112">
        <v>7.16</v>
      </c>
      <c r="F20" s="112">
        <v>8.52</v>
      </c>
      <c r="G20" s="112">
        <v>38.659999999999997</v>
      </c>
      <c r="H20" s="112">
        <v>15.1</v>
      </c>
      <c r="I20" s="112">
        <v>6.63</v>
      </c>
      <c r="J20" s="112">
        <v>0.17</v>
      </c>
      <c r="K20" s="112">
        <v>176.42</v>
      </c>
      <c r="L20" s="112">
        <v>27.05</v>
      </c>
      <c r="M20" s="112">
        <v>91.93</v>
      </c>
      <c r="N20" s="112">
        <v>0</v>
      </c>
      <c r="O20" s="112">
        <v>0</v>
      </c>
      <c r="P20" s="112">
        <v>0.65</v>
      </c>
      <c r="Q20" s="112">
        <v>4.6500000000000004</v>
      </c>
    </row>
    <row r="21" spans="1:17" customFormat="1">
      <c r="A21" s="189" t="s">
        <v>347</v>
      </c>
      <c r="B21" s="112">
        <v>10.32</v>
      </c>
      <c r="C21" s="112">
        <v>13</v>
      </c>
      <c r="D21" s="112">
        <v>16.420000000000002</v>
      </c>
      <c r="E21" s="112">
        <v>8.01</v>
      </c>
      <c r="F21" s="112">
        <v>7.5</v>
      </c>
      <c r="G21" s="112">
        <v>38.21</v>
      </c>
      <c r="H21" s="112">
        <v>15.1</v>
      </c>
      <c r="I21" s="112">
        <v>6.34</v>
      </c>
      <c r="J21" s="112">
        <v>0.15</v>
      </c>
      <c r="K21" s="112">
        <v>169.03</v>
      </c>
      <c r="L21" s="112">
        <v>27.09</v>
      </c>
      <c r="M21" s="112">
        <v>91.37</v>
      </c>
      <c r="N21" s="112">
        <v>0</v>
      </c>
      <c r="O21" s="112">
        <v>0</v>
      </c>
      <c r="P21" s="112">
        <v>0.7</v>
      </c>
      <c r="Q21" s="112">
        <v>4.6399999999999997</v>
      </c>
    </row>
    <row r="22" spans="1:17" customFormat="1">
      <c r="A22" s="189" t="s">
        <v>348</v>
      </c>
      <c r="B22" s="112">
        <v>11.05</v>
      </c>
      <c r="C22" s="112">
        <v>15.38</v>
      </c>
      <c r="D22" s="112">
        <v>18.25</v>
      </c>
      <c r="E22" s="112">
        <v>7.67</v>
      </c>
      <c r="F22" s="112">
        <v>5.65</v>
      </c>
      <c r="G22" s="112">
        <v>38.21</v>
      </c>
      <c r="H22" s="112">
        <v>15.1</v>
      </c>
      <c r="I22" s="112">
        <v>6.18</v>
      </c>
      <c r="J22" s="112">
        <v>0.11</v>
      </c>
      <c r="K22" s="112">
        <v>149.6</v>
      </c>
      <c r="L22" s="112">
        <v>27.01</v>
      </c>
      <c r="M22" s="112">
        <v>92.77</v>
      </c>
      <c r="N22" s="112">
        <v>0</v>
      </c>
      <c r="O22" s="112">
        <v>0</v>
      </c>
      <c r="P22" s="112">
        <v>0.71</v>
      </c>
      <c r="Q22" s="112">
        <v>4.71</v>
      </c>
    </row>
    <row r="23" spans="1:17" customFormat="1">
      <c r="A23" s="189" t="s">
        <v>349</v>
      </c>
      <c r="B23" s="112">
        <v>10.8</v>
      </c>
      <c r="C23" s="112">
        <v>13.98</v>
      </c>
      <c r="D23" s="112">
        <v>17.309999999999999</v>
      </c>
      <c r="E23" s="112">
        <v>7.73</v>
      </c>
      <c r="F23" s="112">
        <v>6.35</v>
      </c>
      <c r="G23" s="112">
        <v>38.21</v>
      </c>
      <c r="H23" s="112">
        <v>15.1</v>
      </c>
      <c r="I23" s="112">
        <v>6.68</v>
      </c>
      <c r="J23" s="112">
        <v>0.18</v>
      </c>
      <c r="K23" s="112">
        <v>198.46</v>
      </c>
      <c r="L23" s="112">
        <v>26.88</v>
      </c>
      <c r="M23" s="112">
        <v>93.39</v>
      </c>
      <c r="N23" s="112">
        <v>0</v>
      </c>
      <c r="O23" s="112">
        <v>0</v>
      </c>
      <c r="P23" s="112">
        <v>0.68</v>
      </c>
      <c r="Q23" s="112">
        <v>4.68</v>
      </c>
    </row>
    <row r="24" spans="1:17" customFormat="1">
      <c r="A24" s="189" t="s">
        <v>350</v>
      </c>
      <c r="B24" s="112">
        <v>10.119999999999999</v>
      </c>
      <c r="C24" s="112">
        <v>12.29</v>
      </c>
      <c r="D24" s="112">
        <v>15.89</v>
      </c>
      <c r="E24" s="112">
        <v>7.16</v>
      </c>
      <c r="F24" s="112">
        <v>7.03</v>
      </c>
      <c r="G24" s="112">
        <v>36.69</v>
      </c>
      <c r="H24" s="112">
        <v>10.61</v>
      </c>
      <c r="I24" s="112">
        <v>6.7</v>
      </c>
      <c r="J24" s="112">
        <v>0.12</v>
      </c>
      <c r="K24" s="112">
        <v>185.62</v>
      </c>
      <c r="L24" s="112">
        <v>26.77</v>
      </c>
      <c r="M24" s="112">
        <v>95.19</v>
      </c>
      <c r="N24" s="112">
        <v>0</v>
      </c>
      <c r="O24" s="112">
        <v>0</v>
      </c>
      <c r="P24" s="112">
        <v>0.65</v>
      </c>
      <c r="Q24" s="112">
        <v>4.6500000000000004</v>
      </c>
    </row>
    <row r="25" spans="1:17" customFormat="1">
      <c r="A25" s="189" t="s">
        <v>351</v>
      </c>
      <c r="B25" s="112">
        <v>9.9700000000000006</v>
      </c>
      <c r="C25" s="112">
        <v>11.62</v>
      </c>
      <c r="D25" s="112">
        <v>15.42</v>
      </c>
      <c r="E25" s="112">
        <v>7.17</v>
      </c>
      <c r="F25" s="112">
        <v>7.09</v>
      </c>
      <c r="G25" s="112">
        <v>36.6</v>
      </c>
      <c r="H25" s="112">
        <v>10.61</v>
      </c>
      <c r="I25" s="112">
        <v>6.34</v>
      </c>
      <c r="J25" s="112">
        <v>0.14000000000000001</v>
      </c>
      <c r="K25" s="112">
        <v>181.33</v>
      </c>
      <c r="L25" s="112">
        <v>26.71</v>
      </c>
      <c r="M25" s="112">
        <v>94.42</v>
      </c>
      <c r="N25" s="112">
        <v>0</v>
      </c>
      <c r="O25" s="112">
        <v>0</v>
      </c>
      <c r="P25" s="112">
        <v>0.63</v>
      </c>
      <c r="Q25" s="112">
        <v>4.6500000000000004</v>
      </c>
    </row>
    <row r="26" spans="1:17" customFormat="1">
      <c r="A26" s="189" t="s">
        <v>352</v>
      </c>
      <c r="B26" s="112">
        <v>9.93</v>
      </c>
      <c r="C26" s="112">
        <v>11.48</v>
      </c>
      <c r="D26" s="112">
        <v>15.32</v>
      </c>
      <c r="E26" s="112">
        <v>7.36</v>
      </c>
      <c r="F26" s="112">
        <v>6.67</v>
      </c>
      <c r="G26" s="112">
        <v>36.6</v>
      </c>
      <c r="H26" s="112">
        <v>10.61</v>
      </c>
      <c r="I26" s="112">
        <v>5.97</v>
      </c>
      <c r="J26" s="112">
        <v>0.11</v>
      </c>
      <c r="K26" s="112">
        <v>131.16999999999999</v>
      </c>
      <c r="L26" s="112">
        <v>26.85</v>
      </c>
      <c r="M26" s="112">
        <v>94.43</v>
      </c>
      <c r="N26" s="112">
        <v>0</v>
      </c>
      <c r="O26" s="112">
        <v>0</v>
      </c>
      <c r="P26" s="112">
        <v>0.61</v>
      </c>
      <c r="Q26" s="112">
        <v>4.6500000000000004</v>
      </c>
    </row>
    <row r="27" spans="1:17" customFormat="1">
      <c r="A27" s="189" t="s">
        <v>353</v>
      </c>
      <c r="B27" s="112">
        <v>13.09</v>
      </c>
      <c r="C27" s="112">
        <v>13.53</v>
      </c>
      <c r="D27" s="112">
        <v>18.920000000000002</v>
      </c>
      <c r="E27" s="112">
        <v>7.21</v>
      </c>
      <c r="F27" s="112">
        <v>4.91</v>
      </c>
      <c r="G27" s="112">
        <v>36.6</v>
      </c>
      <c r="H27" s="112">
        <v>10.61</v>
      </c>
      <c r="I27" s="112">
        <v>5.89</v>
      </c>
      <c r="J27" s="112">
        <v>0.13</v>
      </c>
      <c r="K27" s="112">
        <v>154.88999999999999</v>
      </c>
      <c r="L27" s="112">
        <v>26.88</v>
      </c>
      <c r="M27" s="112">
        <v>94.81</v>
      </c>
      <c r="N27" s="112">
        <v>0</v>
      </c>
      <c r="O27" s="112">
        <v>0</v>
      </c>
      <c r="P27" s="112">
        <v>0.61</v>
      </c>
      <c r="Q27" s="112">
        <v>4.6399999999999997</v>
      </c>
    </row>
    <row r="28" spans="1:17" customFormat="1">
      <c r="A28" s="189" t="s">
        <v>354</v>
      </c>
      <c r="B28" s="112">
        <v>12.82</v>
      </c>
      <c r="C28" s="112">
        <v>15.41</v>
      </c>
      <c r="D28" s="112">
        <v>19.68</v>
      </c>
      <c r="E28" s="112">
        <v>7.62</v>
      </c>
      <c r="F28" s="112">
        <v>4.29</v>
      </c>
      <c r="G28" s="112">
        <v>37.67</v>
      </c>
      <c r="H28" s="112">
        <v>13.58</v>
      </c>
      <c r="I28" s="112">
        <v>5.84</v>
      </c>
      <c r="J28" s="112">
        <v>0.11</v>
      </c>
      <c r="K28" s="112">
        <v>172.71</v>
      </c>
      <c r="L28" s="112">
        <v>26.78</v>
      </c>
      <c r="M28" s="112">
        <v>94.2</v>
      </c>
      <c r="N28" s="112">
        <v>0</v>
      </c>
      <c r="O28" s="112">
        <v>0</v>
      </c>
      <c r="P28" s="112">
        <v>0.67</v>
      </c>
      <c r="Q28" s="112">
        <v>4.66</v>
      </c>
    </row>
    <row r="29" spans="1:17" customFormat="1">
      <c r="A29" s="189" t="s">
        <v>355</v>
      </c>
      <c r="B29" s="112">
        <v>13.41</v>
      </c>
      <c r="C29" s="112">
        <v>17.04</v>
      </c>
      <c r="D29" s="112">
        <v>21.01</v>
      </c>
      <c r="E29" s="112">
        <v>7.76</v>
      </c>
      <c r="F29" s="112">
        <v>3.99</v>
      </c>
      <c r="G29" s="112">
        <v>37.74</v>
      </c>
      <c r="H29" s="112">
        <v>13.58</v>
      </c>
      <c r="I29" s="112">
        <v>5.93</v>
      </c>
      <c r="J29" s="112">
        <v>0.21</v>
      </c>
      <c r="K29" s="112">
        <v>181.61</v>
      </c>
      <c r="L29" s="112">
        <v>26.84</v>
      </c>
      <c r="M29" s="112">
        <v>94.5</v>
      </c>
      <c r="N29" s="112">
        <v>0</v>
      </c>
      <c r="O29" s="112">
        <v>0</v>
      </c>
      <c r="P29" s="112">
        <v>0.68</v>
      </c>
      <c r="Q29" s="112">
        <v>4.78</v>
      </c>
    </row>
    <row r="30" spans="1:17" customFormat="1">
      <c r="A30" s="189" t="s">
        <v>356</v>
      </c>
      <c r="B30" s="112">
        <v>12.16</v>
      </c>
      <c r="C30" s="112">
        <v>14.47</v>
      </c>
      <c r="D30" s="112">
        <v>18.66</v>
      </c>
      <c r="E30" s="112">
        <v>7.28</v>
      </c>
      <c r="F30" s="112">
        <v>5.14</v>
      </c>
      <c r="G30" s="112">
        <v>37.74</v>
      </c>
      <c r="H30" s="112">
        <v>13.58</v>
      </c>
      <c r="I30" s="112">
        <v>6.47</v>
      </c>
      <c r="J30" s="112">
        <v>0.13</v>
      </c>
      <c r="K30" s="112">
        <v>194.07</v>
      </c>
      <c r="L30" s="112">
        <v>26.66</v>
      </c>
      <c r="M30" s="112">
        <v>95.28</v>
      </c>
      <c r="N30" s="112">
        <v>0</v>
      </c>
      <c r="O30" s="112">
        <v>0</v>
      </c>
      <c r="P30" s="112">
        <v>0.64</v>
      </c>
      <c r="Q30" s="112">
        <v>4.79</v>
      </c>
    </row>
    <row r="31" spans="1:17" customFormat="1">
      <c r="A31" s="189" t="s">
        <v>357</v>
      </c>
      <c r="B31" s="112">
        <v>11.47</v>
      </c>
      <c r="C31" s="112">
        <v>12.91</v>
      </c>
      <c r="D31" s="112">
        <v>17.3</v>
      </c>
      <c r="E31" s="112">
        <v>7.01</v>
      </c>
      <c r="F31" s="112">
        <v>5.51</v>
      </c>
      <c r="G31" s="112">
        <v>37.74</v>
      </c>
      <c r="H31" s="112">
        <v>13.58</v>
      </c>
      <c r="I31" s="112">
        <v>6.41</v>
      </c>
      <c r="J31" s="112">
        <v>0.13</v>
      </c>
      <c r="K31" s="112">
        <v>185.41</v>
      </c>
      <c r="L31" s="112">
        <v>26.65</v>
      </c>
      <c r="M31" s="112">
        <v>95.07</v>
      </c>
      <c r="N31" s="112">
        <v>0</v>
      </c>
      <c r="O31" s="112">
        <v>0</v>
      </c>
      <c r="P31" s="112">
        <v>0.62</v>
      </c>
      <c r="Q31" s="112">
        <v>4.7699999999999996</v>
      </c>
    </row>
    <row r="32" spans="1:17" customFormat="1">
      <c r="A32" s="189" t="s">
        <v>358</v>
      </c>
      <c r="B32" s="112">
        <v>10.85</v>
      </c>
      <c r="C32" s="112">
        <v>12.07</v>
      </c>
      <c r="D32" s="112">
        <v>16.36</v>
      </c>
      <c r="E32" s="112">
        <v>7.05</v>
      </c>
      <c r="F32" s="112">
        <v>5.23</v>
      </c>
      <c r="G32" s="112">
        <v>34.33</v>
      </c>
      <c r="H32" s="112">
        <v>12.86</v>
      </c>
      <c r="I32" s="112">
        <v>6.08</v>
      </c>
      <c r="J32" s="112">
        <v>0.1</v>
      </c>
      <c r="K32" s="112">
        <v>179.75</v>
      </c>
      <c r="L32" s="112">
        <v>26.64</v>
      </c>
      <c r="M32" s="112">
        <v>95.9</v>
      </c>
      <c r="N32" s="112">
        <v>7.3</v>
      </c>
      <c r="O32" s="112">
        <v>0</v>
      </c>
      <c r="P32" s="112">
        <v>0.59</v>
      </c>
      <c r="Q32" s="112">
        <v>4.74</v>
      </c>
    </row>
    <row r="33" spans="1:17" customFormat="1">
      <c r="A33" s="189" t="s">
        <v>359</v>
      </c>
      <c r="B33" s="112">
        <v>12.05</v>
      </c>
      <c r="C33" s="112">
        <v>14.37</v>
      </c>
      <c r="D33" s="112">
        <v>18.52</v>
      </c>
      <c r="E33" s="112">
        <v>7.59</v>
      </c>
      <c r="F33" s="112">
        <v>5.23</v>
      </c>
      <c r="G33" s="112">
        <v>34.130000000000003</v>
      </c>
      <c r="H33" s="112">
        <v>12.86</v>
      </c>
      <c r="I33" s="112">
        <v>5.94</v>
      </c>
      <c r="J33" s="112">
        <v>0.17</v>
      </c>
      <c r="K33" s="112">
        <v>233.71</v>
      </c>
      <c r="L33" s="112">
        <v>26.85</v>
      </c>
      <c r="M33" s="112">
        <v>94.19</v>
      </c>
      <c r="N33" s="112">
        <v>19</v>
      </c>
      <c r="O33" s="112">
        <v>0</v>
      </c>
      <c r="P33" s="112">
        <v>0.64</v>
      </c>
      <c r="Q33" s="112">
        <v>4.7300000000000004</v>
      </c>
    </row>
    <row r="34" spans="1:17" customFormat="1">
      <c r="A34" s="189" t="s">
        <v>360</v>
      </c>
      <c r="B34" s="112">
        <v>14.22</v>
      </c>
      <c r="C34" s="112">
        <v>16.93</v>
      </c>
      <c r="D34" s="112">
        <v>21.6</v>
      </c>
      <c r="E34" s="112">
        <v>7.9</v>
      </c>
      <c r="F34" s="112">
        <v>4.51</v>
      </c>
      <c r="G34" s="112">
        <v>34.130000000000003</v>
      </c>
      <c r="H34" s="112">
        <v>12.86</v>
      </c>
      <c r="I34" s="112">
        <v>5.89</v>
      </c>
      <c r="J34" s="112">
        <v>0.21</v>
      </c>
      <c r="K34" s="112">
        <v>246.09</v>
      </c>
      <c r="L34" s="112">
        <v>27.37</v>
      </c>
      <c r="M34" s="112">
        <v>90.07</v>
      </c>
      <c r="N34" s="112">
        <v>30</v>
      </c>
      <c r="O34" s="112">
        <v>0</v>
      </c>
      <c r="P34" s="112">
        <v>0.68</v>
      </c>
      <c r="Q34" s="112">
        <v>4.82</v>
      </c>
    </row>
    <row r="35" spans="1:17" customFormat="1">
      <c r="A35" s="189" t="s">
        <v>361</v>
      </c>
      <c r="B35" s="112">
        <v>14.89</v>
      </c>
      <c r="C35" s="112">
        <v>16.78</v>
      </c>
      <c r="D35" s="112">
        <v>22.06</v>
      </c>
      <c r="E35" s="112">
        <v>7.81</v>
      </c>
      <c r="F35" s="112">
        <v>4.74</v>
      </c>
      <c r="G35" s="112">
        <v>34.130000000000003</v>
      </c>
      <c r="H35" s="112">
        <v>12.86</v>
      </c>
      <c r="I35" s="112">
        <v>6.4</v>
      </c>
      <c r="J35" s="112">
        <v>0.22</v>
      </c>
      <c r="K35" s="112">
        <v>258.89</v>
      </c>
      <c r="L35" s="112">
        <v>27.64</v>
      </c>
      <c r="M35" s="112">
        <v>86.84</v>
      </c>
      <c r="N35" s="112">
        <v>40.200000000000003</v>
      </c>
      <c r="O35" s="112">
        <v>0</v>
      </c>
      <c r="P35" s="112">
        <v>0.67</v>
      </c>
      <c r="Q35" s="112">
        <v>4.84</v>
      </c>
    </row>
    <row r="36" spans="1:17" customFormat="1">
      <c r="A36" s="189" t="s">
        <v>362</v>
      </c>
      <c r="B36" s="112">
        <v>14.21</v>
      </c>
      <c r="C36" s="112">
        <v>16.079999999999998</v>
      </c>
      <c r="D36" s="112">
        <v>21.15</v>
      </c>
      <c r="E36" s="112">
        <v>8.49</v>
      </c>
      <c r="F36" s="112">
        <v>5.05</v>
      </c>
      <c r="G36" s="112">
        <v>33.130000000000003</v>
      </c>
      <c r="H36" s="112">
        <v>13.6</v>
      </c>
      <c r="I36" s="112">
        <v>6.55</v>
      </c>
      <c r="J36" s="112">
        <v>0.1</v>
      </c>
      <c r="K36" s="112">
        <v>255.13</v>
      </c>
      <c r="L36" s="112">
        <v>27.99</v>
      </c>
      <c r="M36" s="112">
        <v>86.52</v>
      </c>
      <c r="N36" s="112">
        <v>57.1</v>
      </c>
      <c r="O36" s="112">
        <v>0</v>
      </c>
      <c r="P36" s="112">
        <v>0.66</v>
      </c>
      <c r="Q36" s="112">
        <v>4.8600000000000003</v>
      </c>
    </row>
    <row r="37" spans="1:17" customFormat="1">
      <c r="A37" s="189" t="s">
        <v>363</v>
      </c>
      <c r="B37" s="112">
        <v>14.16</v>
      </c>
      <c r="C37" s="112">
        <v>16.010000000000002</v>
      </c>
      <c r="D37" s="112">
        <v>21.07</v>
      </c>
      <c r="E37" s="112">
        <v>8.7100000000000009</v>
      </c>
      <c r="F37" s="112">
        <v>5.77</v>
      </c>
      <c r="G37" s="112">
        <v>33.08</v>
      </c>
      <c r="H37" s="112">
        <v>13.6</v>
      </c>
      <c r="I37" s="112">
        <v>6.49</v>
      </c>
      <c r="J37" s="112">
        <v>0.25</v>
      </c>
      <c r="K37" s="112">
        <v>269.39</v>
      </c>
      <c r="L37" s="112">
        <v>28.36</v>
      </c>
      <c r="M37" s="112">
        <v>84.63</v>
      </c>
      <c r="N37" s="112">
        <v>79</v>
      </c>
      <c r="O37" s="112">
        <v>0</v>
      </c>
      <c r="P37" s="112">
        <v>0.63</v>
      </c>
      <c r="Q37" s="112">
        <v>4.8899999999999997</v>
      </c>
    </row>
    <row r="38" spans="1:17" customFormat="1">
      <c r="A38" s="189" t="s">
        <v>364</v>
      </c>
      <c r="B38" s="112">
        <v>14.4</v>
      </c>
      <c r="C38" s="112">
        <v>16.52</v>
      </c>
      <c r="D38" s="112">
        <v>21.53</v>
      </c>
      <c r="E38" s="112">
        <v>10.24</v>
      </c>
      <c r="F38" s="112">
        <v>6.36</v>
      </c>
      <c r="G38" s="112">
        <v>33.08</v>
      </c>
      <c r="H38" s="112">
        <v>13.6</v>
      </c>
      <c r="I38" s="112">
        <v>6.53</v>
      </c>
      <c r="J38" s="112">
        <v>0.24</v>
      </c>
      <c r="K38" s="112">
        <v>268.32</v>
      </c>
      <c r="L38" s="112">
        <v>28.76</v>
      </c>
      <c r="M38" s="112">
        <v>82.15</v>
      </c>
      <c r="N38" s="112">
        <v>89.6</v>
      </c>
      <c r="O38" s="112">
        <v>0</v>
      </c>
      <c r="P38" s="112">
        <v>0.64</v>
      </c>
      <c r="Q38" s="112">
        <v>4.9000000000000004</v>
      </c>
    </row>
    <row r="39" spans="1:17" customFormat="1">
      <c r="A39" s="189" t="s">
        <v>365</v>
      </c>
      <c r="B39" s="112">
        <v>14.51</v>
      </c>
      <c r="C39" s="112">
        <v>16.71</v>
      </c>
      <c r="D39" s="112">
        <v>21.71</v>
      </c>
      <c r="E39" s="112">
        <v>11.6</v>
      </c>
      <c r="F39" s="112">
        <v>6.95</v>
      </c>
      <c r="G39" s="112">
        <v>33.08</v>
      </c>
      <c r="H39" s="112">
        <v>13.6</v>
      </c>
      <c r="I39" s="112">
        <v>6.71</v>
      </c>
      <c r="J39" s="112">
        <v>7.0000000000000007E-2</v>
      </c>
      <c r="K39" s="112">
        <v>73.53</v>
      </c>
      <c r="L39" s="112">
        <v>29.4</v>
      </c>
      <c r="M39" s="112">
        <v>80.180000000000007</v>
      </c>
      <c r="N39" s="112">
        <v>142.30000000000001</v>
      </c>
      <c r="O39" s="112">
        <v>0</v>
      </c>
      <c r="P39" s="112">
        <v>0.65</v>
      </c>
      <c r="Q39" s="112">
        <v>4.92</v>
      </c>
    </row>
    <row r="40" spans="1:17" customFormat="1">
      <c r="A40" s="189" t="s">
        <v>366</v>
      </c>
      <c r="B40" s="112">
        <v>14.86</v>
      </c>
      <c r="C40" s="112">
        <v>18.329999999999998</v>
      </c>
      <c r="D40" s="112">
        <v>22.85</v>
      </c>
      <c r="E40" s="112">
        <v>11.8</v>
      </c>
      <c r="F40" s="112">
        <v>6.57</v>
      </c>
      <c r="G40" s="112">
        <v>38.58</v>
      </c>
      <c r="H40" s="112">
        <v>13.48</v>
      </c>
      <c r="I40" s="112">
        <v>6.82</v>
      </c>
      <c r="J40" s="112">
        <v>0.12</v>
      </c>
      <c r="K40" s="112">
        <v>4.0999999999999996</v>
      </c>
      <c r="L40" s="112">
        <v>29.84</v>
      </c>
      <c r="M40" s="112">
        <v>77.22</v>
      </c>
      <c r="N40" s="112">
        <v>172.1</v>
      </c>
      <c r="O40" s="112">
        <v>0</v>
      </c>
      <c r="P40" s="112">
        <v>0.7</v>
      </c>
      <c r="Q40" s="112">
        <v>4.95</v>
      </c>
    </row>
    <row r="41" spans="1:17" customFormat="1">
      <c r="A41" s="189" t="s">
        <v>367</v>
      </c>
      <c r="B41" s="112">
        <v>15.63</v>
      </c>
      <c r="C41" s="112">
        <v>19.75</v>
      </c>
      <c r="D41" s="112">
        <v>24.2</v>
      </c>
      <c r="E41" s="112">
        <v>15.95</v>
      </c>
      <c r="F41" s="112">
        <v>6.22</v>
      </c>
      <c r="G41" s="112">
        <v>38.9</v>
      </c>
      <c r="H41" s="112">
        <v>13.48</v>
      </c>
      <c r="I41" s="112">
        <v>6.92</v>
      </c>
      <c r="J41" s="112">
        <v>0.1</v>
      </c>
      <c r="K41" s="112">
        <v>324.04000000000002</v>
      </c>
      <c r="L41" s="112">
        <v>30.54</v>
      </c>
      <c r="M41" s="112">
        <v>75.209999999999994</v>
      </c>
      <c r="N41" s="112">
        <v>263.5</v>
      </c>
      <c r="O41" s="112">
        <v>0</v>
      </c>
      <c r="P41" s="112">
        <v>0.74</v>
      </c>
      <c r="Q41" s="112">
        <v>5.01</v>
      </c>
    </row>
    <row r="42" spans="1:17" customFormat="1">
      <c r="A42" s="189" t="s">
        <v>368</v>
      </c>
      <c r="B42" s="112">
        <v>15.97</v>
      </c>
      <c r="C42" s="112">
        <v>19.88</v>
      </c>
      <c r="D42" s="112">
        <v>24.55</v>
      </c>
      <c r="E42" s="112">
        <v>24.91</v>
      </c>
      <c r="F42" s="112">
        <v>7</v>
      </c>
      <c r="G42" s="112">
        <v>38.9</v>
      </c>
      <c r="H42" s="112">
        <v>13.48</v>
      </c>
      <c r="I42" s="112">
        <v>7.09</v>
      </c>
      <c r="J42" s="112">
        <v>0.26</v>
      </c>
      <c r="K42" s="112">
        <v>336.22</v>
      </c>
      <c r="L42" s="112">
        <v>31.18</v>
      </c>
      <c r="M42" s="112">
        <v>72.650000000000006</v>
      </c>
      <c r="N42" s="112">
        <v>210</v>
      </c>
      <c r="O42" s="112">
        <v>0</v>
      </c>
      <c r="P42" s="112">
        <v>0.79</v>
      </c>
      <c r="Q42" s="112">
        <v>5.03</v>
      </c>
    </row>
    <row r="43" spans="1:17" customFormat="1">
      <c r="A43" s="189" t="s">
        <v>369</v>
      </c>
      <c r="B43" s="112">
        <v>16.29</v>
      </c>
      <c r="C43" s="112">
        <v>20.11</v>
      </c>
      <c r="D43" s="112">
        <v>24.92</v>
      </c>
      <c r="E43" s="112">
        <v>26.75</v>
      </c>
      <c r="F43" s="112">
        <v>7.46</v>
      </c>
      <c r="G43" s="112">
        <v>38.9</v>
      </c>
      <c r="H43" s="112">
        <v>13.48</v>
      </c>
      <c r="I43" s="112">
        <v>7.24</v>
      </c>
      <c r="J43" s="112">
        <v>0.19</v>
      </c>
      <c r="K43" s="112">
        <v>337.97</v>
      </c>
      <c r="L43" s="112">
        <v>31.71</v>
      </c>
      <c r="M43" s="112">
        <v>71.400000000000006</v>
      </c>
      <c r="N43" s="112">
        <v>243.8</v>
      </c>
      <c r="O43" s="112">
        <v>0</v>
      </c>
      <c r="P43" s="112">
        <v>0.78</v>
      </c>
      <c r="Q43" s="112">
        <v>5.05</v>
      </c>
    </row>
    <row r="44" spans="1:17" customFormat="1">
      <c r="A44" s="189" t="s">
        <v>370</v>
      </c>
      <c r="B44" s="112">
        <v>16.05</v>
      </c>
      <c r="C44" s="112">
        <v>20.95</v>
      </c>
      <c r="D44" s="112">
        <v>25.17</v>
      </c>
      <c r="E44" s="112">
        <v>38.58</v>
      </c>
      <c r="F44" s="112">
        <v>8.58</v>
      </c>
      <c r="G44" s="112">
        <v>62.27</v>
      </c>
      <c r="H44" s="112">
        <v>26.72</v>
      </c>
      <c r="I44" s="112">
        <v>7.32</v>
      </c>
      <c r="J44" s="112">
        <v>0.13</v>
      </c>
      <c r="K44" s="112">
        <v>18.87</v>
      </c>
      <c r="L44" s="112">
        <v>32.270000000000003</v>
      </c>
      <c r="M44" s="112">
        <v>69.2</v>
      </c>
      <c r="N44" s="112">
        <v>204.4</v>
      </c>
      <c r="O44" s="112">
        <v>0</v>
      </c>
      <c r="P44" s="112">
        <v>0.8</v>
      </c>
      <c r="Q44" s="112">
        <v>5.08</v>
      </c>
    </row>
    <row r="45" spans="1:17" customFormat="1">
      <c r="A45" s="189" t="s">
        <v>371</v>
      </c>
      <c r="B45" s="112">
        <v>15.46</v>
      </c>
      <c r="C45" s="112">
        <v>20.43</v>
      </c>
      <c r="D45" s="112">
        <v>24.42</v>
      </c>
      <c r="E45" s="112">
        <v>27.67</v>
      </c>
      <c r="F45" s="112">
        <v>8.85</v>
      </c>
      <c r="G45" s="112">
        <v>63.65</v>
      </c>
      <c r="H45" s="112">
        <v>26.72</v>
      </c>
      <c r="I45" s="112">
        <v>7.35</v>
      </c>
      <c r="J45" s="112">
        <v>0.27</v>
      </c>
      <c r="K45" s="112">
        <v>278.92</v>
      </c>
      <c r="L45" s="112">
        <v>32.57</v>
      </c>
      <c r="M45" s="112">
        <v>69.47</v>
      </c>
      <c r="N45" s="112">
        <v>329.7</v>
      </c>
      <c r="O45" s="112">
        <v>0</v>
      </c>
      <c r="P45" s="112">
        <v>0.78</v>
      </c>
      <c r="Q45" s="112">
        <v>5.09</v>
      </c>
    </row>
    <row r="46" spans="1:17" customFormat="1">
      <c r="A46" s="189" t="s">
        <v>372</v>
      </c>
      <c r="B46" s="112">
        <v>15.14</v>
      </c>
      <c r="C46" s="112">
        <v>21.11</v>
      </c>
      <c r="D46" s="112">
        <v>24.53</v>
      </c>
      <c r="E46" s="112">
        <v>29.24</v>
      </c>
      <c r="F46" s="112">
        <v>8.93</v>
      </c>
      <c r="G46" s="112">
        <v>63.65</v>
      </c>
      <c r="H46" s="112">
        <v>26.72</v>
      </c>
      <c r="I46" s="112">
        <v>7.4</v>
      </c>
      <c r="J46" s="112">
        <v>0.1</v>
      </c>
      <c r="K46" s="112">
        <v>333.45</v>
      </c>
      <c r="L46" s="112">
        <v>33.22</v>
      </c>
      <c r="M46" s="112">
        <v>66.19</v>
      </c>
      <c r="N46" s="112">
        <v>478.9</v>
      </c>
      <c r="O46" s="112">
        <v>0</v>
      </c>
      <c r="P46" s="112">
        <v>0.83</v>
      </c>
      <c r="Q46" s="112">
        <v>5.08</v>
      </c>
    </row>
    <row r="47" spans="1:17" customFormat="1">
      <c r="A47" s="189" t="s">
        <v>373</v>
      </c>
      <c r="B47" s="112">
        <v>14.91</v>
      </c>
      <c r="C47" s="112">
        <v>21.53</v>
      </c>
      <c r="D47" s="112">
        <v>24.56</v>
      </c>
      <c r="E47" s="112">
        <v>34.94</v>
      </c>
      <c r="F47" s="112">
        <v>8.31</v>
      </c>
      <c r="G47" s="112">
        <v>63.65</v>
      </c>
      <c r="H47" s="112">
        <v>26.72</v>
      </c>
      <c r="I47" s="112">
        <v>7.51</v>
      </c>
      <c r="J47" s="112">
        <v>0.32</v>
      </c>
      <c r="K47" s="112">
        <v>13.24</v>
      </c>
      <c r="L47" s="112">
        <v>33.53</v>
      </c>
      <c r="M47" s="112">
        <v>64.53</v>
      </c>
      <c r="N47" s="112">
        <v>513.9</v>
      </c>
      <c r="O47" s="112">
        <v>0</v>
      </c>
      <c r="P47" s="112">
        <v>0.83</v>
      </c>
      <c r="Q47" s="112">
        <v>5.08</v>
      </c>
    </row>
    <row r="48" spans="1:17" customFormat="1">
      <c r="A48" s="189" t="s">
        <v>374</v>
      </c>
      <c r="B48" s="112">
        <v>15.41</v>
      </c>
      <c r="C48" s="112">
        <v>22.61</v>
      </c>
      <c r="D48" s="112">
        <v>25.52</v>
      </c>
      <c r="E48" s="112">
        <v>52.61</v>
      </c>
      <c r="F48" s="112">
        <v>9.06</v>
      </c>
      <c r="G48" s="112">
        <v>84.31</v>
      </c>
      <c r="H48" s="112">
        <v>27.12</v>
      </c>
      <c r="I48" s="112">
        <v>7.52</v>
      </c>
      <c r="J48" s="112">
        <v>0.45</v>
      </c>
      <c r="K48" s="112">
        <v>20.67</v>
      </c>
      <c r="L48" s="112">
        <v>33.700000000000003</v>
      </c>
      <c r="M48" s="112">
        <v>63.34</v>
      </c>
      <c r="N48" s="112">
        <v>442.8</v>
      </c>
      <c r="O48" s="112">
        <v>0</v>
      </c>
      <c r="P48" s="112">
        <v>0.85</v>
      </c>
      <c r="Q48" s="112">
        <v>5.08</v>
      </c>
    </row>
    <row r="49" spans="1:17" customFormat="1">
      <c r="A49" s="189" t="s">
        <v>375</v>
      </c>
      <c r="B49" s="112">
        <v>15.03</v>
      </c>
      <c r="C49" s="112">
        <v>22.1</v>
      </c>
      <c r="D49" s="112">
        <v>24.95</v>
      </c>
      <c r="E49" s="112">
        <v>31.1</v>
      </c>
      <c r="F49" s="112">
        <v>8.76</v>
      </c>
      <c r="G49" s="112">
        <v>85.53</v>
      </c>
      <c r="H49" s="112">
        <v>27.12</v>
      </c>
      <c r="I49" s="112">
        <v>7.41</v>
      </c>
      <c r="J49" s="112">
        <v>0.23</v>
      </c>
      <c r="K49" s="112">
        <v>36.369999999999997</v>
      </c>
      <c r="L49" s="112">
        <v>34.26</v>
      </c>
      <c r="M49" s="112">
        <v>61.82</v>
      </c>
      <c r="N49" s="112">
        <v>490.9</v>
      </c>
      <c r="O49" s="112">
        <v>0</v>
      </c>
      <c r="P49" s="112">
        <v>0.83</v>
      </c>
      <c r="Q49" s="112">
        <v>5.0999999999999996</v>
      </c>
    </row>
    <row r="50" spans="1:17" customFormat="1">
      <c r="A50" s="189" t="s">
        <v>376</v>
      </c>
      <c r="B50" s="112">
        <v>14.83</v>
      </c>
      <c r="C50" s="112">
        <v>22.19</v>
      </c>
      <c r="D50" s="112">
        <v>24.84</v>
      </c>
      <c r="E50" s="112">
        <v>34.950000000000003</v>
      </c>
      <c r="F50" s="112">
        <v>9.92</v>
      </c>
      <c r="G50" s="112">
        <v>85.53</v>
      </c>
      <c r="H50" s="112">
        <v>27.12</v>
      </c>
      <c r="I50" s="112">
        <v>7.36</v>
      </c>
      <c r="J50" s="112">
        <v>0.39</v>
      </c>
      <c r="K50" s="112">
        <v>50.43</v>
      </c>
      <c r="L50" s="112">
        <v>34.49</v>
      </c>
      <c r="M50" s="112">
        <v>60.12</v>
      </c>
      <c r="N50" s="112">
        <v>453.6</v>
      </c>
      <c r="O50" s="112">
        <v>0</v>
      </c>
      <c r="P50" s="112">
        <v>0.84</v>
      </c>
      <c r="Q50" s="112">
        <v>5.1100000000000003</v>
      </c>
    </row>
    <row r="51" spans="1:17" customFormat="1">
      <c r="A51" s="189" t="s">
        <v>377</v>
      </c>
      <c r="B51" s="112">
        <v>14.09</v>
      </c>
      <c r="C51" s="112">
        <v>21.58</v>
      </c>
      <c r="D51" s="112">
        <v>23.92</v>
      </c>
      <c r="E51" s="112">
        <v>32.630000000000003</v>
      </c>
      <c r="F51" s="112">
        <v>13.33</v>
      </c>
      <c r="G51" s="112">
        <v>85.53</v>
      </c>
      <c r="H51" s="112">
        <v>27.12</v>
      </c>
      <c r="I51" s="112">
        <v>7.36</v>
      </c>
      <c r="J51" s="112">
        <v>0.35</v>
      </c>
      <c r="K51" s="112">
        <v>9.51</v>
      </c>
      <c r="L51" s="112">
        <v>34.36</v>
      </c>
      <c r="M51" s="112">
        <v>60.41</v>
      </c>
      <c r="N51" s="112">
        <v>446.1</v>
      </c>
      <c r="O51" s="112">
        <v>0</v>
      </c>
      <c r="P51" s="112">
        <v>0.81</v>
      </c>
      <c r="Q51" s="112">
        <v>5.0599999999999996</v>
      </c>
    </row>
    <row r="52" spans="1:17" customFormat="1">
      <c r="A52" s="189" t="s">
        <v>378</v>
      </c>
      <c r="B52" s="112">
        <v>13.54</v>
      </c>
      <c r="C52" s="112">
        <v>20.99</v>
      </c>
      <c r="D52" s="112">
        <v>23.17</v>
      </c>
      <c r="E52" s="112">
        <v>26.16</v>
      </c>
      <c r="F52" s="112">
        <v>11.59</v>
      </c>
      <c r="G52" s="112">
        <v>100.89</v>
      </c>
      <c r="H52" s="112">
        <v>27.66</v>
      </c>
      <c r="I52" s="112">
        <v>7.13</v>
      </c>
      <c r="J52" s="112">
        <v>0.68</v>
      </c>
      <c r="K52" s="112">
        <v>22.77</v>
      </c>
      <c r="L52" s="112">
        <v>33.68</v>
      </c>
      <c r="M52" s="112">
        <v>63.15</v>
      </c>
      <c r="N52" s="112">
        <v>234.3</v>
      </c>
      <c r="O52" s="112">
        <v>0</v>
      </c>
      <c r="P52" s="112">
        <v>0.81</v>
      </c>
      <c r="Q52" s="112">
        <v>5.01</v>
      </c>
    </row>
    <row r="53" spans="1:17" customFormat="1">
      <c r="A53" s="189" t="s">
        <v>379</v>
      </c>
      <c r="B53" s="112">
        <v>13.22</v>
      </c>
      <c r="C53" s="112">
        <v>21.71</v>
      </c>
      <c r="D53" s="112">
        <v>23.29</v>
      </c>
      <c r="E53" s="112">
        <v>13.86</v>
      </c>
      <c r="F53" s="112">
        <v>11.67</v>
      </c>
      <c r="G53" s="112">
        <v>101.8</v>
      </c>
      <c r="H53" s="112">
        <v>27.66</v>
      </c>
      <c r="I53" s="112">
        <v>6.87</v>
      </c>
      <c r="J53" s="112">
        <v>0.62</v>
      </c>
      <c r="K53" s="112">
        <v>47.67</v>
      </c>
      <c r="L53" s="112">
        <v>32.5</v>
      </c>
      <c r="M53" s="112">
        <v>65.94</v>
      </c>
      <c r="N53" s="112">
        <v>139.1</v>
      </c>
      <c r="O53" s="112">
        <v>0</v>
      </c>
      <c r="P53" s="112">
        <v>0.81</v>
      </c>
      <c r="Q53" s="112">
        <v>5.0199999999999996</v>
      </c>
    </row>
    <row r="54" spans="1:17" customFormat="1">
      <c r="A54" s="189" t="s">
        <v>380</v>
      </c>
      <c r="B54" s="112">
        <v>12.74</v>
      </c>
      <c r="C54" s="112">
        <v>20.78</v>
      </c>
      <c r="D54" s="112">
        <v>22.42</v>
      </c>
      <c r="E54" s="112">
        <v>15.38</v>
      </c>
      <c r="F54" s="112">
        <v>14.3</v>
      </c>
      <c r="G54" s="112">
        <v>101.8</v>
      </c>
      <c r="H54" s="112">
        <v>27.66</v>
      </c>
      <c r="I54" s="112">
        <v>6.88</v>
      </c>
      <c r="J54" s="112">
        <v>0.73</v>
      </c>
      <c r="K54" s="112">
        <v>47.04</v>
      </c>
      <c r="L54" s="112">
        <v>32.58</v>
      </c>
      <c r="M54" s="112">
        <v>65.94</v>
      </c>
      <c r="N54" s="112">
        <v>304.10000000000002</v>
      </c>
      <c r="O54" s="112">
        <v>0</v>
      </c>
      <c r="P54" s="112">
        <v>0.79</v>
      </c>
      <c r="Q54" s="112">
        <v>4.99</v>
      </c>
    </row>
    <row r="55" spans="1:17" customFormat="1">
      <c r="A55" s="189" t="s">
        <v>381</v>
      </c>
      <c r="B55" s="112">
        <v>11.83</v>
      </c>
      <c r="C55" s="112">
        <v>19.850000000000001</v>
      </c>
      <c r="D55" s="112">
        <v>21.21</v>
      </c>
      <c r="E55" s="112">
        <v>15.76</v>
      </c>
      <c r="F55" s="112">
        <v>15.86</v>
      </c>
      <c r="G55" s="112">
        <v>101.8</v>
      </c>
      <c r="H55" s="112">
        <v>27.66</v>
      </c>
      <c r="I55" s="112">
        <v>6.8</v>
      </c>
      <c r="J55" s="112">
        <v>1.01</v>
      </c>
      <c r="K55" s="112">
        <v>31.72</v>
      </c>
      <c r="L55" s="112">
        <v>33.619999999999997</v>
      </c>
      <c r="M55" s="112">
        <v>62.98</v>
      </c>
      <c r="N55" s="112">
        <v>766</v>
      </c>
      <c r="O55" s="112">
        <v>0</v>
      </c>
      <c r="P55" s="112">
        <v>0.75</v>
      </c>
      <c r="Q55" s="112">
        <v>4.9000000000000004</v>
      </c>
    </row>
    <row r="56" spans="1:17" customFormat="1">
      <c r="A56" s="189" t="s">
        <v>382</v>
      </c>
      <c r="B56" s="112">
        <v>11.61</v>
      </c>
      <c r="C56" s="112">
        <v>19.73</v>
      </c>
      <c r="D56" s="112">
        <v>20.97</v>
      </c>
      <c r="E56" s="112">
        <v>13.71</v>
      </c>
      <c r="F56" s="112">
        <v>16.440000000000001</v>
      </c>
      <c r="G56" s="112">
        <v>97.72</v>
      </c>
      <c r="H56" s="112">
        <v>25.83</v>
      </c>
      <c r="I56" s="112">
        <v>6.56</v>
      </c>
      <c r="J56" s="112">
        <v>0.85</v>
      </c>
      <c r="K56" s="112">
        <v>27.03</v>
      </c>
      <c r="L56" s="112">
        <v>34.409999999999997</v>
      </c>
      <c r="M56" s="112">
        <v>60.16</v>
      </c>
      <c r="N56" s="112">
        <v>803.7</v>
      </c>
      <c r="O56" s="112">
        <v>0</v>
      </c>
      <c r="P56" s="112">
        <v>0.73</v>
      </c>
      <c r="Q56" s="112">
        <v>4.88</v>
      </c>
    </row>
    <row r="57" spans="1:17" customFormat="1">
      <c r="A57" s="189" t="s">
        <v>383</v>
      </c>
      <c r="B57" s="112">
        <v>11.72</v>
      </c>
      <c r="C57" s="112">
        <v>21.52</v>
      </c>
      <c r="D57" s="112">
        <v>21.99</v>
      </c>
      <c r="E57" s="112">
        <v>13.07</v>
      </c>
      <c r="F57" s="112">
        <v>15.37</v>
      </c>
      <c r="G57" s="112">
        <v>97.48</v>
      </c>
      <c r="H57" s="112">
        <v>25.83</v>
      </c>
      <c r="I57" s="112">
        <v>6.18</v>
      </c>
      <c r="J57" s="112">
        <v>1.08</v>
      </c>
      <c r="K57" s="112">
        <v>33.47</v>
      </c>
      <c r="L57" s="112">
        <v>34.58</v>
      </c>
      <c r="M57" s="112">
        <v>58.25</v>
      </c>
      <c r="N57" s="112">
        <v>815.4</v>
      </c>
      <c r="O57" s="112">
        <v>0</v>
      </c>
      <c r="P57" s="112">
        <v>0.73</v>
      </c>
      <c r="Q57" s="112">
        <v>4.8499999999999996</v>
      </c>
    </row>
    <row r="58" spans="1:17" customFormat="1">
      <c r="A58" s="189" t="s">
        <v>384</v>
      </c>
      <c r="B58" s="112">
        <v>10.59</v>
      </c>
      <c r="C58" s="112">
        <v>20.13</v>
      </c>
      <c r="D58" s="112">
        <v>20.36</v>
      </c>
      <c r="E58" s="112">
        <v>14.11</v>
      </c>
      <c r="F58" s="112">
        <v>17.77</v>
      </c>
      <c r="G58" s="112">
        <v>97.48</v>
      </c>
      <c r="H58" s="112">
        <v>25.83</v>
      </c>
      <c r="I58" s="112">
        <v>6</v>
      </c>
      <c r="J58" s="112">
        <v>0.83</v>
      </c>
      <c r="K58" s="112">
        <v>21.26</v>
      </c>
      <c r="L58" s="112">
        <v>34.43</v>
      </c>
      <c r="M58" s="112">
        <v>58.86</v>
      </c>
      <c r="N58" s="112">
        <v>519.5</v>
      </c>
      <c r="O58" s="112">
        <v>0</v>
      </c>
      <c r="P58" s="112">
        <v>0.72</v>
      </c>
      <c r="Q58" s="112">
        <v>4.8</v>
      </c>
    </row>
    <row r="59" spans="1:17" customFormat="1">
      <c r="A59" s="189" t="s">
        <v>385</v>
      </c>
      <c r="B59" s="112">
        <v>10.17</v>
      </c>
      <c r="C59" s="112">
        <v>20.14</v>
      </c>
      <c r="D59" s="112">
        <v>20.03</v>
      </c>
      <c r="E59" s="112">
        <v>13.7</v>
      </c>
      <c r="F59" s="112">
        <v>15.9</v>
      </c>
      <c r="G59" s="112">
        <v>97.48</v>
      </c>
      <c r="H59" s="112">
        <v>25.83</v>
      </c>
      <c r="I59" s="112">
        <v>6.08</v>
      </c>
      <c r="J59" s="112">
        <v>0.62</v>
      </c>
      <c r="K59" s="112">
        <v>31.9</v>
      </c>
      <c r="L59" s="112">
        <v>34.06</v>
      </c>
      <c r="M59" s="112">
        <v>60.65</v>
      </c>
      <c r="N59" s="112">
        <v>356.4</v>
      </c>
      <c r="O59" s="112">
        <v>0</v>
      </c>
      <c r="P59" s="112">
        <v>0.74</v>
      </c>
      <c r="Q59" s="112">
        <v>4.78</v>
      </c>
    </row>
    <row r="60" spans="1:17" customFormat="1">
      <c r="A60" s="189" t="s">
        <v>386</v>
      </c>
      <c r="B60" s="112">
        <v>9.01</v>
      </c>
      <c r="C60" s="112">
        <v>18.79</v>
      </c>
      <c r="D60" s="112">
        <v>18.399999999999999</v>
      </c>
      <c r="E60" s="112">
        <v>13.35</v>
      </c>
      <c r="F60" s="112">
        <v>18.3</v>
      </c>
      <c r="G60" s="112">
        <v>90.15</v>
      </c>
      <c r="H60" s="112">
        <v>23.83</v>
      </c>
      <c r="I60" s="112">
        <v>6.02</v>
      </c>
      <c r="J60" s="112">
        <v>0.06</v>
      </c>
      <c r="K60" s="112">
        <v>241.61</v>
      </c>
      <c r="L60" s="112">
        <v>34.340000000000003</v>
      </c>
      <c r="M60" s="112">
        <v>59.93</v>
      </c>
      <c r="N60" s="112">
        <v>643.20000000000005</v>
      </c>
      <c r="O60" s="112">
        <v>0</v>
      </c>
      <c r="P60" s="112">
        <v>0.68</v>
      </c>
      <c r="Q60" s="112">
        <v>4.74</v>
      </c>
    </row>
    <row r="61" spans="1:17" customFormat="1">
      <c r="A61" s="189" t="s">
        <v>387</v>
      </c>
      <c r="B61" s="112">
        <v>8.9700000000000006</v>
      </c>
      <c r="C61" s="112">
        <v>19.14</v>
      </c>
      <c r="D61" s="112">
        <v>18.55</v>
      </c>
      <c r="E61" s="112">
        <v>9.5</v>
      </c>
      <c r="F61" s="112">
        <v>12.7</v>
      </c>
      <c r="G61" s="112">
        <v>89.72</v>
      </c>
      <c r="H61" s="112">
        <v>23.83</v>
      </c>
      <c r="I61" s="112">
        <v>5.87</v>
      </c>
      <c r="J61" s="112">
        <v>0.35</v>
      </c>
      <c r="K61" s="112">
        <v>227.09</v>
      </c>
      <c r="L61" s="112">
        <v>34.56</v>
      </c>
      <c r="M61" s="112">
        <v>62.05</v>
      </c>
      <c r="N61" s="112">
        <v>640</v>
      </c>
      <c r="O61" s="112">
        <v>0</v>
      </c>
      <c r="P61" s="112">
        <v>0.7</v>
      </c>
      <c r="Q61" s="112">
        <v>4.67</v>
      </c>
    </row>
    <row r="62" spans="1:17" customFormat="1">
      <c r="A62" s="189" t="s">
        <v>388</v>
      </c>
      <c r="B62" s="112">
        <v>8.4</v>
      </c>
      <c r="C62" s="112">
        <v>19.02</v>
      </c>
      <c r="D62" s="112">
        <v>18.02</v>
      </c>
      <c r="E62" s="112">
        <v>8.69</v>
      </c>
      <c r="F62" s="112">
        <v>13.44</v>
      </c>
      <c r="G62" s="112">
        <v>89.72</v>
      </c>
      <c r="H62" s="112">
        <v>23.83</v>
      </c>
      <c r="I62" s="112">
        <v>5.46</v>
      </c>
      <c r="J62" s="112">
        <v>0.23</v>
      </c>
      <c r="K62" s="112">
        <v>268.83999999999997</v>
      </c>
      <c r="L62" s="112">
        <v>34.42</v>
      </c>
      <c r="M62" s="112">
        <v>61.96</v>
      </c>
      <c r="N62" s="112">
        <v>655.8</v>
      </c>
      <c r="O62" s="112">
        <v>0</v>
      </c>
      <c r="P62" s="112">
        <v>0.68</v>
      </c>
      <c r="Q62" s="112">
        <v>4.59</v>
      </c>
    </row>
    <row r="63" spans="1:17" customFormat="1">
      <c r="A63" s="189" t="s">
        <v>389</v>
      </c>
      <c r="B63" s="112">
        <v>7.71</v>
      </c>
      <c r="C63" s="112">
        <v>18.010000000000002</v>
      </c>
      <c r="D63" s="112">
        <v>16.95</v>
      </c>
      <c r="E63" s="112">
        <v>8.93</v>
      </c>
      <c r="F63" s="112">
        <v>14.58</v>
      </c>
      <c r="G63" s="112">
        <v>89.72</v>
      </c>
      <c r="H63" s="112">
        <v>23.83</v>
      </c>
      <c r="I63" s="112">
        <v>5.91</v>
      </c>
      <c r="J63" s="112">
        <v>0.41</v>
      </c>
      <c r="K63" s="112">
        <v>255.66</v>
      </c>
      <c r="L63" s="112">
        <v>34.25</v>
      </c>
      <c r="M63" s="112">
        <v>62.42</v>
      </c>
      <c r="N63" s="112">
        <v>582.4</v>
      </c>
      <c r="O63" s="112">
        <v>0</v>
      </c>
      <c r="P63" s="112">
        <v>0.66</v>
      </c>
      <c r="Q63" s="112">
        <v>4.55</v>
      </c>
    </row>
    <row r="64" spans="1:17" customFormat="1">
      <c r="A64" s="189" t="s">
        <v>390</v>
      </c>
      <c r="B64" s="112">
        <v>7.43</v>
      </c>
      <c r="C64" s="112">
        <v>17.670000000000002</v>
      </c>
      <c r="D64" s="112">
        <v>16.54</v>
      </c>
      <c r="E64" s="112">
        <v>8.9499999999999993</v>
      </c>
      <c r="F64" s="112">
        <v>14.13</v>
      </c>
      <c r="G64" s="112">
        <v>75.569999999999993</v>
      </c>
      <c r="H64" s="112">
        <v>20.96</v>
      </c>
      <c r="I64" s="112">
        <v>5.9</v>
      </c>
      <c r="J64" s="112">
        <v>0.36</v>
      </c>
      <c r="K64" s="112">
        <v>309.36</v>
      </c>
      <c r="L64" s="112">
        <v>34.950000000000003</v>
      </c>
      <c r="M64" s="112">
        <v>57.6</v>
      </c>
      <c r="N64" s="112">
        <v>694.6</v>
      </c>
      <c r="O64" s="112">
        <v>0</v>
      </c>
      <c r="P64" s="112">
        <v>0.65</v>
      </c>
      <c r="Q64" s="112">
        <v>4.5</v>
      </c>
    </row>
    <row r="65" spans="1:17" customFormat="1">
      <c r="A65" s="189" t="s">
        <v>391</v>
      </c>
      <c r="B65" s="112">
        <v>7.41</v>
      </c>
      <c r="C65" s="112">
        <v>18.14</v>
      </c>
      <c r="D65" s="112">
        <v>16.78</v>
      </c>
      <c r="E65" s="112">
        <v>7.07</v>
      </c>
      <c r="F65" s="112">
        <v>12.17</v>
      </c>
      <c r="G65" s="112">
        <v>74.73</v>
      </c>
      <c r="H65" s="112">
        <v>20.96</v>
      </c>
      <c r="I65" s="112">
        <v>5.62</v>
      </c>
      <c r="J65" s="112">
        <v>0.48</v>
      </c>
      <c r="K65" s="112">
        <v>336.84</v>
      </c>
      <c r="L65" s="112">
        <v>35.24</v>
      </c>
      <c r="M65" s="112">
        <v>53.51</v>
      </c>
      <c r="N65" s="112">
        <v>706.9</v>
      </c>
      <c r="O65" s="112">
        <v>0</v>
      </c>
      <c r="P65" s="112">
        <v>0.62</v>
      </c>
      <c r="Q65" s="112">
        <v>4.46</v>
      </c>
    </row>
    <row r="66" spans="1:17" customFormat="1">
      <c r="A66" s="189" t="s">
        <v>392</v>
      </c>
      <c r="B66" s="112">
        <v>7.22</v>
      </c>
      <c r="C66" s="112">
        <v>17.829999999999998</v>
      </c>
      <c r="D66" s="112">
        <v>16.46</v>
      </c>
      <c r="E66" s="112">
        <v>6.91</v>
      </c>
      <c r="F66" s="112">
        <v>14.18</v>
      </c>
      <c r="G66" s="112">
        <v>74.73</v>
      </c>
      <c r="H66" s="112">
        <v>20.96</v>
      </c>
      <c r="I66" s="112">
        <v>5.53</v>
      </c>
      <c r="J66" s="112">
        <v>0.4</v>
      </c>
      <c r="K66" s="112">
        <v>353.72</v>
      </c>
      <c r="L66" s="112">
        <v>35.35</v>
      </c>
      <c r="M66" s="112">
        <v>52.05</v>
      </c>
      <c r="N66" s="112">
        <v>617</v>
      </c>
      <c r="O66" s="112">
        <v>0</v>
      </c>
      <c r="P66" s="112">
        <v>0.62</v>
      </c>
      <c r="Q66" s="112">
        <v>4.43</v>
      </c>
    </row>
    <row r="67" spans="1:17" customFormat="1">
      <c r="A67" s="189" t="s">
        <v>393</v>
      </c>
      <c r="B67" s="112">
        <v>6.86</v>
      </c>
      <c r="C67" s="112">
        <v>17.72</v>
      </c>
      <c r="D67" s="112">
        <v>16.11</v>
      </c>
      <c r="E67" s="112">
        <v>7.38</v>
      </c>
      <c r="F67" s="112">
        <v>15.52</v>
      </c>
      <c r="G67" s="112">
        <v>74.73</v>
      </c>
      <c r="H67" s="112">
        <v>20.96</v>
      </c>
      <c r="I67" s="112">
        <v>5.43</v>
      </c>
      <c r="J67" s="112">
        <v>0.4</v>
      </c>
      <c r="K67" s="112">
        <v>12.33</v>
      </c>
      <c r="L67" s="112">
        <v>35.11</v>
      </c>
      <c r="M67" s="112">
        <v>50.96</v>
      </c>
      <c r="N67" s="112">
        <v>418.6</v>
      </c>
      <c r="O67" s="112">
        <v>0</v>
      </c>
      <c r="P67" s="112">
        <v>0.61</v>
      </c>
      <c r="Q67" s="112">
        <v>4.38</v>
      </c>
    </row>
    <row r="68" spans="1:17" customFormat="1">
      <c r="A68" s="189" t="s">
        <v>394</v>
      </c>
      <c r="B68" s="112">
        <v>7.77</v>
      </c>
      <c r="C68" s="112">
        <v>18.54</v>
      </c>
      <c r="D68" s="112">
        <v>17.27</v>
      </c>
      <c r="E68" s="112">
        <v>7.26</v>
      </c>
      <c r="F68" s="112">
        <v>15.18</v>
      </c>
      <c r="G68" s="112">
        <v>61.61</v>
      </c>
      <c r="H68" s="112">
        <v>18.11</v>
      </c>
      <c r="I68" s="112">
        <v>5.23</v>
      </c>
      <c r="J68" s="112">
        <v>0.28000000000000003</v>
      </c>
      <c r="K68" s="112">
        <v>19.22</v>
      </c>
      <c r="L68" s="112">
        <v>34.9</v>
      </c>
      <c r="M68" s="112">
        <v>54.55</v>
      </c>
      <c r="N68" s="112">
        <v>223.7</v>
      </c>
      <c r="O68" s="112">
        <v>0</v>
      </c>
      <c r="P68" s="112">
        <v>0.61</v>
      </c>
      <c r="Q68" s="112">
        <v>4.3899999999999997</v>
      </c>
    </row>
    <row r="69" spans="1:17" customFormat="1">
      <c r="A69" s="189" t="s">
        <v>395</v>
      </c>
      <c r="B69" s="112">
        <v>8.11</v>
      </c>
      <c r="C69" s="112">
        <v>19.100000000000001</v>
      </c>
      <c r="D69" s="112">
        <v>17.829999999999998</v>
      </c>
      <c r="E69" s="112">
        <v>6.93</v>
      </c>
      <c r="F69" s="112">
        <v>13.59</v>
      </c>
      <c r="G69" s="112">
        <v>60.84</v>
      </c>
      <c r="H69" s="112">
        <v>18.11</v>
      </c>
      <c r="I69" s="112">
        <v>5.12</v>
      </c>
      <c r="J69" s="112">
        <v>0.26</v>
      </c>
      <c r="K69" s="112">
        <v>340.56</v>
      </c>
      <c r="L69" s="112">
        <v>34.159999999999997</v>
      </c>
      <c r="M69" s="112">
        <v>55.98</v>
      </c>
      <c r="N69" s="112">
        <v>146.19999999999999</v>
      </c>
      <c r="O69" s="112">
        <v>0</v>
      </c>
      <c r="P69" s="112">
        <v>0.59</v>
      </c>
      <c r="Q69" s="112">
        <v>4.3899999999999997</v>
      </c>
    </row>
    <row r="70" spans="1:17" customFormat="1">
      <c r="A70" s="189" t="s">
        <v>396</v>
      </c>
      <c r="B70" s="112">
        <v>8.52</v>
      </c>
      <c r="C70" s="112">
        <v>19.260000000000002</v>
      </c>
      <c r="D70" s="112">
        <v>18.25</v>
      </c>
      <c r="E70" s="112">
        <v>6.53</v>
      </c>
      <c r="F70" s="112">
        <v>14.9</v>
      </c>
      <c r="G70" s="112">
        <v>60.84</v>
      </c>
      <c r="H70" s="112">
        <v>18.11</v>
      </c>
      <c r="I70" s="112">
        <v>4.67</v>
      </c>
      <c r="J70" s="112">
        <v>0.26</v>
      </c>
      <c r="K70" s="112">
        <v>6.52</v>
      </c>
      <c r="L70" s="112">
        <v>33.58</v>
      </c>
      <c r="M70" s="112">
        <v>57.94</v>
      </c>
      <c r="N70" s="112">
        <v>102.3</v>
      </c>
      <c r="O70" s="112">
        <v>0</v>
      </c>
      <c r="P70" s="112">
        <v>0.57999999999999996</v>
      </c>
      <c r="Q70" s="112">
        <v>4.4000000000000004</v>
      </c>
    </row>
    <row r="71" spans="1:17" customFormat="1">
      <c r="A71" s="189" t="s">
        <v>397</v>
      </c>
      <c r="B71" s="112">
        <v>8.9</v>
      </c>
      <c r="C71" s="112">
        <v>19.350000000000001</v>
      </c>
      <c r="D71" s="112">
        <v>18.600000000000001</v>
      </c>
      <c r="E71" s="112">
        <v>6.69</v>
      </c>
      <c r="F71" s="112">
        <v>13.4</v>
      </c>
      <c r="G71" s="112">
        <v>60.84</v>
      </c>
      <c r="H71" s="112">
        <v>18.11</v>
      </c>
      <c r="I71" s="112">
        <v>4.6399999999999997</v>
      </c>
      <c r="J71" s="112">
        <v>0.25</v>
      </c>
      <c r="K71" s="112">
        <v>0.75</v>
      </c>
      <c r="L71" s="112">
        <v>33.22</v>
      </c>
      <c r="M71" s="112">
        <v>58.69</v>
      </c>
      <c r="N71" s="112">
        <v>80.400000000000006</v>
      </c>
      <c r="O71" s="112">
        <v>0</v>
      </c>
      <c r="P71" s="112">
        <v>0.59</v>
      </c>
      <c r="Q71" s="112">
        <v>4.43</v>
      </c>
    </row>
    <row r="72" spans="1:17" customFormat="1">
      <c r="A72" s="189" t="s">
        <v>398</v>
      </c>
      <c r="B72" s="112">
        <v>8.92</v>
      </c>
      <c r="C72" s="112">
        <v>19.95</v>
      </c>
      <c r="D72" s="112">
        <v>18.93</v>
      </c>
      <c r="E72" s="112">
        <v>6.35</v>
      </c>
      <c r="F72" s="112">
        <v>12.8</v>
      </c>
      <c r="G72" s="112">
        <v>59.71</v>
      </c>
      <c r="H72" s="112">
        <v>17.7</v>
      </c>
      <c r="I72" s="112">
        <v>4.4800000000000004</v>
      </c>
      <c r="J72" s="112">
        <v>0.28000000000000003</v>
      </c>
      <c r="K72" s="112">
        <v>37.79</v>
      </c>
      <c r="L72" s="112">
        <v>32.9</v>
      </c>
      <c r="M72" s="112">
        <v>59.98</v>
      </c>
      <c r="N72" s="112">
        <v>70.2</v>
      </c>
      <c r="O72" s="112">
        <v>0</v>
      </c>
      <c r="P72" s="112">
        <v>0.6</v>
      </c>
      <c r="Q72" s="112">
        <v>4.4800000000000004</v>
      </c>
    </row>
    <row r="73" spans="1:17" customFormat="1">
      <c r="A73" s="189" t="s">
        <v>399</v>
      </c>
      <c r="B73" s="112">
        <v>10.76</v>
      </c>
      <c r="C73" s="112">
        <v>21.75</v>
      </c>
      <c r="D73" s="112">
        <v>21.34</v>
      </c>
      <c r="E73" s="112">
        <v>6.86</v>
      </c>
      <c r="F73" s="112">
        <v>13.23</v>
      </c>
      <c r="G73" s="112">
        <v>59.64</v>
      </c>
      <c r="H73" s="112">
        <v>17.7</v>
      </c>
      <c r="I73" s="112">
        <v>4.55</v>
      </c>
      <c r="J73" s="112">
        <v>0.28999999999999998</v>
      </c>
      <c r="K73" s="112">
        <v>19.309999999999999</v>
      </c>
      <c r="L73" s="112">
        <v>32.869999999999997</v>
      </c>
      <c r="M73" s="112">
        <v>60.89</v>
      </c>
      <c r="N73" s="112">
        <v>63.6</v>
      </c>
      <c r="O73" s="112">
        <v>0</v>
      </c>
      <c r="P73" s="112">
        <v>0.64</v>
      </c>
      <c r="Q73" s="112">
        <v>4.5199999999999996</v>
      </c>
    </row>
    <row r="74" spans="1:17" customFormat="1">
      <c r="A74" s="189" t="s">
        <v>400</v>
      </c>
      <c r="B74" s="112">
        <v>11.78</v>
      </c>
      <c r="C74" s="112">
        <v>21.51</v>
      </c>
      <c r="D74" s="112">
        <v>22.04</v>
      </c>
      <c r="E74" s="112">
        <v>7.58</v>
      </c>
      <c r="F74" s="112">
        <v>14.82</v>
      </c>
      <c r="G74" s="112">
        <v>59.64</v>
      </c>
      <c r="H74" s="112">
        <v>17.7</v>
      </c>
      <c r="I74" s="112">
        <v>4.72</v>
      </c>
      <c r="J74" s="112">
        <v>0.28999999999999998</v>
      </c>
      <c r="K74" s="112">
        <v>30.76</v>
      </c>
      <c r="L74" s="112">
        <v>32.79</v>
      </c>
      <c r="M74" s="112">
        <v>61.56</v>
      </c>
      <c r="N74" s="112">
        <v>60.3</v>
      </c>
      <c r="O74" s="112">
        <v>0</v>
      </c>
      <c r="P74" s="112">
        <v>0.61</v>
      </c>
      <c r="Q74" s="112">
        <v>4.53</v>
      </c>
    </row>
    <row r="75" spans="1:17" customFormat="1">
      <c r="A75" s="189" t="s">
        <v>401</v>
      </c>
      <c r="B75" s="112">
        <v>10.050000000000001</v>
      </c>
      <c r="C75" s="112">
        <v>20.059999999999999</v>
      </c>
      <c r="D75" s="112">
        <v>19.89</v>
      </c>
      <c r="E75" s="112">
        <v>8.4600000000000009</v>
      </c>
      <c r="F75" s="112">
        <v>15.5</v>
      </c>
      <c r="G75" s="112">
        <v>59.64</v>
      </c>
      <c r="H75" s="112">
        <v>17.7</v>
      </c>
      <c r="I75" s="112">
        <v>4.45</v>
      </c>
      <c r="J75" s="112">
        <v>0.18</v>
      </c>
      <c r="K75" s="112">
        <v>174.36</v>
      </c>
      <c r="L75" s="112">
        <v>32.58</v>
      </c>
      <c r="M75" s="112">
        <v>66.069999999999993</v>
      </c>
      <c r="N75" s="112">
        <v>54.2</v>
      </c>
      <c r="O75" s="112">
        <v>0</v>
      </c>
      <c r="P75" s="112">
        <v>0.57999999999999996</v>
      </c>
      <c r="Q75" s="112">
        <v>4.53</v>
      </c>
    </row>
    <row r="76" spans="1:17" customFormat="1">
      <c r="A76" s="189" t="s">
        <v>402</v>
      </c>
      <c r="B76" s="112">
        <v>7.38</v>
      </c>
      <c r="C76" s="112">
        <v>15.37</v>
      </c>
      <c r="D76" s="112">
        <v>15.3</v>
      </c>
      <c r="E76" s="112">
        <v>7.26</v>
      </c>
      <c r="F76" s="112">
        <v>21.2</v>
      </c>
      <c r="G76" s="112">
        <v>70.430000000000007</v>
      </c>
      <c r="H76" s="112">
        <v>18.28</v>
      </c>
      <c r="I76" s="112">
        <v>4.28</v>
      </c>
      <c r="J76" s="112">
        <v>0.08</v>
      </c>
      <c r="K76" s="112">
        <v>195.68</v>
      </c>
      <c r="L76" s="112">
        <v>31.94</v>
      </c>
      <c r="M76" s="112">
        <v>74.650000000000006</v>
      </c>
      <c r="N76" s="112">
        <v>40.6</v>
      </c>
      <c r="O76" s="112">
        <v>0</v>
      </c>
      <c r="P76" s="112">
        <v>0.53</v>
      </c>
      <c r="Q76" s="112">
        <v>4.5599999999999996</v>
      </c>
    </row>
    <row r="77" spans="1:17" customFormat="1">
      <c r="A77" s="189" t="s">
        <v>403</v>
      </c>
      <c r="B77" s="112">
        <v>6.87</v>
      </c>
      <c r="C77" s="112">
        <v>13.53</v>
      </c>
      <c r="D77" s="112">
        <v>13.93</v>
      </c>
      <c r="E77" s="112">
        <v>7.1</v>
      </c>
      <c r="F77" s="112">
        <v>18.87</v>
      </c>
      <c r="G77" s="112">
        <v>71.06</v>
      </c>
      <c r="H77" s="112">
        <v>18.28</v>
      </c>
      <c r="I77" s="112">
        <v>3.93</v>
      </c>
      <c r="J77" s="112">
        <v>0.11</v>
      </c>
      <c r="K77" s="112">
        <v>208.46</v>
      </c>
      <c r="L77" s="112">
        <v>31.33</v>
      </c>
      <c r="M77" s="112">
        <v>80.41</v>
      </c>
      <c r="N77" s="112">
        <v>17.100000000000001</v>
      </c>
      <c r="O77" s="112">
        <v>0</v>
      </c>
      <c r="P77" s="112">
        <v>0.54</v>
      </c>
      <c r="Q77" s="112">
        <v>4.57</v>
      </c>
    </row>
    <row r="78" spans="1:17" customFormat="1">
      <c r="A78" s="189" t="s">
        <v>404</v>
      </c>
      <c r="B78" s="112">
        <v>6.61</v>
      </c>
      <c r="C78" s="112">
        <v>12.56</v>
      </c>
      <c r="D78" s="112">
        <v>13.22</v>
      </c>
      <c r="E78" s="112">
        <v>6.55</v>
      </c>
      <c r="F78" s="112">
        <v>21.26</v>
      </c>
      <c r="G78" s="112">
        <v>71.06</v>
      </c>
      <c r="H78" s="112">
        <v>18.28</v>
      </c>
      <c r="I78" s="112">
        <v>3.8</v>
      </c>
      <c r="J78" s="112">
        <v>0.11</v>
      </c>
      <c r="K78" s="112">
        <v>172.86</v>
      </c>
      <c r="L78" s="112">
        <v>30.98</v>
      </c>
      <c r="M78" s="112">
        <v>80.13</v>
      </c>
      <c r="N78" s="112">
        <v>6.4</v>
      </c>
      <c r="O78" s="112">
        <v>0</v>
      </c>
      <c r="P78" s="112">
        <v>0.53</v>
      </c>
      <c r="Q78" s="112">
        <v>4.5</v>
      </c>
    </row>
    <row r="79" spans="1:17" customFormat="1">
      <c r="A79" s="189" t="s">
        <v>405</v>
      </c>
      <c r="B79" s="112">
        <v>8.81</v>
      </c>
      <c r="C79" s="112">
        <v>13.51</v>
      </c>
      <c r="D79" s="112">
        <v>15.47</v>
      </c>
      <c r="E79" s="112">
        <v>7</v>
      </c>
      <c r="F79" s="112">
        <v>14.17</v>
      </c>
      <c r="G79" s="112">
        <v>71.06</v>
      </c>
      <c r="H79" s="112">
        <v>18.28</v>
      </c>
      <c r="I79" s="112">
        <v>3.89</v>
      </c>
      <c r="J79" s="112">
        <v>0.82</v>
      </c>
      <c r="K79" s="112">
        <v>39.67</v>
      </c>
      <c r="L79" s="112">
        <v>30.6</v>
      </c>
      <c r="M79" s="112">
        <v>73.84</v>
      </c>
      <c r="N79" s="112">
        <v>0</v>
      </c>
      <c r="O79" s="112">
        <v>0</v>
      </c>
      <c r="P79" s="112">
        <v>0.56999999999999995</v>
      </c>
      <c r="Q79" s="112">
        <v>4.46</v>
      </c>
    </row>
    <row r="80" spans="1:17" customFormat="1">
      <c r="A80" s="189" t="s">
        <v>406</v>
      </c>
      <c r="B80" s="112">
        <v>8.92</v>
      </c>
      <c r="C80" s="112">
        <v>17.100000000000001</v>
      </c>
      <c r="D80" s="112">
        <v>17.440000000000001</v>
      </c>
      <c r="E80" s="112">
        <v>6.65</v>
      </c>
      <c r="F80" s="112">
        <v>11.02</v>
      </c>
      <c r="G80" s="112">
        <v>58.07</v>
      </c>
      <c r="H80" s="112">
        <v>14.62</v>
      </c>
      <c r="I80" s="112">
        <v>3.9</v>
      </c>
      <c r="J80" s="112">
        <v>0.68</v>
      </c>
      <c r="K80" s="112">
        <v>312.95999999999998</v>
      </c>
      <c r="L80" s="112">
        <v>26.96</v>
      </c>
      <c r="M80" s="112">
        <v>80.489999999999995</v>
      </c>
      <c r="N80" s="112">
        <v>6.7</v>
      </c>
      <c r="O80" s="112">
        <v>11.2</v>
      </c>
      <c r="P80" s="112">
        <v>0.56000000000000005</v>
      </c>
      <c r="Q80" s="112">
        <v>4.46</v>
      </c>
    </row>
    <row r="81" spans="1:17" customFormat="1">
      <c r="A81" s="189" t="s">
        <v>407</v>
      </c>
      <c r="B81" s="112">
        <v>7.87</v>
      </c>
      <c r="C81" s="112">
        <v>17.25</v>
      </c>
      <c r="D81" s="112">
        <v>16.68</v>
      </c>
      <c r="E81" s="112">
        <v>5.43</v>
      </c>
      <c r="F81" s="112">
        <v>8.8000000000000007</v>
      </c>
      <c r="G81" s="112">
        <v>57.47</v>
      </c>
      <c r="H81" s="112">
        <v>14.62</v>
      </c>
      <c r="I81" s="112">
        <v>4.22</v>
      </c>
      <c r="J81" s="112">
        <v>0.52</v>
      </c>
      <c r="K81" s="112">
        <v>255.61</v>
      </c>
      <c r="L81" s="112">
        <v>23.55</v>
      </c>
      <c r="M81" s="112">
        <v>98.94</v>
      </c>
      <c r="N81" s="112">
        <v>0</v>
      </c>
      <c r="O81" s="112">
        <v>2</v>
      </c>
      <c r="P81" s="112">
        <v>0.53</v>
      </c>
      <c r="Q81" s="112">
        <v>4.42</v>
      </c>
    </row>
    <row r="82" spans="1:17" customFormat="1">
      <c r="A82" s="189" t="s">
        <v>408</v>
      </c>
      <c r="B82" s="112">
        <v>7.44</v>
      </c>
      <c r="C82" s="112">
        <v>17.41</v>
      </c>
      <c r="D82" s="112">
        <v>16.41</v>
      </c>
      <c r="E82" s="112">
        <v>6.28</v>
      </c>
      <c r="F82" s="112">
        <v>6.89</v>
      </c>
      <c r="G82" s="112">
        <v>57.47</v>
      </c>
      <c r="H82" s="112">
        <v>14.62</v>
      </c>
      <c r="I82" s="112">
        <v>4.66</v>
      </c>
      <c r="J82" s="112">
        <v>0.44</v>
      </c>
      <c r="K82" s="112">
        <v>277.33</v>
      </c>
      <c r="L82" s="112">
        <v>23.37</v>
      </c>
      <c r="M82" s="112">
        <v>100.13</v>
      </c>
      <c r="N82" s="112">
        <v>0</v>
      </c>
      <c r="O82" s="112">
        <v>0.2</v>
      </c>
      <c r="P82" s="112">
        <v>0.53</v>
      </c>
      <c r="Q82" s="112">
        <v>4.41</v>
      </c>
    </row>
    <row r="83" spans="1:17" customFormat="1">
      <c r="A83" s="189" t="s">
        <v>409</v>
      </c>
      <c r="B83" s="112">
        <v>7.46</v>
      </c>
      <c r="C83" s="112">
        <v>18.399999999999999</v>
      </c>
      <c r="D83" s="112">
        <v>16.95</v>
      </c>
      <c r="E83" s="112">
        <v>6.01</v>
      </c>
      <c r="F83" s="112">
        <v>5.82</v>
      </c>
      <c r="G83" s="112">
        <v>57.47</v>
      </c>
      <c r="H83" s="112">
        <v>14.62</v>
      </c>
      <c r="I83" s="112">
        <v>4.72</v>
      </c>
      <c r="J83" s="112">
        <v>0.45</v>
      </c>
      <c r="K83" s="112">
        <v>263.07</v>
      </c>
      <c r="L83" s="112">
        <v>23.72</v>
      </c>
      <c r="M83" s="112">
        <v>100.01</v>
      </c>
      <c r="N83" s="112">
        <v>0</v>
      </c>
      <c r="O83" s="112">
        <v>0</v>
      </c>
      <c r="P83" s="112">
        <v>0.53</v>
      </c>
      <c r="Q83" s="112">
        <v>4.3899999999999997</v>
      </c>
    </row>
    <row r="84" spans="1:17" customFormat="1">
      <c r="A84" s="189" t="s">
        <v>410</v>
      </c>
      <c r="B84" s="112">
        <v>7.5</v>
      </c>
      <c r="C84" s="112">
        <v>19.14</v>
      </c>
      <c r="D84" s="112">
        <v>17.37</v>
      </c>
      <c r="E84" s="112">
        <v>6</v>
      </c>
      <c r="F84" s="112">
        <v>5.9</v>
      </c>
      <c r="G84" s="112">
        <v>40.61</v>
      </c>
      <c r="H84" s="112">
        <v>12.39</v>
      </c>
      <c r="I84" s="112">
        <v>4.74</v>
      </c>
      <c r="J84" s="112">
        <v>0.27</v>
      </c>
      <c r="K84" s="112">
        <v>213.24</v>
      </c>
      <c r="L84" s="112">
        <v>24.73</v>
      </c>
      <c r="M84" s="112">
        <v>99.69</v>
      </c>
      <c r="N84" s="112">
        <v>0</v>
      </c>
      <c r="O84" s="112">
        <v>0</v>
      </c>
      <c r="P84" s="112">
        <v>0.54</v>
      </c>
      <c r="Q84" s="112">
        <v>4.41</v>
      </c>
    </row>
    <row r="85" spans="1:17" customFormat="1">
      <c r="A85" s="189" t="s">
        <v>411</v>
      </c>
      <c r="B85" s="112">
        <v>7.9</v>
      </c>
      <c r="C85" s="112">
        <v>19.93</v>
      </c>
      <c r="D85" s="112">
        <v>18.100000000000001</v>
      </c>
      <c r="E85" s="112">
        <v>6.81</v>
      </c>
      <c r="F85" s="112">
        <v>4.76</v>
      </c>
      <c r="G85" s="112">
        <v>39.61</v>
      </c>
      <c r="H85" s="112">
        <v>12.39</v>
      </c>
      <c r="I85" s="112">
        <v>4.7</v>
      </c>
      <c r="J85" s="112">
        <v>0.36</v>
      </c>
      <c r="K85" s="112">
        <v>252.82</v>
      </c>
      <c r="L85" s="112">
        <v>24.92</v>
      </c>
      <c r="M85" s="112">
        <v>100.15</v>
      </c>
      <c r="N85" s="112">
        <v>0</v>
      </c>
      <c r="O85" s="112">
        <v>0</v>
      </c>
      <c r="P85" s="112">
        <v>0.56000000000000005</v>
      </c>
      <c r="Q85" s="112">
        <v>4.4800000000000004</v>
      </c>
    </row>
    <row r="86" spans="1:17" customFormat="1">
      <c r="A86" s="189" t="s">
        <v>412</v>
      </c>
      <c r="B86" s="112">
        <v>8.1999999999999993</v>
      </c>
      <c r="C86" s="112">
        <v>18.600000000000001</v>
      </c>
      <c r="D86" s="112">
        <v>17.64</v>
      </c>
      <c r="E86" s="112">
        <v>6.44</v>
      </c>
      <c r="F86" s="112">
        <v>5.45</v>
      </c>
      <c r="G86" s="112">
        <v>39.61</v>
      </c>
      <c r="H86" s="112">
        <v>12.39</v>
      </c>
      <c r="I86" s="112">
        <v>4.6900000000000004</v>
      </c>
      <c r="J86" s="112">
        <v>0.56000000000000005</v>
      </c>
      <c r="K86" s="112">
        <v>261.02999999999997</v>
      </c>
      <c r="L86" s="112">
        <v>25.27</v>
      </c>
      <c r="M86" s="112">
        <v>100.81</v>
      </c>
      <c r="N86" s="112">
        <v>0</v>
      </c>
      <c r="O86" s="112">
        <v>0</v>
      </c>
      <c r="P86" s="112">
        <v>0.56000000000000005</v>
      </c>
      <c r="Q86" s="112">
        <v>4.49</v>
      </c>
    </row>
    <row r="87" spans="1:17" customFormat="1">
      <c r="A87" s="189" t="s">
        <v>413</v>
      </c>
      <c r="B87" s="112">
        <v>8.09</v>
      </c>
      <c r="C87" s="112">
        <v>17.37</v>
      </c>
      <c r="D87" s="112">
        <v>16.91</v>
      </c>
      <c r="E87" s="112">
        <v>6.29</v>
      </c>
      <c r="F87" s="112">
        <v>7.04</v>
      </c>
      <c r="G87" s="112">
        <v>39.61</v>
      </c>
      <c r="H87" s="112">
        <v>12.39</v>
      </c>
      <c r="I87" s="112">
        <v>4.88</v>
      </c>
      <c r="J87" s="112">
        <v>0.38</v>
      </c>
      <c r="K87" s="112">
        <v>253.82</v>
      </c>
      <c r="L87" s="112">
        <v>25.33</v>
      </c>
      <c r="M87" s="112">
        <v>100.82</v>
      </c>
      <c r="N87" s="112">
        <v>0</v>
      </c>
      <c r="O87" s="112">
        <v>0</v>
      </c>
      <c r="P87" s="112">
        <v>0.53</v>
      </c>
      <c r="Q87" s="112">
        <v>4.41</v>
      </c>
    </row>
    <row r="88" spans="1:17" customFormat="1">
      <c r="A88" s="189" t="s">
        <v>414</v>
      </c>
      <c r="B88" s="112">
        <v>7.72</v>
      </c>
      <c r="C88" s="112">
        <v>16.47</v>
      </c>
      <c r="D88" s="112">
        <v>16.149999999999999</v>
      </c>
      <c r="E88" s="112">
        <v>6.17</v>
      </c>
      <c r="F88" s="112">
        <v>7.63</v>
      </c>
      <c r="G88" s="112">
        <v>25.45</v>
      </c>
      <c r="H88" s="112">
        <v>10.93</v>
      </c>
      <c r="I88" s="112">
        <v>4.78</v>
      </c>
      <c r="J88" s="112">
        <v>0.15</v>
      </c>
      <c r="K88" s="112">
        <v>213.56</v>
      </c>
      <c r="L88" s="112">
        <v>25.13</v>
      </c>
      <c r="M88" s="112">
        <v>100.17</v>
      </c>
      <c r="N88" s="112">
        <v>0</v>
      </c>
      <c r="O88" s="112">
        <v>0</v>
      </c>
      <c r="P88" s="112">
        <v>0.51</v>
      </c>
      <c r="Q88" s="112">
        <v>4.4000000000000004</v>
      </c>
    </row>
    <row r="89" spans="1:17" customFormat="1">
      <c r="A89" s="189" t="s">
        <v>415</v>
      </c>
      <c r="B89" s="112">
        <v>7.81</v>
      </c>
      <c r="C89" s="112">
        <v>16.64</v>
      </c>
      <c r="D89" s="112">
        <v>16.309999999999999</v>
      </c>
      <c r="E89" s="112">
        <v>6.11</v>
      </c>
      <c r="F89" s="112">
        <v>6.24</v>
      </c>
      <c r="G89" s="112">
        <v>24.62</v>
      </c>
      <c r="H89" s="112">
        <v>10.93</v>
      </c>
      <c r="I89" s="112">
        <v>4.6500000000000004</v>
      </c>
      <c r="J89" s="112">
        <v>0.36</v>
      </c>
      <c r="K89" s="112">
        <v>253.52</v>
      </c>
      <c r="L89" s="112">
        <v>25.3</v>
      </c>
      <c r="M89" s="112">
        <v>97.78</v>
      </c>
      <c r="N89" s="112">
        <v>0</v>
      </c>
      <c r="O89" s="112">
        <v>0</v>
      </c>
      <c r="P89" s="112">
        <v>0.51</v>
      </c>
      <c r="Q89" s="112">
        <v>4.37</v>
      </c>
    </row>
    <row r="90" spans="1:17" customFormat="1">
      <c r="A90" s="189" t="s">
        <v>416</v>
      </c>
      <c r="B90" s="112">
        <v>8.0399999999999991</v>
      </c>
      <c r="C90" s="112">
        <v>18.27</v>
      </c>
      <c r="D90" s="112">
        <v>17.34</v>
      </c>
      <c r="E90" s="112">
        <v>6.67</v>
      </c>
      <c r="F90" s="112">
        <v>4.5199999999999996</v>
      </c>
      <c r="G90" s="112">
        <v>24.62</v>
      </c>
      <c r="H90" s="112">
        <v>10.93</v>
      </c>
      <c r="I90" s="112">
        <v>4.54</v>
      </c>
      <c r="J90" s="112">
        <v>0.18</v>
      </c>
      <c r="K90" s="112">
        <v>204.71</v>
      </c>
      <c r="L90" s="112">
        <v>25.38</v>
      </c>
      <c r="M90" s="112">
        <v>94.93</v>
      </c>
      <c r="N90" s="112">
        <v>0</v>
      </c>
      <c r="O90" s="112">
        <v>0</v>
      </c>
      <c r="P90" s="112">
        <v>0.55000000000000004</v>
      </c>
      <c r="Q90" s="112">
        <v>4.4400000000000004</v>
      </c>
    </row>
    <row r="91" spans="1:17" customFormat="1">
      <c r="A91" s="189" t="s">
        <v>417</v>
      </c>
      <c r="B91" s="112">
        <v>8.34</v>
      </c>
      <c r="C91" s="112">
        <v>17.96</v>
      </c>
      <c r="D91" s="112">
        <v>17.420000000000002</v>
      </c>
      <c r="E91" s="112">
        <v>6.68</v>
      </c>
      <c r="F91" s="112">
        <v>4.71</v>
      </c>
      <c r="G91" s="112">
        <v>24.62</v>
      </c>
      <c r="H91" s="112">
        <v>10.93</v>
      </c>
      <c r="I91" s="112">
        <v>4.67</v>
      </c>
      <c r="J91" s="112">
        <v>0.11</v>
      </c>
      <c r="K91" s="112">
        <v>194.34</v>
      </c>
      <c r="L91" s="112">
        <v>25.28</v>
      </c>
      <c r="M91" s="112">
        <v>94.8</v>
      </c>
      <c r="N91" s="112">
        <v>0</v>
      </c>
      <c r="O91" s="112">
        <v>0</v>
      </c>
      <c r="P91" s="112">
        <v>0.56000000000000005</v>
      </c>
      <c r="Q91" s="112">
        <v>4.45</v>
      </c>
    </row>
    <row r="92" spans="1:17" customFormat="1">
      <c r="A92" s="189" t="s">
        <v>418</v>
      </c>
      <c r="B92" s="112">
        <v>8.4600000000000009</v>
      </c>
      <c r="C92" s="112">
        <v>17.2</v>
      </c>
      <c r="D92" s="112">
        <v>17.12</v>
      </c>
      <c r="E92" s="112">
        <v>6.47</v>
      </c>
      <c r="F92" s="112">
        <v>5.43</v>
      </c>
      <c r="G92" s="112">
        <v>19.18</v>
      </c>
      <c r="H92" s="112">
        <v>7.66</v>
      </c>
      <c r="I92" s="112">
        <v>4.83</v>
      </c>
      <c r="J92" s="112">
        <v>0.18</v>
      </c>
      <c r="K92" s="112">
        <v>178.86</v>
      </c>
      <c r="L92" s="112">
        <v>25.33</v>
      </c>
      <c r="M92" s="112">
        <v>94.5</v>
      </c>
      <c r="N92" s="112">
        <v>0</v>
      </c>
      <c r="O92" s="112">
        <v>0</v>
      </c>
      <c r="P92" s="112">
        <v>0.55000000000000004</v>
      </c>
      <c r="Q92" s="112">
        <v>4.45</v>
      </c>
    </row>
    <row r="93" spans="1:17" customFormat="1">
      <c r="A93" s="189" t="s">
        <v>419</v>
      </c>
      <c r="B93" s="112">
        <v>8.25</v>
      </c>
      <c r="C93" s="112">
        <v>16.190000000000001</v>
      </c>
      <c r="D93" s="112">
        <v>16.420000000000002</v>
      </c>
      <c r="E93" s="112">
        <v>6.17</v>
      </c>
      <c r="F93" s="112">
        <v>6.33</v>
      </c>
      <c r="G93" s="112">
        <v>18.86</v>
      </c>
      <c r="H93" s="112">
        <v>7.66</v>
      </c>
      <c r="I93" s="112">
        <v>4.78</v>
      </c>
      <c r="J93" s="112">
        <v>0.14000000000000001</v>
      </c>
      <c r="K93" s="112">
        <v>167.14</v>
      </c>
      <c r="L93" s="112">
        <v>25.25</v>
      </c>
      <c r="M93" s="112">
        <v>95.47</v>
      </c>
      <c r="N93" s="112">
        <v>0</v>
      </c>
      <c r="O93" s="112">
        <v>0</v>
      </c>
      <c r="P93" s="112">
        <v>0.53</v>
      </c>
      <c r="Q93" s="112">
        <v>4.42</v>
      </c>
    </row>
    <row r="94" spans="1:17" customFormat="1">
      <c r="A94" s="189" t="s">
        <v>420</v>
      </c>
      <c r="B94" s="112">
        <v>8.17</v>
      </c>
      <c r="C94" s="112">
        <v>15.26</v>
      </c>
      <c r="D94" s="112">
        <v>15.88</v>
      </c>
      <c r="E94" s="112">
        <v>5.83</v>
      </c>
      <c r="F94" s="112">
        <v>6.66</v>
      </c>
      <c r="G94" s="112">
        <v>18.86</v>
      </c>
      <c r="H94" s="112">
        <v>7.66</v>
      </c>
      <c r="I94" s="112">
        <v>4.68</v>
      </c>
      <c r="J94" s="112">
        <v>0.17</v>
      </c>
      <c r="K94" s="112">
        <v>216.38</v>
      </c>
      <c r="L94" s="112">
        <v>25.24</v>
      </c>
      <c r="M94" s="112">
        <v>95.64</v>
      </c>
      <c r="N94" s="112">
        <v>0</v>
      </c>
      <c r="O94" s="112">
        <v>0</v>
      </c>
      <c r="P94" s="112">
        <v>0.5</v>
      </c>
      <c r="Q94" s="112">
        <v>4.3499999999999996</v>
      </c>
    </row>
    <row r="95" spans="1:17" customFormat="1">
      <c r="A95" s="189" t="s">
        <v>421</v>
      </c>
      <c r="B95" s="112">
        <v>7.84</v>
      </c>
      <c r="C95" s="112">
        <v>14.8</v>
      </c>
      <c r="D95" s="112">
        <v>15.37</v>
      </c>
      <c r="E95" s="112">
        <v>6.03</v>
      </c>
      <c r="F95" s="112">
        <v>7.54</v>
      </c>
      <c r="G95" s="112">
        <v>18.86</v>
      </c>
      <c r="H95" s="112">
        <v>7.66</v>
      </c>
      <c r="I95" s="112">
        <v>4.58</v>
      </c>
      <c r="J95" s="112">
        <v>0.1</v>
      </c>
      <c r="K95" s="112">
        <v>212.8</v>
      </c>
      <c r="L95" s="112">
        <v>25.22</v>
      </c>
      <c r="M95" s="112">
        <v>95.63</v>
      </c>
      <c r="N95" s="112">
        <v>0</v>
      </c>
      <c r="O95" s="112">
        <v>0</v>
      </c>
      <c r="P95" s="112">
        <v>0.49</v>
      </c>
      <c r="Q95" s="112">
        <v>4.37</v>
      </c>
    </row>
    <row r="96" spans="1:17" customFormat="1">
      <c r="A96" s="189" t="s">
        <v>422</v>
      </c>
      <c r="B96" s="112">
        <v>8.3000000000000007</v>
      </c>
      <c r="C96" s="112">
        <v>16.96</v>
      </c>
      <c r="D96" s="112">
        <v>16.87</v>
      </c>
      <c r="E96" s="112">
        <v>6.28</v>
      </c>
      <c r="F96" s="112">
        <v>5.17</v>
      </c>
      <c r="G96" s="112">
        <v>10.76</v>
      </c>
      <c r="H96" s="112">
        <v>5.58</v>
      </c>
      <c r="I96" s="112">
        <v>4.4800000000000004</v>
      </c>
      <c r="J96" s="112">
        <v>0.21</v>
      </c>
      <c r="K96" s="112">
        <v>242.17</v>
      </c>
      <c r="L96" s="112">
        <v>25.28</v>
      </c>
      <c r="M96" s="112">
        <v>95.65</v>
      </c>
      <c r="N96" s="112">
        <v>0</v>
      </c>
      <c r="O96" s="112">
        <v>0</v>
      </c>
      <c r="P96" s="112">
        <v>0.53</v>
      </c>
      <c r="Q96" s="112">
        <v>4.42</v>
      </c>
    </row>
    <row r="97" spans="1:22" customFormat="1">
      <c r="A97" s="189" t="s">
        <v>423</v>
      </c>
      <c r="B97" s="112">
        <v>8.65</v>
      </c>
      <c r="C97" s="112">
        <v>16.87</v>
      </c>
      <c r="D97" s="112">
        <v>17.100000000000001</v>
      </c>
      <c r="E97" s="112">
        <v>6.81</v>
      </c>
      <c r="F97" s="112">
        <v>5.2</v>
      </c>
      <c r="G97" s="112">
        <v>10.29</v>
      </c>
      <c r="H97" s="112">
        <v>5.58</v>
      </c>
      <c r="I97" s="112">
        <v>4.4400000000000004</v>
      </c>
      <c r="J97" s="112">
        <v>0.17</v>
      </c>
      <c r="K97" s="112">
        <v>243.19</v>
      </c>
      <c r="L97" s="112">
        <v>25.41</v>
      </c>
      <c r="M97" s="112">
        <v>95.19</v>
      </c>
      <c r="N97" s="112">
        <v>0</v>
      </c>
      <c r="O97" s="112">
        <v>0</v>
      </c>
      <c r="P97" s="112">
        <v>0.53</v>
      </c>
      <c r="Q97" s="112">
        <v>4.4400000000000004</v>
      </c>
    </row>
    <row r="98" spans="1:22" customFormat="1">
      <c r="A98" s="189" t="s">
        <v>424</v>
      </c>
      <c r="B98" s="112">
        <v>8.58</v>
      </c>
      <c r="C98" s="112">
        <v>15.82</v>
      </c>
      <c r="D98" s="112">
        <v>16.5</v>
      </c>
      <c r="E98" s="112">
        <v>6.35</v>
      </c>
      <c r="F98" s="112">
        <v>6.04</v>
      </c>
      <c r="G98" s="112">
        <v>10.29</v>
      </c>
      <c r="H98" s="112">
        <v>5.58</v>
      </c>
      <c r="I98" s="112">
        <v>4.72</v>
      </c>
      <c r="J98" s="112">
        <v>0.1</v>
      </c>
      <c r="K98" s="112">
        <v>78.98</v>
      </c>
      <c r="L98" s="112">
        <v>25.38</v>
      </c>
      <c r="M98" s="112">
        <v>94.45</v>
      </c>
      <c r="N98" s="112">
        <v>0</v>
      </c>
      <c r="O98" s="112">
        <v>0</v>
      </c>
      <c r="P98" s="112">
        <v>0.51</v>
      </c>
      <c r="Q98" s="112">
        <v>4.42</v>
      </c>
    </row>
    <row r="99" spans="1:22" customFormat="1">
      <c r="A99" s="189" t="s">
        <v>425</v>
      </c>
      <c r="B99" s="112">
        <v>8.35</v>
      </c>
      <c r="C99" s="112">
        <v>15.04</v>
      </c>
      <c r="D99" s="112">
        <v>15.91</v>
      </c>
      <c r="E99" s="112">
        <v>6.26</v>
      </c>
      <c r="F99" s="112">
        <v>6.77</v>
      </c>
      <c r="G99" s="112">
        <v>10.29</v>
      </c>
      <c r="H99" s="112">
        <v>5.58</v>
      </c>
      <c r="I99" s="112">
        <v>4.62</v>
      </c>
      <c r="J99" s="112">
        <v>0.25</v>
      </c>
      <c r="K99" s="112">
        <v>77.33</v>
      </c>
      <c r="L99" s="112">
        <v>25.59</v>
      </c>
      <c r="M99" s="112">
        <v>91.55</v>
      </c>
      <c r="N99" s="112">
        <v>0</v>
      </c>
      <c r="O99" s="112">
        <v>0</v>
      </c>
      <c r="P99" s="112">
        <v>0.48</v>
      </c>
      <c r="Q99" s="112">
        <v>4.37</v>
      </c>
    </row>
    <row r="100" spans="1:22" customFormat="1">
      <c r="A100" s="189" t="s">
        <v>426</v>
      </c>
      <c r="B100" s="112">
        <v>8.2200000000000006</v>
      </c>
      <c r="C100" s="112">
        <v>16.43</v>
      </c>
      <c r="D100" s="112">
        <v>16.53</v>
      </c>
      <c r="E100" s="112">
        <v>6.02</v>
      </c>
      <c r="F100" s="112">
        <v>5.23</v>
      </c>
      <c r="G100" s="112">
        <v>12.56</v>
      </c>
      <c r="H100" s="112">
        <v>4.2</v>
      </c>
      <c r="I100" s="112">
        <v>4.49</v>
      </c>
      <c r="J100" s="112">
        <v>0.14000000000000001</v>
      </c>
      <c r="K100" s="112">
        <v>165.93</v>
      </c>
      <c r="L100" s="112">
        <v>25.69</v>
      </c>
      <c r="M100" s="112">
        <v>92.08</v>
      </c>
      <c r="N100" s="112">
        <v>0</v>
      </c>
      <c r="O100" s="112">
        <v>0</v>
      </c>
      <c r="P100" s="112">
        <v>0.51</v>
      </c>
      <c r="Q100" s="112">
        <v>4.4000000000000004</v>
      </c>
    </row>
    <row r="101" spans="1:22" customFormat="1">
      <c r="A101" s="189" t="s">
        <v>427</v>
      </c>
      <c r="B101" s="112">
        <v>8.24</v>
      </c>
      <c r="C101" s="112">
        <v>16.97</v>
      </c>
      <c r="D101" s="112">
        <v>16.82</v>
      </c>
      <c r="E101" s="112">
        <v>6.68</v>
      </c>
      <c r="F101" s="112">
        <v>5.81</v>
      </c>
      <c r="G101" s="112">
        <v>12.67</v>
      </c>
      <c r="H101" s="112">
        <v>4.2</v>
      </c>
      <c r="I101" s="112">
        <v>4.42</v>
      </c>
      <c r="J101" s="112">
        <v>0.2</v>
      </c>
      <c r="K101" s="112">
        <v>245.92</v>
      </c>
      <c r="L101" s="112">
        <v>25.68</v>
      </c>
      <c r="M101" s="112">
        <v>92.72</v>
      </c>
      <c r="N101" s="112">
        <v>0</v>
      </c>
      <c r="O101" s="112">
        <v>0</v>
      </c>
      <c r="P101" s="112">
        <v>0.51</v>
      </c>
      <c r="Q101" s="112">
        <v>4.4400000000000004</v>
      </c>
    </row>
    <row r="102" spans="1:22" customFormat="1">
      <c r="A102" s="189" t="s">
        <v>428</v>
      </c>
      <c r="B102" s="112">
        <v>8.32</v>
      </c>
      <c r="C102" s="112">
        <v>15.8</v>
      </c>
      <c r="D102" s="112">
        <v>16.28</v>
      </c>
      <c r="E102" s="112">
        <v>6.3</v>
      </c>
      <c r="F102" s="112">
        <v>6.16</v>
      </c>
      <c r="G102" s="112">
        <v>12.67</v>
      </c>
      <c r="H102" s="112">
        <v>4.2</v>
      </c>
      <c r="I102" s="112">
        <v>4.47</v>
      </c>
      <c r="J102" s="112">
        <v>0.49</v>
      </c>
      <c r="K102" s="112">
        <v>263.99</v>
      </c>
      <c r="L102" s="112">
        <v>25.57</v>
      </c>
      <c r="M102" s="112">
        <v>93.07</v>
      </c>
      <c r="N102" s="112">
        <v>0</v>
      </c>
      <c r="O102" s="112">
        <v>0</v>
      </c>
      <c r="P102" s="112">
        <v>0.49</v>
      </c>
      <c r="Q102" s="112">
        <v>4.3899999999999997</v>
      </c>
    </row>
    <row r="103" spans="1:22" customFormat="1">
      <c r="A103" s="189" t="s">
        <v>429</v>
      </c>
      <c r="B103" s="112">
        <v>7.97</v>
      </c>
      <c r="C103" s="112">
        <v>14.52</v>
      </c>
      <c r="D103" s="112">
        <v>15.33</v>
      </c>
      <c r="E103" s="112">
        <v>6.13</v>
      </c>
      <c r="F103" s="112">
        <v>7.34</v>
      </c>
      <c r="G103" s="112">
        <v>12.67</v>
      </c>
      <c r="H103" s="112">
        <v>4.2</v>
      </c>
      <c r="I103" s="112">
        <v>4.3600000000000003</v>
      </c>
      <c r="J103" s="112">
        <v>0.19</v>
      </c>
      <c r="K103" s="112">
        <v>273.91000000000003</v>
      </c>
      <c r="L103" s="112">
        <v>25.38</v>
      </c>
      <c r="M103" s="112">
        <v>94.56</v>
      </c>
      <c r="N103" s="112">
        <v>0</v>
      </c>
      <c r="O103" s="112">
        <v>0</v>
      </c>
      <c r="P103" s="112">
        <v>0.46</v>
      </c>
      <c r="Q103" s="112">
        <v>4.3499999999999996</v>
      </c>
    </row>
    <row r="104" spans="1:22" customFormat="1">
      <c r="A104" s="189" t="s">
        <v>430</v>
      </c>
      <c r="B104" s="112">
        <v>7.97</v>
      </c>
      <c r="C104" s="112">
        <v>15.26</v>
      </c>
      <c r="D104" s="112">
        <v>15.71</v>
      </c>
      <c r="E104" s="112">
        <v>5.97</v>
      </c>
      <c r="F104" s="112">
        <v>6.57</v>
      </c>
      <c r="G104" s="112">
        <v>17.27</v>
      </c>
      <c r="H104" s="112">
        <v>6.33</v>
      </c>
      <c r="I104" s="112">
        <v>4.28</v>
      </c>
      <c r="J104" s="112">
        <v>0.25</v>
      </c>
      <c r="K104" s="112">
        <v>270.48</v>
      </c>
      <c r="L104" s="112">
        <v>25.28</v>
      </c>
      <c r="M104" s="112">
        <v>94.25</v>
      </c>
      <c r="N104" s="112">
        <v>0</v>
      </c>
      <c r="O104" s="112">
        <v>0</v>
      </c>
      <c r="P104" s="112">
        <v>0.48</v>
      </c>
      <c r="Q104" s="112">
        <v>4.3600000000000003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6.61</v>
      </c>
      <c r="C106" s="183">
        <f>MIN(C9:C104)</f>
        <v>11.42</v>
      </c>
      <c r="D106" s="183">
        <f t="shared" ref="D106:Q106" si="0">MIN(D9:D104)</f>
        <v>13.22</v>
      </c>
      <c r="E106" s="183">
        <f t="shared" si="0"/>
        <v>5.43</v>
      </c>
      <c r="F106" s="183">
        <f t="shared" si="0"/>
        <v>3.99</v>
      </c>
      <c r="G106" s="183">
        <f t="shared" si="0"/>
        <v>10.29</v>
      </c>
      <c r="H106" s="183">
        <f t="shared" si="0"/>
        <v>4.2</v>
      </c>
      <c r="I106" s="183">
        <f t="shared" si="0"/>
        <v>3.8</v>
      </c>
      <c r="J106" s="183">
        <f t="shared" si="0"/>
        <v>0.06</v>
      </c>
      <c r="K106" s="183">
        <f t="shared" si="0"/>
        <v>0.75</v>
      </c>
      <c r="L106" s="183">
        <f t="shared" si="0"/>
        <v>23.37</v>
      </c>
      <c r="M106" s="183">
        <f t="shared" si="0"/>
        <v>50.96</v>
      </c>
      <c r="N106" s="183">
        <f t="shared" si="0"/>
        <v>0</v>
      </c>
      <c r="O106" s="183">
        <f t="shared" si="0"/>
        <v>0</v>
      </c>
      <c r="P106" s="183">
        <f t="shared" si="0"/>
        <v>0.46</v>
      </c>
      <c r="Q106" s="183">
        <f t="shared" si="0"/>
        <v>4.3499999999999996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16.29</v>
      </c>
      <c r="C107" s="184">
        <f t="shared" ref="C107:Q107" si="1">MAX(C9:C104)</f>
        <v>22.61</v>
      </c>
      <c r="D107" s="184">
        <f t="shared" si="1"/>
        <v>25.52</v>
      </c>
      <c r="E107" s="184">
        <f t="shared" si="1"/>
        <v>52.61</v>
      </c>
      <c r="F107" s="184">
        <f t="shared" si="1"/>
        <v>21.26</v>
      </c>
      <c r="G107" s="184">
        <f t="shared" si="1"/>
        <v>101.8</v>
      </c>
      <c r="H107" s="184">
        <f t="shared" si="1"/>
        <v>27.66</v>
      </c>
      <c r="I107" s="184">
        <f t="shared" si="1"/>
        <v>7.67</v>
      </c>
      <c r="J107" s="184">
        <f t="shared" si="1"/>
        <v>1.08</v>
      </c>
      <c r="K107" s="184">
        <f t="shared" si="1"/>
        <v>353.72</v>
      </c>
      <c r="L107" s="184">
        <f t="shared" si="1"/>
        <v>35.35</v>
      </c>
      <c r="M107" s="184">
        <f t="shared" si="1"/>
        <v>100.82</v>
      </c>
      <c r="N107" s="184">
        <f t="shared" si="1"/>
        <v>815.4</v>
      </c>
      <c r="O107" s="184">
        <f t="shared" si="1"/>
        <v>11.2</v>
      </c>
      <c r="P107" s="184">
        <f t="shared" si="1"/>
        <v>0.85</v>
      </c>
      <c r="Q107" s="184">
        <f t="shared" si="1"/>
        <v>5.1100000000000003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10.461250000000001</v>
      </c>
      <c r="C108" s="183">
        <f t="shared" ref="C108:Q108" si="2">AVERAGE(C9:C104)</f>
        <v>17.144479166666663</v>
      </c>
      <c r="D108" s="183">
        <f t="shared" si="2"/>
        <v>18.697916666666664</v>
      </c>
      <c r="E108" s="183">
        <f t="shared" si="2"/>
        <v>10.7909375</v>
      </c>
      <c r="F108" s="183">
        <f t="shared" si="2"/>
        <v>9.1430208333333294</v>
      </c>
      <c r="G108" s="183">
        <f t="shared" si="2"/>
        <v>51.311979166666674</v>
      </c>
      <c r="H108" s="183">
        <f t="shared" si="2"/>
        <v>16.05864583333334</v>
      </c>
      <c r="I108" s="183">
        <f t="shared" si="2"/>
        <v>5.8125000000000027</v>
      </c>
      <c r="J108" s="183">
        <f t="shared" si="2"/>
        <v>0.27729166666666666</v>
      </c>
      <c r="K108" s="183">
        <f t="shared" si="2"/>
        <v>175.56729166666665</v>
      </c>
      <c r="L108" s="183">
        <f t="shared" si="2"/>
        <v>29.24197916666667</v>
      </c>
      <c r="M108" s="183">
        <f t="shared" si="2"/>
        <v>80.909791666666678</v>
      </c>
      <c r="N108" s="183">
        <f t="shared" si="2"/>
        <v>150.86354166666669</v>
      </c>
      <c r="O108" s="183">
        <f t="shared" si="2"/>
        <v>0.13958333333333331</v>
      </c>
      <c r="P108" s="183">
        <f t="shared" si="2"/>
        <v>0.6494791666666665</v>
      </c>
      <c r="Q108" s="183">
        <f t="shared" si="2"/>
        <v>4.6569791666666669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2.725199847814157</v>
      </c>
      <c r="C109" s="183">
        <f t="shared" ref="C109:Q109" si="3">STDEV(C9:C104)</f>
        <v>2.8833620251336098</v>
      </c>
      <c r="D109" s="183">
        <f t="shared" si="3"/>
        <v>3.060693391224909</v>
      </c>
      <c r="E109" s="183">
        <f t="shared" si="3"/>
        <v>8.6403380876986962</v>
      </c>
      <c r="F109" s="183">
        <f t="shared" si="3"/>
        <v>4.2981949993215807</v>
      </c>
      <c r="G109" s="183">
        <f t="shared" si="3"/>
        <v>25.401201240546015</v>
      </c>
      <c r="H109" s="183">
        <f t="shared" si="3"/>
        <v>6.5267104021279589</v>
      </c>
      <c r="I109" s="183">
        <f t="shared" si="3"/>
        <v>1.1391363302727862</v>
      </c>
      <c r="J109" s="183">
        <f t="shared" si="3"/>
        <v>0.2156482475390577</v>
      </c>
      <c r="K109" s="183">
        <f t="shared" si="3"/>
        <v>100.3290874281565</v>
      </c>
      <c r="L109" s="183">
        <f t="shared" si="3"/>
        <v>3.6862640108185607</v>
      </c>
      <c r="M109" s="183">
        <f t="shared" si="3"/>
        <v>15.679224804895677</v>
      </c>
      <c r="N109" s="183">
        <f t="shared" si="3"/>
        <v>234.89885533085427</v>
      </c>
      <c r="O109" s="183">
        <f t="shared" si="3"/>
        <v>1.1589904106289337</v>
      </c>
      <c r="P109" s="183">
        <f t="shared" si="3"/>
        <v>0.1073446960586797</v>
      </c>
      <c r="Q109" s="183">
        <f t="shared" si="3"/>
        <v>0.23127618391353827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03/09/2023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431</v>
      </c>
      <c r="B9" s="112">
        <v>8.75</v>
      </c>
      <c r="C9" s="112">
        <v>16.93</v>
      </c>
      <c r="D9" s="112">
        <v>17.21</v>
      </c>
      <c r="E9" s="112">
        <v>6.6</v>
      </c>
      <c r="F9" s="112">
        <v>5.05</v>
      </c>
      <c r="G9" s="112">
        <v>17.54</v>
      </c>
      <c r="H9" s="112">
        <v>6.33</v>
      </c>
      <c r="I9" s="112">
        <v>4.12</v>
      </c>
      <c r="J9" s="112">
        <v>0.27</v>
      </c>
      <c r="K9" s="112">
        <v>262.05</v>
      </c>
      <c r="L9" s="112">
        <v>25.28</v>
      </c>
      <c r="M9" s="112">
        <v>93.7</v>
      </c>
      <c r="N9" s="112">
        <v>0</v>
      </c>
      <c r="O9" s="112">
        <v>0</v>
      </c>
      <c r="P9" s="112">
        <v>0.5</v>
      </c>
      <c r="Q9" s="112">
        <v>4.4000000000000004</v>
      </c>
    </row>
    <row r="10" spans="1:21" customFormat="1">
      <c r="A10" s="189" t="s">
        <v>432</v>
      </c>
      <c r="B10" s="112">
        <v>8.8699999999999992</v>
      </c>
      <c r="C10" s="112">
        <v>15.53</v>
      </c>
      <c r="D10" s="112">
        <v>16.57</v>
      </c>
      <c r="E10" s="112">
        <v>6.69</v>
      </c>
      <c r="F10" s="112">
        <v>6.06</v>
      </c>
      <c r="G10" s="112">
        <v>17.54</v>
      </c>
      <c r="H10" s="112">
        <v>6.33</v>
      </c>
      <c r="I10" s="112">
        <v>4.1900000000000004</v>
      </c>
      <c r="J10" s="112">
        <v>0.31</v>
      </c>
      <c r="K10" s="112">
        <v>249.16</v>
      </c>
      <c r="L10" s="112">
        <v>25.34</v>
      </c>
      <c r="M10" s="112">
        <v>92.78</v>
      </c>
      <c r="N10" s="112">
        <v>0</v>
      </c>
      <c r="O10" s="112">
        <v>0</v>
      </c>
      <c r="P10" s="112">
        <v>0.49</v>
      </c>
      <c r="Q10" s="112">
        <v>4.37</v>
      </c>
    </row>
    <row r="11" spans="1:21" customFormat="1">
      <c r="A11" s="189" t="s">
        <v>433</v>
      </c>
      <c r="B11" s="112">
        <v>8.51</v>
      </c>
      <c r="C11" s="112">
        <v>14.55</v>
      </c>
      <c r="D11" s="112">
        <v>15.77</v>
      </c>
      <c r="E11" s="112">
        <v>6.29</v>
      </c>
      <c r="F11" s="112">
        <v>7.23</v>
      </c>
      <c r="G11" s="112">
        <v>17.54</v>
      </c>
      <c r="H11" s="112">
        <v>6.33</v>
      </c>
      <c r="I11" s="112">
        <v>4.3099999999999996</v>
      </c>
      <c r="J11" s="112">
        <v>0.36</v>
      </c>
      <c r="K11" s="112">
        <v>263.02999999999997</v>
      </c>
      <c r="L11" s="112">
        <v>25.38</v>
      </c>
      <c r="M11" s="112">
        <v>92.94</v>
      </c>
      <c r="N11" s="112">
        <v>0</v>
      </c>
      <c r="O11" s="112">
        <v>0</v>
      </c>
      <c r="P11" s="112">
        <v>0.46</v>
      </c>
      <c r="Q11" s="112">
        <v>4.33</v>
      </c>
    </row>
    <row r="12" spans="1:21" customFormat="1">
      <c r="A12" s="189" t="s">
        <v>434</v>
      </c>
      <c r="B12" s="112">
        <v>8.4600000000000009</v>
      </c>
      <c r="C12" s="112">
        <v>15.67</v>
      </c>
      <c r="D12" s="112">
        <v>16.32</v>
      </c>
      <c r="E12" s="112">
        <v>6.34</v>
      </c>
      <c r="F12" s="112">
        <v>5.77</v>
      </c>
      <c r="G12" s="112">
        <v>13.25</v>
      </c>
      <c r="H12" s="112">
        <v>6.46</v>
      </c>
      <c r="I12" s="112">
        <v>4.18</v>
      </c>
      <c r="J12" s="112">
        <v>0.28000000000000003</v>
      </c>
      <c r="K12" s="112">
        <v>240.91</v>
      </c>
      <c r="L12" s="112">
        <v>25.3</v>
      </c>
      <c r="M12" s="112">
        <v>93.31</v>
      </c>
      <c r="N12" s="112">
        <v>0</v>
      </c>
      <c r="O12" s="112">
        <v>0</v>
      </c>
      <c r="P12" s="112">
        <v>0.47</v>
      </c>
      <c r="Q12" s="112">
        <v>4.3499999999999996</v>
      </c>
    </row>
    <row r="13" spans="1:21" customFormat="1">
      <c r="A13" s="189" t="s">
        <v>435</v>
      </c>
      <c r="B13" s="112">
        <v>8.84</v>
      </c>
      <c r="C13" s="112">
        <v>17.34</v>
      </c>
      <c r="D13" s="112">
        <v>17.5</v>
      </c>
      <c r="E13" s="112">
        <v>7.05</v>
      </c>
      <c r="F13" s="112">
        <v>4.41</v>
      </c>
      <c r="G13" s="112">
        <v>12.99</v>
      </c>
      <c r="H13" s="112">
        <v>6.46</v>
      </c>
      <c r="I13" s="112">
        <v>4.07</v>
      </c>
      <c r="J13" s="112">
        <v>0.3</v>
      </c>
      <c r="K13" s="112">
        <v>256.55</v>
      </c>
      <c r="L13" s="112">
        <v>25.33</v>
      </c>
      <c r="M13" s="112">
        <v>94.18</v>
      </c>
      <c r="N13" s="112">
        <v>0</v>
      </c>
      <c r="O13" s="112">
        <v>0</v>
      </c>
      <c r="P13" s="112">
        <v>0.48</v>
      </c>
      <c r="Q13" s="112">
        <v>4.41</v>
      </c>
    </row>
    <row r="14" spans="1:21" customFormat="1">
      <c r="A14" s="189" t="s">
        <v>436</v>
      </c>
      <c r="B14" s="112">
        <v>9.1</v>
      </c>
      <c r="C14" s="112">
        <v>16.329999999999998</v>
      </c>
      <c r="D14" s="112">
        <v>17.18</v>
      </c>
      <c r="E14" s="112">
        <v>6.65</v>
      </c>
      <c r="F14" s="112">
        <v>5.04</v>
      </c>
      <c r="G14" s="112">
        <v>12.99</v>
      </c>
      <c r="H14" s="112">
        <v>6.46</v>
      </c>
      <c r="I14" s="112">
        <v>4.21</v>
      </c>
      <c r="J14" s="112">
        <v>0.16</v>
      </c>
      <c r="K14" s="112">
        <v>220.42</v>
      </c>
      <c r="L14" s="112">
        <v>25.26</v>
      </c>
      <c r="M14" s="112">
        <v>94.45</v>
      </c>
      <c r="N14" s="112">
        <v>0</v>
      </c>
      <c r="O14" s="112">
        <v>0</v>
      </c>
      <c r="P14" s="112">
        <v>0.48</v>
      </c>
      <c r="Q14" s="112">
        <v>4.38</v>
      </c>
    </row>
    <row r="15" spans="1:21" customFormat="1">
      <c r="A15" s="189" t="s">
        <v>437</v>
      </c>
      <c r="B15" s="112">
        <v>9.16</v>
      </c>
      <c r="C15" s="112">
        <v>16.39</v>
      </c>
      <c r="D15" s="112">
        <v>17.260000000000002</v>
      </c>
      <c r="E15" s="112">
        <v>6.69</v>
      </c>
      <c r="F15" s="112">
        <v>4.87</v>
      </c>
      <c r="G15" s="112">
        <v>12.99</v>
      </c>
      <c r="H15" s="112">
        <v>6.46</v>
      </c>
      <c r="I15" s="112">
        <v>4.32</v>
      </c>
      <c r="J15" s="112">
        <v>0.19</v>
      </c>
      <c r="K15" s="112">
        <v>243.28</v>
      </c>
      <c r="L15" s="112">
        <v>25.24</v>
      </c>
      <c r="M15" s="112">
        <v>94.24</v>
      </c>
      <c r="N15" s="112">
        <v>0</v>
      </c>
      <c r="O15" s="112">
        <v>0</v>
      </c>
      <c r="P15" s="112">
        <v>0.5</v>
      </c>
      <c r="Q15" s="112">
        <v>4.3899999999999997</v>
      </c>
    </row>
    <row r="16" spans="1:21" customFormat="1">
      <c r="A16" s="189" t="s">
        <v>438</v>
      </c>
      <c r="B16" s="112">
        <v>9.02</v>
      </c>
      <c r="C16" s="112">
        <v>15.19</v>
      </c>
      <c r="D16" s="112">
        <v>16.52</v>
      </c>
      <c r="E16" s="112">
        <v>6.25</v>
      </c>
      <c r="F16" s="112">
        <v>6.36</v>
      </c>
      <c r="G16" s="112">
        <v>11.44</v>
      </c>
      <c r="H16" s="112">
        <v>4.58</v>
      </c>
      <c r="I16" s="112">
        <v>4.21</v>
      </c>
      <c r="J16" s="112">
        <v>0.18</v>
      </c>
      <c r="K16" s="112">
        <v>226.36</v>
      </c>
      <c r="L16" s="112">
        <v>25.25</v>
      </c>
      <c r="M16" s="112">
        <v>93.9</v>
      </c>
      <c r="N16" s="112">
        <v>0</v>
      </c>
      <c r="O16" s="112">
        <v>0</v>
      </c>
      <c r="P16" s="112">
        <v>0.47</v>
      </c>
      <c r="Q16" s="112">
        <v>4.38</v>
      </c>
    </row>
    <row r="17" spans="1:17" customFormat="1">
      <c r="A17" s="189" t="s">
        <v>439</v>
      </c>
      <c r="B17" s="112">
        <v>8.89</v>
      </c>
      <c r="C17" s="112">
        <v>14.77</v>
      </c>
      <c r="D17" s="112">
        <v>16.2</v>
      </c>
      <c r="E17" s="112">
        <v>6.76</v>
      </c>
      <c r="F17" s="112">
        <v>6.2</v>
      </c>
      <c r="G17" s="112">
        <v>11.34</v>
      </c>
      <c r="H17" s="112">
        <v>4.58</v>
      </c>
      <c r="I17" s="112">
        <v>4.21</v>
      </c>
      <c r="J17" s="112">
        <v>0.11</v>
      </c>
      <c r="K17" s="112">
        <v>220.14</v>
      </c>
      <c r="L17" s="112">
        <v>25.2</v>
      </c>
      <c r="M17" s="112">
        <v>94.69</v>
      </c>
      <c r="N17" s="112">
        <v>0</v>
      </c>
      <c r="O17" s="112">
        <v>0</v>
      </c>
      <c r="P17" s="112">
        <v>0.43</v>
      </c>
      <c r="Q17" s="112">
        <v>4.3600000000000003</v>
      </c>
    </row>
    <row r="18" spans="1:17" customFormat="1">
      <c r="A18" s="189" t="s">
        <v>440</v>
      </c>
      <c r="B18" s="112">
        <v>8.85</v>
      </c>
      <c r="C18" s="112">
        <v>14.9</v>
      </c>
      <c r="D18" s="112">
        <v>16.23</v>
      </c>
      <c r="E18" s="112">
        <v>8.49</v>
      </c>
      <c r="F18" s="112">
        <v>5.7</v>
      </c>
      <c r="G18" s="112">
        <v>11.34</v>
      </c>
      <c r="H18" s="112">
        <v>4.58</v>
      </c>
      <c r="I18" s="112">
        <v>4.04</v>
      </c>
      <c r="J18" s="112">
        <v>0.13</v>
      </c>
      <c r="K18" s="112">
        <v>156.43</v>
      </c>
      <c r="L18" s="112">
        <v>25.21</v>
      </c>
      <c r="M18" s="112">
        <v>94.75</v>
      </c>
      <c r="N18" s="112">
        <v>0</v>
      </c>
      <c r="O18" s="112">
        <v>0</v>
      </c>
      <c r="P18" s="112">
        <v>0.44</v>
      </c>
      <c r="Q18" s="112">
        <v>4.34</v>
      </c>
    </row>
    <row r="19" spans="1:17" customFormat="1">
      <c r="A19" s="189" t="s">
        <v>441</v>
      </c>
      <c r="B19" s="112">
        <v>9.2200000000000006</v>
      </c>
      <c r="C19" s="112">
        <v>16.77</v>
      </c>
      <c r="D19" s="112">
        <v>17.510000000000002</v>
      </c>
      <c r="E19" s="112">
        <v>8.65</v>
      </c>
      <c r="F19" s="112">
        <v>4.1900000000000004</v>
      </c>
      <c r="G19" s="112">
        <v>11.34</v>
      </c>
      <c r="H19" s="112">
        <v>4.58</v>
      </c>
      <c r="I19" s="112">
        <v>3.99</v>
      </c>
      <c r="J19" s="112">
        <v>0.08</v>
      </c>
      <c r="K19" s="112">
        <v>174.56</v>
      </c>
      <c r="L19" s="112">
        <v>25.14</v>
      </c>
      <c r="M19" s="112">
        <v>95.1</v>
      </c>
      <c r="N19" s="112">
        <v>0</v>
      </c>
      <c r="O19" s="112">
        <v>0</v>
      </c>
      <c r="P19" s="112">
        <v>0.48</v>
      </c>
      <c r="Q19" s="112">
        <v>4.42</v>
      </c>
    </row>
    <row r="20" spans="1:17" customFormat="1">
      <c r="A20" s="189" t="s">
        <v>442</v>
      </c>
      <c r="B20" s="112">
        <v>9.39</v>
      </c>
      <c r="C20" s="112">
        <v>15.7</v>
      </c>
      <c r="D20" s="112">
        <v>17.09</v>
      </c>
      <c r="E20" s="112">
        <v>8.7100000000000009</v>
      </c>
      <c r="F20" s="112">
        <v>5.18</v>
      </c>
      <c r="G20" s="112">
        <v>12.89</v>
      </c>
      <c r="H20" s="112">
        <v>3.26</v>
      </c>
      <c r="I20" s="112">
        <v>4.04</v>
      </c>
      <c r="J20" s="112">
        <v>7.0000000000000007E-2</v>
      </c>
      <c r="K20" s="112">
        <v>201.37</v>
      </c>
      <c r="L20" s="112">
        <v>25.1</v>
      </c>
      <c r="M20" s="112">
        <v>95.6</v>
      </c>
      <c r="N20" s="112">
        <v>0</v>
      </c>
      <c r="O20" s="112">
        <v>0</v>
      </c>
      <c r="P20" s="112">
        <v>0.46</v>
      </c>
      <c r="Q20" s="112">
        <v>4.41</v>
      </c>
    </row>
    <row r="21" spans="1:17" customFormat="1">
      <c r="A21" s="189" t="s">
        <v>443</v>
      </c>
      <c r="B21" s="112">
        <v>9.33</v>
      </c>
      <c r="C21" s="112">
        <v>14.59</v>
      </c>
      <c r="D21" s="112">
        <v>16.45</v>
      </c>
      <c r="E21" s="112">
        <v>7.93</v>
      </c>
      <c r="F21" s="112">
        <v>6.07</v>
      </c>
      <c r="G21" s="112">
        <v>12.98</v>
      </c>
      <c r="H21" s="112">
        <v>3.26</v>
      </c>
      <c r="I21" s="112">
        <v>4.1500000000000004</v>
      </c>
      <c r="J21" s="112">
        <v>0.09</v>
      </c>
      <c r="K21" s="112">
        <v>224.1</v>
      </c>
      <c r="L21" s="112">
        <v>25.05</v>
      </c>
      <c r="M21" s="112">
        <v>95.74</v>
      </c>
      <c r="N21" s="112">
        <v>0</v>
      </c>
      <c r="O21" s="112">
        <v>0</v>
      </c>
      <c r="P21" s="112">
        <v>0.42</v>
      </c>
      <c r="Q21" s="112">
        <v>4.37</v>
      </c>
    </row>
    <row r="22" spans="1:17" customFormat="1">
      <c r="A22" s="189" t="s">
        <v>444</v>
      </c>
      <c r="B22" s="112">
        <v>9.49</v>
      </c>
      <c r="C22" s="112">
        <v>15.46</v>
      </c>
      <c r="D22" s="112">
        <v>17.04</v>
      </c>
      <c r="E22" s="112">
        <v>8.52</v>
      </c>
      <c r="F22" s="112">
        <v>5.0199999999999996</v>
      </c>
      <c r="G22" s="112">
        <v>12.98</v>
      </c>
      <c r="H22" s="112">
        <v>3.26</v>
      </c>
      <c r="I22" s="112">
        <v>3.97</v>
      </c>
      <c r="J22" s="112">
        <v>0.22</v>
      </c>
      <c r="K22" s="112">
        <v>257.66000000000003</v>
      </c>
      <c r="L22" s="112">
        <v>25.06</v>
      </c>
      <c r="M22" s="112">
        <v>95.46</v>
      </c>
      <c r="N22" s="112">
        <v>0</v>
      </c>
      <c r="O22" s="112">
        <v>0</v>
      </c>
      <c r="P22" s="112">
        <v>0.44</v>
      </c>
      <c r="Q22" s="112">
        <v>4.38</v>
      </c>
    </row>
    <row r="23" spans="1:17" customFormat="1">
      <c r="A23" s="189" t="s">
        <v>445</v>
      </c>
      <c r="B23" s="112">
        <v>9.68</v>
      </c>
      <c r="C23" s="112">
        <v>16.72</v>
      </c>
      <c r="D23" s="112">
        <v>17.84</v>
      </c>
      <c r="E23" s="112">
        <v>8.74</v>
      </c>
      <c r="F23" s="112">
        <v>4.22</v>
      </c>
      <c r="G23" s="112">
        <v>12.98</v>
      </c>
      <c r="H23" s="112">
        <v>3.26</v>
      </c>
      <c r="I23" s="112">
        <v>3.91</v>
      </c>
      <c r="J23" s="112">
        <v>0.17</v>
      </c>
      <c r="K23" s="112">
        <v>253.29</v>
      </c>
      <c r="L23" s="112">
        <v>25.12</v>
      </c>
      <c r="M23" s="112">
        <v>95.28</v>
      </c>
      <c r="N23" s="112">
        <v>0</v>
      </c>
      <c r="O23" s="112">
        <v>0</v>
      </c>
      <c r="P23" s="112">
        <v>0.45</v>
      </c>
      <c r="Q23" s="112">
        <v>4.4400000000000004</v>
      </c>
    </row>
    <row r="24" spans="1:17" customFormat="1">
      <c r="A24" s="189" t="s">
        <v>446</v>
      </c>
      <c r="B24" s="112">
        <v>9.42</v>
      </c>
      <c r="C24" s="112">
        <v>14.94</v>
      </c>
      <c r="D24" s="112">
        <v>16.71</v>
      </c>
      <c r="E24" s="112">
        <v>8.2899999999999991</v>
      </c>
      <c r="F24" s="112">
        <v>6.06</v>
      </c>
      <c r="G24" s="112">
        <v>10.35</v>
      </c>
      <c r="H24" s="112">
        <v>3.48</v>
      </c>
      <c r="I24" s="112">
        <v>4.0599999999999996</v>
      </c>
      <c r="J24" s="112">
        <v>0.08</v>
      </c>
      <c r="K24" s="112">
        <v>203.14</v>
      </c>
      <c r="L24" s="112">
        <v>25.03</v>
      </c>
      <c r="M24" s="112">
        <v>95.8</v>
      </c>
      <c r="N24" s="112">
        <v>0</v>
      </c>
      <c r="O24" s="112">
        <v>0</v>
      </c>
      <c r="P24" s="112">
        <v>0.44</v>
      </c>
      <c r="Q24" s="112">
        <v>4.45</v>
      </c>
    </row>
    <row r="25" spans="1:17" customFormat="1">
      <c r="A25" s="189" t="s">
        <v>447</v>
      </c>
      <c r="B25" s="112">
        <v>9.67</v>
      </c>
      <c r="C25" s="112">
        <v>15.08</v>
      </c>
      <c r="D25" s="112">
        <v>16.98</v>
      </c>
      <c r="E25" s="112">
        <v>8.26</v>
      </c>
      <c r="F25" s="112">
        <v>5.32</v>
      </c>
      <c r="G25" s="112">
        <v>10.199999999999999</v>
      </c>
      <c r="H25" s="112">
        <v>3.48</v>
      </c>
      <c r="I25" s="112">
        <v>4.04</v>
      </c>
      <c r="J25" s="112">
        <v>0.12</v>
      </c>
      <c r="K25" s="112">
        <v>177.15</v>
      </c>
      <c r="L25" s="112">
        <v>24.98</v>
      </c>
      <c r="M25" s="112">
        <v>95.9</v>
      </c>
      <c r="N25" s="112">
        <v>0</v>
      </c>
      <c r="O25" s="112">
        <v>0</v>
      </c>
      <c r="P25" s="112">
        <v>0.43</v>
      </c>
      <c r="Q25" s="112">
        <v>4.43</v>
      </c>
    </row>
    <row r="26" spans="1:17" customFormat="1">
      <c r="A26" s="189" t="s">
        <v>448</v>
      </c>
      <c r="B26" s="112">
        <v>10.07</v>
      </c>
      <c r="C26" s="112">
        <v>16.62</v>
      </c>
      <c r="D26" s="112">
        <v>18.11</v>
      </c>
      <c r="E26" s="112">
        <v>8.93</v>
      </c>
      <c r="F26" s="112">
        <v>4.16</v>
      </c>
      <c r="G26" s="112">
        <v>10.199999999999999</v>
      </c>
      <c r="H26" s="112">
        <v>3.48</v>
      </c>
      <c r="I26" s="112">
        <v>3.85</v>
      </c>
      <c r="J26" s="112">
        <v>0.12</v>
      </c>
      <c r="K26" s="112">
        <v>169.98</v>
      </c>
      <c r="L26" s="112">
        <v>24.93</v>
      </c>
      <c r="M26" s="112">
        <v>96.66</v>
      </c>
      <c r="N26" s="112">
        <v>0</v>
      </c>
      <c r="O26" s="112">
        <v>0</v>
      </c>
      <c r="P26" s="112">
        <v>0.46</v>
      </c>
      <c r="Q26" s="112">
        <v>4.45</v>
      </c>
    </row>
    <row r="27" spans="1:17" customFormat="1">
      <c r="A27" s="189" t="s">
        <v>449</v>
      </c>
      <c r="B27" s="112">
        <v>9.94</v>
      </c>
      <c r="C27" s="112">
        <v>15.95</v>
      </c>
      <c r="D27" s="112">
        <v>17.66</v>
      </c>
      <c r="E27" s="112">
        <v>9.01</v>
      </c>
      <c r="F27" s="112">
        <v>4.95</v>
      </c>
      <c r="G27" s="112">
        <v>10.199999999999999</v>
      </c>
      <c r="H27" s="112">
        <v>3.48</v>
      </c>
      <c r="I27" s="112">
        <v>3.98</v>
      </c>
      <c r="J27" s="112">
        <v>0.09</v>
      </c>
      <c r="K27" s="112">
        <v>182.04</v>
      </c>
      <c r="L27" s="112">
        <v>24.96</v>
      </c>
      <c r="M27" s="112">
        <v>97.09</v>
      </c>
      <c r="N27" s="112">
        <v>0</v>
      </c>
      <c r="O27" s="112">
        <v>0</v>
      </c>
      <c r="P27" s="112">
        <v>0.44</v>
      </c>
      <c r="Q27" s="112">
        <v>4.4400000000000004</v>
      </c>
    </row>
    <row r="28" spans="1:17" customFormat="1">
      <c r="A28" s="189" t="s">
        <v>450</v>
      </c>
      <c r="B28" s="112">
        <v>9.8000000000000007</v>
      </c>
      <c r="C28" s="112">
        <v>15.19</v>
      </c>
      <c r="D28" s="112">
        <v>17.149999999999999</v>
      </c>
      <c r="E28" s="112">
        <v>8.9499999999999993</v>
      </c>
      <c r="F28" s="112">
        <v>5.56</v>
      </c>
      <c r="G28" s="112">
        <v>11.14</v>
      </c>
      <c r="H28" s="112">
        <v>5.5</v>
      </c>
      <c r="I28" s="112">
        <v>4.09</v>
      </c>
      <c r="J28" s="112">
        <v>0.15</v>
      </c>
      <c r="K28" s="112">
        <v>246.56</v>
      </c>
      <c r="L28" s="112">
        <v>24.98</v>
      </c>
      <c r="M28" s="112">
        <v>97.29</v>
      </c>
      <c r="N28" s="112">
        <v>0</v>
      </c>
      <c r="O28" s="112">
        <v>0</v>
      </c>
      <c r="P28" s="112">
        <v>0.44</v>
      </c>
      <c r="Q28" s="112">
        <v>4.46</v>
      </c>
    </row>
    <row r="29" spans="1:17" customFormat="1">
      <c r="A29" s="189" t="s">
        <v>451</v>
      </c>
      <c r="B29" s="112">
        <v>10.35</v>
      </c>
      <c r="C29" s="112">
        <v>16.52</v>
      </c>
      <c r="D29" s="112">
        <v>18.28</v>
      </c>
      <c r="E29" s="112">
        <v>9.35</v>
      </c>
      <c r="F29" s="112">
        <v>4.38</v>
      </c>
      <c r="G29" s="112">
        <v>11.2</v>
      </c>
      <c r="H29" s="112">
        <v>5.5</v>
      </c>
      <c r="I29" s="112">
        <v>3.95</v>
      </c>
      <c r="J29" s="112">
        <v>0.23</v>
      </c>
      <c r="K29" s="112">
        <v>251.45</v>
      </c>
      <c r="L29" s="112">
        <v>25.02</v>
      </c>
      <c r="M29" s="112">
        <v>96.95</v>
      </c>
      <c r="N29" s="112">
        <v>0</v>
      </c>
      <c r="O29" s="112">
        <v>0</v>
      </c>
      <c r="P29" s="112">
        <v>0.45</v>
      </c>
      <c r="Q29" s="112">
        <v>4.49</v>
      </c>
    </row>
    <row r="30" spans="1:17" customFormat="1">
      <c r="A30" s="189" t="s">
        <v>452</v>
      </c>
      <c r="B30" s="112">
        <v>10.51</v>
      </c>
      <c r="C30" s="112">
        <v>15.54</v>
      </c>
      <c r="D30" s="112">
        <v>17.899999999999999</v>
      </c>
      <c r="E30" s="112">
        <v>8.66</v>
      </c>
      <c r="F30" s="112">
        <v>4.97</v>
      </c>
      <c r="G30" s="112">
        <v>11.2</v>
      </c>
      <c r="H30" s="112">
        <v>5.5</v>
      </c>
      <c r="I30" s="112">
        <v>3.88</v>
      </c>
      <c r="J30" s="112">
        <v>0.27</v>
      </c>
      <c r="K30" s="112">
        <v>256.35000000000002</v>
      </c>
      <c r="L30" s="112">
        <v>25.15</v>
      </c>
      <c r="M30" s="112">
        <v>96.53</v>
      </c>
      <c r="N30" s="112">
        <v>0</v>
      </c>
      <c r="O30" s="112">
        <v>0</v>
      </c>
      <c r="P30" s="112">
        <v>0.43</v>
      </c>
      <c r="Q30" s="112">
        <v>4.46</v>
      </c>
    </row>
    <row r="31" spans="1:17" customFormat="1">
      <c r="A31" s="189" t="s">
        <v>453</v>
      </c>
      <c r="B31" s="112">
        <v>10.24</v>
      </c>
      <c r="C31" s="112">
        <v>14.41</v>
      </c>
      <c r="D31" s="112">
        <v>17.09</v>
      </c>
      <c r="E31" s="112">
        <v>8.89</v>
      </c>
      <c r="F31" s="112">
        <v>5.73</v>
      </c>
      <c r="G31" s="112">
        <v>11.2</v>
      </c>
      <c r="H31" s="112">
        <v>5.5</v>
      </c>
      <c r="I31" s="112">
        <v>4.0599999999999996</v>
      </c>
      <c r="J31" s="112">
        <v>0.25</v>
      </c>
      <c r="K31" s="112">
        <v>249.08</v>
      </c>
      <c r="L31" s="112">
        <v>25.19</v>
      </c>
      <c r="M31" s="112">
        <v>96.46</v>
      </c>
      <c r="N31" s="112">
        <v>0</v>
      </c>
      <c r="O31" s="112">
        <v>0</v>
      </c>
      <c r="P31" s="112">
        <v>0.41</v>
      </c>
      <c r="Q31" s="112">
        <v>4.45</v>
      </c>
    </row>
    <row r="32" spans="1:17" customFormat="1">
      <c r="A32" s="189" t="s">
        <v>454</v>
      </c>
      <c r="B32" s="112">
        <v>10.17</v>
      </c>
      <c r="C32" s="112">
        <v>15.47</v>
      </c>
      <c r="D32" s="112">
        <v>17.59</v>
      </c>
      <c r="E32" s="112">
        <v>8.64</v>
      </c>
      <c r="F32" s="112">
        <v>4.93</v>
      </c>
      <c r="G32" s="112">
        <v>12.57</v>
      </c>
      <c r="H32" s="112">
        <v>3.96</v>
      </c>
      <c r="I32" s="112">
        <v>3.93</v>
      </c>
      <c r="J32" s="112">
        <v>0.22</v>
      </c>
      <c r="K32" s="112">
        <v>255.02</v>
      </c>
      <c r="L32" s="112">
        <v>25.27</v>
      </c>
      <c r="M32" s="112">
        <v>95.71</v>
      </c>
      <c r="N32" s="112">
        <v>1.6</v>
      </c>
      <c r="O32" s="112">
        <v>0</v>
      </c>
      <c r="P32" s="112">
        <v>0.43</v>
      </c>
      <c r="Q32" s="112">
        <v>4.47</v>
      </c>
    </row>
    <row r="33" spans="1:17" customFormat="1">
      <c r="A33" s="189" t="s">
        <v>455</v>
      </c>
      <c r="B33" s="112">
        <v>10.51</v>
      </c>
      <c r="C33" s="112">
        <v>16.84</v>
      </c>
      <c r="D33" s="112">
        <v>18.57</v>
      </c>
      <c r="E33" s="112">
        <v>9.2200000000000006</v>
      </c>
      <c r="F33" s="112">
        <v>4.1100000000000003</v>
      </c>
      <c r="G33" s="112">
        <v>12.65</v>
      </c>
      <c r="H33" s="112">
        <v>3.96</v>
      </c>
      <c r="I33" s="112">
        <v>3.84</v>
      </c>
      <c r="J33" s="112">
        <v>0.34</v>
      </c>
      <c r="K33" s="112">
        <v>267.93</v>
      </c>
      <c r="L33" s="112">
        <v>25.34</v>
      </c>
      <c r="M33" s="112">
        <v>95.25</v>
      </c>
      <c r="N33" s="112">
        <v>6.7</v>
      </c>
      <c r="O33" s="112">
        <v>0</v>
      </c>
      <c r="P33" s="112">
        <v>0.45</v>
      </c>
      <c r="Q33" s="112">
        <v>4.51</v>
      </c>
    </row>
    <row r="34" spans="1:17" customFormat="1">
      <c r="A34" s="189" t="s">
        <v>456</v>
      </c>
      <c r="B34" s="112">
        <v>10.6</v>
      </c>
      <c r="C34" s="112">
        <v>17.03</v>
      </c>
      <c r="D34" s="112">
        <v>18.75</v>
      </c>
      <c r="E34" s="112">
        <v>9.15</v>
      </c>
      <c r="F34" s="112">
        <v>4.38</v>
      </c>
      <c r="G34" s="112">
        <v>12.65</v>
      </c>
      <c r="H34" s="112">
        <v>3.96</v>
      </c>
      <c r="I34" s="112">
        <v>3.93</v>
      </c>
      <c r="J34" s="112">
        <v>0.33</v>
      </c>
      <c r="K34" s="112">
        <v>258.56</v>
      </c>
      <c r="L34" s="112">
        <v>25.41</v>
      </c>
      <c r="M34" s="112">
        <v>95.05</v>
      </c>
      <c r="N34" s="112">
        <v>8</v>
      </c>
      <c r="O34" s="112">
        <v>0</v>
      </c>
      <c r="P34" s="112">
        <v>0.46</v>
      </c>
      <c r="Q34" s="112">
        <v>4.53</v>
      </c>
    </row>
    <row r="35" spans="1:17" customFormat="1">
      <c r="A35" s="189" t="s">
        <v>457</v>
      </c>
      <c r="B35" s="112">
        <v>10.63</v>
      </c>
      <c r="C35" s="112">
        <v>15.85</v>
      </c>
      <c r="D35" s="112">
        <v>18.149999999999999</v>
      </c>
      <c r="E35" s="112">
        <v>8.64</v>
      </c>
      <c r="F35" s="112">
        <v>4.99</v>
      </c>
      <c r="G35" s="112">
        <v>12.65</v>
      </c>
      <c r="H35" s="112">
        <v>3.96</v>
      </c>
      <c r="I35" s="112">
        <v>4.03</v>
      </c>
      <c r="J35" s="112">
        <v>0.26</v>
      </c>
      <c r="K35" s="112">
        <v>261.16000000000003</v>
      </c>
      <c r="L35" s="112">
        <v>25.59</v>
      </c>
      <c r="M35" s="112">
        <v>94.93</v>
      </c>
      <c r="N35" s="112">
        <v>20.399999999999999</v>
      </c>
      <c r="O35" s="112">
        <v>0</v>
      </c>
      <c r="P35" s="112">
        <v>0.44</v>
      </c>
      <c r="Q35" s="112">
        <v>4.49</v>
      </c>
    </row>
    <row r="36" spans="1:17" customFormat="1">
      <c r="A36" s="189" t="s">
        <v>458</v>
      </c>
      <c r="B36" s="112">
        <v>9.9499999999999993</v>
      </c>
      <c r="C36" s="112">
        <v>13.63</v>
      </c>
      <c r="D36" s="112">
        <v>16.45</v>
      </c>
      <c r="E36" s="112">
        <v>8.43</v>
      </c>
      <c r="F36" s="112">
        <v>6.55</v>
      </c>
      <c r="G36" s="112">
        <v>10.92</v>
      </c>
      <c r="H36" s="112">
        <v>4.55</v>
      </c>
      <c r="I36" s="112">
        <v>4.03</v>
      </c>
      <c r="J36" s="112">
        <v>0.2</v>
      </c>
      <c r="K36" s="112">
        <v>265.95999999999998</v>
      </c>
      <c r="L36" s="112">
        <v>25.73</v>
      </c>
      <c r="M36" s="112">
        <v>94.66</v>
      </c>
      <c r="N36" s="112">
        <v>31.8</v>
      </c>
      <c r="O36" s="112">
        <v>0</v>
      </c>
      <c r="P36" s="112">
        <v>0.42</v>
      </c>
      <c r="Q36" s="112">
        <v>4.4800000000000004</v>
      </c>
    </row>
    <row r="37" spans="1:17" customFormat="1">
      <c r="A37" s="189" t="s">
        <v>459</v>
      </c>
      <c r="B37" s="112">
        <v>9.98</v>
      </c>
      <c r="C37" s="112">
        <v>13.81</v>
      </c>
      <c r="D37" s="112">
        <v>16.57</v>
      </c>
      <c r="E37" s="112">
        <v>8.6300000000000008</v>
      </c>
      <c r="F37" s="112">
        <v>6.18</v>
      </c>
      <c r="G37" s="112">
        <v>10.82</v>
      </c>
      <c r="H37" s="112">
        <v>4.55</v>
      </c>
      <c r="I37" s="112">
        <v>3.87</v>
      </c>
      <c r="J37" s="112">
        <v>0.1</v>
      </c>
      <c r="K37" s="112">
        <v>264.06</v>
      </c>
      <c r="L37" s="112">
        <v>26.05</v>
      </c>
      <c r="M37" s="112">
        <v>94.21</v>
      </c>
      <c r="N37" s="112">
        <v>55</v>
      </c>
      <c r="O37" s="112">
        <v>0</v>
      </c>
      <c r="P37" s="112">
        <v>0.41</v>
      </c>
      <c r="Q37" s="112">
        <v>4.47</v>
      </c>
    </row>
    <row r="38" spans="1:17" customFormat="1">
      <c r="A38" s="189" t="s">
        <v>460</v>
      </c>
      <c r="B38" s="112">
        <v>10.199999999999999</v>
      </c>
      <c r="C38" s="112">
        <v>15.77</v>
      </c>
      <c r="D38" s="112">
        <v>17.77</v>
      </c>
      <c r="E38" s="112">
        <v>9.02</v>
      </c>
      <c r="F38" s="112">
        <v>4.8</v>
      </c>
      <c r="G38" s="112">
        <v>10.82</v>
      </c>
      <c r="H38" s="112">
        <v>4.55</v>
      </c>
      <c r="I38" s="112">
        <v>3.62</v>
      </c>
      <c r="J38" s="112">
        <v>0.09</v>
      </c>
      <c r="K38" s="112">
        <v>192.88</v>
      </c>
      <c r="L38" s="112">
        <v>26.58</v>
      </c>
      <c r="M38" s="112">
        <v>91.69</v>
      </c>
      <c r="N38" s="112">
        <v>120.8</v>
      </c>
      <c r="O38" s="112">
        <v>0</v>
      </c>
      <c r="P38" s="112">
        <v>0.43</v>
      </c>
      <c r="Q38" s="112">
        <v>4.47</v>
      </c>
    </row>
    <row r="39" spans="1:17" customFormat="1">
      <c r="A39" s="189" t="s">
        <v>461</v>
      </c>
      <c r="B39" s="112">
        <v>10.65</v>
      </c>
      <c r="C39" s="112">
        <v>16.989999999999998</v>
      </c>
      <c r="D39" s="112">
        <v>18.77</v>
      </c>
      <c r="E39" s="112">
        <v>9.24</v>
      </c>
      <c r="F39" s="112">
        <v>4.1900000000000004</v>
      </c>
      <c r="G39" s="112">
        <v>10.82</v>
      </c>
      <c r="H39" s="112">
        <v>4.55</v>
      </c>
      <c r="I39" s="112">
        <v>3.81</v>
      </c>
      <c r="J39" s="112">
        <v>0.18</v>
      </c>
      <c r="K39" s="112">
        <v>221.81</v>
      </c>
      <c r="L39" s="112">
        <v>27.25</v>
      </c>
      <c r="M39" s="112">
        <v>88.52</v>
      </c>
      <c r="N39" s="112">
        <v>203.2</v>
      </c>
      <c r="O39" s="112">
        <v>0</v>
      </c>
      <c r="P39" s="112">
        <v>0.46</v>
      </c>
      <c r="Q39" s="112">
        <v>4.53</v>
      </c>
    </row>
    <row r="40" spans="1:17" customFormat="1">
      <c r="A40" s="189" t="s">
        <v>462</v>
      </c>
      <c r="B40" s="112">
        <v>10.68</v>
      </c>
      <c r="C40" s="112">
        <v>16</v>
      </c>
      <c r="D40" s="112">
        <v>18.27</v>
      </c>
      <c r="E40" s="112">
        <v>8.7899999999999991</v>
      </c>
      <c r="F40" s="112">
        <v>5.05</v>
      </c>
      <c r="G40" s="112">
        <v>11.39</v>
      </c>
      <c r="H40" s="112">
        <v>3.24</v>
      </c>
      <c r="I40" s="112">
        <v>3.96</v>
      </c>
      <c r="J40" s="112">
        <v>0.14000000000000001</v>
      </c>
      <c r="K40" s="112">
        <v>207.35</v>
      </c>
      <c r="L40" s="112">
        <v>27.69</v>
      </c>
      <c r="M40" s="112">
        <v>87.21</v>
      </c>
      <c r="N40" s="112">
        <v>158.1</v>
      </c>
      <c r="O40" s="112">
        <v>0</v>
      </c>
      <c r="P40" s="112">
        <v>0.46</v>
      </c>
      <c r="Q40" s="112">
        <v>4.54</v>
      </c>
    </row>
    <row r="41" spans="1:17" customFormat="1">
      <c r="A41" s="189" t="s">
        <v>463</v>
      </c>
      <c r="B41" s="112">
        <v>10.43</v>
      </c>
      <c r="C41" s="112">
        <v>14.95</v>
      </c>
      <c r="D41" s="112">
        <v>17.52</v>
      </c>
      <c r="E41" s="112">
        <v>8.56</v>
      </c>
      <c r="F41" s="112">
        <v>5.6</v>
      </c>
      <c r="G41" s="112">
        <v>11.43</v>
      </c>
      <c r="H41" s="112">
        <v>3.24</v>
      </c>
      <c r="I41" s="112">
        <v>4.08</v>
      </c>
      <c r="J41" s="112">
        <v>0.2</v>
      </c>
      <c r="K41" s="112">
        <v>251.23</v>
      </c>
      <c r="L41" s="112">
        <v>27.54</v>
      </c>
      <c r="M41" s="112">
        <v>87.94</v>
      </c>
      <c r="N41" s="112">
        <v>124.3</v>
      </c>
      <c r="O41" s="112">
        <v>0</v>
      </c>
      <c r="P41" s="112">
        <v>0.46</v>
      </c>
      <c r="Q41" s="112">
        <v>4.51</v>
      </c>
    </row>
    <row r="42" spans="1:17" customFormat="1">
      <c r="A42" s="189" t="s">
        <v>464</v>
      </c>
      <c r="B42" s="112">
        <v>10.17</v>
      </c>
      <c r="C42" s="112">
        <v>14.34</v>
      </c>
      <c r="D42" s="112">
        <v>17</v>
      </c>
      <c r="E42" s="112">
        <v>8.74</v>
      </c>
      <c r="F42" s="112">
        <v>6.13</v>
      </c>
      <c r="G42" s="112">
        <v>11.43</v>
      </c>
      <c r="H42" s="112">
        <v>3.24</v>
      </c>
      <c r="I42" s="112">
        <v>4.2</v>
      </c>
      <c r="J42" s="112">
        <v>0.11</v>
      </c>
      <c r="K42" s="112">
        <v>210.84</v>
      </c>
      <c r="L42" s="112">
        <v>27.58</v>
      </c>
      <c r="M42" s="112">
        <v>87.88</v>
      </c>
      <c r="N42" s="112">
        <v>122.5</v>
      </c>
      <c r="O42" s="112">
        <v>0</v>
      </c>
      <c r="P42" s="112">
        <v>0.47</v>
      </c>
      <c r="Q42" s="112">
        <v>4.49</v>
      </c>
    </row>
    <row r="43" spans="1:17" customFormat="1">
      <c r="A43" s="189" t="s">
        <v>465</v>
      </c>
      <c r="B43" s="112">
        <v>9.9700000000000006</v>
      </c>
      <c r="C43" s="112">
        <v>13.92</v>
      </c>
      <c r="D43" s="112">
        <v>16.62</v>
      </c>
      <c r="E43" s="112">
        <v>8.84</v>
      </c>
      <c r="F43" s="112">
        <v>6.63</v>
      </c>
      <c r="G43" s="112">
        <v>11.43</v>
      </c>
      <c r="H43" s="112">
        <v>3.24</v>
      </c>
      <c r="I43" s="112">
        <v>4.2300000000000004</v>
      </c>
      <c r="J43" s="112">
        <v>0.05</v>
      </c>
      <c r="K43" s="112">
        <v>220.47</v>
      </c>
      <c r="L43" s="112">
        <v>27.35</v>
      </c>
      <c r="M43" s="112">
        <v>89.78</v>
      </c>
      <c r="N43" s="112">
        <v>60.6</v>
      </c>
      <c r="O43" s="112">
        <v>0.6</v>
      </c>
      <c r="P43" s="112">
        <v>0.49</v>
      </c>
      <c r="Q43" s="112">
        <v>4.49</v>
      </c>
    </row>
    <row r="44" spans="1:17" customFormat="1">
      <c r="A44" s="189" t="s">
        <v>466</v>
      </c>
      <c r="B44" s="112">
        <v>9.9700000000000006</v>
      </c>
      <c r="C44" s="112">
        <v>15.1</v>
      </c>
      <c r="D44" s="112">
        <v>17.23</v>
      </c>
      <c r="E44" s="112">
        <v>8.65</v>
      </c>
      <c r="F44" s="112">
        <v>6.01</v>
      </c>
      <c r="G44" s="112">
        <v>13.25</v>
      </c>
      <c r="H44" s="112">
        <v>3.13</v>
      </c>
      <c r="I44" s="112">
        <v>4.37</v>
      </c>
      <c r="J44" s="112">
        <v>0.16</v>
      </c>
      <c r="K44" s="112">
        <v>233.96</v>
      </c>
      <c r="L44" s="112">
        <v>26.77</v>
      </c>
      <c r="M44" s="112">
        <v>95.13</v>
      </c>
      <c r="N44" s="112">
        <v>118.5</v>
      </c>
      <c r="O44" s="112">
        <v>0</v>
      </c>
      <c r="P44" s="112">
        <v>0.51</v>
      </c>
      <c r="Q44" s="112">
        <v>4.46</v>
      </c>
    </row>
    <row r="45" spans="1:17" customFormat="1">
      <c r="A45" s="189" t="s">
        <v>467</v>
      </c>
      <c r="B45" s="112">
        <v>10.41</v>
      </c>
      <c r="C45" s="112">
        <v>17.010000000000002</v>
      </c>
      <c r="D45" s="112">
        <v>18.59</v>
      </c>
      <c r="E45" s="112">
        <v>9.16</v>
      </c>
      <c r="F45" s="112">
        <v>4.59</v>
      </c>
      <c r="G45" s="112">
        <v>13.36</v>
      </c>
      <c r="H45" s="112">
        <v>3.13</v>
      </c>
      <c r="I45" s="112">
        <v>4.55</v>
      </c>
      <c r="J45" s="112">
        <v>0.13</v>
      </c>
      <c r="K45" s="112">
        <v>212.16</v>
      </c>
      <c r="L45" s="112">
        <v>27.02</v>
      </c>
      <c r="M45" s="112">
        <v>93.75</v>
      </c>
      <c r="N45" s="112">
        <v>125.4</v>
      </c>
      <c r="O45" s="112">
        <v>0</v>
      </c>
      <c r="P45" s="112">
        <v>0.54</v>
      </c>
      <c r="Q45" s="112">
        <v>4.5199999999999996</v>
      </c>
    </row>
    <row r="46" spans="1:17" customFormat="1">
      <c r="A46" s="189" t="s">
        <v>468</v>
      </c>
      <c r="B46" s="112">
        <v>10.99</v>
      </c>
      <c r="C46" s="112">
        <v>16.21</v>
      </c>
      <c r="D46" s="112">
        <v>18.63</v>
      </c>
      <c r="E46" s="112">
        <v>9.16</v>
      </c>
      <c r="F46" s="112">
        <v>5.29</v>
      </c>
      <c r="G46" s="112">
        <v>13.36</v>
      </c>
      <c r="H46" s="112">
        <v>3.13</v>
      </c>
      <c r="I46" s="112">
        <v>4.71</v>
      </c>
      <c r="J46" s="112">
        <v>0.35</v>
      </c>
      <c r="K46" s="112">
        <v>40.24</v>
      </c>
      <c r="L46" s="112">
        <v>26.82</v>
      </c>
      <c r="M46" s="112">
        <v>92.89</v>
      </c>
      <c r="N46" s="112">
        <v>31.6</v>
      </c>
      <c r="O46" s="112">
        <v>0</v>
      </c>
      <c r="P46" s="112">
        <v>0.59</v>
      </c>
      <c r="Q46" s="112">
        <v>4.51</v>
      </c>
    </row>
    <row r="47" spans="1:17" customFormat="1">
      <c r="A47" s="189" t="s">
        <v>469</v>
      </c>
      <c r="B47" s="112">
        <v>11.28</v>
      </c>
      <c r="C47" s="112">
        <v>16.13</v>
      </c>
      <c r="D47" s="112">
        <v>18.82</v>
      </c>
      <c r="E47" s="112">
        <v>8.99</v>
      </c>
      <c r="F47" s="112">
        <v>5.92</v>
      </c>
      <c r="G47" s="112">
        <v>13.36</v>
      </c>
      <c r="H47" s="112">
        <v>3.13</v>
      </c>
      <c r="I47" s="112">
        <v>4.88</v>
      </c>
      <c r="J47" s="112">
        <v>0.43</v>
      </c>
      <c r="K47" s="112">
        <v>97.8</v>
      </c>
      <c r="L47" s="112">
        <v>25.49</v>
      </c>
      <c r="M47" s="112">
        <v>94.45</v>
      </c>
      <c r="N47" s="112">
        <v>1.2</v>
      </c>
      <c r="O47" s="112">
        <v>2.2000000000000002</v>
      </c>
      <c r="P47" s="112">
        <v>0.56000000000000005</v>
      </c>
      <c r="Q47" s="112">
        <v>4.51</v>
      </c>
    </row>
    <row r="48" spans="1:17" customFormat="1">
      <c r="A48" s="189" t="s">
        <v>470</v>
      </c>
      <c r="B48" s="112">
        <v>10.199999999999999</v>
      </c>
      <c r="C48" s="112">
        <v>15.87</v>
      </c>
      <c r="D48" s="112">
        <v>17.82</v>
      </c>
      <c r="E48" s="112">
        <v>9.0299999999999994</v>
      </c>
      <c r="F48" s="112">
        <v>6.72</v>
      </c>
      <c r="G48" s="112">
        <v>18.8</v>
      </c>
      <c r="H48" s="112">
        <v>4.3</v>
      </c>
      <c r="I48" s="112">
        <v>5.01</v>
      </c>
      <c r="J48" s="112">
        <v>0.31</v>
      </c>
      <c r="K48" s="112">
        <v>135.4</v>
      </c>
      <c r="L48" s="112">
        <v>24.02</v>
      </c>
      <c r="M48" s="112">
        <v>97.6</v>
      </c>
      <c r="N48" s="112">
        <v>4.3</v>
      </c>
      <c r="O48" s="112">
        <v>0.6</v>
      </c>
      <c r="P48" s="112">
        <v>0.53</v>
      </c>
      <c r="Q48" s="112">
        <v>4.49</v>
      </c>
    </row>
    <row r="49" spans="1:17" customFormat="1">
      <c r="A49" s="189" t="s">
        <v>471</v>
      </c>
      <c r="B49" s="112">
        <v>9.2200000000000006</v>
      </c>
      <c r="C49" s="112">
        <v>17</v>
      </c>
      <c r="D49" s="112">
        <v>17.63</v>
      </c>
      <c r="E49" s="112">
        <v>6.15</v>
      </c>
      <c r="F49" s="112">
        <v>5.39</v>
      </c>
      <c r="G49" s="112">
        <v>19.12</v>
      </c>
      <c r="H49" s="112">
        <v>4.3</v>
      </c>
      <c r="I49" s="112">
        <v>5.0199999999999996</v>
      </c>
      <c r="J49" s="112">
        <v>0.05</v>
      </c>
      <c r="K49" s="112">
        <v>273.8</v>
      </c>
      <c r="L49" s="112">
        <v>24.18</v>
      </c>
      <c r="M49" s="112">
        <v>98.43</v>
      </c>
      <c r="N49" s="112">
        <v>7.2</v>
      </c>
      <c r="O49" s="112">
        <v>0.8</v>
      </c>
      <c r="P49" s="112">
        <v>0.53</v>
      </c>
      <c r="Q49" s="112">
        <v>4.4400000000000004</v>
      </c>
    </row>
    <row r="50" spans="1:17" customFormat="1">
      <c r="A50" s="189" t="s">
        <v>472</v>
      </c>
      <c r="B50" s="112">
        <v>9.15</v>
      </c>
      <c r="C50" s="112">
        <v>18.41</v>
      </c>
      <c r="D50" s="112">
        <v>18.309999999999999</v>
      </c>
      <c r="E50" s="112">
        <v>7.49</v>
      </c>
      <c r="F50" s="112">
        <v>4.12</v>
      </c>
      <c r="G50" s="112">
        <v>19.12</v>
      </c>
      <c r="H50" s="112">
        <v>4.3</v>
      </c>
      <c r="I50" s="112">
        <v>4.76</v>
      </c>
      <c r="J50" s="112">
        <v>0.41</v>
      </c>
      <c r="K50" s="112">
        <v>301.14</v>
      </c>
      <c r="L50" s="112">
        <v>24.29</v>
      </c>
      <c r="M50" s="112">
        <v>99.03</v>
      </c>
      <c r="N50" s="112">
        <v>11.7</v>
      </c>
      <c r="O50" s="112">
        <v>0.4</v>
      </c>
      <c r="P50" s="112">
        <v>0.55000000000000004</v>
      </c>
      <c r="Q50" s="112">
        <v>4.4800000000000004</v>
      </c>
    </row>
    <row r="51" spans="1:17" customFormat="1">
      <c r="A51" s="189" t="s">
        <v>473</v>
      </c>
      <c r="B51" s="112">
        <v>9.52</v>
      </c>
      <c r="C51" s="112">
        <v>17.57</v>
      </c>
      <c r="D51" s="112">
        <v>18.16</v>
      </c>
      <c r="E51" s="112">
        <v>7.39</v>
      </c>
      <c r="F51" s="112">
        <v>5.0199999999999996</v>
      </c>
      <c r="G51" s="112">
        <v>19.12</v>
      </c>
      <c r="H51" s="112">
        <v>4.3</v>
      </c>
      <c r="I51" s="112">
        <v>4.74</v>
      </c>
      <c r="J51" s="112">
        <v>0.62</v>
      </c>
      <c r="K51" s="112">
        <v>31.75</v>
      </c>
      <c r="L51" s="112">
        <v>24.26</v>
      </c>
      <c r="M51" s="112">
        <v>99.3</v>
      </c>
      <c r="N51" s="112">
        <v>9.1999999999999993</v>
      </c>
      <c r="O51" s="112">
        <v>2.2000000000000002</v>
      </c>
      <c r="P51" s="112">
        <v>0.55000000000000004</v>
      </c>
      <c r="Q51" s="112">
        <v>4.46</v>
      </c>
    </row>
    <row r="52" spans="1:17" customFormat="1">
      <c r="A52" s="189" t="s">
        <v>474</v>
      </c>
      <c r="B52" s="112">
        <v>9.69</v>
      </c>
      <c r="C52" s="112">
        <v>17.82</v>
      </c>
      <c r="D52" s="112">
        <v>18.440000000000001</v>
      </c>
      <c r="E52" s="112">
        <v>7.18</v>
      </c>
      <c r="F52" s="112">
        <v>5.21</v>
      </c>
      <c r="G52" s="112">
        <v>15.34</v>
      </c>
      <c r="H52" s="112">
        <v>5.96</v>
      </c>
      <c r="I52" s="112">
        <v>4.79</v>
      </c>
      <c r="J52" s="112">
        <v>0.79</v>
      </c>
      <c r="K52" s="112">
        <v>265.64999999999998</v>
      </c>
      <c r="L52" s="112">
        <v>23.68</v>
      </c>
      <c r="M52" s="112">
        <v>99.68</v>
      </c>
      <c r="N52" s="112">
        <v>12.3</v>
      </c>
      <c r="O52" s="112">
        <v>4.5999999999999996</v>
      </c>
      <c r="P52" s="112">
        <v>0.55000000000000004</v>
      </c>
      <c r="Q52" s="112">
        <v>4.49</v>
      </c>
    </row>
    <row r="53" spans="1:17" customFormat="1">
      <c r="A53" s="189" t="s">
        <v>475</v>
      </c>
      <c r="B53" s="112">
        <v>9.66</v>
      </c>
      <c r="C53" s="112">
        <v>19.170000000000002</v>
      </c>
      <c r="D53" s="112">
        <v>19.11</v>
      </c>
      <c r="E53" s="112">
        <v>7.65</v>
      </c>
      <c r="F53" s="112">
        <v>4</v>
      </c>
      <c r="G53" s="112">
        <v>15.11</v>
      </c>
      <c r="H53" s="112">
        <v>5.96</v>
      </c>
      <c r="I53" s="112">
        <v>4.7</v>
      </c>
      <c r="J53" s="112">
        <v>0.2</v>
      </c>
      <c r="K53" s="112">
        <v>250.04</v>
      </c>
      <c r="L53" s="112">
        <v>23.76</v>
      </c>
      <c r="M53" s="112">
        <v>100.19</v>
      </c>
      <c r="N53" s="112">
        <v>28</v>
      </c>
      <c r="O53" s="112">
        <v>0.2</v>
      </c>
      <c r="P53" s="112">
        <v>0.56999999999999995</v>
      </c>
      <c r="Q53" s="112">
        <v>4.53</v>
      </c>
    </row>
    <row r="54" spans="1:17" customFormat="1">
      <c r="A54" s="189" t="s">
        <v>476</v>
      </c>
      <c r="B54" s="112">
        <v>9.76</v>
      </c>
      <c r="C54" s="112">
        <v>18.34</v>
      </c>
      <c r="D54" s="112">
        <v>18.760000000000002</v>
      </c>
      <c r="E54" s="112">
        <v>7.28</v>
      </c>
      <c r="F54" s="112">
        <v>4.6500000000000004</v>
      </c>
      <c r="G54" s="112">
        <v>15.11</v>
      </c>
      <c r="H54" s="112">
        <v>5.96</v>
      </c>
      <c r="I54" s="112">
        <v>4.71</v>
      </c>
      <c r="J54" s="112">
        <v>0.17</v>
      </c>
      <c r="K54" s="112">
        <v>298.16000000000003</v>
      </c>
      <c r="L54" s="112">
        <v>23.98</v>
      </c>
      <c r="M54" s="112">
        <v>99.94</v>
      </c>
      <c r="N54" s="112">
        <v>46.1</v>
      </c>
      <c r="O54" s="112">
        <v>0.2</v>
      </c>
      <c r="P54" s="112">
        <v>0.56000000000000005</v>
      </c>
      <c r="Q54" s="112">
        <v>4.5</v>
      </c>
    </row>
    <row r="55" spans="1:17" customFormat="1">
      <c r="A55" s="189" t="s">
        <v>477</v>
      </c>
      <c r="B55" s="112">
        <v>10.07</v>
      </c>
      <c r="C55" s="112">
        <v>17.82</v>
      </c>
      <c r="D55" s="112">
        <v>18.739999999999998</v>
      </c>
      <c r="E55" s="112">
        <v>7.64</v>
      </c>
      <c r="F55" s="112">
        <v>5.13</v>
      </c>
      <c r="G55" s="112">
        <v>15.11</v>
      </c>
      <c r="H55" s="112">
        <v>5.96</v>
      </c>
      <c r="I55" s="112">
        <v>4.74</v>
      </c>
      <c r="J55" s="112">
        <v>0.21</v>
      </c>
      <c r="K55" s="112">
        <v>342.93</v>
      </c>
      <c r="L55" s="112">
        <v>24.3</v>
      </c>
      <c r="M55" s="112">
        <v>100.09</v>
      </c>
      <c r="N55" s="112">
        <v>76.599999999999994</v>
      </c>
      <c r="O55" s="112">
        <v>0.2</v>
      </c>
      <c r="P55" s="112">
        <v>0.56000000000000005</v>
      </c>
      <c r="Q55" s="112">
        <v>4.5199999999999996</v>
      </c>
    </row>
    <row r="56" spans="1:17" customFormat="1">
      <c r="A56" s="189" t="s">
        <v>478</v>
      </c>
      <c r="B56" s="112">
        <v>10.4</v>
      </c>
      <c r="C56" s="112">
        <v>18.64</v>
      </c>
      <c r="D56" s="112">
        <v>19.420000000000002</v>
      </c>
      <c r="E56" s="112">
        <v>7.06</v>
      </c>
      <c r="F56" s="112">
        <v>4.63</v>
      </c>
      <c r="G56" s="112">
        <v>15.34</v>
      </c>
      <c r="H56" s="112">
        <v>4.45</v>
      </c>
      <c r="I56" s="112">
        <v>4.67</v>
      </c>
      <c r="J56" s="112">
        <v>0.16</v>
      </c>
      <c r="K56" s="112">
        <v>266.95999999999998</v>
      </c>
      <c r="L56" s="112">
        <v>24.82</v>
      </c>
      <c r="M56" s="112">
        <v>100.7</v>
      </c>
      <c r="N56" s="112">
        <v>116.9</v>
      </c>
      <c r="O56" s="112">
        <v>0.2</v>
      </c>
      <c r="P56" s="112">
        <v>0.56999999999999995</v>
      </c>
      <c r="Q56" s="112">
        <v>4.57</v>
      </c>
    </row>
    <row r="57" spans="1:17" customFormat="1">
      <c r="A57" s="189" t="s">
        <v>479</v>
      </c>
      <c r="B57" s="112">
        <v>10.62</v>
      </c>
      <c r="C57" s="112">
        <v>19.93</v>
      </c>
      <c r="D57" s="112">
        <v>20.28</v>
      </c>
      <c r="E57" s="112">
        <v>7.8</v>
      </c>
      <c r="F57" s="112">
        <v>3.99</v>
      </c>
      <c r="G57" s="112">
        <v>15.35</v>
      </c>
      <c r="H57" s="112">
        <v>4.45</v>
      </c>
      <c r="I57" s="112">
        <v>4.66</v>
      </c>
      <c r="J57" s="112">
        <v>0.24</v>
      </c>
      <c r="K57" s="112">
        <v>255.25</v>
      </c>
      <c r="L57" s="112">
        <v>25.21</v>
      </c>
      <c r="M57" s="112">
        <v>101.18</v>
      </c>
      <c r="N57" s="112">
        <v>150.30000000000001</v>
      </c>
      <c r="O57" s="112">
        <v>0</v>
      </c>
      <c r="P57" s="112">
        <v>0.57999999999999996</v>
      </c>
      <c r="Q57" s="112">
        <v>4.63</v>
      </c>
    </row>
    <row r="58" spans="1:17" customFormat="1">
      <c r="A58" s="189" t="s">
        <v>480</v>
      </c>
      <c r="B58" s="112">
        <v>10.84</v>
      </c>
      <c r="C58" s="112">
        <v>18.920000000000002</v>
      </c>
      <c r="D58" s="112">
        <v>19.940000000000001</v>
      </c>
      <c r="E58" s="112">
        <v>7.67</v>
      </c>
      <c r="F58" s="112">
        <v>4.68</v>
      </c>
      <c r="G58" s="112">
        <v>15.35</v>
      </c>
      <c r="H58" s="112">
        <v>4.45</v>
      </c>
      <c r="I58" s="112">
        <v>4.7300000000000004</v>
      </c>
      <c r="J58" s="112">
        <v>0.19</v>
      </c>
      <c r="K58" s="112">
        <v>241.62</v>
      </c>
      <c r="L58" s="112">
        <v>25.71</v>
      </c>
      <c r="M58" s="112">
        <v>100.36</v>
      </c>
      <c r="N58" s="112">
        <v>165.6</v>
      </c>
      <c r="O58" s="112">
        <v>0</v>
      </c>
      <c r="P58" s="112">
        <v>0.56999999999999995</v>
      </c>
      <c r="Q58" s="112">
        <v>4.6500000000000004</v>
      </c>
    </row>
    <row r="59" spans="1:17" customFormat="1">
      <c r="A59" s="189" t="s">
        <v>481</v>
      </c>
      <c r="B59" s="112">
        <v>10.63</v>
      </c>
      <c r="C59" s="112">
        <v>18.11</v>
      </c>
      <c r="D59" s="112">
        <v>19.34</v>
      </c>
      <c r="E59" s="112">
        <v>7.83</v>
      </c>
      <c r="F59" s="112">
        <v>5.66</v>
      </c>
      <c r="G59" s="112">
        <v>15.35</v>
      </c>
      <c r="H59" s="112">
        <v>4.45</v>
      </c>
      <c r="I59" s="112">
        <v>4.8099999999999996</v>
      </c>
      <c r="J59" s="112">
        <v>0.09</v>
      </c>
      <c r="K59" s="112">
        <v>277.77</v>
      </c>
      <c r="L59" s="112">
        <v>26.2</v>
      </c>
      <c r="M59" s="112">
        <v>99.54</v>
      </c>
      <c r="N59" s="112">
        <v>188.3</v>
      </c>
      <c r="O59" s="112">
        <v>0</v>
      </c>
      <c r="P59" s="112">
        <v>0.56999999999999995</v>
      </c>
      <c r="Q59" s="112">
        <v>4.59</v>
      </c>
    </row>
    <row r="60" spans="1:17" customFormat="1">
      <c r="A60" s="189" t="s">
        <v>482</v>
      </c>
      <c r="B60" s="112">
        <v>10.17</v>
      </c>
      <c r="C60" s="112">
        <v>17.920000000000002</v>
      </c>
      <c r="D60" s="112">
        <v>18.87</v>
      </c>
      <c r="E60" s="112">
        <v>7.54</v>
      </c>
      <c r="F60" s="112">
        <v>6.87</v>
      </c>
      <c r="G60" s="112">
        <v>15.77</v>
      </c>
      <c r="H60" s="112">
        <v>7.08</v>
      </c>
      <c r="I60" s="112">
        <v>4.79</v>
      </c>
      <c r="J60" s="112">
        <v>0.27</v>
      </c>
      <c r="K60" s="112">
        <v>249.07</v>
      </c>
      <c r="L60" s="112">
        <v>26.64</v>
      </c>
      <c r="M60" s="112">
        <v>94.88</v>
      </c>
      <c r="N60" s="112">
        <v>214.1</v>
      </c>
      <c r="O60" s="112">
        <v>0</v>
      </c>
      <c r="P60" s="112">
        <v>0.57999999999999996</v>
      </c>
      <c r="Q60" s="112">
        <v>4.59</v>
      </c>
    </row>
    <row r="61" spans="1:17" customFormat="1">
      <c r="A61" s="189" t="s">
        <v>483</v>
      </c>
      <c r="B61" s="112">
        <v>10.5</v>
      </c>
      <c r="C61" s="112">
        <v>19.75</v>
      </c>
      <c r="D61" s="112">
        <v>20.100000000000001</v>
      </c>
      <c r="E61" s="112">
        <v>7.84</v>
      </c>
      <c r="F61" s="112">
        <v>4.7</v>
      </c>
      <c r="G61" s="112">
        <v>15.79</v>
      </c>
      <c r="H61" s="112">
        <v>7.08</v>
      </c>
      <c r="I61" s="112">
        <v>4.7699999999999996</v>
      </c>
      <c r="J61" s="112">
        <v>0.21</v>
      </c>
      <c r="K61" s="112">
        <v>246.76</v>
      </c>
      <c r="L61" s="112">
        <v>27.03</v>
      </c>
      <c r="M61" s="112">
        <v>93.3</v>
      </c>
      <c r="N61" s="112">
        <v>269.60000000000002</v>
      </c>
      <c r="O61" s="112">
        <v>0</v>
      </c>
      <c r="P61" s="112">
        <v>0.61</v>
      </c>
      <c r="Q61" s="112">
        <v>4.62</v>
      </c>
    </row>
    <row r="62" spans="1:17" customFormat="1">
      <c r="A62" s="189" t="s">
        <v>484</v>
      </c>
      <c r="B62" s="112">
        <v>10.55</v>
      </c>
      <c r="C62" s="112">
        <v>18.89</v>
      </c>
      <c r="D62" s="112">
        <v>19.68</v>
      </c>
      <c r="E62" s="112">
        <v>8.01</v>
      </c>
      <c r="F62" s="112">
        <v>5.08</v>
      </c>
      <c r="G62" s="112">
        <v>15.79</v>
      </c>
      <c r="H62" s="112">
        <v>7.08</v>
      </c>
      <c r="I62" s="112">
        <v>4.8499999999999996</v>
      </c>
      <c r="J62" s="112">
        <v>0.17</v>
      </c>
      <c r="K62" s="112">
        <v>218.75</v>
      </c>
      <c r="L62" s="112">
        <v>27.81</v>
      </c>
      <c r="M62" s="112">
        <v>90.99</v>
      </c>
      <c r="N62" s="112">
        <v>513.70000000000005</v>
      </c>
      <c r="O62" s="112">
        <v>0</v>
      </c>
      <c r="P62" s="112">
        <v>0.62</v>
      </c>
      <c r="Q62" s="112">
        <v>4.6100000000000003</v>
      </c>
    </row>
    <row r="63" spans="1:17" customFormat="1">
      <c r="A63" s="189" t="s">
        <v>485</v>
      </c>
      <c r="B63" s="112">
        <v>10.19</v>
      </c>
      <c r="C63" s="112">
        <v>18.010000000000002</v>
      </c>
      <c r="D63" s="112">
        <v>18.93</v>
      </c>
      <c r="E63" s="112">
        <v>7.42</v>
      </c>
      <c r="F63" s="112">
        <v>6.94</v>
      </c>
      <c r="G63" s="112">
        <v>15.79</v>
      </c>
      <c r="H63" s="112">
        <v>7.08</v>
      </c>
      <c r="I63" s="112">
        <v>5</v>
      </c>
      <c r="J63" s="112">
        <v>0.31</v>
      </c>
      <c r="K63" s="112">
        <v>245.53</v>
      </c>
      <c r="L63" s="112">
        <v>28.64</v>
      </c>
      <c r="M63" s="112">
        <v>87</v>
      </c>
      <c r="N63" s="112">
        <v>631.6</v>
      </c>
      <c r="O63" s="112">
        <v>0</v>
      </c>
      <c r="P63" s="112">
        <v>0.61</v>
      </c>
      <c r="Q63" s="112">
        <v>4.57</v>
      </c>
    </row>
    <row r="64" spans="1:17" customFormat="1">
      <c r="A64" s="189" t="s">
        <v>486</v>
      </c>
      <c r="B64" s="112">
        <v>9.65</v>
      </c>
      <c r="C64" s="112">
        <v>17.739999999999998</v>
      </c>
      <c r="D64" s="112">
        <v>18.36</v>
      </c>
      <c r="E64" s="112">
        <v>7.74</v>
      </c>
      <c r="F64" s="112">
        <v>7.37</v>
      </c>
      <c r="G64" s="112">
        <v>15.46</v>
      </c>
      <c r="H64" s="112">
        <v>7.92</v>
      </c>
      <c r="I64" s="112">
        <v>4.9800000000000004</v>
      </c>
      <c r="J64" s="112">
        <v>0.42</v>
      </c>
      <c r="K64" s="112">
        <v>272.3</v>
      </c>
      <c r="L64" s="112">
        <v>29.35</v>
      </c>
      <c r="M64" s="112">
        <v>84.63</v>
      </c>
      <c r="N64" s="112">
        <v>593.9</v>
      </c>
      <c r="O64" s="112">
        <v>0</v>
      </c>
      <c r="P64" s="112">
        <v>0.61</v>
      </c>
      <c r="Q64" s="112">
        <v>4.55</v>
      </c>
    </row>
    <row r="65" spans="1:17" customFormat="1">
      <c r="A65" s="189" t="s">
        <v>487</v>
      </c>
      <c r="B65" s="112">
        <v>9.16</v>
      </c>
      <c r="C65" s="112">
        <v>17.89</v>
      </c>
      <c r="D65" s="112">
        <v>18.04</v>
      </c>
      <c r="E65" s="112">
        <v>7.85</v>
      </c>
      <c r="F65" s="112">
        <v>7.14</v>
      </c>
      <c r="G65" s="112">
        <v>15.44</v>
      </c>
      <c r="H65" s="112">
        <v>7.92</v>
      </c>
      <c r="I65" s="112">
        <v>4.99</v>
      </c>
      <c r="J65" s="112">
        <v>0.43</v>
      </c>
      <c r="K65" s="112">
        <v>284.64999999999998</v>
      </c>
      <c r="L65" s="112">
        <v>29.67</v>
      </c>
      <c r="M65" s="112">
        <v>82.19</v>
      </c>
      <c r="N65" s="112">
        <v>627.1</v>
      </c>
      <c r="O65" s="112">
        <v>0</v>
      </c>
      <c r="P65" s="112">
        <v>0.61</v>
      </c>
      <c r="Q65" s="112">
        <v>4.4800000000000004</v>
      </c>
    </row>
    <row r="66" spans="1:17" customFormat="1">
      <c r="A66" s="189" t="s">
        <v>488</v>
      </c>
      <c r="B66" s="112">
        <v>8.5399999999999991</v>
      </c>
      <c r="C66" s="112">
        <v>18.38</v>
      </c>
      <c r="D66" s="112">
        <v>17.8</v>
      </c>
      <c r="E66" s="112">
        <v>7.96</v>
      </c>
      <c r="F66" s="112">
        <v>7.43</v>
      </c>
      <c r="G66" s="112">
        <v>15.44</v>
      </c>
      <c r="H66" s="112">
        <v>7.92</v>
      </c>
      <c r="I66" s="112">
        <v>5.03</v>
      </c>
      <c r="J66" s="112">
        <v>0.43</v>
      </c>
      <c r="K66" s="112">
        <v>293.29000000000002</v>
      </c>
      <c r="L66" s="112">
        <v>29.9</v>
      </c>
      <c r="M66" s="112">
        <v>81.62</v>
      </c>
      <c r="N66" s="112">
        <v>428.2</v>
      </c>
      <c r="O66" s="112">
        <v>0</v>
      </c>
      <c r="P66" s="112">
        <v>0.64</v>
      </c>
      <c r="Q66" s="112">
        <v>4.4800000000000004</v>
      </c>
    </row>
    <row r="67" spans="1:17" customFormat="1">
      <c r="A67" s="189" t="s">
        <v>489</v>
      </c>
      <c r="B67" s="112">
        <v>8.11</v>
      </c>
      <c r="C67" s="112">
        <v>18.98</v>
      </c>
      <c r="D67" s="112">
        <v>17.77</v>
      </c>
      <c r="E67" s="112">
        <v>7.65</v>
      </c>
      <c r="F67" s="112">
        <v>6.35</v>
      </c>
      <c r="G67" s="112">
        <v>15.44</v>
      </c>
      <c r="H67" s="112">
        <v>7.92</v>
      </c>
      <c r="I67" s="112">
        <v>5.13</v>
      </c>
      <c r="J67" s="112">
        <v>0.49</v>
      </c>
      <c r="K67" s="112">
        <v>285.31</v>
      </c>
      <c r="L67" s="112">
        <v>29.29</v>
      </c>
      <c r="M67" s="112">
        <v>83.33</v>
      </c>
      <c r="N67" s="112">
        <v>378</v>
      </c>
      <c r="O67" s="112">
        <v>0</v>
      </c>
      <c r="P67" s="112">
        <v>0.66</v>
      </c>
      <c r="Q67" s="112">
        <v>4.43</v>
      </c>
    </row>
    <row r="68" spans="1:17" customFormat="1">
      <c r="A68" s="189" t="s">
        <v>490</v>
      </c>
      <c r="B68" s="112">
        <v>7.85</v>
      </c>
      <c r="C68" s="112">
        <v>19.89</v>
      </c>
      <c r="D68" s="112">
        <v>18.04</v>
      </c>
      <c r="E68" s="112">
        <v>7.65</v>
      </c>
      <c r="F68" s="112">
        <v>6.05</v>
      </c>
      <c r="G68" s="112">
        <v>17.93</v>
      </c>
      <c r="H68" s="112">
        <v>13.09</v>
      </c>
      <c r="I68" s="112">
        <v>5.25</v>
      </c>
      <c r="J68" s="112">
        <v>0.55000000000000004</v>
      </c>
      <c r="K68" s="112">
        <v>296.02</v>
      </c>
      <c r="L68" s="112">
        <v>29.24</v>
      </c>
      <c r="M68" s="112">
        <v>82.01</v>
      </c>
      <c r="N68" s="112">
        <v>279.7</v>
      </c>
      <c r="O68" s="112">
        <v>0</v>
      </c>
      <c r="P68" s="112">
        <v>0.68</v>
      </c>
      <c r="Q68" s="112">
        <v>4.4800000000000004</v>
      </c>
    </row>
    <row r="69" spans="1:17" customFormat="1">
      <c r="A69" s="189" t="s">
        <v>491</v>
      </c>
      <c r="B69" s="112">
        <v>7.71</v>
      </c>
      <c r="C69" s="112">
        <v>19.510000000000002</v>
      </c>
      <c r="D69" s="112">
        <v>17.72</v>
      </c>
      <c r="E69" s="112">
        <v>7.35</v>
      </c>
      <c r="F69" s="112">
        <v>6.44</v>
      </c>
      <c r="G69" s="112">
        <v>18.07</v>
      </c>
      <c r="H69" s="112">
        <v>13.09</v>
      </c>
      <c r="I69" s="112">
        <v>5.29</v>
      </c>
      <c r="J69" s="112">
        <v>0.57999999999999996</v>
      </c>
      <c r="K69" s="112">
        <v>292.54000000000002</v>
      </c>
      <c r="L69" s="112">
        <v>29.2</v>
      </c>
      <c r="M69" s="112">
        <v>83.13</v>
      </c>
      <c r="N69" s="112">
        <v>377.8</v>
      </c>
      <c r="O69" s="112">
        <v>0</v>
      </c>
      <c r="P69" s="112">
        <v>0.74</v>
      </c>
      <c r="Q69" s="112">
        <v>4.4400000000000004</v>
      </c>
    </row>
    <row r="70" spans="1:17" customFormat="1">
      <c r="A70" s="189" t="s">
        <v>492</v>
      </c>
      <c r="B70" s="112">
        <v>7.89</v>
      </c>
      <c r="C70" s="112">
        <v>19.350000000000001</v>
      </c>
      <c r="D70" s="112">
        <v>17.79</v>
      </c>
      <c r="E70" s="112">
        <v>8.44</v>
      </c>
      <c r="F70" s="112">
        <v>6.17</v>
      </c>
      <c r="G70" s="112">
        <v>18.07</v>
      </c>
      <c r="H70" s="112">
        <v>13.09</v>
      </c>
      <c r="I70" s="112">
        <v>5.47</v>
      </c>
      <c r="J70" s="112">
        <v>0.66</v>
      </c>
      <c r="K70" s="112">
        <v>283.56</v>
      </c>
      <c r="L70" s="112">
        <v>29.45</v>
      </c>
      <c r="M70" s="112">
        <v>80.849999999999994</v>
      </c>
      <c r="N70" s="112">
        <v>480.3</v>
      </c>
      <c r="O70" s="112">
        <v>0</v>
      </c>
      <c r="P70" s="112">
        <v>0.77</v>
      </c>
      <c r="Q70" s="112">
        <v>4.41</v>
      </c>
    </row>
    <row r="71" spans="1:17" customFormat="1">
      <c r="A71" s="189" t="s">
        <v>493</v>
      </c>
      <c r="B71" s="112">
        <v>8.02</v>
      </c>
      <c r="C71" s="112">
        <v>19.21</v>
      </c>
      <c r="D71" s="112">
        <v>17.809999999999999</v>
      </c>
      <c r="E71" s="112">
        <v>8.66</v>
      </c>
      <c r="F71" s="112">
        <v>5.79</v>
      </c>
      <c r="G71" s="112">
        <v>18.07</v>
      </c>
      <c r="H71" s="112">
        <v>13.09</v>
      </c>
      <c r="I71" s="112">
        <v>6.05</v>
      </c>
      <c r="J71" s="112">
        <v>0.8</v>
      </c>
      <c r="K71" s="112">
        <v>277.44</v>
      </c>
      <c r="L71" s="112">
        <v>29.36</v>
      </c>
      <c r="M71" s="112">
        <v>79.78</v>
      </c>
      <c r="N71" s="112">
        <v>379.5</v>
      </c>
      <c r="O71" s="112">
        <v>0</v>
      </c>
      <c r="P71" s="112">
        <v>0.78</v>
      </c>
      <c r="Q71" s="112">
        <v>4.43</v>
      </c>
    </row>
    <row r="72" spans="1:17" customFormat="1">
      <c r="A72" s="189" t="s">
        <v>494</v>
      </c>
      <c r="B72" s="112">
        <v>7.79</v>
      </c>
      <c r="C72" s="112">
        <v>19.940000000000001</v>
      </c>
      <c r="D72" s="112">
        <v>18.010000000000002</v>
      </c>
      <c r="E72" s="112">
        <v>8.1300000000000008</v>
      </c>
      <c r="F72" s="112">
        <v>5.47</v>
      </c>
      <c r="G72" s="112">
        <v>32.369999999999997</v>
      </c>
      <c r="H72" s="112">
        <v>10.97</v>
      </c>
      <c r="I72" s="112">
        <v>6.27</v>
      </c>
      <c r="J72" s="112">
        <v>0.56000000000000005</v>
      </c>
      <c r="K72" s="112">
        <v>281.69</v>
      </c>
      <c r="L72" s="112">
        <v>28.87</v>
      </c>
      <c r="M72" s="112">
        <v>79.94</v>
      </c>
      <c r="N72" s="112">
        <v>166.1</v>
      </c>
      <c r="O72" s="112">
        <v>0</v>
      </c>
      <c r="P72" s="112">
        <v>0.79</v>
      </c>
      <c r="Q72" s="112">
        <v>4.46</v>
      </c>
    </row>
    <row r="73" spans="1:17" customFormat="1">
      <c r="A73" s="189" t="s">
        <v>495</v>
      </c>
      <c r="B73" s="112">
        <v>7.94</v>
      </c>
      <c r="C73" s="112">
        <v>20.02</v>
      </c>
      <c r="D73" s="112">
        <v>18.18</v>
      </c>
      <c r="E73" s="112">
        <v>8.32</v>
      </c>
      <c r="F73" s="112">
        <v>5.6</v>
      </c>
      <c r="G73" s="112">
        <v>33.21</v>
      </c>
      <c r="H73" s="112">
        <v>10.92</v>
      </c>
      <c r="I73" s="112">
        <v>6.21</v>
      </c>
      <c r="J73" s="112">
        <v>0.61</v>
      </c>
      <c r="K73" s="112">
        <v>296.52999999999997</v>
      </c>
      <c r="L73" s="112">
        <v>28.57</v>
      </c>
      <c r="M73" s="112">
        <v>79.56</v>
      </c>
      <c r="N73" s="112">
        <v>129.1</v>
      </c>
      <c r="O73" s="112">
        <v>0</v>
      </c>
      <c r="P73" s="112">
        <v>0.79</v>
      </c>
      <c r="Q73" s="112">
        <v>4.45</v>
      </c>
    </row>
    <row r="74" spans="1:17" customFormat="1">
      <c r="A74" s="189" t="s">
        <v>496</v>
      </c>
      <c r="B74" s="112">
        <v>7.89</v>
      </c>
      <c r="C74" s="112">
        <v>19.670000000000002</v>
      </c>
      <c r="D74" s="112">
        <v>17.95</v>
      </c>
      <c r="E74" s="112">
        <v>7.59</v>
      </c>
      <c r="F74" s="112">
        <v>5.76</v>
      </c>
      <c r="G74" s="112">
        <v>33.21</v>
      </c>
      <c r="H74" s="112">
        <v>10.92</v>
      </c>
      <c r="I74" s="112">
        <v>6.27</v>
      </c>
      <c r="J74" s="112">
        <v>0.64</v>
      </c>
      <c r="K74" s="112">
        <v>280.83</v>
      </c>
      <c r="L74" s="112">
        <v>28.27</v>
      </c>
      <c r="M74" s="112">
        <v>81.849999999999994</v>
      </c>
      <c r="N74" s="112">
        <v>107.9</v>
      </c>
      <c r="O74" s="112">
        <v>0</v>
      </c>
      <c r="P74" s="112">
        <v>0.78</v>
      </c>
      <c r="Q74" s="112">
        <v>4.4400000000000004</v>
      </c>
    </row>
    <row r="75" spans="1:17" customFormat="1">
      <c r="A75" s="189" t="s">
        <v>497</v>
      </c>
      <c r="B75" s="112">
        <v>7.89</v>
      </c>
      <c r="C75" s="112">
        <v>19.07</v>
      </c>
      <c r="D75" s="112">
        <v>17.64</v>
      </c>
      <c r="E75" s="112">
        <v>6.26</v>
      </c>
      <c r="F75" s="112">
        <v>5.88</v>
      </c>
      <c r="G75" s="112">
        <v>33.21</v>
      </c>
      <c r="H75" s="112">
        <v>10.92</v>
      </c>
      <c r="I75" s="112">
        <v>6.28</v>
      </c>
      <c r="J75" s="112">
        <v>0.49</v>
      </c>
      <c r="K75" s="112">
        <v>301.47000000000003</v>
      </c>
      <c r="L75" s="112">
        <v>28.02</v>
      </c>
      <c r="M75" s="112">
        <v>81.83</v>
      </c>
      <c r="N75" s="112">
        <v>106.8</v>
      </c>
      <c r="O75" s="112">
        <v>0</v>
      </c>
      <c r="P75" s="112">
        <v>0.77</v>
      </c>
      <c r="Q75" s="112">
        <v>4.41</v>
      </c>
    </row>
    <row r="76" spans="1:17" customFormat="1">
      <c r="A76" s="189" t="s">
        <v>498</v>
      </c>
      <c r="B76" s="112">
        <v>7.72</v>
      </c>
      <c r="C76" s="112">
        <v>18.649999999999999</v>
      </c>
      <c r="D76" s="112">
        <v>17.29</v>
      </c>
      <c r="E76" s="112">
        <v>6.79</v>
      </c>
      <c r="F76" s="112">
        <v>6.42</v>
      </c>
      <c r="G76" s="112">
        <v>31.67</v>
      </c>
      <c r="H76" s="112">
        <v>8.94</v>
      </c>
      <c r="I76" s="112">
        <v>6.26</v>
      </c>
      <c r="J76" s="112">
        <v>0.63</v>
      </c>
      <c r="K76" s="112">
        <v>269.17</v>
      </c>
      <c r="L76" s="112">
        <v>27.88</v>
      </c>
      <c r="M76" s="112">
        <v>82.91</v>
      </c>
      <c r="N76" s="112">
        <v>85.5</v>
      </c>
      <c r="O76" s="112">
        <v>0</v>
      </c>
      <c r="P76" s="112">
        <v>0.75</v>
      </c>
      <c r="Q76" s="112">
        <v>4.42</v>
      </c>
    </row>
    <row r="77" spans="1:17" customFormat="1">
      <c r="A77" s="189" t="s">
        <v>499</v>
      </c>
      <c r="B77" s="112">
        <v>7.67</v>
      </c>
      <c r="C77" s="112">
        <v>18.36</v>
      </c>
      <c r="D77" s="112">
        <v>17.100000000000001</v>
      </c>
      <c r="E77" s="112">
        <v>6.71</v>
      </c>
      <c r="F77" s="112">
        <v>5.93</v>
      </c>
      <c r="G77" s="112">
        <v>31.57</v>
      </c>
      <c r="H77" s="112">
        <v>8.94</v>
      </c>
      <c r="I77" s="112">
        <v>6.18</v>
      </c>
      <c r="J77" s="112">
        <v>0.61</v>
      </c>
      <c r="K77" s="112">
        <v>263.74</v>
      </c>
      <c r="L77" s="112">
        <v>27.55</v>
      </c>
      <c r="M77" s="112">
        <v>83.81</v>
      </c>
      <c r="N77" s="112">
        <v>55</v>
      </c>
      <c r="O77" s="112">
        <v>0</v>
      </c>
      <c r="P77" s="112">
        <v>0.75</v>
      </c>
      <c r="Q77" s="112">
        <v>4.3899999999999997</v>
      </c>
    </row>
    <row r="78" spans="1:17" customFormat="1">
      <c r="A78" s="189" t="s">
        <v>500</v>
      </c>
      <c r="B78" s="112">
        <v>7.45</v>
      </c>
      <c r="C78" s="112">
        <v>17.93</v>
      </c>
      <c r="D78" s="112">
        <v>16.7</v>
      </c>
      <c r="E78" s="112">
        <v>6.75</v>
      </c>
      <c r="F78" s="112">
        <v>6.05</v>
      </c>
      <c r="G78" s="112">
        <v>31.57</v>
      </c>
      <c r="H78" s="112">
        <v>8.94</v>
      </c>
      <c r="I78" s="112">
        <v>6.08</v>
      </c>
      <c r="J78" s="112">
        <v>0.65</v>
      </c>
      <c r="K78" s="112">
        <v>266.58999999999997</v>
      </c>
      <c r="L78" s="112">
        <v>27.21</v>
      </c>
      <c r="M78" s="112">
        <v>84.57</v>
      </c>
      <c r="N78" s="112">
        <v>41.9</v>
      </c>
      <c r="O78" s="112">
        <v>0</v>
      </c>
      <c r="P78" s="112">
        <v>0.73</v>
      </c>
      <c r="Q78" s="112">
        <v>4.38</v>
      </c>
    </row>
    <row r="79" spans="1:17" customFormat="1">
      <c r="A79" s="189" t="s">
        <v>501</v>
      </c>
      <c r="B79" s="112">
        <v>7.45</v>
      </c>
      <c r="C79" s="112">
        <v>17.670000000000002</v>
      </c>
      <c r="D79" s="112">
        <v>16.559999999999999</v>
      </c>
      <c r="E79" s="112">
        <v>6.52</v>
      </c>
      <c r="F79" s="112">
        <v>5.73</v>
      </c>
      <c r="G79" s="112">
        <v>31.57</v>
      </c>
      <c r="H79" s="112">
        <v>8.94</v>
      </c>
      <c r="I79" s="112">
        <v>6.1</v>
      </c>
      <c r="J79" s="112">
        <v>0.52</v>
      </c>
      <c r="K79" s="112">
        <v>272.05</v>
      </c>
      <c r="L79" s="112">
        <v>27.05</v>
      </c>
      <c r="M79" s="112">
        <v>85.48</v>
      </c>
      <c r="N79" s="112">
        <v>28.8</v>
      </c>
      <c r="O79" s="112">
        <v>0</v>
      </c>
      <c r="P79" s="112">
        <v>0.71</v>
      </c>
      <c r="Q79" s="112">
        <v>4.3600000000000003</v>
      </c>
    </row>
    <row r="80" spans="1:17" customFormat="1">
      <c r="A80" s="189" t="s">
        <v>502</v>
      </c>
      <c r="B80" s="112">
        <v>7.2</v>
      </c>
      <c r="C80" s="112">
        <v>17.89</v>
      </c>
      <c r="D80" s="112">
        <v>16.48</v>
      </c>
      <c r="E80" s="112">
        <v>6.53</v>
      </c>
      <c r="F80" s="112">
        <v>6.21</v>
      </c>
      <c r="G80" s="112">
        <v>25.7</v>
      </c>
      <c r="H80" s="112">
        <v>6.76</v>
      </c>
      <c r="I80" s="112">
        <v>5.98</v>
      </c>
      <c r="J80" s="112">
        <v>0.32</v>
      </c>
      <c r="K80" s="112">
        <v>261.91000000000003</v>
      </c>
      <c r="L80" s="112">
        <v>26.92</v>
      </c>
      <c r="M80" s="112">
        <v>86.55</v>
      </c>
      <c r="N80" s="112">
        <v>6.6</v>
      </c>
      <c r="O80" s="112">
        <v>0</v>
      </c>
      <c r="P80" s="112">
        <v>0.69</v>
      </c>
      <c r="Q80" s="112">
        <v>4.3499999999999996</v>
      </c>
    </row>
    <row r="81" spans="1:17" customFormat="1">
      <c r="A81" s="189" t="s">
        <v>503</v>
      </c>
      <c r="B81" s="112">
        <v>7.33</v>
      </c>
      <c r="C81" s="112">
        <v>18.260000000000002</v>
      </c>
      <c r="D81" s="112">
        <v>16.77</v>
      </c>
      <c r="E81" s="112">
        <v>7.19</v>
      </c>
      <c r="F81" s="112">
        <v>5.86</v>
      </c>
      <c r="G81" s="112">
        <v>25.36</v>
      </c>
      <c r="H81" s="112">
        <v>6.76</v>
      </c>
      <c r="I81" s="112">
        <v>5.87</v>
      </c>
      <c r="J81" s="112">
        <v>0.33</v>
      </c>
      <c r="K81" s="112">
        <v>256.47000000000003</v>
      </c>
      <c r="L81" s="112">
        <v>26.74</v>
      </c>
      <c r="M81" s="112">
        <v>86.31</v>
      </c>
      <c r="N81" s="112">
        <v>0</v>
      </c>
      <c r="O81" s="112">
        <v>0</v>
      </c>
      <c r="P81" s="112">
        <v>0.69</v>
      </c>
      <c r="Q81" s="112">
        <v>4.3600000000000003</v>
      </c>
    </row>
    <row r="82" spans="1:17" customFormat="1">
      <c r="A82" s="189" t="s">
        <v>504</v>
      </c>
      <c r="B82" s="112">
        <v>7.19</v>
      </c>
      <c r="C82" s="112">
        <v>18.21</v>
      </c>
      <c r="D82" s="112">
        <v>16.63</v>
      </c>
      <c r="E82" s="112">
        <v>8.0500000000000007</v>
      </c>
      <c r="F82" s="112">
        <v>6.21</v>
      </c>
      <c r="G82" s="112">
        <v>25.36</v>
      </c>
      <c r="H82" s="112">
        <v>6.76</v>
      </c>
      <c r="I82" s="112">
        <v>5.7</v>
      </c>
      <c r="J82" s="112">
        <v>0.17</v>
      </c>
      <c r="K82" s="112">
        <v>227.85</v>
      </c>
      <c r="L82" s="112">
        <v>26.6</v>
      </c>
      <c r="M82" s="112">
        <v>88.66</v>
      </c>
      <c r="N82" s="112">
        <v>0</v>
      </c>
      <c r="O82" s="112">
        <v>0</v>
      </c>
      <c r="P82" s="112">
        <v>0.7</v>
      </c>
      <c r="Q82" s="112">
        <v>4.3499999999999996</v>
      </c>
    </row>
    <row r="83" spans="1:17" customFormat="1">
      <c r="A83" s="189" t="s">
        <v>505</v>
      </c>
      <c r="B83" s="112">
        <v>7.25</v>
      </c>
      <c r="C83" s="112">
        <v>17.47</v>
      </c>
      <c r="D83" s="112">
        <v>16.29</v>
      </c>
      <c r="E83" s="112">
        <v>8.31</v>
      </c>
      <c r="F83" s="112">
        <v>6.66</v>
      </c>
      <c r="G83" s="112">
        <v>25.36</v>
      </c>
      <c r="H83" s="112">
        <v>6.76</v>
      </c>
      <c r="I83" s="112">
        <v>5.7</v>
      </c>
      <c r="J83" s="112">
        <v>0.24</v>
      </c>
      <c r="K83" s="112">
        <v>237.57</v>
      </c>
      <c r="L83" s="112">
        <v>26.37</v>
      </c>
      <c r="M83" s="112">
        <v>91.51</v>
      </c>
      <c r="N83" s="112">
        <v>0</v>
      </c>
      <c r="O83" s="112">
        <v>0</v>
      </c>
      <c r="P83" s="112">
        <v>0.74</v>
      </c>
      <c r="Q83" s="112">
        <v>4.34</v>
      </c>
    </row>
    <row r="84" spans="1:17" customFormat="1">
      <c r="A84" s="189" t="s">
        <v>506</v>
      </c>
      <c r="B84" s="112">
        <v>7.71</v>
      </c>
      <c r="C84" s="112">
        <v>19</v>
      </c>
      <c r="D84" s="112">
        <v>17.46</v>
      </c>
      <c r="E84" s="112">
        <v>8.06</v>
      </c>
      <c r="F84" s="112">
        <v>4.91</v>
      </c>
      <c r="G84" s="112">
        <v>27.72</v>
      </c>
      <c r="H84" s="112">
        <v>9.4600000000000009</v>
      </c>
      <c r="I84" s="112">
        <v>5.68</v>
      </c>
      <c r="J84" s="112">
        <v>0.35</v>
      </c>
      <c r="K84" s="112">
        <v>251.92</v>
      </c>
      <c r="L84" s="112">
        <v>26.14</v>
      </c>
      <c r="M84" s="112">
        <v>91.82</v>
      </c>
      <c r="N84" s="112">
        <v>0</v>
      </c>
      <c r="O84" s="112">
        <v>0</v>
      </c>
      <c r="P84" s="112">
        <v>0.75</v>
      </c>
      <c r="Q84" s="112">
        <v>4.41</v>
      </c>
    </row>
    <row r="85" spans="1:17" customFormat="1">
      <c r="A85" s="189" t="s">
        <v>507</v>
      </c>
      <c r="B85" s="112">
        <v>8.19</v>
      </c>
      <c r="C85" s="112">
        <v>19.78</v>
      </c>
      <c r="D85" s="112">
        <v>18.25</v>
      </c>
      <c r="E85" s="112">
        <v>8.1300000000000008</v>
      </c>
      <c r="F85" s="112">
        <v>4.29</v>
      </c>
      <c r="G85" s="112">
        <v>27.86</v>
      </c>
      <c r="H85" s="112">
        <v>9.4600000000000009</v>
      </c>
      <c r="I85" s="112">
        <v>5.86</v>
      </c>
      <c r="J85" s="112">
        <v>0.53</v>
      </c>
      <c r="K85" s="112">
        <v>260.43</v>
      </c>
      <c r="L85" s="112">
        <v>26.01</v>
      </c>
      <c r="M85" s="112">
        <v>91.16</v>
      </c>
      <c r="N85" s="112">
        <v>0</v>
      </c>
      <c r="O85" s="112">
        <v>0</v>
      </c>
      <c r="P85" s="112">
        <v>0.78</v>
      </c>
      <c r="Q85" s="112">
        <v>4.47</v>
      </c>
    </row>
    <row r="86" spans="1:17" customFormat="1">
      <c r="A86" s="189" t="s">
        <v>508</v>
      </c>
      <c r="B86" s="112">
        <v>8.3699999999999992</v>
      </c>
      <c r="C86" s="112">
        <v>17.739999999999998</v>
      </c>
      <c r="D86" s="112">
        <v>17.329999999999998</v>
      </c>
      <c r="E86" s="112">
        <v>8.36</v>
      </c>
      <c r="F86" s="112">
        <v>5.98</v>
      </c>
      <c r="G86" s="112">
        <v>27.86</v>
      </c>
      <c r="H86" s="112">
        <v>9.4600000000000009</v>
      </c>
      <c r="I86" s="112">
        <v>6.15</v>
      </c>
      <c r="J86" s="112">
        <v>0.21</v>
      </c>
      <c r="K86" s="112">
        <v>236.26</v>
      </c>
      <c r="L86" s="112">
        <v>25.87</v>
      </c>
      <c r="M86" s="112">
        <v>91.39</v>
      </c>
      <c r="N86" s="112">
        <v>0</v>
      </c>
      <c r="O86" s="112">
        <v>0</v>
      </c>
      <c r="P86" s="112">
        <v>0.76</v>
      </c>
      <c r="Q86" s="112">
        <v>4.4400000000000004</v>
      </c>
    </row>
    <row r="87" spans="1:17" customFormat="1">
      <c r="A87" s="189" t="s">
        <v>509</v>
      </c>
      <c r="B87" s="112">
        <v>8.2200000000000006</v>
      </c>
      <c r="C87" s="112">
        <v>16.420000000000002</v>
      </c>
      <c r="D87" s="112">
        <v>16.52</v>
      </c>
      <c r="E87" s="112">
        <v>8.1999999999999993</v>
      </c>
      <c r="F87" s="112">
        <v>7.28</v>
      </c>
      <c r="G87" s="112">
        <v>27.86</v>
      </c>
      <c r="H87" s="112">
        <v>9.4600000000000009</v>
      </c>
      <c r="I87" s="112">
        <v>6.2</v>
      </c>
      <c r="J87" s="112">
        <v>7.0000000000000007E-2</v>
      </c>
      <c r="K87" s="112">
        <v>165.78</v>
      </c>
      <c r="L87" s="112">
        <v>25.9</v>
      </c>
      <c r="M87" s="112">
        <v>91.42</v>
      </c>
      <c r="N87" s="112">
        <v>0</v>
      </c>
      <c r="O87" s="112">
        <v>0</v>
      </c>
      <c r="P87" s="112">
        <v>0.73</v>
      </c>
      <c r="Q87" s="112">
        <v>4.37</v>
      </c>
    </row>
    <row r="88" spans="1:17" customFormat="1">
      <c r="A88" s="189" t="s">
        <v>510</v>
      </c>
      <c r="B88" s="112">
        <v>8.17</v>
      </c>
      <c r="C88" s="112">
        <v>16.97</v>
      </c>
      <c r="D88" s="112">
        <v>16.77</v>
      </c>
      <c r="E88" s="112">
        <v>7.91</v>
      </c>
      <c r="F88" s="112">
        <v>6.32</v>
      </c>
      <c r="G88" s="112">
        <v>20.07</v>
      </c>
      <c r="H88" s="112">
        <v>8.91</v>
      </c>
      <c r="I88" s="112">
        <v>6.03</v>
      </c>
      <c r="J88" s="112">
        <v>0.15</v>
      </c>
      <c r="K88" s="112">
        <v>158.97999999999999</v>
      </c>
      <c r="L88" s="112">
        <v>25.8</v>
      </c>
      <c r="M88" s="112">
        <v>91.57</v>
      </c>
      <c r="N88" s="112">
        <v>0</v>
      </c>
      <c r="O88" s="112">
        <v>0</v>
      </c>
      <c r="P88" s="112">
        <v>0.74</v>
      </c>
      <c r="Q88" s="112">
        <v>4.38</v>
      </c>
    </row>
    <row r="89" spans="1:17" customFormat="1">
      <c r="A89" s="189" t="s">
        <v>511</v>
      </c>
      <c r="B89" s="112">
        <v>8.31</v>
      </c>
      <c r="C89" s="112">
        <v>18.350000000000001</v>
      </c>
      <c r="D89" s="112">
        <v>17.61</v>
      </c>
      <c r="E89" s="112">
        <v>8.6199999999999992</v>
      </c>
      <c r="F89" s="112">
        <v>4.5999999999999996</v>
      </c>
      <c r="G89" s="112">
        <v>19.61</v>
      </c>
      <c r="H89" s="112">
        <v>8.91</v>
      </c>
      <c r="I89" s="112">
        <v>5.9</v>
      </c>
      <c r="J89" s="112">
        <v>0.08</v>
      </c>
      <c r="K89" s="112">
        <v>208.9</v>
      </c>
      <c r="L89" s="112">
        <v>25.67</v>
      </c>
      <c r="M89" s="112">
        <v>92.59</v>
      </c>
      <c r="N89" s="112">
        <v>0</v>
      </c>
      <c r="O89" s="112">
        <v>0</v>
      </c>
      <c r="P89" s="112">
        <v>0.76</v>
      </c>
      <c r="Q89" s="112">
        <v>4.4000000000000004</v>
      </c>
    </row>
    <row r="90" spans="1:17" customFormat="1">
      <c r="A90" s="189" t="s">
        <v>512</v>
      </c>
      <c r="B90" s="112">
        <v>8.39</v>
      </c>
      <c r="C90" s="112">
        <v>16.690000000000001</v>
      </c>
      <c r="D90" s="112">
        <v>16.8</v>
      </c>
      <c r="E90" s="112">
        <v>8.41</v>
      </c>
      <c r="F90" s="112">
        <v>5.8</v>
      </c>
      <c r="G90" s="112">
        <v>19.61</v>
      </c>
      <c r="H90" s="112">
        <v>8.91</v>
      </c>
      <c r="I90" s="112">
        <v>5.91</v>
      </c>
      <c r="J90" s="112">
        <v>0.11</v>
      </c>
      <c r="K90" s="112">
        <v>254.29</v>
      </c>
      <c r="L90" s="112">
        <v>25.6</v>
      </c>
      <c r="M90" s="112">
        <v>94.85</v>
      </c>
      <c r="N90" s="112">
        <v>0</v>
      </c>
      <c r="O90" s="112">
        <v>0</v>
      </c>
      <c r="P90" s="112">
        <v>0.74</v>
      </c>
      <c r="Q90" s="112">
        <v>4.41</v>
      </c>
    </row>
    <row r="91" spans="1:17" customFormat="1">
      <c r="A91" s="189" t="s">
        <v>513</v>
      </c>
      <c r="B91" s="112">
        <v>8.41</v>
      </c>
      <c r="C91" s="112">
        <v>16.7</v>
      </c>
      <c r="D91" s="112">
        <v>16.82</v>
      </c>
      <c r="E91" s="112">
        <v>8.35</v>
      </c>
      <c r="F91" s="112">
        <v>5.54</v>
      </c>
      <c r="G91" s="112">
        <v>19.61</v>
      </c>
      <c r="H91" s="112">
        <v>8.91</v>
      </c>
      <c r="I91" s="112">
        <v>5.93</v>
      </c>
      <c r="J91" s="112">
        <v>0.11</v>
      </c>
      <c r="K91" s="112">
        <v>258.57</v>
      </c>
      <c r="L91" s="112">
        <v>25.59</v>
      </c>
      <c r="M91" s="112">
        <v>93.78</v>
      </c>
      <c r="N91" s="112">
        <v>0</v>
      </c>
      <c r="O91" s="112">
        <v>0</v>
      </c>
      <c r="P91" s="112">
        <v>0.73</v>
      </c>
      <c r="Q91" s="112">
        <v>4.3499999999999996</v>
      </c>
    </row>
    <row r="92" spans="1:17" customFormat="1">
      <c r="A92" s="189" t="s">
        <v>514</v>
      </c>
      <c r="B92" s="112">
        <v>8.5299999999999994</v>
      </c>
      <c r="C92" s="112">
        <v>16.97</v>
      </c>
      <c r="D92" s="112">
        <v>17.059999999999999</v>
      </c>
      <c r="E92" s="112">
        <v>8.51</v>
      </c>
      <c r="F92" s="112">
        <v>5.29</v>
      </c>
      <c r="G92" s="112">
        <v>19.52</v>
      </c>
      <c r="H92" s="112">
        <v>6.44</v>
      </c>
      <c r="I92" s="112">
        <v>5.76</v>
      </c>
      <c r="J92" s="112">
        <v>0.15</v>
      </c>
      <c r="K92" s="112">
        <v>246.89</v>
      </c>
      <c r="L92" s="112">
        <v>25.59</v>
      </c>
      <c r="M92" s="112">
        <v>93.81</v>
      </c>
      <c r="N92" s="112">
        <v>0</v>
      </c>
      <c r="O92" s="112">
        <v>0</v>
      </c>
      <c r="P92" s="112">
        <v>0.73</v>
      </c>
      <c r="Q92" s="112">
        <v>4.4000000000000004</v>
      </c>
    </row>
    <row r="93" spans="1:17" customFormat="1">
      <c r="A93" s="189" t="s">
        <v>515</v>
      </c>
      <c r="B93" s="112">
        <v>8.4499999999999993</v>
      </c>
      <c r="C93" s="112">
        <v>15.82</v>
      </c>
      <c r="D93" s="112">
        <v>16.39</v>
      </c>
      <c r="E93" s="112">
        <v>8.4499999999999993</v>
      </c>
      <c r="F93" s="112">
        <v>6.14</v>
      </c>
      <c r="G93" s="112">
        <v>19.510000000000002</v>
      </c>
      <c r="H93" s="112">
        <v>6.44</v>
      </c>
      <c r="I93" s="112">
        <v>5.76</v>
      </c>
      <c r="J93" s="112">
        <v>0.08</v>
      </c>
      <c r="K93" s="112">
        <v>254.09</v>
      </c>
      <c r="L93" s="112">
        <v>25.52</v>
      </c>
      <c r="M93" s="112">
        <v>95.65</v>
      </c>
      <c r="N93" s="112">
        <v>0</v>
      </c>
      <c r="O93" s="112">
        <v>0</v>
      </c>
      <c r="P93" s="112">
        <v>0.7</v>
      </c>
      <c r="Q93" s="112">
        <v>4.37</v>
      </c>
    </row>
    <row r="94" spans="1:17" customFormat="1">
      <c r="A94" s="189" t="s">
        <v>516</v>
      </c>
      <c r="B94" s="112">
        <v>8.33</v>
      </c>
      <c r="C94" s="112">
        <v>14.94</v>
      </c>
      <c r="D94" s="112">
        <v>15.83</v>
      </c>
      <c r="E94" s="112">
        <v>8.14</v>
      </c>
      <c r="F94" s="112">
        <v>6.62</v>
      </c>
      <c r="G94" s="112">
        <v>19.510000000000002</v>
      </c>
      <c r="H94" s="112">
        <v>6.44</v>
      </c>
      <c r="I94" s="112">
        <v>5.65</v>
      </c>
      <c r="J94" s="112">
        <v>0.13</v>
      </c>
      <c r="K94" s="112">
        <v>212.52</v>
      </c>
      <c r="L94" s="112">
        <v>25.59</v>
      </c>
      <c r="M94" s="112">
        <v>95.44</v>
      </c>
      <c r="N94" s="112">
        <v>0</v>
      </c>
      <c r="O94" s="112">
        <v>0</v>
      </c>
      <c r="P94" s="112">
        <v>0.68</v>
      </c>
      <c r="Q94" s="112">
        <v>4.34</v>
      </c>
    </row>
    <row r="95" spans="1:17" customFormat="1">
      <c r="A95" s="189" t="s">
        <v>517</v>
      </c>
      <c r="B95" s="112">
        <v>8.3000000000000007</v>
      </c>
      <c r="C95" s="112">
        <v>14.85</v>
      </c>
      <c r="D95" s="112">
        <v>15.76</v>
      </c>
      <c r="E95" s="112">
        <v>7.92</v>
      </c>
      <c r="F95" s="112">
        <v>6.27</v>
      </c>
      <c r="G95" s="112">
        <v>19.510000000000002</v>
      </c>
      <c r="H95" s="112">
        <v>6.44</v>
      </c>
      <c r="I95" s="112">
        <v>5.47</v>
      </c>
      <c r="J95" s="112">
        <v>0.16</v>
      </c>
      <c r="K95" s="112">
        <v>226.1</v>
      </c>
      <c r="L95" s="112">
        <v>25.48</v>
      </c>
      <c r="M95" s="112">
        <v>95.77</v>
      </c>
      <c r="N95" s="112">
        <v>0</v>
      </c>
      <c r="O95" s="112">
        <v>0</v>
      </c>
      <c r="P95" s="112">
        <v>0.67</v>
      </c>
      <c r="Q95" s="112">
        <v>4.34</v>
      </c>
    </row>
    <row r="96" spans="1:17" customFormat="1">
      <c r="A96" s="189" t="s">
        <v>518</v>
      </c>
      <c r="B96" s="112">
        <v>8.73</v>
      </c>
      <c r="C96" s="112">
        <v>17.34</v>
      </c>
      <c r="D96" s="112">
        <v>17.41</v>
      </c>
      <c r="E96" s="112">
        <v>8.16</v>
      </c>
      <c r="F96" s="112">
        <v>4.26</v>
      </c>
      <c r="G96" s="112">
        <v>15.54</v>
      </c>
      <c r="H96" s="112">
        <v>6.69</v>
      </c>
      <c r="I96" s="112">
        <v>5.37</v>
      </c>
      <c r="J96" s="112">
        <v>0.28999999999999998</v>
      </c>
      <c r="K96" s="112">
        <v>260.43</v>
      </c>
      <c r="L96" s="112">
        <v>25.48</v>
      </c>
      <c r="M96" s="112">
        <v>94.79</v>
      </c>
      <c r="N96" s="112">
        <v>0</v>
      </c>
      <c r="O96" s="112">
        <v>0</v>
      </c>
      <c r="P96" s="112">
        <v>0.72</v>
      </c>
      <c r="Q96" s="112">
        <v>4.41</v>
      </c>
    </row>
    <row r="97" spans="1:22" customFormat="1">
      <c r="A97" s="189" t="s">
        <v>519</v>
      </c>
      <c r="B97" s="112">
        <v>9.01</v>
      </c>
      <c r="C97" s="112">
        <v>16.93</v>
      </c>
      <c r="D97" s="112">
        <v>17.420000000000002</v>
      </c>
      <c r="E97" s="112">
        <v>9.2100000000000009</v>
      </c>
      <c r="F97" s="112">
        <v>4.92</v>
      </c>
      <c r="G97" s="112">
        <v>15.3</v>
      </c>
      <c r="H97" s="112">
        <v>6.69</v>
      </c>
      <c r="I97" s="112">
        <v>5.41</v>
      </c>
      <c r="J97" s="112">
        <v>0.23</v>
      </c>
      <c r="K97" s="112">
        <v>253.67</v>
      </c>
      <c r="L97" s="112">
        <v>25.48</v>
      </c>
      <c r="M97" s="112">
        <v>94.04</v>
      </c>
      <c r="N97" s="112">
        <v>0</v>
      </c>
      <c r="O97" s="112">
        <v>0</v>
      </c>
      <c r="P97" s="112">
        <v>0.7</v>
      </c>
      <c r="Q97" s="112">
        <v>4.41</v>
      </c>
    </row>
    <row r="98" spans="1:22" customFormat="1">
      <c r="A98" s="189" t="s">
        <v>520</v>
      </c>
      <c r="B98" s="112">
        <v>8.7799999999999994</v>
      </c>
      <c r="C98" s="112">
        <v>15.85</v>
      </c>
      <c r="D98" s="112">
        <v>16.670000000000002</v>
      </c>
      <c r="E98" s="112">
        <v>8.27</v>
      </c>
      <c r="F98" s="112">
        <v>5.95</v>
      </c>
      <c r="G98" s="112">
        <v>15.3</v>
      </c>
      <c r="H98" s="112">
        <v>6.69</v>
      </c>
      <c r="I98" s="112">
        <v>5.61</v>
      </c>
      <c r="J98" s="112">
        <v>0.32</v>
      </c>
      <c r="K98" s="112">
        <v>250.14</v>
      </c>
      <c r="L98" s="112">
        <v>25.43</v>
      </c>
      <c r="M98" s="112">
        <v>94.12</v>
      </c>
      <c r="N98" s="112">
        <v>0</v>
      </c>
      <c r="O98" s="112">
        <v>0</v>
      </c>
      <c r="P98" s="112">
        <v>0.67</v>
      </c>
      <c r="Q98" s="112">
        <v>4.41</v>
      </c>
    </row>
    <row r="99" spans="1:22" customFormat="1">
      <c r="A99" s="189" t="s">
        <v>521</v>
      </c>
      <c r="B99" s="112">
        <v>8.69</v>
      </c>
      <c r="C99" s="112">
        <v>15.28</v>
      </c>
      <c r="D99" s="112">
        <v>16.3</v>
      </c>
      <c r="E99" s="112">
        <v>7.98</v>
      </c>
      <c r="F99" s="112">
        <v>6.04</v>
      </c>
      <c r="G99" s="112">
        <v>15.3</v>
      </c>
      <c r="H99" s="112">
        <v>6.69</v>
      </c>
      <c r="I99" s="112">
        <v>5.46</v>
      </c>
      <c r="J99" s="112">
        <v>0.28000000000000003</v>
      </c>
      <c r="K99" s="112">
        <v>252.39</v>
      </c>
      <c r="L99" s="112">
        <v>25.52</v>
      </c>
      <c r="M99" s="112">
        <v>94.08</v>
      </c>
      <c r="N99" s="112">
        <v>0</v>
      </c>
      <c r="O99" s="112">
        <v>0</v>
      </c>
      <c r="P99" s="112">
        <v>0.65</v>
      </c>
      <c r="Q99" s="112">
        <v>4.3499999999999996</v>
      </c>
    </row>
    <row r="100" spans="1:22" customFormat="1">
      <c r="A100" s="189" t="s">
        <v>522</v>
      </c>
      <c r="B100" s="112">
        <v>8.7200000000000006</v>
      </c>
      <c r="C100" s="112">
        <v>16.59</v>
      </c>
      <c r="D100" s="112">
        <v>17.010000000000002</v>
      </c>
      <c r="E100" s="112">
        <v>8.56</v>
      </c>
      <c r="F100" s="112">
        <v>4.7</v>
      </c>
      <c r="G100" s="112">
        <v>15.59</v>
      </c>
      <c r="H100" s="112">
        <v>5.99</v>
      </c>
      <c r="I100" s="112">
        <v>5.28</v>
      </c>
      <c r="J100" s="112">
        <v>0.37</v>
      </c>
      <c r="K100" s="112">
        <v>259.56</v>
      </c>
      <c r="L100" s="112">
        <v>25.47</v>
      </c>
      <c r="M100" s="112">
        <v>95.7</v>
      </c>
      <c r="N100" s="112">
        <v>0</v>
      </c>
      <c r="O100" s="112">
        <v>0</v>
      </c>
      <c r="P100" s="112">
        <v>0.66</v>
      </c>
      <c r="Q100" s="112">
        <v>4.37</v>
      </c>
    </row>
    <row r="101" spans="1:22" customFormat="1">
      <c r="A101" s="189" t="s">
        <v>523</v>
      </c>
      <c r="B101" s="112">
        <v>9.0399999999999991</v>
      </c>
      <c r="C101" s="112">
        <v>17.309999999999999</v>
      </c>
      <c r="D101" s="112">
        <v>17.649999999999999</v>
      </c>
      <c r="E101" s="112">
        <v>8.85</v>
      </c>
      <c r="F101" s="112">
        <v>4.34</v>
      </c>
      <c r="G101" s="112">
        <v>15.61</v>
      </c>
      <c r="H101" s="112">
        <v>5.99</v>
      </c>
      <c r="I101" s="112">
        <v>5.27</v>
      </c>
      <c r="J101" s="112">
        <v>0.53</v>
      </c>
      <c r="K101" s="112">
        <v>269.08</v>
      </c>
      <c r="L101" s="112">
        <v>25.5</v>
      </c>
      <c r="M101" s="112">
        <v>95.98</v>
      </c>
      <c r="N101" s="112">
        <v>0</v>
      </c>
      <c r="O101" s="112">
        <v>0</v>
      </c>
      <c r="P101" s="112">
        <v>0.68</v>
      </c>
      <c r="Q101" s="112">
        <v>4.41</v>
      </c>
    </row>
    <row r="102" spans="1:22" customFormat="1">
      <c r="A102" s="189" t="s">
        <v>524</v>
      </c>
      <c r="B102" s="112">
        <v>9.0500000000000007</v>
      </c>
      <c r="C102" s="112">
        <v>15.88</v>
      </c>
      <c r="D102" s="112">
        <v>16.899999999999999</v>
      </c>
      <c r="E102" s="112">
        <v>8.74</v>
      </c>
      <c r="F102" s="112">
        <v>5.48</v>
      </c>
      <c r="G102" s="112">
        <v>15.61</v>
      </c>
      <c r="H102" s="112">
        <v>5.99</v>
      </c>
      <c r="I102" s="112">
        <v>5.32</v>
      </c>
      <c r="J102" s="112">
        <v>0.69</v>
      </c>
      <c r="K102" s="112">
        <v>267.95999999999998</v>
      </c>
      <c r="L102" s="112">
        <v>25.46</v>
      </c>
      <c r="M102" s="112">
        <v>94.86</v>
      </c>
      <c r="N102" s="112">
        <v>0</v>
      </c>
      <c r="O102" s="112">
        <v>0</v>
      </c>
      <c r="P102" s="112">
        <v>0.65</v>
      </c>
      <c r="Q102" s="112">
        <v>4.38</v>
      </c>
    </row>
    <row r="103" spans="1:22" customFormat="1">
      <c r="A103" s="189" t="s">
        <v>525</v>
      </c>
      <c r="B103" s="112">
        <v>8.82</v>
      </c>
      <c r="C103" s="112">
        <v>15.11</v>
      </c>
      <c r="D103" s="112">
        <v>16.32</v>
      </c>
      <c r="E103" s="112">
        <v>8.68</v>
      </c>
      <c r="F103" s="112">
        <v>5.91</v>
      </c>
      <c r="G103" s="112">
        <v>15.61</v>
      </c>
      <c r="H103" s="112">
        <v>5.99</v>
      </c>
      <c r="I103" s="112">
        <v>5.29</v>
      </c>
      <c r="J103" s="112">
        <v>0.6</v>
      </c>
      <c r="K103" s="112">
        <v>274.39999999999998</v>
      </c>
      <c r="L103" s="112">
        <v>25.44</v>
      </c>
      <c r="M103" s="112">
        <v>93.41</v>
      </c>
      <c r="N103" s="112">
        <v>0</v>
      </c>
      <c r="O103" s="112">
        <v>0</v>
      </c>
      <c r="P103" s="112">
        <v>0.63</v>
      </c>
      <c r="Q103" s="112">
        <v>4.34</v>
      </c>
    </row>
    <row r="104" spans="1:22" customFormat="1">
      <c r="A104" s="189" t="s">
        <v>526</v>
      </c>
      <c r="B104" s="112">
        <v>8.6999999999999993</v>
      </c>
      <c r="C104" s="112">
        <v>16.32</v>
      </c>
      <c r="D104" s="112">
        <v>16.850000000000001</v>
      </c>
      <c r="E104" s="112">
        <v>8.08</v>
      </c>
      <c r="F104" s="112">
        <v>4.96</v>
      </c>
      <c r="G104" s="112">
        <v>13.03</v>
      </c>
      <c r="H104" s="112">
        <v>4.4000000000000004</v>
      </c>
      <c r="I104" s="112">
        <v>5.13</v>
      </c>
      <c r="J104" s="112">
        <v>0.28999999999999998</v>
      </c>
      <c r="K104" s="112">
        <v>304.88</v>
      </c>
      <c r="L104" s="112">
        <v>25.46</v>
      </c>
      <c r="M104" s="112">
        <v>92.15</v>
      </c>
      <c r="N104" s="112">
        <v>0</v>
      </c>
      <c r="O104" s="112">
        <v>0</v>
      </c>
      <c r="P104" s="112">
        <v>0.64</v>
      </c>
      <c r="Q104" s="112">
        <v>4.3499999999999996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7.19</v>
      </c>
      <c r="C106" s="183">
        <f>MIN(C9:C104)</f>
        <v>13.63</v>
      </c>
      <c r="D106" s="183">
        <f t="shared" ref="D106:Q106" si="0">MIN(D9:D104)</f>
        <v>15.76</v>
      </c>
      <c r="E106" s="183">
        <f t="shared" si="0"/>
        <v>6.15</v>
      </c>
      <c r="F106" s="183">
        <f t="shared" si="0"/>
        <v>3.99</v>
      </c>
      <c r="G106" s="183">
        <f t="shared" si="0"/>
        <v>10.199999999999999</v>
      </c>
      <c r="H106" s="183">
        <f t="shared" si="0"/>
        <v>3.13</v>
      </c>
      <c r="I106" s="183">
        <f t="shared" si="0"/>
        <v>3.62</v>
      </c>
      <c r="J106" s="183">
        <f t="shared" si="0"/>
        <v>0.05</v>
      </c>
      <c r="K106" s="183">
        <f t="shared" si="0"/>
        <v>31.75</v>
      </c>
      <c r="L106" s="183">
        <f t="shared" si="0"/>
        <v>23.68</v>
      </c>
      <c r="M106" s="183">
        <f t="shared" si="0"/>
        <v>79.56</v>
      </c>
      <c r="N106" s="183">
        <f t="shared" si="0"/>
        <v>0</v>
      </c>
      <c r="O106" s="183">
        <f t="shared" si="0"/>
        <v>0</v>
      </c>
      <c r="P106" s="183">
        <f t="shared" si="0"/>
        <v>0.41</v>
      </c>
      <c r="Q106" s="183">
        <f t="shared" si="0"/>
        <v>4.33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11.28</v>
      </c>
      <c r="C107" s="184">
        <f t="shared" ref="C107:Q107" si="1">MAX(C9:C104)</f>
        <v>20.02</v>
      </c>
      <c r="D107" s="184">
        <f t="shared" si="1"/>
        <v>20.28</v>
      </c>
      <c r="E107" s="184">
        <f t="shared" si="1"/>
        <v>9.35</v>
      </c>
      <c r="F107" s="184">
        <f t="shared" si="1"/>
        <v>7.43</v>
      </c>
      <c r="G107" s="184">
        <f t="shared" si="1"/>
        <v>33.21</v>
      </c>
      <c r="H107" s="184">
        <f t="shared" si="1"/>
        <v>13.09</v>
      </c>
      <c r="I107" s="184">
        <f t="shared" si="1"/>
        <v>6.28</v>
      </c>
      <c r="J107" s="184">
        <f t="shared" si="1"/>
        <v>0.8</v>
      </c>
      <c r="K107" s="184">
        <f t="shared" si="1"/>
        <v>342.93</v>
      </c>
      <c r="L107" s="184">
        <f t="shared" si="1"/>
        <v>29.9</v>
      </c>
      <c r="M107" s="184">
        <f t="shared" si="1"/>
        <v>101.18</v>
      </c>
      <c r="N107" s="184">
        <f t="shared" si="1"/>
        <v>631.6</v>
      </c>
      <c r="O107" s="184">
        <f t="shared" si="1"/>
        <v>4.5999999999999996</v>
      </c>
      <c r="P107" s="184">
        <f t="shared" si="1"/>
        <v>0.79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9.1660416666666684</v>
      </c>
      <c r="C108" s="183">
        <f t="shared" ref="C108:Q108" si="2">AVERAGE(C9:C104)</f>
        <v>16.950416666666666</v>
      </c>
      <c r="D108" s="183">
        <f t="shared" si="2"/>
        <v>17.556874999999998</v>
      </c>
      <c r="E108" s="183">
        <f t="shared" si="2"/>
        <v>8.0164583333333308</v>
      </c>
      <c r="F108" s="183">
        <f t="shared" si="2"/>
        <v>5.5287500000000032</v>
      </c>
      <c r="G108" s="183">
        <f t="shared" si="2"/>
        <v>17.096979166666653</v>
      </c>
      <c r="H108" s="183">
        <f t="shared" si="2"/>
        <v>6.2887500000000047</v>
      </c>
      <c r="I108" s="183">
        <f t="shared" si="2"/>
        <v>4.8973958333333334</v>
      </c>
      <c r="J108" s="183">
        <f t="shared" si="2"/>
        <v>0.28937499999999988</v>
      </c>
      <c r="K108" s="183">
        <f t="shared" si="2"/>
        <v>241.40927083333335</v>
      </c>
      <c r="L108" s="183">
        <f t="shared" si="2"/>
        <v>26.146041666666676</v>
      </c>
      <c r="M108" s="183">
        <f t="shared" si="2"/>
        <v>92.385000000000005</v>
      </c>
      <c r="N108" s="183">
        <f t="shared" si="2"/>
        <v>82.368750000000006</v>
      </c>
      <c r="O108" s="183">
        <f t="shared" si="2"/>
        <v>0.1270833333333333</v>
      </c>
      <c r="P108" s="183">
        <f t="shared" si="2"/>
        <v>0.58656249999999999</v>
      </c>
      <c r="Q108" s="183">
        <f t="shared" si="2"/>
        <v>4.4437500000000023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1.0462982156824576</v>
      </c>
      <c r="C109" s="183">
        <f t="shared" ref="C109:Q109" si="3">STDEV(C9:C104)</f>
        <v>1.6387838344761319</v>
      </c>
      <c r="D109" s="183">
        <f t="shared" si="3"/>
        <v>0.99016352982201827</v>
      </c>
      <c r="E109" s="183">
        <f t="shared" si="3"/>
        <v>0.84039837566753361</v>
      </c>
      <c r="F109" s="183">
        <f t="shared" si="3"/>
        <v>0.86469252216882853</v>
      </c>
      <c r="G109" s="183">
        <f t="shared" si="3"/>
        <v>6.2914374760742389</v>
      </c>
      <c r="H109" s="183">
        <f t="shared" si="3"/>
        <v>2.5319097223450133</v>
      </c>
      <c r="I109" s="183">
        <f t="shared" si="3"/>
        <v>0.7955008283983418</v>
      </c>
      <c r="J109" s="183">
        <f t="shared" si="3"/>
        <v>0.18759874592780279</v>
      </c>
      <c r="K109" s="183">
        <f t="shared" si="3"/>
        <v>49.291967900081929</v>
      </c>
      <c r="L109" s="183">
        <f t="shared" si="3"/>
        <v>1.4792284469429389</v>
      </c>
      <c r="M109" s="183">
        <f t="shared" si="3"/>
        <v>5.5108390802509319</v>
      </c>
      <c r="N109" s="183">
        <f t="shared" si="3"/>
        <v>149.97732973423192</v>
      </c>
      <c r="O109" s="183">
        <f t="shared" si="3"/>
        <v>0.57096025609063872</v>
      </c>
      <c r="P109" s="183">
        <f t="shared" si="3"/>
        <v>0.12180941217630417</v>
      </c>
      <c r="Q109" s="183">
        <f t="shared" si="3"/>
        <v>7.4427640592692565E-2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04/09/2023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527</v>
      </c>
      <c r="B9" s="112">
        <v>8.59</v>
      </c>
      <c r="C9" s="112">
        <v>17</v>
      </c>
      <c r="D9" s="112">
        <v>17.12</v>
      </c>
      <c r="E9" s="112">
        <v>8.81</v>
      </c>
      <c r="F9" s="112">
        <v>4.3899999999999997</v>
      </c>
      <c r="G9" s="112">
        <v>12.91</v>
      </c>
      <c r="H9" s="112">
        <v>4.4000000000000004</v>
      </c>
      <c r="I9" s="112">
        <v>5.04</v>
      </c>
      <c r="J9" s="112">
        <v>0.26</v>
      </c>
      <c r="K9" s="112">
        <v>306.07</v>
      </c>
      <c r="L9" s="112">
        <v>25.52</v>
      </c>
      <c r="M9" s="112">
        <v>91.78</v>
      </c>
      <c r="N9" s="112">
        <v>0</v>
      </c>
      <c r="O9" s="112">
        <v>0</v>
      </c>
      <c r="P9" s="112">
        <v>0.66</v>
      </c>
      <c r="Q9" s="112">
        <v>4.43</v>
      </c>
    </row>
    <row r="10" spans="1:21" customFormat="1">
      <c r="A10" s="189" t="s">
        <v>528</v>
      </c>
      <c r="B10" s="112">
        <v>8.6199999999999992</v>
      </c>
      <c r="C10" s="112">
        <v>16.34</v>
      </c>
      <c r="D10" s="112">
        <v>16.8</v>
      </c>
      <c r="E10" s="112">
        <v>8.65</v>
      </c>
      <c r="F10" s="112">
        <v>5.34</v>
      </c>
      <c r="G10" s="112">
        <v>12.91</v>
      </c>
      <c r="H10" s="112">
        <v>4.4000000000000004</v>
      </c>
      <c r="I10" s="112">
        <v>5.1100000000000003</v>
      </c>
      <c r="J10" s="112">
        <v>0.28999999999999998</v>
      </c>
      <c r="K10" s="112">
        <v>39.69</v>
      </c>
      <c r="L10" s="112">
        <v>25.33</v>
      </c>
      <c r="M10" s="112">
        <v>92.66</v>
      </c>
      <c r="N10" s="112">
        <v>0</v>
      </c>
      <c r="O10" s="112">
        <v>0.8</v>
      </c>
      <c r="P10" s="112">
        <v>0.64</v>
      </c>
      <c r="Q10" s="112">
        <v>4.43</v>
      </c>
    </row>
    <row r="11" spans="1:21" customFormat="1">
      <c r="A11" s="189" t="s">
        <v>529</v>
      </c>
      <c r="B11" s="112">
        <v>8.26</v>
      </c>
      <c r="C11" s="112">
        <v>16.100000000000001</v>
      </c>
      <c r="D11" s="112">
        <v>16.39</v>
      </c>
      <c r="E11" s="112">
        <v>8.1999999999999993</v>
      </c>
      <c r="F11" s="112">
        <v>5.94</v>
      </c>
      <c r="G11" s="112">
        <v>12.91</v>
      </c>
      <c r="H11" s="112">
        <v>4.4000000000000004</v>
      </c>
      <c r="I11" s="112">
        <v>5.0999999999999996</v>
      </c>
      <c r="J11" s="112">
        <v>0.24</v>
      </c>
      <c r="K11" s="112">
        <v>138.91999999999999</v>
      </c>
      <c r="L11" s="112">
        <v>23.95</v>
      </c>
      <c r="M11" s="112">
        <v>97.79</v>
      </c>
      <c r="N11" s="112">
        <v>0</v>
      </c>
      <c r="O11" s="112">
        <v>1.8</v>
      </c>
      <c r="P11" s="112">
        <v>0.62</v>
      </c>
      <c r="Q11" s="112">
        <v>4.3600000000000003</v>
      </c>
    </row>
    <row r="12" spans="1:21" customFormat="1">
      <c r="A12" s="189" t="s">
        <v>530</v>
      </c>
      <c r="B12" s="112">
        <v>7.81</v>
      </c>
      <c r="C12" s="112">
        <v>18.03</v>
      </c>
      <c r="D12" s="112">
        <v>17.03</v>
      </c>
      <c r="E12" s="112">
        <v>8.6999999999999993</v>
      </c>
      <c r="F12" s="112">
        <v>4.55</v>
      </c>
      <c r="G12" s="112">
        <v>11.98</v>
      </c>
      <c r="H12" s="112">
        <v>4.0599999999999996</v>
      </c>
      <c r="I12" s="112">
        <v>5</v>
      </c>
      <c r="J12" s="112">
        <v>0.27</v>
      </c>
      <c r="K12" s="112">
        <v>128.05000000000001</v>
      </c>
      <c r="L12" s="112">
        <v>23.43</v>
      </c>
      <c r="M12" s="112">
        <v>98.75</v>
      </c>
      <c r="N12" s="112">
        <v>0</v>
      </c>
      <c r="O12" s="112">
        <v>1.2</v>
      </c>
      <c r="P12" s="112">
        <v>0.64</v>
      </c>
      <c r="Q12" s="112">
        <v>4.3899999999999997</v>
      </c>
    </row>
    <row r="13" spans="1:21" customFormat="1">
      <c r="A13" s="189" t="s">
        <v>531</v>
      </c>
      <c r="B13" s="112">
        <v>7.35</v>
      </c>
      <c r="C13" s="112">
        <v>17.48</v>
      </c>
      <c r="D13" s="112">
        <v>16.38</v>
      </c>
      <c r="E13" s="112">
        <v>8.36</v>
      </c>
      <c r="F13" s="112">
        <v>4.93</v>
      </c>
      <c r="G13" s="112">
        <v>11.94</v>
      </c>
      <c r="H13" s="112">
        <v>4.0599999999999996</v>
      </c>
      <c r="I13" s="112">
        <v>4.9400000000000004</v>
      </c>
      <c r="J13" s="112">
        <v>0.04</v>
      </c>
      <c r="K13" s="112">
        <v>198.84</v>
      </c>
      <c r="L13" s="112">
        <v>23.31</v>
      </c>
      <c r="M13" s="112">
        <v>99.82</v>
      </c>
      <c r="N13" s="112">
        <v>0</v>
      </c>
      <c r="O13" s="112">
        <v>1.6</v>
      </c>
      <c r="P13" s="112">
        <v>0.62</v>
      </c>
      <c r="Q13" s="112">
        <v>4.3499999999999996</v>
      </c>
    </row>
    <row r="14" spans="1:21" customFormat="1">
      <c r="A14" s="189" t="s">
        <v>532</v>
      </c>
      <c r="B14" s="112">
        <v>7.09</v>
      </c>
      <c r="C14" s="112">
        <v>16.72</v>
      </c>
      <c r="D14" s="112">
        <v>15.77</v>
      </c>
      <c r="E14" s="112">
        <v>8.49</v>
      </c>
      <c r="F14" s="112">
        <v>5.0199999999999996</v>
      </c>
      <c r="G14" s="112">
        <v>11.94</v>
      </c>
      <c r="H14" s="112">
        <v>4.0599999999999996</v>
      </c>
      <c r="I14" s="112">
        <v>4.97</v>
      </c>
      <c r="J14" s="112">
        <v>0.41</v>
      </c>
      <c r="K14" s="112">
        <v>254.53</v>
      </c>
      <c r="L14" s="112">
        <v>23.2</v>
      </c>
      <c r="M14" s="112">
        <v>99.86</v>
      </c>
      <c r="N14" s="112">
        <v>0</v>
      </c>
      <c r="O14" s="112">
        <v>1</v>
      </c>
      <c r="P14" s="112">
        <v>0.6</v>
      </c>
      <c r="Q14" s="112">
        <v>4.3</v>
      </c>
    </row>
    <row r="15" spans="1:21" customFormat="1">
      <c r="A15" s="189" t="s">
        <v>533</v>
      </c>
      <c r="B15" s="112">
        <v>6.97</v>
      </c>
      <c r="C15" s="112">
        <v>17.73</v>
      </c>
      <c r="D15" s="112">
        <v>16.2</v>
      </c>
      <c r="E15" s="112">
        <v>8.2200000000000006</v>
      </c>
      <c r="F15" s="112">
        <v>4.2300000000000004</v>
      </c>
      <c r="G15" s="112">
        <v>11.94</v>
      </c>
      <c r="H15" s="112">
        <v>4.0599999999999996</v>
      </c>
      <c r="I15" s="112">
        <v>4.8099999999999996</v>
      </c>
      <c r="J15" s="112">
        <v>0.26</v>
      </c>
      <c r="K15" s="112">
        <v>251.57</v>
      </c>
      <c r="L15" s="112">
        <v>23.21</v>
      </c>
      <c r="M15" s="112">
        <v>100.02</v>
      </c>
      <c r="N15" s="112">
        <v>0</v>
      </c>
      <c r="O15" s="112">
        <v>0.6</v>
      </c>
      <c r="P15" s="112">
        <v>0.62</v>
      </c>
      <c r="Q15" s="112">
        <v>4.33</v>
      </c>
    </row>
    <row r="16" spans="1:21" customFormat="1">
      <c r="A16" s="189" t="s">
        <v>534</v>
      </c>
      <c r="B16" s="112">
        <v>6.98</v>
      </c>
      <c r="C16" s="112">
        <v>16.98</v>
      </c>
      <c r="D16" s="112">
        <v>15.82</v>
      </c>
      <c r="E16" s="112">
        <v>8.48</v>
      </c>
      <c r="F16" s="112">
        <v>4.78</v>
      </c>
      <c r="G16" s="112">
        <v>8.92</v>
      </c>
      <c r="H16" s="112">
        <v>2.95</v>
      </c>
      <c r="I16" s="112">
        <v>4.72</v>
      </c>
      <c r="J16" s="112">
        <v>0.11</v>
      </c>
      <c r="K16" s="112">
        <v>208.95</v>
      </c>
      <c r="L16" s="112">
        <v>23.2</v>
      </c>
      <c r="M16" s="112">
        <v>100.41</v>
      </c>
      <c r="N16" s="112">
        <v>0</v>
      </c>
      <c r="O16" s="112">
        <v>0.8</v>
      </c>
      <c r="P16" s="112">
        <v>0.6</v>
      </c>
      <c r="Q16" s="112">
        <v>4.3099999999999996</v>
      </c>
    </row>
    <row r="17" spans="1:17" customFormat="1">
      <c r="A17" s="189" t="s">
        <v>535</v>
      </c>
      <c r="B17" s="112">
        <v>6.88</v>
      </c>
      <c r="C17" s="112">
        <v>16.809999999999999</v>
      </c>
      <c r="D17" s="112">
        <v>15.64</v>
      </c>
      <c r="E17" s="112">
        <v>5.47</v>
      </c>
      <c r="F17" s="112">
        <v>4.71</v>
      </c>
      <c r="G17" s="112">
        <v>8.74</v>
      </c>
      <c r="H17" s="112">
        <v>2.95</v>
      </c>
      <c r="I17" s="112">
        <v>4.75</v>
      </c>
      <c r="J17" s="112">
        <v>0.56000000000000005</v>
      </c>
      <c r="K17" s="112">
        <v>265.74</v>
      </c>
      <c r="L17" s="112">
        <v>23.18</v>
      </c>
      <c r="M17" s="112">
        <v>100.65</v>
      </c>
      <c r="N17" s="112">
        <v>0</v>
      </c>
      <c r="O17" s="112">
        <v>0.2</v>
      </c>
      <c r="P17" s="112">
        <v>0.57999999999999996</v>
      </c>
      <c r="Q17" s="112">
        <v>4.2699999999999996</v>
      </c>
    </row>
    <row r="18" spans="1:17" customFormat="1">
      <c r="A18" s="189" t="s">
        <v>536</v>
      </c>
      <c r="B18" s="112">
        <v>6.88</v>
      </c>
      <c r="C18" s="112">
        <v>18.07</v>
      </c>
      <c r="D18" s="112">
        <v>16.309999999999999</v>
      </c>
      <c r="E18" s="112">
        <v>6.86</v>
      </c>
      <c r="F18" s="112">
        <v>3.9</v>
      </c>
      <c r="G18" s="112">
        <v>8.74</v>
      </c>
      <c r="H18" s="112">
        <v>2.95</v>
      </c>
      <c r="I18" s="112">
        <v>4.66</v>
      </c>
      <c r="J18" s="112">
        <v>0.61</v>
      </c>
      <c r="K18" s="112">
        <v>268.16000000000003</v>
      </c>
      <c r="L18" s="112">
        <v>23.15</v>
      </c>
      <c r="M18" s="112">
        <v>100.74</v>
      </c>
      <c r="N18" s="112">
        <v>0</v>
      </c>
      <c r="O18" s="112">
        <v>0.4</v>
      </c>
      <c r="P18" s="112">
        <v>0.6</v>
      </c>
      <c r="Q18" s="112">
        <v>4.32</v>
      </c>
    </row>
    <row r="19" spans="1:17" customFormat="1">
      <c r="A19" s="189" t="s">
        <v>537</v>
      </c>
      <c r="B19" s="112">
        <v>6.84</v>
      </c>
      <c r="C19" s="112">
        <v>17.07</v>
      </c>
      <c r="D19" s="112">
        <v>15.75</v>
      </c>
      <c r="E19" s="112">
        <v>6.81</v>
      </c>
      <c r="F19" s="112">
        <v>4.78</v>
      </c>
      <c r="G19" s="112">
        <v>8.74</v>
      </c>
      <c r="H19" s="112">
        <v>2.95</v>
      </c>
      <c r="I19" s="112">
        <v>4.6399999999999997</v>
      </c>
      <c r="J19" s="112">
        <v>0.64</v>
      </c>
      <c r="K19" s="112">
        <v>268.8</v>
      </c>
      <c r="L19" s="112">
        <v>23.25</v>
      </c>
      <c r="M19" s="112">
        <v>100.61</v>
      </c>
      <c r="N19" s="112">
        <v>0</v>
      </c>
      <c r="O19" s="112">
        <v>0</v>
      </c>
      <c r="P19" s="112">
        <v>0.59</v>
      </c>
      <c r="Q19" s="112">
        <v>4.3</v>
      </c>
    </row>
    <row r="20" spans="1:17" customFormat="1">
      <c r="A20" s="189" t="s">
        <v>538</v>
      </c>
      <c r="B20" s="112">
        <v>6.65</v>
      </c>
      <c r="C20" s="112">
        <v>17.100000000000001</v>
      </c>
      <c r="D20" s="112">
        <v>15.62</v>
      </c>
      <c r="E20" s="112">
        <v>6.34</v>
      </c>
      <c r="F20" s="112">
        <v>5.28</v>
      </c>
      <c r="G20" s="112">
        <v>6.48</v>
      </c>
      <c r="H20" s="112">
        <v>2.25</v>
      </c>
      <c r="I20" s="112">
        <v>4.6900000000000004</v>
      </c>
      <c r="J20" s="112">
        <v>0.61</v>
      </c>
      <c r="K20" s="112">
        <v>270.58</v>
      </c>
      <c r="L20" s="112">
        <v>23.35</v>
      </c>
      <c r="M20" s="112">
        <v>100.66</v>
      </c>
      <c r="N20" s="112">
        <v>0</v>
      </c>
      <c r="O20" s="112">
        <v>0</v>
      </c>
      <c r="P20" s="112">
        <v>0.57999999999999996</v>
      </c>
      <c r="Q20" s="112">
        <v>4.28</v>
      </c>
    </row>
    <row r="21" spans="1:17" customFormat="1">
      <c r="A21" s="189" t="s">
        <v>539</v>
      </c>
      <c r="B21" s="112">
        <v>6.73</v>
      </c>
      <c r="C21" s="112">
        <v>18.100000000000001</v>
      </c>
      <c r="D21" s="112">
        <v>16.2</v>
      </c>
      <c r="E21" s="112">
        <v>7.09</v>
      </c>
      <c r="F21" s="112">
        <v>4.29</v>
      </c>
      <c r="G21" s="112">
        <v>6.34</v>
      </c>
      <c r="H21" s="112">
        <v>2.25</v>
      </c>
      <c r="I21" s="112">
        <v>4.58</v>
      </c>
      <c r="J21" s="112">
        <v>0.45</v>
      </c>
      <c r="K21" s="112">
        <v>253.4</v>
      </c>
      <c r="L21" s="112">
        <v>23.31</v>
      </c>
      <c r="M21" s="112">
        <v>100.86</v>
      </c>
      <c r="N21" s="112">
        <v>0</v>
      </c>
      <c r="O21" s="112">
        <v>0</v>
      </c>
      <c r="P21" s="112">
        <v>0.59</v>
      </c>
      <c r="Q21" s="112">
        <v>4.33</v>
      </c>
    </row>
    <row r="22" spans="1:17" customFormat="1">
      <c r="A22" s="189" t="s">
        <v>540</v>
      </c>
      <c r="B22" s="112">
        <v>6.8</v>
      </c>
      <c r="C22" s="112">
        <v>16.82</v>
      </c>
      <c r="D22" s="112">
        <v>15.59</v>
      </c>
      <c r="E22" s="112">
        <v>6.85</v>
      </c>
      <c r="F22" s="112">
        <v>4.8</v>
      </c>
      <c r="G22" s="112">
        <v>6.34</v>
      </c>
      <c r="H22" s="112">
        <v>2.25</v>
      </c>
      <c r="I22" s="112">
        <v>4.53</v>
      </c>
      <c r="J22" s="112">
        <v>0.23</v>
      </c>
      <c r="K22" s="112">
        <v>247.9</v>
      </c>
      <c r="L22" s="112">
        <v>23.44</v>
      </c>
      <c r="M22" s="112">
        <v>100.63</v>
      </c>
      <c r="N22" s="112">
        <v>0</v>
      </c>
      <c r="O22" s="112">
        <v>0</v>
      </c>
      <c r="P22" s="112">
        <v>0.56999999999999995</v>
      </c>
      <c r="Q22" s="112">
        <v>4.2699999999999996</v>
      </c>
    </row>
    <row r="23" spans="1:17" customFormat="1">
      <c r="A23" s="189" t="s">
        <v>541</v>
      </c>
      <c r="B23" s="112">
        <v>6.74</v>
      </c>
      <c r="C23" s="112">
        <v>16.899999999999999</v>
      </c>
      <c r="D23" s="112">
        <v>15.58</v>
      </c>
      <c r="E23" s="112">
        <v>6.23</v>
      </c>
      <c r="F23" s="112">
        <v>4.6900000000000004</v>
      </c>
      <c r="G23" s="112">
        <v>6.34</v>
      </c>
      <c r="H23" s="112">
        <v>2.25</v>
      </c>
      <c r="I23" s="112">
        <v>4.58</v>
      </c>
      <c r="J23" s="112">
        <v>0.22</v>
      </c>
      <c r="K23" s="112">
        <v>259.19</v>
      </c>
      <c r="L23" s="112">
        <v>23.48</v>
      </c>
      <c r="M23" s="112">
        <v>100.36</v>
      </c>
      <c r="N23" s="112">
        <v>0</v>
      </c>
      <c r="O23" s="112">
        <v>0</v>
      </c>
      <c r="P23" s="112">
        <v>0.56999999999999995</v>
      </c>
      <c r="Q23" s="112">
        <v>4.26</v>
      </c>
    </row>
    <row r="24" spans="1:17" customFormat="1">
      <c r="A24" s="189" t="s">
        <v>542</v>
      </c>
      <c r="B24" s="112">
        <v>6.87</v>
      </c>
      <c r="C24" s="112">
        <v>17.75</v>
      </c>
      <c r="D24" s="112">
        <v>16.14</v>
      </c>
      <c r="E24" s="112">
        <v>6.98</v>
      </c>
      <c r="F24" s="112">
        <v>4.16</v>
      </c>
      <c r="G24" s="112">
        <v>4.68</v>
      </c>
      <c r="H24" s="112">
        <v>1.87</v>
      </c>
      <c r="I24" s="112">
        <v>4.49</v>
      </c>
      <c r="J24" s="112">
        <v>0.24</v>
      </c>
      <c r="K24" s="112">
        <v>269.39999999999998</v>
      </c>
      <c r="L24" s="112">
        <v>23.57</v>
      </c>
      <c r="M24" s="112">
        <v>100.21</v>
      </c>
      <c r="N24" s="112">
        <v>0</v>
      </c>
      <c r="O24" s="112">
        <v>0</v>
      </c>
      <c r="P24" s="112">
        <v>0.57999999999999996</v>
      </c>
      <c r="Q24" s="112">
        <v>4.32</v>
      </c>
    </row>
    <row r="25" spans="1:17" customFormat="1">
      <c r="A25" s="189" t="s">
        <v>543</v>
      </c>
      <c r="B25" s="112">
        <v>6.96</v>
      </c>
      <c r="C25" s="112">
        <v>16.809999999999999</v>
      </c>
      <c r="D25" s="112">
        <v>15.72</v>
      </c>
      <c r="E25" s="112">
        <v>6.72</v>
      </c>
      <c r="F25" s="112">
        <v>4.7</v>
      </c>
      <c r="G25" s="112">
        <v>4.58</v>
      </c>
      <c r="H25" s="112">
        <v>1.87</v>
      </c>
      <c r="I25" s="112">
        <v>4.5</v>
      </c>
      <c r="J25" s="112">
        <v>0.26</v>
      </c>
      <c r="K25" s="112">
        <v>267.74</v>
      </c>
      <c r="L25" s="112">
        <v>23.76</v>
      </c>
      <c r="M25" s="112">
        <v>100.42</v>
      </c>
      <c r="N25" s="112">
        <v>0</v>
      </c>
      <c r="O25" s="112">
        <v>0</v>
      </c>
      <c r="P25" s="112">
        <v>0.56000000000000005</v>
      </c>
      <c r="Q25" s="112">
        <v>4.29</v>
      </c>
    </row>
    <row r="26" spans="1:17" customFormat="1">
      <c r="A26" s="189" t="s">
        <v>544</v>
      </c>
      <c r="B26" s="112">
        <v>7.06</v>
      </c>
      <c r="C26" s="112">
        <v>17.29</v>
      </c>
      <c r="D26" s="112">
        <v>16.04</v>
      </c>
      <c r="E26" s="112">
        <v>6.62</v>
      </c>
      <c r="F26" s="112">
        <v>4.3499999999999996</v>
      </c>
      <c r="G26" s="112">
        <v>4.58</v>
      </c>
      <c r="H26" s="112">
        <v>1.87</v>
      </c>
      <c r="I26" s="112">
        <v>4.51</v>
      </c>
      <c r="J26" s="112">
        <v>0.12</v>
      </c>
      <c r="K26" s="112">
        <v>318.83999999999997</v>
      </c>
      <c r="L26" s="112">
        <v>23.89</v>
      </c>
      <c r="M26" s="112">
        <v>100.58</v>
      </c>
      <c r="N26" s="112">
        <v>0</v>
      </c>
      <c r="O26" s="112">
        <v>0</v>
      </c>
      <c r="P26" s="112">
        <v>0.56000000000000005</v>
      </c>
      <c r="Q26" s="112">
        <v>4.32</v>
      </c>
    </row>
    <row r="27" spans="1:17" customFormat="1">
      <c r="A27" s="189" t="s">
        <v>545</v>
      </c>
      <c r="B27" s="112">
        <v>7.26</v>
      </c>
      <c r="C27" s="112">
        <v>18.38</v>
      </c>
      <c r="D27" s="112">
        <v>16.78</v>
      </c>
      <c r="E27" s="112">
        <v>7.07</v>
      </c>
      <c r="F27" s="112">
        <v>4.01</v>
      </c>
      <c r="G27" s="112">
        <v>4.58</v>
      </c>
      <c r="H27" s="112">
        <v>1.87</v>
      </c>
      <c r="I27" s="112">
        <v>4.43</v>
      </c>
      <c r="J27" s="112">
        <v>0.23</v>
      </c>
      <c r="K27" s="112">
        <v>36.729999999999997</v>
      </c>
      <c r="L27" s="112">
        <v>23.94</v>
      </c>
      <c r="M27" s="112">
        <v>100.25</v>
      </c>
      <c r="N27" s="112">
        <v>0</v>
      </c>
      <c r="O27" s="112">
        <v>0</v>
      </c>
      <c r="P27" s="112">
        <v>0.56999999999999995</v>
      </c>
      <c r="Q27" s="112">
        <v>4.37</v>
      </c>
    </row>
    <row r="28" spans="1:17" customFormat="1">
      <c r="A28" s="189" t="s">
        <v>546</v>
      </c>
      <c r="B28" s="112">
        <v>7.7</v>
      </c>
      <c r="C28" s="112">
        <v>17.37</v>
      </c>
      <c r="D28" s="112">
        <v>16.600000000000001</v>
      </c>
      <c r="E28" s="112">
        <v>7.11</v>
      </c>
      <c r="F28" s="112">
        <v>4.74</v>
      </c>
      <c r="G28" s="112">
        <v>3.67</v>
      </c>
      <c r="H28" s="112">
        <v>1.6</v>
      </c>
      <c r="I28" s="112">
        <v>4.42</v>
      </c>
      <c r="J28" s="112">
        <v>0.25</v>
      </c>
      <c r="K28" s="112">
        <v>43.19</v>
      </c>
      <c r="L28" s="112">
        <v>24</v>
      </c>
      <c r="M28" s="112">
        <v>99.9</v>
      </c>
      <c r="N28" s="112">
        <v>0</v>
      </c>
      <c r="O28" s="112">
        <v>0</v>
      </c>
      <c r="P28" s="112">
        <v>0.55000000000000004</v>
      </c>
      <c r="Q28" s="112">
        <v>4.38</v>
      </c>
    </row>
    <row r="29" spans="1:17" customFormat="1">
      <c r="A29" s="189" t="s">
        <v>547</v>
      </c>
      <c r="B29" s="112">
        <v>7.93</v>
      </c>
      <c r="C29" s="112">
        <v>17.920000000000002</v>
      </c>
      <c r="D29" s="112">
        <v>17.07</v>
      </c>
      <c r="E29" s="112">
        <v>6.49</v>
      </c>
      <c r="F29" s="112">
        <v>4.26</v>
      </c>
      <c r="G29" s="112">
        <v>3.62</v>
      </c>
      <c r="H29" s="112">
        <v>1.6</v>
      </c>
      <c r="I29" s="112">
        <v>4.4400000000000004</v>
      </c>
      <c r="J29" s="112">
        <v>0.3</v>
      </c>
      <c r="K29" s="112">
        <v>57.37</v>
      </c>
      <c r="L29" s="112">
        <v>24.05</v>
      </c>
      <c r="M29" s="112">
        <v>99.69</v>
      </c>
      <c r="N29" s="112">
        <v>0</v>
      </c>
      <c r="O29" s="112">
        <v>0</v>
      </c>
      <c r="P29" s="112">
        <v>0.56999999999999995</v>
      </c>
      <c r="Q29" s="112">
        <v>4.38</v>
      </c>
    </row>
    <row r="30" spans="1:17" customFormat="1">
      <c r="A30" s="189" t="s">
        <v>548</v>
      </c>
      <c r="B30" s="112">
        <v>8.44</v>
      </c>
      <c r="C30" s="112">
        <v>18.75</v>
      </c>
      <c r="D30" s="112">
        <v>17.91</v>
      </c>
      <c r="E30" s="112">
        <v>7.4</v>
      </c>
      <c r="F30" s="112">
        <v>3.96</v>
      </c>
      <c r="G30" s="112">
        <v>3.62</v>
      </c>
      <c r="H30" s="112">
        <v>1.6</v>
      </c>
      <c r="I30" s="112">
        <v>4.37</v>
      </c>
      <c r="J30" s="112">
        <v>0.28000000000000003</v>
      </c>
      <c r="K30" s="112">
        <v>40.409999999999997</v>
      </c>
      <c r="L30" s="112">
        <v>24.09</v>
      </c>
      <c r="M30" s="112">
        <v>99.88</v>
      </c>
      <c r="N30" s="112">
        <v>0</v>
      </c>
      <c r="O30" s="112">
        <v>0</v>
      </c>
      <c r="P30" s="112">
        <v>0.56999999999999995</v>
      </c>
      <c r="Q30" s="112">
        <v>4.47</v>
      </c>
    </row>
    <row r="31" spans="1:17" customFormat="1">
      <c r="A31" s="189" t="s">
        <v>549</v>
      </c>
      <c r="B31" s="112">
        <v>9</v>
      </c>
      <c r="C31" s="112">
        <v>18.09</v>
      </c>
      <c r="D31" s="112">
        <v>18.02</v>
      </c>
      <c r="E31" s="112">
        <v>6.74</v>
      </c>
      <c r="F31" s="112">
        <v>4.6500000000000004</v>
      </c>
      <c r="G31" s="112">
        <v>3.62</v>
      </c>
      <c r="H31" s="112">
        <v>1.6</v>
      </c>
      <c r="I31" s="112">
        <v>4.46</v>
      </c>
      <c r="J31" s="112">
        <v>0.28000000000000003</v>
      </c>
      <c r="K31" s="112">
        <v>33.049999999999997</v>
      </c>
      <c r="L31" s="112">
        <v>24.06</v>
      </c>
      <c r="M31" s="112">
        <v>100.94</v>
      </c>
      <c r="N31" s="112">
        <v>0</v>
      </c>
      <c r="O31" s="112">
        <v>0</v>
      </c>
      <c r="P31" s="112">
        <v>0.57999999999999996</v>
      </c>
      <c r="Q31" s="112">
        <v>4.46</v>
      </c>
    </row>
    <row r="32" spans="1:17" customFormat="1">
      <c r="A32" s="189" t="s">
        <v>550</v>
      </c>
      <c r="B32" s="112">
        <v>9.43</v>
      </c>
      <c r="C32" s="112">
        <v>18.86</v>
      </c>
      <c r="D32" s="112">
        <v>18.77</v>
      </c>
      <c r="E32" s="112">
        <v>6.91</v>
      </c>
      <c r="F32" s="112">
        <v>4.25</v>
      </c>
      <c r="G32" s="112">
        <v>22.28</v>
      </c>
      <c r="H32" s="112">
        <v>4.54</v>
      </c>
      <c r="I32" s="112">
        <v>4.54</v>
      </c>
      <c r="J32" s="112">
        <v>0.08</v>
      </c>
      <c r="K32" s="112">
        <v>35.479999999999997</v>
      </c>
      <c r="L32" s="112">
        <v>24.08</v>
      </c>
      <c r="M32" s="112">
        <v>101.26</v>
      </c>
      <c r="N32" s="112">
        <v>0.3</v>
      </c>
      <c r="O32" s="112">
        <v>0</v>
      </c>
      <c r="P32" s="112">
        <v>0.57999999999999996</v>
      </c>
      <c r="Q32" s="112">
        <v>4.5199999999999996</v>
      </c>
    </row>
    <row r="33" spans="1:17" customFormat="1">
      <c r="A33" s="189" t="s">
        <v>551</v>
      </c>
      <c r="B33" s="112">
        <v>9.89</v>
      </c>
      <c r="C33" s="112">
        <v>19.350000000000001</v>
      </c>
      <c r="D33" s="112">
        <v>19.39</v>
      </c>
      <c r="E33" s="112">
        <v>7.24</v>
      </c>
      <c r="F33" s="112">
        <v>3.89</v>
      </c>
      <c r="G33" s="112">
        <v>23.37</v>
      </c>
      <c r="H33" s="112">
        <v>4.54</v>
      </c>
      <c r="I33" s="112">
        <v>4.62</v>
      </c>
      <c r="J33" s="112">
        <v>0.01</v>
      </c>
      <c r="K33" s="112">
        <v>355.11</v>
      </c>
      <c r="L33" s="112">
        <v>24.11</v>
      </c>
      <c r="M33" s="112">
        <v>101.56</v>
      </c>
      <c r="N33" s="112">
        <v>7.3</v>
      </c>
      <c r="O33" s="112">
        <v>0</v>
      </c>
      <c r="P33" s="112">
        <v>0.6</v>
      </c>
      <c r="Q33" s="112">
        <v>4.5599999999999996</v>
      </c>
    </row>
    <row r="34" spans="1:17" customFormat="1">
      <c r="A34" s="189" t="s">
        <v>552</v>
      </c>
      <c r="B34" s="112">
        <v>10.16</v>
      </c>
      <c r="C34" s="112">
        <v>19.32</v>
      </c>
      <c r="D34" s="112">
        <v>19.59</v>
      </c>
      <c r="E34" s="112">
        <v>7.49</v>
      </c>
      <c r="F34" s="112">
        <v>4.12</v>
      </c>
      <c r="G34" s="112">
        <v>23.37</v>
      </c>
      <c r="H34" s="112">
        <v>4.54</v>
      </c>
      <c r="I34" s="112">
        <v>4.79</v>
      </c>
      <c r="J34" s="112">
        <v>0.03</v>
      </c>
      <c r="K34" s="112">
        <v>31.82</v>
      </c>
      <c r="L34" s="112">
        <v>24.17</v>
      </c>
      <c r="M34" s="112">
        <v>101.03</v>
      </c>
      <c r="N34" s="112">
        <v>14.1</v>
      </c>
      <c r="O34" s="112">
        <v>0</v>
      </c>
      <c r="P34" s="112">
        <v>0.61</v>
      </c>
      <c r="Q34" s="112">
        <v>4.5999999999999996</v>
      </c>
    </row>
    <row r="35" spans="1:17" customFormat="1">
      <c r="A35" s="189" t="s">
        <v>553</v>
      </c>
      <c r="B35" s="112">
        <v>10.46</v>
      </c>
      <c r="C35" s="112">
        <v>18.96</v>
      </c>
      <c r="D35" s="112">
        <v>19.64</v>
      </c>
      <c r="E35" s="112">
        <v>6.82</v>
      </c>
      <c r="F35" s="112">
        <v>4.6100000000000003</v>
      </c>
      <c r="G35" s="112">
        <v>23.37</v>
      </c>
      <c r="H35" s="112">
        <v>4.54</v>
      </c>
      <c r="I35" s="112">
        <v>4.87</v>
      </c>
      <c r="J35" s="112">
        <v>0.04</v>
      </c>
      <c r="K35" s="112">
        <v>102.46</v>
      </c>
      <c r="L35" s="112">
        <v>24.25</v>
      </c>
      <c r="M35" s="112">
        <v>99.36</v>
      </c>
      <c r="N35" s="112">
        <v>12.1</v>
      </c>
      <c r="O35" s="112">
        <v>0</v>
      </c>
      <c r="P35" s="112">
        <v>0.6</v>
      </c>
      <c r="Q35" s="112">
        <v>4.59</v>
      </c>
    </row>
    <row r="36" spans="1:17" customFormat="1">
      <c r="A36" s="189" t="s">
        <v>554</v>
      </c>
      <c r="B36" s="112">
        <v>10.61</v>
      </c>
      <c r="C36" s="112">
        <v>19.079999999999998</v>
      </c>
      <c r="D36" s="112">
        <v>19.829999999999998</v>
      </c>
      <c r="E36" s="112">
        <v>6.57</v>
      </c>
      <c r="F36" s="112">
        <v>4.5199999999999996</v>
      </c>
      <c r="G36" s="112">
        <v>33.54</v>
      </c>
      <c r="H36" s="112">
        <v>6.25</v>
      </c>
      <c r="I36" s="112">
        <v>4.91</v>
      </c>
      <c r="J36" s="112">
        <v>0.09</v>
      </c>
      <c r="K36" s="112">
        <v>36.15</v>
      </c>
      <c r="L36" s="112">
        <v>24.4</v>
      </c>
      <c r="M36" s="112">
        <v>99.25</v>
      </c>
      <c r="N36" s="112">
        <v>9.3000000000000007</v>
      </c>
      <c r="O36" s="112">
        <v>0.2</v>
      </c>
      <c r="P36" s="112">
        <v>0.6</v>
      </c>
      <c r="Q36" s="112">
        <v>4.6399999999999997</v>
      </c>
    </row>
    <row r="37" spans="1:17" customFormat="1">
      <c r="A37" s="189" t="s">
        <v>555</v>
      </c>
      <c r="B37" s="112">
        <v>11.12</v>
      </c>
      <c r="C37" s="112">
        <v>20.28</v>
      </c>
      <c r="D37" s="112">
        <v>20.86</v>
      </c>
      <c r="E37" s="112">
        <v>7.25</v>
      </c>
      <c r="F37" s="112">
        <v>3.86</v>
      </c>
      <c r="G37" s="112">
        <v>34.14</v>
      </c>
      <c r="H37" s="112">
        <v>6.25</v>
      </c>
      <c r="I37" s="112">
        <v>4.87</v>
      </c>
      <c r="J37" s="112">
        <v>0.09</v>
      </c>
      <c r="K37" s="112">
        <v>180.59</v>
      </c>
      <c r="L37" s="112">
        <v>24.5</v>
      </c>
      <c r="M37" s="112">
        <v>100.05</v>
      </c>
      <c r="N37" s="112">
        <v>22.7</v>
      </c>
      <c r="O37" s="112">
        <v>0</v>
      </c>
      <c r="P37" s="112">
        <v>0.62</v>
      </c>
      <c r="Q37" s="112">
        <v>4.74</v>
      </c>
    </row>
    <row r="38" spans="1:17" customFormat="1">
      <c r="A38" s="189" t="s">
        <v>556</v>
      </c>
      <c r="B38" s="112">
        <v>11.42</v>
      </c>
      <c r="C38" s="112">
        <v>19.2</v>
      </c>
      <c r="D38" s="112">
        <v>20.54</v>
      </c>
      <c r="E38" s="112">
        <v>7.28</v>
      </c>
      <c r="F38" s="112">
        <v>4.51</v>
      </c>
      <c r="G38" s="112">
        <v>34.14</v>
      </c>
      <c r="H38" s="112">
        <v>6.25</v>
      </c>
      <c r="I38" s="112">
        <v>4.9000000000000004</v>
      </c>
      <c r="J38" s="112">
        <v>0.04</v>
      </c>
      <c r="K38" s="112">
        <v>122.67</v>
      </c>
      <c r="L38" s="112">
        <v>24.62</v>
      </c>
      <c r="M38" s="112">
        <v>99.59</v>
      </c>
      <c r="N38" s="112">
        <v>27.6</v>
      </c>
      <c r="O38" s="112">
        <v>0</v>
      </c>
      <c r="P38" s="112">
        <v>0.61</v>
      </c>
      <c r="Q38" s="112">
        <v>4.72</v>
      </c>
    </row>
    <row r="39" spans="1:17" customFormat="1">
      <c r="A39" s="189" t="s">
        <v>557</v>
      </c>
      <c r="B39" s="112">
        <v>11.38</v>
      </c>
      <c r="C39" s="112">
        <v>18.36</v>
      </c>
      <c r="D39" s="112">
        <v>20.07</v>
      </c>
      <c r="E39" s="112">
        <v>6.85</v>
      </c>
      <c r="F39" s="112">
        <v>5</v>
      </c>
      <c r="G39" s="112">
        <v>34.14</v>
      </c>
      <c r="H39" s="112">
        <v>6.25</v>
      </c>
      <c r="I39" s="112">
        <v>4.9800000000000004</v>
      </c>
      <c r="J39" s="112">
        <v>0.02</v>
      </c>
      <c r="K39" s="112">
        <v>292.45999999999998</v>
      </c>
      <c r="L39" s="112">
        <v>24.66</v>
      </c>
      <c r="M39" s="112">
        <v>99.23</v>
      </c>
      <c r="N39" s="112">
        <v>34.9</v>
      </c>
      <c r="O39" s="112">
        <v>0</v>
      </c>
      <c r="P39" s="112">
        <v>0.6</v>
      </c>
      <c r="Q39" s="112">
        <v>4.71</v>
      </c>
    </row>
    <row r="40" spans="1:17" customFormat="1">
      <c r="A40" s="189" t="s">
        <v>558</v>
      </c>
      <c r="B40" s="112">
        <v>11.6</v>
      </c>
      <c r="C40" s="112">
        <v>19.64</v>
      </c>
      <c r="D40" s="112">
        <v>20.92</v>
      </c>
      <c r="E40" s="112">
        <v>6.81</v>
      </c>
      <c r="F40" s="112">
        <v>4.04</v>
      </c>
      <c r="G40" s="112">
        <v>34.75</v>
      </c>
      <c r="H40" s="112">
        <v>6.24</v>
      </c>
      <c r="I40" s="112">
        <v>4.95</v>
      </c>
      <c r="J40" s="112">
        <v>0.08</v>
      </c>
      <c r="K40" s="112">
        <v>217.74</v>
      </c>
      <c r="L40" s="112">
        <v>24.8</v>
      </c>
      <c r="M40" s="112">
        <v>99.7</v>
      </c>
      <c r="N40" s="112">
        <v>46.4</v>
      </c>
      <c r="O40" s="112">
        <v>0</v>
      </c>
      <c r="P40" s="112">
        <v>0.62</v>
      </c>
      <c r="Q40" s="112">
        <v>4.74</v>
      </c>
    </row>
    <row r="41" spans="1:17" customFormat="1">
      <c r="A41" s="189" t="s">
        <v>559</v>
      </c>
      <c r="B41" s="112">
        <v>11.95</v>
      </c>
      <c r="C41" s="112">
        <v>19.96</v>
      </c>
      <c r="D41" s="112">
        <v>21.36</v>
      </c>
      <c r="E41" s="112">
        <v>7.29</v>
      </c>
      <c r="F41" s="112">
        <v>3.91</v>
      </c>
      <c r="G41" s="112">
        <v>34.79</v>
      </c>
      <c r="H41" s="112">
        <v>6.24</v>
      </c>
      <c r="I41" s="112">
        <v>4.9400000000000004</v>
      </c>
      <c r="J41" s="112">
        <v>0.12</v>
      </c>
      <c r="K41" s="112">
        <v>221.19</v>
      </c>
      <c r="L41" s="112">
        <v>25.01</v>
      </c>
      <c r="M41" s="112">
        <v>99.31</v>
      </c>
      <c r="N41" s="112">
        <v>68.099999999999994</v>
      </c>
      <c r="O41" s="112">
        <v>0</v>
      </c>
      <c r="P41" s="112">
        <v>0.63</v>
      </c>
      <c r="Q41" s="112">
        <v>4.78</v>
      </c>
    </row>
    <row r="42" spans="1:17" customFormat="1">
      <c r="A42" s="189" t="s">
        <v>560</v>
      </c>
      <c r="B42" s="112">
        <v>12.08</v>
      </c>
      <c r="C42" s="112">
        <v>18.670000000000002</v>
      </c>
      <c r="D42" s="112">
        <v>20.79</v>
      </c>
      <c r="E42" s="112">
        <v>7.1</v>
      </c>
      <c r="F42" s="112">
        <v>4.67</v>
      </c>
      <c r="G42" s="112">
        <v>34.79</v>
      </c>
      <c r="H42" s="112">
        <v>6.24</v>
      </c>
      <c r="I42" s="112">
        <v>5.01</v>
      </c>
      <c r="J42" s="112">
        <v>0.17</v>
      </c>
      <c r="K42" s="112">
        <v>218.9</v>
      </c>
      <c r="L42" s="112">
        <v>25.11</v>
      </c>
      <c r="M42" s="112">
        <v>98.07</v>
      </c>
      <c r="N42" s="112">
        <v>53.8</v>
      </c>
      <c r="O42" s="112">
        <v>0</v>
      </c>
      <c r="P42" s="112">
        <v>0.62</v>
      </c>
      <c r="Q42" s="112">
        <v>4.7699999999999996</v>
      </c>
    </row>
    <row r="43" spans="1:17" customFormat="1">
      <c r="A43" s="189" t="s">
        <v>561</v>
      </c>
      <c r="B43" s="112">
        <v>11.99</v>
      </c>
      <c r="C43" s="112">
        <v>17.96</v>
      </c>
      <c r="D43" s="112">
        <v>20.350000000000001</v>
      </c>
      <c r="E43" s="112">
        <v>6.86</v>
      </c>
      <c r="F43" s="112">
        <v>4.84</v>
      </c>
      <c r="G43" s="112">
        <v>34.79</v>
      </c>
      <c r="H43" s="112">
        <v>6.24</v>
      </c>
      <c r="I43" s="112">
        <v>5.03</v>
      </c>
      <c r="J43" s="112">
        <v>0.05</v>
      </c>
      <c r="K43" s="112">
        <v>245.74</v>
      </c>
      <c r="L43" s="112">
        <v>25.19</v>
      </c>
      <c r="M43" s="112">
        <v>97.91</v>
      </c>
      <c r="N43" s="112">
        <v>45.6</v>
      </c>
      <c r="O43" s="112">
        <v>0</v>
      </c>
      <c r="P43" s="112">
        <v>0.62</v>
      </c>
      <c r="Q43" s="112">
        <v>4.71</v>
      </c>
    </row>
    <row r="44" spans="1:17" customFormat="1">
      <c r="A44" s="189" t="s">
        <v>562</v>
      </c>
      <c r="B44" s="112">
        <v>12.02</v>
      </c>
      <c r="C44" s="112">
        <v>19.829999999999998</v>
      </c>
      <c r="D44" s="112">
        <v>21.35</v>
      </c>
      <c r="E44" s="112">
        <v>6.72</v>
      </c>
      <c r="F44" s="112">
        <v>3.59</v>
      </c>
      <c r="G44" s="112">
        <v>34.619999999999997</v>
      </c>
      <c r="H44" s="112">
        <v>9.0299999999999994</v>
      </c>
      <c r="I44" s="112">
        <v>5</v>
      </c>
      <c r="J44" s="112">
        <v>0.09</v>
      </c>
      <c r="K44" s="112">
        <v>187.22</v>
      </c>
      <c r="L44" s="112">
        <v>25.24</v>
      </c>
      <c r="M44" s="112">
        <v>97.79</v>
      </c>
      <c r="N44" s="112">
        <v>51.6</v>
      </c>
      <c r="O44" s="112">
        <v>0</v>
      </c>
      <c r="P44" s="112">
        <v>0.65</v>
      </c>
      <c r="Q44" s="112">
        <v>4.75</v>
      </c>
    </row>
    <row r="45" spans="1:17" customFormat="1">
      <c r="A45" s="189" t="s">
        <v>563</v>
      </c>
      <c r="B45" s="112">
        <v>12.36</v>
      </c>
      <c r="C45" s="112">
        <v>19.21</v>
      </c>
      <c r="D45" s="112">
        <v>21.3</v>
      </c>
      <c r="E45" s="112">
        <v>7.42</v>
      </c>
      <c r="F45" s="112">
        <v>4.13</v>
      </c>
      <c r="G45" s="112">
        <v>34.61</v>
      </c>
      <c r="H45" s="112">
        <v>9.0299999999999994</v>
      </c>
      <c r="I45" s="112">
        <v>5</v>
      </c>
      <c r="J45" s="112">
        <v>0.13</v>
      </c>
      <c r="K45" s="112">
        <v>182.59</v>
      </c>
      <c r="L45" s="112">
        <v>25.36</v>
      </c>
      <c r="M45" s="112">
        <v>97.39</v>
      </c>
      <c r="N45" s="112">
        <v>78.599999999999994</v>
      </c>
      <c r="O45" s="112">
        <v>0</v>
      </c>
      <c r="P45" s="112">
        <v>0.64</v>
      </c>
      <c r="Q45" s="112">
        <v>4.79</v>
      </c>
    </row>
    <row r="46" spans="1:17" customFormat="1">
      <c r="A46" s="189" t="s">
        <v>564</v>
      </c>
      <c r="B46" s="112">
        <v>12.34</v>
      </c>
      <c r="C46" s="112">
        <v>18.32</v>
      </c>
      <c r="D46" s="112">
        <v>20.82</v>
      </c>
      <c r="E46" s="112">
        <v>7.54</v>
      </c>
      <c r="F46" s="112">
        <v>4.66</v>
      </c>
      <c r="G46" s="112">
        <v>34.61</v>
      </c>
      <c r="H46" s="112">
        <v>9.0299999999999994</v>
      </c>
      <c r="I46" s="112">
        <v>5.1100000000000003</v>
      </c>
      <c r="J46" s="112">
        <v>0.17</v>
      </c>
      <c r="K46" s="112">
        <v>263.26</v>
      </c>
      <c r="L46" s="112">
        <v>25.58</v>
      </c>
      <c r="M46" s="112">
        <v>96.04</v>
      </c>
      <c r="N46" s="112">
        <v>130.6</v>
      </c>
      <c r="O46" s="112">
        <v>0</v>
      </c>
      <c r="P46" s="112">
        <v>0.64</v>
      </c>
      <c r="Q46" s="112">
        <v>4.74</v>
      </c>
    </row>
    <row r="47" spans="1:17" customFormat="1">
      <c r="A47" s="189" t="s">
        <v>565</v>
      </c>
      <c r="B47" s="112">
        <v>12.2</v>
      </c>
      <c r="C47" s="112">
        <v>17.68</v>
      </c>
      <c r="D47" s="112">
        <v>20.37</v>
      </c>
      <c r="E47" s="112">
        <v>7.15</v>
      </c>
      <c r="F47" s="112">
        <v>4.97</v>
      </c>
      <c r="G47" s="112">
        <v>34.61</v>
      </c>
      <c r="H47" s="112">
        <v>9.0299999999999994</v>
      </c>
      <c r="I47" s="112">
        <v>5.0999999999999996</v>
      </c>
      <c r="J47" s="112">
        <v>0.13</v>
      </c>
      <c r="K47" s="112">
        <v>242.13</v>
      </c>
      <c r="L47" s="112">
        <v>25.89</v>
      </c>
      <c r="M47" s="112">
        <v>94.11</v>
      </c>
      <c r="N47" s="112">
        <v>110.6</v>
      </c>
      <c r="O47" s="112">
        <v>0</v>
      </c>
      <c r="P47" s="112">
        <v>0.64</v>
      </c>
      <c r="Q47" s="112">
        <v>4.72</v>
      </c>
    </row>
    <row r="48" spans="1:17" customFormat="1">
      <c r="A48" s="189" t="s">
        <v>566</v>
      </c>
      <c r="B48" s="112">
        <v>12.06</v>
      </c>
      <c r="C48" s="112">
        <v>18.809999999999999</v>
      </c>
      <c r="D48" s="112">
        <v>20.85</v>
      </c>
      <c r="E48" s="112">
        <v>7.45</v>
      </c>
      <c r="F48" s="112">
        <v>4.37</v>
      </c>
      <c r="G48" s="112">
        <v>37.270000000000003</v>
      </c>
      <c r="H48" s="112">
        <v>14.17</v>
      </c>
      <c r="I48" s="112">
        <v>5.0999999999999996</v>
      </c>
      <c r="J48" s="112">
        <v>0.28999999999999998</v>
      </c>
      <c r="K48" s="112">
        <v>265.2</v>
      </c>
      <c r="L48" s="112">
        <v>26.04</v>
      </c>
      <c r="M48" s="112">
        <v>92.86</v>
      </c>
      <c r="N48" s="112">
        <v>153.1</v>
      </c>
      <c r="O48" s="112">
        <v>0</v>
      </c>
      <c r="P48" s="112">
        <v>0.66</v>
      </c>
      <c r="Q48" s="112">
        <v>4.76</v>
      </c>
    </row>
    <row r="49" spans="1:17" customFormat="1">
      <c r="A49" s="189" t="s">
        <v>567</v>
      </c>
      <c r="B49" s="112">
        <v>12.16</v>
      </c>
      <c r="C49" s="112">
        <v>19.86</v>
      </c>
      <c r="D49" s="112">
        <v>21.48</v>
      </c>
      <c r="E49" s="112">
        <v>8.4499999999999993</v>
      </c>
      <c r="F49" s="112">
        <v>3.93</v>
      </c>
      <c r="G49" s="112">
        <v>37.43</v>
      </c>
      <c r="H49" s="112">
        <v>14.17</v>
      </c>
      <c r="I49" s="112">
        <v>5.17</v>
      </c>
      <c r="J49" s="112">
        <v>0.22</v>
      </c>
      <c r="K49" s="112">
        <v>250</v>
      </c>
      <c r="L49" s="112">
        <v>26.33</v>
      </c>
      <c r="M49" s="112">
        <v>91.49</v>
      </c>
      <c r="N49" s="112">
        <v>179.8</v>
      </c>
      <c r="O49" s="112">
        <v>0</v>
      </c>
      <c r="P49" s="112">
        <v>0.68</v>
      </c>
      <c r="Q49" s="112">
        <v>4.8</v>
      </c>
    </row>
    <row r="50" spans="1:17" customFormat="1">
      <c r="A50" s="189" t="s">
        <v>568</v>
      </c>
      <c r="B50" s="112">
        <v>12.07</v>
      </c>
      <c r="C50" s="112">
        <v>18.8</v>
      </c>
      <c r="D50" s="112">
        <v>20.85</v>
      </c>
      <c r="E50" s="112">
        <v>9.35</v>
      </c>
      <c r="F50" s="112">
        <v>4.79</v>
      </c>
      <c r="G50" s="112">
        <v>37.43</v>
      </c>
      <c r="H50" s="112">
        <v>14.17</v>
      </c>
      <c r="I50" s="112">
        <v>5.24</v>
      </c>
      <c r="J50" s="112">
        <v>0.24</v>
      </c>
      <c r="K50" s="112">
        <v>248.4</v>
      </c>
      <c r="L50" s="112">
        <v>26.37</v>
      </c>
      <c r="M50" s="112">
        <v>91.05</v>
      </c>
      <c r="N50" s="112">
        <v>127.8</v>
      </c>
      <c r="O50" s="112">
        <v>0</v>
      </c>
      <c r="P50" s="112">
        <v>0.67</v>
      </c>
      <c r="Q50" s="112">
        <v>4.7699999999999996</v>
      </c>
    </row>
    <row r="51" spans="1:17" customFormat="1">
      <c r="A51" s="189" t="s">
        <v>569</v>
      </c>
      <c r="B51" s="112">
        <v>11.82</v>
      </c>
      <c r="C51" s="112">
        <v>18.02</v>
      </c>
      <c r="D51" s="112">
        <v>20.239999999999998</v>
      </c>
      <c r="E51" s="112">
        <v>8.89</v>
      </c>
      <c r="F51" s="112">
        <v>5.23</v>
      </c>
      <c r="G51" s="112">
        <v>37.43</v>
      </c>
      <c r="H51" s="112">
        <v>14.17</v>
      </c>
      <c r="I51" s="112">
        <v>5.28</v>
      </c>
      <c r="J51" s="112">
        <v>0.26</v>
      </c>
      <c r="K51" s="112">
        <v>249.58</v>
      </c>
      <c r="L51" s="112">
        <v>26.42</v>
      </c>
      <c r="M51" s="112">
        <v>90.91</v>
      </c>
      <c r="N51" s="112">
        <v>168.4</v>
      </c>
      <c r="O51" s="112">
        <v>0</v>
      </c>
      <c r="P51" s="112">
        <v>0.66</v>
      </c>
      <c r="Q51" s="112">
        <v>4.71</v>
      </c>
    </row>
    <row r="52" spans="1:17" customFormat="1">
      <c r="A52" s="189" t="s">
        <v>570</v>
      </c>
      <c r="B52" s="112">
        <v>11.37</v>
      </c>
      <c r="C52" s="112">
        <v>18.14</v>
      </c>
      <c r="D52" s="112">
        <v>19.95</v>
      </c>
      <c r="E52" s="112">
        <v>9.5</v>
      </c>
      <c r="F52" s="112">
        <v>5.55</v>
      </c>
      <c r="G52" s="112">
        <v>32.92</v>
      </c>
      <c r="H52" s="112">
        <v>12.31</v>
      </c>
      <c r="I52" s="112">
        <v>5.25</v>
      </c>
      <c r="J52" s="112">
        <v>0.38</v>
      </c>
      <c r="K52" s="112">
        <v>267.83999999999997</v>
      </c>
      <c r="L52" s="112">
        <v>26.6</v>
      </c>
      <c r="M52" s="112">
        <v>89.68</v>
      </c>
      <c r="N52" s="112">
        <v>194</v>
      </c>
      <c r="O52" s="112">
        <v>0</v>
      </c>
      <c r="P52" s="112">
        <v>0.66</v>
      </c>
      <c r="Q52" s="112">
        <v>4.71</v>
      </c>
    </row>
    <row r="53" spans="1:17" customFormat="1">
      <c r="A53" s="189" t="s">
        <v>571</v>
      </c>
      <c r="B53" s="112">
        <v>11.27</v>
      </c>
      <c r="C53" s="112">
        <v>20.170000000000002</v>
      </c>
      <c r="D53" s="112">
        <v>20.93</v>
      </c>
      <c r="E53" s="112">
        <v>9.4499999999999993</v>
      </c>
      <c r="F53" s="112">
        <v>3.9</v>
      </c>
      <c r="G53" s="112">
        <v>32.659999999999997</v>
      </c>
      <c r="H53" s="112">
        <v>12.31</v>
      </c>
      <c r="I53" s="112">
        <v>5.2</v>
      </c>
      <c r="J53" s="112">
        <v>0.31</v>
      </c>
      <c r="K53" s="112">
        <v>267.48</v>
      </c>
      <c r="L53" s="112">
        <v>26.82</v>
      </c>
      <c r="M53" s="112">
        <v>89.5</v>
      </c>
      <c r="N53" s="112">
        <v>202.4</v>
      </c>
      <c r="O53" s="112">
        <v>0</v>
      </c>
      <c r="P53" s="112">
        <v>0.69</v>
      </c>
      <c r="Q53" s="112">
        <v>4.75</v>
      </c>
    </row>
    <row r="54" spans="1:17" customFormat="1">
      <c r="A54" s="189" t="s">
        <v>572</v>
      </c>
      <c r="B54" s="112">
        <v>11.07</v>
      </c>
      <c r="C54" s="112">
        <v>19.309999999999999</v>
      </c>
      <c r="D54" s="112">
        <v>20.32</v>
      </c>
      <c r="E54" s="112">
        <v>9.65</v>
      </c>
      <c r="F54" s="112">
        <v>4.63</v>
      </c>
      <c r="G54" s="112">
        <v>32.659999999999997</v>
      </c>
      <c r="H54" s="112">
        <v>12.31</v>
      </c>
      <c r="I54" s="112">
        <v>5.21</v>
      </c>
      <c r="J54" s="112">
        <v>0.3</v>
      </c>
      <c r="K54" s="112">
        <v>252.67</v>
      </c>
      <c r="L54" s="112">
        <v>27.17</v>
      </c>
      <c r="M54" s="112">
        <v>88.44</v>
      </c>
      <c r="N54" s="112">
        <v>256.7</v>
      </c>
      <c r="O54" s="112">
        <v>0</v>
      </c>
      <c r="P54" s="112">
        <v>0.7</v>
      </c>
      <c r="Q54" s="112">
        <v>4.71</v>
      </c>
    </row>
    <row r="55" spans="1:17" customFormat="1">
      <c r="A55" s="189" t="s">
        <v>573</v>
      </c>
      <c r="B55" s="112">
        <v>10.83</v>
      </c>
      <c r="C55" s="112">
        <v>18.5</v>
      </c>
      <c r="D55" s="112">
        <v>19.7</v>
      </c>
      <c r="E55" s="112">
        <v>9.34</v>
      </c>
      <c r="F55" s="112">
        <v>5.13</v>
      </c>
      <c r="G55" s="112">
        <v>32.659999999999997</v>
      </c>
      <c r="H55" s="112">
        <v>12.31</v>
      </c>
      <c r="I55" s="112">
        <v>5.32</v>
      </c>
      <c r="J55" s="112">
        <v>0.21</v>
      </c>
      <c r="K55" s="112">
        <v>223.75</v>
      </c>
      <c r="L55" s="112">
        <v>27.45</v>
      </c>
      <c r="M55" s="112">
        <v>87.21</v>
      </c>
      <c r="N55" s="112">
        <v>264.60000000000002</v>
      </c>
      <c r="O55" s="112">
        <v>0</v>
      </c>
      <c r="P55" s="112">
        <v>0.7</v>
      </c>
      <c r="Q55" s="112">
        <v>4.6500000000000004</v>
      </c>
    </row>
    <row r="56" spans="1:17" customFormat="1">
      <c r="A56" s="189" t="s">
        <v>574</v>
      </c>
      <c r="B56" s="112">
        <v>10.61</v>
      </c>
      <c r="C56" s="112">
        <v>18.059999999999999</v>
      </c>
      <c r="D56" s="112">
        <v>19.29</v>
      </c>
      <c r="E56" s="112">
        <v>9.3699999999999992</v>
      </c>
      <c r="F56" s="112">
        <v>5.21</v>
      </c>
      <c r="G56" s="112">
        <v>29.84</v>
      </c>
      <c r="H56" s="112">
        <v>12.1</v>
      </c>
      <c r="I56" s="112">
        <v>5.36</v>
      </c>
      <c r="J56" s="112">
        <v>0.2</v>
      </c>
      <c r="K56" s="112">
        <v>245.65</v>
      </c>
      <c r="L56" s="112">
        <v>27.81</v>
      </c>
      <c r="M56" s="112">
        <v>85.55</v>
      </c>
      <c r="N56" s="112">
        <v>284.89999999999998</v>
      </c>
      <c r="O56" s="112">
        <v>0</v>
      </c>
      <c r="P56" s="112">
        <v>0.7</v>
      </c>
      <c r="Q56" s="112">
        <v>4.62</v>
      </c>
    </row>
    <row r="57" spans="1:17" customFormat="1">
      <c r="A57" s="189" t="s">
        <v>575</v>
      </c>
      <c r="B57" s="112">
        <v>10.27</v>
      </c>
      <c r="C57" s="112">
        <v>17.78</v>
      </c>
      <c r="D57" s="112">
        <v>18.88</v>
      </c>
      <c r="E57" s="112">
        <v>9.1</v>
      </c>
      <c r="F57" s="112">
        <v>5.13</v>
      </c>
      <c r="G57" s="112">
        <v>29.68</v>
      </c>
      <c r="H57" s="112">
        <v>12.1</v>
      </c>
      <c r="I57" s="112">
        <v>5.47</v>
      </c>
      <c r="J57" s="112">
        <v>0.2</v>
      </c>
      <c r="K57" s="112">
        <v>220.32</v>
      </c>
      <c r="L57" s="112">
        <v>27.96</v>
      </c>
      <c r="M57" s="112">
        <v>85.22</v>
      </c>
      <c r="N57" s="112">
        <v>263.5</v>
      </c>
      <c r="O57" s="112">
        <v>0</v>
      </c>
      <c r="P57" s="112">
        <v>0.69</v>
      </c>
      <c r="Q57" s="112">
        <v>4.57</v>
      </c>
    </row>
    <row r="58" spans="1:17" customFormat="1">
      <c r="A58" s="189" t="s">
        <v>576</v>
      </c>
      <c r="B58" s="112">
        <v>9.9499999999999993</v>
      </c>
      <c r="C58" s="112">
        <v>17.66</v>
      </c>
      <c r="D58" s="112">
        <v>18.55</v>
      </c>
      <c r="E58" s="112">
        <v>9.25</v>
      </c>
      <c r="F58" s="112">
        <v>5.32</v>
      </c>
      <c r="G58" s="112">
        <v>29.68</v>
      </c>
      <c r="H58" s="112">
        <v>12.1</v>
      </c>
      <c r="I58" s="112">
        <v>5.56</v>
      </c>
      <c r="J58" s="112">
        <v>0.08</v>
      </c>
      <c r="K58" s="112">
        <v>259.07</v>
      </c>
      <c r="L58" s="112">
        <v>27.9</v>
      </c>
      <c r="M58" s="112">
        <v>84.8</v>
      </c>
      <c r="N58" s="112">
        <v>254.7</v>
      </c>
      <c r="O58" s="112">
        <v>0</v>
      </c>
      <c r="P58" s="112">
        <v>0.69</v>
      </c>
      <c r="Q58" s="112">
        <v>4.58</v>
      </c>
    </row>
    <row r="59" spans="1:17" customFormat="1">
      <c r="A59" s="189" t="s">
        <v>577</v>
      </c>
      <c r="B59" s="112">
        <v>9.6300000000000008</v>
      </c>
      <c r="C59" s="112">
        <v>17.440000000000001</v>
      </c>
      <c r="D59" s="112">
        <v>18.190000000000001</v>
      </c>
      <c r="E59" s="112">
        <v>9.14</v>
      </c>
      <c r="F59" s="112">
        <v>5.61</v>
      </c>
      <c r="G59" s="112">
        <v>29.68</v>
      </c>
      <c r="H59" s="112">
        <v>12.1</v>
      </c>
      <c r="I59" s="112">
        <v>5.62</v>
      </c>
      <c r="J59" s="112">
        <v>0.18</v>
      </c>
      <c r="K59" s="112">
        <v>219.12</v>
      </c>
      <c r="L59" s="112">
        <v>28.17</v>
      </c>
      <c r="M59" s="112">
        <v>84.83</v>
      </c>
      <c r="N59" s="112">
        <v>312.10000000000002</v>
      </c>
      <c r="O59" s="112">
        <v>0</v>
      </c>
      <c r="P59" s="112">
        <v>0.7</v>
      </c>
      <c r="Q59" s="112">
        <v>4.54</v>
      </c>
    </row>
    <row r="60" spans="1:17" customFormat="1">
      <c r="A60" s="189" t="s">
        <v>578</v>
      </c>
      <c r="B60" s="112">
        <v>9.43</v>
      </c>
      <c r="C60" s="112">
        <v>17.63</v>
      </c>
      <c r="D60" s="112">
        <v>18.12</v>
      </c>
      <c r="E60" s="112">
        <v>9.25</v>
      </c>
      <c r="F60" s="112">
        <v>6.33</v>
      </c>
      <c r="G60" s="112">
        <v>26.25</v>
      </c>
      <c r="H60" s="112">
        <v>12.45</v>
      </c>
      <c r="I60" s="112">
        <v>5.68</v>
      </c>
      <c r="J60" s="112">
        <v>0.26</v>
      </c>
      <c r="K60" s="112">
        <v>216.18</v>
      </c>
      <c r="L60" s="112">
        <v>28.5</v>
      </c>
      <c r="M60" s="112">
        <v>84.43</v>
      </c>
      <c r="N60" s="112">
        <v>356</v>
      </c>
      <c r="O60" s="112">
        <v>0</v>
      </c>
      <c r="P60" s="112">
        <v>0.72</v>
      </c>
      <c r="Q60" s="112">
        <v>4.5199999999999996</v>
      </c>
    </row>
    <row r="61" spans="1:17" customFormat="1">
      <c r="A61" s="189" t="s">
        <v>579</v>
      </c>
      <c r="B61" s="112">
        <v>9.43</v>
      </c>
      <c r="C61" s="112">
        <v>19.170000000000002</v>
      </c>
      <c r="D61" s="112">
        <v>18.93</v>
      </c>
      <c r="E61" s="112">
        <v>9.36</v>
      </c>
      <c r="F61" s="112">
        <v>4.28</v>
      </c>
      <c r="G61" s="112">
        <v>26.05</v>
      </c>
      <c r="H61" s="112">
        <v>12.45</v>
      </c>
      <c r="I61" s="112">
        <v>5.69</v>
      </c>
      <c r="J61" s="112">
        <v>0.18</v>
      </c>
      <c r="K61" s="112">
        <v>242.5</v>
      </c>
      <c r="L61" s="112">
        <v>28.53</v>
      </c>
      <c r="M61" s="112">
        <v>84.14</v>
      </c>
      <c r="N61" s="112">
        <v>287.5</v>
      </c>
      <c r="O61" s="112">
        <v>0</v>
      </c>
      <c r="P61" s="112">
        <v>0.74</v>
      </c>
      <c r="Q61" s="112">
        <v>4.57</v>
      </c>
    </row>
    <row r="62" spans="1:17" customFormat="1">
      <c r="A62" s="189" t="s">
        <v>580</v>
      </c>
      <c r="B62" s="112">
        <v>9.2200000000000006</v>
      </c>
      <c r="C62" s="112">
        <v>18.5</v>
      </c>
      <c r="D62" s="112">
        <v>18.41</v>
      </c>
      <c r="E62" s="112">
        <v>9.3800000000000008</v>
      </c>
      <c r="F62" s="112">
        <v>5.1100000000000003</v>
      </c>
      <c r="G62" s="112">
        <v>26.05</v>
      </c>
      <c r="H62" s="112">
        <v>12.45</v>
      </c>
      <c r="I62" s="112">
        <v>5.74</v>
      </c>
      <c r="J62" s="112">
        <v>0.17</v>
      </c>
      <c r="K62" s="112">
        <v>202.96</v>
      </c>
      <c r="L62" s="112">
        <v>28.69</v>
      </c>
      <c r="M62" s="112">
        <v>83.99</v>
      </c>
      <c r="N62" s="112">
        <v>285.8</v>
      </c>
      <c r="O62" s="112">
        <v>0</v>
      </c>
      <c r="P62" s="112">
        <v>0.73</v>
      </c>
      <c r="Q62" s="112">
        <v>4.51</v>
      </c>
    </row>
    <row r="63" spans="1:17" customFormat="1">
      <c r="A63" s="189" t="s">
        <v>581</v>
      </c>
      <c r="B63" s="112">
        <v>8.93</v>
      </c>
      <c r="C63" s="112">
        <v>17.71</v>
      </c>
      <c r="D63" s="112">
        <v>17.760000000000002</v>
      </c>
      <c r="E63" s="112">
        <v>9.2100000000000009</v>
      </c>
      <c r="F63" s="112">
        <v>5.79</v>
      </c>
      <c r="G63" s="112">
        <v>26.05</v>
      </c>
      <c r="H63" s="112">
        <v>12.45</v>
      </c>
      <c r="I63" s="112">
        <v>5.83</v>
      </c>
      <c r="J63" s="112">
        <v>0.18</v>
      </c>
      <c r="K63" s="112">
        <v>198.15</v>
      </c>
      <c r="L63" s="112">
        <v>29</v>
      </c>
      <c r="M63" s="112">
        <v>82.93</v>
      </c>
      <c r="N63" s="112">
        <v>278.60000000000002</v>
      </c>
      <c r="O63" s="112">
        <v>0</v>
      </c>
      <c r="P63" s="112">
        <v>0.73</v>
      </c>
      <c r="Q63" s="112">
        <v>4.4800000000000004</v>
      </c>
    </row>
    <row r="64" spans="1:17" customFormat="1">
      <c r="A64" s="189" t="s">
        <v>582</v>
      </c>
      <c r="B64" s="112">
        <v>8.44</v>
      </c>
      <c r="C64" s="112">
        <v>17.47</v>
      </c>
      <c r="D64" s="112">
        <v>17.25</v>
      </c>
      <c r="E64" s="112">
        <v>9.06</v>
      </c>
      <c r="F64" s="112">
        <v>6.38</v>
      </c>
      <c r="G64" s="112">
        <v>27.08</v>
      </c>
      <c r="H64" s="112">
        <v>9.8699999999999992</v>
      </c>
      <c r="I64" s="112">
        <v>5.81</v>
      </c>
      <c r="J64" s="112">
        <v>0.28000000000000003</v>
      </c>
      <c r="K64" s="112">
        <v>221.6</v>
      </c>
      <c r="L64" s="112">
        <v>29.23</v>
      </c>
      <c r="M64" s="112">
        <v>82.38</v>
      </c>
      <c r="N64" s="112">
        <v>332.6</v>
      </c>
      <c r="O64" s="112">
        <v>0</v>
      </c>
      <c r="P64" s="112">
        <v>0.73</v>
      </c>
      <c r="Q64" s="112">
        <v>4.47</v>
      </c>
    </row>
    <row r="65" spans="1:17" customFormat="1">
      <c r="A65" s="189" t="s">
        <v>583</v>
      </c>
      <c r="B65" s="112">
        <v>8.11</v>
      </c>
      <c r="C65" s="112">
        <v>17.32</v>
      </c>
      <c r="D65" s="112">
        <v>16.91</v>
      </c>
      <c r="E65" s="112">
        <v>9</v>
      </c>
      <c r="F65" s="112">
        <v>6.72</v>
      </c>
      <c r="G65" s="112">
        <v>27.14</v>
      </c>
      <c r="H65" s="112">
        <v>9.8699999999999992</v>
      </c>
      <c r="I65" s="112">
        <v>5.79</v>
      </c>
      <c r="J65" s="112">
        <v>0.4</v>
      </c>
      <c r="K65" s="112">
        <v>248.66</v>
      </c>
      <c r="L65" s="112">
        <v>29.27</v>
      </c>
      <c r="M65" s="112">
        <v>82.05</v>
      </c>
      <c r="N65" s="112">
        <v>323.5</v>
      </c>
      <c r="O65" s="112">
        <v>0</v>
      </c>
      <c r="P65" s="112">
        <v>0.71</v>
      </c>
      <c r="Q65" s="112">
        <v>4.42</v>
      </c>
    </row>
    <row r="66" spans="1:17" customFormat="1">
      <c r="A66" s="189" t="s">
        <v>584</v>
      </c>
      <c r="B66" s="112">
        <v>7.66</v>
      </c>
      <c r="C66" s="112">
        <v>17.57</v>
      </c>
      <c r="D66" s="112">
        <v>16.68</v>
      </c>
      <c r="E66" s="112">
        <v>9.2100000000000009</v>
      </c>
      <c r="F66" s="112">
        <v>6.59</v>
      </c>
      <c r="G66" s="112">
        <v>27.14</v>
      </c>
      <c r="H66" s="112">
        <v>9.8699999999999992</v>
      </c>
      <c r="I66" s="112">
        <v>5.8</v>
      </c>
      <c r="J66" s="112">
        <v>0.38</v>
      </c>
      <c r="K66" s="112">
        <v>258.58</v>
      </c>
      <c r="L66" s="112">
        <v>29.64</v>
      </c>
      <c r="M66" s="112">
        <v>79.98</v>
      </c>
      <c r="N66" s="112">
        <v>322.5</v>
      </c>
      <c r="O66" s="112">
        <v>0</v>
      </c>
      <c r="P66" s="112">
        <v>0.73</v>
      </c>
      <c r="Q66" s="112">
        <v>4.38</v>
      </c>
    </row>
    <row r="67" spans="1:17" customFormat="1">
      <c r="A67" s="189" t="s">
        <v>585</v>
      </c>
      <c r="B67" s="112">
        <v>7.21</v>
      </c>
      <c r="C67" s="112">
        <v>17.37</v>
      </c>
      <c r="D67" s="112">
        <v>16.21</v>
      </c>
      <c r="E67" s="112">
        <v>9.5399999999999991</v>
      </c>
      <c r="F67" s="112">
        <v>7.81</v>
      </c>
      <c r="G67" s="112">
        <v>27.14</v>
      </c>
      <c r="H67" s="112">
        <v>9.8699999999999992</v>
      </c>
      <c r="I67" s="112">
        <v>5.85</v>
      </c>
      <c r="J67" s="112">
        <v>0.3</v>
      </c>
      <c r="K67" s="112">
        <v>263.3</v>
      </c>
      <c r="L67" s="112">
        <v>29.7</v>
      </c>
      <c r="M67" s="112">
        <v>79.069999999999993</v>
      </c>
      <c r="N67" s="112">
        <v>307.39999999999998</v>
      </c>
      <c r="O67" s="112">
        <v>0</v>
      </c>
      <c r="P67" s="112">
        <v>0.74</v>
      </c>
      <c r="Q67" s="112">
        <v>4.3600000000000003</v>
      </c>
    </row>
    <row r="68" spans="1:17" customFormat="1">
      <c r="A68" s="189" t="s">
        <v>586</v>
      </c>
      <c r="B68" s="112">
        <v>6.77</v>
      </c>
      <c r="C68" s="112">
        <v>17.22</v>
      </c>
      <c r="D68" s="112">
        <v>15.77</v>
      </c>
      <c r="E68" s="112">
        <v>9.5</v>
      </c>
      <c r="F68" s="112">
        <v>8.43</v>
      </c>
      <c r="G68" s="112">
        <v>28.37</v>
      </c>
      <c r="H68" s="112">
        <v>10.1</v>
      </c>
      <c r="I68" s="112">
        <v>5.9</v>
      </c>
      <c r="J68" s="112">
        <v>0.26</v>
      </c>
      <c r="K68" s="112">
        <v>226.56</v>
      </c>
      <c r="L68" s="112">
        <v>29.65</v>
      </c>
      <c r="M68" s="112">
        <v>80.05</v>
      </c>
      <c r="N68" s="112">
        <v>228.4</v>
      </c>
      <c r="O68" s="112">
        <v>0</v>
      </c>
      <c r="P68" s="112">
        <v>0.75</v>
      </c>
      <c r="Q68" s="112">
        <v>4.37</v>
      </c>
    </row>
    <row r="69" spans="1:17" customFormat="1">
      <c r="A69" s="189" t="s">
        <v>587</v>
      </c>
      <c r="B69" s="112">
        <v>6.45</v>
      </c>
      <c r="C69" s="112">
        <v>17.149999999999999</v>
      </c>
      <c r="D69" s="112">
        <v>15.49</v>
      </c>
      <c r="E69" s="112">
        <v>9.15</v>
      </c>
      <c r="F69" s="112">
        <v>8.35</v>
      </c>
      <c r="G69" s="112">
        <v>28.45</v>
      </c>
      <c r="H69" s="112">
        <v>10.1</v>
      </c>
      <c r="I69" s="112">
        <v>5.91</v>
      </c>
      <c r="J69" s="112">
        <v>0.24</v>
      </c>
      <c r="K69" s="112">
        <v>225.43</v>
      </c>
      <c r="L69" s="112">
        <v>29.68</v>
      </c>
      <c r="M69" s="112">
        <v>80.2</v>
      </c>
      <c r="N69" s="112">
        <v>247.8</v>
      </c>
      <c r="O69" s="112">
        <v>0</v>
      </c>
      <c r="P69" s="112">
        <v>0.75</v>
      </c>
      <c r="Q69" s="112">
        <v>4.32</v>
      </c>
    </row>
    <row r="70" spans="1:17" customFormat="1">
      <c r="A70" s="189" t="s">
        <v>588</v>
      </c>
      <c r="B70" s="112">
        <v>6.19</v>
      </c>
      <c r="C70" s="112">
        <v>17.170000000000002</v>
      </c>
      <c r="D70" s="112">
        <v>15.28</v>
      </c>
      <c r="E70" s="112">
        <v>9.25</v>
      </c>
      <c r="F70" s="112">
        <v>8.41</v>
      </c>
      <c r="G70" s="112">
        <v>28.45</v>
      </c>
      <c r="H70" s="112">
        <v>10.1</v>
      </c>
      <c r="I70" s="112">
        <v>5.91</v>
      </c>
      <c r="J70" s="112">
        <v>0.3</v>
      </c>
      <c r="K70" s="112">
        <v>235.51</v>
      </c>
      <c r="L70" s="112">
        <v>29.58</v>
      </c>
      <c r="M70" s="112">
        <v>80.27</v>
      </c>
      <c r="N70" s="112">
        <v>180.9</v>
      </c>
      <c r="O70" s="112">
        <v>0</v>
      </c>
      <c r="P70" s="112">
        <v>0.75</v>
      </c>
      <c r="Q70" s="112">
        <v>4.3</v>
      </c>
    </row>
    <row r="71" spans="1:17" customFormat="1">
      <c r="A71" s="189" t="s">
        <v>589</v>
      </c>
      <c r="B71" s="112">
        <v>5.77</v>
      </c>
      <c r="C71" s="112">
        <v>16.95</v>
      </c>
      <c r="D71" s="112">
        <v>14.83</v>
      </c>
      <c r="E71" s="112">
        <v>9.7200000000000006</v>
      </c>
      <c r="F71" s="112">
        <v>9.1300000000000008</v>
      </c>
      <c r="G71" s="112">
        <v>28.45</v>
      </c>
      <c r="H71" s="112">
        <v>10.1</v>
      </c>
      <c r="I71" s="112">
        <v>5.92</v>
      </c>
      <c r="J71" s="112">
        <v>0.41</v>
      </c>
      <c r="K71" s="112">
        <v>254.54</v>
      </c>
      <c r="L71" s="112">
        <v>29.25</v>
      </c>
      <c r="M71" s="112">
        <v>81.900000000000006</v>
      </c>
      <c r="N71" s="112">
        <v>171.8</v>
      </c>
      <c r="O71" s="112">
        <v>0</v>
      </c>
      <c r="P71" s="112">
        <v>0.78</v>
      </c>
      <c r="Q71" s="112">
        <v>4.2699999999999996</v>
      </c>
    </row>
    <row r="72" spans="1:17" customFormat="1">
      <c r="A72" s="189" t="s">
        <v>590</v>
      </c>
      <c r="B72" s="112">
        <v>5.48</v>
      </c>
      <c r="C72" s="112">
        <v>17.71</v>
      </c>
      <c r="D72" s="112">
        <v>15</v>
      </c>
      <c r="E72" s="112">
        <v>9.23</v>
      </c>
      <c r="F72" s="112">
        <v>8.1</v>
      </c>
      <c r="G72" s="112">
        <v>31.69</v>
      </c>
      <c r="H72" s="112">
        <v>12.75</v>
      </c>
      <c r="I72" s="112">
        <v>5.99</v>
      </c>
      <c r="J72" s="112">
        <v>0.26</v>
      </c>
      <c r="K72" s="112">
        <v>239.25</v>
      </c>
      <c r="L72" s="112">
        <v>29.11</v>
      </c>
      <c r="M72" s="112">
        <v>83.14</v>
      </c>
      <c r="N72" s="112">
        <v>128.6</v>
      </c>
      <c r="O72" s="112">
        <v>0</v>
      </c>
      <c r="P72" s="112">
        <v>0.82</v>
      </c>
      <c r="Q72" s="112">
        <v>4.28</v>
      </c>
    </row>
    <row r="73" spans="1:17" customFormat="1">
      <c r="A73" s="189" t="s">
        <v>591</v>
      </c>
      <c r="B73" s="112">
        <v>5.25</v>
      </c>
      <c r="C73" s="112">
        <v>18.13</v>
      </c>
      <c r="D73" s="112">
        <v>15.04</v>
      </c>
      <c r="E73" s="112">
        <v>9.1999999999999993</v>
      </c>
      <c r="F73" s="112">
        <v>7.45</v>
      </c>
      <c r="G73" s="112">
        <v>31.88</v>
      </c>
      <c r="H73" s="112">
        <v>12.75</v>
      </c>
      <c r="I73" s="112">
        <v>6.08</v>
      </c>
      <c r="J73" s="112">
        <v>0.37</v>
      </c>
      <c r="K73" s="112">
        <v>255.46</v>
      </c>
      <c r="L73" s="112">
        <v>29.03</v>
      </c>
      <c r="M73" s="112">
        <v>82.92</v>
      </c>
      <c r="N73" s="112">
        <v>128.4</v>
      </c>
      <c r="O73" s="112">
        <v>0</v>
      </c>
      <c r="P73" s="112">
        <v>0.88</v>
      </c>
      <c r="Q73" s="112">
        <v>4.28</v>
      </c>
    </row>
    <row r="74" spans="1:17" customFormat="1">
      <c r="A74" s="189" t="s">
        <v>592</v>
      </c>
      <c r="B74" s="112">
        <v>5</v>
      </c>
      <c r="C74" s="112">
        <v>17.36</v>
      </c>
      <c r="D74" s="112">
        <v>14.43</v>
      </c>
      <c r="E74" s="112">
        <v>9.32</v>
      </c>
      <c r="F74" s="112">
        <v>10.16</v>
      </c>
      <c r="G74" s="112">
        <v>31.88</v>
      </c>
      <c r="H74" s="112">
        <v>12.75</v>
      </c>
      <c r="I74" s="112">
        <v>6.25</v>
      </c>
      <c r="J74" s="112">
        <v>0.2</v>
      </c>
      <c r="K74" s="112">
        <v>226.42</v>
      </c>
      <c r="L74" s="112">
        <v>29.1</v>
      </c>
      <c r="M74" s="112">
        <v>84.04</v>
      </c>
      <c r="N74" s="112">
        <v>116.8</v>
      </c>
      <c r="O74" s="112">
        <v>0</v>
      </c>
      <c r="P74" s="112">
        <v>0.93</v>
      </c>
      <c r="Q74" s="112">
        <v>4.25</v>
      </c>
    </row>
    <row r="75" spans="1:17" customFormat="1">
      <c r="A75" s="189" t="s">
        <v>593</v>
      </c>
      <c r="B75" s="112">
        <v>4.88</v>
      </c>
      <c r="C75" s="112">
        <v>16.89</v>
      </c>
      <c r="D75" s="112">
        <v>14.09</v>
      </c>
      <c r="E75" s="112">
        <v>9.33</v>
      </c>
      <c r="F75" s="112">
        <v>10.91</v>
      </c>
      <c r="G75" s="112">
        <v>31.88</v>
      </c>
      <c r="H75" s="112">
        <v>12.75</v>
      </c>
      <c r="I75" s="112">
        <v>6.47</v>
      </c>
      <c r="J75" s="112">
        <v>0.24</v>
      </c>
      <c r="K75" s="112">
        <v>249.92</v>
      </c>
      <c r="L75" s="112">
        <v>29.01</v>
      </c>
      <c r="M75" s="112">
        <v>84.23</v>
      </c>
      <c r="N75" s="112">
        <v>91.6</v>
      </c>
      <c r="O75" s="112">
        <v>0</v>
      </c>
      <c r="P75" s="112">
        <v>0.93</v>
      </c>
      <c r="Q75" s="112">
        <v>4.24</v>
      </c>
    </row>
    <row r="76" spans="1:17" customFormat="1">
      <c r="A76" s="189" t="s">
        <v>594</v>
      </c>
      <c r="B76" s="112">
        <v>4.6399999999999997</v>
      </c>
      <c r="C76" s="112">
        <v>15.9</v>
      </c>
      <c r="D76" s="112">
        <v>13.38</v>
      </c>
      <c r="E76" s="112">
        <v>9.3000000000000007</v>
      </c>
      <c r="F76" s="112">
        <v>13.32</v>
      </c>
      <c r="G76" s="112">
        <v>38.17</v>
      </c>
      <c r="H76" s="112">
        <v>16.13</v>
      </c>
      <c r="I76" s="112">
        <v>6.68</v>
      </c>
      <c r="J76" s="112">
        <v>0.14000000000000001</v>
      </c>
      <c r="K76" s="112">
        <v>214.66</v>
      </c>
      <c r="L76" s="112">
        <v>28.97</v>
      </c>
      <c r="M76" s="112">
        <v>85.21</v>
      </c>
      <c r="N76" s="112">
        <v>54.8</v>
      </c>
      <c r="O76" s="112">
        <v>0</v>
      </c>
      <c r="P76" s="112">
        <v>0.97</v>
      </c>
      <c r="Q76" s="112">
        <v>4.2300000000000004</v>
      </c>
    </row>
    <row r="77" spans="1:17" customFormat="1">
      <c r="A77" s="189" t="s">
        <v>595</v>
      </c>
      <c r="B77" s="112">
        <v>4.5199999999999996</v>
      </c>
      <c r="C77" s="112">
        <v>15.55</v>
      </c>
      <c r="D77" s="112">
        <v>13.1</v>
      </c>
      <c r="E77" s="112">
        <v>9.83</v>
      </c>
      <c r="F77" s="112">
        <v>14.96</v>
      </c>
      <c r="G77" s="112">
        <v>38.54</v>
      </c>
      <c r="H77" s="112">
        <v>16.13</v>
      </c>
      <c r="I77" s="112">
        <v>6.76</v>
      </c>
      <c r="J77" s="112">
        <v>0.11</v>
      </c>
      <c r="K77" s="112">
        <v>215.88</v>
      </c>
      <c r="L77" s="112">
        <v>28.69</v>
      </c>
      <c r="M77" s="112">
        <v>86.24</v>
      </c>
      <c r="N77" s="112">
        <v>36.200000000000003</v>
      </c>
      <c r="O77" s="112">
        <v>0</v>
      </c>
      <c r="P77" s="112">
        <v>0.98</v>
      </c>
      <c r="Q77" s="112">
        <v>4.22</v>
      </c>
    </row>
    <row r="78" spans="1:17" customFormat="1">
      <c r="A78" s="189" t="s">
        <v>596</v>
      </c>
      <c r="B78" s="112">
        <v>4.49</v>
      </c>
      <c r="C78" s="112">
        <v>15.61</v>
      </c>
      <c r="D78" s="112">
        <v>13.11</v>
      </c>
      <c r="E78" s="112">
        <v>9.7100000000000009</v>
      </c>
      <c r="F78" s="112">
        <v>14.21</v>
      </c>
      <c r="G78" s="112">
        <v>38.54</v>
      </c>
      <c r="H78" s="112">
        <v>16.13</v>
      </c>
      <c r="I78" s="112">
        <v>6.88</v>
      </c>
      <c r="J78" s="112">
        <v>0.14000000000000001</v>
      </c>
      <c r="K78" s="112">
        <v>216.82</v>
      </c>
      <c r="L78" s="112">
        <v>28.52</v>
      </c>
      <c r="M78" s="112">
        <v>87.22</v>
      </c>
      <c r="N78" s="112">
        <v>25.2</v>
      </c>
      <c r="O78" s="112">
        <v>0</v>
      </c>
      <c r="P78" s="112">
        <v>1</v>
      </c>
      <c r="Q78" s="112">
        <v>4.21</v>
      </c>
    </row>
    <row r="79" spans="1:17" customFormat="1">
      <c r="A79" s="189" t="s">
        <v>597</v>
      </c>
      <c r="B79" s="112">
        <v>4.3600000000000003</v>
      </c>
      <c r="C79" s="112">
        <v>15.46</v>
      </c>
      <c r="D79" s="112">
        <v>12.92</v>
      </c>
      <c r="E79" s="112">
        <v>10.29</v>
      </c>
      <c r="F79" s="112">
        <v>15.21</v>
      </c>
      <c r="G79" s="112">
        <v>38.54</v>
      </c>
      <c r="H79" s="112">
        <v>16.13</v>
      </c>
      <c r="I79" s="112">
        <v>6.83</v>
      </c>
      <c r="J79" s="112">
        <v>0.13</v>
      </c>
      <c r="K79" s="112">
        <v>195.4</v>
      </c>
      <c r="L79" s="112">
        <v>28.34</v>
      </c>
      <c r="M79" s="112">
        <v>88.32</v>
      </c>
      <c r="N79" s="112">
        <v>13.3</v>
      </c>
      <c r="O79" s="112">
        <v>0</v>
      </c>
      <c r="P79" s="112">
        <v>1.06</v>
      </c>
      <c r="Q79" s="112">
        <v>4.17</v>
      </c>
    </row>
    <row r="80" spans="1:17" customFormat="1">
      <c r="A80" s="189" t="s">
        <v>598</v>
      </c>
      <c r="B80" s="112">
        <v>4.17</v>
      </c>
      <c r="C80" s="112">
        <v>14.72</v>
      </c>
      <c r="D80" s="112">
        <v>12.38</v>
      </c>
      <c r="E80" s="112">
        <v>11.38</v>
      </c>
      <c r="F80" s="112">
        <v>17.760000000000002</v>
      </c>
      <c r="G80" s="112">
        <v>39.43</v>
      </c>
      <c r="H80" s="112">
        <v>13.88</v>
      </c>
      <c r="I80" s="112">
        <v>6.99</v>
      </c>
      <c r="J80" s="112">
        <v>0.1</v>
      </c>
      <c r="K80" s="112">
        <v>230.94</v>
      </c>
      <c r="L80" s="112">
        <v>28.07</v>
      </c>
      <c r="M80" s="112">
        <v>89.1</v>
      </c>
      <c r="N80" s="112">
        <v>0.5</v>
      </c>
      <c r="O80" s="112">
        <v>0</v>
      </c>
      <c r="P80" s="112">
        <v>1.19</v>
      </c>
      <c r="Q80" s="112">
        <v>4.17</v>
      </c>
    </row>
    <row r="81" spans="1:17" customFormat="1">
      <c r="A81" s="189" t="s">
        <v>599</v>
      </c>
      <c r="B81" s="112">
        <v>4.16</v>
      </c>
      <c r="C81" s="112">
        <v>15.48</v>
      </c>
      <c r="D81" s="112">
        <v>12.78</v>
      </c>
      <c r="E81" s="112">
        <v>7.83</v>
      </c>
      <c r="F81" s="112">
        <v>13.44</v>
      </c>
      <c r="G81" s="112">
        <v>39.479999999999997</v>
      </c>
      <c r="H81" s="112">
        <v>13.88</v>
      </c>
      <c r="I81" s="112">
        <v>7.49</v>
      </c>
      <c r="J81" s="112">
        <v>0.18</v>
      </c>
      <c r="K81" s="112">
        <v>238.77</v>
      </c>
      <c r="L81" s="112">
        <v>27.87</v>
      </c>
      <c r="M81" s="112">
        <v>89.6</v>
      </c>
      <c r="N81" s="112">
        <v>0</v>
      </c>
      <c r="O81" s="112">
        <v>0</v>
      </c>
      <c r="P81" s="112">
        <v>1.1599999999999999</v>
      </c>
      <c r="Q81" s="112">
        <v>4.17</v>
      </c>
    </row>
    <row r="82" spans="1:17" customFormat="1">
      <c r="A82" s="189" t="s">
        <v>600</v>
      </c>
      <c r="B82" s="112">
        <v>4.4400000000000004</v>
      </c>
      <c r="C82" s="112">
        <v>16.170000000000002</v>
      </c>
      <c r="D82" s="112">
        <v>13.36</v>
      </c>
      <c r="E82" s="112">
        <v>8.52</v>
      </c>
      <c r="F82" s="112">
        <v>12.68</v>
      </c>
      <c r="G82" s="112">
        <v>39.479999999999997</v>
      </c>
      <c r="H82" s="112">
        <v>13.88</v>
      </c>
      <c r="I82" s="112">
        <v>8.19</v>
      </c>
      <c r="J82" s="112">
        <v>0.41</v>
      </c>
      <c r="K82" s="112">
        <v>33.67</v>
      </c>
      <c r="L82" s="112">
        <v>27.64</v>
      </c>
      <c r="M82" s="112">
        <v>90.04</v>
      </c>
      <c r="N82" s="112">
        <v>0</v>
      </c>
      <c r="O82" s="112">
        <v>0</v>
      </c>
      <c r="P82" s="112">
        <v>1.21</v>
      </c>
      <c r="Q82" s="112">
        <v>4.17</v>
      </c>
    </row>
    <row r="83" spans="1:17" customFormat="1">
      <c r="A83" s="189" t="s">
        <v>601</v>
      </c>
      <c r="B83" s="112">
        <v>5.17</v>
      </c>
      <c r="C83" s="112">
        <v>17.59</v>
      </c>
      <c r="D83" s="112">
        <v>14.69</v>
      </c>
      <c r="E83" s="112">
        <v>7.75</v>
      </c>
      <c r="F83" s="112">
        <v>8.57</v>
      </c>
      <c r="G83" s="112">
        <v>39.479999999999997</v>
      </c>
      <c r="H83" s="112">
        <v>13.88</v>
      </c>
      <c r="I83" s="112">
        <v>8.4</v>
      </c>
      <c r="J83" s="112">
        <v>0.89</v>
      </c>
      <c r="K83" s="112">
        <v>46.93</v>
      </c>
      <c r="L83" s="112">
        <v>26.39</v>
      </c>
      <c r="M83" s="112">
        <v>83.3</v>
      </c>
      <c r="N83" s="112">
        <v>0.4</v>
      </c>
      <c r="O83" s="112">
        <v>3.2</v>
      </c>
      <c r="P83" s="112">
        <v>1.04</v>
      </c>
      <c r="Q83" s="112">
        <v>4.1900000000000004</v>
      </c>
    </row>
    <row r="84" spans="1:17" customFormat="1">
      <c r="A84" s="189" t="s">
        <v>602</v>
      </c>
      <c r="B84" s="112">
        <v>4.84</v>
      </c>
      <c r="C84" s="112">
        <v>17.37</v>
      </c>
      <c r="D84" s="112">
        <v>14.31</v>
      </c>
      <c r="E84" s="112">
        <v>7.75</v>
      </c>
      <c r="F84" s="112">
        <v>7.53</v>
      </c>
      <c r="G84" s="112">
        <v>40.340000000000003</v>
      </c>
      <c r="H84" s="112">
        <v>15.33</v>
      </c>
      <c r="I84" s="112">
        <v>8.24</v>
      </c>
      <c r="J84" s="112">
        <v>0.22</v>
      </c>
      <c r="K84" s="112">
        <v>162.08000000000001</v>
      </c>
      <c r="L84" s="112">
        <v>24.13</v>
      </c>
      <c r="M84" s="112">
        <v>96.64</v>
      </c>
      <c r="N84" s="112">
        <v>0</v>
      </c>
      <c r="O84" s="112">
        <v>3.8</v>
      </c>
      <c r="P84" s="112">
        <v>1.02</v>
      </c>
      <c r="Q84" s="112">
        <v>4.22</v>
      </c>
    </row>
    <row r="85" spans="1:17" customFormat="1">
      <c r="A85" s="189" t="s">
        <v>603</v>
      </c>
      <c r="B85" s="112">
        <v>5.04</v>
      </c>
      <c r="C85" s="112">
        <v>19.170000000000002</v>
      </c>
      <c r="D85" s="112">
        <v>15.41</v>
      </c>
      <c r="E85" s="112">
        <v>7.11</v>
      </c>
      <c r="F85" s="112">
        <v>4.68</v>
      </c>
      <c r="G85" s="112">
        <v>40.39</v>
      </c>
      <c r="H85" s="112">
        <v>15.33</v>
      </c>
      <c r="I85" s="112">
        <v>7.6</v>
      </c>
      <c r="J85" s="112">
        <v>0.21</v>
      </c>
      <c r="K85" s="112">
        <v>244.16</v>
      </c>
      <c r="L85" s="112">
        <v>23.78</v>
      </c>
      <c r="M85" s="112">
        <v>98.22</v>
      </c>
      <c r="N85" s="112">
        <v>0</v>
      </c>
      <c r="O85" s="112">
        <v>0.6</v>
      </c>
      <c r="P85" s="112">
        <v>1.04</v>
      </c>
      <c r="Q85" s="112">
        <v>4.28</v>
      </c>
    </row>
    <row r="86" spans="1:17" customFormat="1">
      <c r="A86" s="189" t="s">
        <v>604</v>
      </c>
      <c r="B86" s="112">
        <v>5.25</v>
      </c>
      <c r="C86" s="112">
        <v>17.940000000000001</v>
      </c>
      <c r="D86" s="112">
        <v>14.94</v>
      </c>
      <c r="E86" s="112">
        <v>7.06</v>
      </c>
      <c r="F86" s="112">
        <v>5.27</v>
      </c>
      <c r="G86" s="112">
        <v>40.39</v>
      </c>
      <c r="H86" s="112">
        <v>15.33</v>
      </c>
      <c r="I86" s="112">
        <v>7.44</v>
      </c>
      <c r="J86" s="112">
        <v>0.11</v>
      </c>
      <c r="K86" s="112">
        <v>269.89999999999998</v>
      </c>
      <c r="L86" s="112">
        <v>23.82</v>
      </c>
      <c r="M86" s="112">
        <v>98.7</v>
      </c>
      <c r="N86" s="112">
        <v>0</v>
      </c>
      <c r="O86" s="112">
        <v>0</v>
      </c>
      <c r="P86" s="112">
        <v>1.01</v>
      </c>
      <c r="Q86" s="112">
        <v>4.2300000000000004</v>
      </c>
    </row>
    <row r="87" spans="1:17" customFormat="1">
      <c r="A87" s="189" t="s">
        <v>605</v>
      </c>
      <c r="B87" s="112">
        <v>5.25</v>
      </c>
      <c r="C87" s="112">
        <v>16.989999999999998</v>
      </c>
      <c r="D87" s="112">
        <v>14.44</v>
      </c>
      <c r="E87" s="112">
        <v>7.13</v>
      </c>
      <c r="F87" s="112">
        <v>5.84</v>
      </c>
      <c r="G87" s="112">
        <v>40.39</v>
      </c>
      <c r="H87" s="112">
        <v>15.33</v>
      </c>
      <c r="I87" s="112">
        <v>7.48</v>
      </c>
      <c r="J87" s="112">
        <v>0.09</v>
      </c>
      <c r="K87" s="112">
        <v>212.09</v>
      </c>
      <c r="L87" s="112">
        <v>23.8</v>
      </c>
      <c r="M87" s="112">
        <v>98.87</v>
      </c>
      <c r="N87" s="112">
        <v>0</v>
      </c>
      <c r="O87" s="112">
        <v>0.2</v>
      </c>
      <c r="P87" s="112">
        <v>0.97</v>
      </c>
      <c r="Q87" s="112">
        <v>4.1900000000000004</v>
      </c>
    </row>
    <row r="88" spans="1:17" customFormat="1">
      <c r="A88" s="189" t="s">
        <v>606</v>
      </c>
      <c r="B88" s="112">
        <v>5.22</v>
      </c>
      <c r="C88" s="112">
        <v>17.34</v>
      </c>
      <c r="D88" s="112">
        <v>14.6</v>
      </c>
      <c r="E88" s="112">
        <v>7.12</v>
      </c>
      <c r="F88" s="112">
        <v>5.91</v>
      </c>
      <c r="G88" s="112">
        <v>29</v>
      </c>
      <c r="H88" s="112">
        <v>10.95</v>
      </c>
      <c r="I88" s="112">
        <v>7.28</v>
      </c>
      <c r="J88" s="112">
        <v>0.17</v>
      </c>
      <c r="K88" s="112">
        <v>260.08</v>
      </c>
      <c r="L88" s="112">
        <v>23.93</v>
      </c>
      <c r="M88" s="112">
        <v>99.02</v>
      </c>
      <c r="N88" s="112">
        <v>0</v>
      </c>
      <c r="O88" s="112">
        <v>0</v>
      </c>
      <c r="P88" s="112">
        <v>0.98</v>
      </c>
      <c r="Q88" s="112">
        <v>4.21</v>
      </c>
    </row>
    <row r="89" spans="1:17" customFormat="1">
      <c r="A89" s="189" t="s">
        <v>607</v>
      </c>
      <c r="B89" s="112">
        <v>5.55</v>
      </c>
      <c r="C89" s="112">
        <v>19.04</v>
      </c>
      <c r="D89" s="112">
        <v>15.75</v>
      </c>
      <c r="E89" s="112">
        <v>7.29</v>
      </c>
      <c r="F89" s="112">
        <v>4.41</v>
      </c>
      <c r="G89" s="112">
        <v>28.47</v>
      </c>
      <c r="H89" s="112">
        <v>10.95</v>
      </c>
      <c r="I89" s="112">
        <v>7.14</v>
      </c>
      <c r="J89" s="112">
        <v>0.34</v>
      </c>
      <c r="K89" s="112">
        <v>317.42</v>
      </c>
      <c r="L89" s="112">
        <v>24.17</v>
      </c>
      <c r="M89" s="112">
        <v>99.22</v>
      </c>
      <c r="N89" s="112">
        <v>0</v>
      </c>
      <c r="O89" s="112">
        <v>0</v>
      </c>
      <c r="P89" s="112">
        <v>1</v>
      </c>
      <c r="Q89" s="112">
        <v>4.29</v>
      </c>
    </row>
    <row r="90" spans="1:17" customFormat="1">
      <c r="A90" s="189" t="s">
        <v>608</v>
      </c>
      <c r="B90" s="112">
        <v>6.16</v>
      </c>
      <c r="C90" s="112">
        <v>18.670000000000002</v>
      </c>
      <c r="D90" s="112">
        <v>16.04</v>
      </c>
      <c r="E90" s="112">
        <v>7.17</v>
      </c>
      <c r="F90" s="112">
        <v>4.75</v>
      </c>
      <c r="G90" s="112">
        <v>28.47</v>
      </c>
      <c r="H90" s="112">
        <v>10.95</v>
      </c>
      <c r="I90" s="112">
        <v>7.07</v>
      </c>
      <c r="J90" s="112">
        <v>0.39</v>
      </c>
      <c r="K90" s="112">
        <v>299.91000000000003</v>
      </c>
      <c r="L90" s="112">
        <v>24.34</v>
      </c>
      <c r="M90" s="112">
        <v>99.36</v>
      </c>
      <c r="N90" s="112">
        <v>0</v>
      </c>
      <c r="O90" s="112">
        <v>0</v>
      </c>
      <c r="P90" s="112">
        <v>0.98</v>
      </c>
      <c r="Q90" s="112">
        <v>4.3</v>
      </c>
    </row>
    <row r="91" spans="1:17" customFormat="1">
      <c r="A91" s="189" t="s">
        <v>609</v>
      </c>
      <c r="B91" s="112">
        <v>7.09</v>
      </c>
      <c r="C91" s="112">
        <v>19.489999999999998</v>
      </c>
      <c r="D91" s="112">
        <v>17.22</v>
      </c>
      <c r="E91" s="112">
        <v>7.02</v>
      </c>
      <c r="F91" s="112">
        <v>4.7300000000000004</v>
      </c>
      <c r="G91" s="112">
        <v>28.47</v>
      </c>
      <c r="H91" s="112">
        <v>10.95</v>
      </c>
      <c r="I91" s="112">
        <v>7.1</v>
      </c>
      <c r="J91" s="112">
        <v>0.19</v>
      </c>
      <c r="K91" s="112">
        <v>341.62</v>
      </c>
      <c r="L91" s="112">
        <v>24.4</v>
      </c>
      <c r="M91" s="112">
        <v>99.22</v>
      </c>
      <c r="N91" s="112">
        <v>0</v>
      </c>
      <c r="O91" s="112">
        <v>0</v>
      </c>
      <c r="P91" s="112">
        <v>1</v>
      </c>
      <c r="Q91" s="112">
        <v>4.3499999999999996</v>
      </c>
    </row>
    <row r="92" spans="1:17" customFormat="1">
      <c r="A92" s="189" t="s">
        <v>610</v>
      </c>
      <c r="B92" s="112">
        <v>7.54</v>
      </c>
      <c r="C92" s="112">
        <v>20.29</v>
      </c>
      <c r="D92" s="112">
        <v>18</v>
      </c>
      <c r="E92" s="112">
        <v>8</v>
      </c>
      <c r="F92" s="112">
        <v>4.26</v>
      </c>
      <c r="G92" s="112">
        <v>28.49</v>
      </c>
      <c r="H92" s="112">
        <v>13.13</v>
      </c>
      <c r="I92" s="112">
        <v>7.01</v>
      </c>
      <c r="J92" s="112">
        <v>0.36</v>
      </c>
      <c r="K92" s="112">
        <v>27.96</v>
      </c>
      <c r="L92" s="112">
        <v>24.42</v>
      </c>
      <c r="M92" s="112">
        <v>99.08</v>
      </c>
      <c r="N92" s="112">
        <v>0</v>
      </c>
      <c r="O92" s="112">
        <v>0</v>
      </c>
      <c r="P92" s="112">
        <v>1.02</v>
      </c>
      <c r="Q92" s="112">
        <v>4.46</v>
      </c>
    </row>
    <row r="93" spans="1:17" customFormat="1">
      <c r="A93" s="189" t="s">
        <v>611</v>
      </c>
      <c r="B93" s="112">
        <v>8.3000000000000007</v>
      </c>
      <c r="C93" s="112">
        <v>20.12</v>
      </c>
      <c r="D93" s="112">
        <v>18.52</v>
      </c>
      <c r="E93" s="112">
        <v>7.45</v>
      </c>
      <c r="F93" s="112">
        <v>4.6100000000000003</v>
      </c>
      <c r="G93" s="112">
        <v>28.49</v>
      </c>
      <c r="H93" s="112">
        <v>13.13</v>
      </c>
      <c r="I93" s="112">
        <v>7.03</v>
      </c>
      <c r="J93" s="112">
        <v>0.36</v>
      </c>
      <c r="K93" s="112">
        <v>306.67</v>
      </c>
      <c r="L93" s="112">
        <v>24.49</v>
      </c>
      <c r="M93" s="112">
        <v>98.15</v>
      </c>
      <c r="N93" s="112">
        <v>0</v>
      </c>
      <c r="O93" s="112">
        <v>0.2</v>
      </c>
      <c r="P93" s="112">
        <v>1.02</v>
      </c>
      <c r="Q93" s="112">
        <v>4.51</v>
      </c>
    </row>
    <row r="94" spans="1:17" customFormat="1">
      <c r="A94" s="189" t="s">
        <v>612</v>
      </c>
      <c r="B94" s="112">
        <v>8.69</v>
      </c>
      <c r="C94" s="112">
        <v>19.350000000000001</v>
      </c>
      <c r="D94" s="112">
        <v>18.43</v>
      </c>
      <c r="E94" s="112">
        <v>7.82</v>
      </c>
      <c r="F94" s="112">
        <v>5.58</v>
      </c>
      <c r="G94" s="112">
        <v>28.49</v>
      </c>
      <c r="H94" s="112">
        <v>13.13</v>
      </c>
      <c r="I94" s="112">
        <v>7.14</v>
      </c>
      <c r="J94" s="112">
        <v>0.55000000000000004</v>
      </c>
      <c r="K94" s="112">
        <v>348.05</v>
      </c>
      <c r="L94" s="112">
        <v>24.32</v>
      </c>
      <c r="M94" s="112">
        <v>97.57</v>
      </c>
      <c r="N94" s="112">
        <v>0</v>
      </c>
      <c r="O94" s="112">
        <v>0.2</v>
      </c>
      <c r="P94" s="112">
        <v>0.99</v>
      </c>
      <c r="Q94" s="112">
        <v>4.55</v>
      </c>
    </row>
    <row r="95" spans="1:17" customFormat="1">
      <c r="A95" s="189" t="s">
        <v>613</v>
      </c>
      <c r="B95" s="112">
        <v>8.6</v>
      </c>
      <c r="C95" s="112">
        <v>19.71</v>
      </c>
      <c r="D95" s="112">
        <v>18.55</v>
      </c>
      <c r="E95" s="112">
        <v>7.24</v>
      </c>
      <c r="F95" s="112">
        <v>5.36</v>
      </c>
      <c r="G95" s="112">
        <v>28.49</v>
      </c>
      <c r="H95" s="112">
        <v>13.13</v>
      </c>
      <c r="I95" s="112">
        <v>7.14</v>
      </c>
      <c r="J95" s="112">
        <v>0.64</v>
      </c>
      <c r="K95" s="112">
        <v>340.67</v>
      </c>
      <c r="L95" s="112">
        <v>23.73</v>
      </c>
      <c r="M95" s="112">
        <v>96.35</v>
      </c>
      <c r="N95" s="112">
        <v>0</v>
      </c>
      <c r="O95" s="112">
        <v>0.2</v>
      </c>
      <c r="P95" s="112">
        <v>0.99</v>
      </c>
      <c r="Q95" s="112">
        <v>4.54</v>
      </c>
    </row>
    <row r="96" spans="1:17" customFormat="1">
      <c r="A96" s="189" t="s">
        <v>614</v>
      </c>
      <c r="B96" s="112">
        <v>8.57</v>
      </c>
      <c r="C96" s="112">
        <v>20.7</v>
      </c>
      <c r="D96" s="112">
        <v>19.04</v>
      </c>
      <c r="E96" s="112">
        <v>7.13</v>
      </c>
      <c r="F96" s="112">
        <v>4.43</v>
      </c>
      <c r="G96" s="112">
        <v>31.43</v>
      </c>
      <c r="H96" s="112">
        <v>12.46</v>
      </c>
      <c r="I96" s="112">
        <v>7</v>
      </c>
      <c r="J96" s="112">
        <v>0.42</v>
      </c>
      <c r="K96" s="112">
        <v>281.83999999999997</v>
      </c>
      <c r="L96" s="112">
        <v>23.52</v>
      </c>
      <c r="M96" s="112">
        <v>96.33</v>
      </c>
      <c r="N96" s="112">
        <v>0</v>
      </c>
      <c r="O96" s="112">
        <v>0</v>
      </c>
      <c r="P96" s="112">
        <v>0.99</v>
      </c>
      <c r="Q96" s="112">
        <v>4.58</v>
      </c>
    </row>
    <row r="97" spans="1:22" customFormat="1">
      <c r="A97" s="189" t="s">
        <v>615</v>
      </c>
      <c r="B97" s="112">
        <v>8.6199999999999992</v>
      </c>
      <c r="C97" s="112">
        <v>19.89</v>
      </c>
      <c r="D97" s="112">
        <v>18.66</v>
      </c>
      <c r="E97" s="112">
        <v>6.46</v>
      </c>
      <c r="F97" s="112">
        <v>4.84</v>
      </c>
      <c r="G97" s="112">
        <v>31.56</v>
      </c>
      <c r="H97" s="112">
        <v>12.46</v>
      </c>
      <c r="I97" s="112">
        <v>6.93</v>
      </c>
      <c r="J97" s="112">
        <v>0.11</v>
      </c>
      <c r="K97" s="112">
        <v>351.77</v>
      </c>
      <c r="L97" s="112">
        <v>23.62</v>
      </c>
      <c r="M97" s="112">
        <v>96.71</v>
      </c>
      <c r="N97" s="112">
        <v>0</v>
      </c>
      <c r="O97" s="112">
        <v>0</v>
      </c>
      <c r="P97" s="112">
        <v>0.96</v>
      </c>
      <c r="Q97" s="112">
        <v>4.54</v>
      </c>
    </row>
    <row r="98" spans="1:22" customFormat="1">
      <c r="A98" s="189" t="s">
        <v>616</v>
      </c>
      <c r="B98" s="112">
        <v>8.65</v>
      </c>
      <c r="C98" s="112">
        <v>20.420000000000002</v>
      </c>
      <c r="D98" s="112">
        <v>18.96</v>
      </c>
      <c r="E98" s="112">
        <v>6.5</v>
      </c>
      <c r="F98" s="112">
        <v>4.59</v>
      </c>
      <c r="G98" s="112">
        <v>31.56</v>
      </c>
      <c r="H98" s="112">
        <v>12.46</v>
      </c>
      <c r="I98" s="112">
        <v>6.89</v>
      </c>
      <c r="J98" s="112">
        <v>0.32</v>
      </c>
      <c r="K98" s="112">
        <v>62.15</v>
      </c>
      <c r="L98" s="112">
        <v>23.69</v>
      </c>
      <c r="M98" s="112">
        <v>96.55</v>
      </c>
      <c r="N98" s="112">
        <v>0</v>
      </c>
      <c r="O98" s="112">
        <v>0.2</v>
      </c>
      <c r="P98" s="112">
        <v>0.96</v>
      </c>
      <c r="Q98" s="112">
        <v>4.54</v>
      </c>
    </row>
    <row r="99" spans="1:22" customFormat="1">
      <c r="A99" s="189" t="s">
        <v>617</v>
      </c>
      <c r="B99" s="112">
        <v>8.98</v>
      </c>
      <c r="C99" s="112">
        <v>21.29</v>
      </c>
      <c r="D99" s="112">
        <v>19.670000000000002</v>
      </c>
      <c r="E99" s="112">
        <v>7.03</v>
      </c>
      <c r="F99" s="112">
        <v>3.96</v>
      </c>
      <c r="G99" s="112">
        <v>31.56</v>
      </c>
      <c r="H99" s="112">
        <v>12.46</v>
      </c>
      <c r="I99" s="112">
        <v>6.76</v>
      </c>
      <c r="J99" s="112">
        <v>0.5</v>
      </c>
      <c r="K99" s="112">
        <v>36.270000000000003</v>
      </c>
      <c r="L99" s="112">
        <v>23.65</v>
      </c>
      <c r="M99" s="112">
        <v>96.78</v>
      </c>
      <c r="N99" s="112">
        <v>0</v>
      </c>
      <c r="O99" s="112">
        <v>0</v>
      </c>
      <c r="P99" s="112">
        <v>0.96</v>
      </c>
      <c r="Q99" s="112">
        <v>4.6399999999999997</v>
      </c>
    </row>
    <row r="100" spans="1:22" customFormat="1">
      <c r="A100" s="189" t="s">
        <v>618</v>
      </c>
      <c r="B100" s="112">
        <v>9.3000000000000007</v>
      </c>
      <c r="C100" s="112">
        <v>20.21</v>
      </c>
      <c r="D100" s="112">
        <v>19.37</v>
      </c>
      <c r="E100" s="112">
        <v>7.04</v>
      </c>
      <c r="F100" s="112">
        <v>4.96</v>
      </c>
      <c r="G100" s="112">
        <v>28.72</v>
      </c>
      <c r="H100" s="112">
        <v>12.61</v>
      </c>
      <c r="I100" s="112">
        <v>6.69</v>
      </c>
      <c r="J100" s="112">
        <v>0.42</v>
      </c>
      <c r="K100" s="112">
        <v>51.65</v>
      </c>
      <c r="L100" s="112">
        <v>23.63</v>
      </c>
      <c r="M100" s="112">
        <v>96.96</v>
      </c>
      <c r="N100" s="112">
        <v>0</v>
      </c>
      <c r="O100" s="112">
        <v>0</v>
      </c>
      <c r="P100" s="112">
        <v>0.94</v>
      </c>
      <c r="Q100" s="112">
        <v>4.58</v>
      </c>
    </row>
    <row r="101" spans="1:22" customFormat="1">
      <c r="A101" s="189" t="s">
        <v>619</v>
      </c>
      <c r="B101" s="112">
        <v>9.4600000000000009</v>
      </c>
      <c r="C101" s="112">
        <v>20.9</v>
      </c>
      <c r="D101" s="112">
        <v>19.86</v>
      </c>
      <c r="E101" s="112">
        <v>7.01</v>
      </c>
      <c r="F101" s="112">
        <v>4.3600000000000003</v>
      </c>
      <c r="G101" s="112">
        <v>28.59</v>
      </c>
      <c r="H101" s="112">
        <v>12.61</v>
      </c>
      <c r="I101" s="112">
        <v>6.71</v>
      </c>
      <c r="J101" s="112">
        <v>0.26</v>
      </c>
      <c r="K101" s="112">
        <v>45.42</v>
      </c>
      <c r="L101" s="112">
        <v>23.65</v>
      </c>
      <c r="M101" s="112">
        <v>97.26</v>
      </c>
      <c r="N101" s="112">
        <v>0</v>
      </c>
      <c r="O101" s="112">
        <v>0</v>
      </c>
      <c r="P101" s="112">
        <v>0.94</v>
      </c>
      <c r="Q101" s="112">
        <v>4.62</v>
      </c>
    </row>
    <row r="102" spans="1:22" customFormat="1">
      <c r="A102" s="189" t="s">
        <v>620</v>
      </c>
      <c r="B102" s="112">
        <v>9.8800000000000008</v>
      </c>
      <c r="C102" s="112">
        <v>21.63</v>
      </c>
      <c r="D102" s="112">
        <v>20.58</v>
      </c>
      <c r="E102" s="112">
        <v>7.39</v>
      </c>
      <c r="F102" s="112">
        <v>3.99</v>
      </c>
      <c r="G102" s="112">
        <v>28.59</v>
      </c>
      <c r="H102" s="112">
        <v>12.61</v>
      </c>
      <c r="I102" s="112">
        <v>6.59</v>
      </c>
      <c r="J102" s="112">
        <v>0.46</v>
      </c>
      <c r="K102" s="112">
        <v>41.2</v>
      </c>
      <c r="L102" s="112">
        <v>23.62</v>
      </c>
      <c r="M102" s="112">
        <v>97.33</v>
      </c>
      <c r="N102" s="112">
        <v>0</v>
      </c>
      <c r="O102" s="112">
        <v>0</v>
      </c>
      <c r="P102" s="112">
        <v>0.95</v>
      </c>
      <c r="Q102" s="112">
        <v>4.66</v>
      </c>
    </row>
    <row r="103" spans="1:22" customFormat="1">
      <c r="A103" s="189" t="s">
        <v>621</v>
      </c>
      <c r="B103" s="112">
        <v>10.36</v>
      </c>
      <c r="C103" s="112">
        <v>20.440000000000001</v>
      </c>
      <c r="D103" s="112">
        <v>20.34</v>
      </c>
      <c r="E103" s="112">
        <v>6.7</v>
      </c>
      <c r="F103" s="112">
        <v>4.71</v>
      </c>
      <c r="G103" s="112">
        <v>28.59</v>
      </c>
      <c r="H103" s="112">
        <v>12.61</v>
      </c>
      <c r="I103" s="112">
        <v>6.56</v>
      </c>
      <c r="J103" s="112">
        <v>0.42</v>
      </c>
      <c r="K103" s="112">
        <v>45.29</v>
      </c>
      <c r="L103" s="112">
        <v>23.59</v>
      </c>
      <c r="M103" s="112">
        <v>97.13</v>
      </c>
      <c r="N103" s="112">
        <v>0</v>
      </c>
      <c r="O103" s="112">
        <v>0</v>
      </c>
      <c r="P103" s="112">
        <v>0.92</v>
      </c>
      <c r="Q103" s="112">
        <v>4.66</v>
      </c>
    </row>
    <row r="104" spans="1:22" customFormat="1">
      <c r="A104" s="189" t="s">
        <v>622</v>
      </c>
      <c r="B104" s="112">
        <v>10.31</v>
      </c>
      <c r="C104" s="112">
        <v>21.1</v>
      </c>
      <c r="D104" s="112">
        <v>20.64</v>
      </c>
      <c r="E104" s="112">
        <v>6.47</v>
      </c>
      <c r="F104" s="112">
        <v>4.2699999999999996</v>
      </c>
      <c r="G104" s="112">
        <v>24.34</v>
      </c>
      <c r="H104" s="112">
        <v>11.35</v>
      </c>
      <c r="I104" s="112">
        <v>6.53</v>
      </c>
      <c r="J104" s="112">
        <v>0.34</v>
      </c>
      <c r="K104" s="112">
        <v>44.65</v>
      </c>
      <c r="L104" s="112">
        <v>23.48</v>
      </c>
      <c r="M104" s="112">
        <v>96.66</v>
      </c>
      <c r="N104" s="112">
        <v>0</v>
      </c>
      <c r="O104" s="112">
        <v>0</v>
      </c>
      <c r="P104" s="112">
        <v>0.92</v>
      </c>
      <c r="Q104" s="112">
        <v>4.6900000000000004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4.16</v>
      </c>
      <c r="C106" s="183">
        <f>MIN(C9:C104)</f>
        <v>14.72</v>
      </c>
      <c r="D106" s="183">
        <f t="shared" ref="D106:Q106" si="0">MIN(D9:D104)</f>
        <v>12.38</v>
      </c>
      <c r="E106" s="183">
        <f t="shared" si="0"/>
        <v>5.47</v>
      </c>
      <c r="F106" s="183">
        <f t="shared" si="0"/>
        <v>3.59</v>
      </c>
      <c r="G106" s="183">
        <f t="shared" si="0"/>
        <v>3.62</v>
      </c>
      <c r="H106" s="183">
        <f t="shared" si="0"/>
        <v>1.6</v>
      </c>
      <c r="I106" s="183">
        <f t="shared" si="0"/>
        <v>4.37</v>
      </c>
      <c r="J106" s="183">
        <f t="shared" si="0"/>
        <v>0.01</v>
      </c>
      <c r="K106" s="183">
        <f t="shared" si="0"/>
        <v>27.96</v>
      </c>
      <c r="L106" s="183">
        <f t="shared" si="0"/>
        <v>23.15</v>
      </c>
      <c r="M106" s="183">
        <f t="shared" si="0"/>
        <v>79.069999999999993</v>
      </c>
      <c r="N106" s="183">
        <f t="shared" si="0"/>
        <v>0</v>
      </c>
      <c r="O106" s="183">
        <f t="shared" si="0"/>
        <v>0</v>
      </c>
      <c r="P106" s="183">
        <f t="shared" si="0"/>
        <v>0.55000000000000004</v>
      </c>
      <c r="Q106" s="183">
        <f t="shared" si="0"/>
        <v>4.17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12.36</v>
      </c>
      <c r="C107" s="184">
        <f t="shared" ref="C107:Q107" si="1">MAX(C9:C104)</f>
        <v>21.63</v>
      </c>
      <c r="D107" s="184">
        <f t="shared" si="1"/>
        <v>21.48</v>
      </c>
      <c r="E107" s="184">
        <f t="shared" si="1"/>
        <v>11.38</v>
      </c>
      <c r="F107" s="184">
        <f t="shared" si="1"/>
        <v>17.760000000000002</v>
      </c>
      <c r="G107" s="184">
        <f t="shared" si="1"/>
        <v>40.39</v>
      </c>
      <c r="H107" s="184">
        <f t="shared" si="1"/>
        <v>16.13</v>
      </c>
      <c r="I107" s="184">
        <f t="shared" si="1"/>
        <v>8.4</v>
      </c>
      <c r="J107" s="184">
        <f t="shared" si="1"/>
        <v>0.89</v>
      </c>
      <c r="K107" s="184">
        <f t="shared" si="1"/>
        <v>355.11</v>
      </c>
      <c r="L107" s="184">
        <f t="shared" si="1"/>
        <v>29.7</v>
      </c>
      <c r="M107" s="184">
        <f t="shared" si="1"/>
        <v>101.56</v>
      </c>
      <c r="N107" s="184">
        <f t="shared" si="1"/>
        <v>356</v>
      </c>
      <c r="O107" s="184">
        <f t="shared" si="1"/>
        <v>3.8</v>
      </c>
      <c r="P107" s="184">
        <f t="shared" si="1"/>
        <v>1.21</v>
      </c>
      <c r="Q107" s="184">
        <f t="shared" si="1"/>
        <v>4.8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8.2954166666666662</v>
      </c>
      <c r="C108" s="183">
        <f t="shared" ref="C108:Q108" si="2">AVERAGE(C9:C104)</f>
        <v>18.194791666666671</v>
      </c>
      <c r="D108" s="183">
        <f t="shared" si="2"/>
        <v>17.509479166666669</v>
      </c>
      <c r="E108" s="183">
        <f t="shared" si="2"/>
        <v>7.9597916666666677</v>
      </c>
      <c r="F108" s="183">
        <f t="shared" si="2"/>
        <v>5.916354166666669</v>
      </c>
      <c r="G108" s="183">
        <f t="shared" si="2"/>
        <v>26.102187499999996</v>
      </c>
      <c r="H108" s="183">
        <f t="shared" si="2"/>
        <v>9.2986458333333406</v>
      </c>
      <c r="I108" s="183">
        <f t="shared" si="2"/>
        <v>5.7428125000000003</v>
      </c>
      <c r="J108" s="183">
        <f t="shared" si="2"/>
        <v>0.25812500000000016</v>
      </c>
      <c r="K108" s="183">
        <f t="shared" si="2"/>
        <v>203.96510416666661</v>
      </c>
      <c r="L108" s="183">
        <f t="shared" si="2"/>
        <v>25.634583333333339</v>
      </c>
      <c r="M108" s="183">
        <f t="shared" si="2"/>
        <v>93.724166666666676</v>
      </c>
      <c r="N108" s="183">
        <f t="shared" si="2"/>
        <v>75.981250000000003</v>
      </c>
      <c r="O108" s="183">
        <f t="shared" si="2"/>
        <v>0.17916666666666667</v>
      </c>
      <c r="P108" s="183">
        <f t="shared" si="2"/>
        <v>0.76343749999999977</v>
      </c>
      <c r="Q108" s="183">
        <f t="shared" si="2"/>
        <v>4.462083333333335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2.4004639536936327</v>
      </c>
      <c r="C109" s="183">
        <f t="shared" ref="C109:Q109" si="3">STDEV(C9:C104)</f>
        <v>1.43239657781647</v>
      </c>
      <c r="D109" s="183">
        <f t="shared" si="3"/>
        <v>2.4436919307050329</v>
      </c>
      <c r="E109" s="183">
        <f t="shared" si="3"/>
        <v>1.1864151924060575</v>
      </c>
      <c r="F109" s="183">
        <f t="shared" si="3"/>
        <v>2.8374418129129335</v>
      </c>
      <c r="G109" s="183">
        <f t="shared" si="3"/>
        <v>11.263877728396325</v>
      </c>
      <c r="H109" s="183">
        <f t="shared" si="3"/>
        <v>4.5798569547396415</v>
      </c>
      <c r="I109" s="183">
        <f t="shared" si="3"/>
        <v>1.0455406087157391</v>
      </c>
      <c r="J109" s="183">
        <f t="shared" si="3"/>
        <v>0.15911143066549605</v>
      </c>
      <c r="K109" s="183">
        <f t="shared" si="3"/>
        <v>92.322595466512212</v>
      </c>
      <c r="L109" s="183">
        <f t="shared" si="3"/>
        <v>2.2032726456062681</v>
      </c>
      <c r="M109" s="183">
        <f t="shared" si="3"/>
        <v>7.0064222669245417</v>
      </c>
      <c r="N109" s="183">
        <f t="shared" si="3"/>
        <v>109.7826276281788</v>
      </c>
      <c r="O109" s="183">
        <f t="shared" si="3"/>
        <v>0.58289958811493536</v>
      </c>
      <c r="P109" s="183">
        <f t="shared" si="3"/>
        <v>0.17920190391963284</v>
      </c>
      <c r="Q109" s="183">
        <f t="shared" si="3"/>
        <v>0.1915747300479729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05/09/2023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623</v>
      </c>
      <c r="B9" s="112">
        <v>11.25</v>
      </c>
      <c r="C9" s="112">
        <v>21.78</v>
      </c>
      <c r="D9" s="112">
        <v>21.75</v>
      </c>
      <c r="E9" s="112">
        <v>7.03</v>
      </c>
      <c r="F9" s="112">
        <v>3.97</v>
      </c>
      <c r="G9" s="112">
        <v>24.14</v>
      </c>
      <c r="H9" s="112">
        <v>11.35</v>
      </c>
      <c r="I9" s="112">
        <v>6.47</v>
      </c>
      <c r="J9" s="112">
        <v>0.28000000000000003</v>
      </c>
      <c r="K9" s="112">
        <v>56.48</v>
      </c>
      <c r="L9" s="112">
        <v>23.47</v>
      </c>
      <c r="M9" s="112">
        <v>97.02</v>
      </c>
      <c r="N9" s="112">
        <v>0</v>
      </c>
      <c r="O9" s="112">
        <v>0</v>
      </c>
      <c r="P9" s="112">
        <v>0.91</v>
      </c>
      <c r="Q9" s="112">
        <v>4.71</v>
      </c>
    </row>
    <row r="10" spans="1:21" customFormat="1">
      <c r="A10" s="189" t="s">
        <v>624</v>
      </c>
      <c r="B10" s="112">
        <v>11.47</v>
      </c>
      <c r="C10" s="112">
        <v>20.57</v>
      </c>
      <c r="D10" s="112">
        <v>21.29</v>
      </c>
      <c r="E10" s="112">
        <v>7.01</v>
      </c>
      <c r="F10" s="112">
        <v>4.58</v>
      </c>
      <c r="G10" s="112">
        <v>24.14</v>
      </c>
      <c r="H10" s="112">
        <v>11.35</v>
      </c>
      <c r="I10" s="112">
        <v>6.43</v>
      </c>
      <c r="J10" s="112">
        <v>0.18</v>
      </c>
      <c r="K10" s="112">
        <v>74.47</v>
      </c>
      <c r="L10" s="112">
        <v>23.57</v>
      </c>
      <c r="M10" s="112">
        <v>97.42</v>
      </c>
      <c r="N10" s="112">
        <v>0</v>
      </c>
      <c r="O10" s="112">
        <v>0</v>
      </c>
      <c r="P10" s="112">
        <v>0.89</v>
      </c>
      <c r="Q10" s="112">
        <v>4.67</v>
      </c>
    </row>
    <row r="11" spans="1:21" customFormat="1">
      <c r="A11" s="189" t="s">
        <v>625</v>
      </c>
      <c r="B11" s="112">
        <v>11.48</v>
      </c>
      <c r="C11" s="112">
        <v>20.6</v>
      </c>
      <c r="D11" s="112">
        <v>21.32</v>
      </c>
      <c r="E11" s="112">
        <v>6.57</v>
      </c>
      <c r="F11" s="112">
        <v>4.3899999999999997</v>
      </c>
      <c r="G11" s="112">
        <v>24.14</v>
      </c>
      <c r="H11" s="112">
        <v>11.35</v>
      </c>
      <c r="I11" s="112">
        <v>6.37</v>
      </c>
      <c r="J11" s="112">
        <v>0.06</v>
      </c>
      <c r="K11" s="112">
        <v>165</v>
      </c>
      <c r="L11" s="112">
        <v>23.74</v>
      </c>
      <c r="M11" s="112">
        <v>98.27</v>
      </c>
      <c r="N11" s="112">
        <v>0</v>
      </c>
      <c r="O11" s="112">
        <v>0</v>
      </c>
      <c r="P11" s="112">
        <v>0.88</v>
      </c>
      <c r="Q11" s="112">
        <v>4.67</v>
      </c>
    </row>
    <row r="12" spans="1:21" customFormat="1">
      <c r="A12" s="189" t="s">
        <v>626</v>
      </c>
      <c r="B12" s="112">
        <v>11.74</v>
      </c>
      <c r="C12" s="112">
        <v>21.28</v>
      </c>
      <c r="D12" s="112">
        <v>21.88</v>
      </c>
      <c r="E12" s="112">
        <v>7.07</v>
      </c>
      <c r="F12" s="112">
        <v>3.79</v>
      </c>
      <c r="G12" s="112">
        <v>26.73</v>
      </c>
      <c r="H12" s="112">
        <v>8.31</v>
      </c>
      <c r="I12" s="112">
        <v>6.25</v>
      </c>
      <c r="J12" s="112">
        <v>0.11</v>
      </c>
      <c r="K12" s="112">
        <v>288.58999999999997</v>
      </c>
      <c r="L12" s="112">
        <v>23.76</v>
      </c>
      <c r="M12" s="112">
        <v>98.25</v>
      </c>
      <c r="N12" s="112">
        <v>0</v>
      </c>
      <c r="O12" s="112">
        <v>0</v>
      </c>
      <c r="P12" s="112">
        <v>0.89</v>
      </c>
      <c r="Q12" s="112">
        <v>4.7300000000000004</v>
      </c>
    </row>
    <row r="13" spans="1:21" customFormat="1">
      <c r="A13" s="189" t="s">
        <v>627</v>
      </c>
      <c r="B13" s="112">
        <v>11.92</v>
      </c>
      <c r="C13" s="112">
        <v>20.2</v>
      </c>
      <c r="D13" s="112">
        <v>21.46</v>
      </c>
      <c r="E13" s="112">
        <v>6.65</v>
      </c>
      <c r="F13" s="112">
        <v>4.43</v>
      </c>
      <c r="G13" s="112">
        <v>26.89</v>
      </c>
      <c r="H13" s="112">
        <v>8.31</v>
      </c>
      <c r="I13" s="112">
        <v>6.17</v>
      </c>
      <c r="J13" s="112">
        <v>0.08</v>
      </c>
      <c r="K13" s="112">
        <v>309.79000000000002</v>
      </c>
      <c r="L13" s="112">
        <v>23.75</v>
      </c>
      <c r="M13" s="112">
        <v>97.87</v>
      </c>
      <c r="N13" s="112">
        <v>0</v>
      </c>
      <c r="O13" s="112">
        <v>0</v>
      </c>
      <c r="P13" s="112">
        <v>0.86</v>
      </c>
      <c r="Q13" s="112">
        <v>4.72</v>
      </c>
    </row>
    <row r="14" spans="1:21" customFormat="1">
      <c r="A14" s="189" t="s">
        <v>628</v>
      </c>
      <c r="B14" s="112">
        <v>11.79</v>
      </c>
      <c r="C14" s="112">
        <v>20.239999999999998</v>
      </c>
      <c r="D14" s="112">
        <v>21.38</v>
      </c>
      <c r="E14" s="112">
        <v>6.7</v>
      </c>
      <c r="F14" s="112">
        <v>4.37</v>
      </c>
      <c r="G14" s="112">
        <v>26.89</v>
      </c>
      <c r="H14" s="112">
        <v>8.31</v>
      </c>
      <c r="I14" s="112">
        <v>6.16</v>
      </c>
      <c r="J14" s="112">
        <v>0.1</v>
      </c>
      <c r="K14" s="112">
        <v>213.21</v>
      </c>
      <c r="L14" s="112">
        <v>23.81</v>
      </c>
      <c r="M14" s="112">
        <v>97.55</v>
      </c>
      <c r="N14" s="112">
        <v>0</v>
      </c>
      <c r="O14" s="112">
        <v>0</v>
      </c>
      <c r="P14" s="112">
        <v>0.85</v>
      </c>
      <c r="Q14" s="112">
        <v>4.68</v>
      </c>
    </row>
    <row r="15" spans="1:21" customFormat="1">
      <c r="A15" s="189" t="s">
        <v>629</v>
      </c>
      <c r="B15" s="112">
        <v>11.8</v>
      </c>
      <c r="C15" s="112">
        <v>20.98</v>
      </c>
      <c r="D15" s="112">
        <v>21.77</v>
      </c>
      <c r="E15" s="112">
        <v>6.97</v>
      </c>
      <c r="F15" s="112">
        <v>3.98</v>
      </c>
      <c r="G15" s="112">
        <v>26.89</v>
      </c>
      <c r="H15" s="112">
        <v>8.31</v>
      </c>
      <c r="I15" s="112">
        <v>6.07</v>
      </c>
      <c r="J15" s="112">
        <v>0.09</v>
      </c>
      <c r="K15" s="112">
        <v>324</v>
      </c>
      <c r="L15" s="112">
        <v>23.87</v>
      </c>
      <c r="M15" s="112">
        <v>97.68</v>
      </c>
      <c r="N15" s="112">
        <v>0</v>
      </c>
      <c r="O15" s="112">
        <v>0.4</v>
      </c>
      <c r="P15" s="112">
        <v>0.86</v>
      </c>
      <c r="Q15" s="112">
        <v>4.74</v>
      </c>
    </row>
    <row r="16" spans="1:21" customFormat="1">
      <c r="A16" s="189" t="s">
        <v>630</v>
      </c>
      <c r="B16" s="112">
        <v>11.87</v>
      </c>
      <c r="C16" s="112">
        <v>19.88</v>
      </c>
      <c r="D16" s="112">
        <v>21.25</v>
      </c>
      <c r="E16" s="112">
        <v>6.76</v>
      </c>
      <c r="F16" s="112">
        <v>4.8</v>
      </c>
      <c r="G16" s="112">
        <v>21.09</v>
      </c>
      <c r="H16" s="112">
        <v>6.06</v>
      </c>
      <c r="I16" s="112">
        <v>5.95</v>
      </c>
      <c r="J16" s="112">
        <v>0.08</v>
      </c>
      <c r="K16" s="112">
        <v>313.37</v>
      </c>
      <c r="L16" s="112">
        <v>23.84</v>
      </c>
      <c r="M16" s="112">
        <v>97.84</v>
      </c>
      <c r="N16" s="112">
        <v>0</v>
      </c>
      <c r="O16" s="112">
        <v>0</v>
      </c>
      <c r="P16" s="112">
        <v>0.83</v>
      </c>
      <c r="Q16" s="112">
        <v>4.67</v>
      </c>
    </row>
    <row r="17" spans="1:17" customFormat="1">
      <c r="A17" s="189" t="s">
        <v>631</v>
      </c>
      <c r="B17" s="112">
        <v>11.97</v>
      </c>
      <c r="C17" s="112">
        <v>20.100000000000001</v>
      </c>
      <c r="D17" s="112">
        <v>21.45</v>
      </c>
      <c r="E17" s="112">
        <v>8.01</v>
      </c>
      <c r="F17" s="112">
        <v>4.41</v>
      </c>
      <c r="G17" s="112">
        <v>20.75</v>
      </c>
      <c r="H17" s="112">
        <v>6.06</v>
      </c>
      <c r="I17" s="112">
        <v>5.9</v>
      </c>
      <c r="J17" s="112">
        <v>0.23</v>
      </c>
      <c r="K17" s="112">
        <v>269.12</v>
      </c>
      <c r="L17" s="112">
        <v>23.78</v>
      </c>
      <c r="M17" s="112">
        <v>97.97</v>
      </c>
      <c r="N17" s="112">
        <v>0</v>
      </c>
      <c r="O17" s="112">
        <v>0.2</v>
      </c>
      <c r="P17" s="112">
        <v>0.83</v>
      </c>
      <c r="Q17" s="112">
        <v>4.6500000000000004</v>
      </c>
    </row>
    <row r="18" spans="1:17" customFormat="1">
      <c r="A18" s="189" t="s">
        <v>632</v>
      </c>
      <c r="B18" s="112">
        <v>12.15</v>
      </c>
      <c r="C18" s="112">
        <v>20.81</v>
      </c>
      <c r="D18" s="112">
        <v>21.97</v>
      </c>
      <c r="E18" s="112">
        <v>9.44</v>
      </c>
      <c r="F18" s="112">
        <v>3.95</v>
      </c>
      <c r="G18" s="112">
        <v>20.75</v>
      </c>
      <c r="H18" s="112">
        <v>6.06</v>
      </c>
      <c r="I18" s="112">
        <v>5.73</v>
      </c>
      <c r="J18" s="112">
        <v>0.26</v>
      </c>
      <c r="K18" s="112">
        <v>297.18</v>
      </c>
      <c r="L18" s="112">
        <v>23.77</v>
      </c>
      <c r="M18" s="112">
        <v>98.1</v>
      </c>
      <c r="N18" s="112">
        <v>0</v>
      </c>
      <c r="O18" s="112">
        <v>0</v>
      </c>
      <c r="P18" s="112">
        <v>0.84</v>
      </c>
      <c r="Q18" s="112">
        <v>4.71</v>
      </c>
    </row>
    <row r="19" spans="1:17" customFormat="1">
      <c r="A19" s="189" t="s">
        <v>633</v>
      </c>
      <c r="B19" s="112">
        <v>12.22</v>
      </c>
      <c r="C19" s="112">
        <v>19.54</v>
      </c>
      <c r="D19" s="112">
        <v>21.36</v>
      </c>
      <c r="E19" s="112">
        <v>8.7899999999999991</v>
      </c>
      <c r="F19" s="112">
        <v>4.95</v>
      </c>
      <c r="G19" s="112">
        <v>20.75</v>
      </c>
      <c r="H19" s="112">
        <v>6.06</v>
      </c>
      <c r="I19" s="112">
        <v>5.76</v>
      </c>
      <c r="J19" s="112">
        <v>0.22</v>
      </c>
      <c r="K19" s="112">
        <v>310.77999999999997</v>
      </c>
      <c r="L19" s="112">
        <v>23.73</v>
      </c>
      <c r="M19" s="112">
        <v>98.15</v>
      </c>
      <c r="N19" s="112">
        <v>0</v>
      </c>
      <c r="O19" s="112">
        <v>0</v>
      </c>
      <c r="P19" s="112">
        <v>0.8</v>
      </c>
      <c r="Q19" s="112">
        <v>4.6900000000000004</v>
      </c>
    </row>
    <row r="20" spans="1:17" customFormat="1">
      <c r="A20" s="189" t="s">
        <v>634</v>
      </c>
      <c r="B20" s="112">
        <v>12.06</v>
      </c>
      <c r="C20" s="112">
        <v>20.22</v>
      </c>
      <c r="D20" s="112">
        <v>21.58</v>
      </c>
      <c r="E20" s="112">
        <v>9.58</v>
      </c>
      <c r="F20" s="112">
        <v>4.71</v>
      </c>
      <c r="G20" s="112">
        <v>20.52</v>
      </c>
      <c r="H20" s="112">
        <v>4.6500000000000004</v>
      </c>
      <c r="I20" s="112">
        <v>5.73</v>
      </c>
      <c r="J20" s="112">
        <v>0.19</v>
      </c>
      <c r="K20" s="112">
        <v>288.07</v>
      </c>
      <c r="L20" s="112">
        <v>23.74</v>
      </c>
      <c r="M20" s="112">
        <v>98.16</v>
      </c>
      <c r="N20" s="112">
        <v>0</v>
      </c>
      <c r="O20" s="112">
        <v>0</v>
      </c>
      <c r="P20" s="112">
        <v>0.8</v>
      </c>
      <c r="Q20" s="112">
        <v>4.6900000000000004</v>
      </c>
    </row>
    <row r="21" spans="1:17" customFormat="1">
      <c r="A21" s="189" t="s">
        <v>635</v>
      </c>
      <c r="B21" s="112">
        <v>12.42</v>
      </c>
      <c r="C21" s="112">
        <v>21.15</v>
      </c>
      <c r="D21" s="112">
        <v>22.36</v>
      </c>
      <c r="E21" s="112">
        <v>9.65</v>
      </c>
      <c r="F21" s="112">
        <v>4.09</v>
      </c>
      <c r="G21" s="112">
        <v>20.51</v>
      </c>
      <c r="H21" s="112">
        <v>4.6500000000000004</v>
      </c>
      <c r="I21" s="112">
        <v>5.61</v>
      </c>
      <c r="J21" s="112">
        <v>0.17</v>
      </c>
      <c r="K21" s="112">
        <v>274.58999999999997</v>
      </c>
      <c r="L21" s="112">
        <v>23.76</v>
      </c>
      <c r="M21" s="112">
        <v>98.32</v>
      </c>
      <c r="N21" s="112">
        <v>0</v>
      </c>
      <c r="O21" s="112">
        <v>0</v>
      </c>
      <c r="P21" s="112">
        <v>0.81</v>
      </c>
      <c r="Q21" s="112">
        <v>4.75</v>
      </c>
    </row>
    <row r="22" spans="1:17" customFormat="1">
      <c r="A22" s="189" t="s">
        <v>636</v>
      </c>
      <c r="B22" s="112">
        <v>12.77</v>
      </c>
      <c r="C22" s="112">
        <v>19.96</v>
      </c>
      <c r="D22" s="112">
        <v>22.02</v>
      </c>
      <c r="E22" s="112">
        <v>9.35</v>
      </c>
      <c r="F22" s="112">
        <v>4.3899999999999997</v>
      </c>
      <c r="G22" s="112">
        <v>20.51</v>
      </c>
      <c r="H22" s="112">
        <v>4.6500000000000004</v>
      </c>
      <c r="I22" s="112">
        <v>5.59</v>
      </c>
      <c r="J22" s="112">
        <v>0.19</v>
      </c>
      <c r="K22" s="112">
        <v>248.99</v>
      </c>
      <c r="L22" s="112">
        <v>23.78</v>
      </c>
      <c r="M22" s="112">
        <v>98.31</v>
      </c>
      <c r="N22" s="112">
        <v>0</v>
      </c>
      <c r="O22" s="112">
        <v>0</v>
      </c>
      <c r="P22" s="112">
        <v>0.79</v>
      </c>
      <c r="Q22" s="112">
        <v>4.74</v>
      </c>
    </row>
    <row r="23" spans="1:17" customFormat="1">
      <c r="A23" s="189" t="s">
        <v>637</v>
      </c>
      <c r="B23" s="112">
        <v>12.9</v>
      </c>
      <c r="C23" s="112">
        <v>20.399999999999999</v>
      </c>
      <c r="D23" s="112">
        <v>22.36</v>
      </c>
      <c r="E23" s="112">
        <v>9.2100000000000009</v>
      </c>
      <c r="F23" s="112">
        <v>4.05</v>
      </c>
      <c r="G23" s="112">
        <v>20.51</v>
      </c>
      <c r="H23" s="112">
        <v>4.6500000000000004</v>
      </c>
      <c r="I23" s="112">
        <v>5.64</v>
      </c>
      <c r="J23" s="112">
        <v>0.17</v>
      </c>
      <c r="K23" s="112">
        <v>240.81</v>
      </c>
      <c r="L23" s="112">
        <v>23.79</v>
      </c>
      <c r="M23" s="112">
        <v>98.62</v>
      </c>
      <c r="N23" s="112">
        <v>0</v>
      </c>
      <c r="O23" s="112">
        <v>0</v>
      </c>
      <c r="P23" s="112">
        <v>0.8</v>
      </c>
      <c r="Q23" s="112">
        <v>4.75</v>
      </c>
    </row>
    <row r="24" spans="1:17" customFormat="1">
      <c r="A24" s="189" t="s">
        <v>638</v>
      </c>
      <c r="B24" s="112">
        <v>13.32</v>
      </c>
      <c r="C24" s="112">
        <v>21.25</v>
      </c>
      <c r="D24" s="112">
        <v>23.14</v>
      </c>
      <c r="E24" s="112">
        <v>9.93</v>
      </c>
      <c r="F24" s="112">
        <v>3.91</v>
      </c>
      <c r="G24" s="112">
        <v>25.62</v>
      </c>
      <c r="H24" s="112">
        <v>8.74</v>
      </c>
      <c r="I24" s="112">
        <v>5.62</v>
      </c>
      <c r="J24" s="112">
        <v>0.11</v>
      </c>
      <c r="K24" s="112">
        <v>232.08</v>
      </c>
      <c r="L24" s="112">
        <v>23.78</v>
      </c>
      <c r="M24" s="112">
        <v>99.17</v>
      </c>
      <c r="N24" s="112">
        <v>0</v>
      </c>
      <c r="O24" s="112">
        <v>0</v>
      </c>
      <c r="P24" s="112">
        <v>0.81</v>
      </c>
      <c r="Q24" s="112">
        <v>4.82</v>
      </c>
    </row>
    <row r="25" spans="1:17" customFormat="1">
      <c r="A25" s="189" t="s">
        <v>639</v>
      </c>
      <c r="B25" s="112">
        <v>13.59</v>
      </c>
      <c r="C25" s="112">
        <v>20.36</v>
      </c>
      <c r="D25" s="112">
        <v>22.89</v>
      </c>
      <c r="E25" s="112">
        <v>9.35</v>
      </c>
      <c r="F25" s="112">
        <v>4.46</v>
      </c>
      <c r="G25" s="112">
        <v>25.92</v>
      </c>
      <c r="H25" s="112">
        <v>8.74</v>
      </c>
      <c r="I25" s="112">
        <v>5.71</v>
      </c>
      <c r="J25" s="112">
        <v>0.03</v>
      </c>
      <c r="K25" s="112">
        <v>49.68</v>
      </c>
      <c r="L25" s="112">
        <v>23.85</v>
      </c>
      <c r="M25" s="112">
        <v>99.09</v>
      </c>
      <c r="N25" s="112">
        <v>0</v>
      </c>
      <c r="O25" s="112">
        <v>0</v>
      </c>
      <c r="P25" s="112">
        <v>0.8</v>
      </c>
      <c r="Q25" s="112">
        <v>4.83</v>
      </c>
    </row>
    <row r="26" spans="1:17" customFormat="1">
      <c r="A26" s="189" t="s">
        <v>640</v>
      </c>
      <c r="B26" s="112">
        <v>13.84</v>
      </c>
      <c r="C26" s="112">
        <v>21.09</v>
      </c>
      <c r="D26" s="112">
        <v>23.47</v>
      </c>
      <c r="E26" s="112">
        <v>9.3800000000000008</v>
      </c>
      <c r="F26" s="112">
        <v>4</v>
      </c>
      <c r="G26" s="112">
        <v>25.92</v>
      </c>
      <c r="H26" s="112">
        <v>8.74</v>
      </c>
      <c r="I26" s="112">
        <v>5.8</v>
      </c>
      <c r="J26" s="112">
        <v>0.06</v>
      </c>
      <c r="K26" s="112">
        <v>182.8</v>
      </c>
      <c r="L26" s="112">
        <v>23.78</v>
      </c>
      <c r="M26" s="112">
        <v>98.77</v>
      </c>
      <c r="N26" s="112">
        <v>0</v>
      </c>
      <c r="O26" s="112">
        <v>0</v>
      </c>
      <c r="P26" s="112">
        <v>0.82</v>
      </c>
      <c r="Q26" s="112">
        <v>4.83</v>
      </c>
    </row>
    <row r="27" spans="1:17" customFormat="1">
      <c r="A27" s="189" t="s">
        <v>641</v>
      </c>
      <c r="B27" s="112">
        <v>14.25</v>
      </c>
      <c r="C27" s="112">
        <v>21.41</v>
      </c>
      <c r="D27" s="112">
        <v>23.96</v>
      </c>
      <c r="E27" s="112">
        <v>9.59</v>
      </c>
      <c r="F27" s="112">
        <v>4</v>
      </c>
      <c r="G27" s="112">
        <v>25.92</v>
      </c>
      <c r="H27" s="112">
        <v>8.74</v>
      </c>
      <c r="I27" s="112">
        <v>5.82</v>
      </c>
      <c r="J27" s="112">
        <v>0.11</v>
      </c>
      <c r="K27" s="112">
        <v>140.37</v>
      </c>
      <c r="L27" s="112">
        <v>23.89</v>
      </c>
      <c r="M27" s="112">
        <v>98.67</v>
      </c>
      <c r="N27" s="112">
        <v>0</v>
      </c>
      <c r="O27" s="112">
        <v>0</v>
      </c>
      <c r="P27" s="112">
        <v>0.83</v>
      </c>
      <c r="Q27" s="112">
        <v>4.8600000000000003</v>
      </c>
    </row>
    <row r="28" spans="1:17" customFormat="1">
      <c r="A28" s="189" t="s">
        <v>642</v>
      </c>
      <c r="B28" s="112">
        <v>14.53</v>
      </c>
      <c r="C28" s="112">
        <v>20.38</v>
      </c>
      <c r="D28" s="112">
        <v>23.65</v>
      </c>
      <c r="E28" s="112">
        <v>9.73</v>
      </c>
      <c r="F28" s="112">
        <v>4.55</v>
      </c>
      <c r="G28" s="112">
        <v>37.21</v>
      </c>
      <c r="H28" s="112">
        <v>12.87</v>
      </c>
      <c r="I28" s="112">
        <v>5.86</v>
      </c>
      <c r="J28" s="112">
        <v>0.12</v>
      </c>
      <c r="K28" s="112">
        <v>105.08</v>
      </c>
      <c r="L28" s="112">
        <v>23.92</v>
      </c>
      <c r="M28" s="112">
        <v>98.91</v>
      </c>
      <c r="N28" s="112">
        <v>0</v>
      </c>
      <c r="O28" s="112">
        <v>0</v>
      </c>
      <c r="P28" s="112">
        <v>0.81</v>
      </c>
      <c r="Q28" s="112">
        <v>4.87</v>
      </c>
    </row>
    <row r="29" spans="1:17" customFormat="1">
      <c r="A29" s="189" t="s">
        <v>643</v>
      </c>
      <c r="B29" s="112">
        <v>14.69</v>
      </c>
      <c r="C29" s="112">
        <v>21.64</v>
      </c>
      <c r="D29" s="112">
        <v>24.44</v>
      </c>
      <c r="E29" s="112">
        <v>9.61</v>
      </c>
      <c r="F29" s="112">
        <v>3.92</v>
      </c>
      <c r="G29" s="112">
        <v>37.869999999999997</v>
      </c>
      <c r="H29" s="112">
        <v>12.87</v>
      </c>
      <c r="I29" s="112">
        <v>5.89</v>
      </c>
      <c r="J29" s="112">
        <v>0.1</v>
      </c>
      <c r="K29" s="112">
        <v>106.7</v>
      </c>
      <c r="L29" s="112">
        <v>23.91</v>
      </c>
      <c r="M29" s="112">
        <v>99.21</v>
      </c>
      <c r="N29" s="112">
        <v>0</v>
      </c>
      <c r="O29" s="112">
        <v>0</v>
      </c>
      <c r="P29" s="112">
        <v>0.83</v>
      </c>
      <c r="Q29" s="112">
        <v>4.9000000000000004</v>
      </c>
    </row>
    <row r="30" spans="1:17" customFormat="1">
      <c r="A30" s="189" t="s">
        <v>644</v>
      </c>
      <c r="B30" s="112">
        <v>15.32</v>
      </c>
      <c r="C30" s="112">
        <v>21.8</v>
      </c>
      <c r="D30" s="112">
        <v>25.03</v>
      </c>
      <c r="E30" s="112">
        <v>9.27</v>
      </c>
      <c r="F30" s="112">
        <v>4.18</v>
      </c>
      <c r="G30" s="112">
        <v>37.869999999999997</v>
      </c>
      <c r="H30" s="112">
        <v>12.87</v>
      </c>
      <c r="I30" s="112">
        <v>5.92</v>
      </c>
      <c r="J30" s="112">
        <v>0.1</v>
      </c>
      <c r="K30" s="112">
        <v>146.68</v>
      </c>
      <c r="L30" s="112">
        <v>23.97</v>
      </c>
      <c r="M30" s="112">
        <v>98.6</v>
      </c>
      <c r="N30" s="112">
        <v>0</v>
      </c>
      <c r="O30" s="112">
        <v>0</v>
      </c>
      <c r="P30" s="112">
        <v>0.83</v>
      </c>
      <c r="Q30" s="112">
        <v>4.9800000000000004</v>
      </c>
    </row>
    <row r="31" spans="1:17" customFormat="1">
      <c r="A31" s="189" t="s">
        <v>645</v>
      </c>
      <c r="B31" s="112">
        <v>15.84</v>
      </c>
      <c r="C31" s="112">
        <v>20.67</v>
      </c>
      <c r="D31" s="112">
        <v>24.85</v>
      </c>
      <c r="E31" s="112">
        <v>9.1999999999999993</v>
      </c>
      <c r="F31" s="112">
        <v>4.5199999999999996</v>
      </c>
      <c r="G31" s="112">
        <v>37.869999999999997</v>
      </c>
      <c r="H31" s="112">
        <v>12.87</v>
      </c>
      <c r="I31" s="112">
        <v>6.02</v>
      </c>
      <c r="J31" s="112">
        <v>0.09</v>
      </c>
      <c r="K31" s="112">
        <v>117.1</v>
      </c>
      <c r="L31" s="112">
        <v>23.89</v>
      </c>
      <c r="M31" s="112">
        <v>98.33</v>
      </c>
      <c r="N31" s="112">
        <v>0</v>
      </c>
      <c r="O31" s="112">
        <v>0</v>
      </c>
      <c r="P31" s="112">
        <v>0.82</v>
      </c>
      <c r="Q31" s="112">
        <v>4.99</v>
      </c>
    </row>
    <row r="32" spans="1:17" customFormat="1">
      <c r="A32" s="189" t="s">
        <v>646</v>
      </c>
      <c r="B32" s="112">
        <v>15.95</v>
      </c>
      <c r="C32" s="112">
        <v>21.37</v>
      </c>
      <c r="D32" s="112">
        <v>25.31</v>
      </c>
      <c r="E32" s="112">
        <v>9.3000000000000007</v>
      </c>
      <c r="F32" s="112">
        <v>4.12</v>
      </c>
      <c r="G32" s="112">
        <v>57.49</v>
      </c>
      <c r="H32" s="112">
        <v>20.98</v>
      </c>
      <c r="I32" s="112">
        <v>6.18</v>
      </c>
      <c r="J32" s="112">
        <v>0.09</v>
      </c>
      <c r="K32" s="112">
        <v>93.5</v>
      </c>
      <c r="L32" s="112">
        <v>24.03</v>
      </c>
      <c r="M32" s="112">
        <v>98.72</v>
      </c>
      <c r="N32" s="112">
        <v>4</v>
      </c>
      <c r="O32" s="112">
        <v>0</v>
      </c>
      <c r="P32" s="112">
        <v>0.83</v>
      </c>
      <c r="Q32" s="112">
        <v>4.99</v>
      </c>
    </row>
    <row r="33" spans="1:17" customFormat="1">
      <c r="A33" s="189" t="s">
        <v>647</v>
      </c>
      <c r="B33" s="112">
        <v>16.37</v>
      </c>
      <c r="C33" s="112">
        <v>22.05</v>
      </c>
      <c r="D33" s="112">
        <v>26</v>
      </c>
      <c r="E33" s="112">
        <v>9.61</v>
      </c>
      <c r="F33" s="112">
        <v>3.91</v>
      </c>
      <c r="G33" s="112">
        <v>58.64</v>
      </c>
      <c r="H33" s="112">
        <v>20.98</v>
      </c>
      <c r="I33" s="112">
        <v>6.51</v>
      </c>
      <c r="J33" s="112">
        <v>0.1</v>
      </c>
      <c r="K33" s="112">
        <v>95.32</v>
      </c>
      <c r="L33" s="112">
        <v>24.14</v>
      </c>
      <c r="M33" s="112">
        <v>99.56</v>
      </c>
      <c r="N33" s="112">
        <v>18.399999999999999</v>
      </c>
      <c r="O33" s="112">
        <v>0</v>
      </c>
      <c r="P33" s="112">
        <v>0.85</v>
      </c>
      <c r="Q33" s="112">
        <v>5.05</v>
      </c>
    </row>
    <row r="34" spans="1:17" customFormat="1">
      <c r="A34" s="189" t="s">
        <v>648</v>
      </c>
      <c r="B34" s="112">
        <v>16.559999999999999</v>
      </c>
      <c r="C34" s="112">
        <v>22.22</v>
      </c>
      <c r="D34" s="112">
        <v>26.24</v>
      </c>
      <c r="E34" s="112">
        <v>10</v>
      </c>
      <c r="F34" s="112">
        <v>4.05</v>
      </c>
      <c r="G34" s="112">
        <v>58.64</v>
      </c>
      <c r="H34" s="112">
        <v>20.98</v>
      </c>
      <c r="I34" s="112">
        <v>6.78</v>
      </c>
      <c r="J34" s="112">
        <v>0.13</v>
      </c>
      <c r="K34" s="112">
        <v>59.74</v>
      </c>
      <c r="L34" s="112">
        <v>24.32</v>
      </c>
      <c r="M34" s="112">
        <v>99.15</v>
      </c>
      <c r="N34" s="112">
        <v>9.6999999999999993</v>
      </c>
      <c r="O34" s="112">
        <v>0</v>
      </c>
      <c r="P34" s="112">
        <v>0.87</v>
      </c>
      <c r="Q34" s="112">
        <v>5.05</v>
      </c>
    </row>
    <row r="35" spans="1:17" customFormat="1">
      <c r="A35" s="189" t="s">
        <v>649</v>
      </c>
      <c r="B35" s="112">
        <v>16.96</v>
      </c>
      <c r="C35" s="112">
        <v>21.25</v>
      </c>
      <c r="D35" s="112">
        <v>26.06</v>
      </c>
      <c r="E35" s="112">
        <v>9.6999999999999993</v>
      </c>
      <c r="F35" s="112">
        <v>4.63</v>
      </c>
      <c r="G35" s="112">
        <v>58.64</v>
      </c>
      <c r="H35" s="112">
        <v>20.98</v>
      </c>
      <c r="I35" s="112">
        <v>6.92</v>
      </c>
      <c r="J35" s="112">
        <v>0.23</v>
      </c>
      <c r="K35" s="112">
        <v>73.37</v>
      </c>
      <c r="L35" s="112">
        <v>24.32</v>
      </c>
      <c r="M35" s="112">
        <v>98.63</v>
      </c>
      <c r="N35" s="112">
        <v>11.6</v>
      </c>
      <c r="O35" s="112">
        <v>0</v>
      </c>
      <c r="P35" s="112">
        <v>0.87</v>
      </c>
      <c r="Q35" s="112">
        <v>5.07</v>
      </c>
    </row>
    <row r="36" spans="1:17" customFormat="1">
      <c r="A36" s="189" t="s">
        <v>650</v>
      </c>
      <c r="B36" s="112">
        <v>17.100000000000001</v>
      </c>
      <c r="C36" s="112">
        <v>20.98</v>
      </c>
      <c r="D36" s="112">
        <v>26.03</v>
      </c>
      <c r="E36" s="112">
        <v>9.4</v>
      </c>
      <c r="F36" s="112">
        <v>4.74</v>
      </c>
      <c r="G36" s="112">
        <v>70.540000000000006</v>
      </c>
      <c r="H36" s="112">
        <v>21.39</v>
      </c>
      <c r="I36" s="112">
        <v>7.04</v>
      </c>
      <c r="J36" s="112">
        <v>0.14000000000000001</v>
      </c>
      <c r="K36" s="112">
        <v>73.92</v>
      </c>
      <c r="L36" s="112">
        <v>24.4</v>
      </c>
      <c r="M36" s="112">
        <v>97.72</v>
      </c>
      <c r="N36" s="112">
        <v>21.9</v>
      </c>
      <c r="O36" s="112">
        <v>0</v>
      </c>
      <c r="P36" s="112">
        <v>0.86</v>
      </c>
      <c r="Q36" s="112">
        <v>5.08</v>
      </c>
    </row>
    <row r="37" spans="1:17" customFormat="1">
      <c r="A37" s="189" t="s">
        <v>651</v>
      </c>
      <c r="B37" s="112">
        <v>17.399999999999999</v>
      </c>
      <c r="C37" s="112">
        <v>22.57</v>
      </c>
      <c r="D37" s="112">
        <v>27.1</v>
      </c>
      <c r="E37" s="112">
        <v>9.3800000000000008</v>
      </c>
      <c r="F37" s="112">
        <v>3.77</v>
      </c>
      <c r="G37" s="112">
        <v>71.239999999999995</v>
      </c>
      <c r="H37" s="112">
        <v>21.39</v>
      </c>
      <c r="I37" s="112">
        <v>7.05</v>
      </c>
      <c r="J37" s="112">
        <v>0.44</v>
      </c>
      <c r="K37" s="112">
        <v>40.19</v>
      </c>
      <c r="L37" s="112">
        <v>24.51</v>
      </c>
      <c r="M37" s="112">
        <v>97.45</v>
      </c>
      <c r="N37" s="112">
        <v>43.1</v>
      </c>
      <c r="O37" s="112">
        <v>0</v>
      </c>
      <c r="P37" s="112">
        <v>0.87</v>
      </c>
      <c r="Q37" s="112">
        <v>5.13</v>
      </c>
    </row>
    <row r="38" spans="1:17" customFormat="1">
      <c r="A38" s="189" t="s">
        <v>652</v>
      </c>
      <c r="B38" s="112">
        <v>17.57</v>
      </c>
      <c r="C38" s="112">
        <v>21.56</v>
      </c>
      <c r="D38" s="112">
        <v>26.7</v>
      </c>
      <c r="E38" s="112">
        <v>9.5500000000000007</v>
      </c>
      <c r="F38" s="112">
        <v>4.59</v>
      </c>
      <c r="G38" s="112">
        <v>71.239999999999995</v>
      </c>
      <c r="H38" s="112">
        <v>21.39</v>
      </c>
      <c r="I38" s="112">
        <v>6.99</v>
      </c>
      <c r="J38" s="112">
        <v>0.48</v>
      </c>
      <c r="K38" s="112">
        <v>34.840000000000003</v>
      </c>
      <c r="L38" s="112">
        <v>24.72</v>
      </c>
      <c r="M38" s="112">
        <v>97.28</v>
      </c>
      <c r="N38" s="112">
        <v>80.8</v>
      </c>
      <c r="O38" s="112">
        <v>0</v>
      </c>
      <c r="P38" s="112">
        <v>0.86</v>
      </c>
      <c r="Q38" s="112">
        <v>5.1100000000000003</v>
      </c>
    </row>
    <row r="39" spans="1:17" customFormat="1">
      <c r="A39" s="189" t="s">
        <v>653</v>
      </c>
      <c r="B39" s="112">
        <v>17.829999999999998</v>
      </c>
      <c r="C39" s="112">
        <v>21.08</v>
      </c>
      <c r="D39" s="112">
        <v>26.66</v>
      </c>
      <c r="E39" s="112">
        <v>9.18</v>
      </c>
      <c r="F39" s="112">
        <v>5.04</v>
      </c>
      <c r="G39" s="112">
        <v>71.239999999999995</v>
      </c>
      <c r="H39" s="112">
        <v>21.39</v>
      </c>
      <c r="I39" s="112">
        <v>7.07</v>
      </c>
      <c r="J39" s="112">
        <v>0.48</v>
      </c>
      <c r="K39" s="112">
        <v>32.61</v>
      </c>
      <c r="L39" s="112">
        <v>25.23</v>
      </c>
      <c r="M39" s="112">
        <v>95.91</v>
      </c>
      <c r="N39" s="112">
        <v>141.30000000000001</v>
      </c>
      <c r="O39" s="112">
        <v>0</v>
      </c>
      <c r="P39" s="112">
        <v>0.85</v>
      </c>
      <c r="Q39" s="112">
        <v>5.12</v>
      </c>
    </row>
    <row r="40" spans="1:17" customFormat="1">
      <c r="A40" s="189" t="s">
        <v>654</v>
      </c>
      <c r="B40" s="112">
        <v>17.91</v>
      </c>
      <c r="C40" s="112">
        <v>21.86</v>
      </c>
      <c r="D40" s="112">
        <v>27.14</v>
      </c>
      <c r="E40" s="112">
        <v>9.6</v>
      </c>
      <c r="F40" s="112">
        <v>4.5999999999999996</v>
      </c>
      <c r="G40" s="112">
        <v>64.459999999999994</v>
      </c>
      <c r="H40" s="112">
        <v>21.78</v>
      </c>
      <c r="I40" s="112">
        <v>6.96</v>
      </c>
      <c r="J40" s="112">
        <v>0.4</v>
      </c>
      <c r="K40" s="112">
        <v>54.21</v>
      </c>
      <c r="L40" s="112">
        <v>25.49</v>
      </c>
      <c r="M40" s="112">
        <v>94.18</v>
      </c>
      <c r="N40" s="112">
        <v>97</v>
      </c>
      <c r="O40" s="112">
        <v>0</v>
      </c>
      <c r="P40" s="112">
        <v>0.85</v>
      </c>
      <c r="Q40" s="112">
        <v>5.15</v>
      </c>
    </row>
    <row r="41" spans="1:17" customFormat="1">
      <c r="A41" s="189" t="s">
        <v>655</v>
      </c>
      <c r="B41" s="112">
        <v>18.170000000000002</v>
      </c>
      <c r="C41" s="112">
        <v>22.86</v>
      </c>
      <c r="D41" s="112">
        <v>27.87</v>
      </c>
      <c r="E41" s="112">
        <v>9.8000000000000007</v>
      </c>
      <c r="F41" s="112">
        <v>4.0999999999999996</v>
      </c>
      <c r="G41" s="112">
        <v>64.06</v>
      </c>
      <c r="H41" s="112">
        <v>21.78</v>
      </c>
      <c r="I41" s="112">
        <v>6.88</v>
      </c>
      <c r="J41" s="112">
        <v>0.44</v>
      </c>
      <c r="K41" s="112">
        <v>44.91</v>
      </c>
      <c r="L41" s="112">
        <v>25.49</v>
      </c>
      <c r="M41" s="112">
        <v>93.24</v>
      </c>
      <c r="N41" s="112">
        <v>91</v>
      </c>
      <c r="O41" s="112">
        <v>0</v>
      </c>
      <c r="P41" s="112">
        <v>0.86</v>
      </c>
      <c r="Q41" s="112">
        <v>5.2</v>
      </c>
    </row>
    <row r="42" spans="1:17" customFormat="1">
      <c r="A42" s="189" t="s">
        <v>656</v>
      </c>
      <c r="B42" s="112">
        <v>18.45</v>
      </c>
      <c r="C42" s="112">
        <v>21.78</v>
      </c>
      <c r="D42" s="112">
        <v>27.53</v>
      </c>
      <c r="E42" s="112">
        <v>9.74</v>
      </c>
      <c r="F42" s="112">
        <v>4.7</v>
      </c>
      <c r="G42" s="112">
        <v>64.06</v>
      </c>
      <c r="H42" s="112">
        <v>21.78</v>
      </c>
      <c r="I42" s="112">
        <v>6.86</v>
      </c>
      <c r="J42" s="112">
        <v>0.4</v>
      </c>
      <c r="K42" s="112">
        <v>46.77</v>
      </c>
      <c r="L42" s="112">
        <v>25.73</v>
      </c>
      <c r="M42" s="112">
        <v>92.51</v>
      </c>
      <c r="N42" s="112">
        <v>150</v>
      </c>
      <c r="O42" s="112">
        <v>0</v>
      </c>
      <c r="P42" s="112">
        <v>0.84</v>
      </c>
      <c r="Q42" s="112">
        <v>5.22</v>
      </c>
    </row>
    <row r="43" spans="1:17" customFormat="1">
      <c r="A43" s="189" t="s">
        <v>657</v>
      </c>
      <c r="B43" s="112">
        <v>18.62</v>
      </c>
      <c r="C43" s="112">
        <v>21.33</v>
      </c>
      <c r="D43" s="112">
        <v>27.43</v>
      </c>
      <c r="E43" s="112">
        <v>10.38</v>
      </c>
      <c r="F43" s="112">
        <v>5.35</v>
      </c>
      <c r="G43" s="112">
        <v>64.06</v>
      </c>
      <c r="H43" s="112">
        <v>21.78</v>
      </c>
      <c r="I43" s="112">
        <v>6.86</v>
      </c>
      <c r="J43" s="112">
        <v>0.37</v>
      </c>
      <c r="K43" s="112">
        <v>29.26</v>
      </c>
      <c r="L43" s="112">
        <v>26.35</v>
      </c>
      <c r="M43" s="112">
        <v>90.58</v>
      </c>
      <c r="N43" s="112">
        <v>212</v>
      </c>
      <c r="O43" s="112">
        <v>0</v>
      </c>
      <c r="P43" s="112">
        <v>0.84</v>
      </c>
      <c r="Q43" s="112">
        <v>5.19</v>
      </c>
    </row>
    <row r="44" spans="1:17" customFormat="1">
      <c r="A44" s="189" t="s">
        <v>658</v>
      </c>
      <c r="B44" s="112">
        <v>18.37</v>
      </c>
      <c r="C44" s="112">
        <v>21.62</v>
      </c>
      <c r="D44" s="112">
        <v>27.37</v>
      </c>
      <c r="E44" s="112">
        <v>9.82</v>
      </c>
      <c r="F44" s="112">
        <v>5.29</v>
      </c>
      <c r="G44" s="112">
        <v>53.93</v>
      </c>
      <c r="H44" s="112">
        <v>17.25</v>
      </c>
      <c r="I44" s="112">
        <v>6.68</v>
      </c>
      <c r="J44" s="112">
        <v>0.4</v>
      </c>
      <c r="K44" s="112">
        <v>44.36</v>
      </c>
      <c r="L44" s="112">
        <v>26.98</v>
      </c>
      <c r="M44" s="112">
        <v>85.84</v>
      </c>
      <c r="N44" s="112">
        <v>259.8</v>
      </c>
      <c r="O44" s="112">
        <v>0</v>
      </c>
      <c r="P44" s="112">
        <v>0.84</v>
      </c>
      <c r="Q44" s="112">
        <v>5.2</v>
      </c>
    </row>
    <row r="45" spans="1:17" customFormat="1">
      <c r="A45" s="189" t="s">
        <v>659</v>
      </c>
      <c r="B45" s="112">
        <v>18.36</v>
      </c>
      <c r="C45" s="112">
        <v>23.58</v>
      </c>
      <c r="D45" s="112">
        <v>28.39</v>
      </c>
      <c r="E45" s="112">
        <v>9.8800000000000008</v>
      </c>
      <c r="F45" s="112">
        <v>4</v>
      </c>
      <c r="G45" s="112">
        <v>53.33</v>
      </c>
      <c r="H45" s="112">
        <v>17.25</v>
      </c>
      <c r="I45" s="112">
        <v>6.5</v>
      </c>
      <c r="J45" s="112">
        <v>0.12</v>
      </c>
      <c r="K45" s="112">
        <v>100.07</v>
      </c>
      <c r="L45" s="112">
        <v>27.24</v>
      </c>
      <c r="M45" s="112">
        <v>85.35</v>
      </c>
      <c r="N45" s="112">
        <v>167.9</v>
      </c>
      <c r="O45" s="112">
        <v>0</v>
      </c>
      <c r="P45" s="112">
        <v>0.85</v>
      </c>
      <c r="Q45" s="112">
        <v>5.23</v>
      </c>
    </row>
    <row r="46" spans="1:17" customFormat="1">
      <c r="A46" s="189" t="s">
        <v>660</v>
      </c>
      <c r="B46" s="112">
        <v>18.2</v>
      </c>
      <c r="C46" s="112">
        <v>22.35</v>
      </c>
      <c r="D46" s="112">
        <v>27.63</v>
      </c>
      <c r="E46" s="112">
        <v>10.210000000000001</v>
      </c>
      <c r="F46" s="112">
        <v>4.84</v>
      </c>
      <c r="G46" s="112">
        <v>53.33</v>
      </c>
      <c r="H46" s="112">
        <v>17.25</v>
      </c>
      <c r="I46" s="112">
        <v>6.52</v>
      </c>
      <c r="J46" s="112">
        <v>0.23</v>
      </c>
      <c r="K46" s="112">
        <v>79.930000000000007</v>
      </c>
      <c r="L46" s="112">
        <v>27.44</v>
      </c>
      <c r="M46" s="112">
        <v>84.66</v>
      </c>
      <c r="N46" s="112">
        <v>222.7</v>
      </c>
      <c r="O46" s="112">
        <v>0</v>
      </c>
      <c r="P46" s="112">
        <v>0.85</v>
      </c>
      <c r="Q46" s="112">
        <v>5.21</v>
      </c>
    </row>
    <row r="47" spans="1:17" customFormat="1">
      <c r="A47" s="189" t="s">
        <v>661</v>
      </c>
      <c r="B47" s="112">
        <v>17.97</v>
      </c>
      <c r="C47" s="112">
        <v>21.37</v>
      </c>
      <c r="D47" s="112">
        <v>26.92</v>
      </c>
      <c r="E47" s="112">
        <v>10.199999999999999</v>
      </c>
      <c r="F47" s="112">
        <v>5.31</v>
      </c>
      <c r="G47" s="112">
        <v>53.33</v>
      </c>
      <c r="H47" s="112">
        <v>17.25</v>
      </c>
      <c r="I47" s="112">
        <v>6.61</v>
      </c>
      <c r="J47" s="112">
        <v>0.24</v>
      </c>
      <c r="K47" s="112">
        <v>78.069999999999993</v>
      </c>
      <c r="L47" s="112">
        <v>27.27</v>
      </c>
      <c r="M47" s="112">
        <v>84.53</v>
      </c>
      <c r="N47" s="112">
        <v>100.9</v>
      </c>
      <c r="O47" s="112">
        <v>0</v>
      </c>
      <c r="P47" s="112">
        <v>0.84</v>
      </c>
      <c r="Q47" s="112">
        <v>5.18</v>
      </c>
    </row>
    <row r="48" spans="1:17" customFormat="1">
      <c r="A48" s="189" t="s">
        <v>662</v>
      </c>
      <c r="B48" s="112">
        <v>17.73</v>
      </c>
      <c r="C48" s="112">
        <v>21.02</v>
      </c>
      <c r="D48" s="112">
        <v>26.55</v>
      </c>
      <c r="E48" s="112">
        <v>10.43</v>
      </c>
      <c r="F48" s="112">
        <v>5.67</v>
      </c>
      <c r="G48" s="112">
        <v>46.27</v>
      </c>
      <c r="H48" s="112">
        <v>18.03</v>
      </c>
      <c r="I48" s="112">
        <v>6.45</v>
      </c>
      <c r="J48" s="112">
        <v>0.35</v>
      </c>
      <c r="K48" s="112">
        <v>62.97</v>
      </c>
      <c r="L48" s="112">
        <v>26.94</v>
      </c>
      <c r="M48" s="112">
        <v>85.3</v>
      </c>
      <c r="N48" s="112">
        <v>157.4</v>
      </c>
      <c r="O48" s="112">
        <v>0</v>
      </c>
      <c r="P48" s="112">
        <v>0.83</v>
      </c>
      <c r="Q48" s="112">
        <v>5.17</v>
      </c>
    </row>
    <row r="49" spans="1:17" customFormat="1">
      <c r="A49" s="189" t="s">
        <v>663</v>
      </c>
      <c r="B49" s="112">
        <v>17.22</v>
      </c>
      <c r="C49" s="112">
        <v>20.58</v>
      </c>
      <c r="D49" s="112">
        <v>25.92</v>
      </c>
      <c r="E49" s="112">
        <v>7.56</v>
      </c>
      <c r="F49" s="112">
        <v>5.98</v>
      </c>
      <c r="G49" s="112">
        <v>45.85</v>
      </c>
      <c r="H49" s="112">
        <v>18.03</v>
      </c>
      <c r="I49" s="112">
        <v>6.35</v>
      </c>
      <c r="J49" s="112">
        <v>0.17</v>
      </c>
      <c r="K49" s="112">
        <v>131.54</v>
      </c>
      <c r="L49" s="112">
        <v>27.27</v>
      </c>
      <c r="M49" s="112">
        <v>85.18</v>
      </c>
      <c r="N49" s="112">
        <v>147.19999999999999</v>
      </c>
      <c r="O49" s="112">
        <v>0</v>
      </c>
      <c r="P49" s="112">
        <v>0.8</v>
      </c>
      <c r="Q49" s="112">
        <v>5.15</v>
      </c>
    </row>
    <row r="50" spans="1:17" customFormat="1">
      <c r="A50" s="189" t="s">
        <v>664</v>
      </c>
      <c r="B50" s="112">
        <v>16.66</v>
      </c>
      <c r="C50" s="112">
        <v>20.260000000000002</v>
      </c>
      <c r="D50" s="112">
        <v>25.3</v>
      </c>
      <c r="E50" s="112">
        <v>8.9600000000000009</v>
      </c>
      <c r="F50" s="112">
        <v>6.2</v>
      </c>
      <c r="G50" s="112">
        <v>45.85</v>
      </c>
      <c r="H50" s="112">
        <v>18.03</v>
      </c>
      <c r="I50" s="112">
        <v>6.2</v>
      </c>
      <c r="J50" s="112">
        <v>0.43</v>
      </c>
      <c r="K50" s="112">
        <v>45.07</v>
      </c>
      <c r="L50" s="112">
        <v>27.43</v>
      </c>
      <c r="M50" s="112">
        <v>83.56</v>
      </c>
      <c r="N50" s="112">
        <v>196.6</v>
      </c>
      <c r="O50" s="112">
        <v>0</v>
      </c>
      <c r="P50" s="112">
        <v>0.81</v>
      </c>
      <c r="Q50" s="112">
        <v>5.08</v>
      </c>
    </row>
    <row r="51" spans="1:17" customFormat="1">
      <c r="A51" s="189" t="s">
        <v>665</v>
      </c>
      <c r="B51" s="112">
        <v>16.809999999999999</v>
      </c>
      <c r="C51" s="112">
        <v>21.68</v>
      </c>
      <c r="D51" s="112">
        <v>26.16</v>
      </c>
      <c r="E51" s="112">
        <v>8.5</v>
      </c>
      <c r="F51" s="112">
        <v>5.17</v>
      </c>
      <c r="G51" s="112">
        <v>45.85</v>
      </c>
      <c r="H51" s="112">
        <v>18.03</v>
      </c>
      <c r="I51" s="112">
        <v>6.13</v>
      </c>
      <c r="J51" s="112">
        <v>0.31</v>
      </c>
      <c r="K51" s="112">
        <v>60.14</v>
      </c>
      <c r="L51" s="112">
        <v>27.51</v>
      </c>
      <c r="M51" s="112">
        <v>82.9</v>
      </c>
      <c r="N51" s="112">
        <v>141.30000000000001</v>
      </c>
      <c r="O51" s="112">
        <v>0</v>
      </c>
      <c r="P51" s="112">
        <v>0.83</v>
      </c>
      <c r="Q51" s="112">
        <v>5.08</v>
      </c>
    </row>
    <row r="52" spans="1:17" customFormat="1">
      <c r="A52" s="189" t="s">
        <v>666</v>
      </c>
      <c r="B52" s="112">
        <v>16.809999999999999</v>
      </c>
      <c r="C52" s="112">
        <v>22.89</v>
      </c>
      <c r="D52" s="112">
        <v>26.8</v>
      </c>
      <c r="E52" s="112">
        <v>9.09</v>
      </c>
      <c r="F52" s="112">
        <v>4.37</v>
      </c>
      <c r="G52" s="112">
        <v>45.77</v>
      </c>
      <c r="H52" s="112">
        <v>16.79</v>
      </c>
      <c r="I52" s="112">
        <v>6.07</v>
      </c>
      <c r="J52" s="112">
        <v>0.24</v>
      </c>
      <c r="K52" s="112">
        <v>65.91</v>
      </c>
      <c r="L52" s="112">
        <v>27.52</v>
      </c>
      <c r="M52" s="112">
        <v>83.49</v>
      </c>
      <c r="N52" s="112">
        <v>189.2</v>
      </c>
      <c r="O52" s="112">
        <v>0</v>
      </c>
      <c r="P52" s="112">
        <v>0.85</v>
      </c>
      <c r="Q52" s="112">
        <v>5.15</v>
      </c>
    </row>
    <row r="53" spans="1:17" customFormat="1">
      <c r="A53" s="189" t="s">
        <v>667</v>
      </c>
      <c r="B53" s="112">
        <v>16.07</v>
      </c>
      <c r="C53" s="112">
        <v>22.25</v>
      </c>
      <c r="D53" s="112">
        <v>25.87</v>
      </c>
      <c r="E53" s="112">
        <v>9.39</v>
      </c>
      <c r="F53" s="112">
        <v>6.45</v>
      </c>
      <c r="G53" s="112">
        <v>45.77</v>
      </c>
      <c r="H53" s="112">
        <v>16.79</v>
      </c>
      <c r="I53" s="112">
        <v>6.1</v>
      </c>
      <c r="J53" s="112">
        <v>0.25</v>
      </c>
      <c r="K53" s="112">
        <v>168.89</v>
      </c>
      <c r="L53" s="112">
        <v>28.3</v>
      </c>
      <c r="M53" s="112">
        <v>80.17</v>
      </c>
      <c r="N53" s="112">
        <v>574.5</v>
      </c>
      <c r="O53" s="112">
        <v>0</v>
      </c>
      <c r="P53" s="112">
        <v>0.83</v>
      </c>
      <c r="Q53" s="112">
        <v>5.0999999999999996</v>
      </c>
    </row>
    <row r="54" spans="1:17" customFormat="1">
      <c r="A54" s="189" t="s">
        <v>668</v>
      </c>
      <c r="B54" s="112">
        <v>11.66</v>
      </c>
      <c r="C54" s="112">
        <v>20.27</v>
      </c>
      <c r="D54" s="112">
        <v>21.29</v>
      </c>
      <c r="E54" s="112">
        <v>14.84</v>
      </c>
      <c r="F54" s="112">
        <v>8.69</v>
      </c>
      <c r="G54" s="112">
        <v>45.77</v>
      </c>
      <c r="H54" s="112">
        <v>16.79</v>
      </c>
      <c r="I54" s="112">
        <v>6.12</v>
      </c>
      <c r="J54" s="112">
        <v>0.23</v>
      </c>
      <c r="K54" s="112">
        <v>160.85</v>
      </c>
      <c r="L54" s="112">
        <v>29.66</v>
      </c>
      <c r="M54" s="112">
        <v>75.62</v>
      </c>
      <c r="N54" s="112">
        <v>761</v>
      </c>
      <c r="O54" s="112">
        <v>0</v>
      </c>
      <c r="P54" s="112">
        <v>0.79</v>
      </c>
      <c r="Q54" s="112">
        <v>4.87</v>
      </c>
    </row>
    <row r="55" spans="1:17" customFormat="1">
      <c r="A55" s="189" t="s">
        <v>669</v>
      </c>
      <c r="B55" s="112">
        <v>7.4</v>
      </c>
      <c r="C55" s="112">
        <v>19.97</v>
      </c>
      <c r="D55" s="112">
        <v>17.72</v>
      </c>
      <c r="E55" s="112">
        <v>16.940000000000001</v>
      </c>
      <c r="F55" s="112">
        <v>10.95</v>
      </c>
      <c r="G55" s="112">
        <v>45.77</v>
      </c>
      <c r="H55" s="112">
        <v>16.79</v>
      </c>
      <c r="I55" s="112">
        <v>5.91</v>
      </c>
      <c r="J55" s="112">
        <v>0.19</v>
      </c>
      <c r="K55" s="112">
        <v>129.36000000000001</v>
      </c>
      <c r="L55" s="112">
        <v>30.02</v>
      </c>
      <c r="M55" s="112">
        <v>73.069999999999993</v>
      </c>
      <c r="N55" s="112">
        <v>749.1</v>
      </c>
      <c r="O55" s="112">
        <v>0</v>
      </c>
      <c r="P55" s="112">
        <v>0.76</v>
      </c>
      <c r="Q55" s="112">
        <v>4.62</v>
      </c>
    </row>
    <row r="56" spans="1:17" customFormat="1">
      <c r="A56" s="189" t="s">
        <v>670</v>
      </c>
      <c r="B56" s="112">
        <v>4.75</v>
      </c>
      <c r="C56" s="112">
        <v>19.920000000000002</v>
      </c>
      <c r="D56" s="112">
        <v>15.57</v>
      </c>
      <c r="E56" s="112">
        <v>17.7</v>
      </c>
      <c r="F56" s="112">
        <v>12.99</v>
      </c>
      <c r="G56" s="112">
        <v>42.98</v>
      </c>
      <c r="H56" s="112">
        <v>17.41</v>
      </c>
      <c r="I56" s="112">
        <v>5.27</v>
      </c>
      <c r="J56" s="112">
        <v>0.08</v>
      </c>
      <c r="K56" s="112">
        <v>104.92</v>
      </c>
      <c r="L56" s="112">
        <v>30.31</v>
      </c>
      <c r="M56" s="112">
        <v>73.56</v>
      </c>
      <c r="N56" s="112">
        <v>779.6</v>
      </c>
      <c r="O56" s="112">
        <v>0</v>
      </c>
      <c r="P56" s="112">
        <v>0.74</v>
      </c>
      <c r="Q56" s="112">
        <v>4.4000000000000004</v>
      </c>
    </row>
    <row r="57" spans="1:17" customFormat="1">
      <c r="A57" s="189" t="s">
        <v>671</v>
      </c>
      <c r="B57" s="112">
        <v>3.71</v>
      </c>
      <c r="C57" s="112">
        <v>19.149999999999999</v>
      </c>
      <c r="D57" s="112">
        <v>14.34</v>
      </c>
      <c r="E57" s="112">
        <v>17.12</v>
      </c>
      <c r="F57" s="112">
        <v>19.29</v>
      </c>
      <c r="G57" s="112">
        <v>42.81</v>
      </c>
      <c r="H57" s="112">
        <v>17.41</v>
      </c>
      <c r="I57" s="112">
        <v>4.84</v>
      </c>
      <c r="J57" s="112">
        <v>0.28000000000000003</v>
      </c>
      <c r="K57" s="112">
        <v>167.19</v>
      </c>
      <c r="L57" s="112">
        <v>30.83</v>
      </c>
      <c r="M57" s="112">
        <v>71.27</v>
      </c>
      <c r="N57" s="112">
        <v>602.6</v>
      </c>
      <c r="O57" s="112">
        <v>0</v>
      </c>
      <c r="P57" s="112">
        <v>0.71</v>
      </c>
      <c r="Q57" s="112">
        <v>4.3099999999999996</v>
      </c>
    </row>
    <row r="58" spans="1:17" customFormat="1">
      <c r="A58" s="189" t="s">
        <v>672</v>
      </c>
      <c r="B58" s="112">
        <v>2.36</v>
      </c>
      <c r="C58" s="112">
        <v>17.13</v>
      </c>
      <c r="D58" s="112">
        <v>12.19</v>
      </c>
      <c r="E58" s="112">
        <v>10.6</v>
      </c>
      <c r="F58" s="112">
        <v>14.74</v>
      </c>
      <c r="G58" s="112">
        <v>42.81</v>
      </c>
      <c r="H58" s="112">
        <v>17.41</v>
      </c>
      <c r="I58" s="112">
        <v>4.4400000000000004</v>
      </c>
      <c r="J58" s="112">
        <v>0.4</v>
      </c>
      <c r="K58" s="112">
        <v>159.47</v>
      </c>
      <c r="L58" s="112">
        <v>30.95</v>
      </c>
      <c r="M58" s="112">
        <v>70.02</v>
      </c>
      <c r="N58" s="112">
        <v>383.9</v>
      </c>
      <c r="O58" s="112">
        <v>0</v>
      </c>
      <c r="P58" s="112">
        <v>0.67</v>
      </c>
      <c r="Q58" s="112">
        <v>4.17</v>
      </c>
    </row>
    <row r="59" spans="1:17" customFormat="1">
      <c r="A59" s="189" t="s">
        <v>673</v>
      </c>
      <c r="B59" s="112">
        <v>2</v>
      </c>
      <c r="C59" s="112">
        <v>15.6</v>
      </c>
      <c r="D59" s="112">
        <v>11.1</v>
      </c>
      <c r="E59" s="112">
        <v>6.62</v>
      </c>
      <c r="F59" s="112">
        <v>9.86</v>
      </c>
      <c r="G59" s="112">
        <v>42.81</v>
      </c>
      <c r="H59" s="112">
        <v>17.41</v>
      </c>
      <c r="I59" s="112">
        <v>4.07</v>
      </c>
      <c r="J59" s="112">
        <v>0.13</v>
      </c>
      <c r="K59" s="112">
        <v>127.98</v>
      </c>
      <c r="L59" s="112">
        <v>30.28</v>
      </c>
      <c r="M59" s="112">
        <v>72.53</v>
      </c>
      <c r="N59" s="112">
        <v>216.4</v>
      </c>
      <c r="O59" s="112">
        <v>0</v>
      </c>
      <c r="P59" s="112">
        <v>0.64</v>
      </c>
      <c r="Q59" s="112">
        <v>4.0599999999999996</v>
      </c>
    </row>
    <row r="60" spans="1:17" customFormat="1">
      <c r="A60" s="189" t="s">
        <v>674</v>
      </c>
      <c r="B60" s="112">
        <v>2</v>
      </c>
      <c r="C60" s="112">
        <v>14.05</v>
      </c>
      <c r="D60" s="112">
        <v>10.3</v>
      </c>
      <c r="E60" s="112">
        <v>6.83</v>
      </c>
      <c r="F60" s="112">
        <v>10.99</v>
      </c>
      <c r="G60" s="112">
        <v>39.47</v>
      </c>
      <c r="H60" s="112">
        <v>15.83</v>
      </c>
      <c r="I60" s="112">
        <v>3.79</v>
      </c>
      <c r="J60" s="112">
        <v>0.15</v>
      </c>
      <c r="K60" s="112">
        <v>143.22999999999999</v>
      </c>
      <c r="L60" s="112">
        <v>30.3</v>
      </c>
      <c r="M60" s="112">
        <v>73.87</v>
      </c>
      <c r="N60" s="112">
        <v>568.1</v>
      </c>
      <c r="O60" s="112">
        <v>0</v>
      </c>
      <c r="P60" s="112">
        <v>0.62</v>
      </c>
      <c r="Q60" s="112">
        <v>4.08</v>
      </c>
    </row>
    <row r="61" spans="1:17" customFormat="1">
      <c r="A61" s="189" t="s">
        <v>675</v>
      </c>
      <c r="B61" s="112">
        <v>2</v>
      </c>
      <c r="C61" s="112">
        <v>14.35</v>
      </c>
      <c r="D61" s="112">
        <v>10.45</v>
      </c>
      <c r="E61" s="112">
        <v>6.61</v>
      </c>
      <c r="F61" s="112">
        <v>7.53</v>
      </c>
      <c r="G61" s="112">
        <v>39.270000000000003</v>
      </c>
      <c r="H61" s="112">
        <v>15.83</v>
      </c>
      <c r="I61" s="112">
        <v>3.73</v>
      </c>
      <c r="J61" s="112">
        <v>0.12</v>
      </c>
      <c r="K61" s="112">
        <v>128.19</v>
      </c>
      <c r="L61" s="112">
        <v>31.26</v>
      </c>
      <c r="M61" s="112">
        <v>69.8</v>
      </c>
      <c r="N61" s="112">
        <v>470</v>
      </c>
      <c r="O61" s="112">
        <v>0</v>
      </c>
      <c r="P61" s="112">
        <v>0.62</v>
      </c>
      <c r="Q61" s="112">
        <v>4.08</v>
      </c>
    </row>
    <row r="62" spans="1:17" customFormat="1">
      <c r="A62" s="189" t="s">
        <v>676</v>
      </c>
      <c r="B62" s="112">
        <v>2</v>
      </c>
      <c r="C62" s="112">
        <v>14.28</v>
      </c>
      <c r="D62" s="112">
        <v>10.42</v>
      </c>
      <c r="E62" s="112">
        <v>6.26</v>
      </c>
      <c r="F62" s="112">
        <v>7.43</v>
      </c>
      <c r="G62" s="112">
        <v>39.270000000000003</v>
      </c>
      <c r="H62" s="112">
        <v>15.83</v>
      </c>
      <c r="I62" s="112">
        <v>3.68</v>
      </c>
      <c r="J62" s="112">
        <v>0.13</v>
      </c>
      <c r="K62" s="112">
        <v>115.96</v>
      </c>
      <c r="L62" s="112">
        <v>30.48</v>
      </c>
      <c r="M62" s="112">
        <v>73.73</v>
      </c>
      <c r="N62" s="112">
        <v>352.8</v>
      </c>
      <c r="O62" s="112">
        <v>0</v>
      </c>
      <c r="P62" s="112">
        <v>0.61</v>
      </c>
      <c r="Q62" s="112">
        <v>4.0599999999999996</v>
      </c>
    </row>
    <row r="63" spans="1:17" customFormat="1">
      <c r="A63" s="189" t="s">
        <v>677</v>
      </c>
      <c r="B63" s="112">
        <v>2</v>
      </c>
      <c r="C63" s="112">
        <v>13.8</v>
      </c>
      <c r="D63" s="112">
        <v>10.16</v>
      </c>
      <c r="E63" s="112">
        <v>6.86</v>
      </c>
      <c r="F63" s="112">
        <v>9.57</v>
      </c>
      <c r="G63" s="112">
        <v>39.270000000000003</v>
      </c>
      <c r="H63" s="112">
        <v>15.83</v>
      </c>
      <c r="I63" s="112">
        <v>3.79</v>
      </c>
      <c r="J63" s="112">
        <v>0.3</v>
      </c>
      <c r="K63" s="112">
        <v>155.04</v>
      </c>
      <c r="L63" s="112">
        <v>30.89</v>
      </c>
      <c r="M63" s="112">
        <v>70.86</v>
      </c>
      <c r="N63" s="112">
        <v>478.3</v>
      </c>
      <c r="O63" s="112">
        <v>0</v>
      </c>
      <c r="P63" s="112">
        <v>0.62</v>
      </c>
      <c r="Q63" s="112">
        <v>4.0599999999999996</v>
      </c>
    </row>
    <row r="64" spans="1:17" customFormat="1">
      <c r="A64" s="189" t="s">
        <v>678</v>
      </c>
      <c r="B64" s="112">
        <v>2</v>
      </c>
      <c r="C64" s="112">
        <v>13.19</v>
      </c>
      <c r="D64" s="112">
        <v>9.85</v>
      </c>
      <c r="E64" s="112">
        <v>7.63</v>
      </c>
      <c r="F64" s="112">
        <v>9.3699999999999992</v>
      </c>
      <c r="G64" s="112">
        <v>35.26</v>
      </c>
      <c r="H64" s="112">
        <v>17.16</v>
      </c>
      <c r="I64" s="112">
        <v>3.83</v>
      </c>
      <c r="J64" s="112">
        <v>0.17</v>
      </c>
      <c r="K64" s="112">
        <v>143.81</v>
      </c>
      <c r="L64" s="112">
        <v>30.86</v>
      </c>
      <c r="M64" s="112">
        <v>71.58</v>
      </c>
      <c r="N64" s="112">
        <v>349.2</v>
      </c>
      <c r="O64" s="112">
        <v>0</v>
      </c>
      <c r="P64" s="112">
        <v>0.6</v>
      </c>
      <c r="Q64" s="112">
        <v>4.04</v>
      </c>
    </row>
    <row r="65" spans="1:17" customFormat="1">
      <c r="A65" s="189" t="s">
        <v>679</v>
      </c>
      <c r="B65" s="112">
        <v>2.02</v>
      </c>
      <c r="C65" s="112">
        <v>13.32</v>
      </c>
      <c r="D65" s="112">
        <v>9.9</v>
      </c>
      <c r="E65" s="112">
        <v>6.97</v>
      </c>
      <c r="F65" s="112">
        <v>7.99</v>
      </c>
      <c r="G65" s="112">
        <v>35.020000000000003</v>
      </c>
      <c r="H65" s="112">
        <v>17.16</v>
      </c>
      <c r="I65" s="112">
        <v>3.82</v>
      </c>
      <c r="J65" s="112">
        <v>0.36</v>
      </c>
      <c r="K65" s="112">
        <v>174.57</v>
      </c>
      <c r="L65" s="112">
        <v>31</v>
      </c>
      <c r="M65" s="112">
        <v>70.52</v>
      </c>
      <c r="N65" s="112">
        <v>560.29999999999995</v>
      </c>
      <c r="O65" s="112">
        <v>0</v>
      </c>
      <c r="P65" s="112">
        <v>0.52</v>
      </c>
      <c r="Q65" s="112">
        <v>4.05</v>
      </c>
    </row>
    <row r="66" spans="1:17" customFormat="1">
      <c r="A66" s="189" t="s">
        <v>680</v>
      </c>
      <c r="B66" s="112">
        <v>4.6100000000000003</v>
      </c>
      <c r="C66" s="112">
        <v>13.96</v>
      </c>
      <c r="D66" s="112">
        <v>12.25</v>
      </c>
      <c r="E66" s="112">
        <v>7.58</v>
      </c>
      <c r="F66" s="112">
        <v>15.9</v>
      </c>
      <c r="G66" s="112">
        <v>35.020000000000003</v>
      </c>
      <c r="H66" s="112">
        <v>17.16</v>
      </c>
      <c r="I66" s="112">
        <v>3.77</v>
      </c>
      <c r="J66" s="112">
        <v>0.23</v>
      </c>
      <c r="K66" s="112">
        <v>143.4</v>
      </c>
      <c r="L66" s="112">
        <v>31.42</v>
      </c>
      <c r="M66" s="112">
        <v>69.819999999999993</v>
      </c>
      <c r="N66" s="112">
        <v>390.5</v>
      </c>
      <c r="O66" s="112">
        <v>0</v>
      </c>
      <c r="P66" s="112">
        <v>0.53</v>
      </c>
      <c r="Q66" s="112">
        <v>4.04</v>
      </c>
    </row>
    <row r="67" spans="1:17" customFormat="1">
      <c r="A67" s="189" t="s">
        <v>681</v>
      </c>
      <c r="B67" s="112">
        <v>4.2300000000000004</v>
      </c>
      <c r="C67" s="112">
        <v>13.19</v>
      </c>
      <c r="D67" s="112">
        <v>11.64</v>
      </c>
      <c r="E67" s="112">
        <v>7.37</v>
      </c>
      <c r="F67" s="112">
        <v>10.82</v>
      </c>
      <c r="G67" s="112">
        <v>35.020000000000003</v>
      </c>
      <c r="H67" s="112">
        <v>17.16</v>
      </c>
      <c r="I67" s="112">
        <v>3.78</v>
      </c>
      <c r="J67" s="112">
        <v>0.22</v>
      </c>
      <c r="K67" s="112">
        <v>162.59</v>
      </c>
      <c r="L67" s="112">
        <v>30.91</v>
      </c>
      <c r="M67" s="112">
        <v>72.599999999999994</v>
      </c>
      <c r="N67" s="112">
        <v>350.4</v>
      </c>
      <c r="O67" s="112">
        <v>0</v>
      </c>
      <c r="P67" s="112">
        <v>0.53</v>
      </c>
      <c r="Q67" s="112">
        <v>4.88</v>
      </c>
    </row>
    <row r="68" spans="1:17" customFormat="1">
      <c r="A68" s="189" t="s">
        <v>682</v>
      </c>
      <c r="B68" s="112">
        <v>3.98</v>
      </c>
      <c r="C68" s="112">
        <v>13.6</v>
      </c>
      <c r="D68" s="112">
        <v>11.65</v>
      </c>
      <c r="E68" s="112">
        <v>6.85</v>
      </c>
      <c r="F68" s="112">
        <v>10.16</v>
      </c>
      <c r="G68" s="112">
        <v>31.22</v>
      </c>
      <c r="H68" s="112">
        <v>14.18</v>
      </c>
      <c r="I68" s="112">
        <v>3.59</v>
      </c>
      <c r="J68" s="112">
        <v>0.39</v>
      </c>
      <c r="K68" s="112">
        <v>184.04</v>
      </c>
      <c r="L68" s="112">
        <v>30.54</v>
      </c>
      <c r="M68" s="112">
        <v>72.319999999999993</v>
      </c>
      <c r="N68" s="112">
        <v>265.10000000000002</v>
      </c>
      <c r="O68" s="112">
        <v>0</v>
      </c>
      <c r="P68" s="112">
        <v>0.53</v>
      </c>
      <c r="Q68" s="112">
        <v>5.09</v>
      </c>
    </row>
    <row r="69" spans="1:17" customFormat="1">
      <c r="A69" s="189" t="s">
        <v>683</v>
      </c>
      <c r="B69" s="112">
        <v>4.12</v>
      </c>
      <c r="C69" s="112">
        <v>13.42</v>
      </c>
      <c r="D69" s="112">
        <v>11.66</v>
      </c>
      <c r="E69" s="112">
        <v>6.8</v>
      </c>
      <c r="F69" s="112">
        <v>10.8</v>
      </c>
      <c r="G69" s="112">
        <v>30.99</v>
      </c>
      <c r="H69" s="112">
        <v>14.18</v>
      </c>
      <c r="I69" s="112">
        <v>3.4</v>
      </c>
      <c r="J69" s="112">
        <v>0.34</v>
      </c>
      <c r="K69" s="112">
        <v>165.4</v>
      </c>
      <c r="L69" s="112">
        <v>30.6</v>
      </c>
      <c r="M69" s="112">
        <v>72.680000000000007</v>
      </c>
      <c r="N69" s="112">
        <v>323.89999999999998</v>
      </c>
      <c r="O69" s="112">
        <v>0</v>
      </c>
      <c r="P69" s="112">
        <v>0.51</v>
      </c>
      <c r="Q69" s="112">
        <v>5.0599999999999996</v>
      </c>
    </row>
    <row r="70" spans="1:17" customFormat="1">
      <c r="A70" s="189" t="s">
        <v>684</v>
      </c>
      <c r="B70" s="112">
        <v>4.18</v>
      </c>
      <c r="C70" s="112">
        <v>13.31</v>
      </c>
      <c r="D70" s="112">
        <v>11.65</v>
      </c>
      <c r="E70" s="112">
        <v>6.37</v>
      </c>
      <c r="F70" s="112">
        <v>10.5</v>
      </c>
      <c r="G70" s="112">
        <v>30.99</v>
      </c>
      <c r="H70" s="112">
        <v>14.18</v>
      </c>
      <c r="I70" s="112">
        <v>3.45</v>
      </c>
      <c r="J70" s="112">
        <v>0.16</v>
      </c>
      <c r="K70" s="112">
        <v>166.62</v>
      </c>
      <c r="L70" s="112">
        <v>30.53</v>
      </c>
      <c r="M70" s="112">
        <v>73.83</v>
      </c>
      <c r="N70" s="112">
        <v>244.6</v>
      </c>
      <c r="O70" s="112">
        <v>0</v>
      </c>
      <c r="P70" s="112">
        <v>0.52</v>
      </c>
      <c r="Q70" s="112">
        <v>5.08</v>
      </c>
    </row>
    <row r="71" spans="1:17" customFormat="1">
      <c r="A71" s="189" t="s">
        <v>685</v>
      </c>
      <c r="B71" s="112">
        <v>4.24</v>
      </c>
      <c r="C71" s="112">
        <v>12.45</v>
      </c>
      <c r="D71" s="112">
        <v>11.25</v>
      </c>
      <c r="E71" s="112">
        <v>7.12</v>
      </c>
      <c r="F71" s="112">
        <v>14.04</v>
      </c>
      <c r="G71" s="112">
        <v>30.99</v>
      </c>
      <c r="H71" s="112">
        <v>14.18</v>
      </c>
      <c r="I71" s="112">
        <v>3.45</v>
      </c>
      <c r="J71" s="112">
        <v>0.4</v>
      </c>
      <c r="K71" s="112">
        <v>182.56</v>
      </c>
      <c r="L71" s="112">
        <v>30.5</v>
      </c>
      <c r="M71" s="112">
        <v>72.790000000000006</v>
      </c>
      <c r="N71" s="112">
        <v>337.1</v>
      </c>
      <c r="O71" s="112">
        <v>0</v>
      </c>
      <c r="P71" s="112">
        <v>0.51</v>
      </c>
      <c r="Q71" s="112">
        <v>5.08</v>
      </c>
    </row>
    <row r="72" spans="1:17" customFormat="1">
      <c r="A72" s="189" t="s">
        <v>686</v>
      </c>
      <c r="B72" s="112">
        <v>4.34</v>
      </c>
      <c r="C72" s="112">
        <v>13.85</v>
      </c>
      <c r="D72" s="112">
        <v>12.07</v>
      </c>
      <c r="E72" s="112">
        <v>6.72</v>
      </c>
      <c r="F72" s="112">
        <v>9.4499999999999993</v>
      </c>
      <c r="G72" s="112">
        <v>29.44</v>
      </c>
      <c r="H72" s="112">
        <v>16.190000000000001</v>
      </c>
      <c r="I72" s="112">
        <v>3.46</v>
      </c>
      <c r="J72" s="112">
        <v>0.23</v>
      </c>
      <c r="K72" s="112">
        <v>81.150000000000006</v>
      </c>
      <c r="L72" s="112">
        <v>30.55</v>
      </c>
      <c r="M72" s="112">
        <v>73.44</v>
      </c>
      <c r="N72" s="112">
        <v>195.6</v>
      </c>
      <c r="O72" s="112">
        <v>0</v>
      </c>
      <c r="P72" s="112">
        <v>0.52</v>
      </c>
      <c r="Q72" s="112">
        <v>5.07</v>
      </c>
    </row>
    <row r="73" spans="1:17" customFormat="1">
      <c r="A73" s="189" t="s">
        <v>687</v>
      </c>
      <c r="B73" s="112">
        <v>4.76</v>
      </c>
      <c r="C73" s="112">
        <v>16</v>
      </c>
      <c r="D73" s="112">
        <v>13.53</v>
      </c>
      <c r="E73" s="112">
        <v>7.86</v>
      </c>
      <c r="F73" s="112">
        <v>10.31</v>
      </c>
      <c r="G73" s="112">
        <v>29.35</v>
      </c>
      <c r="H73" s="112">
        <v>16.190000000000001</v>
      </c>
      <c r="I73" s="112">
        <v>3.38</v>
      </c>
      <c r="J73" s="112">
        <v>0.4</v>
      </c>
      <c r="K73" s="112">
        <v>53.86</v>
      </c>
      <c r="L73" s="112">
        <v>30.04</v>
      </c>
      <c r="M73" s="112">
        <v>75.77</v>
      </c>
      <c r="N73" s="112">
        <v>146</v>
      </c>
      <c r="O73" s="112">
        <v>0</v>
      </c>
      <c r="P73" s="112">
        <v>0.56000000000000005</v>
      </c>
      <c r="Q73" s="112">
        <v>5.13</v>
      </c>
    </row>
    <row r="74" spans="1:17" customFormat="1">
      <c r="A74" s="189" t="s">
        <v>688</v>
      </c>
      <c r="B74" s="112">
        <v>5.23</v>
      </c>
      <c r="C74" s="112">
        <v>15.99</v>
      </c>
      <c r="D74" s="112">
        <v>13.9</v>
      </c>
      <c r="E74" s="112">
        <v>8.74</v>
      </c>
      <c r="F74" s="112">
        <v>9.9600000000000009</v>
      </c>
      <c r="G74" s="112">
        <v>29.35</v>
      </c>
      <c r="H74" s="112">
        <v>16.190000000000001</v>
      </c>
      <c r="I74" s="112">
        <v>3.53</v>
      </c>
      <c r="J74" s="112">
        <v>0.24</v>
      </c>
      <c r="K74" s="112">
        <v>83.55</v>
      </c>
      <c r="L74" s="112">
        <v>29.94</v>
      </c>
      <c r="M74" s="112">
        <v>77.27</v>
      </c>
      <c r="N74" s="112">
        <v>97.5</v>
      </c>
      <c r="O74" s="112">
        <v>0</v>
      </c>
      <c r="P74" s="112">
        <v>0.56000000000000005</v>
      </c>
      <c r="Q74" s="112">
        <v>5.13</v>
      </c>
    </row>
    <row r="75" spans="1:17" customFormat="1">
      <c r="A75" s="189" t="s">
        <v>689</v>
      </c>
      <c r="B75" s="112">
        <v>5.68</v>
      </c>
      <c r="C75" s="112">
        <v>16.260000000000002</v>
      </c>
      <c r="D75" s="112">
        <v>14.4</v>
      </c>
      <c r="E75" s="112">
        <v>8.5500000000000007</v>
      </c>
      <c r="F75" s="112">
        <v>9.4700000000000006</v>
      </c>
      <c r="G75" s="112">
        <v>29.35</v>
      </c>
      <c r="H75" s="112">
        <v>16.190000000000001</v>
      </c>
      <c r="I75" s="112">
        <v>3.64</v>
      </c>
      <c r="J75" s="112">
        <v>0.44</v>
      </c>
      <c r="K75" s="112">
        <v>56.77</v>
      </c>
      <c r="L75" s="112">
        <v>29.7</v>
      </c>
      <c r="M75" s="112">
        <v>77.19</v>
      </c>
      <c r="N75" s="112">
        <v>84.8</v>
      </c>
      <c r="O75" s="112">
        <v>0</v>
      </c>
      <c r="P75" s="112">
        <v>0.56000000000000005</v>
      </c>
      <c r="Q75" s="112">
        <v>5.17</v>
      </c>
    </row>
    <row r="76" spans="1:17" customFormat="1">
      <c r="A76" s="189" t="s">
        <v>690</v>
      </c>
      <c r="B76" s="112">
        <v>6.69</v>
      </c>
      <c r="C76" s="112">
        <v>16.64</v>
      </c>
      <c r="D76" s="112">
        <v>15.41</v>
      </c>
      <c r="E76" s="112">
        <v>8.84</v>
      </c>
      <c r="F76" s="112">
        <v>10.94</v>
      </c>
      <c r="G76" s="112">
        <v>33.630000000000003</v>
      </c>
      <c r="H76" s="112">
        <v>14.17</v>
      </c>
      <c r="I76" s="112">
        <v>3.64</v>
      </c>
      <c r="J76" s="112">
        <v>0.26</v>
      </c>
      <c r="K76" s="112">
        <v>63.92</v>
      </c>
      <c r="L76" s="112">
        <v>29.58</v>
      </c>
      <c r="M76" s="112">
        <v>78.08</v>
      </c>
      <c r="N76" s="112">
        <v>71.5</v>
      </c>
      <c r="O76" s="112">
        <v>0</v>
      </c>
      <c r="P76" s="112">
        <v>0.57999999999999996</v>
      </c>
      <c r="Q76" s="112">
        <v>5.23</v>
      </c>
    </row>
    <row r="77" spans="1:17" customFormat="1">
      <c r="A77" s="189" t="s">
        <v>691</v>
      </c>
      <c r="B77" s="112">
        <v>7.2</v>
      </c>
      <c r="C77" s="112">
        <v>17.02</v>
      </c>
      <c r="D77" s="112">
        <v>16.02</v>
      </c>
      <c r="E77" s="112">
        <v>8.24</v>
      </c>
      <c r="F77" s="112">
        <v>10.43</v>
      </c>
      <c r="G77" s="112">
        <v>33.880000000000003</v>
      </c>
      <c r="H77" s="112">
        <v>14.17</v>
      </c>
      <c r="I77" s="112">
        <v>3.64</v>
      </c>
      <c r="J77" s="112">
        <v>0.27</v>
      </c>
      <c r="K77" s="112">
        <v>66.88</v>
      </c>
      <c r="L77" s="112">
        <v>29.38</v>
      </c>
      <c r="M77" s="112">
        <v>78.010000000000005</v>
      </c>
      <c r="N77" s="112">
        <v>62</v>
      </c>
      <c r="O77" s="112">
        <v>0</v>
      </c>
      <c r="P77" s="112">
        <v>0.57999999999999996</v>
      </c>
      <c r="Q77" s="112">
        <v>5.26</v>
      </c>
    </row>
    <row r="78" spans="1:17" customFormat="1">
      <c r="A78" s="189" t="s">
        <v>692</v>
      </c>
      <c r="B78" s="112">
        <v>7.23</v>
      </c>
      <c r="C78" s="112">
        <v>17.059999999999999</v>
      </c>
      <c r="D78" s="112">
        <v>16.07</v>
      </c>
      <c r="E78" s="112">
        <v>8.32</v>
      </c>
      <c r="F78" s="112">
        <v>10.91</v>
      </c>
      <c r="G78" s="112">
        <v>33.880000000000003</v>
      </c>
      <c r="H78" s="112">
        <v>14.17</v>
      </c>
      <c r="I78" s="112">
        <v>3.59</v>
      </c>
      <c r="J78" s="112">
        <v>0.24</v>
      </c>
      <c r="K78" s="112">
        <v>67.069999999999993</v>
      </c>
      <c r="L78" s="112">
        <v>29.23</v>
      </c>
      <c r="M78" s="112">
        <v>79.13</v>
      </c>
      <c r="N78" s="112">
        <v>43.1</v>
      </c>
      <c r="O78" s="112">
        <v>0</v>
      </c>
      <c r="P78" s="112">
        <v>0.59</v>
      </c>
      <c r="Q78" s="112">
        <v>5.28</v>
      </c>
    </row>
    <row r="79" spans="1:17" customFormat="1">
      <c r="A79" s="189" t="s">
        <v>693</v>
      </c>
      <c r="B79" s="112">
        <v>8.7200000000000006</v>
      </c>
      <c r="C79" s="112">
        <v>19.02</v>
      </c>
      <c r="D79" s="112">
        <v>18.28</v>
      </c>
      <c r="E79" s="112">
        <v>7.68</v>
      </c>
      <c r="F79" s="112">
        <v>9.9700000000000006</v>
      </c>
      <c r="G79" s="112">
        <v>33.880000000000003</v>
      </c>
      <c r="H79" s="112">
        <v>14.17</v>
      </c>
      <c r="I79" s="112">
        <v>3.65</v>
      </c>
      <c r="J79" s="112">
        <v>0.24</v>
      </c>
      <c r="K79" s="112">
        <v>68.209999999999994</v>
      </c>
      <c r="L79" s="112">
        <v>29.09</v>
      </c>
      <c r="M79" s="112">
        <v>78.62</v>
      </c>
      <c r="N79" s="112">
        <v>24.8</v>
      </c>
      <c r="O79" s="112">
        <v>0</v>
      </c>
      <c r="P79" s="112">
        <v>0.62</v>
      </c>
      <c r="Q79" s="112">
        <v>5.31</v>
      </c>
    </row>
    <row r="80" spans="1:17" customFormat="1">
      <c r="A80" s="189" t="s">
        <v>694</v>
      </c>
      <c r="B80" s="112">
        <v>9.43</v>
      </c>
      <c r="C80" s="112">
        <v>20.440000000000001</v>
      </c>
      <c r="D80" s="112">
        <v>19.59</v>
      </c>
      <c r="E80" s="112">
        <v>7.97</v>
      </c>
      <c r="F80" s="112">
        <v>9.6199999999999992</v>
      </c>
      <c r="G80" s="112">
        <v>41.7</v>
      </c>
      <c r="H80" s="112">
        <v>20.88</v>
      </c>
      <c r="I80" s="112">
        <v>3.65</v>
      </c>
      <c r="J80" s="112">
        <v>0.23</v>
      </c>
      <c r="K80" s="112">
        <v>55.95</v>
      </c>
      <c r="L80" s="112">
        <v>28.88</v>
      </c>
      <c r="M80" s="112">
        <v>79.64</v>
      </c>
      <c r="N80" s="112">
        <v>8.4</v>
      </c>
      <c r="O80" s="112">
        <v>0</v>
      </c>
      <c r="P80" s="112">
        <v>0.67</v>
      </c>
      <c r="Q80" s="112">
        <v>5.36</v>
      </c>
    </row>
    <row r="81" spans="1:17" customFormat="1">
      <c r="A81" s="189" t="s">
        <v>695</v>
      </c>
      <c r="B81" s="112">
        <v>9.41</v>
      </c>
      <c r="C81" s="112">
        <v>20.13</v>
      </c>
      <c r="D81" s="112">
        <v>19.420000000000002</v>
      </c>
      <c r="E81" s="112">
        <v>5.96</v>
      </c>
      <c r="F81" s="112">
        <v>9.2899999999999991</v>
      </c>
      <c r="G81" s="112">
        <v>42.16</v>
      </c>
      <c r="H81" s="112">
        <v>20.88</v>
      </c>
      <c r="I81" s="112">
        <v>3.75</v>
      </c>
      <c r="J81" s="112">
        <v>0.21</v>
      </c>
      <c r="K81" s="112">
        <v>67.41</v>
      </c>
      <c r="L81" s="112">
        <v>28.67</v>
      </c>
      <c r="M81" s="112">
        <v>80.37</v>
      </c>
      <c r="N81" s="112">
        <v>0</v>
      </c>
      <c r="O81" s="112">
        <v>0</v>
      </c>
      <c r="P81" s="112">
        <v>0.66</v>
      </c>
      <c r="Q81" s="112">
        <v>5.37</v>
      </c>
    </row>
    <row r="82" spans="1:17" customFormat="1">
      <c r="A82" s="189" t="s">
        <v>696</v>
      </c>
      <c r="B82" s="112">
        <v>10.08</v>
      </c>
      <c r="C82" s="112">
        <v>20.98</v>
      </c>
      <c r="D82" s="112">
        <v>20.399999999999999</v>
      </c>
      <c r="E82" s="112">
        <v>6.99</v>
      </c>
      <c r="F82" s="112">
        <v>8.5299999999999994</v>
      </c>
      <c r="G82" s="112">
        <v>42.16</v>
      </c>
      <c r="H82" s="112">
        <v>20.88</v>
      </c>
      <c r="I82" s="112">
        <v>3.86</v>
      </c>
      <c r="J82" s="112">
        <v>0.24</v>
      </c>
      <c r="K82" s="112">
        <v>65.17</v>
      </c>
      <c r="L82" s="112">
        <v>28.45</v>
      </c>
      <c r="M82" s="112">
        <v>80.23</v>
      </c>
      <c r="N82" s="112">
        <v>0</v>
      </c>
      <c r="O82" s="112">
        <v>0</v>
      </c>
      <c r="P82" s="112">
        <v>0.73</v>
      </c>
      <c r="Q82" s="112">
        <v>5.42</v>
      </c>
    </row>
    <row r="83" spans="1:17" customFormat="1">
      <c r="A83" s="189" t="s">
        <v>697</v>
      </c>
      <c r="B83" s="112">
        <v>10.82</v>
      </c>
      <c r="C83" s="112">
        <v>21.68</v>
      </c>
      <c r="D83" s="112">
        <v>21.36</v>
      </c>
      <c r="E83" s="112">
        <v>6.63</v>
      </c>
      <c r="F83" s="112">
        <v>8.7799999999999994</v>
      </c>
      <c r="G83" s="112">
        <v>42.16</v>
      </c>
      <c r="H83" s="112">
        <v>20.88</v>
      </c>
      <c r="I83" s="112">
        <v>4.04</v>
      </c>
      <c r="J83" s="112">
        <v>0.2</v>
      </c>
      <c r="K83" s="112">
        <v>57.99</v>
      </c>
      <c r="L83" s="112">
        <v>28.32</v>
      </c>
      <c r="M83" s="112">
        <v>81.13</v>
      </c>
      <c r="N83" s="112">
        <v>0</v>
      </c>
      <c r="O83" s="112">
        <v>0</v>
      </c>
      <c r="P83" s="112">
        <v>0.76</v>
      </c>
      <c r="Q83" s="112">
        <v>5.48</v>
      </c>
    </row>
    <row r="84" spans="1:17" customFormat="1">
      <c r="A84" s="189" t="s">
        <v>698</v>
      </c>
      <c r="B84" s="112">
        <v>11.57</v>
      </c>
      <c r="C84" s="112">
        <v>21.43</v>
      </c>
      <c r="D84" s="112">
        <v>21.83</v>
      </c>
      <c r="E84" s="112">
        <v>7.04</v>
      </c>
      <c r="F84" s="112">
        <v>9.93</v>
      </c>
      <c r="G84" s="112">
        <v>46.52</v>
      </c>
      <c r="H84" s="112">
        <v>21.6</v>
      </c>
      <c r="I84" s="112">
        <v>4.22</v>
      </c>
      <c r="J84" s="112">
        <v>0.4</v>
      </c>
      <c r="K84" s="112">
        <v>38.770000000000003</v>
      </c>
      <c r="L84" s="112">
        <v>28.13</v>
      </c>
      <c r="M84" s="112">
        <v>84.53</v>
      </c>
      <c r="N84" s="112">
        <v>0</v>
      </c>
      <c r="O84" s="112">
        <v>0</v>
      </c>
      <c r="P84" s="112">
        <v>0.77</v>
      </c>
      <c r="Q84" s="112">
        <v>5.51</v>
      </c>
    </row>
    <row r="85" spans="1:17" customFormat="1">
      <c r="A85" s="189" t="s">
        <v>699</v>
      </c>
      <c r="B85" s="112">
        <v>11.59</v>
      </c>
      <c r="C85" s="112">
        <v>20.010000000000002</v>
      </c>
      <c r="D85" s="112">
        <v>21.1</v>
      </c>
      <c r="E85" s="112">
        <v>6.97</v>
      </c>
      <c r="F85" s="112">
        <v>9.36</v>
      </c>
      <c r="G85" s="112">
        <v>46.78</v>
      </c>
      <c r="H85" s="112">
        <v>21.6</v>
      </c>
      <c r="I85" s="112">
        <v>4.3600000000000003</v>
      </c>
      <c r="J85" s="112">
        <v>0.33</v>
      </c>
      <c r="K85" s="112">
        <v>47.8</v>
      </c>
      <c r="L85" s="112">
        <v>27.9</v>
      </c>
      <c r="M85" s="112">
        <v>88.09</v>
      </c>
      <c r="N85" s="112">
        <v>0</v>
      </c>
      <c r="O85" s="112">
        <v>0</v>
      </c>
      <c r="P85" s="112">
        <v>0.7</v>
      </c>
      <c r="Q85" s="112">
        <v>5.54</v>
      </c>
    </row>
    <row r="86" spans="1:17" customFormat="1">
      <c r="A86" s="189" t="s">
        <v>700</v>
      </c>
      <c r="B86" s="112">
        <v>11.77</v>
      </c>
      <c r="C86" s="112">
        <v>19.579999999999998</v>
      </c>
      <c r="D86" s="112">
        <v>21.02</v>
      </c>
      <c r="E86" s="112">
        <v>8.64</v>
      </c>
      <c r="F86" s="112">
        <v>9.42</v>
      </c>
      <c r="G86" s="112">
        <v>46.78</v>
      </c>
      <c r="H86" s="112">
        <v>21.6</v>
      </c>
      <c r="I86" s="112">
        <v>4.4000000000000004</v>
      </c>
      <c r="J86" s="112">
        <v>0.36</v>
      </c>
      <c r="K86" s="112">
        <v>64.02</v>
      </c>
      <c r="L86" s="112">
        <v>27.79</v>
      </c>
      <c r="M86" s="112">
        <v>87.63</v>
      </c>
      <c r="N86" s="112">
        <v>0</v>
      </c>
      <c r="O86" s="112">
        <v>0</v>
      </c>
      <c r="P86" s="112">
        <v>0.7</v>
      </c>
      <c r="Q86" s="112">
        <v>5.57</v>
      </c>
    </row>
    <row r="87" spans="1:17" customFormat="1">
      <c r="A87" s="189" t="s">
        <v>701</v>
      </c>
      <c r="B87" s="112">
        <v>10.87</v>
      </c>
      <c r="C87" s="112">
        <v>18.739999999999998</v>
      </c>
      <c r="D87" s="112">
        <v>19.86</v>
      </c>
      <c r="E87" s="112">
        <v>8.0299999999999994</v>
      </c>
      <c r="F87" s="112">
        <v>10.59</v>
      </c>
      <c r="G87" s="112">
        <v>46.78</v>
      </c>
      <c r="H87" s="112">
        <v>21.6</v>
      </c>
      <c r="I87" s="112">
        <v>4.32</v>
      </c>
      <c r="J87" s="112">
        <v>0.28999999999999998</v>
      </c>
      <c r="K87" s="112">
        <v>54.73</v>
      </c>
      <c r="L87" s="112">
        <v>27.65</v>
      </c>
      <c r="M87" s="112">
        <v>87.67</v>
      </c>
      <c r="N87" s="112">
        <v>0</v>
      </c>
      <c r="O87" s="112">
        <v>0</v>
      </c>
      <c r="P87" s="112">
        <v>0.71</v>
      </c>
      <c r="Q87" s="112">
        <v>5.59</v>
      </c>
    </row>
    <row r="88" spans="1:17" customFormat="1">
      <c r="A88" s="189" t="s">
        <v>702</v>
      </c>
      <c r="B88" s="112">
        <v>11.68</v>
      </c>
      <c r="C88" s="112">
        <v>20.57</v>
      </c>
      <c r="D88" s="112">
        <v>21.47</v>
      </c>
      <c r="E88" s="112">
        <v>7.04</v>
      </c>
      <c r="F88" s="112">
        <v>6.86</v>
      </c>
      <c r="G88" s="112">
        <v>47.3</v>
      </c>
      <c r="H88" s="112">
        <v>18.53</v>
      </c>
      <c r="I88" s="112">
        <v>4.28</v>
      </c>
      <c r="J88" s="112">
        <v>0.22</v>
      </c>
      <c r="K88" s="112">
        <v>68</v>
      </c>
      <c r="L88" s="112">
        <v>27.53</v>
      </c>
      <c r="M88" s="112">
        <v>89.34</v>
      </c>
      <c r="N88" s="112">
        <v>0</v>
      </c>
      <c r="O88" s="112">
        <v>0</v>
      </c>
      <c r="P88" s="112">
        <v>0.71</v>
      </c>
      <c r="Q88" s="112">
        <v>5.64</v>
      </c>
    </row>
    <row r="89" spans="1:17" customFormat="1">
      <c r="A89" s="189" t="s">
        <v>703</v>
      </c>
      <c r="B89" s="112">
        <v>11.89</v>
      </c>
      <c r="C89" s="112">
        <v>21.6</v>
      </c>
      <c r="D89" s="112">
        <v>22.17</v>
      </c>
      <c r="E89" s="112">
        <v>7.17</v>
      </c>
      <c r="F89" s="112">
        <v>6.45</v>
      </c>
      <c r="G89" s="112">
        <v>47.33</v>
      </c>
      <c r="H89" s="112">
        <v>18.53</v>
      </c>
      <c r="I89" s="112">
        <v>4.3</v>
      </c>
      <c r="J89" s="112">
        <v>0.36</v>
      </c>
      <c r="K89" s="112">
        <v>51.87</v>
      </c>
      <c r="L89" s="112">
        <v>27.37</v>
      </c>
      <c r="M89" s="112">
        <v>89.77</v>
      </c>
      <c r="N89" s="112">
        <v>0</v>
      </c>
      <c r="O89" s="112">
        <v>0</v>
      </c>
      <c r="P89" s="112">
        <v>0.74</v>
      </c>
      <c r="Q89" s="112">
        <v>5.74</v>
      </c>
    </row>
    <row r="90" spans="1:17" customFormat="1">
      <c r="A90" s="189" t="s">
        <v>704</v>
      </c>
      <c r="B90" s="112">
        <v>12.03</v>
      </c>
      <c r="C90" s="112">
        <v>20.399999999999999</v>
      </c>
      <c r="D90" s="112">
        <v>21.65</v>
      </c>
      <c r="E90" s="112">
        <v>6.81</v>
      </c>
      <c r="F90" s="112">
        <v>7.51</v>
      </c>
      <c r="G90" s="112">
        <v>47.33</v>
      </c>
      <c r="H90" s="112">
        <v>18.53</v>
      </c>
      <c r="I90" s="112">
        <v>4.46</v>
      </c>
      <c r="J90" s="112">
        <v>0.26</v>
      </c>
      <c r="K90" s="112">
        <v>55.01</v>
      </c>
      <c r="L90" s="112">
        <v>27.27</v>
      </c>
      <c r="M90" s="112">
        <v>88.72</v>
      </c>
      <c r="N90" s="112">
        <v>0</v>
      </c>
      <c r="O90" s="112">
        <v>0</v>
      </c>
      <c r="P90" s="112">
        <v>0.73</v>
      </c>
      <c r="Q90" s="112">
        <v>5.72</v>
      </c>
    </row>
    <row r="91" spans="1:17" customFormat="1">
      <c r="A91" s="189" t="s">
        <v>705</v>
      </c>
      <c r="B91" s="112">
        <v>12.84</v>
      </c>
      <c r="C91" s="112">
        <v>20.43</v>
      </c>
      <c r="D91" s="112">
        <v>22.32</v>
      </c>
      <c r="E91" s="112">
        <v>6.49</v>
      </c>
      <c r="F91" s="112">
        <v>7.4</v>
      </c>
      <c r="G91" s="112">
        <v>47.33</v>
      </c>
      <c r="H91" s="112">
        <v>18.53</v>
      </c>
      <c r="I91" s="112">
        <v>4.51</v>
      </c>
      <c r="J91" s="112">
        <v>0.34</v>
      </c>
      <c r="K91" s="112">
        <v>50.24</v>
      </c>
      <c r="L91" s="112">
        <v>27.22</v>
      </c>
      <c r="M91" s="112">
        <v>88.45</v>
      </c>
      <c r="N91" s="112">
        <v>0</v>
      </c>
      <c r="O91" s="112">
        <v>0</v>
      </c>
      <c r="P91" s="112">
        <v>0.73</v>
      </c>
      <c r="Q91" s="112">
        <v>5.72</v>
      </c>
    </row>
    <row r="92" spans="1:17" customFormat="1">
      <c r="A92" s="189" t="s">
        <v>706</v>
      </c>
      <c r="B92" s="112">
        <v>13.12</v>
      </c>
      <c r="C92" s="112">
        <v>20.37</v>
      </c>
      <c r="D92" s="112">
        <v>22.51</v>
      </c>
      <c r="E92" s="112">
        <v>6.07</v>
      </c>
      <c r="F92" s="112">
        <v>7.27</v>
      </c>
      <c r="G92" s="112">
        <v>50.19</v>
      </c>
      <c r="H92" s="112">
        <v>20.58</v>
      </c>
      <c r="I92" s="112">
        <v>4.45</v>
      </c>
      <c r="J92" s="112">
        <v>0.19</v>
      </c>
      <c r="K92" s="112">
        <v>54.41</v>
      </c>
      <c r="L92" s="112">
        <v>27.13</v>
      </c>
      <c r="M92" s="112">
        <v>89.3</v>
      </c>
      <c r="N92" s="112">
        <v>0</v>
      </c>
      <c r="O92" s="112">
        <v>0</v>
      </c>
      <c r="P92" s="112">
        <v>0.75</v>
      </c>
      <c r="Q92" s="112">
        <v>5.78</v>
      </c>
    </row>
    <row r="93" spans="1:17" customFormat="1">
      <c r="A93" s="189" t="s">
        <v>707</v>
      </c>
      <c r="B93" s="112">
        <v>14.41</v>
      </c>
      <c r="C93" s="112">
        <v>20.7</v>
      </c>
      <c r="D93" s="112">
        <v>23.73</v>
      </c>
      <c r="E93" s="112">
        <v>6.25</v>
      </c>
      <c r="F93" s="112">
        <v>6.79</v>
      </c>
      <c r="G93" s="112">
        <v>50.32</v>
      </c>
      <c r="H93" s="112">
        <v>20.58</v>
      </c>
      <c r="I93" s="112">
        <v>4.45</v>
      </c>
      <c r="J93" s="112">
        <v>0.25</v>
      </c>
      <c r="K93" s="112">
        <v>31.66</v>
      </c>
      <c r="L93" s="112">
        <v>27.08</v>
      </c>
      <c r="M93" s="112">
        <v>89.66</v>
      </c>
      <c r="N93" s="112">
        <v>0</v>
      </c>
      <c r="O93" s="112">
        <v>0</v>
      </c>
      <c r="P93" s="112">
        <v>0.77</v>
      </c>
      <c r="Q93" s="112">
        <v>5.81</v>
      </c>
    </row>
    <row r="94" spans="1:17" customFormat="1">
      <c r="A94" s="189" t="s">
        <v>708</v>
      </c>
      <c r="B94" s="112">
        <v>14.53</v>
      </c>
      <c r="C94" s="112">
        <v>19.850000000000001</v>
      </c>
      <c r="D94" s="112">
        <v>23.37</v>
      </c>
      <c r="E94" s="112">
        <v>6.34</v>
      </c>
      <c r="F94" s="112">
        <v>7.34</v>
      </c>
      <c r="G94" s="112">
        <v>50.32</v>
      </c>
      <c r="H94" s="112">
        <v>20.58</v>
      </c>
      <c r="I94" s="112">
        <v>4.42</v>
      </c>
      <c r="J94" s="112">
        <v>0.25</v>
      </c>
      <c r="K94" s="112">
        <v>56.34</v>
      </c>
      <c r="L94" s="112">
        <v>26.95</v>
      </c>
      <c r="M94" s="112">
        <v>90.98</v>
      </c>
      <c r="N94" s="112">
        <v>0</v>
      </c>
      <c r="O94" s="112">
        <v>0</v>
      </c>
      <c r="P94" s="112">
        <v>0.75</v>
      </c>
      <c r="Q94" s="112">
        <v>5.84</v>
      </c>
    </row>
    <row r="95" spans="1:17" customFormat="1">
      <c r="A95" s="189" t="s">
        <v>709</v>
      </c>
      <c r="B95" s="112">
        <v>14.9</v>
      </c>
      <c r="C95" s="112">
        <v>19.920000000000002</v>
      </c>
      <c r="D95" s="112">
        <v>23.71</v>
      </c>
      <c r="E95" s="112">
        <v>6.32</v>
      </c>
      <c r="F95" s="112">
        <v>7</v>
      </c>
      <c r="G95" s="112">
        <v>50.32</v>
      </c>
      <c r="H95" s="112">
        <v>20.58</v>
      </c>
      <c r="I95" s="112">
        <v>4.4800000000000004</v>
      </c>
      <c r="J95" s="112">
        <v>0.32</v>
      </c>
      <c r="K95" s="112">
        <v>52.95</v>
      </c>
      <c r="L95" s="112">
        <v>26.94</v>
      </c>
      <c r="M95" s="112">
        <v>91.43</v>
      </c>
      <c r="N95" s="112">
        <v>0</v>
      </c>
      <c r="O95" s="112">
        <v>0</v>
      </c>
      <c r="P95" s="112">
        <v>0.75</v>
      </c>
      <c r="Q95" s="112">
        <v>5.84</v>
      </c>
    </row>
    <row r="96" spans="1:17" customFormat="1">
      <c r="A96" s="189" t="s">
        <v>710</v>
      </c>
      <c r="B96" s="112">
        <v>15.03</v>
      </c>
      <c r="C96" s="112">
        <v>19.13</v>
      </c>
      <c r="D96" s="112">
        <v>23.4</v>
      </c>
      <c r="E96" s="112">
        <v>7.06</v>
      </c>
      <c r="F96" s="112">
        <v>7.81</v>
      </c>
      <c r="G96" s="112">
        <v>53.23</v>
      </c>
      <c r="H96" s="112">
        <v>19.18</v>
      </c>
      <c r="I96" s="112">
        <v>4.45</v>
      </c>
      <c r="J96" s="112">
        <v>0.42</v>
      </c>
      <c r="K96" s="112">
        <v>43.45</v>
      </c>
      <c r="L96" s="112">
        <v>27.02</v>
      </c>
      <c r="M96" s="112">
        <v>92.68</v>
      </c>
      <c r="N96" s="112">
        <v>0</v>
      </c>
      <c r="O96" s="112">
        <v>0</v>
      </c>
      <c r="P96" s="112">
        <v>0.72</v>
      </c>
      <c r="Q96" s="112">
        <v>5.83</v>
      </c>
    </row>
    <row r="97" spans="1:22" customFormat="1">
      <c r="A97" s="189" t="s">
        <v>711</v>
      </c>
      <c r="B97" s="112">
        <v>15.22</v>
      </c>
      <c r="C97" s="112">
        <v>18.8</v>
      </c>
      <c r="D97" s="112">
        <v>23.38</v>
      </c>
      <c r="E97" s="112">
        <v>7.6</v>
      </c>
      <c r="F97" s="112">
        <v>7.89</v>
      </c>
      <c r="G97" s="112">
        <v>53.37</v>
      </c>
      <c r="H97" s="112">
        <v>19.18</v>
      </c>
      <c r="I97" s="112">
        <v>4.4000000000000004</v>
      </c>
      <c r="J97" s="112">
        <v>0.31</v>
      </c>
      <c r="K97" s="112">
        <v>45.24</v>
      </c>
      <c r="L97" s="112">
        <v>26.88</v>
      </c>
      <c r="M97" s="112">
        <v>92.81</v>
      </c>
      <c r="N97" s="112">
        <v>0</v>
      </c>
      <c r="O97" s="112">
        <v>0</v>
      </c>
      <c r="P97" s="112">
        <v>0.7</v>
      </c>
      <c r="Q97" s="112">
        <v>5.84</v>
      </c>
    </row>
    <row r="98" spans="1:22" customFormat="1">
      <c r="A98" s="189" t="s">
        <v>712</v>
      </c>
      <c r="B98" s="112">
        <v>15.56</v>
      </c>
      <c r="C98" s="112">
        <v>20.36</v>
      </c>
      <c r="D98" s="112">
        <v>24.47</v>
      </c>
      <c r="E98" s="112">
        <v>7.6</v>
      </c>
      <c r="F98" s="112">
        <v>6.29</v>
      </c>
      <c r="G98" s="112">
        <v>53.37</v>
      </c>
      <c r="H98" s="112">
        <v>19.18</v>
      </c>
      <c r="I98" s="112">
        <v>4.3099999999999996</v>
      </c>
      <c r="J98" s="112">
        <v>0.32</v>
      </c>
      <c r="K98" s="112">
        <v>50.24</v>
      </c>
      <c r="L98" s="112">
        <v>26.91</v>
      </c>
      <c r="M98" s="112">
        <v>91.71</v>
      </c>
      <c r="N98" s="112">
        <v>0</v>
      </c>
      <c r="O98" s="112">
        <v>0</v>
      </c>
      <c r="P98" s="112">
        <v>0.73</v>
      </c>
      <c r="Q98" s="112">
        <v>5.9</v>
      </c>
    </row>
    <row r="99" spans="1:22" customFormat="1">
      <c r="A99" s="189" t="s">
        <v>713</v>
      </c>
      <c r="B99" s="112">
        <v>15.3</v>
      </c>
      <c r="C99" s="112">
        <v>21.03</v>
      </c>
      <c r="D99" s="112">
        <v>24.61</v>
      </c>
      <c r="E99" s="112">
        <v>7.18</v>
      </c>
      <c r="F99" s="112">
        <v>6.6</v>
      </c>
      <c r="G99" s="112">
        <v>53.37</v>
      </c>
      <c r="H99" s="112">
        <v>19.18</v>
      </c>
      <c r="I99" s="112">
        <v>4.37</v>
      </c>
      <c r="J99" s="112">
        <v>0.3</v>
      </c>
      <c r="K99" s="112">
        <v>52.39</v>
      </c>
      <c r="L99" s="112">
        <v>26.83</v>
      </c>
      <c r="M99" s="112">
        <v>92.25</v>
      </c>
      <c r="N99" s="112">
        <v>0</v>
      </c>
      <c r="O99" s="112">
        <v>0</v>
      </c>
      <c r="P99" s="112">
        <v>0.73</v>
      </c>
      <c r="Q99" s="112">
        <v>5.96</v>
      </c>
    </row>
    <row r="100" spans="1:22" customFormat="1">
      <c r="A100" s="189" t="s">
        <v>714</v>
      </c>
      <c r="B100" s="112">
        <v>15.38</v>
      </c>
      <c r="C100" s="112">
        <v>19.899999999999999</v>
      </c>
      <c r="D100" s="112">
        <v>24.09</v>
      </c>
      <c r="E100" s="112">
        <v>6.38</v>
      </c>
      <c r="F100" s="112">
        <v>7.21</v>
      </c>
      <c r="G100" s="112">
        <v>48.28</v>
      </c>
      <c r="H100" s="112">
        <v>17.63</v>
      </c>
      <c r="I100" s="112">
        <v>4.57</v>
      </c>
      <c r="J100" s="112">
        <v>0.23</v>
      </c>
      <c r="K100" s="112">
        <v>90.98</v>
      </c>
      <c r="L100" s="112">
        <v>26.71</v>
      </c>
      <c r="M100" s="112">
        <v>91.96</v>
      </c>
      <c r="N100" s="112">
        <v>0</v>
      </c>
      <c r="O100" s="112">
        <v>0</v>
      </c>
      <c r="P100" s="112">
        <v>0.73</v>
      </c>
      <c r="Q100" s="112">
        <v>5.95</v>
      </c>
    </row>
    <row r="101" spans="1:22" customFormat="1">
      <c r="A101" s="189" t="s">
        <v>715</v>
      </c>
      <c r="B101" s="112">
        <v>15.6</v>
      </c>
      <c r="C101" s="112">
        <v>18.690000000000001</v>
      </c>
      <c r="D101" s="112">
        <v>23.62</v>
      </c>
      <c r="E101" s="112">
        <v>6.6</v>
      </c>
      <c r="F101" s="112">
        <v>7.61</v>
      </c>
      <c r="G101" s="112">
        <v>47.98</v>
      </c>
      <c r="H101" s="112">
        <v>17.63</v>
      </c>
      <c r="I101" s="112">
        <v>4.4800000000000004</v>
      </c>
      <c r="J101" s="112">
        <v>0.14000000000000001</v>
      </c>
      <c r="K101" s="112">
        <v>124.79</v>
      </c>
      <c r="L101" s="112">
        <v>26.22</v>
      </c>
      <c r="M101" s="112">
        <v>91.3</v>
      </c>
      <c r="N101" s="112">
        <v>0</v>
      </c>
      <c r="O101" s="112">
        <v>0</v>
      </c>
      <c r="P101" s="112">
        <v>0.7</v>
      </c>
      <c r="Q101" s="112">
        <v>5.88</v>
      </c>
    </row>
    <row r="102" spans="1:22" customFormat="1">
      <c r="A102" s="189" t="s">
        <v>716</v>
      </c>
      <c r="B102" s="112">
        <v>15.36</v>
      </c>
      <c r="C102" s="112">
        <v>18.809999999999999</v>
      </c>
      <c r="D102" s="112">
        <v>23.5</v>
      </c>
      <c r="E102" s="112">
        <v>6.44</v>
      </c>
      <c r="F102" s="112">
        <v>6.51</v>
      </c>
      <c r="G102" s="112">
        <v>47.98</v>
      </c>
      <c r="H102" s="112">
        <v>17.63</v>
      </c>
      <c r="I102" s="112">
        <v>4.4400000000000004</v>
      </c>
      <c r="J102" s="112">
        <v>0.15</v>
      </c>
      <c r="K102" s="112">
        <v>67.84</v>
      </c>
      <c r="L102" s="112">
        <v>25.8</v>
      </c>
      <c r="M102" s="112">
        <v>93.87</v>
      </c>
      <c r="N102" s="112">
        <v>0</v>
      </c>
      <c r="O102" s="112">
        <v>0</v>
      </c>
      <c r="P102" s="112">
        <v>0.68</v>
      </c>
      <c r="Q102" s="112">
        <v>5.84</v>
      </c>
    </row>
    <row r="103" spans="1:22" customFormat="1">
      <c r="A103" s="189" t="s">
        <v>717</v>
      </c>
      <c r="B103" s="112">
        <v>15.65</v>
      </c>
      <c r="C103" s="112">
        <v>20.93</v>
      </c>
      <c r="D103" s="112">
        <v>24.84</v>
      </c>
      <c r="E103" s="112">
        <v>7.29</v>
      </c>
      <c r="F103" s="112">
        <v>4.75</v>
      </c>
      <c r="G103" s="112">
        <v>47.98</v>
      </c>
      <c r="H103" s="112">
        <v>17.63</v>
      </c>
      <c r="I103" s="112">
        <v>4.46</v>
      </c>
      <c r="J103" s="112">
        <v>0.18</v>
      </c>
      <c r="K103" s="112">
        <v>92.38</v>
      </c>
      <c r="L103" s="112">
        <v>25.66</v>
      </c>
      <c r="M103" s="112">
        <v>94.73</v>
      </c>
      <c r="N103" s="112">
        <v>0</v>
      </c>
      <c r="O103" s="112">
        <v>0</v>
      </c>
      <c r="P103" s="112">
        <v>0.72</v>
      </c>
      <c r="Q103" s="112">
        <v>5.89</v>
      </c>
    </row>
    <row r="104" spans="1:22" customFormat="1">
      <c r="A104" s="189" t="s">
        <v>718</v>
      </c>
      <c r="B104" s="112">
        <v>15.76</v>
      </c>
      <c r="C104" s="112">
        <v>19.670000000000002</v>
      </c>
      <c r="D104" s="112">
        <v>24.27</v>
      </c>
      <c r="E104" s="112">
        <v>6.89</v>
      </c>
      <c r="F104" s="112">
        <v>5.91</v>
      </c>
      <c r="G104" s="112">
        <v>35.119999999999997</v>
      </c>
      <c r="H104" s="112">
        <v>14.69</v>
      </c>
      <c r="I104" s="112">
        <v>4.4800000000000004</v>
      </c>
      <c r="J104" s="112">
        <v>0.2</v>
      </c>
      <c r="K104" s="112">
        <v>61.89</v>
      </c>
      <c r="L104" s="112">
        <v>25.48</v>
      </c>
      <c r="M104" s="112">
        <v>94.22</v>
      </c>
      <c r="N104" s="112">
        <v>0</v>
      </c>
      <c r="O104" s="112">
        <v>0</v>
      </c>
      <c r="P104" s="112">
        <v>0.7</v>
      </c>
      <c r="Q104" s="112">
        <v>5.89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</v>
      </c>
      <c r="C106" s="183">
        <f>MIN(C9:C104)</f>
        <v>12.45</v>
      </c>
      <c r="D106" s="183">
        <f t="shared" ref="D106:Q106" si="0">MIN(D9:D104)</f>
        <v>9.85</v>
      </c>
      <c r="E106" s="183">
        <f t="shared" si="0"/>
        <v>5.96</v>
      </c>
      <c r="F106" s="183">
        <f t="shared" si="0"/>
        <v>3.77</v>
      </c>
      <c r="G106" s="183">
        <f t="shared" si="0"/>
        <v>20.51</v>
      </c>
      <c r="H106" s="183">
        <f t="shared" si="0"/>
        <v>4.6500000000000004</v>
      </c>
      <c r="I106" s="183">
        <f t="shared" si="0"/>
        <v>3.38</v>
      </c>
      <c r="J106" s="183">
        <f t="shared" si="0"/>
        <v>0.03</v>
      </c>
      <c r="K106" s="183">
        <f t="shared" si="0"/>
        <v>29.26</v>
      </c>
      <c r="L106" s="183">
        <f t="shared" si="0"/>
        <v>23.47</v>
      </c>
      <c r="M106" s="183">
        <f t="shared" si="0"/>
        <v>69.8</v>
      </c>
      <c r="N106" s="183">
        <f t="shared" si="0"/>
        <v>0</v>
      </c>
      <c r="O106" s="183">
        <f t="shared" si="0"/>
        <v>0</v>
      </c>
      <c r="P106" s="183">
        <f t="shared" si="0"/>
        <v>0.51</v>
      </c>
      <c r="Q106" s="183">
        <f t="shared" si="0"/>
        <v>4.04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18.62</v>
      </c>
      <c r="C107" s="184">
        <f t="shared" ref="C107:Q107" si="1">MAX(C9:C104)</f>
        <v>23.58</v>
      </c>
      <c r="D107" s="184">
        <f t="shared" si="1"/>
        <v>28.39</v>
      </c>
      <c r="E107" s="184">
        <f t="shared" si="1"/>
        <v>17.7</v>
      </c>
      <c r="F107" s="184">
        <f t="shared" si="1"/>
        <v>19.29</v>
      </c>
      <c r="G107" s="184">
        <f t="shared" si="1"/>
        <v>71.239999999999995</v>
      </c>
      <c r="H107" s="184">
        <f t="shared" si="1"/>
        <v>21.78</v>
      </c>
      <c r="I107" s="184">
        <f t="shared" si="1"/>
        <v>7.07</v>
      </c>
      <c r="J107" s="184">
        <f t="shared" si="1"/>
        <v>0.48</v>
      </c>
      <c r="K107" s="184">
        <f t="shared" si="1"/>
        <v>324</v>
      </c>
      <c r="L107" s="184">
        <f t="shared" si="1"/>
        <v>31.42</v>
      </c>
      <c r="M107" s="184">
        <f t="shared" si="1"/>
        <v>99.56</v>
      </c>
      <c r="N107" s="184">
        <f t="shared" si="1"/>
        <v>779.6</v>
      </c>
      <c r="O107" s="184">
        <f t="shared" si="1"/>
        <v>0.4</v>
      </c>
      <c r="P107" s="184">
        <f t="shared" si="1"/>
        <v>0.91</v>
      </c>
      <c r="Q107" s="184">
        <f t="shared" si="1"/>
        <v>5.96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11.741562500000001</v>
      </c>
      <c r="C108" s="183">
        <f t="shared" ref="C108:Q108" si="2">AVERAGE(C9:C104)</f>
        <v>19.435104166666669</v>
      </c>
      <c r="D108" s="183">
        <f t="shared" si="2"/>
        <v>20.920520833333327</v>
      </c>
      <c r="E108" s="183">
        <f t="shared" si="2"/>
        <v>8.4407291666666655</v>
      </c>
      <c r="F108" s="183">
        <f t="shared" si="2"/>
        <v>7.0943749999999985</v>
      </c>
      <c r="G108" s="183">
        <f t="shared" si="2"/>
        <v>41.527708333333322</v>
      </c>
      <c r="H108" s="183">
        <f t="shared" si="2"/>
        <v>15.932291666666666</v>
      </c>
      <c r="I108" s="183">
        <f t="shared" si="2"/>
        <v>5.1390624999999979</v>
      </c>
      <c r="J108" s="183">
        <f t="shared" si="2"/>
        <v>0.23822916666666669</v>
      </c>
      <c r="K108" s="183">
        <f t="shared" si="2"/>
        <v>114.88166666666665</v>
      </c>
      <c r="L108" s="183">
        <f t="shared" si="2"/>
        <v>26.973125</v>
      </c>
      <c r="M108" s="183">
        <f t="shared" si="2"/>
        <v>87.465000000000018</v>
      </c>
      <c r="N108" s="183">
        <f t="shared" si="2"/>
        <v>124.53020833333333</v>
      </c>
      <c r="O108" s="183">
        <f t="shared" si="2"/>
        <v>6.2500000000000012E-3</v>
      </c>
      <c r="P108" s="183">
        <f t="shared" si="2"/>
        <v>0.74385416666666704</v>
      </c>
      <c r="Q108" s="183">
        <f t="shared" si="2"/>
        <v>5.0737499999999986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5.0633802581040577</v>
      </c>
      <c r="C109" s="183">
        <f t="shared" ref="C109:Q109" si="3">STDEV(C9:C104)</f>
        <v>2.772372343334824</v>
      </c>
      <c r="D109" s="183">
        <f t="shared" si="3"/>
        <v>5.355882033564269</v>
      </c>
      <c r="E109" s="183">
        <f t="shared" si="3"/>
        <v>2.1809274921182524</v>
      </c>
      <c r="F109" s="183">
        <f t="shared" si="3"/>
        <v>3.0977695923629334</v>
      </c>
      <c r="G109" s="183">
        <f t="shared" si="3"/>
        <v>13.16533938069106</v>
      </c>
      <c r="H109" s="183">
        <f t="shared" si="3"/>
        <v>4.87637472744417</v>
      </c>
      <c r="I109" s="183">
        <f t="shared" si="3"/>
        <v>1.1898536647088536</v>
      </c>
      <c r="J109" s="183">
        <f t="shared" si="3"/>
        <v>0.11194918764347996</v>
      </c>
      <c r="K109" s="183">
        <f t="shared" si="3"/>
        <v>78.319068937891828</v>
      </c>
      <c r="L109" s="183">
        <f t="shared" si="3"/>
        <v>2.5533483950129847</v>
      </c>
      <c r="M109" s="183">
        <f t="shared" si="3"/>
        <v>9.9817843568855391</v>
      </c>
      <c r="N109" s="183">
        <f t="shared" si="3"/>
        <v>194.71991065159895</v>
      </c>
      <c r="O109" s="183">
        <f t="shared" si="3"/>
        <v>4.5450956796135887E-2</v>
      </c>
      <c r="P109" s="183">
        <f t="shared" si="3"/>
        <v>0.11101796717237923</v>
      </c>
      <c r="Q109" s="183">
        <f t="shared" si="3"/>
        <v>0.50522584840321672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06/09/2023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719</v>
      </c>
      <c r="B9" s="112">
        <v>13.58</v>
      </c>
      <c r="C9" s="112">
        <v>18.29</v>
      </c>
      <c r="D9" s="112">
        <v>21.8</v>
      </c>
      <c r="E9" s="112">
        <v>6.28</v>
      </c>
      <c r="F9" s="112">
        <v>6.07</v>
      </c>
      <c r="G9" s="112">
        <v>34.520000000000003</v>
      </c>
      <c r="H9" s="112">
        <v>14.69</v>
      </c>
      <c r="I9" s="112">
        <v>4.53</v>
      </c>
      <c r="J9" s="112">
        <v>0.12</v>
      </c>
      <c r="K9" s="112">
        <v>123.95</v>
      </c>
      <c r="L9" s="112">
        <v>25.48</v>
      </c>
      <c r="M9" s="112">
        <v>93.71</v>
      </c>
      <c r="N9" s="112">
        <v>0</v>
      </c>
      <c r="O9" s="112">
        <v>0</v>
      </c>
      <c r="P9" s="112">
        <v>0.67</v>
      </c>
      <c r="Q9" s="112">
        <v>5.87</v>
      </c>
    </row>
    <row r="10" spans="1:21" customFormat="1">
      <c r="A10" s="189" t="s">
        <v>720</v>
      </c>
      <c r="B10" s="112">
        <v>13.84</v>
      </c>
      <c r="C10" s="112">
        <v>18.43</v>
      </c>
      <c r="D10" s="112">
        <v>22.08</v>
      </c>
      <c r="E10" s="112">
        <v>6.2</v>
      </c>
      <c r="F10" s="112">
        <v>5.7</v>
      </c>
      <c r="G10" s="112">
        <v>34.520000000000003</v>
      </c>
      <c r="H10" s="112">
        <v>14.69</v>
      </c>
      <c r="I10" s="112">
        <v>4.3600000000000003</v>
      </c>
      <c r="J10" s="112">
        <v>0.21</v>
      </c>
      <c r="K10" s="112">
        <v>69.540000000000006</v>
      </c>
      <c r="L10" s="112">
        <v>25.27</v>
      </c>
      <c r="M10" s="112">
        <v>93.43</v>
      </c>
      <c r="N10" s="112">
        <v>0</v>
      </c>
      <c r="O10" s="112">
        <v>0</v>
      </c>
      <c r="P10" s="112">
        <v>0.66</v>
      </c>
      <c r="Q10" s="112">
        <v>5.84</v>
      </c>
    </row>
    <row r="11" spans="1:21" customFormat="1">
      <c r="A11" s="189" t="s">
        <v>721</v>
      </c>
      <c r="B11" s="112">
        <v>14.08</v>
      </c>
      <c r="C11" s="112">
        <v>20.69</v>
      </c>
      <c r="D11" s="112">
        <v>23.46</v>
      </c>
      <c r="E11" s="112">
        <v>6.71</v>
      </c>
      <c r="F11" s="112">
        <v>4.25</v>
      </c>
      <c r="G11" s="112">
        <v>34.520000000000003</v>
      </c>
      <c r="H11" s="112">
        <v>14.69</v>
      </c>
      <c r="I11" s="112">
        <v>4.33</v>
      </c>
      <c r="J11" s="112">
        <v>0.4</v>
      </c>
      <c r="K11" s="112">
        <v>56.79</v>
      </c>
      <c r="L11" s="112">
        <v>25.2</v>
      </c>
      <c r="M11" s="112">
        <v>93.77</v>
      </c>
      <c r="N11" s="112">
        <v>0</v>
      </c>
      <c r="O11" s="112">
        <v>0</v>
      </c>
      <c r="P11" s="112">
        <v>0.69</v>
      </c>
      <c r="Q11" s="112">
        <v>5.91</v>
      </c>
    </row>
    <row r="12" spans="1:21" customFormat="1">
      <c r="A12" s="189" t="s">
        <v>722</v>
      </c>
      <c r="B12" s="112">
        <v>13.95</v>
      </c>
      <c r="C12" s="112">
        <v>19.86</v>
      </c>
      <c r="D12" s="112">
        <v>22.92</v>
      </c>
      <c r="E12" s="112">
        <v>6.8</v>
      </c>
      <c r="F12" s="112">
        <v>5.67</v>
      </c>
      <c r="G12" s="112">
        <v>31.32</v>
      </c>
      <c r="H12" s="112">
        <v>12.03</v>
      </c>
      <c r="I12" s="112">
        <v>4.3499999999999996</v>
      </c>
      <c r="J12" s="112">
        <v>0.35</v>
      </c>
      <c r="K12" s="112">
        <v>49.49</v>
      </c>
      <c r="L12" s="112">
        <v>25.23</v>
      </c>
      <c r="M12" s="112">
        <v>93.81</v>
      </c>
      <c r="N12" s="112">
        <v>0</v>
      </c>
      <c r="O12" s="112">
        <v>0</v>
      </c>
      <c r="P12" s="112">
        <v>0.68</v>
      </c>
      <c r="Q12" s="112">
        <v>5.94</v>
      </c>
    </row>
    <row r="13" spans="1:21" customFormat="1">
      <c r="A13" s="189" t="s">
        <v>723</v>
      </c>
      <c r="B13" s="112">
        <v>13.9</v>
      </c>
      <c r="C13" s="112">
        <v>18.09</v>
      </c>
      <c r="D13" s="112">
        <v>21.95</v>
      </c>
      <c r="E13" s="112">
        <v>6.62</v>
      </c>
      <c r="F13" s="112">
        <v>7.13</v>
      </c>
      <c r="G13" s="112">
        <v>31.13</v>
      </c>
      <c r="H13" s="112">
        <v>12.03</v>
      </c>
      <c r="I13" s="112">
        <v>4.46</v>
      </c>
      <c r="J13" s="112">
        <v>0.31</v>
      </c>
      <c r="K13" s="112">
        <v>49.07</v>
      </c>
      <c r="L13" s="112">
        <v>25.14</v>
      </c>
      <c r="M13" s="112">
        <v>94.12</v>
      </c>
      <c r="N13" s="112">
        <v>0</v>
      </c>
      <c r="O13" s="112">
        <v>0</v>
      </c>
      <c r="P13" s="112">
        <v>0.63</v>
      </c>
      <c r="Q13" s="112">
        <v>5.87</v>
      </c>
    </row>
    <row r="14" spans="1:21" customFormat="1">
      <c r="A14" s="189" t="s">
        <v>724</v>
      </c>
      <c r="B14" s="112">
        <v>13.8</v>
      </c>
      <c r="C14" s="112">
        <v>17.809999999999999</v>
      </c>
      <c r="D14" s="112">
        <v>21.72</v>
      </c>
      <c r="E14" s="112">
        <v>6.4</v>
      </c>
      <c r="F14" s="112">
        <v>6.79</v>
      </c>
      <c r="G14" s="112">
        <v>31.13</v>
      </c>
      <c r="H14" s="112">
        <v>12.03</v>
      </c>
      <c r="I14" s="112">
        <v>4.26</v>
      </c>
      <c r="J14" s="112">
        <v>0.23</v>
      </c>
      <c r="K14" s="112">
        <v>74.86</v>
      </c>
      <c r="L14" s="112">
        <v>25.23</v>
      </c>
      <c r="M14" s="112">
        <v>93.53</v>
      </c>
      <c r="N14" s="112">
        <v>0</v>
      </c>
      <c r="O14" s="112">
        <v>0</v>
      </c>
      <c r="P14" s="112">
        <v>0.64</v>
      </c>
      <c r="Q14" s="112">
        <v>5.82</v>
      </c>
    </row>
    <row r="15" spans="1:21" customFormat="1">
      <c r="A15" s="189" t="s">
        <v>725</v>
      </c>
      <c r="B15" s="112">
        <v>14.07</v>
      </c>
      <c r="C15" s="112">
        <v>20.03</v>
      </c>
      <c r="D15" s="112">
        <v>23.1</v>
      </c>
      <c r="E15" s="112">
        <v>7.14</v>
      </c>
      <c r="F15" s="112">
        <v>4.5999999999999996</v>
      </c>
      <c r="G15" s="112">
        <v>31.13</v>
      </c>
      <c r="H15" s="112">
        <v>12.03</v>
      </c>
      <c r="I15" s="112">
        <v>4.2</v>
      </c>
      <c r="J15" s="112">
        <v>0.14000000000000001</v>
      </c>
      <c r="K15" s="112">
        <v>129.91</v>
      </c>
      <c r="L15" s="112">
        <v>25.28</v>
      </c>
      <c r="M15" s="112">
        <v>94.35</v>
      </c>
      <c r="N15" s="112">
        <v>0</v>
      </c>
      <c r="O15" s="112">
        <v>0</v>
      </c>
      <c r="P15" s="112">
        <v>0.67</v>
      </c>
      <c r="Q15" s="112">
        <v>5.88</v>
      </c>
    </row>
    <row r="16" spans="1:21" customFormat="1">
      <c r="A16" s="189" t="s">
        <v>726</v>
      </c>
      <c r="B16" s="112">
        <v>14.18</v>
      </c>
      <c r="C16" s="112">
        <v>19.23</v>
      </c>
      <c r="D16" s="112">
        <v>22.77</v>
      </c>
      <c r="E16" s="112">
        <v>6.67</v>
      </c>
      <c r="F16" s="112">
        <v>5.14</v>
      </c>
      <c r="G16" s="112">
        <v>25.21</v>
      </c>
      <c r="H16" s="112">
        <v>11.11</v>
      </c>
      <c r="I16" s="112">
        <v>4.18</v>
      </c>
      <c r="J16" s="112">
        <v>0.17</v>
      </c>
      <c r="K16" s="112">
        <v>174.18</v>
      </c>
      <c r="L16" s="112">
        <v>25.28</v>
      </c>
      <c r="M16" s="112">
        <v>94.56</v>
      </c>
      <c r="N16" s="112">
        <v>0</v>
      </c>
      <c r="O16" s="112">
        <v>0</v>
      </c>
      <c r="P16" s="112">
        <v>0.66</v>
      </c>
      <c r="Q16" s="112">
        <v>5.88</v>
      </c>
    </row>
    <row r="17" spans="1:17" customFormat="1">
      <c r="A17" s="189" t="s">
        <v>727</v>
      </c>
      <c r="B17" s="112">
        <v>13.76</v>
      </c>
      <c r="C17" s="112">
        <v>17.68</v>
      </c>
      <c r="D17" s="112">
        <v>21.62</v>
      </c>
      <c r="E17" s="112">
        <v>6.37</v>
      </c>
      <c r="F17" s="112">
        <v>6.86</v>
      </c>
      <c r="G17" s="112">
        <v>24.86</v>
      </c>
      <c r="H17" s="112">
        <v>11.11</v>
      </c>
      <c r="I17" s="112">
        <v>4.32</v>
      </c>
      <c r="J17" s="112">
        <v>7.0000000000000007E-2</v>
      </c>
      <c r="K17" s="112">
        <v>240.49</v>
      </c>
      <c r="L17" s="112">
        <v>25.18</v>
      </c>
      <c r="M17" s="112">
        <v>95.49</v>
      </c>
      <c r="N17" s="112">
        <v>0</v>
      </c>
      <c r="O17" s="112">
        <v>0</v>
      </c>
      <c r="P17" s="112">
        <v>0.63</v>
      </c>
      <c r="Q17" s="112">
        <v>5.83</v>
      </c>
    </row>
    <row r="18" spans="1:17" customFormat="1">
      <c r="A18" s="189" t="s">
        <v>728</v>
      </c>
      <c r="B18" s="112">
        <v>13.3</v>
      </c>
      <c r="C18" s="112">
        <v>16.78</v>
      </c>
      <c r="D18" s="112">
        <v>20.79</v>
      </c>
      <c r="E18" s="112">
        <v>7.92</v>
      </c>
      <c r="F18" s="112">
        <v>6.82</v>
      </c>
      <c r="G18" s="112">
        <v>24.86</v>
      </c>
      <c r="H18" s="112">
        <v>11.11</v>
      </c>
      <c r="I18" s="112">
        <v>4.18</v>
      </c>
      <c r="J18" s="112">
        <v>0.22</v>
      </c>
      <c r="K18" s="112">
        <v>265.62</v>
      </c>
      <c r="L18" s="112">
        <v>25.27</v>
      </c>
      <c r="M18" s="112">
        <v>95.4</v>
      </c>
      <c r="N18" s="112">
        <v>0</v>
      </c>
      <c r="O18" s="112">
        <v>0</v>
      </c>
      <c r="P18" s="112">
        <v>0.6</v>
      </c>
      <c r="Q18" s="112">
        <v>5.8</v>
      </c>
    </row>
    <row r="19" spans="1:17" customFormat="1">
      <c r="A19" s="189" t="s">
        <v>729</v>
      </c>
      <c r="B19" s="112">
        <v>13.24</v>
      </c>
      <c r="C19" s="112">
        <v>17.78</v>
      </c>
      <c r="D19" s="112">
        <v>21.26</v>
      </c>
      <c r="E19" s="112">
        <v>7.46</v>
      </c>
      <c r="F19" s="112">
        <v>5.82</v>
      </c>
      <c r="G19" s="112">
        <v>24.86</v>
      </c>
      <c r="H19" s="112">
        <v>11.11</v>
      </c>
      <c r="I19" s="112">
        <v>4.04</v>
      </c>
      <c r="J19" s="112">
        <v>0.19</v>
      </c>
      <c r="K19" s="112">
        <v>257.85000000000002</v>
      </c>
      <c r="L19" s="112">
        <v>25.39</v>
      </c>
      <c r="M19" s="112">
        <v>95.18</v>
      </c>
      <c r="N19" s="112">
        <v>0</v>
      </c>
      <c r="O19" s="112">
        <v>0</v>
      </c>
      <c r="P19" s="112">
        <v>0.61</v>
      </c>
      <c r="Q19" s="112">
        <v>5.74</v>
      </c>
    </row>
    <row r="20" spans="1:17" customFormat="1">
      <c r="A20" s="189" t="s">
        <v>730</v>
      </c>
      <c r="B20" s="112">
        <v>13.61</v>
      </c>
      <c r="C20" s="112">
        <v>19.23</v>
      </c>
      <c r="D20" s="112">
        <v>22.31</v>
      </c>
      <c r="E20" s="112">
        <v>7.96</v>
      </c>
      <c r="F20" s="112">
        <v>4.8499999999999996</v>
      </c>
      <c r="G20" s="112">
        <v>20.12</v>
      </c>
      <c r="H20" s="112">
        <v>11.19</v>
      </c>
      <c r="I20" s="112">
        <v>4</v>
      </c>
      <c r="J20" s="112">
        <v>0.12</v>
      </c>
      <c r="K20" s="112">
        <v>200.14</v>
      </c>
      <c r="L20" s="112">
        <v>25.13</v>
      </c>
      <c r="M20" s="112">
        <v>93.56</v>
      </c>
      <c r="N20" s="112">
        <v>0</v>
      </c>
      <c r="O20" s="112">
        <v>0.2</v>
      </c>
      <c r="P20" s="112">
        <v>0.64</v>
      </c>
      <c r="Q20" s="112">
        <v>5.82</v>
      </c>
    </row>
    <row r="21" spans="1:17" customFormat="1">
      <c r="A21" s="189" t="s">
        <v>731</v>
      </c>
      <c r="B21" s="112">
        <v>13.8</v>
      </c>
      <c r="C21" s="112">
        <v>18.149999999999999</v>
      </c>
      <c r="D21" s="112">
        <v>21.9</v>
      </c>
      <c r="E21" s="112">
        <v>8.0399999999999991</v>
      </c>
      <c r="F21" s="112">
        <v>4.96</v>
      </c>
      <c r="G21" s="112">
        <v>19.84</v>
      </c>
      <c r="H21" s="112">
        <v>11.19</v>
      </c>
      <c r="I21" s="112">
        <v>4.0599999999999996</v>
      </c>
      <c r="J21" s="112">
        <v>0.16</v>
      </c>
      <c r="K21" s="112">
        <v>75.099999999999994</v>
      </c>
      <c r="L21" s="112">
        <v>24.83</v>
      </c>
      <c r="M21" s="112">
        <v>94.11</v>
      </c>
      <c r="N21" s="112">
        <v>0</v>
      </c>
      <c r="O21" s="112">
        <v>0</v>
      </c>
      <c r="P21" s="112">
        <v>0.62</v>
      </c>
      <c r="Q21" s="112">
        <v>5.79</v>
      </c>
    </row>
    <row r="22" spans="1:17" customFormat="1">
      <c r="A22" s="189" t="s">
        <v>732</v>
      </c>
      <c r="B22" s="112">
        <v>13.72</v>
      </c>
      <c r="C22" s="112">
        <v>18.239999999999998</v>
      </c>
      <c r="D22" s="112">
        <v>21.88</v>
      </c>
      <c r="E22" s="112">
        <v>7.82</v>
      </c>
      <c r="F22" s="112">
        <v>4.8</v>
      </c>
      <c r="G22" s="112">
        <v>19.84</v>
      </c>
      <c r="H22" s="112">
        <v>11.19</v>
      </c>
      <c r="I22" s="112">
        <v>4.13</v>
      </c>
      <c r="J22" s="112">
        <v>0.34</v>
      </c>
      <c r="K22" s="112">
        <v>55.49</v>
      </c>
      <c r="L22" s="112">
        <v>24.76</v>
      </c>
      <c r="M22" s="112">
        <v>94.15</v>
      </c>
      <c r="N22" s="112">
        <v>0</v>
      </c>
      <c r="O22" s="112">
        <v>0</v>
      </c>
      <c r="P22" s="112">
        <v>0.61</v>
      </c>
      <c r="Q22" s="112">
        <v>5.76</v>
      </c>
    </row>
    <row r="23" spans="1:17" customFormat="1">
      <c r="A23" s="189" t="s">
        <v>733</v>
      </c>
      <c r="B23" s="112">
        <v>13.59</v>
      </c>
      <c r="C23" s="112">
        <v>19.63</v>
      </c>
      <c r="D23" s="112">
        <v>22.51</v>
      </c>
      <c r="E23" s="112">
        <v>8.3800000000000008</v>
      </c>
      <c r="F23" s="112">
        <v>4.51</v>
      </c>
      <c r="G23" s="112">
        <v>19.84</v>
      </c>
      <c r="H23" s="112">
        <v>11.19</v>
      </c>
      <c r="I23" s="112">
        <v>4.0999999999999996</v>
      </c>
      <c r="J23" s="112">
        <v>0.13</v>
      </c>
      <c r="K23" s="112">
        <v>135.76</v>
      </c>
      <c r="L23" s="112">
        <v>25.05</v>
      </c>
      <c r="M23" s="112">
        <v>93.97</v>
      </c>
      <c r="N23" s="112">
        <v>0</v>
      </c>
      <c r="O23" s="112">
        <v>0</v>
      </c>
      <c r="P23" s="112">
        <v>0.63</v>
      </c>
      <c r="Q23" s="112">
        <v>5.8</v>
      </c>
    </row>
    <row r="24" spans="1:17" customFormat="1">
      <c r="A24" s="189" t="s">
        <v>734</v>
      </c>
      <c r="B24" s="112">
        <v>13.33</v>
      </c>
      <c r="C24" s="112">
        <v>17.93</v>
      </c>
      <c r="D24" s="112">
        <v>21.41</v>
      </c>
      <c r="E24" s="112">
        <v>8.06</v>
      </c>
      <c r="F24" s="112">
        <v>6.52</v>
      </c>
      <c r="G24" s="112">
        <v>18.510000000000002</v>
      </c>
      <c r="H24" s="112">
        <v>8</v>
      </c>
      <c r="I24" s="112">
        <v>4.08</v>
      </c>
      <c r="J24" s="112">
        <v>0.08</v>
      </c>
      <c r="K24" s="112">
        <v>165.86</v>
      </c>
      <c r="L24" s="112">
        <v>25.09</v>
      </c>
      <c r="M24" s="112">
        <v>95.05</v>
      </c>
      <c r="N24" s="112">
        <v>0</v>
      </c>
      <c r="O24" s="112">
        <v>0</v>
      </c>
      <c r="P24" s="112">
        <v>0.6</v>
      </c>
      <c r="Q24" s="112">
        <v>5.8</v>
      </c>
    </row>
    <row r="25" spans="1:17" customFormat="1">
      <c r="A25" s="189" t="s">
        <v>735</v>
      </c>
      <c r="B25" s="112">
        <v>13.16</v>
      </c>
      <c r="C25" s="112">
        <v>16.43</v>
      </c>
      <c r="D25" s="112">
        <v>20.49</v>
      </c>
      <c r="E25" s="112">
        <v>8.2100000000000009</v>
      </c>
      <c r="F25" s="112">
        <v>6.83</v>
      </c>
      <c r="G25" s="112">
        <v>18.440000000000001</v>
      </c>
      <c r="H25" s="112">
        <v>8</v>
      </c>
      <c r="I25" s="112">
        <v>4.07</v>
      </c>
      <c r="J25" s="112">
        <v>0.1</v>
      </c>
      <c r="K25" s="112">
        <v>223.1</v>
      </c>
      <c r="L25" s="112">
        <v>25.09</v>
      </c>
      <c r="M25" s="112">
        <v>95.3</v>
      </c>
      <c r="N25" s="112">
        <v>0</v>
      </c>
      <c r="O25" s="112">
        <v>0</v>
      </c>
      <c r="P25" s="112">
        <v>0.56000000000000005</v>
      </c>
      <c r="Q25" s="112">
        <v>5.74</v>
      </c>
    </row>
    <row r="26" spans="1:17" customFormat="1">
      <c r="A26" s="189" t="s">
        <v>736</v>
      </c>
      <c r="B26" s="112">
        <v>12.84</v>
      </c>
      <c r="C26" s="112">
        <v>17.079999999999998</v>
      </c>
      <c r="D26" s="112">
        <v>20.57</v>
      </c>
      <c r="E26" s="112">
        <v>7.87</v>
      </c>
      <c r="F26" s="112">
        <v>6.14</v>
      </c>
      <c r="G26" s="112">
        <v>18.440000000000001</v>
      </c>
      <c r="H26" s="112">
        <v>8</v>
      </c>
      <c r="I26" s="112">
        <v>3.88</v>
      </c>
      <c r="J26" s="112">
        <v>0.08</v>
      </c>
      <c r="K26" s="112">
        <v>63.99</v>
      </c>
      <c r="L26" s="112">
        <v>25.19</v>
      </c>
      <c r="M26" s="112">
        <v>95.88</v>
      </c>
      <c r="N26" s="112">
        <v>0</v>
      </c>
      <c r="O26" s="112">
        <v>0</v>
      </c>
      <c r="P26" s="112">
        <v>0.57999999999999996</v>
      </c>
      <c r="Q26" s="112">
        <v>5.73</v>
      </c>
    </row>
    <row r="27" spans="1:17" customFormat="1">
      <c r="A27" s="189" t="s">
        <v>737</v>
      </c>
      <c r="B27" s="112">
        <v>13.21</v>
      </c>
      <c r="C27" s="112">
        <v>18.850000000000001</v>
      </c>
      <c r="D27" s="112">
        <v>21.8</v>
      </c>
      <c r="E27" s="112">
        <v>8.15</v>
      </c>
      <c r="F27" s="112">
        <v>4.72</v>
      </c>
      <c r="G27" s="112">
        <v>18.440000000000001</v>
      </c>
      <c r="H27" s="112">
        <v>8</v>
      </c>
      <c r="I27" s="112">
        <v>3.82</v>
      </c>
      <c r="J27" s="112">
        <v>0.05</v>
      </c>
      <c r="K27" s="112">
        <v>127.42</v>
      </c>
      <c r="L27" s="112">
        <v>25.31</v>
      </c>
      <c r="M27" s="112">
        <v>95.72</v>
      </c>
      <c r="N27" s="112">
        <v>0</v>
      </c>
      <c r="O27" s="112">
        <v>0</v>
      </c>
      <c r="P27" s="112">
        <v>0.59</v>
      </c>
      <c r="Q27" s="112">
        <v>5.77</v>
      </c>
    </row>
    <row r="28" spans="1:17" customFormat="1">
      <c r="A28" s="189" t="s">
        <v>738</v>
      </c>
      <c r="B28" s="112">
        <v>13.08</v>
      </c>
      <c r="C28" s="112">
        <v>17.22</v>
      </c>
      <c r="D28" s="112">
        <v>20.84</v>
      </c>
      <c r="E28" s="112">
        <v>7.75</v>
      </c>
      <c r="F28" s="112">
        <v>5.88</v>
      </c>
      <c r="G28" s="112">
        <v>15.19</v>
      </c>
      <c r="H28" s="112">
        <v>6.19</v>
      </c>
      <c r="I28" s="112">
        <v>3.87</v>
      </c>
      <c r="J28" s="112">
        <v>0.06</v>
      </c>
      <c r="K28" s="112">
        <v>174.78</v>
      </c>
      <c r="L28" s="112">
        <v>25.36</v>
      </c>
      <c r="M28" s="112">
        <v>95.99</v>
      </c>
      <c r="N28" s="112">
        <v>0</v>
      </c>
      <c r="O28" s="112">
        <v>0</v>
      </c>
      <c r="P28" s="112">
        <v>0.57999999999999996</v>
      </c>
      <c r="Q28" s="112">
        <v>5.76</v>
      </c>
    </row>
    <row r="29" spans="1:17" customFormat="1">
      <c r="A29" s="189" t="s">
        <v>739</v>
      </c>
      <c r="B29" s="112">
        <v>13.01</v>
      </c>
      <c r="C29" s="112">
        <v>16.28</v>
      </c>
      <c r="D29" s="112">
        <v>20.29</v>
      </c>
      <c r="E29" s="112">
        <v>7.68</v>
      </c>
      <c r="F29" s="112">
        <v>6.3</v>
      </c>
      <c r="G29" s="112">
        <v>15</v>
      </c>
      <c r="H29" s="112">
        <v>6.19</v>
      </c>
      <c r="I29" s="112">
        <v>3.95</v>
      </c>
      <c r="J29" s="112">
        <v>0.08</v>
      </c>
      <c r="K29" s="112">
        <v>128.44999999999999</v>
      </c>
      <c r="L29" s="112">
        <v>25.44</v>
      </c>
      <c r="M29" s="112">
        <v>95.59</v>
      </c>
      <c r="N29" s="112">
        <v>0</v>
      </c>
      <c r="O29" s="112">
        <v>0</v>
      </c>
      <c r="P29" s="112">
        <v>0.56000000000000005</v>
      </c>
      <c r="Q29" s="112">
        <v>5.7</v>
      </c>
    </row>
    <row r="30" spans="1:17" customFormat="1">
      <c r="A30" s="189" t="s">
        <v>740</v>
      </c>
      <c r="B30" s="112">
        <v>13.08</v>
      </c>
      <c r="C30" s="112">
        <v>17.52</v>
      </c>
      <c r="D30" s="112">
        <v>20.99</v>
      </c>
      <c r="E30" s="112">
        <v>7.99</v>
      </c>
      <c r="F30" s="112">
        <v>5.2</v>
      </c>
      <c r="G30" s="112">
        <v>15</v>
      </c>
      <c r="H30" s="112">
        <v>6.19</v>
      </c>
      <c r="I30" s="112">
        <v>3.8</v>
      </c>
      <c r="J30" s="112">
        <v>0.06</v>
      </c>
      <c r="K30" s="112">
        <v>96.29</v>
      </c>
      <c r="L30" s="112">
        <v>25.48</v>
      </c>
      <c r="M30" s="112">
        <v>95.24</v>
      </c>
      <c r="N30" s="112">
        <v>0</v>
      </c>
      <c r="O30" s="112">
        <v>0</v>
      </c>
      <c r="P30" s="112">
        <v>0.56999999999999995</v>
      </c>
      <c r="Q30" s="112">
        <v>5.71</v>
      </c>
    </row>
    <row r="31" spans="1:17" customFormat="1">
      <c r="A31" s="189" t="s">
        <v>741</v>
      </c>
      <c r="B31" s="112">
        <v>13.43</v>
      </c>
      <c r="C31" s="112">
        <v>18.940000000000001</v>
      </c>
      <c r="D31" s="112">
        <v>22.01</v>
      </c>
      <c r="E31" s="112">
        <v>8.5</v>
      </c>
      <c r="F31" s="112">
        <v>4.3499999999999996</v>
      </c>
      <c r="G31" s="112">
        <v>15</v>
      </c>
      <c r="H31" s="112">
        <v>6.19</v>
      </c>
      <c r="I31" s="112">
        <v>3.82</v>
      </c>
      <c r="J31" s="112">
        <v>0.11</v>
      </c>
      <c r="K31" s="112">
        <v>70.319999999999993</v>
      </c>
      <c r="L31" s="112">
        <v>25.49</v>
      </c>
      <c r="M31" s="112">
        <v>95.45</v>
      </c>
      <c r="N31" s="112">
        <v>0</v>
      </c>
      <c r="O31" s="112">
        <v>2.2000000000000002</v>
      </c>
      <c r="P31" s="112">
        <v>0.6</v>
      </c>
      <c r="Q31" s="112">
        <v>5.75</v>
      </c>
    </row>
    <row r="32" spans="1:17" customFormat="1">
      <c r="A32" s="189" t="s">
        <v>742</v>
      </c>
      <c r="B32" s="112">
        <v>14.5</v>
      </c>
      <c r="C32" s="112">
        <v>18.12</v>
      </c>
      <c r="D32" s="112">
        <v>22.45</v>
      </c>
      <c r="E32" s="112">
        <v>8.0299999999999994</v>
      </c>
      <c r="F32" s="112">
        <v>4.88</v>
      </c>
      <c r="G32" s="112">
        <v>15.11</v>
      </c>
      <c r="H32" s="112">
        <v>6.64</v>
      </c>
      <c r="I32" s="112">
        <v>3.92</v>
      </c>
      <c r="J32" s="112">
        <v>0.16</v>
      </c>
      <c r="K32" s="112">
        <v>95.57</v>
      </c>
      <c r="L32" s="112">
        <v>25.26</v>
      </c>
      <c r="M32" s="112">
        <v>97.57</v>
      </c>
      <c r="N32" s="112">
        <v>0.3</v>
      </c>
      <c r="O32" s="112">
        <v>0.6</v>
      </c>
      <c r="P32" s="112">
        <v>0.57999999999999996</v>
      </c>
      <c r="Q32" s="112">
        <v>5.75</v>
      </c>
    </row>
    <row r="33" spans="1:17" customFormat="1">
      <c r="A33" s="189" t="s">
        <v>743</v>
      </c>
      <c r="B33" s="112">
        <v>14.22</v>
      </c>
      <c r="C33" s="112">
        <v>17.37</v>
      </c>
      <c r="D33" s="112">
        <v>21.83</v>
      </c>
      <c r="E33" s="112">
        <v>7.89</v>
      </c>
      <c r="F33" s="112">
        <v>5.33</v>
      </c>
      <c r="G33" s="112">
        <v>15.11</v>
      </c>
      <c r="H33" s="112">
        <v>6.64</v>
      </c>
      <c r="I33" s="112">
        <v>3.95</v>
      </c>
      <c r="J33" s="112">
        <v>0.34</v>
      </c>
      <c r="K33" s="112">
        <v>59.49</v>
      </c>
      <c r="L33" s="112">
        <v>25.31</v>
      </c>
      <c r="M33" s="112">
        <v>98.01</v>
      </c>
      <c r="N33" s="112">
        <v>24.6</v>
      </c>
      <c r="O33" s="112">
        <v>0</v>
      </c>
      <c r="P33" s="112">
        <v>0.56000000000000005</v>
      </c>
      <c r="Q33" s="112">
        <v>5.77</v>
      </c>
    </row>
    <row r="34" spans="1:17" customFormat="1">
      <c r="A34" s="189" t="s">
        <v>744</v>
      </c>
      <c r="B34" s="112">
        <v>14.47</v>
      </c>
      <c r="C34" s="112">
        <v>18.77</v>
      </c>
      <c r="D34" s="112">
        <v>22.76</v>
      </c>
      <c r="E34" s="112">
        <v>8.35</v>
      </c>
      <c r="F34" s="112">
        <v>4.54</v>
      </c>
      <c r="G34" s="112">
        <v>15.11</v>
      </c>
      <c r="H34" s="112">
        <v>6.64</v>
      </c>
      <c r="I34" s="112">
        <v>3.84</v>
      </c>
      <c r="J34" s="112">
        <v>0.36</v>
      </c>
      <c r="K34" s="112">
        <v>60.53</v>
      </c>
      <c r="L34" s="112">
        <v>25.43</v>
      </c>
      <c r="M34" s="112">
        <v>98.08</v>
      </c>
      <c r="N34" s="112">
        <v>72.7</v>
      </c>
      <c r="O34" s="112">
        <v>0</v>
      </c>
      <c r="P34" s="112">
        <v>0.59</v>
      </c>
      <c r="Q34" s="112">
        <v>5.79</v>
      </c>
    </row>
    <row r="35" spans="1:17" customFormat="1">
      <c r="A35" s="189" t="s">
        <v>745</v>
      </c>
      <c r="B35" s="112">
        <v>14.69</v>
      </c>
      <c r="C35" s="112">
        <v>18.36</v>
      </c>
      <c r="D35" s="112">
        <v>22.72</v>
      </c>
      <c r="E35" s="112">
        <v>7.64</v>
      </c>
      <c r="F35" s="112">
        <v>4.78</v>
      </c>
      <c r="G35" s="112">
        <v>15.11</v>
      </c>
      <c r="H35" s="112">
        <v>6.64</v>
      </c>
      <c r="I35" s="112">
        <v>3.86</v>
      </c>
      <c r="J35" s="112">
        <v>0.28999999999999998</v>
      </c>
      <c r="K35" s="112">
        <v>63.32</v>
      </c>
      <c r="L35" s="112">
        <v>25.88</v>
      </c>
      <c r="M35" s="112">
        <v>97.33</v>
      </c>
      <c r="N35" s="112">
        <v>84.1</v>
      </c>
      <c r="O35" s="112">
        <v>0</v>
      </c>
      <c r="P35" s="112">
        <v>0.59</v>
      </c>
      <c r="Q35" s="112">
        <v>5.83</v>
      </c>
    </row>
    <row r="36" spans="1:17" customFormat="1">
      <c r="A36" s="189" t="s">
        <v>746</v>
      </c>
      <c r="B36" s="112">
        <v>14.55</v>
      </c>
      <c r="C36" s="112">
        <v>17.18</v>
      </c>
      <c r="D36" s="112">
        <v>22</v>
      </c>
      <c r="E36" s="112">
        <v>7.85</v>
      </c>
      <c r="F36" s="112">
        <v>5.64</v>
      </c>
      <c r="G36" s="112">
        <v>16.84</v>
      </c>
      <c r="H36" s="112">
        <v>7.22</v>
      </c>
      <c r="I36" s="112">
        <v>3.99</v>
      </c>
      <c r="J36" s="112">
        <v>0.32</v>
      </c>
      <c r="K36" s="112">
        <v>71.040000000000006</v>
      </c>
      <c r="L36" s="112">
        <v>26.05</v>
      </c>
      <c r="M36" s="112">
        <v>95.35</v>
      </c>
      <c r="N36" s="112">
        <v>76.5</v>
      </c>
      <c r="O36" s="112">
        <v>0</v>
      </c>
      <c r="P36" s="112">
        <v>0.56999999999999995</v>
      </c>
      <c r="Q36" s="112">
        <v>5.82</v>
      </c>
    </row>
    <row r="37" spans="1:17" customFormat="1">
      <c r="A37" s="189" t="s">
        <v>747</v>
      </c>
      <c r="B37" s="112">
        <v>14.62</v>
      </c>
      <c r="C37" s="112">
        <v>17</v>
      </c>
      <c r="D37" s="112">
        <v>21.96</v>
      </c>
      <c r="E37" s="112">
        <v>7.88</v>
      </c>
      <c r="F37" s="112">
        <v>5.53</v>
      </c>
      <c r="G37" s="112">
        <v>16.940000000000001</v>
      </c>
      <c r="H37" s="112">
        <v>7.22</v>
      </c>
      <c r="I37" s="112">
        <v>3.94</v>
      </c>
      <c r="J37" s="112">
        <v>0.32</v>
      </c>
      <c r="K37" s="112">
        <v>64.16</v>
      </c>
      <c r="L37" s="112">
        <v>26.14</v>
      </c>
      <c r="M37" s="112">
        <v>93.56</v>
      </c>
      <c r="N37" s="112">
        <v>74.3</v>
      </c>
      <c r="O37" s="112">
        <v>0</v>
      </c>
      <c r="P37" s="112">
        <v>0.55000000000000004</v>
      </c>
      <c r="Q37" s="112">
        <v>5.8</v>
      </c>
    </row>
    <row r="38" spans="1:17" customFormat="1">
      <c r="A38" s="189" t="s">
        <v>748</v>
      </c>
      <c r="B38" s="112">
        <v>14.81</v>
      </c>
      <c r="C38" s="112">
        <v>18.899999999999999</v>
      </c>
      <c r="D38" s="112">
        <v>23.1</v>
      </c>
      <c r="E38" s="112">
        <v>8.34</v>
      </c>
      <c r="F38" s="112">
        <v>4.25</v>
      </c>
      <c r="G38" s="112">
        <v>16.940000000000001</v>
      </c>
      <c r="H38" s="112">
        <v>7.22</v>
      </c>
      <c r="I38" s="112">
        <v>3.82</v>
      </c>
      <c r="J38" s="112">
        <v>0.37</v>
      </c>
      <c r="K38" s="112">
        <v>78.709999999999994</v>
      </c>
      <c r="L38" s="112">
        <v>26.17</v>
      </c>
      <c r="M38" s="112">
        <v>91.77</v>
      </c>
      <c r="N38" s="112">
        <v>79.3</v>
      </c>
      <c r="O38" s="112">
        <v>0.2</v>
      </c>
      <c r="P38" s="112">
        <v>0.59</v>
      </c>
      <c r="Q38" s="112">
        <v>5.85</v>
      </c>
    </row>
    <row r="39" spans="1:17" customFormat="1">
      <c r="A39" s="189" t="s">
        <v>749</v>
      </c>
      <c r="B39" s="112">
        <v>14.86</v>
      </c>
      <c r="C39" s="112">
        <v>18.399999999999999</v>
      </c>
      <c r="D39" s="112">
        <v>22.88</v>
      </c>
      <c r="E39" s="112">
        <v>8.31</v>
      </c>
      <c r="F39" s="112">
        <v>4.74</v>
      </c>
      <c r="G39" s="112">
        <v>16.940000000000001</v>
      </c>
      <c r="H39" s="112">
        <v>7.22</v>
      </c>
      <c r="I39" s="112">
        <v>3.87</v>
      </c>
      <c r="J39" s="112">
        <v>0.22</v>
      </c>
      <c r="K39" s="112">
        <v>114.17</v>
      </c>
      <c r="L39" s="112">
        <v>26.26</v>
      </c>
      <c r="M39" s="112">
        <v>91</v>
      </c>
      <c r="N39" s="112">
        <v>105.1</v>
      </c>
      <c r="O39" s="112">
        <v>0</v>
      </c>
      <c r="P39" s="112">
        <v>0.57999999999999996</v>
      </c>
      <c r="Q39" s="112">
        <v>5.86</v>
      </c>
    </row>
    <row r="40" spans="1:17" customFormat="1">
      <c r="A40" s="189" t="s">
        <v>750</v>
      </c>
      <c r="B40" s="112">
        <v>14.69</v>
      </c>
      <c r="C40" s="112">
        <v>17.059999999999999</v>
      </c>
      <c r="D40" s="112">
        <v>22.05</v>
      </c>
      <c r="E40" s="112">
        <v>7.92</v>
      </c>
      <c r="F40" s="112">
        <v>5.28</v>
      </c>
      <c r="G40" s="112">
        <v>16.559999999999999</v>
      </c>
      <c r="H40" s="112">
        <v>5.18</v>
      </c>
      <c r="I40" s="112">
        <v>3.98</v>
      </c>
      <c r="J40" s="112">
        <v>0.36</v>
      </c>
      <c r="K40" s="112">
        <v>92.86</v>
      </c>
      <c r="L40" s="112">
        <v>26.57</v>
      </c>
      <c r="M40" s="112">
        <v>90.21</v>
      </c>
      <c r="N40" s="112">
        <v>130</v>
      </c>
      <c r="O40" s="112">
        <v>0</v>
      </c>
      <c r="P40" s="112">
        <v>0.56000000000000005</v>
      </c>
      <c r="Q40" s="112">
        <v>5.82</v>
      </c>
    </row>
    <row r="41" spans="1:17" customFormat="1">
      <c r="A41" s="189" t="s">
        <v>751</v>
      </c>
      <c r="B41" s="112">
        <v>14.5</v>
      </c>
      <c r="C41" s="112">
        <v>16.62</v>
      </c>
      <c r="D41" s="112">
        <v>21.66</v>
      </c>
      <c r="E41" s="112">
        <v>7.89</v>
      </c>
      <c r="F41" s="112">
        <v>5.73</v>
      </c>
      <c r="G41" s="112">
        <v>16.54</v>
      </c>
      <c r="H41" s="112">
        <v>5.18</v>
      </c>
      <c r="I41" s="112">
        <v>3.89</v>
      </c>
      <c r="J41" s="112">
        <v>0.24</v>
      </c>
      <c r="K41" s="112">
        <v>87.03</v>
      </c>
      <c r="L41" s="112">
        <v>26.88</v>
      </c>
      <c r="M41" s="112">
        <v>89.23</v>
      </c>
      <c r="N41" s="112">
        <v>138.9</v>
      </c>
      <c r="O41" s="112">
        <v>0</v>
      </c>
      <c r="P41" s="112">
        <v>0.55000000000000004</v>
      </c>
      <c r="Q41" s="112">
        <v>5.78</v>
      </c>
    </row>
    <row r="42" spans="1:17" customFormat="1">
      <c r="A42" s="189" t="s">
        <v>752</v>
      </c>
      <c r="B42" s="112">
        <v>14.34</v>
      </c>
      <c r="C42" s="112">
        <v>16.329999999999998</v>
      </c>
      <c r="D42" s="112">
        <v>21.39</v>
      </c>
      <c r="E42" s="112">
        <v>8.1999999999999993</v>
      </c>
      <c r="F42" s="112">
        <v>5.61</v>
      </c>
      <c r="G42" s="112">
        <v>16.54</v>
      </c>
      <c r="H42" s="112">
        <v>5.18</v>
      </c>
      <c r="I42" s="112">
        <v>3.78</v>
      </c>
      <c r="J42" s="112">
        <v>0.24</v>
      </c>
      <c r="K42" s="112">
        <v>126.79</v>
      </c>
      <c r="L42" s="112">
        <v>27.03</v>
      </c>
      <c r="M42" s="112">
        <v>87.33</v>
      </c>
      <c r="N42" s="112">
        <v>117.7</v>
      </c>
      <c r="O42" s="112">
        <v>0</v>
      </c>
      <c r="P42" s="112">
        <v>0.54</v>
      </c>
      <c r="Q42" s="112">
        <v>5.76</v>
      </c>
    </row>
    <row r="43" spans="1:17" customFormat="1">
      <c r="A43" s="189" t="s">
        <v>753</v>
      </c>
      <c r="B43" s="112">
        <v>14.06</v>
      </c>
      <c r="C43" s="112">
        <v>16.350000000000001</v>
      </c>
      <c r="D43" s="112">
        <v>21.16</v>
      </c>
      <c r="E43" s="112">
        <v>8.0399999999999991</v>
      </c>
      <c r="F43" s="112">
        <v>5.49</v>
      </c>
      <c r="G43" s="112">
        <v>16.54</v>
      </c>
      <c r="H43" s="112">
        <v>5.18</v>
      </c>
      <c r="I43" s="112">
        <v>3.74</v>
      </c>
      <c r="J43" s="112">
        <v>0.25</v>
      </c>
      <c r="K43" s="112">
        <v>130.85</v>
      </c>
      <c r="L43" s="112">
        <v>27.21</v>
      </c>
      <c r="M43" s="112">
        <v>86.12</v>
      </c>
      <c r="N43" s="112">
        <v>172.5</v>
      </c>
      <c r="O43" s="112">
        <v>0</v>
      </c>
      <c r="P43" s="112">
        <v>0.53</v>
      </c>
      <c r="Q43" s="112">
        <v>5.73</v>
      </c>
    </row>
    <row r="44" spans="1:17" customFormat="1">
      <c r="A44" s="189" t="s">
        <v>754</v>
      </c>
      <c r="B44" s="112">
        <v>13.89</v>
      </c>
      <c r="C44" s="112">
        <v>17.53</v>
      </c>
      <c r="D44" s="112">
        <v>21.65</v>
      </c>
      <c r="E44" s="112">
        <v>8.07</v>
      </c>
      <c r="F44" s="112">
        <v>4.8</v>
      </c>
      <c r="G44" s="112">
        <v>17.55</v>
      </c>
      <c r="H44" s="112">
        <v>5.88</v>
      </c>
      <c r="I44" s="112">
        <v>3.7</v>
      </c>
      <c r="J44" s="112">
        <v>0.3</v>
      </c>
      <c r="K44" s="112">
        <v>136</v>
      </c>
      <c r="L44" s="112">
        <v>27.91</v>
      </c>
      <c r="M44" s="112">
        <v>82.96</v>
      </c>
      <c r="N44" s="112">
        <v>288.89999999999998</v>
      </c>
      <c r="O44" s="112">
        <v>0</v>
      </c>
      <c r="P44" s="112">
        <v>0.55000000000000004</v>
      </c>
      <c r="Q44" s="112">
        <v>5.76</v>
      </c>
    </row>
    <row r="45" spans="1:17" customFormat="1">
      <c r="A45" s="189" t="s">
        <v>755</v>
      </c>
      <c r="B45" s="112">
        <v>13.97</v>
      </c>
      <c r="C45" s="112">
        <v>18.14</v>
      </c>
      <c r="D45" s="112">
        <v>22.03</v>
      </c>
      <c r="E45" s="112">
        <v>8.2200000000000006</v>
      </c>
      <c r="F45" s="112">
        <v>4.59</v>
      </c>
      <c r="G45" s="112">
        <v>17.61</v>
      </c>
      <c r="H45" s="112">
        <v>5.88</v>
      </c>
      <c r="I45" s="112">
        <v>3.7</v>
      </c>
      <c r="J45" s="112">
        <v>0.45</v>
      </c>
      <c r="K45" s="112">
        <v>134.52000000000001</v>
      </c>
      <c r="L45" s="112">
        <v>28.88</v>
      </c>
      <c r="M45" s="112">
        <v>78.67</v>
      </c>
      <c r="N45" s="112">
        <v>440.1</v>
      </c>
      <c r="O45" s="112">
        <v>0</v>
      </c>
      <c r="P45" s="112">
        <v>0.56000000000000005</v>
      </c>
      <c r="Q45" s="112">
        <v>5.8</v>
      </c>
    </row>
    <row r="46" spans="1:17" customFormat="1">
      <c r="A46" s="189" t="s">
        <v>756</v>
      </c>
      <c r="B46" s="112">
        <v>13.71</v>
      </c>
      <c r="C46" s="112">
        <v>17.190000000000001</v>
      </c>
      <c r="D46" s="112">
        <v>21.33</v>
      </c>
      <c r="E46" s="112">
        <v>7.87</v>
      </c>
      <c r="F46" s="112">
        <v>5.36</v>
      </c>
      <c r="G46" s="112">
        <v>17.61</v>
      </c>
      <c r="H46" s="112">
        <v>5.88</v>
      </c>
      <c r="I46" s="112">
        <v>3.73</v>
      </c>
      <c r="J46" s="112">
        <v>0.18</v>
      </c>
      <c r="K46" s="112">
        <v>115.57</v>
      </c>
      <c r="L46" s="112">
        <v>28.92</v>
      </c>
      <c r="M46" s="112">
        <v>79.930000000000007</v>
      </c>
      <c r="N46" s="112">
        <v>229.9</v>
      </c>
      <c r="O46" s="112">
        <v>0</v>
      </c>
      <c r="P46" s="112">
        <v>0.56000000000000005</v>
      </c>
      <c r="Q46" s="112">
        <v>5.74</v>
      </c>
    </row>
    <row r="47" spans="1:17" customFormat="1">
      <c r="A47" s="189" t="s">
        <v>757</v>
      </c>
      <c r="B47" s="112">
        <v>13.47</v>
      </c>
      <c r="C47" s="112">
        <v>16.53</v>
      </c>
      <c r="D47" s="112">
        <v>20.79</v>
      </c>
      <c r="E47" s="112">
        <v>7.87</v>
      </c>
      <c r="F47" s="112">
        <v>5.54</v>
      </c>
      <c r="G47" s="112">
        <v>17.61</v>
      </c>
      <c r="H47" s="112">
        <v>5.88</v>
      </c>
      <c r="I47" s="112">
        <v>3.73</v>
      </c>
      <c r="J47" s="112">
        <v>0.12</v>
      </c>
      <c r="K47" s="112">
        <v>128.88</v>
      </c>
      <c r="L47" s="112">
        <v>28.49</v>
      </c>
      <c r="M47" s="112">
        <v>81.36</v>
      </c>
      <c r="N47" s="112">
        <v>222.9</v>
      </c>
      <c r="O47" s="112">
        <v>0</v>
      </c>
      <c r="P47" s="112">
        <v>0.55000000000000004</v>
      </c>
      <c r="Q47" s="112">
        <v>5.69</v>
      </c>
    </row>
    <row r="48" spans="1:17" customFormat="1">
      <c r="A48" s="189" t="s">
        <v>758</v>
      </c>
      <c r="B48" s="112">
        <v>13.01</v>
      </c>
      <c r="C48" s="112">
        <v>16.32</v>
      </c>
      <c r="D48" s="112">
        <v>20.309999999999999</v>
      </c>
      <c r="E48" s="112">
        <v>7.69</v>
      </c>
      <c r="F48" s="112">
        <v>5.85</v>
      </c>
      <c r="G48" s="112">
        <v>16.34</v>
      </c>
      <c r="H48" s="112">
        <v>4.76</v>
      </c>
      <c r="I48" s="112">
        <v>3.68</v>
      </c>
      <c r="J48" s="112">
        <v>0.16</v>
      </c>
      <c r="K48" s="112">
        <v>107.12</v>
      </c>
      <c r="L48" s="112">
        <v>28.84</v>
      </c>
      <c r="M48" s="112">
        <v>79.900000000000006</v>
      </c>
      <c r="N48" s="112">
        <v>370.1</v>
      </c>
      <c r="O48" s="112">
        <v>0</v>
      </c>
      <c r="P48" s="112">
        <v>0.53</v>
      </c>
      <c r="Q48" s="112">
        <v>5.67</v>
      </c>
    </row>
    <row r="49" spans="1:17" customFormat="1">
      <c r="A49" s="189" t="s">
        <v>759</v>
      </c>
      <c r="B49" s="112">
        <v>12.76</v>
      </c>
      <c r="C49" s="112">
        <v>16.05</v>
      </c>
      <c r="D49" s="112">
        <v>19.97</v>
      </c>
      <c r="E49" s="112">
        <v>6.27</v>
      </c>
      <c r="F49" s="112">
        <v>5.87</v>
      </c>
      <c r="G49" s="112">
        <v>16.260000000000002</v>
      </c>
      <c r="H49" s="112">
        <v>4.76</v>
      </c>
      <c r="I49" s="112">
        <v>3.61</v>
      </c>
      <c r="J49" s="112">
        <v>0.1</v>
      </c>
      <c r="K49" s="112">
        <v>125.72</v>
      </c>
      <c r="L49" s="112">
        <v>29.31</v>
      </c>
      <c r="M49" s="112">
        <v>78.55</v>
      </c>
      <c r="N49" s="112">
        <v>325.10000000000002</v>
      </c>
      <c r="O49" s="112">
        <v>0</v>
      </c>
      <c r="P49" s="112">
        <v>0.52</v>
      </c>
      <c r="Q49" s="112">
        <v>5.64</v>
      </c>
    </row>
    <row r="50" spans="1:17" customFormat="1">
      <c r="A50" s="189" t="s">
        <v>760</v>
      </c>
      <c r="B50" s="112">
        <v>12.68</v>
      </c>
      <c r="C50" s="112">
        <v>15.79</v>
      </c>
      <c r="D50" s="112">
        <v>19.77</v>
      </c>
      <c r="E50" s="112">
        <v>7.12</v>
      </c>
      <c r="F50" s="112">
        <v>5.56</v>
      </c>
      <c r="G50" s="112">
        <v>16.260000000000002</v>
      </c>
      <c r="H50" s="112">
        <v>4.76</v>
      </c>
      <c r="I50" s="112">
        <v>3.57</v>
      </c>
      <c r="J50" s="112">
        <v>0.18</v>
      </c>
      <c r="K50" s="112">
        <v>87.68</v>
      </c>
      <c r="L50" s="112">
        <v>29.5</v>
      </c>
      <c r="M50" s="112">
        <v>77.58</v>
      </c>
      <c r="N50" s="112">
        <v>369.6</v>
      </c>
      <c r="O50" s="112">
        <v>0</v>
      </c>
      <c r="P50" s="112">
        <v>0.52</v>
      </c>
      <c r="Q50" s="112">
        <v>5.64</v>
      </c>
    </row>
    <row r="51" spans="1:17" customFormat="1">
      <c r="A51" s="189" t="s">
        <v>761</v>
      </c>
      <c r="B51" s="112">
        <v>12.64</v>
      </c>
      <c r="C51" s="112">
        <v>15.92</v>
      </c>
      <c r="D51" s="112">
        <v>19.8</v>
      </c>
      <c r="E51" s="112">
        <v>7.6</v>
      </c>
      <c r="F51" s="112">
        <v>5.75</v>
      </c>
      <c r="G51" s="112">
        <v>16.260000000000002</v>
      </c>
      <c r="H51" s="112">
        <v>4.76</v>
      </c>
      <c r="I51" s="112">
        <v>3.55</v>
      </c>
      <c r="J51" s="112">
        <v>0.15</v>
      </c>
      <c r="K51" s="112">
        <v>91.03</v>
      </c>
      <c r="L51" s="112">
        <v>29.9</v>
      </c>
      <c r="M51" s="112">
        <v>76.849999999999994</v>
      </c>
      <c r="N51" s="112">
        <v>458.4</v>
      </c>
      <c r="O51" s="112">
        <v>0</v>
      </c>
      <c r="P51" s="112">
        <v>0.53</v>
      </c>
      <c r="Q51" s="112">
        <v>5.63</v>
      </c>
    </row>
    <row r="52" spans="1:17" customFormat="1">
      <c r="A52" s="189" t="s">
        <v>762</v>
      </c>
      <c r="B52" s="112">
        <v>12.65</v>
      </c>
      <c r="C52" s="112">
        <v>16.46</v>
      </c>
      <c r="D52" s="112">
        <v>20.09</v>
      </c>
      <c r="E52" s="112">
        <v>7.74</v>
      </c>
      <c r="F52" s="112">
        <v>5.63</v>
      </c>
      <c r="G52" s="112">
        <v>13.44</v>
      </c>
      <c r="H52" s="112">
        <v>5.42</v>
      </c>
      <c r="I52" s="112">
        <v>3.54</v>
      </c>
      <c r="J52" s="112">
        <v>0.37</v>
      </c>
      <c r="K52" s="112">
        <v>52.29</v>
      </c>
      <c r="L52" s="112">
        <v>30.29</v>
      </c>
      <c r="M52" s="112">
        <v>74.81</v>
      </c>
      <c r="N52" s="112">
        <v>456.5</v>
      </c>
      <c r="O52" s="112">
        <v>0</v>
      </c>
      <c r="P52" s="112">
        <v>0.54</v>
      </c>
      <c r="Q52" s="112">
        <v>5.63</v>
      </c>
    </row>
    <row r="53" spans="1:17" customFormat="1">
      <c r="A53" s="189" t="s">
        <v>763</v>
      </c>
      <c r="B53" s="112">
        <v>12.92</v>
      </c>
      <c r="C53" s="112">
        <v>18.75</v>
      </c>
      <c r="D53" s="112">
        <v>21.51</v>
      </c>
      <c r="E53" s="112">
        <v>7.86</v>
      </c>
      <c r="F53" s="112">
        <v>4.41</v>
      </c>
      <c r="G53" s="112">
        <v>13.27</v>
      </c>
      <c r="H53" s="112">
        <v>5.42</v>
      </c>
      <c r="I53" s="112">
        <v>3.53</v>
      </c>
      <c r="J53" s="112">
        <v>0.35</v>
      </c>
      <c r="K53" s="112">
        <v>67.260000000000005</v>
      </c>
      <c r="L53" s="112">
        <v>30.53</v>
      </c>
      <c r="M53" s="112">
        <v>73.540000000000006</v>
      </c>
      <c r="N53" s="112">
        <v>430.1</v>
      </c>
      <c r="O53" s="112">
        <v>0</v>
      </c>
      <c r="P53" s="112">
        <v>0.56999999999999995</v>
      </c>
      <c r="Q53" s="112">
        <v>5.71</v>
      </c>
    </row>
    <row r="54" spans="1:17" customFormat="1">
      <c r="A54" s="189" t="s">
        <v>764</v>
      </c>
      <c r="B54" s="112">
        <v>13.05</v>
      </c>
      <c r="C54" s="112">
        <v>18.2</v>
      </c>
      <c r="D54" s="112">
        <v>21.32</v>
      </c>
      <c r="E54" s="112">
        <v>8.2799999999999994</v>
      </c>
      <c r="F54" s="112">
        <v>5.12</v>
      </c>
      <c r="G54" s="112">
        <v>13.27</v>
      </c>
      <c r="H54" s="112">
        <v>5.42</v>
      </c>
      <c r="I54" s="112">
        <v>3.61</v>
      </c>
      <c r="J54" s="112">
        <v>0.49</v>
      </c>
      <c r="K54" s="112">
        <v>48.51</v>
      </c>
      <c r="L54" s="112">
        <v>29.8</v>
      </c>
      <c r="M54" s="112">
        <v>75.61</v>
      </c>
      <c r="N54" s="112">
        <v>182.4</v>
      </c>
      <c r="O54" s="112">
        <v>0</v>
      </c>
      <c r="P54" s="112">
        <v>0.56999999999999995</v>
      </c>
      <c r="Q54" s="112">
        <v>5.7</v>
      </c>
    </row>
    <row r="55" spans="1:17" customFormat="1">
      <c r="A55" s="189" t="s">
        <v>765</v>
      </c>
      <c r="B55" s="112">
        <v>12.96</v>
      </c>
      <c r="C55" s="112">
        <v>17.25</v>
      </c>
      <c r="D55" s="112">
        <v>20.76</v>
      </c>
      <c r="E55" s="112">
        <v>8.5</v>
      </c>
      <c r="F55" s="112">
        <v>5.98</v>
      </c>
      <c r="G55" s="112">
        <v>13.27</v>
      </c>
      <c r="H55" s="112">
        <v>5.42</v>
      </c>
      <c r="I55" s="112">
        <v>3.72</v>
      </c>
      <c r="J55" s="112">
        <v>0.23</v>
      </c>
      <c r="K55" s="112">
        <v>74.39</v>
      </c>
      <c r="L55" s="112">
        <v>29.86</v>
      </c>
      <c r="M55" s="112">
        <v>75.930000000000007</v>
      </c>
      <c r="N55" s="112">
        <v>412.4</v>
      </c>
      <c r="O55" s="112">
        <v>0</v>
      </c>
      <c r="P55" s="112">
        <v>0.55000000000000004</v>
      </c>
      <c r="Q55" s="112">
        <v>5.65</v>
      </c>
    </row>
    <row r="56" spans="1:17" customFormat="1">
      <c r="A56" s="189" t="s">
        <v>766</v>
      </c>
      <c r="B56" s="112">
        <v>13.34</v>
      </c>
      <c r="C56" s="112">
        <v>17.079999999999998</v>
      </c>
      <c r="D56" s="112">
        <v>20.97</v>
      </c>
      <c r="E56" s="112">
        <v>9.51</v>
      </c>
      <c r="F56" s="112">
        <v>6.33</v>
      </c>
      <c r="G56" s="112">
        <v>19.149999999999999</v>
      </c>
      <c r="H56" s="112">
        <v>5.83</v>
      </c>
      <c r="I56" s="112">
        <v>3.69</v>
      </c>
      <c r="J56" s="112">
        <v>0.6</v>
      </c>
      <c r="K56" s="112">
        <v>38.47</v>
      </c>
      <c r="L56" s="112">
        <v>29.96</v>
      </c>
      <c r="M56" s="112">
        <v>75.39</v>
      </c>
      <c r="N56" s="112">
        <v>273.89999999999998</v>
      </c>
      <c r="O56" s="112">
        <v>0</v>
      </c>
      <c r="P56" s="112">
        <v>0.56000000000000005</v>
      </c>
      <c r="Q56" s="112">
        <v>5.7</v>
      </c>
    </row>
    <row r="57" spans="1:17" customFormat="1">
      <c r="A57" s="189" t="s">
        <v>767</v>
      </c>
      <c r="B57" s="112">
        <v>13.36</v>
      </c>
      <c r="C57" s="112">
        <v>17.28</v>
      </c>
      <c r="D57" s="112">
        <v>21.09</v>
      </c>
      <c r="E57" s="112">
        <v>8.39</v>
      </c>
      <c r="F57" s="112">
        <v>5.95</v>
      </c>
      <c r="G57" s="112">
        <v>19.5</v>
      </c>
      <c r="H57" s="112">
        <v>5.83</v>
      </c>
      <c r="I57" s="112">
        <v>3.63</v>
      </c>
      <c r="J57" s="112">
        <v>0.42</v>
      </c>
      <c r="K57" s="112">
        <v>67.36</v>
      </c>
      <c r="L57" s="112">
        <v>29.72</v>
      </c>
      <c r="M57" s="112">
        <v>77.349999999999994</v>
      </c>
      <c r="N57" s="112">
        <v>248.4</v>
      </c>
      <c r="O57" s="112">
        <v>0</v>
      </c>
      <c r="P57" s="112">
        <v>0.56000000000000005</v>
      </c>
      <c r="Q57" s="112">
        <v>5.71</v>
      </c>
    </row>
    <row r="58" spans="1:17" customFormat="1">
      <c r="A58" s="189" t="s">
        <v>768</v>
      </c>
      <c r="B58" s="112">
        <v>13.16</v>
      </c>
      <c r="C58" s="112">
        <v>17.23</v>
      </c>
      <c r="D58" s="112">
        <v>20.91</v>
      </c>
      <c r="E58" s="112">
        <v>8.5500000000000007</v>
      </c>
      <c r="F58" s="112">
        <v>6.08</v>
      </c>
      <c r="G58" s="112">
        <v>19.5</v>
      </c>
      <c r="H58" s="112">
        <v>5.83</v>
      </c>
      <c r="I58" s="112">
        <v>3.63</v>
      </c>
      <c r="J58" s="112">
        <v>0.42</v>
      </c>
      <c r="K58" s="112">
        <v>75.94</v>
      </c>
      <c r="L58" s="112">
        <v>29.88</v>
      </c>
      <c r="M58" s="112">
        <v>76.489999999999995</v>
      </c>
      <c r="N58" s="112">
        <v>427.9</v>
      </c>
      <c r="O58" s="112">
        <v>0</v>
      </c>
      <c r="P58" s="112">
        <v>0.55000000000000004</v>
      </c>
      <c r="Q58" s="112">
        <v>5.69</v>
      </c>
    </row>
    <row r="59" spans="1:17" customFormat="1">
      <c r="A59" s="189" t="s">
        <v>769</v>
      </c>
      <c r="B59" s="112">
        <v>13.15</v>
      </c>
      <c r="C59" s="112">
        <v>17.39</v>
      </c>
      <c r="D59" s="112">
        <v>20.98</v>
      </c>
      <c r="E59" s="112">
        <v>8.64</v>
      </c>
      <c r="F59" s="112">
        <v>5.73</v>
      </c>
      <c r="G59" s="112">
        <v>19.5</v>
      </c>
      <c r="H59" s="112">
        <v>5.83</v>
      </c>
      <c r="I59" s="112">
        <v>3.66</v>
      </c>
      <c r="J59" s="112">
        <v>0.48</v>
      </c>
      <c r="K59" s="112">
        <v>64.5</v>
      </c>
      <c r="L59" s="112">
        <v>30.79</v>
      </c>
      <c r="M59" s="112">
        <v>73.33</v>
      </c>
      <c r="N59" s="112">
        <v>664.2</v>
      </c>
      <c r="O59" s="112">
        <v>0</v>
      </c>
      <c r="P59" s="112">
        <v>0.55000000000000004</v>
      </c>
      <c r="Q59" s="112">
        <v>5.69</v>
      </c>
    </row>
    <row r="60" spans="1:17" customFormat="1">
      <c r="A60" s="189" t="s">
        <v>770</v>
      </c>
      <c r="B60" s="112">
        <v>13.08</v>
      </c>
      <c r="C60" s="112">
        <v>17.46</v>
      </c>
      <c r="D60" s="112">
        <v>20.96</v>
      </c>
      <c r="E60" s="112">
        <v>7.9</v>
      </c>
      <c r="F60" s="112">
        <v>5.92</v>
      </c>
      <c r="G60" s="112">
        <v>20.67</v>
      </c>
      <c r="H60" s="112">
        <v>8.06</v>
      </c>
      <c r="I60" s="112">
        <v>3.62</v>
      </c>
      <c r="J60" s="112">
        <v>0.66</v>
      </c>
      <c r="K60" s="112">
        <v>50.95</v>
      </c>
      <c r="L60" s="112">
        <v>30.67</v>
      </c>
      <c r="M60" s="112">
        <v>72.8</v>
      </c>
      <c r="N60" s="112">
        <v>432.8</v>
      </c>
      <c r="O60" s="112">
        <v>0</v>
      </c>
      <c r="P60" s="112">
        <v>0.56000000000000005</v>
      </c>
      <c r="Q60" s="112">
        <v>5.73</v>
      </c>
    </row>
    <row r="61" spans="1:17" customFormat="1">
      <c r="A61" s="189" t="s">
        <v>771</v>
      </c>
      <c r="B61" s="112">
        <v>13.14</v>
      </c>
      <c r="C61" s="112">
        <v>17.510000000000002</v>
      </c>
      <c r="D61" s="112">
        <v>21.04</v>
      </c>
      <c r="E61" s="112">
        <v>7.57</v>
      </c>
      <c r="F61" s="112">
        <v>5.97</v>
      </c>
      <c r="G61" s="112">
        <v>20.74</v>
      </c>
      <c r="H61" s="112">
        <v>8.06</v>
      </c>
      <c r="I61" s="112">
        <v>3.62</v>
      </c>
      <c r="J61" s="112">
        <v>0.73</v>
      </c>
      <c r="K61" s="112">
        <v>45.53</v>
      </c>
      <c r="L61" s="112">
        <v>29.6</v>
      </c>
      <c r="M61" s="112">
        <v>78.27</v>
      </c>
      <c r="N61" s="112">
        <v>309.5</v>
      </c>
      <c r="O61" s="112">
        <v>0</v>
      </c>
      <c r="P61" s="112">
        <v>0.54</v>
      </c>
      <c r="Q61" s="112">
        <v>5.71</v>
      </c>
    </row>
    <row r="62" spans="1:17" customFormat="1">
      <c r="A62" s="189" t="s">
        <v>772</v>
      </c>
      <c r="B62" s="112">
        <v>13.24</v>
      </c>
      <c r="C62" s="112">
        <v>17.670000000000002</v>
      </c>
      <c r="D62" s="112">
        <v>21.21</v>
      </c>
      <c r="E62" s="112">
        <v>8.11</v>
      </c>
      <c r="F62" s="112">
        <v>6.1</v>
      </c>
      <c r="G62" s="112">
        <v>20.74</v>
      </c>
      <c r="H62" s="112">
        <v>8.06</v>
      </c>
      <c r="I62" s="112">
        <v>3.61</v>
      </c>
      <c r="J62" s="112">
        <v>0.82</v>
      </c>
      <c r="K62" s="112">
        <v>32.26</v>
      </c>
      <c r="L62" s="112">
        <v>29.94</v>
      </c>
      <c r="M62" s="112">
        <v>76.459999999999994</v>
      </c>
      <c r="N62" s="112">
        <v>631.4</v>
      </c>
      <c r="O62" s="112">
        <v>0</v>
      </c>
      <c r="P62" s="112">
        <v>0.55000000000000004</v>
      </c>
      <c r="Q62" s="112">
        <v>5.7</v>
      </c>
    </row>
    <row r="63" spans="1:17" customFormat="1">
      <c r="A63" s="189" t="s">
        <v>773</v>
      </c>
      <c r="B63" s="112">
        <v>13.28</v>
      </c>
      <c r="C63" s="112">
        <v>17.87</v>
      </c>
      <c r="D63" s="112">
        <v>21.33</v>
      </c>
      <c r="E63" s="112">
        <v>7.82</v>
      </c>
      <c r="F63" s="112">
        <v>6.02</v>
      </c>
      <c r="G63" s="112">
        <v>20.74</v>
      </c>
      <c r="H63" s="112">
        <v>8.06</v>
      </c>
      <c r="I63" s="112">
        <v>3.65</v>
      </c>
      <c r="J63" s="112">
        <v>0.49</v>
      </c>
      <c r="K63" s="112">
        <v>52.57</v>
      </c>
      <c r="L63" s="112">
        <v>30.37</v>
      </c>
      <c r="M63" s="112">
        <v>74.209999999999994</v>
      </c>
      <c r="N63" s="112">
        <v>315.60000000000002</v>
      </c>
      <c r="O63" s="112">
        <v>0</v>
      </c>
      <c r="P63" s="112">
        <v>0.55000000000000004</v>
      </c>
      <c r="Q63" s="112">
        <v>5.74</v>
      </c>
    </row>
    <row r="64" spans="1:17" customFormat="1">
      <c r="A64" s="189" t="s">
        <v>774</v>
      </c>
      <c r="B64" s="112">
        <v>13.31</v>
      </c>
      <c r="C64" s="112">
        <v>17.760000000000002</v>
      </c>
      <c r="D64" s="112">
        <v>21.3</v>
      </c>
      <c r="E64" s="112">
        <v>7.3</v>
      </c>
      <c r="F64" s="112">
        <v>6.15</v>
      </c>
      <c r="G64" s="112">
        <v>20.12</v>
      </c>
      <c r="H64" s="112">
        <v>6.89</v>
      </c>
      <c r="I64" s="112">
        <v>3.66</v>
      </c>
      <c r="J64" s="112">
        <v>0.47</v>
      </c>
      <c r="K64" s="112">
        <v>59.9</v>
      </c>
      <c r="L64" s="112">
        <v>29.34</v>
      </c>
      <c r="M64" s="112">
        <v>77.42</v>
      </c>
      <c r="N64" s="112">
        <v>134.6</v>
      </c>
      <c r="O64" s="112">
        <v>0</v>
      </c>
      <c r="P64" s="112">
        <v>0.56000000000000005</v>
      </c>
      <c r="Q64" s="112">
        <v>5.72</v>
      </c>
    </row>
    <row r="65" spans="1:17" customFormat="1">
      <c r="A65" s="189" t="s">
        <v>775</v>
      </c>
      <c r="B65" s="112">
        <v>13.17</v>
      </c>
      <c r="C65" s="112">
        <v>17.61</v>
      </c>
      <c r="D65" s="112">
        <v>21.11</v>
      </c>
      <c r="E65" s="112">
        <v>7.33</v>
      </c>
      <c r="F65" s="112">
        <v>5.88</v>
      </c>
      <c r="G65" s="112">
        <v>20.079999999999998</v>
      </c>
      <c r="H65" s="112">
        <v>6.89</v>
      </c>
      <c r="I65" s="112">
        <v>3.67</v>
      </c>
      <c r="J65" s="112">
        <v>0.56999999999999995</v>
      </c>
      <c r="K65" s="112">
        <v>55.85</v>
      </c>
      <c r="L65" s="112">
        <v>29.09</v>
      </c>
      <c r="M65" s="112">
        <v>78.97</v>
      </c>
      <c r="N65" s="112">
        <v>277.60000000000002</v>
      </c>
      <c r="O65" s="112">
        <v>0</v>
      </c>
      <c r="P65" s="112">
        <v>0.48</v>
      </c>
      <c r="Q65" s="112">
        <v>5.7</v>
      </c>
    </row>
    <row r="66" spans="1:17" customFormat="1">
      <c r="A66" s="189" t="s">
        <v>776</v>
      </c>
      <c r="B66" s="112">
        <v>13.09</v>
      </c>
      <c r="C66" s="112">
        <v>17.45</v>
      </c>
      <c r="D66" s="112">
        <v>20.97</v>
      </c>
      <c r="E66" s="112">
        <v>7.38</v>
      </c>
      <c r="F66" s="112">
        <v>6.23</v>
      </c>
      <c r="G66" s="112">
        <v>20.079999999999998</v>
      </c>
      <c r="H66" s="112">
        <v>6.89</v>
      </c>
      <c r="I66" s="112">
        <v>3.64</v>
      </c>
      <c r="J66" s="112">
        <v>0.26</v>
      </c>
      <c r="K66" s="112">
        <v>107.57</v>
      </c>
      <c r="L66" s="112">
        <v>30.01</v>
      </c>
      <c r="M66" s="112">
        <v>75.23</v>
      </c>
      <c r="N66" s="112">
        <v>331.1</v>
      </c>
      <c r="O66" s="112">
        <v>0</v>
      </c>
      <c r="P66" s="112">
        <v>0.52</v>
      </c>
      <c r="Q66" s="112">
        <v>5.7</v>
      </c>
    </row>
    <row r="67" spans="1:17" customFormat="1">
      <c r="A67" s="189" t="s">
        <v>777</v>
      </c>
      <c r="B67" s="112">
        <v>12.81</v>
      </c>
      <c r="C67" s="112">
        <v>17.13</v>
      </c>
      <c r="D67" s="112">
        <v>20.58</v>
      </c>
      <c r="E67" s="112">
        <v>7.67</v>
      </c>
      <c r="F67" s="112">
        <v>6.86</v>
      </c>
      <c r="G67" s="112">
        <v>20.079999999999998</v>
      </c>
      <c r="H67" s="112">
        <v>6.89</v>
      </c>
      <c r="I67" s="112">
        <v>3.63</v>
      </c>
      <c r="J67" s="112">
        <v>0.34</v>
      </c>
      <c r="K67" s="112">
        <v>73.67</v>
      </c>
      <c r="L67" s="112">
        <v>29.99</v>
      </c>
      <c r="M67" s="112">
        <v>74.55</v>
      </c>
      <c r="N67" s="112">
        <v>238.5</v>
      </c>
      <c r="O67" s="112">
        <v>0</v>
      </c>
      <c r="P67" s="112">
        <v>0.52</v>
      </c>
      <c r="Q67" s="112">
        <v>5.68</v>
      </c>
    </row>
    <row r="68" spans="1:17" customFormat="1">
      <c r="A68" s="189" t="s">
        <v>778</v>
      </c>
      <c r="B68" s="112">
        <v>12.65</v>
      </c>
      <c r="C68" s="112">
        <v>17.22</v>
      </c>
      <c r="D68" s="112">
        <v>20.49</v>
      </c>
      <c r="E68" s="112">
        <v>7.69</v>
      </c>
      <c r="F68" s="112">
        <v>7.02</v>
      </c>
      <c r="G68" s="112">
        <v>22.01</v>
      </c>
      <c r="H68" s="112">
        <v>7.77</v>
      </c>
      <c r="I68" s="112">
        <v>3.63</v>
      </c>
      <c r="J68" s="112">
        <v>0.34</v>
      </c>
      <c r="K68" s="112">
        <v>69.14</v>
      </c>
      <c r="L68" s="112">
        <v>29.6</v>
      </c>
      <c r="M68" s="112">
        <v>76.05</v>
      </c>
      <c r="N68" s="112">
        <v>177.5</v>
      </c>
      <c r="O68" s="112">
        <v>0</v>
      </c>
      <c r="P68" s="112">
        <v>0.51</v>
      </c>
      <c r="Q68" s="112">
        <v>5.67</v>
      </c>
    </row>
    <row r="69" spans="1:17" customFormat="1">
      <c r="A69" s="189" t="s">
        <v>779</v>
      </c>
      <c r="B69" s="112">
        <v>12.52</v>
      </c>
      <c r="C69" s="112">
        <v>17.38</v>
      </c>
      <c r="D69" s="112">
        <v>20.48</v>
      </c>
      <c r="E69" s="112">
        <v>7.5</v>
      </c>
      <c r="F69" s="112">
        <v>6.64</v>
      </c>
      <c r="G69" s="112">
        <v>22.13</v>
      </c>
      <c r="H69" s="112">
        <v>7.77</v>
      </c>
      <c r="I69" s="112">
        <v>3.64</v>
      </c>
      <c r="J69" s="112">
        <v>0.33</v>
      </c>
      <c r="K69" s="112">
        <v>72.430000000000007</v>
      </c>
      <c r="L69" s="112">
        <v>29.71</v>
      </c>
      <c r="M69" s="112">
        <v>76.2</v>
      </c>
      <c r="N69" s="112">
        <v>178.8</v>
      </c>
      <c r="O69" s="112">
        <v>0</v>
      </c>
      <c r="P69" s="112">
        <v>0.51</v>
      </c>
      <c r="Q69" s="112">
        <v>5.67</v>
      </c>
    </row>
    <row r="70" spans="1:17" customFormat="1">
      <c r="A70" s="189" t="s">
        <v>780</v>
      </c>
      <c r="B70" s="112">
        <v>12.48</v>
      </c>
      <c r="C70" s="112">
        <v>17.5</v>
      </c>
      <c r="D70" s="112">
        <v>20.5</v>
      </c>
      <c r="E70" s="112">
        <v>7.69</v>
      </c>
      <c r="F70" s="112">
        <v>6.76</v>
      </c>
      <c r="G70" s="112">
        <v>22.13</v>
      </c>
      <c r="H70" s="112">
        <v>7.77</v>
      </c>
      <c r="I70" s="112">
        <v>3.61</v>
      </c>
      <c r="J70" s="112">
        <v>0.36</v>
      </c>
      <c r="K70" s="112">
        <v>64.09</v>
      </c>
      <c r="L70" s="112">
        <v>29.66</v>
      </c>
      <c r="M70" s="112">
        <v>75.48</v>
      </c>
      <c r="N70" s="112">
        <v>196.6</v>
      </c>
      <c r="O70" s="112">
        <v>0</v>
      </c>
      <c r="P70" s="112">
        <v>0.52</v>
      </c>
      <c r="Q70" s="112">
        <v>5.64</v>
      </c>
    </row>
    <row r="71" spans="1:17" customFormat="1">
      <c r="A71" s="189" t="s">
        <v>781</v>
      </c>
      <c r="B71" s="112">
        <v>12.72</v>
      </c>
      <c r="C71" s="112">
        <v>17.47</v>
      </c>
      <c r="D71" s="112">
        <v>20.68</v>
      </c>
      <c r="E71" s="112">
        <v>7.97</v>
      </c>
      <c r="F71" s="112">
        <v>7.22</v>
      </c>
      <c r="G71" s="112">
        <v>22.13</v>
      </c>
      <c r="H71" s="112">
        <v>7.77</v>
      </c>
      <c r="I71" s="112">
        <v>3.59</v>
      </c>
      <c r="J71" s="112">
        <v>0.59</v>
      </c>
      <c r="K71" s="112">
        <v>41.32</v>
      </c>
      <c r="L71" s="112">
        <v>29.65</v>
      </c>
      <c r="M71" s="112">
        <v>76.010000000000005</v>
      </c>
      <c r="N71" s="112">
        <v>211.7</v>
      </c>
      <c r="O71" s="112">
        <v>0</v>
      </c>
      <c r="P71" s="112">
        <v>0.53</v>
      </c>
      <c r="Q71" s="112">
        <v>5.65</v>
      </c>
    </row>
    <row r="72" spans="1:17" customFormat="1">
      <c r="A72" s="189" t="s">
        <v>782</v>
      </c>
      <c r="B72" s="112">
        <v>12.75</v>
      </c>
      <c r="C72" s="112">
        <v>18.190000000000001</v>
      </c>
      <c r="D72" s="112">
        <v>21.08</v>
      </c>
      <c r="E72" s="112">
        <v>8.2100000000000009</v>
      </c>
      <c r="F72" s="112">
        <v>7.09</v>
      </c>
      <c r="G72" s="112">
        <v>26.8</v>
      </c>
      <c r="H72" s="112">
        <v>9</v>
      </c>
      <c r="I72" s="112">
        <v>3.56</v>
      </c>
      <c r="J72" s="112">
        <v>0.46</v>
      </c>
      <c r="K72" s="112">
        <v>43.94</v>
      </c>
      <c r="L72" s="112">
        <v>29.56</v>
      </c>
      <c r="M72" s="112">
        <v>76.81</v>
      </c>
      <c r="N72" s="112">
        <v>154</v>
      </c>
      <c r="O72" s="112">
        <v>0</v>
      </c>
      <c r="P72" s="112">
        <v>0.54</v>
      </c>
      <c r="Q72" s="112">
        <v>5.69</v>
      </c>
    </row>
    <row r="73" spans="1:17" customFormat="1">
      <c r="A73" s="189" t="s">
        <v>783</v>
      </c>
      <c r="B73" s="112">
        <v>12.6</v>
      </c>
      <c r="C73" s="112">
        <v>18</v>
      </c>
      <c r="D73" s="112">
        <v>20.86</v>
      </c>
      <c r="E73" s="112">
        <v>7.99</v>
      </c>
      <c r="F73" s="112">
        <v>8.34</v>
      </c>
      <c r="G73" s="112">
        <v>27.07</v>
      </c>
      <c r="H73" s="112">
        <v>9</v>
      </c>
      <c r="I73" s="112">
        <v>3.6</v>
      </c>
      <c r="J73" s="112">
        <v>0.37</v>
      </c>
      <c r="K73" s="112">
        <v>54.27</v>
      </c>
      <c r="L73" s="112">
        <v>29.63</v>
      </c>
      <c r="M73" s="112">
        <v>76.41</v>
      </c>
      <c r="N73" s="112">
        <v>154.1</v>
      </c>
      <c r="O73" s="112">
        <v>0</v>
      </c>
      <c r="P73" s="112">
        <v>0.54</v>
      </c>
      <c r="Q73" s="112">
        <v>5.71</v>
      </c>
    </row>
    <row r="74" spans="1:17" customFormat="1">
      <c r="A74" s="189" t="s">
        <v>784</v>
      </c>
      <c r="B74" s="112">
        <v>12.79</v>
      </c>
      <c r="C74" s="112">
        <v>17.71</v>
      </c>
      <c r="D74" s="112">
        <v>20.86</v>
      </c>
      <c r="E74" s="112">
        <v>7.94</v>
      </c>
      <c r="F74" s="112">
        <v>8.42</v>
      </c>
      <c r="G74" s="112">
        <v>27.07</v>
      </c>
      <c r="H74" s="112">
        <v>9</v>
      </c>
      <c r="I74" s="112">
        <v>3.55</v>
      </c>
      <c r="J74" s="112">
        <v>0.46</v>
      </c>
      <c r="K74" s="112">
        <v>49.36</v>
      </c>
      <c r="L74" s="112">
        <v>29.48</v>
      </c>
      <c r="M74" s="112">
        <v>78.239999999999995</v>
      </c>
      <c r="N74" s="112">
        <v>90.5</v>
      </c>
      <c r="O74" s="112">
        <v>0</v>
      </c>
      <c r="P74" s="112">
        <v>0.54</v>
      </c>
      <c r="Q74" s="112">
        <v>5.67</v>
      </c>
    </row>
    <row r="75" spans="1:17" customFormat="1">
      <c r="A75" s="189" t="s">
        <v>785</v>
      </c>
      <c r="B75" s="112">
        <v>12.47</v>
      </c>
      <c r="C75" s="112">
        <v>17.329999999999998</v>
      </c>
      <c r="D75" s="112">
        <v>20.41</v>
      </c>
      <c r="E75" s="112">
        <v>7.92</v>
      </c>
      <c r="F75" s="112">
        <v>8.66</v>
      </c>
      <c r="G75" s="112">
        <v>27.07</v>
      </c>
      <c r="H75" s="112">
        <v>9</v>
      </c>
      <c r="I75" s="112">
        <v>3.47</v>
      </c>
      <c r="J75" s="112">
        <v>0.16</v>
      </c>
      <c r="K75" s="112">
        <v>127.28</v>
      </c>
      <c r="L75" s="112">
        <v>29.3</v>
      </c>
      <c r="M75" s="112">
        <v>78.05</v>
      </c>
      <c r="N75" s="112">
        <v>46.3</v>
      </c>
      <c r="O75" s="112">
        <v>0</v>
      </c>
      <c r="P75" s="112">
        <v>0.52</v>
      </c>
      <c r="Q75" s="112">
        <v>5.68</v>
      </c>
    </row>
    <row r="76" spans="1:17" customFormat="1">
      <c r="A76" s="189" t="s">
        <v>786</v>
      </c>
      <c r="B76" s="112">
        <v>12.44</v>
      </c>
      <c r="C76" s="112">
        <v>17.14</v>
      </c>
      <c r="D76" s="112">
        <v>20.28</v>
      </c>
      <c r="E76" s="112">
        <v>7.76</v>
      </c>
      <c r="F76" s="112">
        <v>8.9499999999999993</v>
      </c>
      <c r="G76" s="112">
        <v>29.39</v>
      </c>
      <c r="H76" s="112">
        <v>8.7200000000000006</v>
      </c>
      <c r="I76" s="112">
        <v>3.48</v>
      </c>
      <c r="J76" s="112">
        <v>0.33</v>
      </c>
      <c r="K76" s="112">
        <v>55.8</v>
      </c>
      <c r="L76" s="112">
        <v>29.07</v>
      </c>
      <c r="M76" s="112">
        <v>78.48</v>
      </c>
      <c r="N76" s="112">
        <v>53.9</v>
      </c>
      <c r="O76" s="112">
        <v>0</v>
      </c>
      <c r="P76" s="112">
        <v>0.54</v>
      </c>
      <c r="Q76" s="112">
        <v>5.71</v>
      </c>
    </row>
    <row r="77" spans="1:17" customFormat="1">
      <c r="A77" s="189" t="s">
        <v>787</v>
      </c>
      <c r="B77" s="112">
        <v>12.69</v>
      </c>
      <c r="C77" s="112">
        <v>18.13</v>
      </c>
      <c r="D77" s="112">
        <v>21</v>
      </c>
      <c r="E77" s="112">
        <v>8.3000000000000007</v>
      </c>
      <c r="F77" s="112">
        <v>7.98</v>
      </c>
      <c r="G77" s="112">
        <v>29.53</v>
      </c>
      <c r="H77" s="112">
        <v>8.7200000000000006</v>
      </c>
      <c r="I77" s="112">
        <v>3.43</v>
      </c>
      <c r="J77" s="112">
        <v>0.21</v>
      </c>
      <c r="K77" s="112">
        <v>90.27</v>
      </c>
      <c r="L77" s="112">
        <v>28.94</v>
      </c>
      <c r="M77" s="112">
        <v>79.69</v>
      </c>
      <c r="N77" s="112">
        <v>43.2</v>
      </c>
      <c r="O77" s="112">
        <v>0</v>
      </c>
      <c r="P77" s="112">
        <v>0.55000000000000004</v>
      </c>
      <c r="Q77" s="112">
        <v>5.7</v>
      </c>
    </row>
    <row r="78" spans="1:17" customFormat="1">
      <c r="A78" s="189" t="s">
        <v>788</v>
      </c>
      <c r="B78" s="112">
        <v>12.53</v>
      </c>
      <c r="C78" s="112">
        <v>17.37</v>
      </c>
      <c r="D78" s="112">
        <v>20.48</v>
      </c>
      <c r="E78" s="112">
        <v>7.82</v>
      </c>
      <c r="F78" s="112">
        <v>9.35</v>
      </c>
      <c r="G78" s="112">
        <v>29.53</v>
      </c>
      <c r="H78" s="112">
        <v>8.7200000000000006</v>
      </c>
      <c r="I78" s="112">
        <v>3.44</v>
      </c>
      <c r="J78" s="112">
        <v>0.13</v>
      </c>
      <c r="K78" s="112">
        <v>86.95</v>
      </c>
      <c r="L78" s="112">
        <v>28.78</v>
      </c>
      <c r="M78" s="112">
        <v>80.78</v>
      </c>
      <c r="N78" s="112">
        <v>23.8</v>
      </c>
      <c r="O78" s="112">
        <v>0</v>
      </c>
      <c r="P78" s="112">
        <v>0.54</v>
      </c>
      <c r="Q78" s="112">
        <v>5.69</v>
      </c>
    </row>
    <row r="79" spans="1:17" customFormat="1">
      <c r="A79" s="189" t="s">
        <v>789</v>
      </c>
      <c r="B79" s="112">
        <v>12.35</v>
      </c>
      <c r="C79" s="112">
        <v>17.27</v>
      </c>
      <c r="D79" s="112">
        <v>20.28</v>
      </c>
      <c r="E79" s="112">
        <v>8.44</v>
      </c>
      <c r="F79" s="112">
        <v>9.8000000000000007</v>
      </c>
      <c r="G79" s="112">
        <v>29.53</v>
      </c>
      <c r="H79" s="112">
        <v>8.7200000000000006</v>
      </c>
      <c r="I79" s="112">
        <v>3.53</v>
      </c>
      <c r="J79" s="112">
        <v>0.22</v>
      </c>
      <c r="K79" s="112">
        <v>69.39</v>
      </c>
      <c r="L79" s="112">
        <v>28.47</v>
      </c>
      <c r="M79" s="112">
        <v>82.23</v>
      </c>
      <c r="N79" s="112">
        <v>10</v>
      </c>
      <c r="O79" s="112">
        <v>0</v>
      </c>
      <c r="P79" s="112">
        <v>0.56000000000000005</v>
      </c>
      <c r="Q79" s="112">
        <v>5.72</v>
      </c>
    </row>
    <row r="80" spans="1:17" customFormat="1">
      <c r="A80" s="189" t="s">
        <v>790</v>
      </c>
      <c r="B80" s="112">
        <v>12.87</v>
      </c>
      <c r="C80" s="112">
        <v>18.260000000000002</v>
      </c>
      <c r="D80" s="112">
        <v>21.21</v>
      </c>
      <c r="E80" s="112">
        <v>8.69</v>
      </c>
      <c r="F80" s="112">
        <v>9.17</v>
      </c>
      <c r="G80" s="112">
        <v>30.11</v>
      </c>
      <c r="H80" s="112">
        <v>7.56</v>
      </c>
      <c r="I80" s="112">
        <v>3.47</v>
      </c>
      <c r="J80" s="112">
        <v>0.14000000000000001</v>
      </c>
      <c r="K80" s="112">
        <v>147</v>
      </c>
      <c r="L80" s="112">
        <v>28.38</v>
      </c>
      <c r="M80" s="112">
        <v>83.31</v>
      </c>
      <c r="N80" s="112">
        <v>1.5</v>
      </c>
      <c r="O80" s="112">
        <v>0</v>
      </c>
      <c r="P80" s="112">
        <v>0.56000000000000005</v>
      </c>
      <c r="Q80" s="112">
        <v>5.73</v>
      </c>
    </row>
    <row r="81" spans="1:17" customFormat="1">
      <c r="A81" s="189" t="s">
        <v>791</v>
      </c>
      <c r="B81" s="112">
        <v>11.8</v>
      </c>
      <c r="C81" s="112">
        <v>17.010000000000002</v>
      </c>
      <c r="D81" s="112">
        <v>19.7</v>
      </c>
      <c r="E81" s="112">
        <v>6.89</v>
      </c>
      <c r="F81" s="112">
        <v>9.9499999999999993</v>
      </c>
      <c r="G81" s="112">
        <v>30.14</v>
      </c>
      <c r="H81" s="112">
        <v>7.56</v>
      </c>
      <c r="I81" s="112">
        <v>3.43</v>
      </c>
      <c r="J81" s="112">
        <v>0.09</v>
      </c>
      <c r="K81" s="112">
        <v>129.55000000000001</v>
      </c>
      <c r="L81" s="112">
        <v>27.91</v>
      </c>
      <c r="M81" s="112">
        <v>85.93</v>
      </c>
      <c r="N81" s="112">
        <v>0</v>
      </c>
      <c r="O81" s="112">
        <v>0</v>
      </c>
      <c r="P81" s="112">
        <v>0.55000000000000004</v>
      </c>
      <c r="Q81" s="112">
        <v>5.7</v>
      </c>
    </row>
    <row r="82" spans="1:17" customFormat="1">
      <c r="A82" s="189" t="s">
        <v>792</v>
      </c>
      <c r="B82" s="112">
        <v>17.579999999999998</v>
      </c>
      <c r="C82" s="112">
        <v>22.18</v>
      </c>
      <c r="D82" s="112">
        <v>27.04</v>
      </c>
      <c r="E82" s="112">
        <v>7.31</v>
      </c>
      <c r="F82" s="112">
        <v>6.95</v>
      </c>
      <c r="G82" s="112">
        <v>30.14</v>
      </c>
      <c r="H82" s="112">
        <v>7.56</v>
      </c>
      <c r="I82" s="112">
        <v>3.4</v>
      </c>
      <c r="J82" s="112">
        <v>0.17</v>
      </c>
      <c r="K82" s="112">
        <v>62.75</v>
      </c>
      <c r="L82" s="112">
        <v>27.83</v>
      </c>
      <c r="M82" s="112">
        <v>86.43</v>
      </c>
      <c r="N82" s="112">
        <v>0</v>
      </c>
      <c r="O82" s="112">
        <v>0</v>
      </c>
      <c r="P82" s="112">
        <v>0.64</v>
      </c>
      <c r="Q82" s="112">
        <v>5.71</v>
      </c>
    </row>
    <row r="83" spans="1:17" customFormat="1">
      <c r="A83" s="189" t="s">
        <v>793</v>
      </c>
      <c r="B83" s="112">
        <v>15.28</v>
      </c>
      <c r="C83" s="112">
        <v>20.079999999999998</v>
      </c>
      <c r="D83" s="112">
        <v>24.1</v>
      </c>
      <c r="E83" s="112">
        <v>7.68</v>
      </c>
      <c r="F83" s="112">
        <v>6.81</v>
      </c>
      <c r="G83" s="112">
        <v>30.14</v>
      </c>
      <c r="H83" s="112">
        <v>7.56</v>
      </c>
      <c r="I83" s="112">
        <v>3.42</v>
      </c>
      <c r="J83" s="112">
        <v>0.2</v>
      </c>
      <c r="K83" s="112">
        <v>70.25</v>
      </c>
      <c r="L83" s="112">
        <v>27.84</v>
      </c>
      <c r="M83" s="112">
        <v>86.14</v>
      </c>
      <c r="N83" s="112">
        <v>0</v>
      </c>
      <c r="O83" s="112">
        <v>0</v>
      </c>
      <c r="P83" s="112">
        <v>0.71</v>
      </c>
      <c r="Q83" s="112">
        <v>5.74</v>
      </c>
    </row>
    <row r="84" spans="1:17" customFormat="1">
      <c r="A84" s="189" t="s">
        <v>794</v>
      </c>
      <c r="B84" s="112">
        <v>13.45</v>
      </c>
      <c r="C84" s="112">
        <v>18.82</v>
      </c>
      <c r="D84" s="112">
        <v>21.97</v>
      </c>
      <c r="E84" s="112">
        <v>7.85</v>
      </c>
      <c r="F84" s="112">
        <v>7.86</v>
      </c>
      <c r="G84" s="112">
        <v>33.65</v>
      </c>
      <c r="H84" s="112">
        <v>9.66</v>
      </c>
      <c r="I84" s="112">
        <v>3.87</v>
      </c>
      <c r="J84" s="112">
        <v>0.1</v>
      </c>
      <c r="K84" s="112">
        <v>126.79</v>
      </c>
      <c r="L84" s="112">
        <v>27.66</v>
      </c>
      <c r="M84" s="112">
        <v>88.12</v>
      </c>
      <c r="N84" s="112">
        <v>0</v>
      </c>
      <c r="O84" s="112">
        <v>0</v>
      </c>
      <c r="P84" s="112">
        <v>0.67</v>
      </c>
      <c r="Q84" s="112">
        <v>5.77</v>
      </c>
    </row>
    <row r="85" spans="1:17" customFormat="1">
      <c r="A85" s="189" t="s">
        <v>795</v>
      </c>
      <c r="B85" s="112">
        <v>12.77</v>
      </c>
      <c r="C85" s="112">
        <v>18.41</v>
      </c>
      <c r="D85" s="112">
        <v>21.21</v>
      </c>
      <c r="E85" s="112">
        <v>7.3</v>
      </c>
      <c r="F85" s="112">
        <v>7.13</v>
      </c>
      <c r="G85" s="112">
        <v>33.86</v>
      </c>
      <c r="H85" s="112">
        <v>9.66</v>
      </c>
      <c r="I85" s="112">
        <v>4.17</v>
      </c>
      <c r="J85" s="112">
        <v>0.16</v>
      </c>
      <c r="K85" s="112">
        <v>192.15</v>
      </c>
      <c r="L85" s="112">
        <v>27.4</v>
      </c>
      <c r="M85" s="112">
        <v>90.1</v>
      </c>
      <c r="N85" s="112">
        <v>0</v>
      </c>
      <c r="O85" s="112">
        <v>0</v>
      </c>
      <c r="P85" s="112">
        <v>0.6</v>
      </c>
      <c r="Q85" s="112">
        <v>5.79</v>
      </c>
    </row>
    <row r="86" spans="1:17" customFormat="1">
      <c r="A86" s="189" t="s">
        <v>796</v>
      </c>
      <c r="B86" s="112">
        <v>13.27</v>
      </c>
      <c r="C86" s="112">
        <v>19.73</v>
      </c>
      <c r="D86" s="112">
        <v>22.3</v>
      </c>
      <c r="E86" s="112">
        <v>7.76</v>
      </c>
      <c r="F86" s="112">
        <v>5.56</v>
      </c>
      <c r="G86" s="112">
        <v>33.86</v>
      </c>
      <c r="H86" s="112">
        <v>9.66</v>
      </c>
      <c r="I86" s="112">
        <v>4.07</v>
      </c>
      <c r="J86" s="112">
        <v>0.12</v>
      </c>
      <c r="K86" s="112">
        <v>160.43</v>
      </c>
      <c r="L86" s="112">
        <v>27.22</v>
      </c>
      <c r="M86" s="112">
        <v>91.97</v>
      </c>
      <c r="N86" s="112">
        <v>0</v>
      </c>
      <c r="O86" s="112">
        <v>0</v>
      </c>
      <c r="P86" s="112">
        <v>0.63</v>
      </c>
      <c r="Q86" s="112">
        <v>5.86</v>
      </c>
    </row>
    <row r="87" spans="1:17" customFormat="1">
      <c r="A87" s="189" t="s">
        <v>797</v>
      </c>
      <c r="B87" s="112">
        <v>14</v>
      </c>
      <c r="C87" s="112">
        <v>19.84</v>
      </c>
      <c r="D87" s="112">
        <v>22.94</v>
      </c>
      <c r="E87" s="112">
        <v>7.88</v>
      </c>
      <c r="F87" s="112">
        <v>5.69</v>
      </c>
      <c r="G87" s="112">
        <v>33.86</v>
      </c>
      <c r="H87" s="112">
        <v>9.66</v>
      </c>
      <c r="I87" s="112">
        <v>4.04</v>
      </c>
      <c r="J87" s="112">
        <v>0.17</v>
      </c>
      <c r="K87" s="112">
        <v>62.75</v>
      </c>
      <c r="L87" s="112">
        <v>27.45</v>
      </c>
      <c r="M87" s="112">
        <v>90.18</v>
      </c>
      <c r="N87" s="112">
        <v>0</v>
      </c>
      <c r="O87" s="112">
        <v>0</v>
      </c>
      <c r="P87" s="112">
        <v>0.69</v>
      </c>
      <c r="Q87" s="112">
        <v>5.85</v>
      </c>
    </row>
    <row r="88" spans="1:17" customFormat="1">
      <c r="A88" s="189" t="s">
        <v>798</v>
      </c>
      <c r="B88" s="112">
        <v>14.35</v>
      </c>
      <c r="C88" s="112">
        <v>19.440000000000001</v>
      </c>
      <c r="D88" s="112">
        <v>23.02</v>
      </c>
      <c r="E88" s="112">
        <v>9</v>
      </c>
      <c r="F88" s="112">
        <v>6.88</v>
      </c>
      <c r="G88" s="112">
        <v>33.72</v>
      </c>
      <c r="H88" s="112">
        <v>8.17</v>
      </c>
      <c r="I88" s="112">
        <v>4.09</v>
      </c>
      <c r="J88" s="112">
        <v>0.1</v>
      </c>
      <c r="K88" s="112">
        <v>164.55</v>
      </c>
      <c r="L88" s="112">
        <v>27.6</v>
      </c>
      <c r="M88" s="112">
        <v>89.86</v>
      </c>
      <c r="N88" s="112">
        <v>0</v>
      </c>
      <c r="O88" s="112">
        <v>0</v>
      </c>
      <c r="P88" s="112">
        <v>0.7</v>
      </c>
      <c r="Q88" s="112">
        <v>5.85</v>
      </c>
    </row>
    <row r="89" spans="1:17" customFormat="1">
      <c r="A89" s="189" t="s">
        <v>799</v>
      </c>
      <c r="B89" s="112">
        <v>12.94</v>
      </c>
      <c r="C89" s="112">
        <v>17.38</v>
      </c>
      <c r="D89" s="112">
        <v>20.81</v>
      </c>
      <c r="E89" s="112">
        <v>8.17</v>
      </c>
      <c r="F89" s="112">
        <v>8.2200000000000006</v>
      </c>
      <c r="G89" s="112">
        <v>33.71</v>
      </c>
      <c r="H89" s="112">
        <v>8.17</v>
      </c>
      <c r="I89" s="112">
        <v>4.1900000000000004</v>
      </c>
      <c r="J89" s="112">
        <v>7.0000000000000007E-2</v>
      </c>
      <c r="K89" s="112">
        <v>144.41</v>
      </c>
      <c r="L89" s="112">
        <v>27.49</v>
      </c>
      <c r="M89" s="112">
        <v>90.84</v>
      </c>
      <c r="N89" s="112">
        <v>0</v>
      </c>
      <c r="O89" s="112">
        <v>0</v>
      </c>
      <c r="P89" s="112">
        <v>0.63</v>
      </c>
      <c r="Q89" s="112">
        <v>5.83</v>
      </c>
    </row>
    <row r="90" spans="1:17" customFormat="1">
      <c r="A90" s="189" t="s">
        <v>800</v>
      </c>
      <c r="B90" s="112">
        <v>17.149999999999999</v>
      </c>
      <c r="C90" s="112">
        <v>18.96</v>
      </c>
      <c r="D90" s="112">
        <v>25.01</v>
      </c>
      <c r="E90" s="112">
        <v>8.31</v>
      </c>
      <c r="F90" s="112">
        <v>7.28</v>
      </c>
      <c r="G90" s="112">
        <v>33.71</v>
      </c>
      <c r="H90" s="112">
        <v>8.17</v>
      </c>
      <c r="I90" s="112">
        <v>4.3099999999999996</v>
      </c>
      <c r="J90" s="112">
        <v>0.15</v>
      </c>
      <c r="K90" s="112">
        <v>112.16</v>
      </c>
      <c r="L90" s="112">
        <v>27.52</v>
      </c>
      <c r="M90" s="112">
        <v>90.58</v>
      </c>
      <c r="N90" s="112">
        <v>0</v>
      </c>
      <c r="O90" s="112">
        <v>0</v>
      </c>
      <c r="P90" s="112">
        <v>0.68</v>
      </c>
      <c r="Q90" s="112">
        <v>5.81</v>
      </c>
    </row>
    <row r="91" spans="1:17" customFormat="1">
      <c r="A91" s="189" t="s">
        <v>801</v>
      </c>
      <c r="B91" s="112">
        <v>14.72</v>
      </c>
      <c r="C91" s="112">
        <v>18.77</v>
      </c>
      <c r="D91" s="112">
        <v>22.96</v>
      </c>
      <c r="E91" s="112">
        <v>7.61</v>
      </c>
      <c r="F91" s="112">
        <v>6.97</v>
      </c>
      <c r="G91" s="112">
        <v>33.71</v>
      </c>
      <c r="H91" s="112">
        <v>8.17</v>
      </c>
      <c r="I91" s="112">
        <v>4.12</v>
      </c>
      <c r="J91" s="112">
        <v>7.0000000000000007E-2</v>
      </c>
      <c r="K91" s="112">
        <v>130.38999999999999</v>
      </c>
      <c r="L91" s="112">
        <v>27.45</v>
      </c>
      <c r="M91" s="112">
        <v>91.14</v>
      </c>
      <c r="N91" s="112">
        <v>0</v>
      </c>
      <c r="O91" s="112">
        <v>0</v>
      </c>
      <c r="P91" s="112">
        <v>0.64</v>
      </c>
      <c r="Q91" s="112">
        <v>5.81</v>
      </c>
    </row>
    <row r="92" spans="1:17" customFormat="1">
      <c r="A92" s="189" t="s">
        <v>802</v>
      </c>
      <c r="B92" s="112">
        <v>13.63</v>
      </c>
      <c r="C92" s="112">
        <v>18.91</v>
      </c>
      <c r="D92" s="112">
        <v>22.17</v>
      </c>
      <c r="E92" s="112">
        <v>7.63</v>
      </c>
      <c r="F92" s="112">
        <v>6.53</v>
      </c>
      <c r="G92" s="112">
        <v>34.82</v>
      </c>
      <c r="H92" s="112">
        <v>9.69</v>
      </c>
      <c r="I92" s="112">
        <v>4.1399999999999997</v>
      </c>
      <c r="J92" s="112">
        <v>0.16</v>
      </c>
      <c r="K92" s="112">
        <v>163.07</v>
      </c>
      <c r="L92" s="112">
        <v>27.49</v>
      </c>
      <c r="M92" s="112">
        <v>91.29</v>
      </c>
      <c r="N92" s="112">
        <v>0</v>
      </c>
      <c r="O92" s="112">
        <v>0</v>
      </c>
      <c r="P92" s="112">
        <v>0.67</v>
      </c>
      <c r="Q92" s="112">
        <v>5.89</v>
      </c>
    </row>
    <row r="93" spans="1:17" customFormat="1">
      <c r="A93" s="189" t="s">
        <v>803</v>
      </c>
      <c r="B93" s="112">
        <v>13.18</v>
      </c>
      <c r="C93" s="112">
        <v>17.46</v>
      </c>
      <c r="D93" s="112">
        <v>21.05</v>
      </c>
      <c r="E93" s="112">
        <v>7.07</v>
      </c>
      <c r="F93" s="112">
        <v>7.24</v>
      </c>
      <c r="G93" s="112">
        <v>34.880000000000003</v>
      </c>
      <c r="H93" s="112">
        <v>9.69</v>
      </c>
      <c r="I93" s="112">
        <v>4.18</v>
      </c>
      <c r="J93" s="112">
        <v>0.12</v>
      </c>
      <c r="K93" s="112">
        <v>194.66</v>
      </c>
      <c r="L93" s="112">
        <v>27.35</v>
      </c>
      <c r="M93" s="112">
        <v>91.99</v>
      </c>
      <c r="N93" s="112">
        <v>0</v>
      </c>
      <c r="O93" s="112">
        <v>0</v>
      </c>
      <c r="P93" s="112">
        <v>0.65</v>
      </c>
      <c r="Q93" s="112">
        <v>5.86</v>
      </c>
    </row>
    <row r="94" spans="1:17" customFormat="1">
      <c r="A94" s="189" t="s">
        <v>804</v>
      </c>
      <c r="B94" s="112">
        <v>12.76</v>
      </c>
      <c r="C94" s="112">
        <v>15.94</v>
      </c>
      <c r="D94" s="112">
        <v>19.91</v>
      </c>
      <c r="E94" s="112">
        <v>7.01</v>
      </c>
      <c r="F94" s="112">
        <v>7.63</v>
      </c>
      <c r="G94" s="112">
        <v>34.880000000000003</v>
      </c>
      <c r="H94" s="112">
        <v>9.69</v>
      </c>
      <c r="I94" s="112">
        <v>4.1900000000000004</v>
      </c>
      <c r="J94" s="112">
        <v>0.13</v>
      </c>
      <c r="K94" s="112">
        <v>154.34</v>
      </c>
      <c r="L94" s="112">
        <v>27.39</v>
      </c>
      <c r="M94" s="112">
        <v>93.19</v>
      </c>
      <c r="N94" s="112">
        <v>0</v>
      </c>
      <c r="O94" s="112">
        <v>0</v>
      </c>
      <c r="P94" s="112">
        <v>0.63</v>
      </c>
      <c r="Q94" s="112">
        <v>5.82</v>
      </c>
    </row>
    <row r="95" spans="1:17" customFormat="1">
      <c r="A95" s="189" t="s">
        <v>805</v>
      </c>
      <c r="B95" s="112">
        <v>12.38</v>
      </c>
      <c r="C95" s="112">
        <v>14.65</v>
      </c>
      <c r="D95" s="112">
        <v>18.93</v>
      </c>
      <c r="E95" s="112">
        <v>6.86</v>
      </c>
      <c r="F95" s="112">
        <v>7.65</v>
      </c>
      <c r="G95" s="112">
        <v>34.880000000000003</v>
      </c>
      <c r="H95" s="112">
        <v>9.69</v>
      </c>
      <c r="I95" s="112">
        <v>4.07</v>
      </c>
      <c r="J95" s="112">
        <v>7.0000000000000007E-2</v>
      </c>
      <c r="K95" s="112">
        <v>171.89</v>
      </c>
      <c r="L95" s="112">
        <v>27.29</v>
      </c>
      <c r="M95" s="112">
        <v>93.87</v>
      </c>
      <c r="N95" s="112">
        <v>0</v>
      </c>
      <c r="O95" s="112">
        <v>0</v>
      </c>
      <c r="P95" s="112">
        <v>0.62</v>
      </c>
      <c r="Q95" s="112">
        <v>5.8</v>
      </c>
    </row>
    <row r="96" spans="1:17" customFormat="1">
      <c r="A96" s="189" t="s">
        <v>806</v>
      </c>
      <c r="B96" s="112">
        <v>11.96</v>
      </c>
      <c r="C96" s="112">
        <v>13.94</v>
      </c>
      <c r="D96" s="112">
        <v>18.23</v>
      </c>
      <c r="E96" s="112">
        <v>7.35</v>
      </c>
      <c r="F96" s="112">
        <v>7.79</v>
      </c>
      <c r="G96" s="112">
        <v>34.04</v>
      </c>
      <c r="H96" s="112">
        <v>10.9</v>
      </c>
      <c r="I96" s="112">
        <v>4.01</v>
      </c>
      <c r="J96" s="112">
        <v>0.06</v>
      </c>
      <c r="K96" s="112">
        <v>168.26</v>
      </c>
      <c r="L96" s="112">
        <v>27.29</v>
      </c>
      <c r="M96" s="112">
        <v>93.49</v>
      </c>
      <c r="N96" s="112">
        <v>0</v>
      </c>
      <c r="O96" s="112">
        <v>0</v>
      </c>
      <c r="P96" s="112">
        <v>0.62</v>
      </c>
      <c r="Q96" s="112">
        <v>5.81</v>
      </c>
    </row>
    <row r="97" spans="1:22" customFormat="1">
      <c r="A97" s="189" t="s">
        <v>807</v>
      </c>
      <c r="B97" s="112">
        <v>11.91</v>
      </c>
      <c r="C97" s="112">
        <v>13.86</v>
      </c>
      <c r="D97" s="112">
        <v>18.14</v>
      </c>
      <c r="E97" s="112">
        <v>7.37</v>
      </c>
      <c r="F97" s="112">
        <v>7.32</v>
      </c>
      <c r="G97" s="112">
        <v>34</v>
      </c>
      <c r="H97" s="112">
        <v>10.9</v>
      </c>
      <c r="I97" s="112">
        <v>3.97</v>
      </c>
      <c r="J97" s="112">
        <v>0.11</v>
      </c>
      <c r="K97" s="112">
        <v>207.63</v>
      </c>
      <c r="L97" s="112">
        <v>27.26</v>
      </c>
      <c r="M97" s="112">
        <v>94.02</v>
      </c>
      <c r="N97" s="112">
        <v>0</v>
      </c>
      <c r="O97" s="112">
        <v>0</v>
      </c>
      <c r="P97" s="112">
        <v>0.62</v>
      </c>
      <c r="Q97" s="112">
        <v>5.79</v>
      </c>
    </row>
    <row r="98" spans="1:22" customFormat="1">
      <c r="A98" s="189" t="s">
        <v>808</v>
      </c>
      <c r="B98" s="112">
        <v>12.82</v>
      </c>
      <c r="C98" s="112">
        <v>15.28</v>
      </c>
      <c r="D98" s="112">
        <v>19.62</v>
      </c>
      <c r="E98" s="112">
        <v>7.26</v>
      </c>
      <c r="F98" s="112">
        <v>6.33</v>
      </c>
      <c r="G98" s="112">
        <v>34</v>
      </c>
      <c r="H98" s="112">
        <v>10.9</v>
      </c>
      <c r="I98" s="112">
        <v>3.96</v>
      </c>
      <c r="J98" s="112">
        <v>7.0000000000000007E-2</v>
      </c>
      <c r="K98" s="112">
        <v>177.95</v>
      </c>
      <c r="L98" s="112">
        <v>27.23</v>
      </c>
      <c r="M98" s="112">
        <v>94</v>
      </c>
      <c r="N98" s="112">
        <v>0</v>
      </c>
      <c r="O98" s="112">
        <v>0</v>
      </c>
      <c r="P98" s="112">
        <v>0.63</v>
      </c>
      <c r="Q98" s="112">
        <v>5.74</v>
      </c>
    </row>
    <row r="99" spans="1:22" customFormat="1">
      <c r="A99" s="189" t="s">
        <v>809</v>
      </c>
      <c r="B99" s="112">
        <v>13.4</v>
      </c>
      <c r="C99" s="112">
        <v>16.8</v>
      </c>
      <c r="D99" s="112">
        <v>20.87</v>
      </c>
      <c r="E99" s="112">
        <v>7.67</v>
      </c>
      <c r="F99" s="112">
        <v>6.37</v>
      </c>
      <c r="G99" s="112">
        <v>34</v>
      </c>
      <c r="H99" s="112">
        <v>10.9</v>
      </c>
      <c r="I99" s="112">
        <v>4.03</v>
      </c>
      <c r="J99" s="112">
        <v>0.15</v>
      </c>
      <c r="K99" s="112">
        <v>118.45</v>
      </c>
      <c r="L99" s="112">
        <v>27.17</v>
      </c>
      <c r="M99" s="112">
        <v>94.27</v>
      </c>
      <c r="N99" s="112">
        <v>0</v>
      </c>
      <c r="O99" s="112">
        <v>0.2</v>
      </c>
      <c r="P99" s="112">
        <v>0.64</v>
      </c>
      <c r="Q99" s="112">
        <v>5.79</v>
      </c>
    </row>
    <row r="100" spans="1:22" customFormat="1">
      <c r="A100" s="189" t="s">
        <v>810</v>
      </c>
      <c r="B100" s="112">
        <v>14.55</v>
      </c>
      <c r="C100" s="112">
        <v>18.13</v>
      </c>
      <c r="D100" s="112">
        <v>22.49</v>
      </c>
      <c r="E100" s="112">
        <v>7.32</v>
      </c>
      <c r="F100" s="112">
        <v>6.77</v>
      </c>
      <c r="G100" s="112">
        <v>31.07</v>
      </c>
      <c r="H100" s="112">
        <v>11.68</v>
      </c>
      <c r="I100" s="112">
        <v>4.16</v>
      </c>
      <c r="J100" s="112">
        <v>0.34</v>
      </c>
      <c r="K100" s="112">
        <v>113.24</v>
      </c>
      <c r="L100" s="112">
        <v>26.1</v>
      </c>
      <c r="M100" s="112">
        <v>95.17</v>
      </c>
      <c r="N100" s="112">
        <v>0</v>
      </c>
      <c r="O100" s="112">
        <v>9.1999999999999993</v>
      </c>
      <c r="P100" s="112">
        <v>0.63</v>
      </c>
      <c r="Q100" s="112">
        <v>5.8</v>
      </c>
    </row>
    <row r="101" spans="1:22" customFormat="1">
      <c r="A101" s="189" t="s">
        <v>811</v>
      </c>
      <c r="B101" s="112">
        <v>14.24</v>
      </c>
      <c r="C101" s="112">
        <v>16.47</v>
      </c>
      <c r="D101" s="112">
        <v>21.37</v>
      </c>
      <c r="E101" s="112">
        <v>6.99</v>
      </c>
      <c r="F101" s="112">
        <v>6.58</v>
      </c>
      <c r="G101" s="112">
        <v>30.9</v>
      </c>
      <c r="H101" s="112">
        <v>11.68</v>
      </c>
      <c r="I101" s="112">
        <v>4.1900000000000004</v>
      </c>
      <c r="J101" s="112">
        <v>0.16</v>
      </c>
      <c r="K101" s="112">
        <v>223.34</v>
      </c>
      <c r="L101" s="112">
        <v>24.63</v>
      </c>
      <c r="M101" s="112">
        <v>98.21</v>
      </c>
      <c r="N101" s="112">
        <v>0</v>
      </c>
      <c r="O101" s="112">
        <v>15.2</v>
      </c>
      <c r="P101" s="112">
        <v>0.59</v>
      </c>
      <c r="Q101" s="112">
        <v>5.73</v>
      </c>
    </row>
    <row r="102" spans="1:22" customFormat="1">
      <c r="A102" s="189" t="s">
        <v>812</v>
      </c>
      <c r="B102" s="112">
        <v>14.07</v>
      </c>
      <c r="C102" s="112">
        <v>16.46</v>
      </c>
      <c r="D102" s="112">
        <v>21.23</v>
      </c>
      <c r="E102" s="112">
        <v>6.72</v>
      </c>
      <c r="F102" s="112">
        <v>5.75</v>
      </c>
      <c r="G102" s="112">
        <v>30.9</v>
      </c>
      <c r="H102" s="112">
        <v>11.68</v>
      </c>
      <c r="I102" s="112">
        <v>4.2300000000000004</v>
      </c>
      <c r="J102" s="112">
        <v>0.52</v>
      </c>
      <c r="K102" s="112">
        <v>266.83999999999997</v>
      </c>
      <c r="L102" s="112">
        <v>24.47</v>
      </c>
      <c r="M102" s="112">
        <v>99.03</v>
      </c>
      <c r="N102" s="112">
        <v>0</v>
      </c>
      <c r="O102" s="112">
        <v>11</v>
      </c>
      <c r="P102" s="112">
        <v>0.59</v>
      </c>
      <c r="Q102" s="112">
        <v>5.7</v>
      </c>
    </row>
    <row r="103" spans="1:22" customFormat="1">
      <c r="A103" s="189" t="s">
        <v>813</v>
      </c>
      <c r="B103" s="112">
        <v>13.92</v>
      </c>
      <c r="C103" s="112">
        <v>16.48</v>
      </c>
      <c r="D103" s="112">
        <v>21.12</v>
      </c>
      <c r="E103" s="112">
        <v>7.17</v>
      </c>
      <c r="F103" s="112">
        <v>5.08</v>
      </c>
      <c r="G103" s="112">
        <v>30.9</v>
      </c>
      <c r="H103" s="112">
        <v>11.68</v>
      </c>
      <c r="I103" s="112">
        <v>4.2</v>
      </c>
      <c r="J103" s="112">
        <v>7.0000000000000007E-2</v>
      </c>
      <c r="K103" s="112">
        <v>71.45</v>
      </c>
      <c r="L103" s="112">
        <v>24.39</v>
      </c>
      <c r="M103" s="112">
        <v>99.26</v>
      </c>
      <c r="N103" s="112">
        <v>0</v>
      </c>
      <c r="O103" s="112">
        <v>6.4</v>
      </c>
      <c r="P103" s="112">
        <v>0.57999999999999996</v>
      </c>
      <c r="Q103" s="112">
        <v>5.7</v>
      </c>
    </row>
    <row r="104" spans="1:22" customFormat="1">
      <c r="A104" s="189" t="s">
        <v>814</v>
      </c>
      <c r="B104" s="112">
        <v>13.6</v>
      </c>
      <c r="C104" s="112">
        <v>17.010000000000002</v>
      </c>
      <c r="D104" s="112">
        <v>21.15</v>
      </c>
      <c r="E104" s="112">
        <v>7.1</v>
      </c>
      <c r="F104" s="112">
        <v>5.2</v>
      </c>
      <c r="G104" s="112">
        <v>21.07</v>
      </c>
      <c r="H104" s="112">
        <v>8.17</v>
      </c>
      <c r="I104" s="112">
        <v>4.1900000000000004</v>
      </c>
      <c r="J104" s="112">
        <v>0.06</v>
      </c>
      <c r="K104" s="112">
        <v>329.97</v>
      </c>
      <c r="L104" s="112">
        <v>24.34</v>
      </c>
      <c r="M104" s="112">
        <v>99.27</v>
      </c>
      <c r="N104" s="112">
        <v>0</v>
      </c>
      <c r="O104" s="112">
        <v>1.8</v>
      </c>
      <c r="P104" s="112">
        <v>0.57999999999999996</v>
      </c>
      <c r="Q104" s="112">
        <v>5.7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11.8</v>
      </c>
      <c r="C106" s="183">
        <f>MIN(C9:C104)</f>
        <v>13.86</v>
      </c>
      <c r="D106" s="183">
        <f t="shared" ref="D106:Q106" si="0">MIN(D9:D104)</f>
        <v>18.14</v>
      </c>
      <c r="E106" s="183">
        <f t="shared" si="0"/>
        <v>6.2</v>
      </c>
      <c r="F106" s="183">
        <f t="shared" si="0"/>
        <v>4.25</v>
      </c>
      <c r="G106" s="183">
        <f t="shared" si="0"/>
        <v>13.27</v>
      </c>
      <c r="H106" s="183">
        <f t="shared" si="0"/>
        <v>4.76</v>
      </c>
      <c r="I106" s="183">
        <f t="shared" si="0"/>
        <v>3.4</v>
      </c>
      <c r="J106" s="183">
        <f t="shared" si="0"/>
        <v>0.05</v>
      </c>
      <c r="K106" s="183">
        <f t="shared" si="0"/>
        <v>32.26</v>
      </c>
      <c r="L106" s="183">
        <f t="shared" si="0"/>
        <v>24.34</v>
      </c>
      <c r="M106" s="183">
        <f t="shared" si="0"/>
        <v>72.8</v>
      </c>
      <c r="N106" s="183">
        <f t="shared" si="0"/>
        <v>0</v>
      </c>
      <c r="O106" s="183">
        <f t="shared" si="0"/>
        <v>0</v>
      </c>
      <c r="P106" s="183">
        <f t="shared" si="0"/>
        <v>0.48</v>
      </c>
      <c r="Q106" s="183">
        <f t="shared" si="0"/>
        <v>5.63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17.579999999999998</v>
      </c>
      <c r="C107" s="184">
        <f t="shared" ref="C107:Q107" si="1">MAX(C9:C104)</f>
        <v>22.18</v>
      </c>
      <c r="D107" s="184">
        <f t="shared" si="1"/>
        <v>27.04</v>
      </c>
      <c r="E107" s="184">
        <f t="shared" si="1"/>
        <v>9.51</v>
      </c>
      <c r="F107" s="184">
        <f t="shared" si="1"/>
        <v>9.9499999999999993</v>
      </c>
      <c r="G107" s="184">
        <f t="shared" si="1"/>
        <v>34.880000000000003</v>
      </c>
      <c r="H107" s="184">
        <f t="shared" si="1"/>
        <v>14.69</v>
      </c>
      <c r="I107" s="184">
        <f t="shared" si="1"/>
        <v>4.53</v>
      </c>
      <c r="J107" s="184">
        <f t="shared" si="1"/>
        <v>0.82</v>
      </c>
      <c r="K107" s="184">
        <f t="shared" si="1"/>
        <v>329.97</v>
      </c>
      <c r="L107" s="184">
        <f t="shared" si="1"/>
        <v>30.79</v>
      </c>
      <c r="M107" s="184">
        <f t="shared" si="1"/>
        <v>99.27</v>
      </c>
      <c r="N107" s="184">
        <f t="shared" si="1"/>
        <v>664.2</v>
      </c>
      <c r="O107" s="184">
        <f t="shared" si="1"/>
        <v>15.2</v>
      </c>
      <c r="P107" s="184">
        <f t="shared" si="1"/>
        <v>0.71</v>
      </c>
      <c r="Q107" s="184">
        <f t="shared" si="1"/>
        <v>5.94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13.492708333333338</v>
      </c>
      <c r="C108" s="183">
        <f t="shared" ref="C108:Q108" si="2">AVERAGE(C9:C104)</f>
        <v>17.658125000000009</v>
      </c>
      <c r="D108" s="183">
        <f t="shared" si="2"/>
        <v>21.397499999999994</v>
      </c>
      <c r="E108" s="183">
        <f t="shared" si="2"/>
        <v>7.7060416666666667</v>
      </c>
      <c r="F108" s="183">
        <f t="shared" si="2"/>
        <v>6.2534375000000013</v>
      </c>
      <c r="G108" s="183">
        <f t="shared" si="2"/>
        <v>23.864479166666673</v>
      </c>
      <c r="H108" s="183">
        <f t="shared" si="2"/>
        <v>8.3587499999999935</v>
      </c>
      <c r="I108" s="183">
        <f t="shared" si="2"/>
        <v>3.8685416666666668</v>
      </c>
      <c r="J108" s="183">
        <f t="shared" si="2"/>
        <v>0.25114583333333335</v>
      </c>
      <c r="K108" s="183">
        <f t="shared" si="2"/>
        <v>110.78145833333333</v>
      </c>
      <c r="L108" s="183">
        <f t="shared" si="2"/>
        <v>27.416145833333317</v>
      </c>
      <c r="M108" s="183">
        <f t="shared" si="2"/>
        <v>87.241354166666682</v>
      </c>
      <c r="N108" s="183">
        <f t="shared" si="2"/>
        <v>113.43541666666665</v>
      </c>
      <c r="O108" s="183">
        <f t="shared" si="2"/>
        <v>0.48958333333333326</v>
      </c>
      <c r="P108" s="183">
        <f t="shared" si="2"/>
        <v>0.58614583333333348</v>
      </c>
      <c r="Q108" s="183">
        <f t="shared" si="2"/>
        <v>5.7560416666666674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0.92759732548424456</v>
      </c>
      <c r="C109" s="183">
        <f t="shared" ref="C109:Q109" si="3">STDEV(C9:C104)</f>
        <v>1.3125983171195652</v>
      </c>
      <c r="D109" s="183">
        <f t="shared" si="3"/>
        <v>1.2583506330867038</v>
      </c>
      <c r="E109" s="183">
        <f t="shared" si="3"/>
        <v>0.61498049462720206</v>
      </c>
      <c r="F109" s="183">
        <f t="shared" si="3"/>
        <v>1.2658559227278803</v>
      </c>
      <c r="G109" s="183">
        <f t="shared" si="3"/>
        <v>7.2517387925483225</v>
      </c>
      <c r="H109" s="183">
        <f t="shared" si="3"/>
        <v>2.403610989630768</v>
      </c>
      <c r="I109" s="183">
        <f t="shared" si="3"/>
        <v>0.27923572070798086</v>
      </c>
      <c r="J109" s="183">
        <f t="shared" si="3"/>
        <v>0.16647977460003111</v>
      </c>
      <c r="K109" s="183">
        <f t="shared" si="3"/>
        <v>60.560256586732493</v>
      </c>
      <c r="L109" s="183">
        <f t="shared" si="3"/>
        <v>1.9174656353426691</v>
      </c>
      <c r="M109" s="183">
        <f t="shared" si="3"/>
        <v>8.4032465680694362</v>
      </c>
      <c r="N109" s="183">
        <f t="shared" si="3"/>
        <v>161.12182836152712</v>
      </c>
      <c r="O109" s="183">
        <f t="shared" si="3"/>
        <v>2.2080941611628351</v>
      </c>
      <c r="P109" s="183">
        <f t="shared" si="3"/>
        <v>5.1265455521472755E-2</v>
      </c>
      <c r="Q109" s="183">
        <f t="shared" si="3"/>
        <v>7.1000061774126794E-2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07/09/2023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815</v>
      </c>
      <c r="B9" s="112">
        <v>11.66</v>
      </c>
      <c r="C9" s="112">
        <v>19.82</v>
      </c>
      <c r="D9" s="112">
        <v>21.05</v>
      </c>
      <c r="E9" s="112">
        <v>7.29</v>
      </c>
      <c r="F9" s="112">
        <v>4.08</v>
      </c>
      <c r="G9" s="112">
        <v>20.61</v>
      </c>
      <c r="H9" s="112">
        <v>8.17</v>
      </c>
      <c r="I9" s="112">
        <v>4.17</v>
      </c>
      <c r="J9" s="112">
        <v>0.12</v>
      </c>
      <c r="K9" s="112">
        <v>93.4</v>
      </c>
      <c r="L9" s="112">
        <v>24.35</v>
      </c>
      <c r="M9" s="112">
        <v>99.49</v>
      </c>
      <c r="N9" s="112">
        <v>0</v>
      </c>
      <c r="O9" s="112">
        <v>1.8</v>
      </c>
      <c r="P9" s="112">
        <v>0.61</v>
      </c>
      <c r="Q9" s="112">
        <v>5.75</v>
      </c>
    </row>
    <row r="10" spans="1:21" customFormat="1">
      <c r="A10" s="189" t="s">
        <v>816</v>
      </c>
      <c r="B10" s="112">
        <v>12.08</v>
      </c>
      <c r="C10" s="112">
        <v>17.64</v>
      </c>
      <c r="D10" s="112">
        <v>20.25</v>
      </c>
      <c r="E10" s="112">
        <v>7.16</v>
      </c>
      <c r="F10" s="112">
        <v>4.8600000000000003</v>
      </c>
      <c r="G10" s="112">
        <v>20.61</v>
      </c>
      <c r="H10" s="112">
        <v>8.17</v>
      </c>
      <c r="I10" s="112">
        <v>4.1399999999999997</v>
      </c>
      <c r="J10" s="112">
        <v>0.12</v>
      </c>
      <c r="K10" s="112">
        <v>123.72</v>
      </c>
      <c r="L10" s="112">
        <v>24.5</v>
      </c>
      <c r="M10" s="112">
        <v>99.91</v>
      </c>
      <c r="N10" s="112">
        <v>0</v>
      </c>
      <c r="O10" s="112">
        <v>0.6</v>
      </c>
      <c r="P10" s="112">
        <v>0.6</v>
      </c>
      <c r="Q10" s="112">
        <v>5.76</v>
      </c>
    </row>
    <row r="11" spans="1:21" customFormat="1">
      <c r="A11" s="189" t="s">
        <v>817</v>
      </c>
      <c r="B11" s="112">
        <v>12</v>
      </c>
      <c r="C11" s="112">
        <v>16.61</v>
      </c>
      <c r="D11" s="112">
        <v>19.649999999999999</v>
      </c>
      <c r="E11" s="112">
        <v>7.14</v>
      </c>
      <c r="F11" s="112">
        <v>5.46</v>
      </c>
      <c r="G11" s="112">
        <v>20.61</v>
      </c>
      <c r="H11" s="112">
        <v>8.17</v>
      </c>
      <c r="I11" s="112">
        <v>4.21</v>
      </c>
      <c r="J11" s="112">
        <v>0.17</v>
      </c>
      <c r="K11" s="112">
        <v>133.81</v>
      </c>
      <c r="L11" s="112">
        <v>24.38</v>
      </c>
      <c r="M11" s="112">
        <v>100.05</v>
      </c>
      <c r="N11" s="112">
        <v>0</v>
      </c>
      <c r="O11" s="112">
        <v>1.8</v>
      </c>
      <c r="P11" s="112">
        <v>0.56999999999999995</v>
      </c>
      <c r="Q11" s="112">
        <v>5.73</v>
      </c>
    </row>
    <row r="12" spans="1:21" customFormat="1">
      <c r="A12" s="189" t="s">
        <v>818</v>
      </c>
      <c r="B12" s="112">
        <v>12.1</v>
      </c>
      <c r="C12" s="112">
        <v>18.260000000000002</v>
      </c>
      <c r="D12" s="112">
        <v>20.59</v>
      </c>
      <c r="E12" s="112">
        <v>7.79</v>
      </c>
      <c r="F12" s="112">
        <v>4.25</v>
      </c>
      <c r="G12" s="112">
        <v>15.78</v>
      </c>
      <c r="H12" s="112">
        <v>5.86</v>
      </c>
      <c r="I12" s="112">
        <v>4.0999999999999996</v>
      </c>
      <c r="J12" s="112">
        <v>0.11</v>
      </c>
      <c r="K12" s="112">
        <v>141.05000000000001</v>
      </c>
      <c r="L12" s="112">
        <v>24.24</v>
      </c>
      <c r="M12" s="112">
        <v>100.13</v>
      </c>
      <c r="N12" s="112">
        <v>0</v>
      </c>
      <c r="O12" s="112">
        <v>1.8</v>
      </c>
      <c r="P12" s="112">
        <v>0.6</v>
      </c>
      <c r="Q12" s="112">
        <v>5.79</v>
      </c>
    </row>
    <row r="13" spans="1:21" customFormat="1">
      <c r="A13" s="189" t="s">
        <v>819</v>
      </c>
      <c r="B13" s="112">
        <v>12.24</v>
      </c>
      <c r="C13" s="112">
        <v>17.670000000000002</v>
      </c>
      <c r="D13" s="112">
        <v>20.399999999999999</v>
      </c>
      <c r="E13" s="112">
        <v>7.63</v>
      </c>
      <c r="F13" s="112">
        <v>4.6500000000000004</v>
      </c>
      <c r="G13" s="112">
        <v>15.55</v>
      </c>
      <c r="H13" s="112">
        <v>5.86</v>
      </c>
      <c r="I13" s="112">
        <v>4.0599999999999996</v>
      </c>
      <c r="J13" s="112">
        <v>0.1</v>
      </c>
      <c r="K13" s="112">
        <v>169.68</v>
      </c>
      <c r="L13" s="112">
        <v>24.24</v>
      </c>
      <c r="M13" s="112">
        <v>100.22</v>
      </c>
      <c r="N13" s="112">
        <v>0</v>
      </c>
      <c r="O13" s="112">
        <v>0.4</v>
      </c>
      <c r="P13" s="112">
        <v>0.57999999999999996</v>
      </c>
      <c r="Q13" s="112">
        <v>5.78</v>
      </c>
    </row>
    <row r="14" spans="1:21" customFormat="1">
      <c r="A14" s="189" t="s">
        <v>820</v>
      </c>
      <c r="B14" s="112">
        <v>12.23</v>
      </c>
      <c r="C14" s="112">
        <v>16.78</v>
      </c>
      <c r="D14" s="112">
        <v>19.920000000000002</v>
      </c>
      <c r="E14" s="112">
        <v>6.95</v>
      </c>
      <c r="F14" s="112">
        <v>5.0999999999999996</v>
      </c>
      <c r="G14" s="112">
        <v>15.55</v>
      </c>
      <c r="H14" s="112">
        <v>5.86</v>
      </c>
      <c r="I14" s="112">
        <v>4.17</v>
      </c>
      <c r="J14" s="112">
        <v>0.21</v>
      </c>
      <c r="K14" s="112">
        <v>246.16</v>
      </c>
      <c r="L14" s="112">
        <v>24.17</v>
      </c>
      <c r="M14" s="112">
        <v>99.91</v>
      </c>
      <c r="N14" s="112">
        <v>0</v>
      </c>
      <c r="O14" s="112">
        <v>0.2</v>
      </c>
      <c r="P14" s="112">
        <v>0.56999999999999995</v>
      </c>
      <c r="Q14" s="112">
        <v>5.69</v>
      </c>
    </row>
    <row r="15" spans="1:21" customFormat="1">
      <c r="A15" s="189" t="s">
        <v>821</v>
      </c>
      <c r="B15" s="112">
        <v>12.12</v>
      </c>
      <c r="C15" s="112">
        <v>17.850000000000001</v>
      </c>
      <c r="D15" s="112">
        <v>20.399999999999999</v>
      </c>
      <c r="E15" s="112">
        <v>6.96</v>
      </c>
      <c r="F15" s="112">
        <v>4.1399999999999997</v>
      </c>
      <c r="G15" s="112">
        <v>15.55</v>
      </c>
      <c r="H15" s="112">
        <v>5.86</v>
      </c>
      <c r="I15" s="112">
        <v>4.08</v>
      </c>
      <c r="J15" s="112">
        <v>0.12</v>
      </c>
      <c r="K15" s="112">
        <v>244.87</v>
      </c>
      <c r="L15" s="112">
        <v>24.28</v>
      </c>
      <c r="M15" s="112">
        <v>99.89</v>
      </c>
      <c r="N15" s="112">
        <v>0</v>
      </c>
      <c r="O15" s="112">
        <v>0.2</v>
      </c>
      <c r="P15" s="112">
        <v>0.59</v>
      </c>
      <c r="Q15" s="112">
        <v>5.73</v>
      </c>
    </row>
    <row r="16" spans="1:21" customFormat="1">
      <c r="A16" s="189" t="s">
        <v>822</v>
      </c>
      <c r="B16" s="112">
        <v>12.18</v>
      </c>
      <c r="C16" s="112">
        <v>16.98</v>
      </c>
      <c r="D16" s="112">
        <v>19.989999999999998</v>
      </c>
      <c r="E16" s="112">
        <v>7.11</v>
      </c>
      <c r="F16" s="112">
        <v>4.55</v>
      </c>
      <c r="G16" s="112">
        <v>11.49</v>
      </c>
      <c r="H16" s="112">
        <v>4.51</v>
      </c>
      <c r="I16" s="112">
        <v>4.03</v>
      </c>
      <c r="J16" s="112">
        <v>0.1</v>
      </c>
      <c r="K16" s="112">
        <v>241.43</v>
      </c>
      <c r="L16" s="112">
        <v>24.42</v>
      </c>
      <c r="M16" s="112">
        <v>99.66</v>
      </c>
      <c r="N16" s="112">
        <v>0</v>
      </c>
      <c r="O16" s="112">
        <v>0.4</v>
      </c>
      <c r="P16" s="112">
        <v>0.56999999999999995</v>
      </c>
      <c r="Q16" s="112">
        <v>5.75</v>
      </c>
    </row>
    <row r="17" spans="1:17" customFormat="1">
      <c r="A17" s="189" t="s">
        <v>823</v>
      </c>
      <c r="B17" s="112">
        <v>12.14</v>
      </c>
      <c r="C17" s="112">
        <v>15.99</v>
      </c>
      <c r="D17" s="112">
        <v>19.440000000000001</v>
      </c>
      <c r="E17" s="112">
        <v>6.47</v>
      </c>
      <c r="F17" s="112">
        <v>5.0599999999999996</v>
      </c>
      <c r="G17" s="112">
        <v>11.25</v>
      </c>
      <c r="H17" s="112">
        <v>4.51</v>
      </c>
      <c r="I17" s="112">
        <v>4.07</v>
      </c>
      <c r="J17" s="112">
        <v>0.08</v>
      </c>
      <c r="K17" s="112">
        <v>201.62</v>
      </c>
      <c r="L17" s="112">
        <v>24.46</v>
      </c>
      <c r="M17" s="112">
        <v>99.58</v>
      </c>
      <c r="N17" s="112">
        <v>0</v>
      </c>
      <c r="O17" s="112">
        <v>0</v>
      </c>
      <c r="P17" s="112">
        <v>0.53</v>
      </c>
      <c r="Q17" s="112">
        <v>5.69</v>
      </c>
    </row>
    <row r="18" spans="1:17" customFormat="1">
      <c r="A18" s="189" t="s">
        <v>824</v>
      </c>
      <c r="B18" s="112">
        <v>12.05</v>
      </c>
      <c r="C18" s="112">
        <v>15.75</v>
      </c>
      <c r="D18" s="112">
        <v>19.25</v>
      </c>
      <c r="E18" s="112">
        <v>7.71</v>
      </c>
      <c r="F18" s="112">
        <v>4.9000000000000004</v>
      </c>
      <c r="G18" s="112">
        <v>11.25</v>
      </c>
      <c r="H18" s="112">
        <v>4.51</v>
      </c>
      <c r="I18" s="112">
        <v>3.95</v>
      </c>
      <c r="J18" s="112">
        <v>0.09</v>
      </c>
      <c r="K18" s="112">
        <v>141.96</v>
      </c>
      <c r="L18" s="112">
        <v>24.51</v>
      </c>
      <c r="M18" s="112">
        <v>99.6</v>
      </c>
      <c r="N18" s="112">
        <v>0</v>
      </c>
      <c r="O18" s="112">
        <v>0.2</v>
      </c>
      <c r="P18" s="112">
        <v>0.53</v>
      </c>
      <c r="Q18" s="112">
        <v>5.66</v>
      </c>
    </row>
    <row r="19" spans="1:17" customFormat="1">
      <c r="A19" s="189" t="s">
        <v>825</v>
      </c>
      <c r="B19" s="112">
        <v>12.05</v>
      </c>
      <c r="C19" s="112">
        <v>17.46</v>
      </c>
      <c r="D19" s="112">
        <v>20.13</v>
      </c>
      <c r="E19" s="112">
        <v>8.5299999999999994</v>
      </c>
      <c r="F19" s="112">
        <v>3.96</v>
      </c>
      <c r="G19" s="112">
        <v>11.25</v>
      </c>
      <c r="H19" s="112">
        <v>4.51</v>
      </c>
      <c r="I19" s="112">
        <v>3.88</v>
      </c>
      <c r="J19" s="112">
        <v>0.11</v>
      </c>
      <c r="K19" s="112">
        <v>46.57</v>
      </c>
      <c r="L19" s="112">
        <v>24.58</v>
      </c>
      <c r="M19" s="112">
        <v>99.65</v>
      </c>
      <c r="N19" s="112">
        <v>0</v>
      </c>
      <c r="O19" s="112">
        <v>0.2</v>
      </c>
      <c r="P19" s="112">
        <v>0.56000000000000005</v>
      </c>
      <c r="Q19" s="112">
        <v>5.72</v>
      </c>
    </row>
    <row r="20" spans="1:17" customFormat="1">
      <c r="A20" s="189" t="s">
        <v>826</v>
      </c>
      <c r="B20" s="112">
        <v>11.94</v>
      </c>
      <c r="C20" s="112">
        <v>16.02</v>
      </c>
      <c r="D20" s="112">
        <v>19.3</v>
      </c>
      <c r="E20" s="112">
        <v>8.41</v>
      </c>
      <c r="F20" s="112">
        <v>5.0199999999999996</v>
      </c>
      <c r="G20" s="112">
        <v>8.42</v>
      </c>
      <c r="H20" s="112">
        <v>3.36</v>
      </c>
      <c r="I20" s="112">
        <v>3.89</v>
      </c>
      <c r="J20" s="112">
        <v>0.08</v>
      </c>
      <c r="K20" s="112">
        <v>198.53</v>
      </c>
      <c r="L20" s="112">
        <v>24.56</v>
      </c>
      <c r="M20" s="112">
        <v>99.7</v>
      </c>
      <c r="N20" s="112">
        <v>0</v>
      </c>
      <c r="O20" s="112">
        <v>0</v>
      </c>
      <c r="P20" s="112">
        <v>0.54</v>
      </c>
      <c r="Q20" s="112">
        <v>5.72</v>
      </c>
    </row>
    <row r="21" spans="1:17" customFormat="1">
      <c r="A21" s="189" t="s">
        <v>827</v>
      </c>
      <c r="B21" s="112">
        <v>12.06</v>
      </c>
      <c r="C21" s="112">
        <v>15.78</v>
      </c>
      <c r="D21" s="112">
        <v>19.27</v>
      </c>
      <c r="E21" s="112">
        <v>7.57</v>
      </c>
      <c r="F21" s="112">
        <v>5.13</v>
      </c>
      <c r="G21" s="112">
        <v>8.25</v>
      </c>
      <c r="H21" s="112">
        <v>3.36</v>
      </c>
      <c r="I21" s="112">
        <v>3.92</v>
      </c>
      <c r="J21" s="112">
        <v>0.15</v>
      </c>
      <c r="K21" s="112">
        <v>264.11</v>
      </c>
      <c r="L21" s="112">
        <v>24.55</v>
      </c>
      <c r="M21" s="112">
        <v>99.74</v>
      </c>
      <c r="N21" s="112">
        <v>0</v>
      </c>
      <c r="O21" s="112">
        <v>0</v>
      </c>
      <c r="P21" s="112">
        <v>0.52</v>
      </c>
      <c r="Q21" s="112">
        <v>5.7</v>
      </c>
    </row>
    <row r="22" spans="1:17" customFormat="1">
      <c r="A22" s="189" t="s">
        <v>828</v>
      </c>
      <c r="B22" s="112">
        <v>12.22</v>
      </c>
      <c r="C22" s="112">
        <v>17.489999999999998</v>
      </c>
      <c r="D22" s="112">
        <v>20.29</v>
      </c>
      <c r="E22" s="112">
        <v>8.23</v>
      </c>
      <c r="F22" s="112">
        <v>4.0199999999999996</v>
      </c>
      <c r="G22" s="112">
        <v>8.25</v>
      </c>
      <c r="H22" s="112">
        <v>3.36</v>
      </c>
      <c r="I22" s="112">
        <v>3.74</v>
      </c>
      <c r="J22" s="112">
        <v>0.08</v>
      </c>
      <c r="K22" s="112">
        <v>131.82</v>
      </c>
      <c r="L22" s="112">
        <v>24.51</v>
      </c>
      <c r="M22" s="112">
        <v>99.78</v>
      </c>
      <c r="N22" s="112">
        <v>0</v>
      </c>
      <c r="O22" s="112">
        <v>0</v>
      </c>
      <c r="P22" s="112">
        <v>0.54</v>
      </c>
      <c r="Q22" s="112">
        <v>5.74</v>
      </c>
    </row>
    <row r="23" spans="1:17" customFormat="1">
      <c r="A23" s="189" t="s">
        <v>829</v>
      </c>
      <c r="B23" s="112">
        <v>12.26</v>
      </c>
      <c r="C23" s="112">
        <v>16.670000000000002</v>
      </c>
      <c r="D23" s="112">
        <v>19.89</v>
      </c>
      <c r="E23" s="112">
        <v>8.18</v>
      </c>
      <c r="F23" s="112">
        <v>4.74</v>
      </c>
      <c r="G23" s="112">
        <v>8.25</v>
      </c>
      <c r="H23" s="112">
        <v>3.36</v>
      </c>
      <c r="I23" s="112">
        <v>3.81</v>
      </c>
      <c r="J23" s="112">
        <v>7.0000000000000007E-2</v>
      </c>
      <c r="K23" s="112">
        <v>224.43</v>
      </c>
      <c r="L23" s="112">
        <v>24.54</v>
      </c>
      <c r="M23" s="112">
        <v>99.74</v>
      </c>
      <c r="N23" s="112">
        <v>0</v>
      </c>
      <c r="O23" s="112">
        <v>0</v>
      </c>
      <c r="P23" s="112">
        <v>0.53</v>
      </c>
      <c r="Q23" s="112">
        <v>5.72</v>
      </c>
    </row>
    <row r="24" spans="1:17" customFormat="1">
      <c r="A24" s="189" t="s">
        <v>830</v>
      </c>
      <c r="B24" s="112">
        <v>12.02</v>
      </c>
      <c r="C24" s="112">
        <v>15.48</v>
      </c>
      <c r="D24" s="112">
        <v>19.079999999999998</v>
      </c>
      <c r="E24" s="112">
        <v>7.73</v>
      </c>
      <c r="F24" s="112">
        <v>5.51</v>
      </c>
      <c r="G24" s="112">
        <v>6.34</v>
      </c>
      <c r="H24" s="112">
        <v>2.54</v>
      </c>
      <c r="I24" s="112">
        <v>3.89</v>
      </c>
      <c r="J24" s="112">
        <v>0.08</v>
      </c>
      <c r="K24" s="112">
        <v>151.01</v>
      </c>
      <c r="L24" s="112">
        <v>24.58</v>
      </c>
      <c r="M24" s="112">
        <v>99.77</v>
      </c>
      <c r="N24" s="112">
        <v>0</v>
      </c>
      <c r="O24" s="112">
        <v>0</v>
      </c>
      <c r="P24" s="112">
        <v>0.52</v>
      </c>
      <c r="Q24" s="112">
        <v>5.72</v>
      </c>
    </row>
    <row r="25" spans="1:17" customFormat="1">
      <c r="A25" s="189" t="s">
        <v>831</v>
      </c>
      <c r="B25" s="112">
        <v>12.2</v>
      </c>
      <c r="C25" s="112">
        <v>17.52</v>
      </c>
      <c r="D25" s="112">
        <v>20.29</v>
      </c>
      <c r="E25" s="112">
        <v>8.5</v>
      </c>
      <c r="F25" s="112">
        <v>4.1100000000000003</v>
      </c>
      <c r="G25" s="112">
        <v>6.22</v>
      </c>
      <c r="H25" s="112">
        <v>2.4900000000000002</v>
      </c>
      <c r="I25" s="112">
        <v>3.76</v>
      </c>
      <c r="J25" s="112">
        <v>0.15</v>
      </c>
      <c r="K25" s="112">
        <v>179.7</v>
      </c>
      <c r="L25" s="112">
        <v>24.39</v>
      </c>
      <c r="M25" s="112">
        <v>99.78</v>
      </c>
      <c r="N25" s="112">
        <v>0</v>
      </c>
      <c r="O25" s="112">
        <v>0</v>
      </c>
      <c r="P25" s="112">
        <v>0.53</v>
      </c>
      <c r="Q25" s="112">
        <v>5.76</v>
      </c>
    </row>
    <row r="26" spans="1:17" customFormat="1">
      <c r="A26" s="189" t="s">
        <v>832</v>
      </c>
      <c r="B26" s="112">
        <v>12.41</v>
      </c>
      <c r="C26" s="112">
        <v>16.93</v>
      </c>
      <c r="D26" s="112">
        <v>20.14</v>
      </c>
      <c r="E26" s="112">
        <v>8.1300000000000008</v>
      </c>
      <c r="F26" s="112">
        <v>4.55</v>
      </c>
      <c r="G26" s="112">
        <v>6.22</v>
      </c>
      <c r="H26" s="112">
        <v>2.4900000000000002</v>
      </c>
      <c r="I26" s="112">
        <v>3.68</v>
      </c>
      <c r="J26" s="112">
        <v>0.05</v>
      </c>
      <c r="K26" s="112">
        <v>176.94</v>
      </c>
      <c r="L26" s="112">
        <v>24.59</v>
      </c>
      <c r="M26" s="112">
        <v>99.8</v>
      </c>
      <c r="N26" s="112">
        <v>0</v>
      </c>
      <c r="O26" s="112">
        <v>0</v>
      </c>
      <c r="P26" s="112">
        <v>0.53</v>
      </c>
      <c r="Q26" s="112">
        <v>5.72</v>
      </c>
    </row>
    <row r="27" spans="1:17" customFormat="1">
      <c r="A27" s="189" t="s">
        <v>833</v>
      </c>
      <c r="B27" s="112">
        <v>12.24</v>
      </c>
      <c r="C27" s="112">
        <v>15.66</v>
      </c>
      <c r="D27" s="112">
        <v>19.350000000000001</v>
      </c>
      <c r="E27" s="112">
        <v>7.8</v>
      </c>
      <c r="F27" s="112">
        <v>5.2</v>
      </c>
      <c r="G27" s="112">
        <v>6.22</v>
      </c>
      <c r="H27" s="112">
        <v>2.4900000000000002</v>
      </c>
      <c r="I27" s="112">
        <v>3.84</v>
      </c>
      <c r="J27" s="112">
        <v>0.04</v>
      </c>
      <c r="K27" s="112">
        <v>172.33</v>
      </c>
      <c r="L27" s="112">
        <v>24.71</v>
      </c>
      <c r="M27" s="112">
        <v>99.83</v>
      </c>
      <c r="N27" s="112">
        <v>0</v>
      </c>
      <c r="O27" s="112">
        <v>0</v>
      </c>
      <c r="P27" s="112">
        <v>0.5</v>
      </c>
      <c r="Q27" s="112">
        <v>5.7</v>
      </c>
    </row>
    <row r="28" spans="1:17" customFormat="1">
      <c r="A28" s="189" t="s">
        <v>834</v>
      </c>
      <c r="B28" s="112">
        <v>11.99</v>
      </c>
      <c r="C28" s="112">
        <v>15.99</v>
      </c>
      <c r="D28" s="112">
        <v>19.32</v>
      </c>
      <c r="E28" s="112">
        <v>7.99</v>
      </c>
      <c r="F28" s="112">
        <v>5.0199999999999996</v>
      </c>
      <c r="G28" s="112">
        <v>4.76</v>
      </c>
      <c r="H28" s="112">
        <v>1.89</v>
      </c>
      <c r="I28" s="112">
        <v>3.74</v>
      </c>
      <c r="J28" s="112">
        <v>0.01</v>
      </c>
      <c r="K28" s="112">
        <v>67.72</v>
      </c>
      <c r="L28" s="112">
        <v>24.71</v>
      </c>
      <c r="M28" s="112">
        <v>99.85</v>
      </c>
      <c r="N28" s="112">
        <v>0</v>
      </c>
      <c r="O28" s="112">
        <v>0</v>
      </c>
      <c r="P28" s="112">
        <v>0.51</v>
      </c>
      <c r="Q28" s="112">
        <v>5.71</v>
      </c>
    </row>
    <row r="29" spans="1:17" customFormat="1">
      <c r="A29" s="189" t="s">
        <v>835</v>
      </c>
      <c r="B29" s="112">
        <v>12.24</v>
      </c>
      <c r="C29" s="112">
        <v>17.489999999999998</v>
      </c>
      <c r="D29" s="112">
        <v>20.309999999999999</v>
      </c>
      <c r="E29" s="112">
        <v>8.4</v>
      </c>
      <c r="F29" s="112">
        <v>4.29</v>
      </c>
      <c r="G29" s="112">
        <v>4.7300000000000004</v>
      </c>
      <c r="H29" s="112">
        <v>1.89</v>
      </c>
      <c r="I29" s="112">
        <v>3.66</v>
      </c>
      <c r="J29" s="112">
        <v>0.12</v>
      </c>
      <c r="K29" s="112">
        <v>160.31</v>
      </c>
      <c r="L29" s="112">
        <v>24.78</v>
      </c>
      <c r="M29" s="112">
        <v>99.79</v>
      </c>
      <c r="N29" s="112">
        <v>0</v>
      </c>
      <c r="O29" s="112">
        <v>0</v>
      </c>
      <c r="P29" s="112">
        <v>0.52</v>
      </c>
      <c r="Q29" s="112">
        <v>5.72</v>
      </c>
    </row>
    <row r="30" spans="1:17" customFormat="1">
      <c r="A30" s="189" t="s">
        <v>836</v>
      </c>
      <c r="B30" s="112">
        <v>12.36</v>
      </c>
      <c r="C30" s="112">
        <v>16.48</v>
      </c>
      <c r="D30" s="112">
        <v>19.88</v>
      </c>
      <c r="E30" s="112">
        <v>8.59</v>
      </c>
      <c r="F30" s="112">
        <v>4.8899999999999997</v>
      </c>
      <c r="G30" s="112">
        <v>4.7300000000000004</v>
      </c>
      <c r="H30" s="112">
        <v>1.89</v>
      </c>
      <c r="I30" s="112">
        <v>3.67</v>
      </c>
      <c r="J30" s="112">
        <v>0.04</v>
      </c>
      <c r="K30" s="112">
        <v>127.35</v>
      </c>
      <c r="L30" s="112">
        <v>24.63</v>
      </c>
      <c r="M30" s="112">
        <v>99.74</v>
      </c>
      <c r="N30" s="112">
        <v>0</v>
      </c>
      <c r="O30" s="112">
        <v>0</v>
      </c>
      <c r="P30" s="112">
        <v>0.51</v>
      </c>
      <c r="Q30" s="112">
        <v>5.72</v>
      </c>
    </row>
    <row r="31" spans="1:17" customFormat="1">
      <c r="A31" s="189" t="s">
        <v>837</v>
      </c>
      <c r="B31" s="112">
        <v>12.2</v>
      </c>
      <c r="C31" s="112">
        <v>15.42</v>
      </c>
      <c r="D31" s="112">
        <v>19.190000000000001</v>
      </c>
      <c r="E31" s="112">
        <v>8.61</v>
      </c>
      <c r="F31" s="112">
        <v>5.24</v>
      </c>
      <c r="G31" s="112">
        <v>4.7300000000000004</v>
      </c>
      <c r="H31" s="112">
        <v>1.89</v>
      </c>
      <c r="I31" s="112">
        <v>3.75</v>
      </c>
      <c r="J31" s="112">
        <v>0.04</v>
      </c>
      <c r="K31" s="112">
        <v>116.22</v>
      </c>
      <c r="L31" s="112">
        <v>24.66</v>
      </c>
      <c r="M31" s="112">
        <v>99.75</v>
      </c>
      <c r="N31" s="112">
        <v>0</v>
      </c>
      <c r="O31" s="112">
        <v>0</v>
      </c>
      <c r="P31" s="112">
        <v>0.48</v>
      </c>
      <c r="Q31" s="112">
        <v>5.72</v>
      </c>
    </row>
    <row r="32" spans="1:17" customFormat="1">
      <c r="A32" s="189" t="s">
        <v>838</v>
      </c>
      <c r="B32" s="112">
        <v>11.99</v>
      </c>
      <c r="C32" s="112">
        <v>16.16</v>
      </c>
      <c r="D32" s="112">
        <v>19.41</v>
      </c>
      <c r="E32" s="112">
        <v>8.07</v>
      </c>
      <c r="F32" s="112">
        <v>4.9400000000000004</v>
      </c>
      <c r="G32" s="112">
        <v>3.77</v>
      </c>
      <c r="H32" s="112">
        <v>1.55</v>
      </c>
      <c r="I32" s="112">
        <v>3.64</v>
      </c>
      <c r="J32" s="112">
        <v>0.09</v>
      </c>
      <c r="K32" s="112">
        <v>177.41</v>
      </c>
      <c r="L32" s="112">
        <v>24.62</v>
      </c>
      <c r="M32" s="112">
        <v>99.77</v>
      </c>
      <c r="N32" s="112">
        <v>0</v>
      </c>
      <c r="O32" s="112">
        <v>0</v>
      </c>
      <c r="P32" s="112">
        <v>0.49</v>
      </c>
      <c r="Q32" s="112">
        <v>5.74</v>
      </c>
    </row>
    <row r="33" spans="1:17" customFormat="1">
      <c r="A33" s="189" t="s">
        <v>839</v>
      </c>
      <c r="B33" s="112">
        <v>12.36</v>
      </c>
      <c r="C33" s="112">
        <v>17.68</v>
      </c>
      <c r="D33" s="112">
        <v>20.5</v>
      </c>
      <c r="E33" s="112">
        <v>8.77</v>
      </c>
      <c r="F33" s="112">
        <v>4.03</v>
      </c>
      <c r="G33" s="112">
        <v>3.72</v>
      </c>
      <c r="H33" s="112">
        <v>1.55</v>
      </c>
      <c r="I33" s="112">
        <v>3.57</v>
      </c>
      <c r="J33" s="112">
        <v>0.04</v>
      </c>
      <c r="K33" s="112">
        <v>188.43</v>
      </c>
      <c r="L33" s="112">
        <v>24.61</v>
      </c>
      <c r="M33" s="112">
        <v>99.8</v>
      </c>
      <c r="N33" s="112">
        <v>0</v>
      </c>
      <c r="O33" s="112">
        <v>0</v>
      </c>
      <c r="P33" s="112">
        <v>0.51</v>
      </c>
      <c r="Q33" s="112">
        <v>5.77</v>
      </c>
    </row>
    <row r="34" spans="1:17" customFormat="1">
      <c r="A34" s="189" t="s">
        <v>840</v>
      </c>
      <c r="B34" s="112">
        <v>12.46</v>
      </c>
      <c r="C34" s="112">
        <v>17.68</v>
      </c>
      <c r="D34" s="112">
        <v>20.58</v>
      </c>
      <c r="E34" s="112">
        <v>8.51</v>
      </c>
      <c r="F34" s="112">
        <v>4.2</v>
      </c>
      <c r="G34" s="112">
        <v>3.72</v>
      </c>
      <c r="H34" s="112">
        <v>1.55</v>
      </c>
      <c r="I34" s="112">
        <v>3.6</v>
      </c>
      <c r="J34" s="112">
        <v>0.02</v>
      </c>
      <c r="K34" s="112">
        <v>148.63</v>
      </c>
      <c r="L34" s="112">
        <v>24.8</v>
      </c>
      <c r="M34" s="112">
        <v>99.83</v>
      </c>
      <c r="N34" s="112">
        <v>5</v>
      </c>
      <c r="O34" s="112">
        <v>0</v>
      </c>
      <c r="P34" s="112">
        <v>0.53</v>
      </c>
      <c r="Q34" s="112">
        <v>5.78</v>
      </c>
    </row>
    <row r="35" spans="1:17" customFormat="1">
      <c r="A35" s="189" t="s">
        <v>841</v>
      </c>
      <c r="B35" s="112">
        <v>12.49</v>
      </c>
      <c r="C35" s="112">
        <v>16.59</v>
      </c>
      <c r="D35" s="112">
        <v>20.04</v>
      </c>
      <c r="E35" s="112">
        <v>8.15</v>
      </c>
      <c r="F35" s="112">
        <v>4.74</v>
      </c>
      <c r="G35" s="112">
        <v>3.72</v>
      </c>
      <c r="H35" s="112">
        <v>1.55</v>
      </c>
      <c r="I35" s="112">
        <v>3.72</v>
      </c>
      <c r="J35" s="112">
        <v>0.14000000000000001</v>
      </c>
      <c r="K35" s="112">
        <v>208.91</v>
      </c>
      <c r="L35" s="112">
        <v>24.77</v>
      </c>
      <c r="M35" s="112">
        <v>99.85</v>
      </c>
      <c r="N35" s="112">
        <v>32.9</v>
      </c>
      <c r="O35" s="112">
        <v>0</v>
      </c>
      <c r="P35" s="112">
        <v>0.51</v>
      </c>
      <c r="Q35" s="112">
        <v>5.75</v>
      </c>
    </row>
    <row r="36" spans="1:17" customFormat="1">
      <c r="A36" s="189" t="s">
        <v>842</v>
      </c>
      <c r="B36" s="112">
        <v>11.82</v>
      </c>
      <c r="C36" s="112">
        <v>14.95</v>
      </c>
      <c r="D36" s="112">
        <v>18.64</v>
      </c>
      <c r="E36" s="112">
        <v>8.26</v>
      </c>
      <c r="F36" s="112">
        <v>6.16</v>
      </c>
      <c r="G36" s="112">
        <v>4.21</v>
      </c>
      <c r="H36" s="112">
        <v>1.41</v>
      </c>
      <c r="I36" s="112">
        <v>3.7</v>
      </c>
      <c r="J36" s="112">
        <v>0.05</v>
      </c>
      <c r="K36" s="112">
        <v>214.28</v>
      </c>
      <c r="L36" s="112">
        <v>25.08</v>
      </c>
      <c r="M36" s="112">
        <v>99.8</v>
      </c>
      <c r="N36" s="112">
        <v>37.4</v>
      </c>
      <c r="O36" s="112">
        <v>0</v>
      </c>
      <c r="P36" s="112">
        <v>0.48</v>
      </c>
      <c r="Q36" s="112">
        <v>5.76</v>
      </c>
    </row>
    <row r="37" spans="1:17" customFormat="1">
      <c r="A37" s="189" t="s">
        <v>843</v>
      </c>
      <c r="B37" s="112">
        <v>12.11</v>
      </c>
      <c r="C37" s="112">
        <v>15.53</v>
      </c>
      <c r="D37" s="112">
        <v>19.18</v>
      </c>
      <c r="E37" s="112">
        <v>8.6</v>
      </c>
      <c r="F37" s="112">
        <v>5.23</v>
      </c>
      <c r="G37" s="112">
        <v>4.2300000000000004</v>
      </c>
      <c r="H37" s="112">
        <v>1.4</v>
      </c>
      <c r="I37" s="112">
        <v>3.58</v>
      </c>
      <c r="J37" s="112">
        <v>0.09</v>
      </c>
      <c r="K37" s="112">
        <v>191.02</v>
      </c>
      <c r="L37" s="112">
        <v>24.96</v>
      </c>
      <c r="M37" s="112">
        <v>99.78</v>
      </c>
      <c r="N37" s="112">
        <v>38.1</v>
      </c>
      <c r="O37" s="112">
        <v>0</v>
      </c>
      <c r="P37" s="112">
        <v>0.47</v>
      </c>
      <c r="Q37" s="112">
        <v>5.71</v>
      </c>
    </row>
    <row r="38" spans="1:17" customFormat="1">
      <c r="A38" s="189" t="s">
        <v>844</v>
      </c>
      <c r="B38" s="112">
        <v>12.44</v>
      </c>
      <c r="C38" s="112">
        <v>17.72</v>
      </c>
      <c r="D38" s="112">
        <v>20.59</v>
      </c>
      <c r="E38" s="112">
        <v>8.5500000000000007</v>
      </c>
      <c r="F38" s="112">
        <v>3.91</v>
      </c>
      <c r="G38" s="112">
        <v>4.2300000000000004</v>
      </c>
      <c r="H38" s="112">
        <v>1.4</v>
      </c>
      <c r="I38" s="112">
        <v>3.38</v>
      </c>
      <c r="J38" s="112">
        <v>0.08</v>
      </c>
      <c r="K38" s="112">
        <v>170.04</v>
      </c>
      <c r="L38" s="112">
        <v>25.14</v>
      </c>
      <c r="M38" s="112">
        <v>99.8</v>
      </c>
      <c r="N38" s="112">
        <v>29.6</v>
      </c>
      <c r="O38" s="112">
        <v>0</v>
      </c>
      <c r="P38" s="112">
        <v>0.51</v>
      </c>
      <c r="Q38" s="112">
        <v>5.75</v>
      </c>
    </row>
    <row r="39" spans="1:17" customFormat="1">
      <c r="A39" s="189" t="s">
        <v>845</v>
      </c>
      <c r="B39" s="112">
        <v>12.58</v>
      </c>
      <c r="C39" s="112">
        <v>16.670000000000002</v>
      </c>
      <c r="D39" s="112">
        <v>20.149999999999999</v>
      </c>
      <c r="E39" s="112">
        <v>8.8699999999999992</v>
      </c>
      <c r="F39" s="112">
        <v>4.7</v>
      </c>
      <c r="G39" s="112">
        <v>4.2300000000000004</v>
      </c>
      <c r="H39" s="112">
        <v>1.4</v>
      </c>
      <c r="I39" s="112">
        <v>3.55</v>
      </c>
      <c r="J39" s="112">
        <v>0.09</v>
      </c>
      <c r="K39" s="112">
        <v>151.55000000000001</v>
      </c>
      <c r="L39" s="112">
        <v>25.14</v>
      </c>
      <c r="M39" s="112">
        <v>99.8</v>
      </c>
      <c r="N39" s="112">
        <v>24.6</v>
      </c>
      <c r="O39" s="112">
        <v>0</v>
      </c>
      <c r="P39" s="112">
        <v>0.5</v>
      </c>
      <c r="Q39" s="112">
        <v>5.74</v>
      </c>
    </row>
    <row r="40" spans="1:17" customFormat="1">
      <c r="A40" s="189" t="s">
        <v>846</v>
      </c>
      <c r="B40" s="112">
        <v>12.07</v>
      </c>
      <c r="C40" s="112">
        <v>15.31</v>
      </c>
      <c r="D40" s="112">
        <v>19.03</v>
      </c>
      <c r="E40" s="112">
        <v>8.32</v>
      </c>
      <c r="F40" s="112">
        <v>5.62</v>
      </c>
      <c r="G40" s="112">
        <v>3.23</v>
      </c>
      <c r="H40" s="112">
        <v>1.31</v>
      </c>
      <c r="I40" s="112">
        <v>3.68</v>
      </c>
      <c r="J40" s="112">
        <v>0.08</v>
      </c>
      <c r="K40" s="112">
        <v>130.05000000000001</v>
      </c>
      <c r="L40" s="112">
        <v>25.26</v>
      </c>
      <c r="M40" s="112">
        <v>99.82</v>
      </c>
      <c r="N40" s="112">
        <v>31.5</v>
      </c>
      <c r="O40" s="112">
        <v>0</v>
      </c>
      <c r="P40" s="112">
        <v>0.48</v>
      </c>
      <c r="Q40" s="112">
        <v>5.71</v>
      </c>
    </row>
    <row r="41" spans="1:17" customFormat="1">
      <c r="A41" s="189" t="s">
        <v>847</v>
      </c>
      <c r="B41" s="112">
        <v>12.25</v>
      </c>
      <c r="C41" s="112">
        <v>16.25</v>
      </c>
      <c r="D41" s="112">
        <v>19.670000000000002</v>
      </c>
      <c r="E41" s="112">
        <v>7.91</v>
      </c>
      <c r="F41" s="112">
        <v>5.0199999999999996</v>
      </c>
      <c r="G41" s="112">
        <v>3.17</v>
      </c>
      <c r="H41" s="112">
        <v>1.31</v>
      </c>
      <c r="I41" s="112">
        <v>3.59</v>
      </c>
      <c r="J41" s="112">
        <v>0.08</v>
      </c>
      <c r="K41" s="112">
        <v>116.4</v>
      </c>
      <c r="L41" s="112">
        <v>25.48</v>
      </c>
      <c r="M41" s="112">
        <v>99.67</v>
      </c>
      <c r="N41" s="112">
        <v>49</v>
      </c>
      <c r="O41" s="112">
        <v>0</v>
      </c>
      <c r="P41" s="112">
        <v>0.48</v>
      </c>
      <c r="Q41" s="112">
        <v>5.73</v>
      </c>
    </row>
    <row r="42" spans="1:17" customFormat="1">
      <c r="A42" s="189" t="s">
        <v>848</v>
      </c>
      <c r="B42" s="112">
        <v>12.48</v>
      </c>
      <c r="C42" s="112">
        <v>17.5</v>
      </c>
      <c r="D42" s="112">
        <v>20.5</v>
      </c>
      <c r="E42" s="112">
        <v>8.4499999999999993</v>
      </c>
      <c r="F42" s="112">
        <v>4.28</v>
      </c>
      <c r="G42" s="112">
        <v>3.17</v>
      </c>
      <c r="H42" s="112">
        <v>1.31</v>
      </c>
      <c r="I42" s="112">
        <v>3.49</v>
      </c>
      <c r="J42" s="112">
        <v>0.08</v>
      </c>
      <c r="K42" s="112">
        <v>89.63</v>
      </c>
      <c r="L42" s="112">
        <v>25.45</v>
      </c>
      <c r="M42" s="112">
        <v>99.7</v>
      </c>
      <c r="N42" s="112">
        <v>39.5</v>
      </c>
      <c r="O42" s="112">
        <v>0</v>
      </c>
      <c r="P42" s="112">
        <v>0.51</v>
      </c>
      <c r="Q42" s="112">
        <v>5.77</v>
      </c>
    </row>
    <row r="43" spans="1:17" customFormat="1">
      <c r="A43" s="189" t="s">
        <v>849</v>
      </c>
      <c r="B43" s="112">
        <v>12.38</v>
      </c>
      <c r="C43" s="112">
        <v>16.48</v>
      </c>
      <c r="D43" s="112">
        <v>19.89</v>
      </c>
      <c r="E43" s="112">
        <v>8.3800000000000008</v>
      </c>
      <c r="F43" s="112">
        <v>4.95</v>
      </c>
      <c r="G43" s="112">
        <v>3.17</v>
      </c>
      <c r="H43" s="112">
        <v>1.31</v>
      </c>
      <c r="I43" s="112">
        <v>3.6</v>
      </c>
      <c r="J43" s="112">
        <v>0.11</v>
      </c>
      <c r="K43" s="112">
        <v>107.23</v>
      </c>
      <c r="L43" s="112">
        <v>25.73</v>
      </c>
      <c r="M43" s="112">
        <v>99.72</v>
      </c>
      <c r="N43" s="112">
        <v>71</v>
      </c>
      <c r="O43" s="112">
        <v>0</v>
      </c>
      <c r="P43" s="112">
        <v>0.5</v>
      </c>
      <c r="Q43" s="112">
        <v>5.74</v>
      </c>
    </row>
    <row r="44" spans="1:17" customFormat="1">
      <c r="A44" s="189" t="s">
        <v>850</v>
      </c>
      <c r="B44" s="112">
        <v>11.92</v>
      </c>
      <c r="C44" s="112">
        <v>15.06</v>
      </c>
      <c r="D44" s="112">
        <v>18.78</v>
      </c>
      <c r="E44" s="112">
        <v>8.16</v>
      </c>
      <c r="F44" s="112">
        <v>6.18</v>
      </c>
      <c r="G44" s="112">
        <v>4.74</v>
      </c>
      <c r="H44" s="112">
        <v>1.02</v>
      </c>
      <c r="I44" s="112">
        <v>3.65</v>
      </c>
      <c r="J44" s="112">
        <v>0.12</v>
      </c>
      <c r="K44" s="112">
        <v>82.1</v>
      </c>
      <c r="L44" s="112">
        <v>25.8</v>
      </c>
      <c r="M44" s="112">
        <v>99.74</v>
      </c>
      <c r="N44" s="112">
        <v>42.1</v>
      </c>
      <c r="O44" s="112">
        <v>0</v>
      </c>
      <c r="P44" s="112">
        <v>0.48</v>
      </c>
      <c r="Q44" s="112">
        <v>5.71</v>
      </c>
    </row>
    <row r="45" spans="1:17" customFormat="1">
      <c r="A45" s="189" t="s">
        <v>851</v>
      </c>
      <c r="B45" s="112">
        <v>11.99</v>
      </c>
      <c r="C45" s="112">
        <v>15.34</v>
      </c>
      <c r="D45" s="112">
        <v>18.98</v>
      </c>
      <c r="E45" s="112">
        <v>8.1300000000000008</v>
      </c>
      <c r="F45" s="112">
        <v>5.44</v>
      </c>
      <c r="G45" s="112">
        <v>4.83</v>
      </c>
      <c r="H45" s="112">
        <v>1.02</v>
      </c>
      <c r="I45" s="112">
        <v>3.56</v>
      </c>
      <c r="J45" s="112">
        <v>0.05</v>
      </c>
      <c r="K45" s="112">
        <v>79.819999999999993</v>
      </c>
      <c r="L45" s="112">
        <v>25.81</v>
      </c>
      <c r="M45" s="112">
        <v>99.77</v>
      </c>
      <c r="N45" s="112">
        <v>42.7</v>
      </c>
      <c r="O45" s="112">
        <v>0</v>
      </c>
      <c r="P45" s="112">
        <v>0.47</v>
      </c>
      <c r="Q45" s="112">
        <v>5.68</v>
      </c>
    </row>
    <row r="46" spans="1:17" customFormat="1">
      <c r="A46" s="189" t="s">
        <v>852</v>
      </c>
      <c r="B46" s="112">
        <v>12.2</v>
      </c>
      <c r="C46" s="112">
        <v>17.59</v>
      </c>
      <c r="D46" s="112">
        <v>20.329999999999998</v>
      </c>
      <c r="E46" s="112">
        <v>8.9</v>
      </c>
      <c r="F46" s="112">
        <v>4.04</v>
      </c>
      <c r="G46" s="112">
        <v>4.83</v>
      </c>
      <c r="H46" s="112">
        <v>1.02</v>
      </c>
      <c r="I46" s="112">
        <v>3.44</v>
      </c>
      <c r="J46" s="112">
        <v>0.08</v>
      </c>
      <c r="K46" s="112">
        <v>117.79</v>
      </c>
      <c r="L46" s="112">
        <v>25.82</v>
      </c>
      <c r="M46" s="112">
        <v>99.8</v>
      </c>
      <c r="N46" s="112">
        <v>55.3</v>
      </c>
      <c r="O46" s="112">
        <v>0.2</v>
      </c>
      <c r="P46" s="112">
        <v>0.51</v>
      </c>
      <c r="Q46" s="112">
        <v>5.72</v>
      </c>
    </row>
    <row r="47" spans="1:17" customFormat="1">
      <c r="A47" s="189" t="s">
        <v>853</v>
      </c>
      <c r="B47" s="112">
        <v>12.25</v>
      </c>
      <c r="C47" s="112">
        <v>16.68</v>
      </c>
      <c r="D47" s="112">
        <v>19.88</v>
      </c>
      <c r="E47" s="112">
        <v>8.1999999999999993</v>
      </c>
      <c r="F47" s="112">
        <v>4.76</v>
      </c>
      <c r="G47" s="112">
        <v>4.83</v>
      </c>
      <c r="H47" s="112">
        <v>1.02</v>
      </c>
      <c r="I47" s="112">
        <v>3.55</v>
      </c>
      <c r="J47" s="112">
        <v>7.0000000000000007E-2</v>
      </c>
      <c r="K47" s="112">
        <v>191</v>
      </c>
      <c r="L47" s="112">
        <v>25.83</v>
      </c>
      <c r="M47" s="112">
        <v>99.73</v>
      </c>
      <c r="N47" s="112">
        <v>70.099999999999994</v>
      </c>
      <c r="O47" s="112">
        <v>0.4</v>
      </c>
      <c r="P47" s="112">
        <v>0.51</v>
      </c>
      <c r="Q47" s="112">
        <v>5.73</v>
      </c>
    </row>
    <row r="48" spans="1:17" customFormat="1">
      <c r="A48" s="189" t="s">
        <v>854</v>
      </c>
      <c r="B48" s="112">
        <v>11.98</v>
      </c>
      <c r="C48" s="112">
        <v>14.88</v>
      </c>
      <c r="D48" s="112">
        <v>18.73</v>
      </c>
      <c r="E48" s="112">
        <v>8.4499999999999993</v>
      </c>
      <c r="F48" s="112">
        <v>6.49</v>
      </c>
      <c r="G48" s="112">
        <v>5.42</v>
      </c>
      <c r="H48" s="112">
        <v>0.95</v>
      </c>
      <c r="I48" s="112">
        <v>3.67</v>
      </c>
      <c r="J48" s="112">
        <v>0.1</v>
      </c>
      <c r="K48" s="112">
        <v>70.31</v>
      </c>
      <c r="L48" s="112">
        <v>26.09</v>
      </c>
      <c r="M48" s="112">
        <v>99.61</v>
      </c>
      <c r="N48" s="112">
        <v>118.2</v>
      </c>
      <c r="O48" s="112">
        <v>0.2</v>
      </c>
      <c r="P48" s="112">
        <v>0.51</v>
      </c>
      <c r="Q48" s="112">
        <v>5.73</v>
      </c>
    </row>
    <row r="49" spans="1:17" customFormat="1">
      <c r="A49" s="189" t="s">
        <v>855</v>
      </c>
      <c r="B49" s="112">
        <v>12.32</v>
      </c>
      <c r="C49" s="112">
        <v>15.47</v>
      </c>
      <c r="D49" s="112">
        <v>19.309999999999999</v>
      </c>
      <c r="E49" s="112">
        <v>6.68</v>
      </c>
      <c r="F49" s="112">
        <v>5.72</v>
      </c>
      <c r="G49" s="112">
        <v>5.45</v>
      </c>
      <c r="H49" s="112">
        <v>0.95</v>
      </c>
      <c r="I49" s="112">
        <v>3.61</v>
      </c>
      <c r="J49" s="112">
        <v>0.16</v>
      </c>
      <c r="K49" s="112">
        <v>66.94</v>
      </c>
      <c r="L49" s="112">
        <v>26.4</v>
      </c>
      <c r="M49" s="112">
        <v>99.28</v>
      </c>
      <c r="N49" s="112">
        <v>165.3</v>
      </c>
      <c r="O49" s="112">
        <v>0</v>
      </c>
      <c r="P49" s="112">
        <v>0.51</v>
      </c>
      <c r="Q49" s="112">
        <v>5.72</v>
      </c>
    </row>
    <row r="50" spans="1:17" customFormat="1">
      <c r="A50" s="189" t="s">
        <v>856</v>
      </c>
      <c r="B50" s="112">
        <v>12.73</v>
      </c>
      <c r="C50" s="112">
        <v>17.7</v>
      </c>
      <c r="D50" s="112">
        <v>20.81</v>
      </c>
      <c r="E50" s="112">
        <v>8.65</v>
      </c>
      <c r="F50" s="112">
        <v>4.3099999999999996</v>
      </c>
      <c r="G50" s="112">
        <v>5.45</v>
      </c>
      <c r="H50" s="112">
        <v>0.95</v>
      </c>
      <c r="I50" s="112">
        <v>3.55</v>
      </c>
      <c r="J50" s="112">
        <v>0.03</v>
      </c>
      <c r="K50" s="112">
        <v>20.16</v>
      </c>
      <c r="L50" s="112">
        <v>27.16</v>
      </c>
      <c r="M50" s="112">
        <v>97.92</v>
      </c>
      <c r="N50" s="112">
        <v>387.7</v>
      </c>
      <c r="O50" s="112">
        <v>0</v>
      </c>
      <c r="P50" s="112">
        <v>0.54</v>
      </c>
      <c r="Q50" s="112">
        <v>5.79</v>
      </c>
    </row>
    <row r="51" spans="1:17" customFormat="1">
      <c r="A51" s="189" t="s">
        <v>857</v>
      </c>
      <c r="B51" s="112">
        <v>12.84</v>
      </c>
      <c r="C51" s="112">
        <v>17.3</v>
      </c>
      <c r="D51" s="112">
        <v>20.69</v>
      </c>
      <c r="E51" s="112">
        <v>8.0399999999999991</v>
      </c>
      <c r="F51" s="112">
        <v>4.93</v>
      </c>
      <c r="G51" s="112">
        <v>5.45</v>
      </c>
      <c r="H51" s="112">
        <v>0.95</v>
      </c>
      <c r="I51" s="112">
        <v>3.67</v>
      </c>
      <c r="J51" s="112">
        <v>0.17</v>
      </c>
      <c r="K51" s="112">
        <v>182.23</v>
      </c>
      <c r="L51" s="112">
        <v>28.45</v>
      </c>
      <c r="M51" s="112">
        <v>89.82</v>
      </c>
      <c r="N51" s="112">
        <v>616.1</v>
      </c>
      <c r="O51" s="112">
        <v>0</v>
      </c>
      <c r="P51" s="112">
        <v>0.54</v>
      </c>
      <c r="Q51" s="112">
        <v>5.8</v>
      </c>
    </row>
    <row r="52" spans="1:17" customFormat="1">
      <c r="A52" s="189" t="s">
        <v>858</v>
      </c>
      <c r="B52" s="112">
        <v>12.47</v>
      </c>
      <c r="C52" s="112">
        <v>16.39</v>
      </c>
      <c r="D52" s="112">
        <v>19.920000000000002</v>
      </c>
      <c r="E52" s="112">
        <v>8.48</v>
      </c>
      <c r="F52" s="112">
        <v>5.9</v>
      </c>
      <c r="G52" s="112">
        <v>5.43</v>
      </c>
      <c r="H52" s="112">
        <v>1.02</v>
      </c>
      <c r="I52" s="112">
        <v>3.8</v>
      </c>
      <c r="J52" s="112">
        <v>0.17</v>
      </c>
      <c r="K52" s="112">
        <v>223.54</v>
      </c>
      <c r="L52" s="112">
        <v>29.48</v>
      </c>
      <c r="M52" s="112">
        <v>81.25</v>
      </c>
      <c r="N52" s="112">
        <v>822.7</v>
      </c>
      <c r="O52" s="112">
        <v>0</v>
      </c>
      <c r="P52" s="112">
        <v>0.52</v>
      </c>
      <c r="Q52" s="112">
        <v>5.78</v>
      </c>
    </row>
    <row r="53" spans="1:17" customFormat="1">
      <c r="A53" s="189" t="s">
        <v>859</v>
      </c>
      <c r="B53" s="112">
        <v>12.2</v>
      </c>
      <c r="C53" s="112">
        <v>16.86</v>
      </c>
      <c r="D53" s="112">
        <v>19.940000000000001</v>
      </c>
      <c r="E53" s="112">
        <v>8.41</v>
      </c>
      <c r="F53" s="112">
        <v>5.28</v>
      </c>
      <c r="G53" s="112">
        <v>5.43</v>
      </c>
      <c r="H53" s="112">
        <v>1.02</v>
      </c>
      <c r="I53" s="112">
        <v>3.75</v>
      </c>
      <c r="J53" s="112">
        <v>0.31</v>
      </c>
      <c r="K53" s="112">
        <v>246.05</v>
      </c>
      <c r="L53" s="112">
        <v>29.59</v>
      </c>
      <c r="M53" s="112">
        <v>80.680000000000007</v>
      </c>
      <c r="N53" s="112">
        <v>567.4</v>
      </c>
      <c r="O53" s="112">
        <v>0</v>
      </c>
      <c r="P53" s="112">
        <v>0.53</v>
      </c>
      <c r="Q53" s="112">
        <v>5.74</v>
      </c>
    </row>
    <row r="54" spans="1:17" customFormat="1">
      <c r="A54" s="189" t="s">
        <v>860</v>
      </c>
      <c r="B54" s="112">
        <v>11.87</v>
      </c>
      <c r="C54" s="112">
        <v>17.23</v>
      </c>
      <c r="D54" s="112">
        <v>19.88</v>
      </c>
      <c r="E54" s="112">
        <v>8.58</v>
      </c>
      <c r="F54" s="112">
        <v>5</v>
      </c>
      <c r="G54" s="112">
        <v>5.43</v>
      </c>
      <c r="H54" s="112">
        <v>1.02</v>
      </c>
      <c r="I54" s="112">
        <v>3.71</v>
      </c>
      <c r="J54" s="112">
        <v>0.21</v>
      </c>
      <c r="K54" s="112">
        <v>224.41</v>
      </c>
      <c r="L54" s="112">
        <v>29.33</v>
      </c>
      <c r="M54" s="112">
        <v>81.62</v>
      </c>
      <c r="N54" s="112">
        <v>246</v>
      </c>
      <c r="O54" s="112">
        <v>0</v>
      </c>
      <c r="P54" s="112">
        <v>0.54</v>
      </c>
      <c r="Q54" s="112">
        <v>5.72</v>
      </c>
    </row>
    <row r="55" spans="1:17" customFormat="1">
      <c r="A55" s="189" t="s">
        <v>861</v>
      </c>
      <c r="B55" s="112">
        <v>11.38</v>
      </c>
      <c r="C55" s="112">
        <v>16.760000000000002</v>
      </c>
      <c r="D55" s="112">
        <v>19.239999999999998</v>
      </c>
      <c r="E55" s="112">
        <v>8.44</v>
      </c>
      <c r="F55" s="112">
        <v>6.01</v>
      </c>
      <c r="G55" s="112">
        <v>5.43</v>
      </c>
      <c r="H55" s="112">
        <v>1.02</v>
      </c>
      <c r="I55" s="112">
        <v>3.77</v>
      </c>
      <c r="J55" s="112">
        <v>0.09</v>
      </c>
      <c r="K55" s="112">
        <v>262.04000000000002</v>
      </c>
      <c r="L55" s="112">
        <v>29.68</v>
      </c>
      <c r="M55" s="112">
        <v>80.22</v>
      </c>
      <c r="N55" s="112">
        <v>516</v>
      </c>
      <c r="O55" s="112">
        <v>0</v>
      </c>
      <c r="P55" s="112">
        <v>0.53</v>
      </c>
      <c r="Q55" s="112">
        <v>5.7</v>
      </c>
    </row>
    <row r="56" spans="1:17" customFormat="1">
      <c r="A56" s="189" t="s">
        <v>862</v>
      </c>
      <c r="B56" s="112">
        <v>11.1</v>
      </c>
      <c r="C56" s="112">
        <v>16.600000000000001</v>
      </c>
      <c r="D56" s="112">
        <v>18.920000000000002</v>
      </c>
      <c r="E56" s="112">
        <v>8.58</v>
      </c>
      <c r="F56" s="112">
        <v>5.8</v>
      </c>
      <c r="G56" s="112">
        <v>8.1</v>
      </c>
      <c r="H56" s="112">
        <v>1.64</v>
      </c>
      <c r="I56" s="112">
        <v>3.77</v>
      </c>
      <c r="J56" s="112">
        <v>0.2</v>
      </c>
      <c r="K56" s="112">
        <v>81.93</v>
      </c>
      <c r="L56" s="112">
        <v>29.86</v>
      </c>
      <c r="M56" s="112">
        <v>78.02</v>
      </c>
      <c r="N56" s="112">
        <v>475</v>
      </c>
      <c r="O56" s="112">
        <v>0</v>
      </c>
      <c r="P56" s="112">
        <v>0.52</v>
      </c>
      <c r="Q56" s="112">
        <v>5.68</v>
      </c>
    </row>
    <row r="57" spans="1:17" customFormat="1">
      <c r="A57" s="189" t="s">
        <v>863</v>
      </c>
      <c r="B57" s="112">
        <v>10.9</v>
      </c>
      <c r="C57" s="112">
        <v>16.5</v>
      </c>
      <c r="D57" s="112">
        <v>18.71</v>
      </c>
      <c r="E57" s="112">
        <v>7.98</v>
      </c>
      <c r="F57" s="112">
        <v>5.45</v>
      </c>
      <c r="G57" s="112">
        <v>8.26</v>
      </c>
      <c r="H57" s="112">
        <v>1.64</v>
      </c>
      <c r="I57" s="112">
        <v>3.75</v>
      </c>
      <c r="J57" s="112">
        <v>0.11</v>
      </c>
      <c r="K57" s="112">
        <v>80.38</v>
      </c>
      <c r="L57" s="112">
        <v>30.12</v>
      </c>
      <c r="M57" s="112">
        <v>77.760000000000005</v>
      </c>
      <c r="N57" s="112">
        <v>294.7</v>
      </c>
      <c r="O57" s="112">
        <v>0</v>
      </c>
      <c r="P57" s="112">
        <v>0.52</v>
      </c>
      <c r="Q57" s="112">
        <v>5.65</v>
      </c>
    </row>
    <row r="58" spans="1:17" customFormat="1">
      <c r="A58" s="189" t="s">
        <v>864</v>
      </c>
      <c r="B58" s="112">
        <v>10.75</v>
      </c>
      <c r="C58" s="112">
        <v>16.52</v>
      </c>
      <c r="D58" s="112">
        <v>18.600000000000001</v>
      </c>
      <c r="E58" s="112">
        <v>8.33</v>
      </c>
      <c r="F58" s="112">
        <v>5.27</v>
      </c>
      <c r="G58" s="112">
        <v>8.26</v>
      </c>
      <c r="H58" s="112">
        <v>1.64</v>
      </c>
      <c r="I58" s="112">
        <v>3.75</v>
      </c>
      <c r="J58" s="112">
        <v>0.04</v>
      </c>
      <c r="K58" s="112">
        <v>124.29</v>
      </c>
      <c r="L58" s="112">
        <v>29.67</v>
      </c>
      <c r="M58" s="112">
        <v>78.86</v>
      </c>
      <c r="N58" s="112">
        <v>297.89999999999998</v>
      </c>
      <c r="O58" s="112">
        <v>0</v>
      </c>
      <c r="P58" s="112">
        <v>0.52</v>
      </c>
      <c r="Q58" s="112">
        <v>5.61</v>
      </c>
    </row>
    <row r="59" spans="1:17" customFormat="1">
      <c r="A59" s="189" t="s">
        <v>865</v>
      </c>
      <c r="B59" s="112">
        <v>10.34</v>
      </c>
      <c r="C59" s="112">
        <v>15.85</v>
      </c>
      <c r="D59" s="112">
        <v>17.93</v>
      </c>
      <c r="E59" s="112">
        <v>7.59</v>
      </c>
      <c r="F59" s="112">
        <v>6.38</v>
      </c>
      <c r="G59" s="112">
        <v>8.26</v>
      </c>
      <c r="H59" s="112">
        <v>1.64</v>
      </c>
      <c r="I59" s="112">
        <v>3.74</v>
      </c>
      <c r="J59" s="112">
        <v>0.11</v>
      </c>
      <c r="K59" s="112">
        <v>161.44</v>
      </c>
      <c r="L59" s="112">
        <v>29.94</v>
      </c>
      <c r="M59" s="112">
        <v>77.91</v>
      </c>
      <c r="N59" s="112">
        <v>720.8</v>
      </c>
      <c r="O59" s="112">
        <v>0</v>
      </c>
      <c r="P59" s="112">
        <v>0.51</v>
      </c>
      <c r="Q59" s="112">
        <v>5.61</v>
      </c>
    </row>
    <row r="60" spans="1:17" customFormat="1">
      <c r="A60" s="189" t="s">
        <v>866</v>
      </c>
      <c r="B60" s="112">
        <v>9.9600000000000009</v>
      </c>
      <c r="C60" s="112">
        <v>15.75</v>
      </c>
      <c r="D60" s="112">
        <v>17.57</v>
      </c>
      <c r="E60" s="112">
        <v>8.1300000000000008</v>
      </c>
      <c r="F60" s="112">
        <v>6.96</v>
      </c>
      <c r="G60" s="112">
        <v>7.3</v>
      </c>
      <c r="H60" s="112">
        <v>2.15</v>
      </c>
      <c r="I60" s="112">
        <v>3.73</v>
      </c>
      <c r="J60" s="112">
        <v>0.34</v>
      </c>
      <c r="K60" s="112">
        <v>64.81</v>
      </c>
      <c r="L60" s="112">
        <v>30.63</v>
      </c>
      <c r="M60" s="112">
        <v>75.36</v>
      </c>
      <c r="N60" s="112">
        <v>506.3</v>
      </c>
      <c r="O60" s="112">
        <v>0</v>
      </c>
      <c r="P60" s="112">
        <v>0.52</v>
      </c>
      <c r="Q60" s="112">
        <v>5.59</v>
      </c>
    </row>
    <row r="61" spans="1:17" customFormat="1">
      <c r="A61" s="189" t="s">
        <v>867</v>
      </c>
      <c r="B61" s="112">
        <v>9.7899999999999991</v>
      </c>
      <c r="C61" s="112">
        <v>16.25</v>
      </c>
      <c r="D61" s="112">
        <v>17.690000000000001</v>
      </c>
      <c r="E61" s="112">
        <v>8.23</v>
      </c>
      <c r="F61" s="112">
        <v>6.21</v>
      </c>
      <c r="G61" s="112">
        <v>7.24</v>
      </c>
      <c r="H61" s="112">
        <v>2.15</v>
      </c>
      <c r="I61" s="112">
        <v>3.64</v>
      </c>
      <c r="J61" s="112">
        <v>0.33</v>
      </c>
      <c r="K61" s="112">
        <v>56.86</v>
      </c>
      <c r="L61" s="112">
        <v>31.17</v>
      </c>
      <c r="M61" s="112">
        <v>72.31</v>
      </c>
      <c r="N61" s="112">
        <v>639.79999999999995</v>
      </c>
      <c r="O61" s="112">
        <v>0</v>
      </c>
      <c r="P61" s="112">
        <v>0.51</v>
      </c>
      <c r="Q61" s="112">
        <v>5.57</v>
      </c>
    </row>
    <row r="62" spans="1:17" customFormat="1">
      <c r="A62" s="189" t="s">
        <v>868</v>
      </c>
      <c r="B62" s="112">
        <v>9.75</v>
      </c>
      <c r="C62" s="112">
        <v>16.18</v>
      </c>
      <c r="D62" s="112">
        <v>17.63</v>
      </c>
      <c r="E62" s="112">
        <v>8.09</v>
      </c>
      <c r="F62" s="112">
        <v>6.65</v>
      </c>
      <c r="G62" s="112">
        <v>7.24</v>
      </c>
      <c r="H62" s="112">
        <v>2.15</v>
      </c>
      <c r="I62" s="112">
        <v>3.6</v>
      </c>
      <c r="J62" s="112">
        <v>0.9</v>
      </c>
      <c r="K62" s="112">
        <v>40.04</v>
      </c>
      <c r="L62" s="112">
        <v>30.8</v>
      </c>
      <c r="M62" s="112">
        <v>77.790000000000006</v>
      </c>
      <c r="N62" s="112">
        <v>720.8</v>
      </c>
      <c r="O62" s="112">
        <v>0</v>
      </c>
      <c r="P62" s="112">
        <v>0.51</v>
      </c>
      <c r="Q62" s="112">
        <v>5.56</v>
      </c>
    </row>
    <row r="63" spans="1:17" customFormat="1">
      <c r="A63" s="189" t="s">
        <v>869</v>
      </c>
      <c r="B63" s="112">
        <v>9.85</v>
      </c>
      <c r="C63" s="112">
        <v>16</v>
      </c>
      <c r="D63" s="112">
        <v>17.61</v>
      </c>
      <c r="E63" s="112">
        <v>7.96</v>
      </c>
      <c r="F63" s="112">
        <v>6.23</v>
      </c>
      <c r="G63" s="112">
        <v>7.24</v>
      </c>
      <c r="H63" s="112">
        <v>2.15</v>
      </c>
      <c r="I63" s="112">
        <v>3.68</v>
      </c>
      <c r="J63" s="112">
        <v>0.56999999999999995</v>
      </c>
      <c r="K63" s="112">
        <v>55.21</v>
      </c>
      <c r="L63" s="112">
        <v>29.76</v>
      </c>
      <c r="M63" s="112">
        <v>81.45</v>
      </c>
      <c r="N63" s="112">
        <v>202.4</v>
      </c>
      <c r="O63" s="112">
        <v>0</v>
      </c>
      <c r="P63" s="112">
        <v>0.52</v>
      </c>
      <c r="Q63" s="112">
        <v>5.54</v>
      </c>
    </row>
    <row r="64" spans="1:17" customFormat="1">
      <c r="A64" s="189" t="s">
        <v>870</v>
      </c>
      <c r="B64" s="112">
        <v>9.75</v>
      </c>
      <c r="C64" s="112">
        <v>15.86</v>
      </c>
      <c r="D64" s="112">
        <v>17.46</v>
      </c>
      <c r="E64" s="112">
        <v>7.79</v>
      </c>
      <c r="F64" s="112">
        <v>6</v>
      </c>
      <c r="G64" s="112">
        <v>7.82</v>
      </c>
      <c r="H64" s="112">
        <v>1.85</v>
      </c>
      <c r="I64" s="112">
        <v>3.66</v>
      </c>
      <c r="J64" s="112">
        <v>0.45</v>
      </c>
      <c r="K64" s="112">
        <v>61.23</v>
      </c>
      <c r="L64" s="112">
        <v>29.14</v>
      </c>
      <c r="M64" s="112">
        <v>82.41</v>
      </c>
      <c r="N64" s="112">
        <v>279.8</v>
      </c>
      <c r="O64" s="112">
        <v>0</v>
      </c>
      <c r="P64" s="112">
        <v>0.51</v>
      </c>
      <c r="Q64" s="112">
        <v>5.53</v>
      </c>
    </row>
    <row r="65" spans="1:17" customFormat="1">
      <c r="A65" s="189" t="s">
        <v>871</v>
      </c>
      <c r="B65" s="112">
        <v>9.65</v>
      </c>
      <c r="C65" s="112">
        <v>15.92</v>
      </c>
      <c r="D65" s="112">
        <v>17.41</v>
      </c>
      <c r="E65" s="112">
        <v>7.48</v>
      </c>
      <c r="F65" s="112">
        <v>5.81</v>
      </c>
      <c r="G65" s="112">
        <v>7.85</v>
      </c>
      <c r="H65" s="112">
        <v>1.85</v>
      </c>
      <c r="I65" s="112">
        <v>3.64</v>
      </c>
      <c r="J65" s="112">
        <v>0.24</v>
      </c>
      <c r="K65" s="112">
        <v>98.42</v>
      </c>
      <c r="L65" s="112">
        <v>28.89</v>
      </c>
      <c r="M65" s="112">
        <v>82.8</v>
      </c>
      <c r="N65" s="112">
        <v>190.2</v>
      </c>
      <c r="O65" s="112">
        <v>0</v>
      </c>
      <c r="P65" s="112">
        <v>0.47</v>
      </c>
      <c r="Q65" s="112">
        <v>5.52</v>
      </c>
    </row>
    <row r="66" spans="1:17" customFormat="1">
      <c r="A66" s="189" t="s">
        <v>872</v>
      </c>
      <c r="B66" s="112">
        <v>9.4700000000000006</v>
      </c>
      <c r="C66" s="112">
        <v>15.83</v>
      </c>
      <c r="D66" s="112">
        <v>17.22</v>
      </c>
      <c r="E66" s="112">
        <v>9.0399999999999991</v>
      </c>
      <c r="F66" s="112">
        <v>5.41</v>
      </c>
      <c r="G66" s="112">
        <v>7.85</v>
      </c>
      <c r="H66" s="112">
        <v>1.85</v>
      </c>
      <c r="I66" s="112">
        <v>3.62</v>
      </c>
      <c r="J66" s="112">
        <v>0.23</v>
      </c>
      <c r="K66" s="112">
        <v>130.78</v>
      </c>
      <c r="L66" s="112">
        <v>29.03</v>
      </c>
      <c r="M66" s="112">
        <v>83.13</v>
      </c>
      <c r="N66" s="112">
        <v>197.1</v>
      </c>
      <c r="O66" s="112">
        <v>0</v>
      </c>
      <c r="P66" s="112">
        <v>0.49</v>
      </c>
      <c r="Q66" s="112">
        <v>5.5</v>
      </c>
    </row>
    <row r="67" spans="1:17" customFormat="1">
      <c r="A67" s="189" t="s">
        <v>873</v>
      </c>
      <c r="B67" s="112">
        <v>9.31</v>
      </c>
      <c r="C67" s="112">
        <v>15.59</v>
      </c>
      <c r="D67" s="112">
        <v>16.96</v>
      </c>
      <c r="E67" s="112">
        <v>8.58</v>
      </c>
      <c r="F67" s="112">
        <v>5.69</v>
      </c>
      <c r="G67" s="112">
        <v>7.85</v>
      </c>
      <c r="H67" s="112">
        <v>1.85</v>
      </c>
      <c r="I67" s="112">
        <v>3.63</v>
      </c>
      <c r="J67" s="112">
        <v>0.14000000000000001</v>
      </c>
      <c r="K67" s="112">
        <v>124.71</v>
      </c>
      <c r="L67" s="112">
        <v>29.11</v>
      </c>
      <c r="M67" s="112">
        <v>82.3</v>
      </c>
      <c r="N67" s="112">
        <v>204.5</v>
      </c>
      <c r="O67" s="112">
        <v>0</v>
      </c>
      <c r="P67" s="112">
        <v>0.49</v>
      </c>
      <c r="Q67" s="112">
        <v>5.53</v>
      </c>
    </row>
    <row r="68" spans="1:17" customFormat="1">
      <c r="A68" s="189" t="s">
        <v>874</v>
      </c>
      <c r="B68" s="112">
        <v>8.98</v>
      </c>
      <c r="C68" s="112">
        <v>15.02</v>
      </c>
      <c r="D68" s="112">
        <v>16.399999999999999</v>
      </c>
      <c r="E68" s="112">
        <v>7.44</v>
      </c>
      <c r="F68" s="112">
        <v>6.7</v>
      </c>
      <c r="G68" s="112">
        <v>8.4700000000000006</v>
      </c>
      <c r="H68" s="112">
        <v>2.7</v>
      </c>
      <c r="I68" s="112">
        <v>3.57</v>
      </c>
      <c r="J68" s="112">
        <v>0.31</v>
      </c>
      <c r="K68" s="112">
        <v>142.28</v>
      </c>
      <c r="L68" s="112">
        <v>29.04</v>
      </c>
      <c r="M68" s="112">
        <v>83.11</v>
      </c>
      <c r="N68" s="112">
        <v>120.4</v>
      </c>
      <c r="O68" s="112">
        <v>0</v>
      </c>
      <c r="P68" s="112">
        <v>0.48</v>
      </c>
      <c r="Q68" s="112">
        <v>5.5</v>
      </c>
    </row>
    <row r="69" spans="1:17" customFormat="1">
      <c r="A69" s="189" t="s">
        <v>875</v>
      </c>
      <c r="B69" s="112">
        <v>8.99</v>
      </c>
      <c r="C69" s="112">
        <v>15.02</v>
      </c>
      <c r="D69" s="112">
        <v>16.41</v>
      </c>
      <c r="E69" s="112">
        <v>7.56</v>
      </c>
      <c r="F69" s="112">
        <v>6.4</v>
      </c>
      <c r="G69" s="112">
        <v>8.5</v>
      </c>
      <c r="H69" s="112">
        <v>2.7</v>
      </c>
      <c r="I69" s="112">
        <v>3.48</v>
      </c>
      <c r="J69" s="112">
        <v>0.33</v>
      </c>
      <c r="K69" s="112">
        <v>132.44</v>
      </c>
      <c r="L69" s="112">
        <v>28.13</v>
      </c>
      <c r="M69" s="112">
        <v>85.22</v>
      </c>
      <c r="N69" s="112">
        <v>53.9</v>
      </c>
      <c r="O69" s="112">
        <v>0</v>
      </c>
      <c r="P69" s="112">
        <v>0.48</v>
      </c>
      <c r="Q69" s="112">
        <v>5.48</v>
      </c>
    </row>
    <row r="70" spans="1:17" customFormat="1">
      <c r="A70" s="189" t="s">
        <v>876</v>
      </c>
      <c r="B70" s="112">
        <v>8.91</v>
      </c>
      <c r="C70" s="112">
        <v>14.39</v>
      </c>
      <c r="D70" s="112">
        <v>16.02</v>
      </c>
      <c r="E70" s="112">
        <v>7.45</v>
      </c>
      <c r="F70" s="112">
        <v>6.82</v>
      </c>
      <c r="G70" s="112">
        <v>8.5</v>
      </c>
      <c r="H70" s="112">
        <v>2.7</v>
      </c>
      <c r="I70" s="112">
        <v>3.39</v>
      </c>
      <c r="J70" s="112">
        <v>0.11</v>
      </c>
      <c r="K70" s="112">
        <v>150.69</v>
      </c>
      <c r="L70" s="112">
        <v>27.38</v>
      </c>
      <c r="M70" s="112">
        <v>87.26</v>
      </c>
      <c r="N70" s="112">
        <v>68.400000000000006</v>
      </c>
      <c r="O70" s="112">
        <v>0</v>
      </c>
      <c r="P70" s="112">
        <v>0.47</v>
      </c>
      <c r="Q70" s="112">
        <v>5.43</v>
      </c>
    </row>
    <row r="71" spans="1:17" customFormat="1">
      <c r="A71" s="189" t="s">
        <v>877</v>
      </c>
      <c r="B71" s="112">
        <v>8.81</v>
      </c>
      <c r="C71" s="112">
        <v>13.99</v>
      </c>
      <c r="D71" s="112">
        <v>15.72</v>
      </c>
      <c r="E71" s="112">
        <v>7.85</v>
      </c>
      <c r="F71" s="112">
        <v>6.79</v>
      </c>
      <c r="G71" s="112">
        <v>8.5</v>
      </c>
      <c r="H71" s="112">
        <v>2.7</v>
      </c>
      <c r="I71" s="112">
        <v>3.42</v>
      </c>
      <c r="J71" s="112">
        <v>0.38</v>
      </c>
      <c r="K71" s="112">
        <v>261.17</v>
      </c>
      <c r="L71" s="112">
        <v>27.01</v>
      </c>
      <c r="M71" s="112">
        <v>87.04</v>
      </c>
      <c r="N71" s="112">
        <v>111.6</v>
      </c>
      <c r="O71" s="112">
        <v>0</v>
      </c>
      <c r="P71" s="112">
        <v>0.47</v>
      </c>
      <c r="Q71" s="112">
        <v>5.42</v>
      </c>
    </row>
    <row r="72" spans="1:17" customFormat="1">
      <c r="A72" s="189" t="s">
        <v>878</v>
      </c>
      <c r="B72" s="112">
        <v>8.7200000000000006</v>
      </c>
      <c r="C72" s="112">
        <v>15.31</v>
      </c>
      <c r="D72" s="112">
        <v>16.34</v>
      </c>
      <c r="E72" s="112">
        <v>7.69</v>
      </c>
      <c r="F72" s="112">
        <v>5.84</v>
      </c>
      <c r="G72" s="112">
        <v>7.35</v>
      </c>
      <c r="H72" s="112">
        <v>2.0499999999999998</v>
      </c>
      <c r="I72" s="112">
        <v>3.34</v>
      </c>
      <c r="J72" s="112">
        <v>0.44</v>
      </c>
      <c r="K72" s="112">
        <v>259.58999999999997</v>
      </c>
      <c r="L72" s="112">
        <v>26.94</v>
      </c>
      <c r="M72" s="112">
        <v>86.93</v>
      </c>
      <c r="N72" s="112">
        <v>95.8</v>
      </c>
      <c r="O72" s="112">
        <v>0</v>
      </c>
      <c r="P72" s="112">
        <v>0.48</v>
      </c>
      <c r="Q72" s="112">
        <v>5.42</v>
      </c>
    </row>
    <row r="73" spans="1:17" customFormat="1">
      <c r="A73" s="189" t="s">
        <v>879</v>
      </c>
      <c r="B73" s="112">
        <v>8.83</v>
      </c>
      <c r="C73" s="112">
        <v>15.88</v>
      </c>
      <c r="D73" s="112">
        <v>16.73</v>
      </c>
      <c r="E73" s="112">
        <v>7.42</v>
      </c>
      <c r="F73" s="112">
        <v>4.88</v>
      </c>
      <c r="G73" s="112">
        <v>7.28</v>
      </c>
      <c r="H73" s="112">
        <v>2.0499999999999998</v>
      </c>
      <c r="I73" s="112">
        <v>3.36</v>
      </c>
      <c r="J73" s="112">
        <v>0.52</v>
      </c>
      <c r="K73" s="112">
        <v>255.36</v>
      </c>
      <c r="L73" s="112">
        <v>26.64</v>
      </c>
      <c r="M73" s="112">
        <v>88.11</v>
      </c>
      <c r="N73" s="112">
        <v>51.8</v>
      </c>
      <c r="O73" s="112">
        <v>0</v>
      </c>
      <c r="P73" s="112">
        <v>0.49</v>
      </c>
      <c r="Q73" s="112">
        <v>5.45</v>
      </c>
    </row>
    <row r="74" spans="1:17" customFormat="1">
      <c r="A74" s="189" t="s">
        <v>880</v>
      </c>
      <c r="B74" s="112">
        <v>8.74</v>
      </c>
      <c r="C74" s="112">
        <v>15.54</v>
      </c>
      <c r="D74" s="112">
        <v>16.48</v>
      </c>
      <c r="E74" s="112">
        <v>7.11</v>
      </c>
      <c r="F74" s="112">
        <v>5.26</v>
      </c>
      <c r="G74" s="112">
        <v>7.28</v>
      </c>
      <c r="H74" s="112">
        <v>2.0499999999999998</v>
      </c>
      <c r="I74" s="112">
        <v>3.41</v>
      </c>
      <c r="J74" s="112">
        <v>0.65</v>
      </c>
      <c r="K74" s="112">
        <v>268.58</v>
      </c>
      <c r="L74" s="112">
        <v>26.46</v>
      </c>
      <c r="M74" s="112">
        <v>89.12</v>
      </c>
      <c r="N74" s="112">
        <v>76.7</v>
      </c>
      <c r="O74" s="112">
        <v>0</v>
      </c>
      <c r="P74" s="112">
        <v>0.48</v>
      </c>
      <c r="Q74" s="112">
        <v>5.44</v>
      </c>
    </row>
    <row r="75" spans="1:17" customFormat="1">
      <c r="A75" s="189" t="s">
        <v>881</v>
      </c>
      <c r="B75" s="112">
        <v>8.5</v>
      </c>
      <c r="C75" s="112">
        <v>15.19</v>
      </c>
      <c r="D75" s="112">
        <v>16.100000000000001</v>
      </c>
      <c r="E75" s="112">
        <v>7.51</v>
      </c>
      <c r="F75" s="112">
        <v>5.29</v>
      </c>
      <c r="G75" s="112">
        <v>7.28</v>
      </c>
      <c r="H75" s="112">
        <v>2.0499999999999998</v>
      </c>
      <c r="I75" s="112">
        <v>3.44</v>
      </c>
      <c r="J75" s="112">
        <v>0.41</v>
      </c>
      <c r="K75" s="112">
        <v>262.76</v>
      </c>
      <c r="L75" s="112">
        <v>26.44</v>
      </c>
      <c r="M75" s="112">
        <v>90.41</v>
      </c>
      <c r="N75" s="112">
        <v>44.2</v>
      </c>
      <c r="O75" s="112">
        <v>0</v>
      </c>
      <c r="P75" s="112">
        <v>0.46</v>
      </c>
      <c r="Q75" s="112">
        <v>5.4</v>
      </c>
    </row>
    <row r="76" spans="1:17" customFormat="1">
      <c r="A76" s="189" t="s">
        <v>882</v>
      </c>
      <c r="B76" s="112">
        <v>8.2799999999999994</v>
      </c>
      <c r="C76" s="112">
        <v>14.51</v>
      </c>
      <c r="D76" s="112">
        <v>15.57</v>
      </c>
      <c r="E76" s="112">
        <v>6.93</v>
      </c>
      <c r="F76" s="112">
        <v>5.64</v>
      </c>
      <c r="G76" s="112">
        <v>6.95</v>
      </c>
      <c r="H76" s="112">
        <v>1.64</v>
      </c>
      <c r="I76" s="112">
        <v>3.36</v>
      </c>
      <c r="J76" s="112">
        <v>0.12</v>
      </c>
      <c r="K76" s="112">
        <v>214.09</v>
      </c>
      <c r="L76" s="112">
        <v>26.44</v>
      </c>
      <c r="M76" s="112">
        <v>91.5</v>
      </c>
      <c r="N76" s="112">
        <v>20.6</v>
      </c>
      <c r="O76" s="112">
        <v>0</v>
      </c>
      <c r="P76" s="112">
        <v>0.45</v>
      </c>
      <c r="Q76" s="112">
        <v>5.38</v>
      </c>
    </row>
    <row r="77" spans="1:17" customFormat="1">
      <c r="A77" s="189" t="s">
        <v>883</v>
      </c>
      <c r="B77" s="112">
        <v>8</v>
      </c>
      <c r="C77" s="112">
        <v>14.48</v>
      </c>
      <c r="D77" s="112">
        <v>15.33</v>
      </c>
      <c r="E77" s="112">
        <v>6.93</v>
      </c>
      <c r="F77" s="112">
        <v>5.96</v>
      </c>
      <c r="G77" s="112">
        <v>6.93</v>
      </c>
      <c r="H77" s="112">
        <v>1.64</v>
      </c>
      <c r="I77" s="112">
        <v>3.32</v>
      </c>
      <c r="J77" s="112">
        <v>0.12</v>
      </c>
      <c r="K77" s="112">
        <v>177.89</v>
      </c>
      <c r="L77" s="112">
        <v>26.42</v>
      </c>
      <c r="M77" s="112">
        <v>91.61</v>
      </c>
      <c r="N77" s="112">
        <v>8.3000000000000007</v>
      </c>
      <c r="O77" s="112">
        <v>0</v>
      </c>
      <c r="P77" s="112">
        <v>0.44</v>
      </c>
      <c r="Q77" s="112">
        <v>5.38</v>
      </c>
    </row>
    <row r="78" spans="1:17" customFormat="1">
      <c r="A78" s="189" t="s">
        <v>884</v>
      </c>
      <c r="B78" s="112">
        <v>7.89</v>
      </c>
      <c r="C78" s="112">
        <v>13.95</v>
      </c>
      <c r="D78" s="112">
        <v>14.97</v>
      </c>
      <c r="E78" s="112">
        <v>7.15</v>
      </c>
      <c r="F78" s="112">
        <v>6.46</v>
      </c>
      <c r="G78" s="112">
        <v>6.93</v>
      </c>
      <c r="H78" s="112">
        <v>1.64</v>
      </c>
      <c r="I78" s="112">
        <v>3.25</v>
      </c>
      <c r="J78" s="112">
        <v>0.15</v>
      </c>
      <c r="K78" s="112">
        <v>254.95</v>
      </c>
      <c r="L78" s="112">
        <v>26.41</v>
      </c>
      <c r="M78" s="112">
        <v>92.06</v>
      </c>
      <c r="N78" s="112">
        <v>4.2</v>
      </c>
      <c r="O78" s="112">
        <v>0</v>
      </c>
      <c r="P78" s="112">
        <v>0.44</v>
      </c>
      <c r="Q78" s="112">
        <v>5.36</v>
      </c>
    </row>
    <row r="79" spans="1:17" customFormat="1">
      <c r="A79" s="189" t="s">
        <v>885</v>
      </c>
      <c r="B79" s="112">
        <v>7.88</v>
      </c>
      <c r="C79" s="112">
        <v>13.58</v>
      </c>
      <c r="D79" s="112">
        <v>14.76</v>
      </c>
      <c r="E79" s="112">
        <v>7.2</v>
      </c>
      <c r="F79" s="112">
        <v>6.91</v>
      </c>
      <c r="G79" s="112">
        <v>6.93</v>
      </c>
      <c r="H79" s="112">
        <v>1.64</v>
      </c>
      <c r="I79" s="112">
        <v>3.21</v>
      </c>
      <c r="J79" s="112">
        <v>0.28000000000000003</v>
      </c>
      <c r="K79" s="112">
        <v>268.64999999999998</v>
      </c>
      <c r="L79" s="112">
        <v>26.17</v>
      </c>
      <c r="M79" s="112">
        <v>92.38</v>
      </c>
      <c r="N79" s="112">
        <v>1.3</v>
      </c>
      <c r="O79" s="112">
        <v>0</v>
      </c>
      <c r="P79" s="112">
        <v>0.44</v>
      </c>
      <c r="Q79" s="112">
        <v>5.34</v>
      </c>
    </row>
    <row r="80" spans="1:17" customFormat="1">
      <c r="A80" s="189" t="s">
        <v>886</v>
      </c>
      <c r="B80" s="112">
        <v>7.92</v>
      </c>
      <c r="C80" s="112">
        <v>15.21</v>
      </c>
      <c r="D80" s="112">
        <v>15.65</v>
      </c>
      <c r="E80" s="112">
        <v>7.14</v>
      </c>
      <c r="F80" s="112">
        <v>5.46</v>
      </c>
      <c r="G80" s="112">
        <v>6.5</v>
      </c>
      <c r="H80" s="112">
        <v>1.23</v>
      </c>
      <c r="I80" s="112">
        <v>3.15</v>
      </c>
      <c r="J80" s="112">
        <v>0.17</v>
      </c>
      <c r="K80" s="112">
        <v>272.94</v>
      </c>
      <c r="L80" s="112">
        <v>26</v>
      </c>
      <c r="M80" s="112">
        <v>92.79</v>
      </c>
      <c r="N80" s="112">
        <v>0</v>
      </c>
      <c r="O80" s="112">
        <v>0</v>
      </c>
      <c r="P80" s="112">
        <v>0.46</v>
      </c>
      <c r="Q80" s="112">
        <v>5.36</v>
      </c>
    </row>
    <row r="81" spans="1:17" customFormat="1">
      <c r="A81" s="189" t="s">
        <v>887</v>
      </c>
      <c r="B81" s="112">
        <v>8.23</v>
      </c>
      <c r="C81" s="112">
        <v>16.66</v>
      </c>
      <c r="D81" s="112">
        <v>16.66</v>
      </c>
      <c r="E81" s="112">
        <v>5.99</v>
      </c>
      <c r="F81" s="112">
        <v>4.29</v>
      </c>
      <c r="G81" s="112">
        <v>6.48</v>
      </c>
      <c r="H81" s="112">
        <v>1.23</v>
      </c>
      <c r="I81" s="112">
        <v>3.18</v>
      </c>
      <c r="J81" s="112">
        <v>0.09</v>
      </c>
      <c r="K81" s="112">
        <v>212.67</v>
      </c>
      <c r="L81" s="112">
        <v>25.97</v>
      </c>
      <c r="M81" s="112">
        <v>94.11</v>
      </c>
      <c r="N81" s="112">
        <v>0</v>
      </c>
      <c r="O81" s="112">
        <v>0</v>
      </c>
      <c r="P81" s="112">
        <v>0.47</v>
      </c>
      <c r="Q81" s="112">
        <v>5.42</v>
      </c>
    </row>
    <row r="82" spans="1:17" customFormat="1">
      <c r="A82" s="189" t="s">
        <v>888</v>
      </c>
      <c r="B82" s="112">
        <v>8.31</v>
      </c>
      <c r="C82" s="112">
        <v>15.36</v>
      </c>
      <c r="D82" s="112">
        <v>16.04</v>
      </c>
      <c r="E82" s="112">
        <v>6.66</v>
      </c>
      <c r="F82" s="112">
        <v>5.26</v>
      </c>
      <c r="G82" s="112">
        <v>6.48</v>
      </c>
      <c r="H82" s="112">
        <v>1.23</v>
      </c>
      <c r="I82" s="112">
        <v>3.32</v>
      </c>
      <c r="J82" s="112">
        <v>0.09</v>
      </c>
      <c r="K82" s="112">
        <v>169.22</v>
      </c>
      <c r="L82" s="112">
        <v>25.96</v>
      </c>
      <c r="M82" s="112">
        <v>94.21</v>
      </c>
      <c r="N82" s="112">
        <v>0</v>
      </c>
      <c r="O82" s="112">
        <v>0</v>
      </c>
      <c r="P82" s="112">
        <v>0.47</v>
      </c>
      <c r="Q82" s="112">
        <v>5.39</v>
      </c>
    </row>
    <row r="83" spans="1:17" customFormat="1">
      <c r="A83" s="189" t="s">
        <v>889</v>
      </c>
      <c r="B83" s="112">
        <v>8.1999999999999993</v>
      </c>
      <c r="C83" s="112">
        <v>14.21</v>
      </c>
      <c r="D83" s="112">
        <v>15.35</v>
      </c>
      <c r="E83" s="112">
        <v>6.58</v>
      </c>
      <c r="F83" s="112">
        <v>6.44</v>
      </c>
      <c r="G83" s="112">
        <v>6.48</v>
      </c>
      <c r="H83" s="112">
        <v>1.23</v>
      </c>
      <c r="I83" s="112">
        <v>3.35</v>
      </c>
      <c r="J83" s="112">
        <v>0.22</v>
      </c>
      <c r="K83" s="112">
        <v>160.4</v>
      </c>
      <c r="L83" s="112">
        <v>25.92</v>
      </c>
      <c r="M83" s="112">
        <v>94.86</v>
      </c>
      <c r="N83" s="112">
        <v>0</v>
      </c>
      <c r="O83" s="112">
        <v>0.2</v>
      </c>
      <c r="P83" s="112">
        <v>0.46</v>
      </c>
      <c r="Q83" s="112">
        <v>5.38</v>
      </c>
    </row>
    <row r="84" spans="1:17" customFormat="1">
      <c r="A84" s="189" t="s">
        <v>890</v>
      </c>
      <c r="B84" s="112">
        <v>7.67</v>
      </c>
      <c r="C84" s="112">
        <v>13.53</v>
      </c>
      <c r="D84" s="112">
        <v>14.57</v>
      </c>
      <c r="E84" s="112">
        <v>6.51</v>
      </c>
      <c r="F84" s="112">
        <v>7.84</v>
      </c>
      <c r="G84" s="112">
        <v>6.25</v>
      </c>
      <c r="H84" s="112">
        <v>1.88</v>
      </c>
      <c r="I84" s="112">
        <v>3.28</v>
      </c>
      <c r="J84" s="112">
        <v>0.09</v>
      </c>
      <c r="K84" s="112">
        <v>180.48</v>
      </c>
      <c r="L84" s="112">
        <v>25.73</v>
      </c>
      <c r="M84" s="112">
        <v>95.54</v>
      </c>
      <c r="N84" s="112">
        <v>0</v>
      </c>
      <c r="O84" s="112">
        <v>0</v>
      </c>
      <c r="P84" s="112">
        <v>0.46</v>
      </c>
      <c r="Q84" s="112">
        <v>5.38</v>
      </c>
    </row>
    <row r="85" spans="1:17" customFormat="1">
      <c r="A85" s="189" t="s">
        <v>891</v>
      </c>
      <c r="B85" s="112">
        <v>8.3699999999999992</v>
      </c>
      <c r="C85" s="112">
        <v>16.54</v>
      </c>
      <c r="D85" s="112">
        <v>16.71</v>
      </c>
      <c r="E85" s="112">
        <v>7.54</v>
      </c>
      <c r="F85" s="112">
        <v>4.74</v>
      </c>
      <c r="G85" s="112">
        <v>6.24</v>
      </c>
      <c r="H85" s="112">
        <v>1.88</v>
      </c>
      <c r="I85" s="112">
        <v>3.24</v>
      </c>
      <c r="J85" s="112">
        <v>0.18</v>
      </c>
      <c r="K85" s="112">
        <v>162.6</v>
      </c>
      <c r="L85" s="112">
        <v>25.76</v>
      </c>
      <c r="M85" s="112">
        <v>96.39</v>
      </c>
      <c r="N85" s="112">
        <v>0</v>
      </c>
      <c r="O85" s="112">
        <v>0</v>
      </c>
      <c r="P85" s="112">
        <v>0.49</v>
      </c>
      <c r="Q85" s="112">
        <v>5.44</v>
      </c>
    </row>
    <row r="86" spans="1:17" customFormat="1">
      <c r="A86" s="189" t="s">
        <v>892</v>
      </c>
      <c r="B86" s="112">
        <v>8.5399999999999991</v>
      </c>
      <c r="C86" s="112">
        <v>15.79</v>
      </c>
      <c r="D86" s="112">
        <v>16.45</v>
      </c>
      <c r="E86" s="112">
        <v>6.97</v>
      </c>
      <c r="F86" s="112">
        <v>5.19</v>
      </c>
      <c r="G86" s="112">
        <v>6.24</v>
      </c>
      <c r="H86" s="112">
        <v>1.88</v>
      </c>
      <c r="I86" s="112">
        <v>3.25</v>
      </c>
      <c r="J86" s="112">
        <v>0.09</v>
      </c>
      <c r="K86" s="112">
        <v>189.9</v>
      </c>
      <c r="L86" s="112">
        <v>25.64</v>
      </c>
      <c r="M86" s="112">
        <v>96.72</v>
      </c>
      <c r="N86" s="112">
        <v>0</v>
      </c>
      <c r="O86" s="112">
        <v>0</v>
      </c>
      <c r="P86" s="112">
        <v>0.48</v>
      </c>
      <c r="Q86" s="112">
        <v>5.47</v>
      </c>
    </row>
    <row r="87" spans="1:17" customFormat="1">
      <c r="A87" s="189" t="s">
        <v>893</v>
      </c>
      <c r="B87" s="112">
        <v>8.4499999999999993</v>
      </c>
      <c r="C87" s="112">
        <v>14.71</v>
      </c>
      <c r="D87" s="112">
        <v>15.81</v>
      </c>
      <c r="E87" s="112">
        <v>6.83</v>
      </c>
      <c r="F87" s="112">
        <v>6.41</v>
      </c>
      <c r="G87" s="112">
        <v>6.24</v>
      </c>
      <c r="H87" s="112">
        <v>1.88</v>
      </c>
      <c r="I87" s="112">
        <v>3.48</v>
      </c>
      <c r="J87" s="112">
        <v>0.09</v>
      </c>
      <c r="K87" s="112">
        <v>164.88</v>
      </c>
      <c r="L87" s="112">
        <v>25.61</v>
      </c>
      <c r="M87" s="112">
        <v>96.48</v>
      </c>
      <c r="N87" s="112">
        <v>0</v>
      </c>
      <c r="O87" s="112">
        <v>0</v>
      </c>
      <c r="P87" s="112">
        <v>0.47</v>
      </c>
      <c r="Q87" s="112">
        <v>5.44</v>
      </c>
    </row>
    <row r="88" spans="1:17" customFormat="1">
      <c r="A88" s="189" t="s">
        <v>894</v>
      </c>
      <c r="B88" s="112">
        <v>8.0299999999999994</v>
      </c>
      <c r="C88" s="112">
        <v>13.45</v>
      </c>
      <c r="D88" s="112">
        <v>14.82</v>
      </c>
      <c r="E88" s="112">
        <v>6.76</v>
      </c>
      <c r="F88" s="112">
        <v>7.85</v>
      </c>
      <c r="G88" s="112">
        <v>6.3</v>
      </c>
      <c r="H88" s="112">
        <v>1.63</v>
      </c>
      <c r="I88" s="112">
        <v>3.42</v>
      </c>
      <c r="J88" s="112">
        <v>0.08</v>
      </c>
      <c r="K88" s="112">
        <v>246.94</v>
      </c>
      <c r="L88" s="112">
        <v>25.49</v>
      </c>
      <c r="M88" s="112">
        <v>96.89</v>
      </c>
      <c r="N88" s="112">
        <v>0</v>
      </c>
      <c r="O88" s="112">
        <v>0</v>
      </c>
      <c r="P88" s="112">
        <v>0.45</v>
      </c>
      <c r="Q88" s="112">
        <v>5.42</v>
      </c>
    </row>
    <row r="89" spans="1:17" customFormat="1">
      <c r="A89" s="189" t="s">
        <v>895</v>
      </c>
      <c r="B89" s="112">
        <v>8.67</v>
      </c>
      <c r="C89" s="112">
        <v>16.41</v>
      </c>
      <c r="D89" s="112">
        <v>16.88</v>
      </c>
      <c r="E89" s="112">
        <v>7.17</v>
      </c>
      <c r="F89" s="112">
        <v>4.8099999999999996</v>
      </c>
      <c r="G89" s="112">
        <v>6.31</v>
      </c>
      <c r="H89" s="112">
        <v>1.63</v>
      </c>
      <c r="I89" s="112">
        <v>3.3</v>
      </c>
      <c r="J89" s="112">
        <v>0.13</v>
      </c>
      <c r="K89" s="112">
        <v>263.52</v>
      </c>
      <c r="L89" s="112">
        <v>25.53</v>
      </c>
      <c r="M89" s="112">
        <v>97.34</v>
      </c>
      <c r="N89" s="112">
        <v>0</v>
      </c>
      <c r="O89" s="112">
        <v>0</v>
      </c>
      <c r="P89" s="112">
        <v>0.5</v>
      </c>
      <c r="Q89" s="112">
        <v>5.46</v>
      </c>
    </row>
    <row r="90" spans="1:17" customFormat="1">
      <c r="A90" s="189" t="s">
        <v>896</v>
      </c>
      <c r="B90" s="112">
        <v>8.89</v>
      </c>
      <c r="C90" s="112">
        <v>16.190000000000001</v>
      </c>
      <c r="D90" s="112">
        <v>16.940000000000001</v>
      </c>
      <c r="E90" s="112">
        <v>7.67</v>
      </c>
      <c r="F90" s="112">
        <v>4.96</v>
      </c>
      <c r="G90" s="112">
        <v>6.31</v>
      </c>
      <c r="H90" s="112">
        <v>1.63</v>
      </c>
      <c r="I90" s="112">
        <v>3.26</v>
      </c>
      <c r="J90" s="112">
        <v>0.13</v>
      </c>
      <c r="K90" s="112">
        <v>255.14</v>
      </c>
      <c r="L90" s="112">
        <v>25.54</v>
      </c>
      <c r="M90" s="112">
        <v>97.34</v>
      </c>
      <c r="N90" s="112">
        <v>0</v>
      </c>
      <c r="O90" s="112">
        <v>0</v>
      </c>
      <c r="P90" s="112">
        <v>0.5</v>
      </c>
      <c r="Q90" s="112">
        <v>5.5</v>
      </c>
    </row>
    <row r="91" spans="1:17" customFormat="1">
      <c r="A91" s="189" t="s">
        <v>897</v>
      </c>
      <c r="B91" s="112">
        <v>8.9600000000000009</v>
      </c>
      <c r="C91" s="112">
        <v>15.68</v>
      </c>
      <c r="D91" s="112">
        <v>16.73</v>
      </c>
      <c r="E91" s="112">
        <v>7.19</v>
      </c>
      <c r="F91" s="112">
        <v>5.14</v>
      </c>
      <c r="G91" s="112">
        <v>6.31</v>
      </c>
      <c r="H91" s="112">
        <v>1.63</v>
      </c>
      <c r="I91" s="112">
        <v>3.55</v>
      </c>
      <c r="J91" s="112">
        <v>0.05</v>
      </c>
      <c r="K91" s="112">
        <v>275.02</v>
      </c>
      <c r="L91" s="112">
        <v>25.53</v>
      </c>
      <c r="M91" s="112">
        <v>97.31</v>
      </c>
      <c r="N91" s="112">
        <v>0</v>
      </c>
      <c r="O91" s="112">
        <v>0</v>
      </c>
      <c r="P91" s="112">
        <v>0.49</v>
      </c>
      <c r="Q91" s="112">
        <v>5.45</v>
      </c>
    </row>
    <row r="92" spans="1:17" customFormat="1">
      <c r="A92" s="189" t="s">
        <v>898</v>
      </c>
      <c r="B92" s="112">
        <v>8.8800000000000008</v>
      </c>
      <c r="C92" s="112">
        <v>15.93</v>
      </c>
      <c r="D92" s="112">
        <v>16.8</v>
      </c>
      <c r="E92" s="112">
        <v>7.16</v>
      </c>
      <c r="F92" s="112">
        <v>5.37</v>
      </c>
      <c r="G92" s="112">
        <v>7.68</v>
      </c>
      <c r="H92" s="112">
        <v>2.4300000000000002</v>
      </c>
      <c r="I92" s="112">
        <v>3.49</v>
      </c>
      <c r="J92" s="112">
        <v>0.12</v>
      </c>
      <c r="K92" s="112">
        <v>225.74</v>
      </c>
      <c r="L92" s="112">
        <v>25.61</v>
      </c>
      <c r="M92" s="112">
        <v>97.51</v>
      </c>
      <c r="N92" s="112">
        <v>0</v>
      </c>
      <c r="O92" s="112">
        <v>0</v>
      </c>
      <c r="P92" s="112">
        <v>0.5</v>
      </c>
      <c r="Q92" s="112">
        <v>5.46</v>
      </c>
    </row>
    <row r="93" spans="1:17" customFormat="1">
      <c r="A93" s="189" t="s">
        <v>899</v>
      </c>
      <c r="B93" s="112">
        <v>8.7899999999999991</v>
      </c>
      <c r="C93" s="112">
        <v>14.87</v>
      </c>
      <c r="D93" s="112">
        <v>16.170000000000002</v>
      </c>
      <c r="E93" s="112">
        <v>7.06</v>
      </c>
      <c r="F93" s="112">
        <v>6.21</v>
      </c>
      <c r="G93" s="112">
        <v>7.76</v>
      </c>
      <c r="H93" s="112">
        <v>2.4300000000000002</v>
      </c>
      <c r="I93" s="112">
        <v>3.47</v>
      </c>
      <c r="J93" s="112">
        <v>0.1</v>
      </c>
      <c r="K93" s="112">
        <v>217.29</v>
      </c>
      <c r="L93" s="112">
        <v>25.65</v>
      </c>
      <c r="M93" s="112">
        <v>97.25</v>
      </c>
      <c r="N93" s="112">
        <v>0</v>
      </c>
      <c r="O93" s="112">
        <v>0</v>
      </c>
      <c r="P93" s="112">
        <v>0.49</v>
      </c>
      <c r="Q93" s="112">
        <v>5.43</v>
      </c>
    </row>
    <row r="94" spans="1:17" customFormat="1">
      <c r="A94" s="189" t="s">
        <v>900</v>
      </c>
      <c r="B94" s="112">
        <v>8.57</v>
      </c>
      <c r="C94" s="112">
        <v>13.93</v>
      </c>
      <c r="D94" s="112">
        <v>15.5</v>
      </c>
      <c r="E94" s="112">
        <v>6.88</v>
      </c>
      <c r="F94" s="112">
        <v>6.66</v>
      </c>
      <c r="G94" s="112">
        <v>7.76</v>
      </c>
      <c r="H94" s="112">
        <v>2.4300000000000002</v>
      </c>
      <c r="I94" s="112">
        <v>3.43</v>
      </c>
      <c r="J94" s="112">
        <v>0.09</v>
      </c>
      <c r="K94" s="112">
        <v>178.85</v>
      </c>
      <c r="L94" s="112">
        <v>25.81</v>
      </c>
      <c r="M94" s="112">
        <v>97.28</v>
      </c>
      <c r="N94" s="112">
        <v>0</v>
      </c>
      <c r="O94" s="112">
        <v>0</v>
      </c>
      <c r="P94" s="112">
        <v>0.46</v>
      </c>
      <c r="Q94" s="112">
        <v>5.45</v>
      </c>
    </row>
    <row r="95" spans="1:17" customFormat="1">
      <c r="A95" s="189" t="s">
        <v>901</v>
      </c>
      <c r="B95" s="112">
        <v>8.25</v>
      </c>
      <c r="C95" s="112">
        <v>12.99</v>
      </c>
      <c r="D95" s="112">
        <v>14.75</v>
      </c>
      <c r="E95" s="112">
        <v>6.27</v>
      </c>
      <c r="F95" s="112">
        <v>7.31</v>
      </c>
      <c r="G95" s="112">
        <v>7.76</v>
      </c>
      <c r="H95" s="112">
        <v>2.4300000000000002</v>
      </c>
      <c r="I95" s="112">
        <v>3.35</v>
      </c>
      <c r="J95" s="112">
        <v>7.0000000000000007E-2</v>
      </c>
      <c r="K95" s="112">
        <v>247.53</v>
      </c>
      <c r="L95" s="112">
        <v>25.79</v>
      </c>
      <c r="M95" s="112">
        <v>97.46</v>
      </c>
      <c r="N95" s="112">
        <v>0</v>
      </c>
      <c r="O95" s="112">
        <v>0.4</v>
      </c>
      <c r="P95" s="112">
        <v>0.45</v>
      </c>
      <c r="Q95" s="112">
        <v>5.43</v>
      </c>
    </row>
    <row r="96" spans="1:17" customFormat="1">
      <c r="A96" s="189" t="s">
        <v>902</v>
      </c>
      <c r="B96" s="112">
        <v>8.8000000000000007</v>
      </c>
      <c r="C96" s="112">
        <v>15.2</v>
      </c>
      <c r="D96" s="112">
        <v>16.350000000000001</v>
      </c>
      <c r="E96" s="112">
        <v>7.42</v>
      </c>
      <c r="F96" s="112">
        <v>5.71</v>
      </c>
      <c r="G96" s="112">
        <v>5.7</v>
      </c>
      <c r="H96" s="112">
        <v>1.93</v>
      </c>
      <c r="I96" s="112">
        <v>3.27</v>
      </c>
      <c r="J96" s="112">
        <v>0.09</v>
      </c>
      <c r="K96" s="112">
        <v>209.19</v>
      </c>
      <c r="L96" s="112">
        <v>25.73</v>
      </c>
      <c r="M96" s="112">
        <v>97.99</v>
      </c>
      <c r="N96" s="112">
        <v>0</v>
      </c>
      <c r="O96" s="112">
        <v>0.2</v>
      </c>
      <c r="P96" s="112">
        <v>0.48</v>
      </c>
      <c r="Q96" s="112">
        <v>5.45</v>
      </c>
    </row>
    <row r="97" spans="1:22" customFormat="1">
      <c r="A97" s="189" t="s">
        <v>903</v>
      </c>
      <c r="B97" s="112">
        <v>9.23</v>
      </c>
      <c r="C97" s="112">
        <v>16.170000000000002</v>
      </c>
      <c r="D97" s="112">
        <v>17.2</v>
      </c>
      <c r="E97" s="112">
        <v>7.47</v>
      </c>
      <c r="F97" s="112">
        <v>5.1100000000000003</v>
      </c>
      <c r="G97" s="112">
        <v>5.58</v>
      </c>
      <c r="H97" s="112">
        <v>1.93</v>
      </c>
      <c r="I97" s="112">
        <v>3.22</v>
      </c>
      <c r="J97" s="112">
        <v>0.12</v>
      </c>
      <c r="K97" s="112">
        <v>222.63</v>
      </c>
      <c r="L97" s="112">
        <v>25.56</v>
      </c>
      <c r="M97" s="112">
        <v>98.28</v>
      </c>
      <c r="N97" s="112">
        <v>0</v>
      </c>
      <c r="O97" s="112">
        <v>0.6</v>
      </c>
      <c r="P97" s="112">
        <v>0.49</v>
      </c>
      <c r="Q97" s="112">
        <v>5.49</v>
      </c>
    </row>
    <row r="98" spans="1:22" customFormat="1">
      <c r="A98" s="189" t="s">
        <v>904</v>
      </c>
      <c r="B98" s="112">
        <v>9.16</v>
      </c>
      <c r="C98" s="112">
        <v>14.82</v>
      </c>
      <c r="D98" s="112">
        <v>16.440000000000001</v>
      </c>
      <c r="E98" s="112">
        <v>7.25</v>
      </c>
      <c r="F98" s="112">
        <v>6.54</v>
      </c>
      <c r="G98" s="112">
        <v>5.58</v>
      </c>
      <c r="H98" s="112">
        <v>1.93</v>
      </c>
      <c r="I98" s="112">
        <v>3.43</v>
      </c>
      <c r="J98" s="112">
        <v>0.06</v>
      </c>
      <c r="K98" s="112">
        <v>211.15</v>
      </c>
      <c r="L98" s="112">
        <v>25.47</v>
      </c>
      <c r="M98" s="112">
        <v>97.88</v>
      </c>
      <c r="N98" s="112">
        <v>0</v>
      </c>
      <c r="O98" s="112">
        <v>0.2</v>
      </c>
      <c r="P98" s="112">
        <v>0.47</v>
      </c>
      <c r="Q98" s="112">
        <v>5.47</v>
      </c>
    </row>
    <row r="99" spans="1:22" customFormat="1">
      <c r="A99" s="189" t="s">
        <v>905</v>
      </c>
      <c r="B99" s="112">
        <v>8.94</v>
      </c>
      <c r="C99" s="112">
        <v>13.61</v>
      </c>
      <c r="D99" s="112">
        <v>15.64</v>
      </c>
      <c r="E99" s="112">
        <v>7.21</v>
      </c>
      <c r="F99" s="112">
        <v>7.64</v>
      </c>
      <c r="G99" s="112">
        <v>5.58</v>
      </c>
      <c r="H99" s="112">
        <v>1.93</v>
      </c>
      <c r="I99" s="112">
        <v>3.45</v>
      </c>
      <c r="J99" s="112">
        <v>0.08</v>
      </c>
      <c r="K99" s="112">
        <v>183.01</v>
      </c>
      <c r="L99" s="112">
        <v>25.49</v>
      </c>
      <c r="M99" s="112">
        <v>98.05</v>
      </c>
      <c r="N99" s="112">
        <v>0</v>
      </c>
      <c r="O99" s="112">
        <v>0</v>
      </c>
      <c r="P99" s="112">
        <v>0.46</v>
      </c>
      <c r="Q99" s="112">
        <v>5.46</v>
      </c>
    </row>
    <row r="100" spans="1:22" customFormat="1">
      <c r="A100" s="189" t="s">
        <v>906</v>
      </c>
      <c r="B100" s="112">
        <v>8.77</v>
      </c>
      <c r="C100" s="112">
        <v>14.04</v>
      </c>
      <c r="D100" s="112">
        <v>15.72</v>
      </c>
      <c r="E100" s="112">
        <v>7.2</v>
      </c>
      <c r="F100" s="112">
        <v>7.3</v>
      </c>
      <c r="G100" s="112">
        <v>4.45</v>
      </c>
      <c r="H100" s="112">
        <v>2.7</v>
      </c>
      <c r="I100" s="112">
        <v>3.31</v>
      </c>
      <c r="J100" s="112">
        <v>0.08</v>
      </c>
      <c r="K100" s="112">
        <v>208.69</v>
      </c>
      <c r="L100" s="112">
        <v>25.48</v>
      </c>
      <c r="M100" s="112">
        <v>98.11</v>
      </c>
      <c r="N100" s="112">
        <v>0</v>
      </c>
      <c r="O100" s="112">
        <v>0</v>
      </c>
      <c r="P100" s="112">
        <v>0.46</v>
      </c>
      <c r="Q100" s="112">
        <v>5.48</v>
      </c>
    </row>
    <row r="101" spans="1:22" customFormat="1">
      <c r="A101" s="189" t="s">
        <v>907</v>
      </c>
      <c r="B101" s="112">
        <v>9.24</v>
      </c>
      <c r="C101" s="112">
        <v>16.829999999999998</v>
      </c>
      <c r="D101" s="112">
        <v>17.55</v>
      </c>
      <c r="E101" s="112">
        <v>7.75</v>
      </c>
      <c r="F101" s="112">
        <v>4.5599999999999996</v>
      </c>
      <c r="G101" s="112">
        <v>4.3899999999999997</v>
      </c>
      <c r="H101" s="112">
        <v>2.7</v>
      </c>
      <c r="I101" s="112">
        <v>3.23</v>
      </c>
      <c r="J101" s="112">
        <v>0.1</v>
      </c>
      <c r="K101" s="112">
        <v>196.68</v>
      </c>
      <c r="L101" s="112">
        <v>25.63</v>
      </c>
      <c r="M101" s="112">
        <v>98.26</v>
      </c>
      <c r="N101" s="112">
        <v>0</v>
      </c>
      <c r="O101" s="112">
        <v>0</v>
      </c>
      <c r="P101" s="112">
        <v>0.5</v>
      </c>
      <c r="Q101" s="112">
        <v>5.51</v>
      </c>
    </row>
    <row r="102" spans="1:22" customFormat="1">
      <c r="A102" s="189" t="s">
        <v>908</v>
      </c>
      <c r="B102" s="112">
        <v>9.4499999999999993</v>
      </c>
      <c r="C102" s="112">
        <v>15.35</v>
      </c>
      <c r="D102" s="112">
        <v>16.95</v>
      </c>
      <c r="E102" s="112">
        <v>7.26</v>
      </c>
      <c r="F102" s="112">
        <v>5.4</v>
      </c>
      <c r="G102" s="112">
        <v>4.3899999999999997</v>
      </c>
      <c r="H102" s="112">
        <v>2.7</v>
      </c>
      <c r="I102" s="112">
        <v>3.29</v>
      </c>
      <c r="J102" s="112">
        <v>0.13</v>
      </c>
      <c r="K102" s="112">
        <v>225.18</v>
      </c>
      <c r="L102" s="112">
        <v>25.55</v>
      </c>
      <c r="M102" s="112">
        <v>98.28</v>
      </c>
      <c r="N102" s="112">
        <v>0</v>
      </c>
      <c r="O102" s="112">
        <v>0</v>
      </c>
      <c r="P102" s="112">
        <v>0.48</v>
      </c>
      <c r="Q102" s="112">
        <v>5.52</v>
      </c>
    </row>
    <row r="103" spans="1:22" customFormat="1">
      <c r="A103" s="189" t="s">
        <v>909</v>
      </c>
      <c r="B103" s="112">
        <v>9.36</v>
      </c>
      <c r="C103" s="112">
        <v>14.32</v>
      </c>
      <c r="D103" s="112">
        <v>16.34</v>
      </c>
      <c r="E103" s="112">
        <v>6.83</v>
      </c>
      <c r="F103" s="112">
        <v>6.05</v>
      </c>
      <c r="G103" s="112">
        <v>4.3899999999999997</v>
      </c>
      <c r="H103" s="112">
        <v>2.7</v>
      </c>
      <c r="I103" s="112">
        <v>3.49</v>
      </c>
      <c r="J103" s="112">
        <v>0.12</v>
      </c>
      <c r="K103" s="112">
        <v>235.15</v>
      </c>
      <c r="L103" s="112">
        <v>25.46</v>
      </c>
      <c r="M103" s="112">
        <v>98.22</v>
      </c>
      <c r="N103" s="112">
        <v>0</v>
      </c>
      <c r="O103" s="112">
        <v>0</v>
      </c>
      <c r="P103" s="112">
        <v>0.46</v>
      </c>
      <c r="Q103" s="112">
        <v>5.47</v>
      </c>
    </row>
    <row r="104" spans="1:22" customFormat="1">
      <c r="A104" s="189" t="s">
        <v>910</v>
      </c>
      <c r="B104" s="112">
        <v>9.15</v>
      </c>
      <c r="C104" s="112">
        <v>14.61</v>
      </c>
      <c r="D104" s="112">
        <v>16.32</v>
      </c>
      <c r="E104" s="112">
        <v>7.26</v>
      </c>
      <c r="F104" s="112">
        <v>5.92</v>
      </c>
      <c r="G104" s="112">
        <v>5.46</v>
      </c>
      <c r="H104" s="112">
        <v>2.15</v>
      </c>
      <c r="I104" s="112">
        <v>3.37</v>
      </c>
      <c r="J104" s="112">
        <v>0.12</v>
      </c>
      <c r="K104" s="112">
        <v>189.68</v>
      </c>
      <c r="L104" s="112">
        <v>25.39</v>
      </c>
      <c r="M104" s="112">
        <v>98.22</v>
      </c>
      <c r="N104" s="112">
        <v>0</v>
      </c>
      <c r="O104" s="112">
        <v>0</v>
      </c>
      <c r="P104" s="112">
        <v>0.47</v>
      </c>
      <c r="Q104" s="112">
        <v>5.47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7.67</v>
      </c>
      <c r="C106" s="183">
        <f>MIN(C9:C104)</f>
        <v>12.99</v>
      </c>
      <c r="D106" s="183">
        <f t="shared" ref="D106:Q106" si="0">MIN(D9:D104)</f>
        <v>14.57</v>
      </c>
      <c r="E106" s="183">
        <f t="shared" si="0"/>
        <v>5.99</v>
      </c>
      <c r="F106" s="183">
        <f t="shared" si="0"/>
        <v>3.91</v>
      </c>
      <c r="G106" s="183">
        <f t="shared" si="0"/>
        <v>3.17</v>
      </c>
      <c r="H106" s="183">
        <f t="shared" si="0"/>
        <v>0.95</v>
      </c>
      <c r="I106" s="183">
        <f t="shared" si="0"/>
        <v>3.15</v>
      </c>
      <c r="J106" s="183">
        <f t="shared" si="0"/>
        <v>0.01</v>
      </c>
      <c r="K106" s="183">
        <f t="shared" si="0"/>
        <v>20.16</v>
      </c>
      <c r="L106" s="183">
        <f t="shared" si="0"/>
        <v>24.17</v>
      </c>
      <c r="M106" s="183">
        <f t="shared" si="0"/>
        <v>72.31</v>
      </c>
      <c r="N106" s="183">
        <f t="shared" si="0"/>
        <v>0</v>
      </c>
      <c r="O106" s="183">
        <f t="shared" si="0"/>
        <v>0</v>
      </c>
      <c r="P106" s="183">
        <f t="shared" si="0"/>
        <v>0.44</v>
      </c>
      <c r="Q106" s="183">
        <f t="shared" si="0"/>
        <v>5.34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12.84</v>
      </c>
      <c r="C107" s="184">
        <f t="shared" ref="C107:Q107" si="1">MAX(C9:C104)</f>
        <v>19.82</v>
      </c>
      <c r="D107" s="184">
        <f t="shared" si="1"/>
        <v>21.05</v>
      </c>
      <c r="E107" s="184">
        <f t="shared" si="1"/>
        <v>9.0399999999999991</v>
      </c>
      <c r="F107" s="184">
        <f t="shared" si="1"/>
        <v>7.85</v>
      </c>
      <c r="G107" s="184">
        <f t="shared" si="1"/>
        <v>20.61</v>
      </c>
      <c r="H107" s="184">
        <f t="shared" si="1"/>
        <v>8.17</v>
      </c>
      <c r="I107" s="184">
        <f t="shared" si="1"/>
        <v>4.21</v>
      </c>
      <c r="J107" s="184">
        <f t="shared" si="1"/>
        <v>0.9</v>
      </c>
      <c r="K107" s="184">
        <f t="shared" si="1"/>
        <v>275.02</v>
      </c>
      <c r="L107" s="184">
        <f t="shared" si="1"/>
        <v>31.17</v>
      </c>
      <c r="M107" s="184">
        <f t="shared" si="1"/>
        <v>100.22</v>
      </c>
      <c r="N107" s="184">
        <f t="shared" si="1"/>
        <v>822.7</v>
      </c>
      <c r="O107" s="184">
        <f t="shared" si="1"/>
        <v>1.8</v>
      </c>
      <c r="P107" s="184">
        <f t="shared" si="1"/>
        <v>0.61</v>
      </c>
      <c r="Q107" s="184">
        <f t="shared" si="1"/>
        <v>5.8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10.547395833333335</v>
      </c>
      <c r="C108" s="183">
        <f t="shared" ref="C108:Q108" si="2">AVERAGE(C9:C104)</f>
        <v>15.933749999999998</v>
      </c>
      <c r="D108" s="183">
        <f t="shared" si="2"/>
        <v>18.134687500000002</v>
      </c>
      <c r="E108" s="183">
        <f t="shared" si="2"/>
        <v>7.717604166666665</v>
      </c>
      <c r="F108" s="183">
        <f t="shared" si="2"/>
        <v>5.453645833333332</v>
      </c>
      <c r="G108" s="183">
        <f t="shared" si="2"/>
        <v>7.1947916666666671</v>
      </c>
      <c r="H108" s="183">
        <f t="shared" si="2"/>
        <v>2.3279166666666646</v>
      </c>
      <c r="I108" s="183">
        <f t="shared" si="2"/>
        <v>3.5977083333333351</v>
      </c>
      <c r="J108" s="183">
        <f t="shared" si="2"/>
        <v>0.15541666666666668</v>
      </c>
      <c r="K108" s="183">
        <f t="shared" si="2"/>
        <v>171.33062500000003</v>
      </c>
      <c r="L108" s="183">
        <f t="shared" si="2"/>
        <v>26.215833333333347</v>
      </c>
      <c r="M108" s="183">
        <f t="shared" si="2"/>
        <v>94.164166666666674</v>
      </c>
      <c r="N108" s="183">
        <f t="shared" si="2"/>
        <v>97.861458333333346</v>
      </c>
      <c r="O108" s="183">
        <f t="shared" si="2"/>
        <v>0.10416666666666664</v>
      </c>
      <c r="P108" s="183">
        <f t="shared" si="2"/>
        <v>0.50250000000000006</v>
      </c>
      <c r="Q108" s="183">
        <f t="shared" si="2"/>
        <v>5.5995833333333325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1.7127775194520698</v>
      </c>
      <c r="C109" s="183">
        <f t="shared" ref="C109:Q109" si="3">STDEV(C9:C104)</f>
        <v>1.2398261762716414</v>
      </c>
      <c r="D109" s="183">
        <f t="shared" si="3"/>
        <v>1.8706457951171369</v>
      </c>
      <c r="E109" s="183">
        <f t="shared" si="3"/>
        <v>0.68438638639093707</v>
      </c>
      <c r="F109" s="183">
        <f t="shared" si="3"/>
        <v>0.93043523464947153</v>
      </c>
      <c r="G109" s="183">
        <f t="shared" si="3"/>
        <v>3.5327749579486061</v>
      </c>
      <c r="H109" s="183">
        <f t="shared" si="3"/>
        <v>1.5296452403755303</v>
      </c>
      <c r="I109" s="183">
        <f t="shared" si="3"/>
        <v>0.25301749124750733</v>
      </c>
      <c r="J109" s="183">
        <f t="shared" si="3"/>
        <v>0.14262144717041145</v>
      </c>
      <c r="K109" s="183">
        <f t="shared" si="3"/>
        <v>65.295667943875387</v>
      </c>
      <c r="L109" s="183">
        <f t="shared" si="3"/>
        <v>1.8440006088972711</v>
      </c>
      <c r="M109" s="183">
        <f t="shared" si="3"/>
        <v>7.6332470385071129</v>
      </c>
      <c r="N109" s="183">
        <f t="shared" si="3"/>
        <v>189.21465747707458</v>
      </c>
      <c r="O109" s="183">
        <f t="shared" si="3"/>
        <v>0.33084156382002111</v>
      </c>
      <c r="P109" s="183">
        <f t="shared" si="3"/>
        <v>3.7020620143232277E-2</v>
      </c>
      <c r="Q109" s="183">
        <f t="shared" si="3"/>
        <v>0.14387067779723151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27" activePane="bottomRight" state="frozen"/>
      <selection pane="topRight"/>
      <selection pane="bottomLeft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08/09/2023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911</v>
      </c>
      <c r="B9" s="112">
        <v>10.45</v>
      </c>
      <c r="C9" s="112">
        <v>15.52</v>
      </c>
      <c r="D9" s="112">
        <v>17.84</v>
      </c>
      <c r="E9" s="112">
        <v>7.66</v>
      </c>
      <c r="F9" s="112">
        <v>4.54</v>
      </c>
      <c r="G9" s="112">
        <v>5.51</v>
      </c>
      <c r="H9" s="112">
        <v>2.15</v>
      </c>
      <c r="I9" s="112">
        <v>3.29</v>
      </c>
      <c r="J9" s="112">
        <v>0.48</v>
      </c>
      <c r="K9" s="112">
        <v>259.79000000000002</v>
      </c>
      <c r="L9" s="112">
        <v>25.15</v>
      </c>
      <c r="M9" s="112">
        <v>97.82</v>
      </c>
      <c r="N9" s="112">
        <v>0</v>
      </c>
      <c r="O9" s="112">
        <v>0</v>
      </c>
      <c r="P9" s="112">
        <v>0.49</v>
      </c>
      <c r="Q9" s="112">
        <v>5.54</v>
      </c>
    </row>
    <row r="10" spans="1:21" customFormat="1">
      <c r="A10" s="189" t="s">
        <v>912</v>
      </c>
      <c r="B10" s="112">
        <v>10.119999999999999</v>
      </c>
      <c r="C10" s="112">
        <v>15.72</v>
      </c>
      <c r="D10" s="112">
        <v>17.68</v>
      </c>
      <c r="E10" s="112">
        <v>7.18</v>
      </c>
      <c r="F10" s="112">
        <v>5</v>
      </c>
      <c r="G10" s="112">
        <v>5.51</v>
      </c>
      <c r="H10" s="112">
        <v>2.15</v>
      </c>
      <c r="I10" s="112">
        <v>3.32</v>
      </c>
      <c r="J10" s="112">
        <v>0.14000000000000001</v>
      </c>
      <c r="K10" s="112">
        <v>181.25</v>
      </c>
      <c r="L10" s="112">
        <v>25.05</v>
      </c>
      <c r="M10" s="112">
        <v>97.25</v>
      </c>
      <c r="N10" s="112">
        <v>0</v>
      </c>
      <c r="O10" s="112">
        <v>0</v>
      </c>
      <c r="P10" s="112">
        <v>0.47</v>
      </c>
      <c r="Q10" s="112">
        <v>5.48</v>
      </c>
    </row>
    <row r="11" spans="1:21" customFormat="1">
      <c r="A11" s="189" t="s">
        <v>913</v>
      </c>
      <c r="B11" s="112">
        <v>9.75</v>
      </c>
      <c r="C11" s="112">
        <v>14.45</v>
      </c>
      <c r="D11" s="112">
        <v>16.72</v>
      </c>
      <c r="E11" s="112">
        <v>7.12</v>
      </c>
      <c r="F11" s="112">
        <v>6</v>
      </c>
      <c r="G11" s="112">
        <v>5.51</v>
      </c>
      <c r="H11" s="112">
        <v>2.15</v>
      </c>
      <c r="I11" s="112">
        <v>3.46</v>
      </c>
      <c r="J11" s="112">
        <v>0.1</v>
      </c>
      <c r="K11" s="112">
        <v>224.97</v>
      </c>
      <c r="L11" s="112">
        <v>25.02</v>
      </c>
      <c r="M11" s="112">
        <v>97.57</v>
      </c>
      <c r="N11" s="112">
        <v>0</v>
      </c>
      <c r="O11" s="112">
        <v>0</v>
      </c>
      <c r="P11" s="112">
        <v>0.45</v>
      </c>
      <c r="Q11" s="112">
        <v>5.48</v>
      </c>
    </row>
    <row r="12" spans="1:21" customFormat="1">
      <c r="A12" s="189" t="s">
        <v>914</v>
      </c>
      <c r="B12" s="112">
        <v>9.64</v>
      </c>
      <c r="C12" s="112">
        <v>14.38</v>
      </c>
      <c r="D12" s="112">
        <v>16.59</v>
      </c>
      <c r="E12" s="112">
        <v>6.59</v>
      </c>
      <c r="F12" s="112">
        <v>5.84</v>
      </c>
      <c r="G12" s="112">
        <v>7.77</v>
      </c>
      <c r="H12" s="112">
        <v>2.0699999999999998</v>
      </c>
      <c r="I12" s="112">
        <v>3.36</v>
      </c>
      <c r="J12" s="112">
        <v>0.1</v>
      </c>
      <c r="K12" s="112">
        <v>230.35</v>
      </c>
      <c r="L12" s="112">
        <v>25.02</v>
      </c>
      <c r="M12" s="112">
        <v>97.91</v>
      </c>
      <c r="N12" s="112">
        <v>0</v>
      </c>
      <c r="O12" s="112">
        <v>0.2</v>
      </c>
      <c r="P12" s="112">
        <v>0.44</v>
      </c>
      <c r="Q12" s="112">
        <v>5.49</v>
      </c>
    </row>
    <row r="13" spans="1:21" customFormat="1">
      <c r="A13" s="189" t="s">
        <v>915</v>
      </c>
      <c r="B13" s="112">
        <v>10.15</v>
      </c>
      <c r="C13" s="112">
        <v>16.489999999999998</v>
      </c>
      <c r="D13" s="112">
        <v>18.11</v>
      </c>
      <c r="E13" s="112">
        <v>7.4</v>
      </c>
      <c r="F13" s="112">
        <v>4.0999999999999996</v>
      </c>
      <c r="G13" s="112">
        <v>7.9</v>
      </c>
      <c r="H13" s="112">
        <v>2.0699999999999998</v>
      </c>
      <c r="I13" s="112">
        <v>3.21</v>
      </c>
      <c r="J13" s="112">
        <v>0.13</v>
      </c>
      <c r="K13" s="112">
        <v>239.83</v>
      </c>
      <c r="L13" s="112">
        <v>25.07</v>
      </c>
      <c r="M13" s="112">
        <v>98.13</v>
      </c>
      <c r="N13" s="112">
        <v>0</v>
      </c>
      <c r="O13" s="112">
        <v>0</v>
      </c>
      <c r="P13" s="112">
        <v>0.47</v>
      </c>
      <c r="Q13" s="112">
        <v>5.53</v>
      </c>
    </row>
    <row r="14" spans="1:21" customFormat="1">
      <c r="A14" s="189" t="s">
        <v>916</v>
      </c>
      <c r="B14" s="112">
        <v>10.48</v>
      </c>
      <c r="C14" s="112">
        <v>15.76</v>
      </c>
      <c r="D14" s="112">
        <v>17.989999999999998</v>
      </c>
      <c r="E14" s="112">
        <v>7.95</v>
      </c>
      <c r="F14" s="112">
        <v>4.6100000000000003</v>
      </c>
      <c r="G14" s="112">
        <v>7.9</v>
      </c>
      <c r="H14" s="112">
        <v>2.0699999999999998</v>
      </c>
      <c r="I14" s="112">
        <v>3.27</v>
      </c>
      <c r="J14" s="112">
        <v>0.13</v>
      </c>
      <c r="K14" s="112">
        <v>242.84</v>
      </c>
      <c r="L14" s="112">
        <v>25.11</v>
      </c>
      <c r="M14" s="112">
        <v>98.21</v>
      </c>
      <c r="N14" s="112">
        <v>0</v>
      </c>
      <c r="O14" s="112">
        <v>0</v>
      </c>
      <c r="P14" s="112">
        <v>0.48</v>
      </c>
      <c r="Q14" s="112">
        <v>5.52</v>
      </c>
    </row>
    <row r="15" spans="1:21" customFormat="1">
      <c r="A15" s="189" t="s">
        <v>917</v>
      </c>
      <c r="B15" s="112">
        <v>10.5</v>
      </c>
      <c r="C15" s="112">
        <v>16.260000000000002</v>
      </c>
      <c r="D15" s="112">
        <v>18.260000000000002</v>
      </c>
      <c r="E15" s="112">
        <v>6.97</v>
      </c>
      <c r="F15" s="112">
        <v>4.3499999999999996</v>
      </c>
      <c r="G15" s="112">
        <v>7.9</v>
      </c>
      <c r="H15" s="112">
        <v>2.0699999999999998</v>
      </c>
      <c r="I15" s="112">
        <v>3.44</v>
      </c>
      <c r="J15" s="112">
        <v>0.14000000000000001</v>
      </c>
      <c r="K15" s="112">
        <v>232.55</v>
      </c>
      <c r="L15" s="112">
        <v>25.15</v>
      </c>
      <c r="M15" s="112">
        <v>98.32</v>
      </c>
      <c r="N15" s="112">
        <v>0</v>
      </c>
      <c r="O15" s="112">
        <v>0</v>
      </c>
      <c r="P15" s="112">
        <v>0.49</v>
      </c>
      <c r="Q15" s="112">
        <v>5.54</v>
      </c>
    </row>
    <row r="16" spans="1:21" customFormat="1">
      <c r="A16" s="189" t="s">
        <v>918</v>
      </c>
      <c r="B16" s="112">
        <v>10.38</v>
      </c>
      <c r="C16" s="112">
        <v>15.26</v>
      </c>
      <c r="D16" s="112">
        <v>17.649999999999999</v>
      </c>
      <c r="E16" s="112">
        <v>7.52</v>
      </c>
      <c r="F16" s="112">
        <v>5.16</v>
      </c>
      <c r="G16" s="112">
        <v>5.97</v>
      </c>
      <c r="H16" s="112">
        <v>1.45</v>
      </c>
      <c r="I16" s="112">
        <v>3.39</v>
      </c>
      <c r="J16" s="112">
        <v>0.04</v>
      </c>
      <c r="K16" s="112">
        <v>213.56</v>
      </c>
      <c r="L16" s="112">
        <v>25.05</v>
      </c>
      <c r="M16" s="112">
        <v>98.27</v>
      </c>
      <c r="N16" s="112">
        <v>0</v>
      </c>
      <c r="O16" s="112">
        <v>0</v>
      </c>
      <c r="P16" s="112">
        <v>0.46</v>
      </c>
      <c r="Q16" s="112">
        <v>5.53</v>
      </c>
    </row>
    <row r="17" spans="1:17" customFormat="1">
      <c r="A17" s="189" t="s">
        <v>919</v>
      </c>
      <c r="B17" s="112">
        <v>10.35</v>
      </c>
      <c r="C17" s="112">
        <v>14.73</v>
      </c>
      <c r="D17" s="112">
        <v>17.350000000000001</v>
      </c>
      <c r="E17" s="112">
        <v>6.21</v>
      </c>
      <c r="F17" s="112">
        <v>5.21</v>
      </c>
      <c r="G17" s="112">
        <v>5.85</v>
      </c>
      <c r="H17" s="112">
        <v>1.45</v>
      </c>
      <c r="I17" s="112">
        <v>3.4</v>
      </c>
      <c r="J17" s="112">
        <v>0.09</v>
      </c>
      <c r="K17" s="112">
        <v>180.64</v>
      </c>
      <c r="L17" s="112">
        <v>25.05</v>
      </c>
      <c r="M17" s="112">
        <v>98.25</v>
      </c>
      <c r="N17" s="112">
        <v>0</v>
      </c>
      <c r="O17" s="112">
        <v>0</v>
      </c>
      <c r="P17" s="112">
        <v>0.45</v>
      </c>
      <c r="Q17" s="112">
        <v>5.49</v>
      </c>
    </row>
    <row r="18" spans="1:17" customFormat="1">
      <c r="A18" s="189" t="s">
        <v>920</v>
      </c>
      <c r="B18" s="112">
        <v>10.130000000000001</v>
      </c>
      <c r="C18" s="112">
        <v>14.18</v>
      </c>
      <c r="D18" s="112">
        <v>16.89</v>
      </c>
      <c r="E18" s="112">
        <v>7.05</v>
      </c>
      <c r="F18" s="112">
        <v>5.42</v>
      </c>
      <c r="G18" s="112">
        <v>5.85</v>
      </c>
      <c r="H18" s="112">
        <v>1.45</v>
      </c>
      <c r="I18" s="112">
        <v>3.26</v>
      </c>
      <c r="J18" s="112">
        <v>0.1</v>
      </c>
      <c r="K18" s="112">
        <v>244.83</v>
      </c>
      <c r="L18" s="112">
        <v>24.97</v>
      </c>
      <c r="M18" s="112">
        <v>98.27</v>
      </c>
      <c r="N18" s="112">
        <v>0</v>
      </c>
      <c r="O18" s="112">
        <v>0</v>
      </c>
      <c r="P18" s="112">
        <v>0.43</v>
      </c>
      <c r="Q18" s="112">
        <v>5.49</v>
      </c>
    </row>
    <row r="19" spans="1:17" customFormat="1">
      <c r="A19" s="189" t="s">
        <v>921</v>
      </c>
      <c r="B19" s="112">
        <v>10.36</v>
      </c>
      <c r="C19" s="112">
        <v>16.14</v>
      </c>
      <c r="D19" s="112">
        <v>18.100000000000001</v>
      </c>
      <c r="E19" s="112">
        <v>7.46</v>
      </c>
      <c r="F19" s="112">
        <v>4.21</v>
      </c>
      <c r="G19" s="112">
        <v>5.85</v>
      </c>
      <c r="H19" s="112">
        <v>1.45</v>
      </c>
      <c r="I19" s="112">
        <v>3.21</v>
      </c>
      <c r="J19" s="112">
        <v>0.09</v>
      </c>
      <c r="K19" s="112">
        <v>263.07</v>
      </c>
      <c r="L19" s="112">
        <v>24.91</v>
      </c>
      <c r="M19" s="112">
        <v>98.23</v>
      </c>
      <c r="N19" s="112">
        <v>0</v>
      </c>
      <c r="O19" s="112">
        <v>0</v>
      </c>
      <c r="P19" s="112">
        <v>0.46</v>
      </c>
      <c r="Q19" s="112">
        <v>5.48</v>
      </c>
    </row>
    <row r="20" spans="1:17" customFormat="1">
      <c r="A20" s="189" t="s">
        <v>922</v>
      </c>
      <c r="B20" s="112">
        <v>10.72</v>
      </c>
      <c r="C20" s="112">
        <v>16.7</v>
      </c>
      <c r="D20" s="112">
        <v>18.68</v>
      </c>
      <c r="E20" s="112">
        <v>7.91</v>
      </c>
      <c r="F20" s="112">
        <v>4.05</v>
      </c>
      <c r="G20" s="112">
        <v>4.28</v>
      </c>
      <c r="H20" s="112">
        <v>1.51</v>
      </c>
      <c r="I20" s="112">
        <v>3.17</v>
      </c>
      <c r="J20" s="112">
        <v>0.09</v>
      </c>
      <c r="K20" s="112">
        <v>232.96</v>
      </c>
      <c r="L20" s="112">
        <v>24.83</v>
      </c>
      <c r="M20" s="112">
        <v>98.01</v>
      </c>
      <c r="N20" s="112">
        <v>0</v>
      </c>
      <c r="O20" s="112">
        <v>0</v>
      </c>
      <c r="P20" s="112">
        <v>0.47</v>
      </c>
      <c r="Q20" s="112">
        <v>5.54</v>
      </c>
    </row>
    <row r="21" spans="1:17" customFormat="1">
      <c r="A21" s="189" t="s">
        <v>923</v>
      </c>
      <c r="B21" s="112">
        <v>10.9</v>
      </c>
      <c r="C21" s="112">
        <v>15.52</v>
      </c>
      <c r="D21" s="112">
        <v>18.2</v>
      </c>
      <c r="E21" s="112">
        <v>7.61</v>
      </c>
      <c r="F21" s="112">
        <v>4.7699999999999996</v>
      </c>
      <c r="G21" s="112">
        <v>4.1900000000000004</v>
      </c>
      <c r="H21" s="112">
        <v>1.51</v>
      </c>
      <c r="I21" s="112">
        <v>3.34</v>
      </c>
      <c r="J21" s="112">
        <v>0.12</v>
      </c>
      <c r="K21" s="112">
        <v>226.85</v>
      </c>
      <c r="L21" s="112">
        <v>24.77</v>
      </c>
      <c r="M21" s="112">
        <v>98.06</v>
      </c>
      <c r="N21" s="112">
        <v>0</v>
      </c>
      <c r="O21" s="112">
        <v>0</v>
      </c>
      <c r="P21" s="112">
        <v>0.45</v>
      </c>
      <c r="Q21" s="112">
        <v>5.49</v>
      </c>
    </row>
    <row r="22" spans="1:17" customFormat="1">
      <c r="A22" s="189" t="s">
        <v>924</v>
      </c>
      <c r="B22" s="112">
        <v>10.77</v>
      </c>
      <c r="C22" s="112">
        <v>14.55</v>
      </c>
      <c r="D22" s="112">
        <v>17.59</v>
      </c>
      <c r="E22" s="112">
        <v>7.49</v>
      </c>
      <c r="F22" s="112">
        <v>5.19</v>
      </c>
      <c r="G22" s="112">
        <v>4.1900000000000004</v>
      </c>
      <c r="H22" s="112">
        <v>1.51</v>
      </c>
      <c r="I22" s="112">
        <v>3.32</v>
      </c>
      <c r="J22" s="112">
        <v>0.12</v>
      </c>
      <c r="K22" s="112">
        <v>220.02</v>
      </c>
      <c r="L22" s="112">
        <v>24.81</v>
      </c>
      <c r="M22" s="112">
        <v>98.15</v>
      </c>
      <c r="N22" s="112">
        <v>0</v>
      </c>
      <c r="O22" s="112">
        <v>0</v>
      </c>
      <c r="P22" s="112">
        <v>0.42</v>
      </c>
      <c r="Q22" s="112">
        <v>5.5</v>
      </c>
    </row>
    <row r="23" spans="1:17" customFormat="1">
      <c r="A23" s="189" t="s">
        <v>925</v>
      </c>
      <c r="B23" s="112">
        <v>10.71</v>
      </c>
      <c r="C23" s="112">
        <v>14.99</v>
      </c>
      <c r="D23" s="112">
        <v>17.77</v>
      </c>
      <c r="E23" s="112">
        <v>7.3</v>
      </c>
      <c r="F23" s="112">
        <v>4.8600000000000003</v>
      </c>
      <c r="G23" s="112">
        <v>4.1900000000000004</v>
      </c>
      <c r="H23" s="112">
        <v>1.51</v>
      </c>
      <c r="I23" s="112">
        <v>3.27</v>
      </c>
      <c r="J23" s="112">
        <v>0.13</v>
      </c>
      <c r="K23" s="112">
        <v>238.21</v>
      </c>
      <c r="L23" s="112">
        <v>24.85</v>
      </c>
      <c r="M23" s="112">
        <v>98.07</v>
      </c>
      <c r="N23" s="112">
        <v>0</v>
      </c>
      <c r="O23" s="112">
        <v>0</v>
      </c>
      <c r="P23" s="112">
        <v>0.43</v>
      </c>
      <c r="Q23" s="112">
        <v>5.5</v>
      </c>
    </row>
    <row r="24" spans="1:17" customFormat="1">
      <c r="A24" s="189" t="s">
        <v>926</v>
      </c>
      <c r="B24" s="112">
        <v>10.94</v>
      </c>
      <c r="C24" s="112">
        <v>16.850000000000001</v>
      </c>
      <c r="D24" s="112">
        <v>18.93</v>
      </c>
      <c r="E24" s="112">
        <v>8.24</v>
      </c>
      <c r="F24" s="112">
        <v>3.86</v>
      </c>
      <c r="G24" s="112">
        <v>6.96</v>
      </c>
      <c r="H24" s="112">
        <v>1.34</v>
      </c>
      <c r="I24" s="112">
        <v>3.18</v>
      </c>
      <c r="J24" s="112">
        <v>0.13</v>
      </c>
      <c r="K24" s="112">
        <v>215.66</v>
      </c>
      <c r="L24" s="112">
        <v>24.98</v>
      </c>
      <c r="M24" s="112">
        <v>97.77</v>
      </c>
      <c r="N24" s="112">
        <v>0</v>
      </c>
      <c r="O24" s="112">
        <v>0</v>
      </c>
      <c r="P24" s="112">
        <v>0.46</v>
      </c>
      <c r="Q24" s="112">
        <v>5.57</v>
      </c>
    </row>
    <row r="25" spans="1:17" customFormat="1">
      <c r="A25" s="189" t="s">
        <v>927</v>
      </c>
      <c r="B25" s="112">
        <v>11.1</v>
      </c>
      <c r="C25" s="112">
        <v>15.85</v>
      </c>
      <c r="D25" s="112">
        <v>18.54</v>
      </c>
      <c r="E25" s="112">
        <v>7.91</v>
      </c>
      <c r="F25" s="112">
        <v>4.78</v>
      </c>
      <c r="G25" s="112">
        <v>7.13</v>
      </c>
      <c r="H25" s="112">
        <v>1.34</v>
      </c>
      <c r="I25" s="112">
        <v>3.23</v>
      </c>
      <c r="J25" s="112">
        <v>0.17</v>
      </c>
      <c r="K25" s="112">
        <v>262.3</v>
      </c>
      <c r="L25" s="112">
        <v>24.95</v>
      </c>
      <c r="M25" s="112">
        <v>97.44</v>
      </c>
      <c r="N25" s="112">
        <v>0</v>
      </c>
      <c r="O25" s="112">
        <v>0</v>
      </c>
      <c r="P25" s="112">
        <v>0.44</v>
      </c>
      <c r="Q25" s="112">
        <v>5.57</v>
      </c>
    </row>
    <row r="26" spans="1:17" customFormat="1">
      <c r="A26" s="189" t="s">
        <v>928</v>
      </c>
      <c r="B26" s="112">
        <v>10.99</v>
      </c>
      <c r="C26" s="112">
        <v>14.55</v>
      </c>
      <c r="D26" s="112">
        <v>17.760000000000002</v>
      </c>
      <c r="E26" s="112">
        <v>7.81</v>
      </c>
      <c r="F26" s="112">
        <v>5.22</v>
      </c>
      <c r="G26" s="112">
        <v>7.13</v>
      </c>
      <c r="H26" s="112">
        <v>1.34</v>
      </c>
      <c r="I26" s="112">
        <v>3.3</v>
      </c>
      <c r="J26" s="112">
        <v>0.33</v>
      </c>
      <c r="K26" s="112">
        <v>262.58</v>
      </c>
      <c r="L26" s="112">
        <v>24.98</v>
      </c>
      <c r="M26" s="112">
        <v>97.11</v>
      </c>
      <c r="N26" s="112">
        <v>0</v>
      </c>
      <c r="O26" s="112">
        <v>0</v>
      </c>
      <c r="P26" s="112">
        <v>0.42</v>
      </c>
      <c r="Q26" s="112">
        <v>5.53</v>
      </c>
    </row>
    <row r="27" spans="1:17" customFormat="1">
      <c r="A27" s="189" t="s">
        <v>929</v>
      </c>
      <c r="B27" s="112">
        <v>10.94</v>
      </c>
      <c r="C27" s="112">
        <v>14.56</v>
      </c>
      <c r="D27" s="112">
        <v>17.739999999999998</v>
      </c>
      <c r="E27" s="112">
        <v>7.72</v>
      </c>
      <c r="F27" s="112">
        <v>4.88</v>
      </c>
      <c r="G27" s="112">
        <v>7.13</v>
      </c>
      <c r="H27" s="112">
        <v>1.34</v>
      </c>
      <c r="I27" s="112">
        <v>3.19</v>
      </c>
      <c r="J27" s="112">
        <v>0.23</v>
      </c>
      <c r="K27" s="112">
        <v>254.83</v>
      </c>
      <c r="L27" s="112">
        <v>24.98</v>
      </c>
      <c r="M27" s="112">
        <v>96.9</v>
      </c>
      <c r="N27" s="112">
        <v>0</v>
      </c>
      <c r="O27" s="112">
        <v>0</v>
      </c>
      <c r="P27" s="112">
        <v>0.42</v>
      </c>
      <c r="Q27" s="112">
        <v>5.51</v>
      </c>
    </row>
    <row r="28" spans="1:17" customFormat="1">
      <c r="A28" s="189" t="s">
        <v>930</v>
      </c>
      <c r="B28" s="112">
        <v>11.21</v>
      </c>
      <c r="C28" s="112">
        <v>16.48</v>
      </c>
      <c r="D28" s="112">
        <v>18.95</v>
      </c>
      <c r="E28" s="112">
        <v>7.65</v>
      </c>
      <c r="F28" s="112">
        <v>3.9</v>
      </c>
      <c r="G28" s="112">
        <v>5.21</v>
      </c>
      <c r="H28" s="112">
        <v>2.98</v>
      </c>
      <c r="I28" s="112">
        <v>3.11</v>
      </c>
      <c r="J28" s="112">
        <v>0.15</v>
      </c>
      <c r="K28" s="112">
        <v>246.15</v>
      </c>
      <c r="L28" s="112">
        <v>24.96</v>
      </c>
      <c r="M28" s="112">
        <v>96.74</v>
      </c>
      <c r="N28" s="112">
        <v>0</v>
      </c>
      <c r="O28" s="112">
        <v>0</v>
      </c>
      <c r="P28" s="112">
        <v>0.45</v>
      </c>
      <c r="Q28" s="112">
        <v>5.59</v>
      </c>
    </row>
    <row r="29" spans="1:17" customFormat="1">
      <c r="A29" s="189" t="s">
        <v>931</v>
      </c>
      <c r="B29" s="112">
        <v>11.33</v>
      </c>
      <c r="C29" s="112">
        <v>15.66</v>
      </c>
      <c r="D29" s="112">
        <v>18.62</v>
      </c>
      <c r="E29" s="112">
        <v>7.66</v>
      </c>
      <c r="F29" s="112">
        <v>4.74</v>
      </c>
      <c r="G29" s="112">
        <v>5.0999999999999996</v>
      </c>
      <c r="H29" s="112">
        <v>2.98</v>
      </c>
      <c r="I29" s="112">
        <v>3.15</v>
      </c>
      <c r="J29" s="112">
        <v>0.06</v>
      </c>
      <c r="K29" s="112">
        <v>276.02999999999997</v>
      </c>
      <c r="L29" s="112">
        <v>24.97</v>
      </c>
      <c r="M29" s="112">
        <v>96.93</v>
      </c>
      <c r="N29" s="112">
        <v>0</v>
      </c>
      <c r="O29" s="112">
        <v>0</v>
      </c>
      <c r="P29" s="112">
        <v>0.43</v>
      </c>
      <c r="Q29" s="112">
        <v>5.59</v>
      </c>
    </row>
    <row r="30" spans="1:17" customFormat="1">
      <c r="A30" s="189" t="s">
        <v>932</v>
      </c>
      <c r="B30" s="112">
        <v>11.05</v>
      </c>
      <c r="C30" s="112">
        <v>14.49</v>
      </c>
      <c r="D30" s="112">
        <v>17.78</v>
      </c>
      <c r="E30" s="112">
        <v>7.89</v>
      </c>
      <c r="F30" s="112">
        <v>5.16</v>
      </c>
      <c r="G30" s="112">
        <v>5.0999999999999996</v>
      </c>
      <c r="H30" s="112">
        <v>2.98</v>
      </c>
      <c r="I30" s="112">
        <v>3.25</v>
      </c>
      <c r="J30" s="112">
        <v>7.0000000000000007E-2</v>
      </c>
      <c r="K30" s="112">
        <v>214.6</v>
      </c>
      <c r="L30" s="112">
        <v>24.95</v>
      </c>
      <c r="M30" s="112">
        <v>97.35</v>
      </c>
      <c r="N30" s="112">
        <v>0</v>
      </c>
      <c r="O30" s="112">
        <v>0</v>
      </c>
      <c r="P30" s="112">
        <v>0.42</v>
      </c>
      <c r="Q30" s="112">
        <v>5.56</v>
      </c>
    </row>
    <row r="31" spans="1:17" customFormat="1">
      <c r="A31" s="189" t="s">
        <v>933</v>
      </c>
      <c r="B31" s="112">
        <v>11.12</v>
      </c>
      <c r="C31" s="112">
        <v>15.08</v>
      </c>
      <c r="D31" s="112">
        <v>18.14</v>
      </c>
      <c r="E31" s="112">
        <v>7.38</v>
      </c>
      <c r="F31" s="112">
        <v>4.71</v>
      </c>
      <c r="G31" s="112">
        <v>5.0999999999999996</v>
      </c>
      <c r="H31" s="112">
        <v>2.98</v>
      </c>
      <c r="I31" s="112">
        <v>3.14</v>
      </c>
      <c r="J31" s="112">
        <v>0.11</v>
      </c>
      <c r="K31" s="112">
        <v>221.71</v>
      </c>
      <c r="L31" s="112">
        <v>24.99</v>
      </c>
      <c r="M31" s="112">
        <v>97.4</v>
      </c>
      <c r="N31" s="112">
        <v>0</v>
      </c>
      <c r="O31" s="112">
        <v>0</v>
      </c>
      <c r="P31" s="112">
        <v>0.41</v>
      </c>
      <c r="Q31" s="112">
        <v>5.54</v>
      </c>
    </row>
    <row r="32" spans="1:17" customFormat="1">
      <c r="A32" s="189" t="s">
        <v>934</v>
      </c>
      <c r="B32" s="112">
        <v>11.3</v>
      </c>
      <c r="C32" s="112">
        <v>16.66</v>
      </c>
      <c r="D32" s="112">
        <v>19.12</v>
      </c>
      <c r="E32" s="112">
        <v>7.73</v>
      </c>
      <c r="F32" s="112">
        <v>4.12</v>
      </c>
      <c r="G32" s="112">
        <v>4.01</v>
      </c>
      <c r="H32" s="112">
        <v>2.74</v>
      </c>
      <c r="I32" s="112">
        <v>3.07</v>
      </c>
      <c r="J32" s="112">
        <v>0.09</v>
      </c>
      <c r="K32" s="112">
        <v>194.78</v>
      </c>
      <c r="L32" s="112">
        <v>24.93</v>
      </c>
      <c r="M32" s="112">
        <v>97.66</v>
      </c>
      <c r="N32" s="112">
        <v>1.1000000000000001</v>
      </c>
      <c r="O32" s="112">
        <v>0</v>
      </c>
      <c r="P32" s="112">
        <v>0.44</v>
      </c>
      <c r="Q32" s="112">
        <v>5.6</v>
      </c>
    </row>
    <row r="33" spans="1:17" customFormat="1">
      <c r="A33" s="189" t="s">
        <v>935</v>
      </c>
      <c r="B33" s="112">
        <v>11.62</v>
      </c>
      <c r="C33" s="112">
        <v>15.82</v>
      </c>
      <c r="D33" s="112">
        <v>18.940000000000001</v>
      </c>
      <c r="E33" s="112">
        <v>7.79</v>
      </c>
      <c r="F33" s="112">
        <v>4.63</v>
      </c>
      <c r="G33" s="112">
        <v>3.95</v>
      </c>
      <c r="H33" s="112">
        <v>2.74</v>
      </c>
      <c r="I33" s="112">
        <v>3.15</v>
      </c>
      <c r="J33" s="112">
        <v>0.1</v>
      </c>
      <c r="K33" s="112">
        <v>220.69</v>
      </c>
      <c r="L33" s="112">
        <v>25.01</v>
      </c>
      <c r="M33" s="112">
        <v>97.22</v>
      </c>
      <c r="N33" s="112">
        <v>10.7</v>
      </c>
      <c r="O33" s="112">
        <v>0</v>
      </c>
      <c r="P33" s="112">
        <v>0.44</v>
      </c>
      <c r="Q33" s="112">
        <v>5.59</v>
      </c>
    </row>
    <row r="34" spans="1:17" customFormat="1">
      <c r="A34" s="189" t="s">
        <v>936</v>
      </c>
      <c r="B34" s="112">
        <v>11.59</v>
      </c>
      <c r="C34" s="112">
        <v>16.43</v>
      </c>
      <c r="D34" s="112">
        <v>19.23</v>
      </c>
      <c r="E34" s="112">
        <v>7.82</v>
      </c>
      <c r="F34" s="112">
        <v>4.34</v>
      </c>
      <c r="G34" s="112">
        <v>3.95</v>
      </c>
      <c r="H34" s="112">
        <v>2.74</v>
      </c>
      <c r="I34" s="112">
        <v>3.22</v>
      </c>
      <c r="J34" s="112">
        <v>0.08</v>
      </c>
      <c r="K34" s="112">
        <v>181.87</v>
      </c>
      <c r="L34" s="112">
        <v>25.16</v>
      </c>
      <c r="M34" s="112">
        <v>96.81</v>
      </c>
      <c r="N34" s="112">
        <v>21.2</v>
      </c>
      <c r="O34" s="112">
        <v>0</v>
      </c>
      <c r="P34" s="112">
        <v>0.45</v>
      </c>
      <c r="Q34" s="112">
        <v>5.59</v>
      </c>
    </row>
    <row r="35" spans="1:17" customFormat="1">
      <c r="A35" s="189" t="s">
        <v>937</v>
      </c>
      <c r="B35" s="112">
        <v>11.68</v>
      </c>
      <c r="C35" s="112">
        <v>15.97</v>
      </c>
      <c r="D35" s="112">
        <v>19.059999999999999</v>
      </c>
      <c r="E35" s="112">
        <v>7.96</v>
      </c>
      <c r="F35" s="112">
        <v>4.57</v>
      </c>
      <c r="G35" s="112">
        <v>3.95</v>
      </c>
      <c r="H35" s="112">
        <v>2.74</v>
      </c>
      <c r="I35" s="112">
        <v>3.22</v>
      </c>
      <c r="J35" s="112">
        <v>0.12</v>
      </c>
      <c r="K35" s="112">
        <v>211.27</v>
      </c>
      <c r="L35" s="112">
        <v>25.31</v>
      </c>
      <c r="M35" s="112">
        <v>96.3</v>
      </c>
      <c r="N35" s="112">
        <v>37.700000000000003</v>
      </c>
      <c r="O35" s="112">
        <v>0</v>
      </c>
      <c r="P35" s="112">
        <v>0.43</v>
      </c>
      <c r="Q35" s="112">
        <v>5.6</v>
      </c>
    </row>
    <row r="36" spans="1:17" customFormat="1">
      <c r="A36" s="189" t="s">
        <v>938</v>
      </c>
      <c r="B36" s="112">
        <v>11.28</v>
      </c>
      <c r="C36" s="112">
        <v>14.9</v>
      </c>
      <c r="D36" s="112">
        <v>18.18</v>
      </c>
      <c r="E36" s="112">
        <v>7.34</v>
      </c>
      <c r="F36" s="112">
        <v>5.19</v>
      </c>
      <c r="G36" s="112">
        <v>4.3</v>
      </c>
      <c r="H36" s="112">
        <v>2.09</v>
      </c>
      <c r="I36" s="112">
        <v>3.22</v>
      </c>
      <c r="J36" s="112">
        <v>0.13</v>
      </c>
      <c r="K36" s="112">
        <v>225.86</v>
      </c>
      <c r="L36" s="112">
        <v>25.53</v>
      </c>
      <c r="M36" s="112">
        <v>95.38</v>
      </c>
      <c r="N36" s="112">
        <v>60.9</v>
      </c>
      <c r="O36" s="112">
        <v>0</v>
      </c>
      <c r="P36" s="112">
        <v>0.42</v>
      </c>
      <c r="Q36" s="112">
        <v>5.6</v>
      </c>
    </row>
    <row r="37" spans="1:17" customFormat="1">
      <c r="A37" s="189" t="s">
        <v>939</v>
      </c>
      <c r="B37" s="112">
        <v>11.75</v>
      </c>
      <c r="C37" s="112">
        <v>16.62</v>
      </c>
      <c r="D37" s="112">
        <v>19.46</v>
      </c>
      <c r="E37" s="112">
        <v>8.01</v>
      </c>
      <c r="F37" s="112">
        <v>4.22</v>
      </c>
      <c r="G37" s="112">
        <v>4.32</v>
      </c>
      <c r="H37" s="112">
        <v>2.09</v>
      </c>
      <c r="I37" s="112">
        <v>3.16</v>
      </c>
      <c r="J37" s="112">
        <v>0.19</v>
      </c>
      <c r="K37" s="112">
        <v>250.83</v>
      </c>
      <c r="L37" s="112">
        <v>25.74</v>
      </c>
      <c r="M37" s="112">
        <v>94.42</v>
      </c>
      <c r="N37" s="112">
        <v>82.2</v>
      </c>
      <c r="O37" s="112">
        <v>0</v>
      </c>
      <c r="P37" s="112">
        <v>0.44</v>
      </c>
      <c r="Q37" s="112">
        <v>5.62</v>
      </c>
    </row>
    <row r="38" spans="1:17" customFormat="1">
      <c r="A38" s="189" t="s">
        <v>940</v>
      </c>
      <c r="B38" s="112">
        <v>11.91</v>
      </c>
      <c r="C38" s="112">
        <v>15.95</v>
      </c>
      <c r="D38" s="112">
        <v>19.23</v>
      </c>
      <c r="E38" s="112">
        <v>8.31</v>
      </c>
      <c r="F38" s="112">
        <v>4.53</v>
      </c>
      <c r="G38" s="112">
        <v>4.32</v>
      </c>
      <c r="H38" s="112">
        <v>2.09</v>
      </c>
      <c r="I38" s="112">
        <v>3.12</v>
      </c>
      <c r="J38" s="112">
        <v>0.18</v>
      </c>
      <c r="K38" s="112">
        <v>248.9</v>
      </c>
      <c r="L38" s="112">
        <v>26.01</v>
      </c>
      <c r="M38" s="112">
        <v>92.99</v>
      </c>
      <c r="N38" s="112">
        <v>98.5</v>
      </c>
      <c r="O38" s="112">
        <v>0</v>
      </c>
      <c r="P38" s="112">
        <v>0.43</v>
      </c>
      <c r="Q38" s="112">
        <v>5.64</v>
      </c>
    </row>
    <row r="39" spans="1:17" customFormat="1">
      <c r="A39" s="189" t="s">
        <v>941</v>
      </c>
      <c r="B39" s="112">
        <v>11.62</v>
      </c>
      <c r="C39" s="112">
        <v>14.99</v>
      </c>
      <c r="D39" s="112">
        <v>18.510000000000002</v>
      </c>
      <c r="E39" s="112">
        <v>7.41</v>
      </c>
      <c r="F39" s="112">
        <v>5.25</v>
      </c>
      <c r="G39" s="112">
        <v>4.32</v>
      </c>
      <c r="H39" s="112">
        <v>2.09</v>
      </c>
      <c r="I39" s="112">
        <v>3.26</v>
      </c>
      <c r="J39" s="112">
        <v>0.16</v>
      </c>
      <c r="K39" s="112">
        <v>253.63</v>
      </c>
      <c r="L39" s="112">
        <v>26.19</v>
      </c>
      <c r="M39" s="112">
        <v>92.42</v>
      </c>
      <c r="N39" s="112">
        <v>86.4</v>
      </c>
      <c r="O39" s="112">
        <v>0</v>
      </c>
      <c r="P39" s="112">
        <v>0.42</v>
      </c>
      <c r="Q39" s="112">
        <v>5.6</v>
      </c>
    </row>
    <row r="40" spans="1:17" customFormat="1">
      <c r="A40" s="189" t="s">
        <v>942</v>
      </c>
      <c r="B40" s="112">
        <v>11.35</v>
      </c>
      <c r="C40" s="112">
        <v>14.23</v>
      </c>
      <c r="D40" s="112">
        <v>17.89</v>
      </c>
      <c r="E40" s="112">
        <v>7.55</v>
      </c>
      <c r="F40" s="112">
        <v>5.59</v>
      </c>
      <c r="G40" s="112">
        <v>4.2</v>
      </c>
      <c r="H40" s="112">
        <v>1.57</v>
      </c>
      <c r="I40" s="112">
        <v>3.21</v>
      </c>
      <c r="J40" s="112">
        <v>0.21</v>
      </c>
      <c r="K40" s="112">
        <v>267.92</v>
      </c>
      <c r="L40" s="112">
        <v>26.17</v>
      </c>
      <c r="M40" s="112">
        <v>92.43</v>
      </c>
      <c r="N40" s="112">
        <v>46.7</v>
      </c>
      <c r="O40" s="112">
        <v>0</v>
      </c>
      <c r="P40" s="112">
        <v>0.41</v>
      </c>
      <c r="Q40" s="112">
        <v>5.58</v>
      </c>
    </row>
    <row r="41" spans="1:17" customFormat="1">
      <c r="A41" s="189" t="s">
        <v>943</v>
      </c>
      <c r="B41" s="112">
        <v>11.33</v>
      </c>
      <c r="C41" s="112">
        <v>14.89</v>
      </c>
      <c r="D41" s="112">
        <v>18.22</v>
      </c>
      <c r="E41" s="112">
        <v>7.31</v>
      </c>
      <c r="F41" s="112">
        <v>5</v>
      </c>
      <c r="G41" s="112">
        <v>4.1900000000000004</v>
      </c>
      <c r="H41" s="112">
        <v>1.57</v>
      </c>
      <c r="I41" s="112">
        <v>3.13</v>
      </c>
      <c r="J41" s="112">
        <v>0.17</v>
      </c>
      <c r="K41" s="112">
        <v>266.33</v>
      </c>
      <c r="L41" s="112">
        <v>26.08</v>
      </c>
      <c r="M41" s="112">
        <v>93.42</v>
      </c>
      <c r="N41" s="112">
        <v>47.7</v>
      </c>
      <c r="O41" s="112">
        <v>0</v>
      </c>
      <c r="P41" s="112">
        <v>0.41</v>
      </c>
      <c r="Q41" s="112">
        <v>5.56</v>
      </c>
    </row>
    <row r="42" spans="1:17" customFormat="1">
      <c r="A42" s="189" t="s">
        <v>944</v>
      </c>
      <c r="B42" s="112">
        <v>11.67</v>
      </c>
      <c r="C42" s="112">
        <v>16.760000000000002</v>
      </c>
      <c r="D42" s="112">
        <v>19.46</v>
      </c>
      <c r="E42" s="112">
        <v>8.0299999999999994</v>
      </c>
      <c r="F42" s="112">
        <v>4.05</v>
      </c>
      <c r="G42" s="112">
        <v>4.1900000000000004</v>
      </c>
      <c r="H42" s="112">
        <v>1.57</v>
      </c>
      <c r="I42" s="112">
        <v>3.12</v>
      </c>
      <c r="J42" s="112">
        <v>7.0000000000000007E-2</v>
      </c>
      <c r="K42" s="112">
        <v>222.3</v>
      </c>
      <c r="L42" s="112">
        <v>26.14</v>
      </c>
      <c r="M42" s="112">
        <v>93.39</v>
      </c>
      <c r="N42" s="112">
        <v>53.4</v>
      </c>
      <c r="O42" s="112">
        <v>0</v>
      </c>
      <c r="P42" s="112">
        <v>0.45</v>
      </c>
      <c r="Q42" s="112">
        <v>5.63</v>
      </c>
    </row>
    <row r="43" spans="1:17" customFormat="1">
      <c r="A43" s="189" t="s">
        <v>945</v>
      </c>
      <c r="B43" s="112">
        <v>11.76</v>
      </c>
      <c r="C43" s="112">
        <v>15.6</v>
      </c>
      <c r="D43" s="112">
        <v>18.93</v>
      </c>
      <c r="E43" s="112">
        <v>7.94</v>
      </c>
      <c r="F43" s="112">
        <v>4.68</v>
      </c>
      <c r="G43" s="112">
        <v>4.1900000000000004</v>
      </c>
      <c r="H43" s="112">
        <v>1.57</v>
      </c>
      <c r="I43" s="112">
        <v>3.19</v>
      </c>
      <c r="J43" s="112">
        <v>0.15</v>
      </c>
      <c r="K43" s="112">
        <v>260.12</v>
      </c>
      <c r="L43" s="112">
        <v>26.26</v>
      </c>
      <c r="M43" s="112">
        <v>93.42</v>
      </c>
      <c r="N43" s="112">
        <v>85</v>
      </c>
      <c r="O43" s="112">
        <v>0</v>
      </c>
      <c r="P43" s="112">
        <v>0.43</v>
      </c>
      <c r="Q43" s="112">
        <v>5.62</v>
      </c>
    </row>
    <row r="44" spans="1:17" customFormat="1">
      <c r="A44" s="189" t="s">
        <v>946</v>
      </c>
      <c r="B44" s="112">
        <v>11.28</v>
      </c>
      <c r="C44" s="112">
        <v>14.56</v>
      </c>
      <c r="D44" s="112">
        <v>18.010000000000002</v>
      </c>
      <c r="E44" s="112">
        <v>7.15</v>
      </c>
      <c r="F44" s="112">
        <v>5.45</v>
      </c>
      <c r="G44" s="112">
        <v>5.34</v>
      </c>
      <c r="H44" s="112">
        <v>1.44</v>
      </c>
      <c r="I44" s="112">
        <v>3.31</v>
      </c>
      <c r="J44" s="112">
        <v>0.15</v>
      </c>
      <c r="K44" s="112">
        <v>266.54000000000002</v>
      </c>
      <c r="L44" s="112">
        <v>26.65</v>
      </c>
      <c r="M44" s="112">
        <v>91.26</v>
      </c>
      <c r="N44" s="112">
        <v>177.7</v>
      </c>
      <c r="O44" s="112">
        <v>0</v>
      </c>
      <c r="P44" s="112">
        <v>0.41</v>
      </c>
      <c r="Q44" s="112">
        <v>5.63</v>
      </c>
    </row>
    <row r="45" spans="1:17" customFormat="1">
      <c r="A45" s="189" t="s">
        <v>947</v>
      </c>
      <c r="B45" s="112">
        <v>11.46</v>
      </c>
      <c r="C45" s="112">
        <v>14.5</v>
      </c>
      <c r="D45" s="112">
        <v>18.11</v>
      </c>
      <c r="E45" s="112">
        <v>7.42</v>
      </c>
      <c r="F45" s="112">
        <v>5.45</v>
      </c>
      <c r="G45" s="112">
        <v>5.41</v>
      </c>
      <c r="H45" s="112">
        <v>1.44</v>
      </c>
      <c r="I45" s="112">
        <v>3.22</v>
      </c>
      <c r="J45" s="112">
        <v>0.12</v>
      </c>
      <c r="K45" s="112">
        <v>264.52</v>
      </c>
      <c r="L45" s="112">
        <v>27.37</v>
      </c>
      <c r="M45" s="112">
        <v>88.06</v>
      </c>
      <c r="N45" s="112">
        <v>344.8</v>
      </c>
      <c r="O45" s="112">
        <v>0</v>
      </c>
      <c r="P45" s="112">
        <v>0.4</v>
      </c>
      <c r="Q45" s="112">
        <v>5.59</v>
      </c>
    </row>
    <row r="46" spans="1:17" customFormat="1">
      <c r="A46" s="189" t="s">
        <v>948</v>
      </c>
      <c r="B46" s="112">
        <v>11.21</v>
      </c>
      <c r="C46" s="112">
        <v>14.36</v>
      </c>
      <c r="D46" s="112">
        <v>17.84</v>
      </c>
      <c r="E46" s="112">
        <v>7.37</v>
      </c>
      <c r="F46" s="112">
        <v>5.55</v>
      </c>
      <c r="G46" s="112">
        <v>5.41</v>
      </c>
      <c r="H46" s="112">
        <v>1.44</v>
      </c>
      <c r="I46" s="112">
        <v>3.13</v>
      </c>
      <c r="J46" s="112">
        <v>0.12</v>
      </c>
      <c r="K46" s="112">
        <v>149.1</v>
      </c>
      <c r="L46" s="112">
        <v>28.23</v>
      </c>
      <c r="M46" s="112">
        <v>84.53</v>
      </c>
      <c r="N46" s="112">
        <v>274.8</v>
      </c>
      <c r="O46" s="112">
        <v>0</v>
      </c>
      <c r="P46" s="112">
        <v>0.41</v>
      </c>
      <c r="Q46" s="112">
        <v>5.55</v>
      </c>
    </row>
    <row r="47" spans="1:17" customFormat="1">
      <c r="A47" s="189" t="s">
        <v>949</v>
      </c>
      <c r="B47" s="112">
        <v>11</v>
      </c>
      <c r="C47" s="112">
        <v>14.68</v>
      </c>
      <c r="D47" s="112">
        <v>17.84</v>
      </c>
      <c r="E47" s="112">
        <v>7.42</v>
      </c>
      <c r="F47" s="112">
        <v>5.19</v>
      </c>
      <c r="G47" s="112">
        <v>5.41</v>
      </c>
      <c r="H47" s="112">
        <v>1.44</v>
      </c>
      <c r="I47" s="112">
        <v>3.15</v>
      </c>
      <c r="J47" s="112">
        <v>0.19</v>
      </c>
      <c r="K47" s="112">
        <v>128.47</v>
      </c>
      <c r="L47" s="112">
        <v>27.66</v>
      </c>
      <c r="M47" s="112">
        <v>86.02</v>
      </c>
      <c r="N47" s="112">
        <v>109.7</v>
      </c>
      <c r="O47" s="112">
        <v>0</v>
      </c>
      <c r="P47" s="112">
        <v>0.4</v>
      </c>
      <c r="Q47" s="112">
        <v>5.54</v>
      </c>
    </row>
    <row r="48" spans="1:17" customFormat="1">
      <c r="A48" s="189" t="s">
        <v>950</v>
      </c>
      <c r="B48" s="112">
        <v>11.06</v>
      </c>
      <c r="C48" s="112">
        <v>15.96</v>
      </c>
      <c r="D48" s="112">
        <v>18.559999999999999</v>
      </c>
      <c r="E48" s="112">
        <v>7.49</v>
      </c>
      <c r="F48" s="112">
        <v>4.5199999999999996</v>
      </c>
      <c r="G48" s="112">
        <v>4.3099999999999996</v>
      </c>
      <c r="H48" s="112">
        <v>1.05</v>
      </c>
      <c r="I48" s="112">
        <v>3.15</v>
      </c>
      <c r="J48" s="112">
        <v>0.2</v>
      </c>
      <c r="K48" s="112">
        <v>119.04</v>
      </c>
      <c r="L48" s="112">
        <v>26.91</v>
      </c>
      <c r="M48" s="112">
        <v>89.26</v>
      </c>
      <c r="N48" s="112">
        <v>113.5</v>
      </c>
      <c r="O48" s="112">
        <v>0</v>
      </c>
      <c r="P48" s="112">
        <v>0.43</v>
      </c>
      <c r="Q48" s="112">
        <v>5.58</v>
      </c>
    </row>
    <row r="49" spans="1:17" customFormat="1">
      <c r="A49" s="189" t="s">
        <v>951</v>
      </c>
      <c r="B49" s="112">
        <v>11.42</v>
      </c>
      <c r="C49" s="112">
        <v>16.25</v>
      </c>
      <c r="D49" s="112">
        <v>19</v>
      </c>
      <c r="E49" s="112">
        <v>6.94</v>
      </c>
      <c r="F49" s="112">
        <v>4.45</v>
      </c>
      <c r="G49" s="112">
        <v>4.24</v>
      </c>
      <c r="H49" s="112">
        <v>1.05</v>
      </c>
      <c r="I49" s="112">
        <v>3.19</v>
      </c>
      <c r="J49" s="112">
        <v>0.08</v>
      </c>
      <c r="K49" s="112">
        <v>236.35</v>
      </c>
      <c r="L49" s="112">
        <v>27.15</v>
      </c>
      <c r="M49" s="112">
        <v>88.54</v>
      </c>
      <c r="N49" s="112">
        <v>189.5</v>
      </c>
      <c r="O49" s="112">
        <v>0</v>
      </c>
      <c r="P49" s="112">
        <v>0.44</v>
      </c>
      <c r="Q49" s="112">
        <v>5.63</v>
      </c>
    </row>
    <row r="50" spans="1:17" customFormat="1">
      <c r="A50" s="189" t="s">
        <v>952</v>
      </c>
      <c r="B50" s="112">
        <v>11.42</v>
      </c>
      <c r="C50" s="112">
        <v>15.48</v>
      </c>
      <c r="D50" s="112">
        <v>18.600000000000001</v>
      </c>
      <c r="E50" s="112">
        <v>7.89</v>
      </c>
      <c r="F50" s="112">
        <v>5.08</v>
      </c>
      <c r="G50" s="112">
        <v>4.24</v>
      </c>
      <c r="H50" s="112">
        <v>1.05</v>
      </c>
      <c r="I50" s="112">
        <v>3.25</v>
      </c>
      <c r="J50" s="112">
        <v>0.1</v>
      </c>
      <c r="K50" s="112">
        <v>195.14</v>
      </c>
      <c r="L50" s="112">
        <v>27.88</v>
      </c>
      <c r="M50" s="112">
        <v>86.59</v>
      </c>
      <c r="N50" s="112">
        <v>422.1</v>
      </c>
      <c r="O50" s="112">
        <v>0</v>
      </c>
      <c r="P50" s="112">
        <v>0.43</v>
      </c>
      <c r="Q50" s="112">
        <v>5.59</v>
      </c>
    </row>
    <row r="51" spans="1:17" customFormat="1">
      <c r="A51" s="189" t="s">
        <v>953</v>
      </c>
      <c r="B51" s="112">
        <v>11.27</v>
      </c>
      <c r="C51" s="112">
        <v>15.19</v>
      </c>
      <c r="D51" s="112">
        <v>18.32</v>
      </c>
      <c r="E51" s="112">
        <v>7.22</v>
      </c>
      <c r="F51" s="112">
        <v>5.0999999999999996</v>
      </c>
      <c r="G51" s="112">
        <v>4.24</v>
      </c>
      <c r="H51" s="112">
        <v>1.05</v>
      </c>
      <c r="I51" s="112">
        <v>3.27</v>
      </c>
      <c r="J51" s="112">
        <v>-0.1</v>
      </c>
      <c r="K51" s="112">
        <v>-0.08</v>
      </c>
      <c r="L51" s="112">
        <v>28.16</v>
      </c>
      <c r="M51" s="112">
        <v>85.38</v>
      </c>
      <c r="N51" s="112">
        <v>188.6</v>
      </c>
      <c r="O51" s="112">
        <v>0</v>
      </c>
      <c r="P51" s="112">
        <v>0.43</v>
      </c>
      <c r="Q51" s="112">
        <v>5.53</v>
      </c>
    </row>
    <row r="52" spans="1:17" customFormat="1">
      <c r="A52" s="189" t="s">
        <v>954</v>
      </c>
      <c r="B52" s="167" t="s">
        <v>14</v>
      </c>
      <c r="C52" s="167" t="s">
        <v>14</v>
      </c>
      <c r="D52" s="167" t="s">
        <v>14</v>
      </c>
      <c r="E52" s="167" t="s">
        <v>14</v>
      </c>
      <c r="F52" s="167" t="s">
        <v>14</v>
      </c>
      <c r="G52" s="167" t="s">
        <v>14</v>
      </c>
      <c r="H52" s="167" t="s">
        <v>14</v>
      </c>
      <c r="I52" s="167" t="s">
        <v>14</v>
      </c>
      <c r="J52" s="167" t="s">
        <v>14</v>
      </c>
      <c r="K52" s="167" t="s">
        <v>14</v>
      </c>
      <c r="L52" s="167" t="s">
        <v>14</v>
      </c>
      <c r="M52" s="167" t="s">
        <v>14</v>
      </c>
      <c r="N52" s="167" t="s">
        <v>14</v>
      </c>
      <c r="O52" s="167" t="s">
        <v>14</v>
      </c>
      <c r="P52" s="167" t="s">
        <v>14</v>
      </c>
      <c r="Q52" s="167" t="s">
        <v>14</v>
      </c>
    </row>
    <row r="53" spans="1:17" customFormat="1">
      <c r="A53" s="189" t="s">
        <v>955</v>
      </c>
      <c r="B53" s="112">
        <v>10.16</v>
      </c>
      <c r="C53" s="112">
        <v>15.41</v>
      </c>
      <c r="D53" s="112">
        <v>17.55</v>
      </c>
      <c r="E53" s="112">
        <v>6.95</v>
      </c>
      <c r="F53" s="112">
        <v>4.49</v>
      </c>
      <c r="G53" s="151" t="s">
        <v>12</v>
      </c>
      <c r="H53" s="151" t="s">
        <v>12</v>
      </c>
      <c r="I53" s="112">
        <v>3.25</v>
      </c>
      <c r="J53" s="112">
        <v>0.06</v>
      </c>
      <c r="K53" s="112">
        <v>244.75</v>
      </c>
      <c r="L53" s="112">
        <v>27.11</v>
      </c>
      <c r="M53" s="112">
        <v>90.66</v>
      </c>
      <c r="N53" s="112">
        <v>106.8</v>
      </c>
      <c r="O53" s="112">
        <v>0</v>
      </c>
      <c r="P53" s="112">
        <v>0.45</v>
      </c>
      <c r="Q53" s="112">
        <v>5.52</v>
      </c>
    </row>
    <row r="54" spans="1:17" customFormat="1">
      <c r="A54" s="189" t="s">
        <v>956</v>
      </c>
      <c r="B54" s="112">
        <v>9.86</v>
      </c>
      <c r="C54" s="112">
        <v>15.4</v>
      </c>
      <c r="D54" s="112">
        <v>17.3</v>
      </c>
      <c r="E54" s="112">
        <v>7.21</v>
      </c>
      <c r="F54" s="112">
        <v>4.58</v>
      </c>
      <c r="G54" s="151" t="s">
        <v>12</v>
      </c>
      <c r="H54" s="151" t="s">
        <v>12</v>
      </c>
      <c r="I54" s="112">
        <v>3.22</v>
      </c>
      <c r="J54" s="112">
        <v>0.28999999999999998</v>
      </c>
      <c r="K54" s="112">
        <v>251.96</v>
      </c>
      <c r="L54" s="112">
        <v>26.67</v>
      </c>
      <c r="M54" s="112">
        <v>93.26</v>
      </c>
      <c r="N54" s="112">
        <v>102.5</v>
      </c>
      <c r="O54" s="112">
        <v>0.4</v>
      </c>
      <c r="P54" s="112">
        <v>0.46</v>
      </c>
      <c r="Q54" s="112">
        <v>5.59</v>
      </c>
    </row>
    <row r="55" spans="1:17" customFormat="1">
      <c r="A55" s="189" t="s">
        <v>957</v>
      </c>
      <c r="B55" s="112">
        <v>9.4499999999999993</v>
      </c>
      <c r="C55" s="112">
        <v>14.38</v>
      </c>
      <c r="D55" s="112">
        <v>16.440000000000001</v>
      </c>
      <c r="E55" s="112">
        <v>6.65</v>
      </c>
      <c r="F55" s="112">
        <v>5.15</v>
      </c>
      <c r="G55" s="151" t="s">
        <v>12</v>
      </c>
      <c r="H55" s="151" t="s">
        <v>12</v>
      </c>
      <c r="I55" s="112">
        <v>3.24</v>
      </c>
      <c r="J55" s="112">
        <v>0.16</v>
      </c>
      <c r="K55" s="112">
        <v>224.32</v>
      </c>
      <c r="L55" s="112">
        <v>26.47</v>
      </c>
      <c r="M55" s="112">
        <v>95.13</v>
      </c>
      <c r="N55" s="112">
        <v>122.2</v>
      </c>
      <c r="O55" s="112">
        <v>0.2</v>
      </c>
      <c r="P55" s="112">
        <v>0.43</v>
      </c>
      <c r="Q55" s="112">
        <v>5.59</v>
      </c>
    </row>
    <row r="56" spans="1:17" customFormat="1">
      <c r="A56" s="189" t="s">
        <v>958</v>
      </c>
      <c r="B56" s="112">
        <v>9.0399999999999991</v>
      </c>
      <c r="C56" s="112">
        <v>14.09</v>
      </c>
      <c r="D56" s="112">
        <v>15.96</v>
      </c>
      <c r="E56" s="112">
        <v>7.04</v>
      </c>
      <c r="F56" s="112">
        <v>8.08</v>
      </c>
      <c r="G56" s="151" t="s">
        <v>12</v>
      </c>
      <c r="H56" s="151" t="s">
        <v>12</v>
      </c>
      <c r="I56" s="112">
        <v>3.18</v>
      </c>
      <c r="J56" s="112">
        <v>0.19</v>
      </c>
      <c r="K56" s="112">
        <v>235.82</v>
      </c>
      <c r="L56" s="112">
        <v>26.65</v>
      </c>
      <c r="M56" s="112">
        <v>94.84</v>
      </c>
      <c r="N56" s="112">
        <v>131.30000000000001</v>
      </c>
      <c r="O56" s="112">
        <v>0</v>
      </c>
      <c r="P56" s="112">
        <v>0.43</v>
      </c>
      <c r="Q56" s="112">
        <v>5.62</v>
      </c>
    </row>
    <row r="57" spans="1:17" customFormat="1">
      <c r="A57" s="189" t="s">
        <v>959</v>
      </c>
      <c r="B57" s="112">
        <v>9.1199999999999992</v>
      </c>
      <c r="C57" s="112">
        <v>14.37</v>
      </c>
      <c r="D57" s="112">
        <v>16.18</v>
      </c>
      <c r="E57" s="112">
        <v>7.09</v>
      </c>
      <c r="F57" s="112">
        <v>6.6</v>
      </c>
      <c r="G57" s="151" t="s">
        <v>12</v>
      </c>
      <c r="H57" s="151" t="s">
        <v>12</v>
      </c>
      <c r="I57" s="112">
        <v>3.08</v>
      </c>
      <c r="J57" s="112">
        <v>0.47</v>
      </c>
      <c r="K57" s="112">
        <v>257.87</v>
      </c>
      <c r="L57" s="112">
        <v>26.74</v>
      </c>
      <c r="M57" s="112">
        <v>93.61</v>
      </c>
      <c r="N57" s="112">
        <v>152.30000000000001</v>
      </c>
      <c r="O57" s="112">
        <v>0</v>
      </c>
      <c r="P57" s="112">
        <v>0.42</v>
      </c>
      <c r="Q57" s="112">
        <v>5.6</v>
      </c>
    </row>
    <row r="58" spans="1:17" customFormat="1">
      <c r="A58" s="189" t="s">
        <v>960</v>
      </c>
      <c r="B58" s="112">
        <v>9.19</v>
      </c>
      <c r="C58" s="112">
        <v>14.79</v>
      </c>
      <c r="D58" s="112">
        <v>16.45</v>
      </c>
      <c r="E58" s="112">
        <v>6.52</v>
      </c>
      <c r="F58" s="112">
        <v>5.78</v>
      </c>
      <c r="G58" s="151" t="s">
        <v>12</v>
      </c>
      <c r="H58" s="151" t="s">
        <v>12</v>
      </c>
      <c r="I58" s="112">
        <v>3.06</v>
      </c>
      <c r="J58" s="112">
        <v>0.24</v>
      </c>
      <c r="K58" s="112">
        <v>226.31</v>
      </c>
      <c r="L58" s="112">
        <v>27.04</v>
      </c>
      <c r="M58" s="112">
        <v>92.65</v>
      </c>
      <c r="N58" s="112">
        <v>135.1</v>
      </c>
      <c r="O58" s="112">
        <v>0</v>
      </c>
      <c r="P58" s="112">
        <v>0.42</v>
      </c>
      <c r="Q58" s="112">
        <v>5.56</v>
      </c>
    </row>
    <row r="59" spans="1:17" customFormat="1">
      <c r="A59" s="189" t="s">
        <v>961</v>
      </c>
      <c r="B59" s="112">
        <v>9.07</v>
      </c>
      <c r="C59" s="112">
        <v>15.13</v>
      </c>
      <c r="D59" s="112">
        <v>16.53</v>
      </c>
      <c r="E59" s="112">
        <v>6.96</v>
      </c>
      <c r="F59" s="112">
        <v>5.53</v>
      </c>
      <c r="G59" s="151" t="s">
        <v>12</v>
      </c>
      <c r="H59" s="151" t="s">
        <v>12</v>
      </c>
      <c r="I59" s="112">
        <v>3.12</v>
      </c>
      <c r="J59" s="112">
        <v>0.71</v>
      </c>
      <c r="K59" s="112">
        <v>258.38</v>
      </c>
      <c r="L59" s="112">
        <v>26.83</v>
      </c>
      <c r="M59" s="112">
        <v>90.72</v>
      </c>
      <c r="N59" s="112">
        <v>173.7</v>
      </c>
      <c r="O59" s="112">
        <v>0</v>
      </c>
      <c r="P59" s="112">
        <v>0.44</v>
      </c>
      <c r="Q59" s="112">
        <v>5.54</v>
      </c>
    </row>
    <row r="60" spans="1:17" customFormat="1">
      <c r="A60" s="189" t="s">
        <v>962</v>
      </c>
      <c r="B60" s="112">
        <v>8.94</v>
      </c>
      <c r="C60" s="112">
        <v>15.98</v>
      </c>
      <c r="D60" s="112">
        <v>16.87</v>
      </c>
      <c r="E60" s="112">
        <v>7.39</v>
      </c>
      <c r="F60" s="112">
        <v>5.32</v>
      </c>
      <c r="G60" s="151" t="s">
        <v>12</v>
      </c>
      <c r="H60" s="151" t="s">
        <v>12</v>
      </c>
      <c r="I60" s="112">
        <v>3.13</v>
      </c>
      <c r="J60" s="112">
        <v>0.63</v>
      </c>
      <c r="K60" s="112">
        <v>258.77</v>
      </c>
      <c r="L60" s="112">
        <v>27.09</v>
      </c>
      <c r="M60" s="112">
        <v>89.57</v>
      </c>
      <c r="N60" s="112">
        <v>232.4</v>
      </c>
      <c r="O60" s="112">
        <v>0</v>
      </c>
      <c r="P60" s="112">
        <v>0.45</v>
      </c>
      <c r="Q60" s="112">
        <v>5.6</v>
      </c>
    </row>
    <row r="61" spans="1:17" customFormat="1">
      <c r="A61" s="189" t="s">
        <v>963</v>
      </c>
      <c r="B61" s="112">
        <v>8.85</v>
      </c>
      <c r="C61" s="112">
        <v>15.79</v>
      </c>
      <c r="D61" s="112">
        <v>16.7</v>
      </c>
      <c r="E61" s="112">
        <v>6.86</v>
      </c>
      <c r="F61" s="112">
        <v>5.65</v>
      </c>
      <c r="G61" s="151" t="s">
        <v>12</v>
      </c>
      <c r="H61" s="151" t="s">
        <v>12</v>
      </c>
      <c r="I61" s="112">
        <v>3.13</v>
      </c>
      <c r="J61" s="112">
        <v>0.7</v>
      </c>
      <c r="K61" s="112">
        <v>265.64</v>
      </c>
      <c r="L61" s="112">
        <v>27.58</v>
      </c>
      <c r="M61" s="112">
        <v>87.31</v>
      </c>
      <c r="N61" s="112">
        <v>228.8</v>
      </c>
      <c r="O61" s="112">
        <v>0</v>
      </c>
      <c r="P61" s="112">
        <v>0.44</v>
      </c>
      <c r="Q61" s="112">
        <v>5.58</v>
      </c>
    </row>
    <row r="62" spans="1:17" customFormat="1">
      <c r="A62" s="189" t="s">
        <v>964</v>
      </c>
      <c r="B62" s="112">
        <v>8.5399999999999991</v>
      </c>
      <c r="C62" s="112">
        <v>16.22</v>
      </c>
      <c r="D62" s="112">
        <v>16.68</v>
      </c>
      <c r="E62" s="112">
        <v>6.66</v>
      </c>
      <c r="F62" s="112">
        <v>5.61</v>
      </c>
      <c r="G62" s="151" t="s">
        <v>12</v>
      </c>
      <c r="H62" s="151" t="s">
        <v>12</v>
      </c>
      <c r="I62" s="112">
        <v>3.13</v>
      </c>
      <c r="J62" s="112">
        <v>0.7</v>
      </c>
      <c r="K62" s="112">
        <v>259.31</v>
      </c>
      <c r="L62" s="112">
        <v>27.9</v>
      </c>
      <c r="M62" s="112">
        <v>85.51</v>
      </c>
      <c r="N62" s="112">
        <v>257.60000000000002</v>
      </c>
      <c r="O62" s="112">
        <v>0</v>
      </c>
      <c r="P62" s="112">
        <v>0.45</v>
      </c>
      <c r="Q62" s="112">
        <v>5.57</v>
      </c>
    </row>
    <row r="63" spans="1:17" customFormat="1">
      <c r="A63" s="189" t="s">
        <v>965</v>
      </c>
      <c r="B63" s="112">
        <v>8.2799999999999994</v>
      </c>
      <c r="C63" s="112">
        <v>16.41</v>
      </c>
      <c r="D63" s="112">
        <v>16.57</v>
      </c>
      <c r="E63" s="112">
        <v>6.55</v>
      </c>
      <c r="F63" s="112">
        <v>5.39</v>
      </c>
      <c r="G63" s="151" t="s">
        <v>12</v>
      </c>
      <c r="H63" s="151" t="s">
        <v>12</v>
      </c>
      <c r="I63" s="112">
        <v>3.11</v>
      </c>
      <c r="J63" s="112">
        <v>0.53</v>
      </c>
      <c r="K63" s="112">
        <v>252.17</v>
      </c>
      <c r="L63" s="112">
        <v>27.8</v>
      </c>
      <c r="M63" s="112">
        <v>85.8</v>
      </c>
      <c r="N63" s="112">
        <v>245.9</v>
      </c>
      <c r="O63" s="112">
        <v>0</v>
      </c>
      <c r="P63" s="112">
        <v>0.45</v>
      </c>
      <c r="Q63" s="112">
        <v>5.57</v>
      </c>
    </row>
    <row r="64" spans="1:17" customFormat="1">
      <c r="A64" s="189" t="s">
        <v>966</v>
      </c>
      <c r="B64" s="112">
        <v>7.97</v>
      </c>
      <c r="C64" s="112">
        <v>16.329999999999998</v>
      </c>
      <c r="D64" s="112">
        <v>16.28</v>
      </c>
      <c r="E64" s="112">
        <v>6.23</v>
      </c>
      <c r="F64" s="112">
        <v>5.52</v>
      </c>
      <c r="G64" s="112">
        <v>0.27</v>
      </c>
      <c r="H64" s="112">
        <v>0.02</v>
      </c>
      <c r="I64" s="112">
        <v>3.09</v>
      </c>
      <c r="J64" s="112">
        <v>0.62</v>
      </c>
      <c r="K64" s="112">
        <v>257.43</v>
      </c>
      <c r="L64" s="112">
        <v>27.43</v>
      </c>
      <c r="M64" s="112">
        <v>86.88</v>
      </c>
      <c r="N64" s="112">
        <v>77.3</v>
      </c>
      <c r="O64" s="112">
        <v>0</v>
      </c>
      <c r="P64" s="112">
        <v>0.45</v>
      </c>
      <c r="Q64" s="112">
        <v>5.58</v>
      </c>
    </row>
    <row r="65" spans="1:17" customFormat="1">
      <c r="A65" s="189" t="s">
        <v>967</v>
      </c>
      <c r="B65" s="112">
        <v>7.91</v>
      </c>
      <c r="C65" s="112">
        <v>16.579999999999998</v>
      </c>
      <c r="D65" s="112">
        <v>16.350000000000001</v>
      </c>
      <c r="E65" s="112">
        <v>6.24</v>
      </c>
      <c r="F65" s="112">
        <v>5.12</v>
      </c>
      <c r="G65" s="112">
        <v>0.27</v>
      </c>
      <c r="H65" s="112">
        <v>0.02</v>
      </c>
      <c r="I65" s="112">
        <v>3.05</v>
      </c>
      <c r="J65" s="112">
        <v>0.87</v>
      </c>
      <c r="K65" s="112">
        <v>260.52999999999997</v>
      </c>
      <c r="L65" s="112">
        <v>27.22</v>
      </c>
      <c r="M65" s="112">
        <v>86.62</v>
      </c>
      <c r="N65" s="112">
        <v>196.6</v>
      </c>
      <c r="O65" s="112">
        <v>0</v>
      </c>
      <c r="P65" s="112">
        <v>0.42</v>
      </c>
      <c r="Q65" s="112">
        <v>5.59</v>
      </c>
    </row>
    <row r="66" spans="1:17" customFormat="1">
      <c r="A66" s="189" t="s">
        <v>968</v>
      </c>
      <c r="B66" s="112">
        <v>7.7</v>
      </c>
      <c r="C66" s="112">
        <v>16.489999999999998</v>
      </c>
      <c r="D66" s="112">
        <v>16.14</v>
      </c>
      <c r="E66" s="112">
        <v>6.17</v>
      </c>
      <c r="F66" s="112">
        <v>5.12</v>
      </c>
      <c r="G66" s="112">
        <v>0.27</v>
      </c>
      <c r="H66" s="112">
        <v>0.02</v>
      </c>
      <c r="I66" s="112">
        <v>3.04</v>
      </c>
      <c r="J66" s="112">
        <v>0.74</v>
      </c>
      <c r="K66" s="112">
        <v>258.85000000000002</v>
      </c>
      <c r="L66" s="112">
        <v>27.41</v>
      </c>
      <c r="M66" s="112">
        <v>85.87</v>
      </c>
      <c r="N66" s="112">
        <v>179.8</v>
      </c>
      <c r="O66" s="112">
        <v>0</v>
      </c>
      <c r="P66" s="112">
        <v>0.44</v>
      </c>
      <c r="Q66" s="112">
        <v>5.55</v>
      </c>
    </row>
    <row r="67" spans="1:17" customFormat="1">
      <c r="A67" s="189" t="s">
        <v>969</v>
      </c>
      <c r="B67" s="112">
        <v>7.69</v>
      </c>
      <c r="C67" s="112">
        <v>16.34</v>
      </c>
      <c r="D67" s="112">
        <v>16.05</v>
      </c>
      <c r="E67" s="112">
        <v>6.06</v>
      </c>
      <c r="F67" s="112">
        <v>5.22</v>
      </c>
      <c r="G67" s="112">
        <v>0.27</v>
      </c>
      <c r="H67" s="112">
        <v>0.02</v>
      </c>
      <c r="I67" s="112">
        <v>3.05</v>
      </c>
      <c r="J67" s="112">
        <v>0.56000000000000005</v>
      </c>
      <c r="K67" s="112">
        <v>250.51</v>
      </c>
      <c r="L67" s="112">
        <v>27.49</v>
      </c>
      <c r="M67" s="112">
        <v>85.54</v>
      </c>
      <c r="N67" s="112">
        <v>158.9</v>
      </c>
      <c r="O67" s="112">
        <v>0</v>
      </c>
      <c r="P67" s="112">
        <v>0.44</v>
      </c>
      <c r="Q67" s="112">
        <v>5.54</v>
      </c>
    </row>
    <row r="68" spans="1:17" customFormat="1">
      <c r="A68" s="189" t="s">
        <v>970</v>
      </c>
      <c r="B68" s="112">
        <v>7.12</v>
      </c>
      <c r="C68" s="112">
        <v>16.100000000000001</v>
      </c>
      <c r="D68" s="112">
        <v>15.47</v>
      </c>
      <c r="E68" s="112">
        <v>6.17</v>
      </c>
      <c r="F68" s="112">
        <v>5.84</v>
      </c>
      <c r="G68" s="112">
        <v>2.08</v>
      </c>
      <c r="H68" s="112">
        <v>0.06</v>
      </c>
      <c r="I68" s="112">
        <v>3</v>
      </c>
      <c r="J68" s="112">
        <v>0.47</v>
      </c>
      <c r="K68" s="112">
        <v>246.6</v>
      </c>
      <c r="L68" s="112">
        <v>27.23</v>
      </c>
      <c r="M68" s="112">
        <v>85.87</v>
      </c>
      <c r="N68" s="112">
        <v>105.1</v>
      </c>
      <c r="O68" s="112">
        <v>0</v>
      </c>
      <c r="P68" s="112">
        <v>0.44</v>
      </c>
      <c r="Q68" s="112">
        <v>5.48</v>
      </c>
    </row>
    <row r="69" spans="1:17" customFormat="1">
      <c r="A69" s="189" t="s">
        <v>971</v>
      </c>
      <c r="B69" s="112">
        <v>6.97</v>
      </c>
      <c r="C69" s="112">
        <v>16.239999999999998</v>
      </c>
      <c r="D69" s="112">
        <v>15.42</v>
      </c>
      <c r="E69" s="112">
        <v>6.05</v>
      </c>
      <c r="F69" s="112">
        <v>5.51</v>
      </c>
      <c r="G69" s="112">
        <v>3.59</v>
      </c>
      <c r="H69" s="112">
        <v>0.08</v>
      </c>
      <c r="I69" s="112">
        <v>2.94</v>
      </c>
      <c r="J69" s="112">
        <v>0.42</v>
      </c>
      <c r="K69" s="112">
        <v>256.44</v>
      </c>
      <c r="L69" s="112">
        <v>27.17</v>
      </c>
      <c r="M69" s="112">
        <v>86.03</v>
      </c>
      <c r="N69" s="112">
        <v>141.4</v>
      </c>
      <c r="O69" s="112">
        <v>0</v>
      </c>
      <c r="P69" s="112">
        <v>0.44</v>
      </c>
      <c r="Q69" s="112">
        <v>5.49</v>
      </c>
    </row>
    <row r="70" spans="1:17" customFormat="1">
      <c r="A70" s="189" t="s">
        <v>972</v>
      </c>
      <c r="B70" s="112">
        <v>6.91</v>
      </c>
      <c r="C70" s="112">
        <v>16.579999999999998</v>
      </c>
      <c r="D70" s="112">
        <v>15.56</v>
      </c>
      <c r="E70" s="112">
        <v>6.13</v>
      </c>
      <c r="F70" s="112">
        <v>5.32</v>
      </c>
      <c r="G70" s="112">
        <v>3.59</v>
      </c>
      <c r="H70" s="112">
        <v>0.08</v>
      </c>
      <c r="I70" s="112">
        <v>2.86</v>
      </c>
      <c r="J70" s="112">
        <v>0.39</v>
      </c>
      <c r="K70" s="112">
        <v>244.27</v>
      </c>
      <c r="L70" s="112">
        <v>27.29</v>
      </c>
      <c r="M70" s="112">
        <v>86.07</v>
      </c>
      <c r="N70" s="112">
        <v>128.6</v>
      </c>
      <c r="O70" s="112">
        <v>0</v>
      </c>
      <c r="P70" s="112">
        <v>0.43</v>
      </c>
      <c r="Q70" s="112">
        <v>5.46</v>
      </c>
    </row>
    <row r="71" spans="1:17" customFormat="1">
      <c r="A71" s="189" t="s">
        <v>973</v>
      </c>
      <c r="B71" s="112">
        <v>7.01</v>
      </c>
      <c r="C71" s="112">
        <v>16.68</v>
      </c>
      <c r="D71" s="112">
        <v>15.69</v>
      </c>
      <c r="E71" s="112">
        <v>5.78</v>
      </c>
      <c r="F71" s="112">
        <v>4.9800000000000004</v>
      </c>
      <c r="G71" s="112">
        <v>3.59</v>
      </c>
      <c r="H71" s="112">
        <v>0.08</v>
      </c>
      <c r="I71" s="112">
        <v>2.88</v>
      </c>
      <c r="J71" s="112">
        <v>0.43</v>
      </c>
      <c r="K71" s="112">
        <v>254.2</v>
      </c>
      <c r="L71" s="112">
        <v>27.47</v>
      </c>
      <c r="M71" s="112">
        <v>85.45</v>
      </c>
      <c r="N71" s="112">
        <v>176.7</v>
      </c>
      <c r="O71" s="112">
        <v>0</v>
      </c>
      <c r="P71" s="112">
        <v>0.43</v>
      </c>
      <c r="Q71" s="112">
        <v>5.46</v>
      </c>
    </row>
    <row r="72" spans="1:17" customFormat="1">
      <c r="A72" s="189" t="s">
        <v>974</v>
      </c>
      <c r="B72" s="112">
        <v>7.08</v>
      </c>
      <c r="C72" s="112">
        <v>17.329999999999998</v>
      </c>
      <c r="D72" s="112">
        <v>16.079999999999998</v>
      </c>
      <c r="E72" s="112">
        <v>5.78</v>
      </c>
      <c r="F72" s="112">
        <v>4.68</v>
      </c>
      <c r="G72" s="112">
        <v>4.3499999999999996</v>
      </c>
      <c r="H72" s="112">
        <v>0.78</v>
      </c>
      <c r="I72" s="112">
        <v>2.85</v>
      </c>
      <c r="J72" s="112">
        <v>0.41</v>
      </c>
      <c r="K72" s="112">
        <v>252.24</v>
      </c>
      <c r="L72" s="112">
        <v>27.64</v>
      </c>
      <c r="M72" s="112">
        <v>84.19</v>
      </c>
      <c r="N72" s="112">
        <v>137.30000000000001</v>
      </c>
      <c r="O72" s="112">
        <v>0</v>
      </c>
      <c r="P72" s="112">
        <v>0.43</v>
      </c>
      <c r="Q72" s="112">
        <v>5.47</v>
      </c>
    </row>
    <row r="73" spans="1:17" customFormat="1">
      <c r="A73" s="189" t="s">
        <v>975</v>
      </c>
      <c r="B73" s="112">
        <v>7.22</v>
      </c>
      <c r="C73" s="112">
        <v>17.809999999999999</v>
      </c>
      <c r="D73" s="112">
        <v>16.45</v>
      </c>
      <c r="E73" s="112">
        <v>6.72</v>
      </c>
      <c r="F73" s="112">
        <v>4.6900000000000004</v>
      </c>
      <c r="G73" s="112">
        <v>5</v>
      </c>
      <c r="H73" s="112">
        <v>1.05</v>
      </c>
      <c r="I73" s="112">
        <v>2.88</v>
      </c>
      <c r="J73" s="112">
        <v>0.44</v>
      </c>
      <c r="K73" s="112">
        <v>254.83</v>
      </c>
      <c r="L73" s="112">
        <v>27.39</v>
      </c>
      <c r="M73" s="112">
        <v>84.77</v>
      </c>
      <c r="N73" s="112">
        <v>101.9</v>
      </c>
      <c r="O73" s="112">
        <v>0</v>
      </c>
      <c r="P73" s="112">
        <v>0.44</v>
      </c>
      <c r="Q73" s="112">
        <v>5.52</v>
      </c>
    </row>
    <row r="74" spans="1:17" customFormat="1">
      <c r="A74" s="189" t="s">
        <v>976</v>
      </c>
      <c r="B74" s="112">
        <v>7.25</v>
      </c>
      <c r="C74" s="112">
        <v>17.64</v>
      </c>
      <c r="D74" s="112">
        <v>16.38</v>
      </c>
      <c r="E74" s="112">
        <v>6.15</v>
      </c>
      <c r="F74" s="112">
        <v>4.87</v>
      </c>
      <c r="G74" s="112">
        <v>5</v>
      </c>
      <c r="H74" s="112">
        <v>1.05</v>
      </c>
      <c r="I74" s="112">
        <v>2.91</v>
      </c>
      <c r="J74" s="112">
        <v>0.54</v>
      </c>
      <c r="K74" s="112">
        <v>258.42</v>
      </c>
      <c r="L74" s="112">
        <v>27.41</v>
      </c>
      <c r="M74" s="112">
        <v>83.83</v>
      </c>
      <c r="N74" s="112">
        <v>76.099999999999994</v>
      </c>
      <c r="O74" s="112">
        <v>0</v>
      </c>
      <c r="P74" s="112">
        <v>0.44</v>
      </c>
      <c r="Q74" s="112">
        <v>5.53</v>
      </c>
    </row>
    <row r="75" spans="1:17" customFormat="1">
      <c r="A75" s="189" t="s">
        <v>977</v>
      </c>
      <c r="B75" s="112">
        <v>7.45</v>
      </c>
      <c r="C75" s="112">
        <v>17.11</v>
      </c>
      <c r="D75" s="112">
        <v>16.27</v>
      </c>
      <c r="E75" s="112">
        <v>6.26</v>
      </c>
      <c r="F75" s="112">
        <v>4.97</v>
      </c>
      <c r="G75" s="112">
        <v>5</v>
      </c>
      <c r="H75" s="112">
        <v>1.05</v>
      </c>
      <c r="I75" s="112">
        <v>2.89</v>
      </c>
      <c r="J75" s="112">
        <v>0.49</v>
      </c>
      <c r="K75" s="112">
        <v>252.66</v>
      </c>
      <c r="L75" s="112">
        <v>27.22</v>
      </c>
      <c r="M75" s="112">
        <v>83.92</v>
      </c>
      <c r="N75" s="112">
        <v>65.2</v>
      </c>
      <c r="O75" s="112">
        <v>0</v>
      </c>
      <c r="P75" s="112">
        <v>0.43</v>
      </c>
      <c r="Q75" s="112">
        <v>5.49</v>
      </c>
    </row>
    <row r="76" spans="1:17" customFormat="1">
      <c r="A76" s="189" t="s">
        <v>978</v>
      </c>
      <c r="B76" s="112">
        <v>7.42</v>
      </c>
      <c r="C76" s="112">
        <v>16.77</v>
      </c>
      <c r="D76" s="112">
        <v>16.059999999999999</v>
      </c>
      <c r="E76" s="112">
        <v>6.48</v>
      </c>
      <c r="F76" s="112">
        <v>5.27</v>
      </c>
      <c r="G76" s="112">
        <v>5.6</v>
      </c>
      <c r="H76" s="112">
        <v>2.15</v>
      </c>
      <c r="I76" s="112">
        <v>2.88</v>
      </c>
      <c r="J76" s="112">
        <v>0.52</v>
      </c>
      <c r="K76" s="112">
        <v>259.26</v>
      </c>
      <c r="L76" s="112">
        <v>27.13</v>
      </c>
      <c r="M76" s="112">
        <v>84.26</v>
      </c>
      <c r="N76" s="112">
        <v>61</v>
      </c>
      <c r="O76" s="112">
        <v>0</v>
      </c>
      <c r="P76" s="112">
        <v>0.42</v>
      </c>
      <c r="Q76" s="112">
        <v>5.52</v>
      </c>
    </row>
    <row r="77" spans="1:17" customFormat="1">
      <c r="A77" s="189" t="s">
        <v>979</v>
      </c>
      <c r="B77" s="112">
        <v>7.44</v>
      </c>
      <c r="C77" s="112">
        <v>16.5</v>
      </c>
      <c r="D77" s="112">
        <v>15.93</v>
      </c>
      <c r="E77" s="112">
        <v>6.33</v>
      </c>
      <c r="F77" s="112">
        <v>5.35</v>
      </c>
      <c r="G77" s="112">
        <v>6.1</v>
      </c>
      <c r="H77" s="112">
        <v>2.59</v>
      </c>
      <c r="I77" s="112">
        <v>2.87</v>
      </c>
      <c r="J77" s="112">
        <v>0.47</v>
      </c>
      <c r="K77" s="112">
        <v>257.37</v>
      </c>
      <c r="L77" s="112">
        <v>27.07</v>
      </c>
      <c r="M77" s="112">
        <v>85.13</v>
      </c>
      <c r="N77" s="112">
        <v>43.4</v>
      </c>
      <c r="O77" s="112">
        <v>0</v>
      </c>
      <c r="P77" s="112">
        <v>0.41</v>
      </c>
      <c r="Q77" s="112">
        <v>5.51</v>
      </c>
    </row>
    <row r="78" spans="1:17" customFormat="1">
      <c r="A78" s="189" t="s">
        <v>980</v>
      </c>
      <c r="B78" s="112">
        <v>7.47</v>
      </c>
      <c r="C78" s="112">
        <v>16.53</v>
      </c>
      <c r="D78" s="112">
        <v>15.97</v>
      </c>
      <c r="E78" s="112">
        <v>6.03</v>
      </c>
      <c r="F78" s="112">
        <v>5.18</v>
      </c>
      <c r="G78" s="112">
        <v>6.1</v>
      </c>
      <c r="H78" s="112">
        <v>2.59</v>
      </c>
      <c r="I78" s="112">
        <v>2.82</v>
      </c>
      <c r="J78" s="112">
        <v>0.48</v>
      </c>
      <c r="K78" s="112">
        <v>258.87</v>
      </c>
      <c r="L78" s="112">
        <v>27.01</v>
      </c>
      <c r="M78" s="112">
        <v>85.47</v>
      </c>
      <c r="N78" s="112">
        <v>34.1</v>
      </c>
      <c r="O78" s="112">
        <v>0</v>
      </c>
      <c r="P78" s="112">
        <v>0.41</v>
      </c>
      <c r="Q78" s="112">
        <v>5.48</v>
      </c>
    </row>
    <row r="79" spans="1:17" customFormat="1">
      <c r="A79" s="189" t="s">
        <v>981</v>
      </c>
      <c r="B79" s="112">
        <v>7.39</v>
      </c>
      <c r="C79" s="112">
        <v>16.28</v>
      </c>
      <c r="D79" s="112">
        <v>15.79</v>
      </c>
      <c r="E79" s="112">
        <v>6.26</v>
      </c>
      <c r="F79" s="112">
        <v>5.35</v>
      </c>
      <c r="G79" s="112">
        <v>6.1</v>
      </c>
      <c r="H79" s="112">
        <v>2.59</v>
      </c>
      <c r="I79" s="112">
        <v>2.83</v>
      </c>
      <c r="J79" s="112">
        <v>0.49</v>
      </c>
      <c r="K79" s="112">
        <v>252.54</v>
      </c>
      <c r="L79" s="112">
        <v>26.9</v>
      </c>
      <c r="M79" s="112">
        <v>85.37</v>
      </c>
      <c r="N79" s="112">
        <v>12.9</v>
      </c>
      <c r="O79" s="112">
        <v>0</v>
      </c>
      <c r="P79" s="112">
        <v>0.4</v>
      </c>
      <c r="Q79" s="112">
        <v>5.45</v>
      </c>
    </row>
    <row r="80" spans="1:17" customFormat="1">
      <c r="A80" s="189" t="s">
        <v>982</v>
      </c>
      <c r="B80" s="112">
        <v>6.95</v>
      </c>
      <c r="C80" s="112">
        <v>15.47</v>
      </c>
      <c r="D80" s="112">
        <v>15</v>
      </c>
      <c r="E80" s="112">
        <v>6.27</v>
      </c>
      <c r="F80" s="112">
        <v>6.65</v>
      </c>
      <c r="G80" s="112">
        <v>5.38</v>
      </c>
      <c r="H80" s="112">
        <v>2.97</v>
      </c>
      <c r="I80" s="112">
        <v>2.82</v>
      </c>
      <c r="J80" s="112">
        <v>0.36</v>
      </c>
      <c r="K80" s="112">
        <v>255.94</v>
      </c>
      <c r="L80" s="112">
        <v>26.59</v>
      </c>
      <c r="M80" s="112">
        <v>86.37</v>
      </c>
      <c r="N80" s="112">
        <v>0.9</v>
      </c>
      <c r="O80" s="112">
        <v>0</v>
      </c>
      <c r="P80" s="112">
        <v>0.39</v>
      </c>
      <c r="Q80" s="112">
        <v>5.47</v>
      </c>
    </row>
    <row r="81" spans="1:17" customFormat="1">
      <c r="A81" s="189" t="s">
        <v>983</v>
      </c>
      <c r="B81" s="112">
        <v>7.02</v>
      </c>
      <c r="C81" s="112">
        <v>15.45</v>
      </c>
      <c r="D81" s="112">
        <v>15.05</v>
      </c>
      <c r="E81" s="112">
        <v>7.22</v>
      </c>
      <c r="F81" s="112">
        <v>6.6</v>
      </c>
      <c r="G81" s="112">
        <v>4.75</v>
      </c>
      <c r="H81" s="112">
        <v>3.27</v>
      </c>
      <c r="I81" s="112">
        <v>2.76</v>
      </c>
      <c r="J81" s="112">
        <v>0.3</v>
      </c>
      <c r="K81" s="112">
        <v>250.12</v>
      </c>
      <c r="L81" s="112">
        <v>26.45</v>
      </c>
      <c r="M81" s="112">
        <v>86.82</v>
      </c>
      <c r="N81" s="112">
        <v>0</v>
      </c>
      <c r="O81" s="112">
        <v>0</v>
      </c>
      <c r="P81" s="112">
        <v>0.39</v>
      </c>
      <c r="Q81" s="112">
        <v>5.49</v>
      </c>
    </row>
    <row r="82" spans="1:17" customFormat="1">
      <c r="A82" s="189" t="s">
        <v>984</v>
      </c>
      <c r="B82" s="112">
        <v>6.89</v>
      </c>
      <c r="C82" s="112">
        <v>15.65</v>
      </c>
      <c r="D82" s="112">
        <v>15.05</v>
      </c>
      <c r="E82" s="112">
        <v>8.2899999999999991</v>
      </c>
      <c r="F82" s="112">
        <v>6.42</v>
      </c>
      <c r="G82" s="112">
        <v>4.75</v>
      </c>
      <c r="H82" s="112">
        <v>3.27</v>
      </c>
      <c r="I82" s="112">
        <v>2.68</v>
      </c>
      <c r="J82" s="112">
        <v>0.24</v>
      </c>
      <c r="K82" s="112">
        <v>246</v>
      </c>
      <c r="L82" s="112">
        <v>26.25</v>
      </c>
      <c r="M82" s="112">
        <v>88.75</v>
      </c>
      <c r="N82" s="112">
        <v>0</v>
      </c>
      <c r="O82" s="112">
        <v>0</v>
      </c>
      <c r="P82" s="112">
        <v>0.38</v>
      </c>
      <c r="Q82" s="112">
        <v>5.47</v>
      </c>
    </row>
    <row r="83" spans="1:17" customFormat="1">
      <c r="A83" s="189" t="s">
        <v>985</v>
      </c>
      <c r="B83" s="112">
        <v>7.46</v>
      </c>
      <c r="C83" s="112">
        <v>18.309999999999999</v>
      </c>
      <c r="D83" s="112">
        <v>16.899999999999999</v>
      </c>
      <c r="E83" s="112">
        <v>8.9700000000000006</v>
      </c>
      <c r="F83" s="112">
        <v>4.3600000000000003</v>
      </c>
      <c r="G83" s="112">
        <v>4.75</v>
      </c>
      <c r="H83" s="112">
        <v>3.27</v>
      </c>
      <c r="I83" s="112">
        <v>2.7</v>
      </c>
      <c r="J83" s="112">
        <v>0.31</v>
      </c>
      <c r="K83" s="112">
        <v>253.56</v>
      </c>
      <c r="L83" s="112">
        <v>26.15</v>
      </c>
      <c r="M83" s="112">
        <v>88.47</v>
      </c>
      <c r="N83" s="112">
        <v>0</v>
      </c>
      <c r="O83" s="112">
        <v>0</v>
      </c>
      <c r="P83" s="112">
        <v>0.42</v>
      </c>
      <c r="Q83" s="112">
        <v>5.49</v>
      </c>
    </row>
    <row r="84" spans="1:17" customFormat="1">
      <c r="A84" s="189" t="s">
        <v>986</v>
      </c>
      <c r="B84" s="112">
        <v>7.69</v>
      </c>
      <c r="C84" s="112">
        <v>17.8</v>
      </c>
      <c r="D84" s="112">
        <v>16.82</v>
      </c>
      <c r="E84" s="112">
        <v>8.4499999999999993</v>
      </c>
      <c r="F84" s="112">
        <v>5.0599999999999996</v>
      </c>
      <c r="G84" s="112">
        <v>4.07</v>
      </c>
      <c r="H84" s="112">
        <v>2.81</v>
      </c>
      <c r="I84" s="112">
        <v>2.74</v>
      </c>
      <c r="J84" s="112">
        <v>0.28999999999999998</v>
      </c>
      <c r="K84" s="112">
        <v>258.16000000000003</v>
      </c>
      <c r="L84" s="112">
        <v>26.08</v>
      </c>
      <c r="M84" s="112">
        <v>88.54</v>
      </c>
      <c r="N84" s="112">
        <v>0</v>
      </c>
      <c r="O84" s="112">
        <v>0</v>
      </c>
      <c r="P84" s="112">
        <v>0.43</v>
      </c>
      <c r="Q84" s="112">
        <v>5.54</v>
      </c>
    </row>
    <row r="85" spans="1:17" customFormat="1">
      <c r="A85" s="189" t="s">
        <v>987</v>
      </c>
      <c r="B85" s="112">
        <v>7.64</v>
      </c>
      <c r="C85" s="112">
        <v>16.82</v>
      </c>
      <c r="D85" s="112">
        <v>16.27</v>
      </c>
      <c r="E85" s="112">
        <v>8.91</v>
      </c>
      <c r="F85" s="112">
        <v>5.8</v>
      </c>
      <c r="G85" s="112">
        <v>3.49</v>
      </c>
      <c r="H85" s="112">
        <v>2.63</v>
      </c>
      <c r="I85" s="112">
        <v>2.91</v>
      </c>
      <c r="J85" s="112">
        <v>0.23</v>
      </c>
      <c r="K85" s="112">
        <v>259.66000000000003</v>
      </c>
      <c r="L85" s="112">
        <v>26.01</v>
      </c>
      <c r="M85" s="112">
        <v>89.24</v>
      </c>
      <c r="N85" s="112">
        <v>0</v>
      </c>
      <c r="O85" s="112">
        <v>0</v>
      </c>
      <c r="P85" s="112">
        <v>0.42</v>
      </c>
      <c r="Q85" s="112">
        <v>5.51</v>
      </c>
    </row>
    <row r="86" spans="1:17" customFormat="1">
      <c r="A86" s="189" t="s">
        <v>988</v>
      </c>
      <c r="B86" s="112">
        <v>7.65</v>
      </c>
      <c r="C86" s="112">
        <v>15.86</v>
      </c>
      <c r="D86" s="112">
        <v>15.77</v>
      </c>
      <c r="E86" s="112">
        <v>8.52</v>
      </c>
      <c r="F86" s="112">
        <v>6.21</v>
      </c>
      <c r="G86" s="112">
        <v>3.49</v>
      </c>
      <c r="H86" s="112">
        <v>2.63</v>
      </c>
      <c r="I86" s="112">
        <v>2.86</v>
      </c>
      <c r="J86" s="112">
        <v>0.17</v>
      </c>
      <c r="K86" s="112">
        <v>245.24</v>
      </c>
      <c r="L86" s="112">
        <v>26</v>
      </c>
      <c r="M86" s="112">
        <v>89.81</v>
      </c>
      <c r="N86" s="112">
        <v>0</v>
      </c>
      <c r="O86" s="112">
        <v>0</v>
      </c>
      <c r="P86" s="112">
        <v>0.41</v>
      </c>
      <c r="Q86" s="112">
        <v>5.47</v>
      </c>
    </row>
    <row r="87" spans="1:17" customFormat="1">
      <c r="A87" s="189" t="s">
        <v>989</v>
      </c>
      <c r="B87" s="112">
        <v>7.34</v>
      </c>
      <c r="C87" s="112">
        <v>14.77</v>
      </c>
      <c r="D87" s="112">
        <v>14.95</v>
      </c>
      <c r="E87" s="112">
        <v>8.49</v>
      </c>
      <c r="F87" s="112">
        <v>7.19</v>
      </c>
      <c r="G87" s="112">
        <v>3.49</v>
      </c>
      <c r="H87" s="112">
        <v>2.63</v>
      </c>
      <c r="I87" s="112">
        <v>2.81</v>
      </c>
      <c r="J87" s="112">
        <v>0.06</v>
      </c>
      <c r="K87" s="112">
        <v>218.39</v>
      </c>
      <c r="L87" s="112">
        <v>25.97</v>
      </c>
      <c r="M87" s="112">
        <v>90.16</v>
      </c>
      <c r="N87" s="112">
        <v>0</v>
      </c>
      <c r="O87" s="112">
        <v>0</v>
      </c>
      <c r="P87" s="112">
        <v>0.4</v>
      </c>
      <c r="Q87" s="112">
        <v>5.48</v>
      </c>
    </row>
    <row r="88" spans="1:17" customFormat="1">
      <c r="A88" s="189" t="s">
        <v>990</v>
      </c>
      <c r="B88" s="112">
        <v>7.4</v>
      </c>
      <c r="C88" s="112">
        <v>15.14</v>
      </c>
      <c r="D88" s="112">
        <v>15.19</v>
      </c>
      <c r="E88" s="112">
        <v>8.58</v>
      </c>
      <c r="F88" s="112">
        <v>6.9</v>
      </c>
      <c r="G88" s="112">
        <v>4.18</v>
      </c>
      <c r="H88" s="112">
        <v>2.31</v>
      </c>
      <c r="I88" s="112">
        <v>2.78</v>
      </c>
      <c r="J88" s="112">
        <v>0.15</v>
      </c>
      <c r="K88" s="112">
        <v>255.64</v>
      </c>
      <c r="L88" s="112">
        <v>26.05</v>
      </c>
      <c r="M88" s="112">
        <v>89.81</v>
      </c>
      <c r="N88" s="112">
        <v>0</v>
      </c>
      <c r="O88" s="112">
        <v>0</v>
      </c>
      <c r="P88" s="112">
        <v>0.4</v>
      </c>
      <c r="Q88" s="112">
        <v>5.49</v>
      </c>
    </row>
    <row r="89" spans="1:17" customFormat="1">
      <c r="A89" s="189" t="s">
        <v>991</v>
      </c>
      <c r="B89" s="112">
        <v>8.1199999999999992</v>
      </c>
      <c r="C89" s="112">
        <v>18.37</v>
      </c>
      <c r="D89" s="112">
        <v>17.47</v>
      </c>
      <c r="E89" s="112">
        <v>8.92</v>
      </c>
      <c r="F89" s="112">
        <v>4.59</v>
      </c>
      <c r="G89" s="112">
        <v>4.7699999999999996</v>
      </c>
      <c r="H89" s="112">
        <v>2.1800000000000002</v>
      </c>
      <c r="I89" s="112">
        <v>2.74</v>
      </c>
      <c r="J89" s="112">
        <v>0.21</v>
      </c>
      <c r="K89" s="112">
        <v>240.78</v>
      </c>
      <c r="L89" s="112">
        <v>26.07</v>
      </c>
      <c r="M89" s="112">
        <v>89.85</v>
      </c>
      <c r="N89" s="112">
        <v>0</v>
      </c>
      <c r="O89" s="112">
        <v>0</v>
      </c>
      <c r="P89" s="112">
        <v>0.44</v>
      </c>
      <c r="Q89" s="112">
        <v>5.58</v>
      </c>
    </row>
    <row r="90" spans="1:17" customFormat="1">
      <c r="A90" s="189" t="s">
        <v>992</v>
      </c>
      <c r="B90" s="112">
        <v>8.33</v>
      </c>
      <c r="C90" s="112">
        <v>17.55</v>
      </c>
      <c r="D90" s="112">
        <v>17.2</v>
      </c>
      <c r="E90" s="112">
        <v>8.9700000000000006</v>
      </c>
      <c r="F90" s="112">
        <v>5.32</v>
      </c>
      <c r="G90" s="112">
        <v>4.7699999999999996</v>
      </c>
      <c r="H90" s="112">
        <v>2.1800000000000002</v>
      </c>
      <c r="I90" s="112">
        <v>2.81</v>
      </c>
      <c r="J90" s="112">
        <v>0.15</v>
      </c>
      <c r="K90" s="112">
        <v>234.49</v>
      </c>
      <c r="L90" s="112">
        <v>26.13</v>
      </c>
      <c r="M90" s="112">
        <v>89.11</v>
      </c>
      <c r="N90" s="112">
        <v>0</v>
      </c>
      <c r="O90" s="112">
        <v>0</v>
      </c>
      <c r="P90" s="112">
        <v>0.43</v>
      </c>
      <c r="Q90" s="112">
        <v>5.56</v>
      </c>
    </row>
    <row r="91" spans="1:17" customFormat="1">
      <c r="A91" s="189" t="s">
        <v>993</v>
      </c>
      <c r="B91" s="112">
        <v>8.48</v>
      </c>
      <c r="C91" s="112">
        <v>16.89</v>
      </c>
      <c r="D91" s="112">
        <v>16.98</v>
      </c>
      <c r="E91" s="112">
        <v>9.02</v>
      </c>
      <c r="F91" s="112">
        <v>5.46</v>
      </c>
      <c r="G91" s="112">
        <v>4.7699999999999996</v>
      </c>
      <c r="H91" s="112">
        <v>2.1800000000000002</v>
      </c>
      <c r="I91" s="112">
        <v>2.98</v>
      </c>
      <c r="J91" s="112">
        <v>0.21</v>
      </c>
      <c r="K91" s="112">
        <v>239.53</v>
      </c>
      <c r="L91" s="112">
        <v>26.13</v>
      </c>
      <c r="M91" s="112">
        <v>89.06</v>
      </c>
      <c r="N91" s="112">
        <v>0</v>
      </c>
      <c r="O91" s="112">
        <v>0</v>
      </c>
      <c r="P91" s="112">
        <v>0.43</v>
      </c>
      <c r="Q91" s="112">
        <v>5.52</v>
      </c>
    </row>
    <row r="92" spans="1:17" customFormat="1">
      <c r="A92" s="189" t="s">
        <v>994</v>
      </c>
      <c r="B92" s="112">
        <v>8.48</v>
      </c>
      <c r="C92" s="112">
        <v>17.28</v>
      </c>
      <c r="D92" s="112">
        <v>17.18</v>
      </c>
      <c r="E92" s="112">
        <v>9.0399999999999991</v>
      </c>
      <c r="F92" s="112">
        <v>5.58</v>
      </c>
      <c r="G92" s="112">
        <v>5.47</v>
      </c>
      <c r="H92" s="112">
        <v>1.94</v>
      </c>
      <c r="I92" s="112">
        <v>2.92</v>
      </c>
      <c r="J92" s="112">
        <v>0.24</v>
      </c>
      <c r="K92" s="112">
        <v>244.62</v>
      </c>
      <c r="L92" s="112">
        <v>26.09</v>
      </c>
      <c r="M92" s="112">
        <v>89.32</v>
      </c>
      <c r="N92" s="112">
        <v>0</v>
      </c>
      <c r="O92" s="112">
        <v>0</v>
      </c>
      <c r="P92" s="112">
        <v>0.46</v>
      </c>
      <c r="Q92" s="112">
        <v>5.54</v>
      </c>
    </row>
    <row r="93" spans="1:17" customFormat="1">
      <c r="A93" s="189" t="s">
        <v>995</v>
      </c>
      <c r="B93" s="112">
        <v>8.4499999999999993</v>
      </c>
      <c r="C93" s="112">
        <v>16.28</v>
      </c>
      <c r="D93" s="112">
        <v>16.63</v>
      </c>
      <c r="E93" s="112">
        <v>8.76</v>
      </c>
      <c r="F93" s="112">
        <v>6.12</v>
      </c>
      <c r="G93" s="112">
        <v>6.08</v>
      </c>
      <c r="H93" s="112">
        <v>1.85</v>
      </c>
      <c r="I93" s="112">
        <v>2.92</v>
      </c>
      <c r="J93" s="112">
        <v>0.26</v>
      </c>
      <c r="K93" s="112">
        <v>259.08999999999997</v>
      </c>
      <c r="L93" s="112">
        <v>26.08</v>
      </c>
      <c r="M93" s="112">
        <v>89.56</v>
      </c>
      <c r="N93" s="112">
        <v>0</v>
      </c>
      <c r="O93" s="112">
        <v>0</v>
      </c>
      <c r="P93" s="112">
        <v>0.43</v>
      </c>
      <c r="Q93" s="112">
        <v>5.54</v>
      </c>
    </row>
    <row r="94" spans="1:17" customFormat="1">
      <c r="A94" s="189" t="s">
        <v>996</v>
      </c>
      <c r="B94" s="112">
        <v>8.18</v>
      </c>
      <c r="C94" s="112">
        <v>15.1</v>
      </c>
      <c r="D94" s="112">
        <v>15.81</v>
      </c>
      <c r="E94" s="112">
        <v>8.9700000000000006</v>
      </c>
      <c r="F94" s="112">
        <v>6.46</v>
      </c>
      <c r="G94" s="112">
        <v>6.08</v>
      </c>
      <c r="H94" s="112">
        <v>1.85</v>
      </c>
      <c r="I94" s="112">
        <v>2.94</v>
      </c>
      <c r="J94" s="112">
        <v>0.33</v>
      </c>
      <c r="K94" s="112">
        <v>253.28</v>
      </c>
      <c r="L94" s="112">
        <v>26.02</v>
      </c>
      <c r="M94" s="112">
        <v>88.79</v>
      </c>
      <c r="N94" s="112">
        <v>0</v>
      </c>
      <c r="O94" s="112">
        <v>0</v>
      </c>
      <c r="P94" s="112">
        <v>0.42</v>
      </c>
      <c r="Q94" s="112">
        <v>5.52</v>
      </c>
    </row>
    <row r="95" spans="1:17" customFormat="1">
      <c r="A95" s="189" t="s">
        <v>997</v>
      </c>
      <c r="B95" s="112">
        <v>8.23</v>
      </c>
      <c r="C95" s="112">
        <v>15.31</v>
      </c>
      <c r="D95" s="112">
        <v>15.95</v>
      </c>
      <c r="E95" s="112">
        <v>8.83</v>
      </c>
      <c r="F95" s="112">
        <v>6.52</v>
      </c>
      <c r="G95" s="112">
        <v>6.08</v>
      </c>
      <c r="H95" s="112">
        <v>1.85</v>
      </c>
      <c r="I95" s="112">
        <v>2.9</v>
      </c>
      <c r="J95" s="112">
        <v>0.28000000000000003</v>
      </c>
      <c r="K95" s="112">
        <v>258.29000000000002</v>
      </c>
      <c r="L95" s="112">
        <v>25.96</v>
      </c>
      <c r="M95" s="112">
        <v>89.07</v>
      </c>
      <c r="N95" s="112">
        <v>0</v>
      </c>
      <c r="O95" s="112">
        <v>0</v>
      </c>
      <c r="P95" s="112">
        <v>0.4</v>
      </c>
      <c r="Q95" s="112">
        <v>5.47</v>
      </c>
    </row>
    <row r="96" spans="1:17" customFormat="1">
      <c r="A96" s="189" t="s">
        <v>998</v>
      </c>
      <c r="B96" s="112">
        <v>8.16</v>
      </c>
      <c r="C96" s="112">
        <v>16.22</v>
      </c>
      <c r="D96" s="112">
        <v>16.37</v>
      </c>
      <c r="E96" s="112">
        <v>8.94</v>
      </c>
      <c r="F96" s="112">
        <v>6.09</v>
      </c>
      <c r="G96" s="112">
        <v>5.87</v>
      </c>
      <c r="H96" s="112">
        <v>1.7</v>
      </c>
      <c r="I96" s="112">
        <v>2.83</v>
      </c>
      <c r="J96" s="112">
        <v>0.3</v>
      </c>
      <c r="K96" s="112">
        <v>252.41</v>
      </c>
      <c r="L96" s="112">
        <v>25.84</v>
      </c>
      <c r="M96" s="112">
        <v>89.42</v>
      </c>
      <c r="N96" s="112">
        <v>0</v>
      </c>
      <c r="O96" s="112">
        <v>0</v>
      </c>
      <c r="P96" s="112">
        <v>0.41</v>
      </c>
      <c r="Q96" s="112">
        <v>5.53</v>
      </c>
    </row>
    <row r="97" spans="1:22" customFormat="1">
      <c r="A97" s="189" t="s">
        <v>999</v>
      </c>
      <c r="B97" s="112">
        <v>8.61</v>
      </c>
      <c r="C97" s="112">
        <v>18.03</v>
      </c>
      <c r="D97" s="112">
        <v>17.670000000000002</v>
      </c>
      <c r="E97" s="112">
        <v>9.8000000000000007</v>
      </c>
      <c r="F97" s="112">
        <v>4.5</v>
      </c>
      <c r="G97" s="112">
        <v>5.68</v>
      </c>
      <c r="H97" s="112">
        <v>1.64</v>
      </c>
      <c r="I97" s="112">
        <v>2.87</v>
      </c>
      <c r="J97" s="112">
        <v>0.34</v>
      </c>
      <c r="K97" s="112">
        <v>253.68</v>
      </c>
      <c r="L97" s="112">
        <v>25.72</v>
      </c>
      <c r="M97" s="112">
        <v>89.17</v>
      </c>
      <c r="N97" s="112">
        <v>0</v>
      </c>
      <c r="O97" s="112">
        <v>0</v>
      </c>
      <c r="P97" s="112">
        <v>0.43</v>
      </c>
      <c r="Q97" s="112">
        <v>5.58</v>
      </c>
    </row>
    <row r="98" spans="1:22" customFormat="1">
      <c r="A98" s="189" t="s">
        <v>1000</v>
      </c>
      <c r="B98" s="112">
        <v>8.73</v>
      </c>
      <c r="C98" s="112">
        <v>17.14</v>
      </c>
      <c r="D98" s="112">
        <v>17.309999999999999</v>
      </c>
      <c r="E98" s="112">
        <v>9.26</v>
      </c>
      <c r="F98" s="112">
        <v>5.03</v>
      </c>
      <c r="G98" s="112">
        <v>5.68</v>
      </c>
      <c r="H98" s="112">
        <v>1.64</v>
      </c>
      <c r="I98" s="112">
        <v>2.91</v>
      </c>
      <c r="J98" s="112">
        <v>0.33</v>
      </c>
      <c r="K98" s="112">
        <v>239.32</v>
      </c>
      <c r="L98" s="112">
        <v>25.65</v>
      </c>
      <c r="M98" s="112">
        <v>89.46</v>
      </c>
      <c r="N98" s="112">
        <v>0</v>
      </c>
      <c r="O98" s="112">
        <v>0</v>
      </c>
      <c r="P98" s="112">
        <v>0.42</v>
      </c>
      <c r="Q98" s="112">
        <v>5.55</v>
      </c>
    </row>
    <row r="99" spans="1:22" customFormat="1">
      <c r="A99" s="189" t="s">
        <v>1001</v>
      </c>
      <c r="B99" s="112">
        <v>8.58</v>
      </c>
      <c r="C99" s="112">
        <v>16.18</v>
      </c>
      <c r="D99" s="112">
        <v>16.690000000000001</v>
      </c>
      <c r="E99" s="112">
        <v>8.9700000000000006</v>
      </c>
      <c r="F99" s="112">
        <v>5.56</v>
      </c>
      <c r="G99" s="112">
        <v>5.68</v>
      </c>
      <c r="H99" s="112">
        <v>1.64</v>
      </c>
      <c r="I99" s="112">
        <v>3</v>
      </c>
      <c r="J99" s="112">
        <v>0.31</v>
      </c>
      <c r="K99" s="112">
        <v>257.57</v>
      </c>
      <c r="L99" s="112">
        <v>25.59</v>
      </c>
      <c r="M99" s="112">
        <v>89.97</v>
      </c>
      <c r="N99" s="112">
        <v>0</v>
      </c>
      <c r="O99" s="112">
        <v>0</v>
      </c>
      <c r="P99" s="112">
        <v>0.4</v>
      </c>
      <c r="Q99" s="112">
        <v>5.51</v>
      </c>
    </row>
    <row r="100" spans="1:22" customFormat="1">
      <c r="A100" s="189" t="s">
        <v>1002</v>
      </c>
      <c r="B100" s="112">
        <v>8.42</v>
      </c>
      <c r="C100" s="112">
        <v>15.49</v>
      </c>
      <c r="D100" s="112">
        <v>16.2</v>
      </c>
      <c r="E100" s="112">
        <v>9.15</v>
      </c>
      <c r="F100" s="112">
        <v>5.98</v>
      </c>
      <c r="G100" s="112">
        <v>7.5</v>
      </c>
      <c r="H100" s="112">
        <v>3.17</v>
      </c>
      <c r="I100" s="112">
        <v>2.92</v>
      </c>
      <c r="J100" s="112">
        <v>0.28000000000000003</v>
      </c>
      <c r="K100" s="112">
        <v>258.67</v>
      </c>
      <c r="L100" s="112">
        <v>25.57</v>
      </c>
      <c r="M100" s="112">
        <v>89.46</v>
      </c>
      <c r="N100" s="112">
        <v>0</v>
      </c>
      <c r="O100" s="112">
        <v>0</v>
      </c>
      <c r="P100" s="112">
        <v>0.4</v>
      </c>
      <c r="Q100" s="112">
        <v>5.46</v>
      </c>
    </row>
    <row r="101" spans="1:22" customFormat="1">
      <c r="A101" s="189" t="s">
        <v>1003</v>
      </c>
      <c r="B101" s="112">
        <v>8.9</v>
      </c>
      <c r="C101" s="112">
        <v>17.95</v>
      </c>
      <c r="D101" s="112">
        <v>17.87</v>
      </c>
      <c r="E101" s="112">
        <v>9.4</v>
      </c>
      <c r="F101" s="112">
        <v>4.2</v>
      </c>
      <c r="G101" s="112">
        <v>9.01</v>
      </c>
      <c r="H101" s="112">
        <v>3.78</v>
      </c>
      <c r="I101" s="112">
        <v>2.86</v>
      </c>
      <c r="J101" s="112">
        <v>0.23</v>
      </c>
      <c r="K101" s="112">
        <v>234.08</v>
      </c>
      <c r="L101" s="112">
        <v>25.44</v>
      </c>
      <c r="M101" s="112">
        <v>90.04</v>
      </c>
      <c r="N101" s="112">
        <v>0</v>
      </c>
      <c r="O101" s="112">
        <v>0</v>
      </c>
      <c r="P101" s="112">
        <v>0.43</v>
      </c>
      <c r="Q101" s="112">
        <v>5.53</v>
      </c>
    </row>
    <row r="102" spans="1:22" customFormat="1">
      <c r="A102" s="189" t="s">
        <v>1004</v>
      </c>
      <c r="B102" s="112">
        <v>9.11</v>
      </c>
      <c r="C102" s="112">
        <v>17.28</v>
      </c>
      <c r="D102" s="112">
        <v>17.68</v>
      </c>
      <c r="E102" s="112">
        <v>9.57</v>
      </c>
      <c r="F102" s="112">
        <v>4.71</v>
      </c>
      <c r="G102" s="112">
        <v>9.01</v>
      </c>
      <c r="H102" s="112">
        <v>3.78</v>
      </c>
      <c r="I102" s="112">
        <v>2.86</v>
      </c>
      <c r="J102" s="112">
        <v>0.21</v>
      </c>
      <c r="K102" s="112">
        <v>254.82</v>
      </c>
      <c r="L102" s="112">
        <v>25.4</v>
      </c>
      <c r="M102" s="112">
        <v>90.4</v>
      </c>
      <c r="N102" s="112">
        <v>0</v>
      </c>
      <c r="O102" s="112">
        <v>0</v>
      </c>
      <c r="P102" s="112">
        <v>0.42</v>
      </c>
      <c r="Q102" s="112">
        <v>5.55</v>
      </c>
    </row>
    <row r="103" spans="1:22" customFormat="1">
      <c r="A103" s="189" t="s">
        <v>1005</v>
      </c>
      <c r="B103" s="112">
        <v>9.0299999999999994</v>
      </c>
      <c r="C103" s="112">
        <v>15.79</v>
      </c>
      <c r="D103" s="112">
        <v>16.850000000000001</v>
      </c>
      <c r="E103" s="112">
        <v>9.31</v>
      </c>
      <c r="F103" s="112">
        <v>5.47</v>
      </c>
      <c r="G103" s="112">
        <v>9.01</v>
      </c>
      <c r="H103" s="112">
        <v>3.78</v>
      </c>
      <c r="I103" s="112">
        <v>3.01</v>
      </c>
      <c r="J103" s="112">
        <v>0.2</v>
      </c>
      <c r="K103" s="112">
        <v>247.05</v>
      </c>
      <c r="L103" s="112">
        <v>25.4</v>
      </c>
      <c r="M103" s="112">
        <v>90.51</v>
      </c>
      <c r="N103" s="112">
        <v>0</v>
      </c>
      <c r="O103" s="112">
        <v>0</v>
      </c>
      <c r="P103" s="112">
        <v>0.4</v>
      </c>
      <c r="Q103" s="112">
        <v>5.54</v>
      </c>
    </row>
    <row r="104" spans="1:22" customFormat="1">
      <c r="A104" s="189" t="s">
        <v>1006</v>
      </c>
      <c r="B104" s="112">
        <v>8.8000000000000007</v>
      </c>
      <c r="C104" s="112">
        <v>15.4</v>
      </c>
      <c r="D104" s="112">
        <v>16.45</v>
      </c>
      <c r="E104" s="112">
        <v>9.44</v>
      </c>
      <c r="F104" s="112">
        <v>5.99</v>
      </c>
      <c r="G104" s="112">
        <v>7.78</v>
      </c>
      <c r="H104" s="112">
        <v>4.22</v>
      </c>
      <c r="I104" s="112">
        <v>2.92</v>
      </c>
      <c r="J104" s="112">
        <v>0.28000000000000003</v>
      </c>
      <c r="K104" s="112">
        <v>255.35</v>
      </c>
      <c r="L104" s="112">
        <v>25.45</v>
      </c>
      <c r="M104" s="112">
        <v>89.81</v>
      </c>
      <c r="N104" s="112">
        <v>0</v>
      </c>
      <c r="O104" s="112">
        <v>0</v>
      </c>
      <c r="P104" s="112">
        <v>0.4</v>
      </c>
      <c r="Q104" s="112">
        <v>5.5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6.89</v>
      </c>
      <c r="C106" s="183">
        <f>MIN(C9:C104)</f>
        <v>14.09</v>
      </c>
      <c r="D106" s="183">
        <f t="shared" ref="D106:Q106" si="0">MIN(D9:D104)</f>
        <v>14.95</v>
      </c>
      <c r="E106" s="183">
        <f t="shared" si="0"/>
        <v>5.78</v>
      </c>
      <c r="F106" s="183">
        <f t="shared" si="0"/>
        <v>3.86</v>
      </c>
      <c r="G106" s="183">
        <f t="shared" si="0"/>
        <v>0.27</v>
      </c>
      <c r="H106" s="183">
        <f t="shared" si="0"/>
        <v>0.02</v>
      </c>
      <c r="I106" s="183">
        <f t="shared" si="0"/>
        <v>2.68</v>
      </c>
      <c r="J106" s="183">
        <f t="shared" si="0"/>
        <v>-0.1</v>
      </c>
      <c r="K106" s="183">
        <f t="shared" si="0"/>
        <v>-0.08</v>
      </c>
      <c r="L106" s="183">
        <f t="shared" si="0"/>
        <v>24.77</v>
      </c>
      <c r="M106" s="183">
        <f t="shared" si="0"/>
        <v>83.83</v>
      </c>
      <c r="N106" s="183">
        <f t="shared" si="0"/>
        <v>0</v>
      </c>
      <c r="O106" s="183">
        <f t="shared" si="0"/>
        <v>0</v>
      </c>
      <c r="P106" s="183">
        <f t="shared" si="0"/>
        <v>0.38</v>
      </c>
      <c r="Q106" s="183">
        <f t="shared" si="0"/>
        <v>5.45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11.91</v>
      </c>
      <c r="C107" s="184">
        <f t="shared" ref="C107:Q107" si="1">MAX(C9:C104)</f>
        <v>18.37</v>
      </c>
      <c r="D107" s="184">
        <f t="shared" si="1"/>
        <v>19.46</v>
      </c>
      <c r="E107" s="184">
        <f t="shared" si="1"/>
        <v>9.8000000000000007</v>
      </c>
      <c r="F107" s="184">
        <f t="shared" si="1"/>
        <v>8.08</v>
      </c>
      <c r="G107" s="184">
        <f t="shared" si="1"/>
        <v>9.01</v>
      </c>
      <c r="H107" s="184">
        <f t="shared" si="1"/>
        <v>4.22</v>
      </c>
      <c r="I107" s="184">
        <f t="shared" si="1"/>
        <v>3.46</v>
      </c>
      <c r="J107" s="184">
        <f t="shared" si="1"/>
        <v>0.87</v>
      </c>
      <c r="K107" s="184">
        <f t="shared" si="1"/>
        <v>276.02999999999997</v>
      </c>
      <c r="L107" s="184">
        <f t="shared" si="1"/>
        <v>28.23</v>
      </c>
      <c r="M107" s="184">
        <f t="shared" si="1"/>
        <v>98.32</v>
      </c>
      <c r="N107" s="184">
        <f t="shared" si="1"/>
        <v>422.1</v>
      </c>
      <c r="O107" s="184">
        <f t="shared" si="1"/>
        <v>0.4</v>
      </c>
      <c r="P107" s="184">
        <f t="shared" si="1"/>
        <v>0.49</v>
      </c>
      <c r="Q107" s="184">
        <f t="shared" si="1"/>
        <v>5.64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9.412842105263163</v>
      </c>
      <c r="C108" s="183">
        <f t="shared" ref="C108:Q108" si="2">AVERAGE(C9:C104)</f>
        <v>15.902947368421055</v>
      </c>
      <c r="D108" s="183">
        <f t="shared" si="2"/>
        <v>17.208631578947372</v>
      </c>
      <c r="E108" s="183">
        <f t="shared" si="2"/>
        <v>7.5636842105263149</v>
      </c>
      <c r="F108" s="183">
        <f t="shared" si="2"/>
        <v>5.2153684210526308</v>
      </c>
      <c r="G108" s="183">
        <f t="shared" si="2"/>
        <v>5.0534523809523808</v>
      </c>
      <c r="H108" s="183">
        <f t="shared" si="2"/>
        <v>1.8905952380952367</v>
      </c>
      <c r="I108" s="183">
        <f t="shared" si="2"/>
        <v>3.0730526315789484</v>
      </c>
      <c r="J108" s="183">
        <f t="shared" si="2"/>
        <v>0.26368421052631569</v>
      </c>
      <c r="K108" s="183">
        <f t="shared" si="2"/>
        <v>237.73915789473682</v>
      </c>
      <c r="L108" s="183">
        <f t="shared" si="2"/>
        <v>26.163789473684229</v>
      </c>
      <c r="M108" s="183">
        <f t="shared" si="2"/>
        <v>91.357473684210532</v>
      </c>
      <c r="N108" s="183">
        <f t="shared" si="2"/>
        <v>63.557894736842108</v>
      </c>
      <c r="O108" s="183">
        <f t="shared" si="2"/>
        <v>8.4210526315789472E-3</v>
      </c>
      <c r="P108" s="183">
        <f t="shared" si="2"/>
        <v>0.43052631578947359</v>
      </c>
      <c r="Q108" s="183">
        <f t="shared" si="2"/>
        <v>5.5397894736842117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1.6202729367910675</v>
      </c>
      <c r="C109" s="183">
        <f t="shared" ref="C109:Q109" si="3">STDEV(C9:C104)</f>
        <v>1.0327507924606236</v>
      </c>
      <c r="D109" s="183">
        <f t="shared" si="3"/>
        <v>1.1795460815781984</v>
      </c>
      <c r="E109" s="183">
        <f t="shared" si="3"/>
        <v>1.0087247612193126</v>
      </c>
      <c r="F109" s="183">
        <f t="shared" si="3"/>
        <v>0.76131299030355692</v>
      </c>
      <c r="G109" s="183">
        <f t="shared" si="3"/>
        <v>1.7476748712321832</v>
      </c>
      <c r="H109" s="183">
        <f t="shared" si="3"/>
        <v>0.94806124451458917</v>
      </c>
      <c r="I109" s="183">
        <f t="shared" si="3"/>
        <v>0.18910243584628603</v>
      </c>
      <c r="J109" s="183">
        <f t="shared" si="3"/>
        <v>0.18819440283568134</v>
      </c>
      <c r="K109" s="183">
        <f t="shared" si="3"/>
        <v>37.196930915010697</v>
      </c>
      <c r="L109" s="183">
        <f t="shared" si="3"/>
        <v>0.97992637472774291</v>
      </c>
      <c r="M109" s="183">
        <f t="shared" si="3"/>
        <v>4.7529585340532483</v>
      </c>
      <c r="N109" s="183">
        <f t="shared" si="3"/>
        <v>89.147154915696959</v>
      </c>
      <c r="O109" s="183">
        <f t="shared" si="3"/>
        <v>4.9814886894652168E-2</v>
      </c>
      <c r="P109" s="183">
        <f t="shared" si="3"/>
        <v>2.1800274303013609E-2</v>
      </c>
      <c r="Q109" s="183">
        <f t="shared" si="3"/>
        <v>4.8399466925331001E-2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09/09/2023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1007</v>
      </c>
      <c r="B9" s="112">
        <v>10.69</v>
      </c>
      <c r="C9" s="112">
        <v>18.61</v>
      </c>
      <c r="D9" s="112">
        <v>19.649999999999999</v>
      </c>
      <c r="E9" s="112">
        <v>9.65</v>
      </c>
      <c r="F9" s="112">
        <v>4.1900000000000004</v>
      </c>
      <c r="G9" s="112">
        <v>6.75</v>
      </c>
      <c r="H9" s="112">
        <v>4.55</v>
      </c>
      <c r="I9" s="112">
        <v>2.82</v>
      </c>
      <c r="J9" s="112">
        <v>0.2</v>
      </c>
      <c r="K9" s="112">
        <v>258.97000000000003</v>
      </c>
      <c r="L9" s="112">
        <v>25.42</v>
      </c>
      <c r="M9" s="112">
        <v>89.89</v>
      </c>
      <c r="N9" s="112">
        <v>0</v>
      </c>
      <c r="O9" s="112">
        <v>0</v>
      </c>
      <c r="P9" s="112">
        <v>0.42</v>
      </c>
      <c r="Q9" s="112">
        <v>5.57</v>
      </c>
    </row>
    <row r="10" spans="1:21" customFormat="1">
      <c r="A10" s="189" t="s">
        <v>1008</v>
      </c>
      <c r="B10" s="112">
        <v>10.82</v>
      </c>
      <c r="C10" s="112">
        <v>17.440000000000001</v>
      </c>
      <c r="D10" s="112">
        <v>19.14</v>
      </c>
      <c r="E10" s="112">
        <v>10.199999999999999</v>
      </c>
      <c r="F10" s="112">
        <v>4.3600000000000003</v>
      </c>
      <c r="G10" s="112">
        <v>6.75</v>
      </c>
      <c r="H10" s="112">
        <v>4.55</v>
      </c>
      <c r="I10" s="112">
        <v>2.82</v>
      </c>
      <c r="J10" s="112">
        <v>0.16</v>
      </c>
      <c r="K10" s="112">
        <v>246.43</v>
      </c>
      <c r="L10" s="112">
        <v>25.39</v>
      </c>
      <c r="M10" s="112">
        <v>90.39</v>
      </c>
      <c r="N10" s="112">
        <v>0</v>
      </c>
      <c r="O10" s="112">
        <v>0</v>
      </c>
      <c r="P10" s="112">
        <v>0.42</v>
      </c>
      <c r="Q10" s="112">
        <v>5.57</v>
      </c>
    </row>
    <row r="11" spans="1:21" customFormat="1">
      <c r="A11" s="189" t="s">
        <v>1009</v>
      </c>
      <c r="B11" s="112">
        <v>10.65</v>
      </c>
      <c r="C11" s="112">
        <v>16.21</v>
      </c>
      <c r="D11" s="112">
        <v>18.36</v>
      </c>
      <c r="E11" s="112">
        <v>9.32</v>
      </c>
      <c r="F11" s="112">
        <v>5.19</v>
      </c>
      <c r="G11" s="112">
        <v>6.75</v>
      </c>
      <c r="H11" s="112">
        <v>4.55</v>
      </c>
      <c r="I11" s="112">
        <v>3</v>
      </c>
      <c r="J11" s="112">
        <v>0.14000000000000001</v>
      </c>
      <c r="K11" s="112">
        <v>233.59</v>
      </c>
      <c r="L11" s="112">
        <v>25.42</v>
      </c>
      <c r="M11" s="112">
        <v>90.57</v>
      </c>
      <c r="N11" s="112">
        <v>0</v>
      </c>
      <c r="O11" s="112">
        <v>0</v>
      </c>
      <c r="P11" s="112">
        <v>0.41</v>
      </c>
      <c r="Q11" s="112">
        <v>5.56</v>
      </c>
    </row>
    <row r="12" spans="1:21" customFormat="1">
      <c r="A12" s="189" t="s">
        <v>1010</v>
      </c>
      <c r="B12" s="112">
        <v>10.28</v>
      </c>
      <c r="C12" s="112">
        <v>15.61</v>
      </c>
      <c r="D12" s="112">
        <v>17.760000000000002</v>
      </c>
      <c r="E12" s="112">
        <v>9.07</v>
      </c>
      <c r="F12" s="112">
        <v>5.69</v>
      </c>
      <c r="G12" s="112">
        <v>7.93</v>
      </c>
      <c r="H12" s="112">
        <v>3.67</v>
      </c>
      <c r="I12" s="112">
        <v>2.93</v>
      </c>
      <c r="J12" s="112">
        <v>0.11</v>
      </c>
      <c r="K12" s="112">
        <v>255.16</v>
      </c>
      <c r="L12" s="112">
        <v>25.33</v>
      </c>
      <c r="M12" s="112">
        <v>91.72</v>
      </c>
      <c r="N12" s="112">
        <v>0</v>
      </c>
      <c r="O12" s="112">
        <v>0</v>
      </c>
      <c r="P12" s="112">
        <v>0.4</v>
      </c>
      <c r="Q12" s="112">
        <v>5.53</v>
      </c>
    </row>
    <row r="13" spans="1:21" customFormat="1">
      <c r="A13" s="189" t="s">
        <v>1011</v>
      </c>
      <c r="B13" s="112">
        <v>10.8</v>
      </c>
      <c r="C13" s="112">
        <v>17.97</v>
      </c>
      <c r="D13" s="112">
        <v>19.399999999999999</v>
      </c>
      <c r="E13" s="112">
        <v>10.41</v>
      </c>
      <c r="F13" s="112">
        <v>4.12</v>
      </c>
      <c r="G13" s="112">
        <v>8.92</v>
      </c>
      <c r="H13" s="112">
        <v>3.35</v>
      </c>
      <c r="I13" s="112">
        <v>0.03</v>
      </c>
      <c r="J13" s="112">
        <v>0.12</v>
      </c>
      <c r="K13" s="112">
        <v>249.33</v>
      </c>
      <c r="L13" s="112">
        <v>25.26</v>
      </c>
      <c r="M13" s="112">
        <v>92.32</v>
      </c>
      <c r="N13" s="112">
        <v>0</v>
      </c>
      <c r="O13" s="112">
        <v>0</v>
      </c>
      <c r="P13" s="112">
        <v>0.42</v>
      </c>
      <c r="Q13" s="112">
        <v>5.59</v>
      </c>
    </row>
    <row r="14" spans="1:21" customFormat="1">
      <c r="A14" s="189" t="s">
        <v>1012</v>
      </c>
      <c r="B14" s="112">
        <v>11.06</v>
      </c>
      <c r="C14" s="112">
        <v>17.54</v>
      </c>
      <c r="D14" s="112">
        <v>19.39</v>
      </c>
      <c r="E14" s="112">
        <v>9.31</v>
      </c>
      <c r="F14" s="112">
        <v>4.3899999999999997</v>
      </c>
      <c r="G14" s="112">
        <v>8.92</v>
      </c>
      <c r="H14" s="112">
        <v>3.35</v>
      </c>
      <c r="I14" s="112">
        <v>1.21</v>
      </c>
      <c r="J14" s="112">
        <v>0.16</v>
      </c>
      <c r="K14" s="112">
        <v>262.86</v>
      </c>
      <c r="L14" s="112">
        <v>25.21</v>
      </c>
      <c r="M14" s="112">
        <v>92.59</v>
      </c>
      <c r="N14" s="112">
        <v>0</v>
      </c>
      <c r="O14" s="112">
        <v>0</v>
      </c>
      <c r="P14" s="112">
        <v>0.42</v>
      </c>
      <c r="Q14" s="112">
        <v>5.58</v>
      </c>
    </row>
    <row r="15" spans="1:21" customFormat="1">
      <c r="A15" s="189" t="s">
        <v>1013</v>
      </c>
      <c r="B15" s="112">
        <v>11.28</v>
      </c>
      <c r="C15" s="112">
        <v>17.64</v>
      </c>
      <c r="D15" s="112">
        <v>19.62</v>
      </c>
      <c r="E15" s="112">
        <v>9.34</v>
      </c>
      <c r="F15" s="112">
        <v>4.3</v>
      </c>
      <c r="G15" s="112">
        <v>8.92</v>
      </c>
      <c r="H15" s="112">
        <v>3.35</v>
      </c>
      <c r="I15" s="112">
        <v>2.95</v>
      </c>
      <c r="J15" s="112">
        <v>0.1</v>
      </c>
      <c r="K15" s="112">
        <v>253.26</v>
      </c>
      <c r="L15" s="112">
        <v>25.24</v>
      </c>
      <c r="M15" s="112">
        <v>92.57</v>
      </c>
      <c r="N15" s="112">
        <v>0</v>
      </c>
      <c r="O15" s="112">
        <v>0</v>
      </c>
      <c r="P15" s="112">
        <v>0.44</v>
      </c>
      <c r="Q15" s="112">
        <v>5.59</v>
      </c>
    </row>
    <row r="16" spans="1:21" customFormat="1">
      <c r="A16" s="189" t="s">
        <v>1014</v>
      </c>
      <c r="B16" s="112">
        <v>11.25</v>
      </c>
      <c r="C16" s="112">
        <v>15.99</v>
      </c>
      <c r="D16" s="112">
        <v>18.73</v>
      </c>
      <c r="E16" s="112">
        <v>8.99</v>
      </c>
      <c r="F16" s="112">
        <v>5.24</v>
      </c>
      <c r="G16" s="112">
        <v>7.5</v>
      </c>
      <c r="H16" s="112">
        <v>2.72</v>
      </c>
      <c r="I16" s="112">
        <v>2.94</v>
      </c>
      <c r="J16" s="112">
        <v>0.11</v>
      </c>
      <c r="K16" s="112">
        <v>266.47000000000003</v>
      </c>
      <c r="L16" s="112">
        <v>25.2</v>
      </c>
      <c r="M16" s="112">
        <v>93.31</v>
      </c>
      <c r="N16" s="112">
        <v>0</v>
      </c>
      <c r="O16" s="112">
        <v>0</v>
      </c>
      <c r="P16" s="112">
        <v>0.41</v>
      </c>
      <c r="Q16" s="112">
        <v>5.57</v>
      </c>
    </row>
    <row r="17" spans="1:17" customFormat="1">
      <c r="A17" s="189" t="s">
        <v>1015</v>
      </c>
      <c r="B17" s="112">
        <v>11.16</v>
      </c>
      <c r="C17" s="112">
        <v>15.29</v>
      </c>
      <c r="D17" s="112">
        <v>18.29</v>
      </c>
      <c r="E17" s="112">
        <v>6.8</v>
      </c>
      <c r="F17" s="112">
        <v>5.24</v>
      </c>
      <c r="G17" s="112">
        <v>6.46</v>
      </c>
      <c r="H17" s="112">
        <v>2.52</v>
      </c>
      <c r="I17" s="112">
        <v>2.98</v>
      </c>
      <c r="J17" s="112">
        <v>0.09</v>
      </c>
      <c r="K17" s="112">
        <v>249.15</v>
      </c>
      <c r="L17" s="112">
        <v>25.21</v>
      </c>
      <c r="M17" s="112">
        <v>93.72</v>
      </c>
      <c r="N17" s="112">
        <v>0</v>
      </c>
      <c r="O17" s="112">
        <v>0</v>
      </c>
      <c r="P17" s="112">
        <v>0.39</v>
      </c>
      <c r="Q17" s="112">
        <v>5.56</v>
      </c>
    </row>
    <row r="18" spans="1:17" customFormat="1">
      <c r="A18" s="189" t="s">
        <v>1016</v>
      </c>
      <c r="B18" s="112">
        <v>11.12</v>
      </c>
      <c r="C18" s="112">
        <v>14.77</v>
      </c>
      <c r="D18" s="112">
        <v>17.98</v>
      </c>
      <c r="E18" s="112">
        <v>8.02</v>
      </c>
      <c r="F18" s="112">
        <v>5.19</v>
      </c>
      <c r="G18" s="112">
        <v>6.46</v>
      </c>
      <c r="H18" s="112">
        <v>2.52</v>
      </c>
      <c r="I18" s="112">
        <v>2.87</v>
      </c>
      <c r="J18" s="112">
        <v>0.13</v>
      </c>
      <c r="K18" s="112">
        <v>263.08999999999997</v>
      </c>
      <c r="L18" s="112">
        <v>25.22</v>
      </c>
      <c r="M18" s="112">
        <v>94.17</v>
      </c>
      <c r="N18" s="112">
        <v>0</v>
      </c>
      <c r="O18" s="112">
        <v>0</v>
      </c>
      <c r="P18" s="112">
        <v>0.37</v>
      </c>
      <c r="Q18" s="112">
        <v>5.55</v>
      </c>
    </row>
    <row r="19" spans="1:17" customFormat="1">
      <c r="A19" s="189" t="s">
        <v>1017</v>
      </c>
      <c r="B19" s="112">
        <v>11.16</v>
      </c>
      <c r="C19" s="112">
        <v>15.74</v>
      </c>
      <c r="D19" s="112">
        <v>18.52</v>
      </c>
      <c r="E19" s="112">
        <v>8.18</v>
      </c>
      <c r="F19" s="112">
        <v>4.62</v>
      </c>
      <c r="G19" s="112">
        <v>6.46</v>
      </c>
      <c r="H19" s="112">
        <v>2.52</v>
      </c>
      <c r="I19" s="112">
        <v>2.8</v>
      </c>
      <c r="J19" s="112">
        <v>0.13</v>
      </c>
      <c r="K19" s="112">
        <v>266.67</v>
      </c>
      <c r="L19" s="112">
        <v>25.22</v>
      </c>
      <c r="M19" s="112">
        <v>94.36</v>
      </c>
      <c r="N19" s="112">
        <v>0</v>
      </c>
      <c r="O19" s="112">
        <v>0</v>
      </c>
      <c r="P19" s="112">
        <v>0.39</v>
      </c>
      <c r="Q19" s="112">
        <v>5.52</v>
      </c>
    </row>
    <row r="20" spans="1:17" customFormat="1">
      <c r="A20" s="189" t="s">
        <v>1018</v>
      </c>
      <c r="B20" s="112">
        <v>11.52</v>
      </c>
      <c r="C20" s="112">
        <v>17.34</v>
      </c>
      <c r="D20" s="112">
        <v>19.649999999999999</v>
      </c>
      <c r="E20" s="112">
        <v>8.09</v>
      </c>
      <c r="F20" s="112">
        <v>3.97</v>
      </c>
      <c r="G20" s="112">
        <v>7.23</v>
      </c>
      <c r="H20" s="112">
        <v>2.0499999999999998</v>
      </c>
      <c r="I20" s="112">
        <v>2.81</v>
      </c>
      <c r="J20" s="112">
        <v>0.1</v>
      </c>
      <c r="K20" s="112">
        <v>274.01</v>
      </c>
      <c r="L20" s="112">
        <v>25.29</v>
      </c>
      <c r="M20" s="112">
        <v>94.05</v>
      </c>
      <c r="N20" s="112">
        <v>0</v>
      </c>
      <c r="O20" s="112">
        <v>0</v>
      </c>
      <c r="P20" s="112">
        <v>0.43</v>
      </c>
      <c r="Q20" s="112">
        <v>5.6</v>
      </c>
    </row>
    <row r="21" spans="1:17" customFormat="1">
      <c r="A21" s="189" t="s">
        <v>1019</v>
      </c>
      <c r="B21" s="112">
        <v>11.67</v>
      </c>
      <c r="C21" s="112">
        <v>15.99</v>
      </c>
      <c r="D21" s="112">
        <v>19.059999999999999</v>
      </c>
      <c r="E21" s="112">
        <v>7.9</v>
      </c>
      <c r="F21" s="112">
        <v>4.7300000000000004</v>
      </c>
      <c r="G21" s="112">
        <v>7.8</v>
      </c>
      <c r="H21" s="112">
        <v>1.9</v>
      </c>
      <c r="I21" s="112">
        <v>2.93</v>
      </c>
      <c r="J21" s="112">
        <v>0.09</v>
      </c>
      <c r="K21" s="112">
        <v>268.58</v>
      </c>
      <c r="L21" s="112">
        <v>25.26</v>
      </c>
      <c r="M21" s="112">
        <v>93.43</v>
      </c>
      <c r="N21" s="112">
        <v>0</v>
      </c>
      <c r="O21" s="112">
        <v>0</v>
      </c>
      <c r="P21" s="112">
        <v>0.4</v>
      </c>
      <c r="Q21" s="112">
        <v>5.59</v>
      </c>
    </row>
    <row r="22" spans="1:17" customFormat="1">
      <c r="A22" s="189" t="s">
        <v>1020</v>
      </c>
      <c r="B22" s="112">
        <v>11.72</v>
      </c>
      <c r="C22" s="112">
        <v>15.03</v>
      </c>
      <c r="D22" s="112">
        <v>18.600000000000001</v>
      </c>
      <c r="E22" s="112">
        <v>7.6</v>
      </c>
      <c r="F22" s="112">
        <v>5.15</v>
      </c>
      <c r="G22" s="112">
        <v>7.8</v>
      </c>
      <c r="H22" s="112">
        <v>1.9</v>
      </c>
      <c r="I22" s="112">
        <v>2.94</v>
      </c>
      <c r="J22" s="112">
        <v>0.25</v>
      </c>
      <c r="K22" s="112">
        <v>267.05</v>
      </c>
      <c r="L22" s="112">
        <v>25.27</v>
      </c>
      <c r="M22" s="112">
        <v>92.55</v>
      </c>
      <c r="N22" s="112">
        <v>0</v>
      </c>
      <c r="O22" s="112">
        <v>0</v>
      </c>
      <c r="P22" s="112">
        <v>0.38</v>
      </c>
      <c r="Q22" s="112">
        <v>5.57</v>
      </c>
    </row>
    <row r="23" spans="1:17" customFormat="1">
      <c r="A23" s="189" t="s">
        <v>1021</v>
      </c>
      <c r="B23" s="112">
        <v>11.86</v>
      </c>
      <c r="C23" s="112">
        <v>16.75</v>
      </c>
      <c r="D23" s="112">
        <v>19.61</v>
      </c>
      <c r="E23" s="112">
        <v>8.02</v>
      </c>
      <c r="F23" s="112">
        <v>4.1399999999999997</v>
      </c>
      <c r="G23" s="112">
        <v>7.8</v>
      </c>
      <c r="H23" s="112">
        <v>1.9</v>
      </c>
      <c r="I23" s="112">
        <v>2.86</v>
      </c>
      <c r="J23" s="112">
        <v>0.14000000000000001</v>
      </c>
      <c r="K23" s="112">
        <v>270.49</v>
      </c>
      <c r="L23" s="112">
        <v>25.19</v>
      </c>
      <c r="M23" s="112">
        <v>92.59</v>
      </c>
      <c r="N23" s="112">
        <v>0</v>
      </c>
      <c r="O23" s="112">
        <v>0</v>
      </c>
      <c r="P23" s="112">
        <v>0.4</v>
      </c>
      <c r="Q23" s="112">
        <v>5.61</v>
      </c>
    </row>
    <row r="24" spans="1:17" customFormat="1">
      <c r="A24" s="189" t="s">
        <v>1022</v>
      </c>
      <c r="B24" s="112">
        <v>11.91</v>
      </c>
      <c r="C24" s="112">
        <v>16.55</v>
      </c>
      <c r="D24" s="112">
        <v>19.54</v>
      </c>
      <c r="E24" s="112">
        <v>8.19</v>
      </c>
      <c r="F24" s="112">
        <v>4.51</v>
      </c>
      <c r="G24" s="112">
        <v>7.21</v>
      </c>
      <c r="H24" s="112">
        <v>2.12</v>
      </c>
      <c r="I24" s="112">
        <v>2.84</v>
      </c>
      <c r="J24" s="112">
        <v>0.16</v>
      </c>
      <c r="K24" s="112">
        <v>288.33999999999997</v>
      </c>
      <c r="L24" s="112">
        <v>25.14</v>
      </c>
      <c r="M24" s="112">
        <v>92.78</v>
      </c>
      <c r="N24" s="112">
        <v>0</v>
      </c>
      <c r="O24" s="112">
        <v>0</v>
      </c>
      <c r="P24" s="112">
        <v>0.41</v>
      </c>
      <c r="Q24" s="112">
        <v>5.62</v>
      </c>
    </row>
    <row r="25" spans="1:17" customFormat="1">
      <c r="A25" s="189" t="s">
        <v>1023</v>
      </c>
      <c r="B25" s="112">
        <v>11.97</v>
      </c>
      <c r="C25" s="112">
        <v>15.59</v>
      </c>
      <c r="D25" s="112">
        <v>19.09</v>
      </c>
      <c r="E25" s="112">
        <v>8.09</v>
      </c>
      <c r="F25" s="112">
        <v>5.09</v>
      </c>
      <c r="G25" s="112">
        <v>6.77</v>
      </c>
      <c r="H25" s="112">
        <v>2.19</v>
      </c>
      <c r="I25" s="112">
        <v>2.99</v>
      </c>
      <c r="J25" s="112">
        <v>0.11</v>
      </c>
      <c r="K25" s="112">
        <v>288.38</v>
      </c>
      <c r="L25" s="112">
        <v>25.14</v>
      </c>
      <c r="M25" s="112">
        <v>92.56</v>
      </c>
      <c r="N25" s="112">
        <v>0</v>
      </c>
      <c r="O25" s="112">
        <v>0</v>
      </c>
      <c r="P25" s="112">
        <v>0.38</v>
      </c>
      <c r="Q25" s="112">
        <v>5.58</v>
      </c>
    </row>
    <row r="26" spans="1:17" customFormat="1">
      <c r="A26" s="189" t="s">
        <v>1024</v>
      </c>
      <c r="B26" s="112">
        <v>11.91</v>
      </c>
      <c r="C26" s="112">
        <v>14.83</v>
      </c>
      <c r="D26" s="112">
        <v>18.649999999999999</v>
      </c>
      <c r="E26" s="112">
        <v>8.0399999999999991</v>
      </c>
      <c r="F26" s="112">
        <v>5.22</v>
      </c>
      <c r="G26" s="112">
        <v>6.77</v>
      </c>
      <c r="H26" s="112">
        <v>2.19</v>
      </c>
      <c r="I26" s="112">
        <v>2.86</v>
      </c>
      <c r="J26" s="112">
        <v>0.12</v>
      </c>
      <c r="K26" s="112">
        <v>287.04000000000002</v>
      </c>
      <c r="L26" s="112">
        <v>25.12</v>
      </c>
      <c r="M26" s="112">
        <v>92.25</v>
      </c>
      <c r="N26" s="112">
        <v>0</v>
      </c>
      <c r="O26" s="112">
        <v>0</v>
      </c>
      <c r="P26" s="112">
        <v>0.38</v>
      </c>
      <c r="Q26" s="112">
        <v>5.57</v>
      </c>
    </row>
    <row r="27" spans="1:17" customFormat="1">
      <c r="A27" s="189" t="s">
        <v>1025</v>
      </c>
      <c r="B27" s="112">
        <v>12.05</v>
      </c>
      <c r="C27" s="112">
        <v>16.95</v>
      </c>
      <c r="D27" s="112">
        <v>19.87</v>
      </c>
      <c r="E27" s="112">
        <v>8.3000000000000007</v>
      </c>
      <c r="F27" s="112">
        <v>3.95</v>
      </c>
      <c r="G27" s="112">
        <v>6.77</v>
      </c>
      <c r="H27" s="112">
        <v>2.19</v>
      </c>
      <c r="I27" s="112">
        <v>2.85</v>
      </c>
      <c r="J27" s="112">
        <v>0.1</v>
      </c>
      <c r="K27" s="112">
        <v>280.36</v>
      </c>
      <c r="L27" s="112">
        <v>25.18</v>
      </c>
      <c r="M27" s="112">
        <v>91.42</v>
      </c>
      <c r="N27" s="112">
        <v>0</v>
      </c>
      <c r="O27" s="112">
        <v>0</v>
      </c>
      <c r="P27" s="112">
        <v>0.42</v>
      </c>
      <c r="Q27" s="112">
        <v>5.62</v>
      </c>
    </row>
    <row r="28" spans="1:17" customFormat="1">
      <c r="A28" s="189" t="s">
        <v>1026</v>
      </c>
      <c r="B28" s="112">
        <v>12.05</v>
      </c>
      <c r="C28" s="112">
        <v>16.260000000000002</v>
      </c>
      <c r="D28" s="112">
        <v>19.510000000000002</v>
      </c>
      <c r="E28" s="112">
        <v>8.14</v>
      </c>
      <c r="F28" s="112">
        <v>4.75</v>
      </c>
      <c r="G28" s="112">
        <v>7.68</v>
      </c>
      <c r="H28" s="112">
        <v>3.55</v>
      </c>
      <c r="I28" s="112">
        <v>2.82</v>
      </c>
      <c r="J28" s="112">
        <v>0.03</v>
      </c>
      <c r="K28" s="112">
        <v>249.62</v>
      </c>
      <c r="L28" s="112">
        <v>25.14</v>
      </c>
      <c r="M28" s="112">
        <v>91.81</v>
      </c>
      <c r="N28" s="112">
        <v>0</v>
      </c>
      <c r="O28" s="112">
        <v>0</v>
      </c>
      <c r="P28" s="112">
        <v>0.41</v>
      </c>
      <c r="Q28" s="112">
        <v>5.65</v>
      </c>
    </row>
    <row r="29" spans="1:17" customFormat="1">
      <c r="A29" s="189" t="s">
        <v>1027</v>
      </c>
      <c r="B29" s="112">
        <v>12.2</v>
      </c>
      <c r="C29" s="112">
        <v>15.13</v>
      </c>
      <c r="D29" s="112">
        <v>19.04</v>
      </c>
      <c r="E29" s="112">
        <v>7.77</v>
      </c>
      <c r="F29" s="112">
        <v>5.24</v>
      </c>
      <c r="G29" s="112">
        <v>8.34</v>
      </c>
      <c r="H29" s="112">
        <v>3.98</v>
      </c>
      <c r="I29" s="112">
        <v>2.98</v>
      </c>
      <c r="J29" s="112">
        <v>0.15</v>
      </c>
      <c r="K29" s="112">
        <v>280.33</v>
      </c>
      <c r="L29" s="112">
        <v>25.16</v>
      </c>
      <c r="M29" s="112">
        <v>91.79</v>
      </c>
      <c r="N29" s="112">
        <v>0</v>
      </c>
      <c r="O29" s="112">
        <v>0</v>
      </c>
      <c r="P29" s="112">
        <v>0.38</v>
      </c>
      <c r="Q29" s="112">
        <v>5.6</v>
      </c>
    </row>
    <row r="30" spans="1:17" customFormat="1">
      <c r="A30" s="189" t="s">
        <v>1028</v>
      </c>
      <c r="B30" s="112">
        <v>12.29</v>
      </c>
      <c r="C30" s="112">
        <v>16.66</v>
      </c>
      <c r="D30" s="112">
        <v>19.91</v>
      </c>
      <c r="E30" s="112">
        <v>8.08</v>
      </c>
      <c r="F30" s="112">
        <v>4.2699999999999996</v>
      </c>
      <c r="G30" s="112">
        <v>8.34</v>
      </c>
      <c r="H30" s="112">
        <v>3.98</v>
      </c>
      <c r="I30" s="112">
        <v>2.79</v>
      </c>
      <c r="J30" s="112">
        <v>0.19</v>
      </c>
      <c r="K30" s="112">
        <v>274.57</v>
      </c>
      <c r="L30" s="112">
        <v>25.04</v>
      </c>
      <c r="M30" s="112">
        <v>92.59</v>
      </c>
      <c r="N30" s="112">
        <v>0</v>
      </c>
      <c r="O30" s="112">
        <v>0</v>
      </c>
      <c r="P30" s="112">
        <v>0.41</v>
      </c>
      <c r="Q30" s="112">
        <v>5.6</v>
      </c>
    </row>
    <row r="31" spans="1:17" customFormat="1">
      <c r="A31" s="189" t="s">
        <v>1029</v>
      </c>
      <c r="B31" s="112">
        <v>12.57</v>
      </c>
      <c r="C31" s="112">
        <v>17.04</v>
      </c>
      <c r="D31" s="112">
        <v>20.329999999999998</v>
      </c>
      <c r="E31" s="112">
        <v>8.06</v>
      </c>
      <c r="F31" s="112">
        <v>4.22</v>
      </c>
      <c r="G31" s="112">
        <v>8.34</v>
      </c>
      <c r="H31" s="112">
        <v>3.98</v>
      </c>
      <c r="I31" s="112">
        <v>2.77</v>
      </c>
      <c r="J31" s="112">
        <v>0.21</v>
      </c>
      <c r="K31" s="112">
        <v>270.77999999999997</v>
      </c>
      <c r="L31" s="112">
        <v>25.03</v>
      </c>
      <c r="M31" s="112">
        <v>92.72</v>
      </c>
      <c r="N31" s="112">
        <v>0</v>
      </c>
      <c r="O31" s="112">
        <v>0</v>
      </c>
      <c r="P31" s="112">
        <v>0.42</v>
      </c>
      <c r="Q31" s="112">
        <v>5.66</v>
      </c>
    </row>
    <row r="32" spans="1:17" customFormat="1">
      <c r="A32" s="189" t="s">
        <v>1030</v>
      </c>
      <c r="B32" s="112">
        <v>12.23</v>
      </c>
      <c r="C32" s="112">
        <v>15.31</v>
      </c>
      <c r="D32" s="112">
        <v>19.16</v>
      </c>
      <c r="E32" s="112">
        <v>8.07</v>
      </c>
      <c r="F32" s="112">
        <v>5.35</v>
      </c>
      <c r="G32" s="112">
        <v>7.71</v>
      </c>
      <c r="H32" s="112">
        <v>3.38</v>
      </c>
      <c r="I32" s="112">
        <v>2.96</v>
      </c>
      <c r="J32" s="112">
        <v>0.18</v>
      </c>
      <c r="K32" s="112">
        <v>272.11</v>
      </c>
      <c r="L32" s="112">
        <v>25.04</v>
      </c>
      <c r="M32" s="112">
        <v>93.08</v>
      </c>
      <c r="N32" s="112">
        <v>0.2</v>
      </c>
      <c r="O32" s="112">
        <v>0</v>
      </c>
      <c r="P32" s="112">
        <v>0.39</v>
      </c>
      <c r="Q32" s="112">
        <v>5.63</v>
      </c>
    </row>
    <row r="33" spans="1:17" customFormat="1">
      <c r="A33" s="189" t="s">
        <v>1031</v>
      </c>
      <c r="B33" s="112">
        <v>12.51</v>
      </c>
      <c r="C33" s="112">
        <v>17.059999999999999</v>
      </c>
      <c r="D33" s="112">
        <v>20.3</v>
      </c>
      <c r="E33" s="112">
        <v>8.2899999999999991</v>
      </c>
      <c r="F33" s="112">
        <v>4.4400000000000004</v>
      </c>
      <c r="G33" s="112">
        <v>7.25</v>
      </c>
      <c r="H33" s="112">
        <v>3.02</v>
      </c>
      <c r="I33" s="112">
        <v>2.91</v>
      </c>
      <c r="J33" s="112">
        <v>0.18</v>
      </c>
      <c r="K33" s="112">
        <v>272.14999999999998</v>
      </c>
      <c r="L33" s="112">
        <v>25.1</v>
      </c>
      <c r="M33" s="112">
        <v>93.28</v>
      </c>
      <c r="N33" s="112">
        <v>9.4</v>
      </c>
      <c r="O33" s="112">
        <v>0</v>
      </c>
      <c r="P33" s="112">
        <v>0.41</v>
      </c>
      <c r="Q33" s="112">
        <v>5.63</v>
      </c>
    </row>
    <row r="34" spans="1:17" customFormat="1">
      <c r="A34" s="189" t="s">
        <v>1032</v>
      </c>
      <c r="B34" s="112">
        <v>12.69</v>
      </c>
      <c r="C34" s="112">
        <v>18.52</v>
      </c>
      <c r="D34" s="112">
        <v>21.21</v>
      </c>
      <c r="E34" s="112">
        <v>8.59</v>
      </c>
      <c r="F34" s="112">
        <v>3.93</v>
      </c>
      <c r="G34" s="112">
        <v>7.25</v>
      </c>
      <c r="H34" s="112">
        <v>3.02</v>
      </c>
      <c r="I34" s="112">
        <v>2.71</v>
      </c>
      <c r="J34" s="112">
        <v>0.15</v>
      </c>
      <c r="K34" s="112">
        <v>278.74</v>
      </c>
      <c r="L34" s="112">
        <v>25.27</v>
      </c>
      <c r="M34" s="112">
        <v>92.85</v>
      </c>
      <c r="N34" s="112">
        <v>20.9</v>
      </c>
      <c r="O34" s="112">
        <v>0</v>
      </c>
      <c r="P34" s="112">
        <v>0.44</v>
      </c>
      <c r="Q34" s="112">
        <v>5.69</v>
      </c>
    </row>
    <row r="35" spans="1:17" customFormat="1">
      <c r="A35" s="189" t="s">
        <v>1033</v>
      </c>
      <c r="B35" s="112">
        <v>12.86</v>
      </c>
      <c r="C35" s="112">
        <v>16.96</v>
      </c>
      <c r="D35" s="112">
        <v>20.53</v>
      </c>
      <c r="E35" s="112">
        <v>8.4600000000000009</v>
      </c>
      <c r="F35" s="112">
        <v>4.7300000000000004</v>
      </c>
      <c r="G35" s="112">
        <v>7.25</v>
      </c>
      <c r="H35" s="112">
        <v>3.02</v>
      </c>
      <c r="I35" s="112">
        <v>2.97</v>
      </c>
      <c r="J35" s="112">
        <v>0.19</v>
      </c>
      <c r="K35" s="112">
        <v>280.58</v>
      </c>
      <c r="L35" s="112">
        <v>25.45</v>
      </c>
      <c r="M35" s="112">
        <v>92.11</v>
      </c>
      <c r="N35" s="112">
        <v>47.4</v>
      </c>
      <c r="O35" s="112">
        <v>0</v>
      </c>
      <c r="P35" s="112">
        <v>0.42</v>
      </c>
      <c r="Q35" s="112">
        <v>5.66</v>
      </c>
    </row>
    <row r="36" spans="1:17" customFormat="1">
      <c r="A36" s="189" t="s">
        <v>1034</v>
      </c>
      <c r="B36" s="112">
        <v>12.61</v>
      </c>
      <c r="C36" s="112">
        <v>15.37</v>
      </c>
      <c r="D36" s="112">
        <v>19.5</v>
      </c>
      <c r="E36" s="112">
        <v>8.2100000000000009</v>
      </c>
      <c r="F36" s="112">
        <v>5.34</v>
      </c>
      <c r="G36" s="112">
        <v>6.9</v>
      </c>
      <c r="H36" s="112">
        <v>3.85</v>
      </c>
      <c r="I36" s="112">
        <v>2.98</v>
      </c>
      <c r="J36" s="112">
        <v>0.17</v>
      </c>
      <c r="K36" s="112">
        <v>283.31</v>
      </c>
      <c r="L36" s="112">
        <v>25.76</v>
      </c>
      <c r="M36" s="112">
        <v>90.8</v>
      </c>
      <c r="N36" s="112">
        <v>69.7</v>
      </c>
      <c r="O36" s="112">
        <v>0</v>
      </c>
      <c r="P36" s="112">
        <v>0.4</v>
      </c>
      <c r="Q36" s="112">
        <v>5.67</v>
      </c>
    </row>
    <row r="37" spans="1:17" customFormat="1">
      <c r="A37" s="189" t="s">
        <v>1035</v>
      </c>
      <c r="B37" s="112">
        <v>12.58</v>
      </c>
      <c r="C37" s="112">
        <v>14.96</v>
      </c>
      <c r="D37" s="112">
        <v>19.25</v>
      </c>
      <c r="E37" s="112">
        <v>7.98</v>
      </c>
      <c r="F37" s="112">
        <v>5.42</v>
      </c>
      <c r="G37" s="112">
        <v>6.63</v>
      </c>
      <c r="H37" s="112">
        <v>4.1100000000000003</v>
      </c>
      <c r="I37" s="112">
        <v>2.92</v>
      </c>
      <c r="J37" s="112">
        <v>0.23</v>
      </c>
      <c r="K37" s="112">
        <v>267.75</v>
      </c>
      <c r="L37" s="112">
        <v>26.01</v>
      </c>
      <c r="M37" s="112">
        <v>89.99</v>
      </c>
      <c r="N37" s="112">
        <v>82.9</v>
      </c>
      <c r="O37" s="112">
        <v>0</v>
      </c>
      <c r="P37" s="112">
        <v>0.38</v>
      </c>
      <c r="Q37" s="112">
        <v>5.65</v>
      </c>
    </row>
    <row r="38" spans="1:17" customFormat="1">
      <c r="A38" s="189" t="s">
        <v>1036</v>
      </c>
      <c r="B38" s="112">
        <v>12.51</v>
      </c>
      <c r="C38" s="112">
        <v>15.63</v>
      </c>
      <c r="D38" s="112">
        <v>19.55</v>
      </c>
      <c r="E38" s="112">
        <v>8.1</v>
      </c>
      <c r="F38" s="112">
        <v>5.01</v>
      </c>
      <c r="G38" s="112">
        <v>6.63</v>
      </c>
      <c r="H38" s="112">
        <v>4.1100000000000003</v>
      </c>
      <c r="I38" s="112">
        <v>2.81</v>
      </c>
      <c r="J38" s="112">
        <v>0.36</v>
      </c>
      <c r="K38" s="112">
        <v>257.37</v>
      </c>
      <c r="L38" s="112">
        <v>26.14</v>
      </c>
      <c r="M38" s="112">
        <v>88.64</v>
      </c>
      <c r="N38" s="112">
        <v>82.2</v>
      </c>
      <c r="O38" s="112">
        <v>0</v>
      </c>
      <c r="P38" s="112">
        <v>0.39</v>
      </c>
      <c r="Q38" s="112">
        <v>5.62</v>
      </c>
    </row>
    <row r="39" spans="1:17" customFormat="1">
      <c r="A39" s="189" t="s">
        <v>1037</v>
      </c>
      <c r="B39" s="112">
        <v>12.61</v>
      </c>
      <c r="C39" s="112">
        <v>17.48</v>
      </c>
      <c r="D39" s="112">
        <v>20.6</v>
      </c>
      <c r="E39" s="112">
        <v>8.8800000000000008</v>
      </c>
      <c r="F39" s="112">
        <v>4.0199999999999996</v>
      </c>
      <c r="G39" s="112">
        <v>6.63</v>
      </c>
      <c r="H39" s="112">
        <v>4.1100000000000003</v>
      </c>
      <c r="I39" s="112">
        <v>2.85</v>
      </c>
      <c r="J39" s="112">
        <v>0.4</v>
      </c>
      <c r="K39" s="112">
        <v>257.60000000000002</v>
      </c>
      <c r="L39" s="112">
        <v>26.22</v>
      </c>
      <c r="M39" s="112">
        <v>88.62</v>
      </c>
      <c r="N39" s="112">
        <v>89.3</v>
      </c>
      <c r="O39" s="112">
        <v>0</v>
      </c>
      <c r="P39" s="112">
        <v>0.42</v>
      </c>
      <c r="Q39" s="112">
        <v>5.68</v>
      </c>
    </row>
    <row r="40" spans="1:17" customFormat="1">
      <c r="A40" s="189" t="s">
        <v>1038</v>
      </c>
      <c r="B40" s="112">
        <v>12.6</v>
      </c>
      <c r="C40" s="112">
        <v>15.97</v>
      </c>
      <c r="D40" s="112">
        <v>19.8</v>
      </c>
      <c r="E40" s="112">
        <v>8.3699999999999992</v>
      </c>
      <c r="F40" s="112">
        <v>4.92</v>
      </c>
      <c r="G40" s="112">
        <v>5.62</v>
      </c>
      <c r="H40" s="112">
        <v>3.36</v>
      </c>
      <c r="I40" s="112">
        <v>2.89</v>
      </c>
      <c r="J40" s="112">
        <v>0.46</v>
      </c>
      <c r="K40" s="112">
        <v>248.4</v>
      </c>
      <c r="L40" s="112">
        <v>26.44</v>
      </c>
      <c r="M40" s="112">
        <v>87.28</v>
      </c>
      <c r="N40" s="112">
        <v>150</v>
      </c>
      <c r="O40" s="112">
        <v>0</v>
      </c>
      <c r="P40" s="112">
        <v>0.41</v>
      </c>
      <c r="Q40" s="112">
        <v>5.7</v>
      </c>
    </row>
    <row r="41" spans="1:17" customFormat="1">
      <c r="A41" s="189" t="s">
        <v>1039</v>
      </c>
      <c r="B41" s="112">
        <v>12.57</v>
      </c>
      <c r="C41" s="112">
        <v>14.92</v>
      </c>
      <c r="D41" s="112">
        <v>19.23</v>
      </c>
      <c r="E41" s="112">
        <v>8.33</v>
      </c>
      <c r="F41" s="112">
        <v>5.32</v>
      </c>
      <c r="G41" s="112">
        <v>4.88</v>
      </c>
      <c r="H41" s="112">
        <v>3.13</v>
      </c>
      <c r="I41" s="112">
        <v>2.97</v>
      </c>
      <c r="J41" s="112">
        <v>0.55000000000000004</v>
      </c>
      <c r="K41" s="112">
        <v>257.55</v>
      </c>
      <c r="L41" s="112">
        <v>26.79</v>
      </c>
      <c r="M41" s="112">
        <v>85.89</v>
      </c>
      <c r="N41" s="112">
        <v>169.2</v>
      </c>
      <c r="O41" s="112">
        <v>0</v>
      </c>
      <c r="P41" s="112">
        <v>0.4</v>
      </c>
      <c r="Q41" s="112">
        <v>5.65</v>
      </c>
    </row>
    <row r="42" spans="1:17" customFormat="1">
      <c r="A42" s="189" t="s">
        <v>1040</v>
      </c>
      <c r="B42" s="112">
        <v>12.22</v>
      </c>
      <c r="C42" s="112">
        <v>14.94</v>
      </c>
      <c r="D42" s="112">
        <v>18.96</v>
      </c>
      <c r="E42" s="112">
        <v>7.73</v>
      </c>
      <c r="F42" s="112">
        <v>5.45</v>
      </c>
      <c r="G42" s="112">
        <v>4.88</v>
      </c>
      <c r="H42" s="112">
        <v>3.13</v>
      </c>
      <c r="I42" s="112">
        <v>2.88</v>
      </c>
      <c r="J42" s="112">
        <v>0.69</v>
      </c>
      <c r="K42" s="112">
        <v>260.63</v>
      </c>
      <c r="L42" s="112">
        <v>26.98</v>
      </c>
      <c r="M42" s="112">
        <v>84.62</v>
      </c>
      <c r="N42" s="112">
        <v>208</v>
      </c>
      <c r="O42" s="112">
        <v>0</v>
      </c>
      <c r="P42" s="112">
        <v>0.38</v>
      </c>
      <c r="Q42" s="112">
        <v>5.59</v>
      </c>
    </row>
    <row r="43" spans="1:17" customFormat="1">
      <c r="A43" s="189" t="s">
        <v>1041</v>
      </c>
      <c r="B43" s="112">
        <v>11.87</v>
      </c>
      <c r="C43" s="112">
        <v>14.85</v>
      </c>
      <c r="D43" s="112">
        <v>18.63</v>
      </c>
      <c r="E43" s="112">
        <v>8.39</v>
      </c>
      <c r="F43" s="112">
        <v>5.45</v>
      </c>
      <c r="G43" s="112">
        <v>4.88</v>
      </c>
      <c r="H43" s="112">
        <v>3.13</v>
      </c>
      <c r="I43" s="112">
        <v>2.85</v>
      </c>
      <c r="J43" s="112">
        <v>0.41</v>
      </c>
      <c r="K43" s="112">
        <v>249.68</v>
      </c>
      <c r="L43" s="112">
        <v>27.49</v>
      </c>
      <c r="M43" s="112">
        <v>83.29</v>
      </c>
      <c r="N43" s="112">
        <v>214</v>
      </c>
      <c r="O43" s="112">
        <v>0</v>
      </c>
      <c r="P43" s="112">
        <v>0.38</v>
      </c>
      <c r="Q43" s="112">
        <v>5.58</v>
      </c>
    </row>
    <row r="44" spans="1:17" customFormat="1">
      <c r="A44" s="189" t="s">
        <v>1042</v>
      </c>
      <c r="B44" s="112">
        <v>11.48</v>
      </c>
      <c r="C44" s="112">
        <v>15.19</v>
      </c>
      <c r="D44" s="112">
        <v>18.489999999999998</v>
      </c>
      <c r="E44" s="112">
        <v>8.06</v>
      </c>
      <c r="F44" s="112">
        <v>5.59</v>
      </c>
      <c r="G44" s="112">
        <v>5.27</v>
      </c>
      <c r="H44" s="112">
        <v>3.85</v>
      </c>
      <c r="I44" s="112">
        <v>2.83</v>
      </c>
      <c r="J44" s="112">
        <v>0.59</v>
      </c>
      <c r="K44" s="112">
        <v>252.62</v>
      </c>
      <c r="L44" s="112">
        <v>27.72</v>
      </c>
      <c r="M44" s="112">
        <v>81.96</v>
      </c>
      <c r="N44" s="112">
        <v>263.2</v>
      </c>
      <c r="O44" s="112">
        <v>0</v>
      </c>
      <c r="P44" s="112">
        <v>0.38</v>
      </c>
      <c r="Q44" s="112">
        <v>5.54</v>
      </c>
    </row>
    <row r="45" spans="1:17" customFormat="1">
      <c r="A45" s="189" t="s">
        <v>1043</v>
      </c>
      <c r="B45" s="112">
        <v>11.54</v>
      </c>
      <c r="C45" s="112">
        <v>16.68</v>
      </c>
      <c r="D45" s="112">
        <v>19.32</v>
      </c>
      <c r="E45" s="112">
        <v>7.99</v>
      </c>
      <c r="F45" s="112">
        <v>4.4800000000000004</v>
      </c>
      <c r="G45" s="112">
        <v>5.56</v>
      </c>
      <c r="H45" s="112">
        <v>4.08</v>
      </c>
      <c r="I45" s="112">
        <v>2.81</v>
      </c>
      <c r="J45" s="112">
        <v>0.56999999999999995</v>
      </c>
      <c r="K45" s="112">
        <v>252.3</v>
      </c>
      <c r="L45" s="112">
        <v>27.75</v>
      </c>
      <c r="M45" s="112">
        <v>81.150000000000006</v>
      </c>
      <c r="N45" s="112">
        <v>247.6</v>
      </c>
      <c r="O45" s="112">
        <v>0</v>
      </c>
      <c r="P45" s="112">
        <v>0.41</v>
      </c>
      <c r="Q45" s="112">
        <v>5.57</v>
      </c>
    </row>
    <row r="46" spans="1:17" customFormat="1">
      <c r="A46" s="189" t="s">
        <v>1044</v>
      </c>
      <c r="B46" s="112">
        <v>11.44</v>
      </c>
      <c r="C46" s="112">
        <v>16.149999999999999</v>
      </c>
      <c r="D46" s="112">
        <v>18.96</v>
      </c>
      <c r="E46" s="112">
        <v>8.26</v>
      </c>
      <c r="F46" s="112">
        <v>4.8600000000000003</v>
      </c>
      <c r="G46" s="112">
        <v>5.56</v>
      </c>
      <c r="H46" s="112">
        <v>4.08</v>
      </c>
      <c r="I46" s="112">
        <v>2.81</v>
      </c>
      <c r="J46" s="112">
        <v>0.43</v>
      </c>
      <c r="K46" s="112">
        <v>251.96</v>
      </c>
      <c r="L46" s="112">
        <v>27.89</v>
      </c>
      <c r="M46" s="112">
        <v>80.92</v>
      </c>
      <c r="N46" s="112">
        <v>221.4</v>
      </c>
      <c r="O46" s="112">
        <v>0</v>
      </c>
      <c r="P46" s="112">
        <v>0.41</v>
      </c>
      <c r="Q46" s="112">
        <v>5.54</v>
      </c>
    </row>
    <row r="47" spans="1:17" customFormat="1">
      <c r="A47" s="189" t="s">
        <v>1045</v>
      </c>
      <c r="B47" s="112">
        <v>11.32</v>
      </c>
      <c r="C47" s="112">
        <v>15.53</v>
      </c>
      <c r="D47" s="112">
        <v>18.54</v>
      </c>
      <c r="E47" s="112">
        <v>7.87</v>
      </c>
      <c r="F47" s="112">
        <v>5.1100000000000003</v>
      </c>
      <c r="G47" s="112">
        <v>5.56</v>
      </c>
      <c r="H47" s="112">
        <v>4.08</v>
      </c>
      <c r="I47" s="112">
        <v>2.88</v>
      </c>
      <c r="J47" s="112">
        <v>0.49</v>
      </c>
      <c r="K47" s="112">
        <v>253.03</v>
      </c>
      <c r="L47" s="112">
        <v>27.68</v>
      </c>
      <c r="M47" s="112">
        <v>82.12</v>
      </c>
      <c r="N47" s="112">
        <v>186.5</v>
      </c>
      <c r="O47" s="112">
        <v>0</v>
      </c>
      <c r="P47" s="112">
        <v>0.4</v>
      </c>
      <c r="Q47" s="112">
        <v>5.51</v>
      </c>
    </row>
    <row r="48" spans="1:17" customFormat="1">
      <c r="A48" s="189" t="s">
        <v>1046</v>
      </c>
      <c r="B48" s="112">
        <v>10.97</v>
      </c>
      <c r="C48" s="112">
        <v>14.98</v>
      </c>
      <c r="D48" s="112">
        <v>17.98</v>
      </c>
      <c r="E48" s="112">
        <v>7.94</v>
      </c>
      <c r="F48" s="112">
        <v>5.55</v>
      </c>
      <c r="G48" s="112">
        <v>8.26</v>
      </c>
      <c r="H48" s="112">
        <v>3.26</v>
      </c>
      <c r="I48" s="112">
        <v>2.87</v>
      </c>
      <c r="J48" s="112">
        <v>0.48</v>
      </c>
      <c r="K48" s="112">
        <v>255.75</v>
      </c>
      <c r="L48" s="112">
        <v>27.74</v>
      </c>
      <c r="M48" s="112">
        <v>81.98</v>
      </c>
      <c r="N48" s="112">
        <v>220.7</v>
      </c>
      <c r="O48" s="112">
        <v>0</v>
      </c>
      <c r="P48" s="112">
        <v>0.39</v>
      </c>
      <c r="Q48" s="112">
        <v>5.5</v>
      </c>
    </row>
    <row r="49" spans="1:17" customFormat="1">
      <c r="A49" s="189" t="s">
        <v>1047</v>
      </c>
      <c r="B49" s="112">
        <v>10.72</v>
      </c>
      <c r="C49" s="112">
        <v>14.68</v>
      </c>
      <c r="D49" s="112">
        <v>17.62</v>
      </c>
      <c r="E49" s="112">
        <v>6.8</v>
      </c>
      <c r="F49" s="112">
        <v>5.49</v>
      </c>
      <c r="G49" s="112">
        <v>10.23</v>
      </c>
      <c r="H49" s="112">
        <v>3</v>
      </c>
      <c r="I49" s="112">
        <v>2.85</v>
      </c>
      <c r="J49" s="112">
        <v>0.3</v>
      </c>
      <c r="K49" s="112">
        <v>244.98</v>
      </c>
      <c r="L49" s="112">
        <v>28.16</v>
      </c>
      <c r="M49" s="112">
        <v>81.27</v>
      </c>
      <c r="N49" s="112">
        <v>201.4</v>
      </c>
      <c r="O49" s="112">
        <v>0</v>
      </c>
      <c r="P49" s="112">
        <v>0.39</v>
      </c>
      <c r="Q49" s="112">
        <v>5.49</v>
      </c>
    </row>
    <row r="50" spans="1:17" customFormat="1">
      <c r="A50" s="189" t="s">
        <v>1048</v>
      </c>
      <c r="B50" s="112">
        <v>10.57</v>
      </c>
      <c r="C50" s="112">
        <v>14.68</v>
      </c>
      <c r="D50" s="112">
        <v>17.5</v>
      </c>
      <c r="E50" s="112">
        <v>7.68</v>
      </c>
      <c r="F50" s="112">
        <v>5.35</v>
      </c>
      <c r="G50" s="112">
        <v>10.23</v>
      </c>
      <c r="H50" s="112">
        <v>3</v>
      </c>
      <c r="I50" s="112">
        <v>2.78</v>
      </c>
      <c r="J50" s="112">
        <v>0.26</v>
      </c>
      <c r="K50" s="112">
        <v>254.52</v>
      </c>
      <c r="L50" s="112">
        <v>27.88</v>
      </c>
      <c r="M50" s="112">
        <v>82.66</v>
      </c>
      <c r="N50" s="112">
        <v>110.2</v>
      </c>
      <c r="O50" s="112">
        <v>0</v>
      </c>
      <c r="P50" s="112">
        <v>0.38</v>
      </c>
      <c r="Q50" s="112">
        <v>5.47</v>
      </c>
    </row>
    <row r="51" spans="1:17" customFormat="1">
      <c r="A51" s="189" t="s">
        <v>1049</v>
      </c>
      <c r="B51" s="112">
        <v>10.5</v>
      </c>
      <c r="C51" s="112">
        <v>14.37</v>
      </c>
      <c r="D51" s="112">
        <v>17.28</v>
      </c>
      <c r="E51" s="112">
        <v>7.93</v>
      </c>
      <c r="F51" s="112">
        <v>5.26</v>
      </c>
      <c r="G51" s="112">
        <v>10.23</v>
      </c>
      <c r="H51" s="112">
        <v>3</v>
      </c>
      <c r="I51" s="112">
        <v>2.79</v>
      </c>
      <c r="J51" s="112">
        <v>0.28000000000000003</v>
      </c>
      <c r="K51" s="112">
        <v>245.21</v>
      </c>
      <c r="L51" s="112">
        <v>27.78</v>
      </c>
      <c r="M51" s="112">
        <v>82.96</v>
      </c>
      <c r="N51" s="112">
        <v>220.9</v>
      </c>
      <c r="O51" s="112">
        <v>0</v>
      </c>
      <c r="P51" s="112">
        <v>0.39</v>
      </c>
      <c r="Q51" s="112">
        <v>5.42</v>
      </c>
    </row>
    <row r="52" spans="1:17" customFormat="1">
      <c r="A52" s="189" t="s">
        <v>1050</v>
      </c>
      <c r="B52" s="112">
        <v>10.24</v>
      </c>
      <c r="C52" s="112">
        <v>14.6</v>
      </c>
      <c r="D52" s="112">
        <v>17.190000000000001</v>
      </c>
      <c r="E52" s="112">
        <v>7.54</v>
      </c>
      <c r="F52" s="112">
        <v>5.36</v>
      </c>
      <c r="G52" s="112">
        <v>9.01</v>
      </c>
      <c r="H52" s="112">
        <v>2.5499999999999998</v>
      </c>
      <c r="I52" s="112">
        <v>2.8</v>
      </c>
      <c r="J52" s="112">
        <v>0.28000000000000003</v>
      </c>
      <c r="K52" s="112">
        <v>249.15</v>
      </c>
      <c r="L52" s="112">
        <v>28.47</v>
      </c>
      <c r="M52" s="112">
        <v>80.48</v>
      </c>
      <c r="N52" s="112">
        <v>317.10000000000002</v>
      </c>
      <c r="O52" s="112">
        <v>0</v>
      </c>
      <c r="P52" s="112">
        <v>0.39</v>
      </c>
      <c r="Q52" s="112">
        <v>5.43</v>
      </c>
    </row>
    <row r="53" spans="1:17" customFormat="1">
      <c r="A53" s="189" t="s">
        <v>1051</v>
      </c>
      <c r="B53" s="112">
        <v>10.32</v>
      </c>
      <c r="C53" s="112">
        <v>16.329999999999998</v>
      </c>
      <c r="D53" s="112">
        <v>18.16</v>
      </c>
      <c r="E53" s="112">
        <v>8.16</v>
      </c>
      <c r="F53" s="112">
        <v>4.4000000000000004</v>
      </c>
      <c r="G53" s="112">
        <v>8.11</v>
      </c>
      <c r="H53" s="112">
        <v>2.41</v>
      </c>
      <c r="I53" s="112">
        <v>2.77</v>
      </c>
      <c r="J53" s="112">
        <v>0.5</v>
      </c>
      <c r="K53" s="112">
        <v>260.45</v>
      </c>
      <c r="L53" s="112">
        <v>29.23</v>
      </c>
      <c r="M53" s="112">
        <v>77.28</v>
      </c>
      <c r="N53" s="112">
        <v>394.8</v>
      </c>
      <c r="O53" s="112">
        <v>0</v>
      </c>
      <c r="P53" s="112">
        <v>0.42</v>
      </c>
      <c r="Q53" s="112">
        <v>5.45</v>
      </c>
    </row>
    <row r="54" spans="1:17" customFormat="1">
      <c r="A54" s="189" t="s">
        <v>1052</v>
      </c>
      <c r="B54" s="112">
        <v>10.3</v>
      </c>
      <c r="C54" s="112">
        <v>15.98</v>
      </c>
      <c r="D54" s="112">
        <v>17.96</v>
      </c>
      <c r="E54" s="112">
        <v>7.81</v>
      </c>
      <c r="F54" s="112">
        <v>4.84</v>
      </c>
      <c r="G54" s="112">
        <v>8.11</v>
      </c>
      <c r="H54" s="112">
        <v>2.41</v>
      </c>
      <c r="I54" s="112">
        <v>2.8</v>
      </c>
      <c r="J54" s="112">
        <v>0.53</v>
      </c>
      <c r="K54" s="112">
        <v>256.08</v>
      </c>
      <c r="L54" s="112">
        <v>29.29</v>
      </c>
      <c r="M54" s="112">
        <v>76.78</v>
      </c>
      <c r="N54" s="112">
        <v>328</v>
      </c>
      <c r="O54" s="112">
        <v>0</v>
      </c>
      <c r="P54" s="112">
        <v>0.42</v>
      </c>
      <c r="Q54" s="112">
        <v>5.45</v>
      </c>
    </row>
    <row r="55" spans="1:17" customFormat="1">
      <c r="A55" s="189" t="s">
        <v>1053</v>
      </c>
      <c r="B55" s="112">
        <v>10.220000000000001</v>
      </c>
      <c r="C55" s="112">
        <v>15.51</v>
      </c>
      <c r="D55" s="112">
        <v>17.649999999999999</v>
      </c>
      <c r="E55" s="112">
        <v>7.63</v>
      </c>
      <c r="F55" s="112">
        <v>5.17</v>
      </c>
      <c r="G55" s="112">
        <v>8.11</v>
      </c>
      <c r="H55" s="112">
        <v>2.41</v>
      </c>
      <c r="I55" s="112">
        <v>2.86</v>
      </c>
      <c r="J55" s="112">
        <v>0.35</v>
      </c>
      <c r="K55" s="112">
        <v>252.38</v>
      </c>
      <c r="L55" s="112">
        <v>28.78</v>
      </c>
      <c r="M55" s="112">
        <v>78.7</v>
      </c>
      <c r="N55" s="112">
        <v>156</v>
      </c>
      <c r="O55" s="112">
        <v>0</v>
      </c>
      <c r="P55" s="112">
        <v>0.41</v>
      </c>
      <c r="Q55" s="112">
        <v>5.44</v>
      </c>
    </row>
    <row r="56" spans="1:17" customFormat="1">
      <c r="A56" s="189" t="s">
        <v>1054</v>
      </c>
      <c r="B56" s="112">
        <v>10.029999999999999</v>
      </c>
      <c r="C56" s="112">
        <v>15.11</v>
      </c>
      <c r="D56" s="112">
        <v>17.29</v>
      </c>
      <c r="E56" s="112">
        <v>7.62</v>
      </c>
      <c r="F56" s="112">
        <v>5.4</v>
      </c>
      <c r="G56" s="112">
        <v>6.88</v>
      </c>
      <c r="H56" s="112">
        <v>2.39</v>
      </c>
      <c r="I56" s="112">
        <v>2.87</v>
      </c>
      <c r="J56" s="112">
        <v>0.24</v>
      </c>
      <c r="K56" s="112">
        <v>239.86</v>
      </c>
      <c r="L56" s="112">
        <v>28.68</v>
      </c>
      <c r="M56" s="112">
        <v>79.02</v>
      </c>
      <c r="N56" s="112">
        <v>246.6</v>
      </c>
      <c r="O56" s="112">
        <v>0</v>
      </c>
      <c r="P56" s="112">
        <v>0.41</v>
      </c>
      <c r="Q56" s="112">
        <v>5.41</v>
      </c>
    </row>
    <row r="57" spans="1:17" customFormat="1">
      <c r="A57" s="189" t="s">
        <v>1055</v>
      </c>
      <c r="B57" s="112">
        <v>9.9600000000000009</v>
      </c>
      <c r="C57" s="112">
        <v>14.87</v>
      </c>
      <c r="D57" s="112">
        <v>17.11</v>
      </c>
      <c r="E57" s="112">
        <v>7.73</v>
      </c>
      <c r="F57" s="112">
        <v>5.41</v>
      </c>
      <c r="G57" s="112">
        <v>5.97</v>
      </c>
      <c r="H57" s="112">
        <v>2.37</v>
      </c>
      <c r="I57" s="112">
        <v>2.85</v>
      </c>
      <c r="J57" s="112">
        <v>0.21</v>
      </c>
      <c r="K57" s="112">
        <v>208.68</v>
      </c>
      <c r="L57" s="112">
        <v>29.12</v>
      </c>
      <c r="M57" s="112">
        <v>77.77</v>
      </c>
      <c r="N57" s="112">
        <v>281.60000000000002</v>
      </c>
      <c r="O57" s="112">
        <v>0</v>
      </c>
      <c r="P57" s="112">
        <v>0.41</v>
      </c>
      <c r="Q57" s="112">
        <v>5.41</v>
      </c>
    </row>
    <row r="58" spans="1:17" customFormat="1">
      <c r="A58" s="189" t="s">
        <v>1056</v>
      </c>
      <c r="B58" s="112">
        <v>9.85</v>
      </c>
      <c r="C58" s="112">
        <v>14.78</v>
      </c>
      <c r="D58" s="112">
        <v>16.97</v>
      </c>
      <c r="E58" s="112">
        <v>7.68</v>
      </c>
      <c r="F58" s="112">
        <v>5.37</v>
      </c>
      <c r="G58" s="112">
        <v>5.97</v>
      </c>
      <c r="H58" s="112">
        <v>2.37</v>
      </c>
      <c r="I58" s="112">
        <v>2.81</v>
      </c>
      <c r="J58" s="112">
        <v>0.39</v>
      </c>
      <c r="K58" s="112">
        <v>255.84</v>
      </c>
      <c r="L58" s="112">
        <v>29.56</v>
      </c>
      <c r="M58" s="112">
        <v>76.22</v>
      </c>
      <c r="N58" s="112">
        <v>489.1</v>
      </c>
      <c r="O58" s="112">
        <v>0</v>
      </c>
      <c r="P58" s="112">
        <v>0.4</v>
      </c>
      <c r="Q58" s="112">
        <v>5.39</v>
      </c>
    </row>
    <row r="59" spans="1:17" customFormat="1">
      <c r="A59" s="189" t="s">
        <v>1057</v>
      </c>
      <c r="B59" s="112">
        <v>9.76</v>
      </c>
      <c r="C59" s="112">
        <v>14.73</v>
      </c>
      <c r="D59" s="112">
        <v>16.88</v>
      </c>
      <c r="E59" s="112">
        <v>7.39</v>
      </c>
      <c r="F59" s="112">
        <v>5.61</v>
      </c>
      <c r="G59" s="112">
        <v>5.97</v>
      </c>
      <c r="H59" s="112">
        <v>2.37</v>
      </c>
      <c r="I59" s="112">
        <v>2.85</v>
      </c>
      <c r="J59" s="112">
        <v>0.2</v>
      </c>
      <c r="K59" s="112">
        <v>228.99</v>
      </c>
      <c r="L59" s="112">
        <v>30.12</v>
      </c>
      <c r="M59" s="112">
        <v>75.12</v>
      </c>
      <c r="N59" s="112">
        <v>364.7</v>
      </c>
      <c r="O59" s="112">
        <v>0</v>
      </c>
      <c r="P59" s="112">
        <v>0.4</v>
      </c>
      <c r="Q59" s="112">
        <v>5.39</v>
      </c>
    </row>
    <row r="60" spans="1:17" customFormat="1">
      <c r="A60" s="189" t="s">
        <v>1058</v>
      </c>
      <c r="B60" s="112">
        <v>9.48</v>
      </c>
      <c r="C60" s="112">
        <v>14.58</v>
      </c>
      <c r="D60" s="112">
        <v>16.57</v>
      </c>
      <c r="E60" s="112">
        <v>7.45</v>
      </c>
      <c r="F60" s="112">
        <v>5.97</v>
      </c>
      <c r="G60" s="112">
        <v>5.23</v>
      </c>
      <c r="H60" s="112">
        <v>1.91</v>
      </c>
      <c r="I60" s="112">
        <v>2.81</v>
      </c>
      <c r="J60" s="112">
        <v>0.45</v>
      </c>
      <c r="K60" s="112">
        <v>243.71</v>
      </c>
      <c r="L60" s="112">
        <v>29.79</v>
      </c>
      <c r="M60" s="112">
        <v>76.239999999999995</v>
      </c>
      <c r="N60" s="112">
        <v>286.89999999999998</v>
      </c>
      <c r="O60" s="112">
        <v>0</v>
      </c>
      <c r="P60" s="112">
        <v>0.4</v>
      </c>
      <c r="Q60" s="112">
        <v>5.34</v>
      </c>
    </row>
    <row r="61" spans="1:17" customFormat="1">
      <c r="A61" s="189" t="s">
        <v>1059</v>
      </c>
      <c r="B61" s="112">
        <v>9.3800000000000008</v>
      </c>
      <c r="C61" s="112">
        <v>14.66</v>
      </c>
      <c r="D61" s="112">
        <v>16.53</v>
      </c>
      <c r="E61" s="112">
        <v>7.6</v>
      </c>
      <c r="F61" s="112">
        <v>5.48</v>
      </c>
      <c r="G61" s="112">
        <v>4.6900000000000004</v>
      </c>
      <c r="H61" s="112">
        <v>1.77</v>
      </c>
      <c r="I61" s="112">
        <v>2.79</v>
      </c>
      <c r="J61" s="112">
        <v>0.51</v>
      </c>
      <c r="K61" s="112">
        <v>264.94</v>
      </c>
      <c r="L61" s="112">
        <v>29.1</v>
      </c>
      <c r="M61" s="112">
        <v>78.260000000000005</v>
      </c>
      <c r="N61" s="112">
        <v>230.2</v>
      </c>
      <c r="O61" s="112">
        <v>0</v>
      </c>
      <c r="P61" s="112">
        <v>0.4</v>
      </c>
      <c r="Q61" s="112">
        <v>5.34</v>
      </c>
    </row>
    <row r="62" spans="1:17" customFormat="1">
      <c r="A62" s="189" t="s">
        <v>1060</v>
      </c>
      <c r="B62" s="112">
        <v>9.26</v>
      </c>
      <c r="C62" s="112">
        <v>14.84</v>
      </c>
      <c r="D62" s="112">
        <v>16.53</v>
      </c>
      <c r="E62" s="112">
        <v>7.46</v>
      </c>
      <c r="F62" s="112">
        <v>5.28</v>
      </c>
      <c r="G62" s="112">
        <v>4.6900000000000004</v>
      </c>
      <c r="H62" s="112">
        <v>1.77</v>
      </c>
      <c r="I62" s="112">
        <v>2.8</v>
      </c>
      <c r="J62" s="112">
        <v>0.27</v>
      </c>
      <c r="K62" s="112">
        <v>224.3</v>
      </c>
      <c r="L62" s="112">
        <v>29.7</v>
      </c>
      <c r="M62" s="112">
        <v>75.41</v>
      </c>
      <c r="N62" s="112">
        <v>336.1</v>
      </c>
      <c r="O62" s="112">
        <v>0</v>
      </c>
      <c r="P62" s="112">
        <v>0.4</v>
      </c>
      <c r="Q62" s="112">
        <v>5.31</v>
      </c>
    </row>
    <row r="63" spans="1:17" customFormat="1">
      <c r="A63" s="189" t="s">
        <v>1061</v>
      </c>
      <c r="B63" s="112">
        <v>9.2899999999999991</v>
      </c>
      <c r="C63" s="112">
        <v>14.7</v>
      </c>
      <c r="D63" s="112">
        <v>16.48</v>
      </c>
      <c r="E63" s="112">
        <v>7.56</v>
      </c>
      <c r="F63" s="112">
        <v>5.17</v>
      </c>
      <c r="G63" s="112">
        <v>4.6900000000000004</v>
      </c>
      <c r="H63" s="112">
        <v>1.77</v>
      </c>
      <c r="I63" s="112">
        <v>2.82</v>
      </c>
      <c r="J63" s="112">
        <v>0.36</v>
      </c>
      <c r="K63" s="112">
        <v>259.64</v>
      </c>
      <c r="L63" s="112">
        <v>29.97</v>
      </c>
      <c r="M63" s="112">
        <v>74.25</v>
      </c>
      <c r="N63" s="112">
        <v>278.60000000000002</v>
      </c>
      <c r="O63" s="112">
        <v>0</v>
      </c>
      <c r="P63" s="112">
        <v>0.4</v>
      </c>
      <c r="Q63" s="112">
        <v>5.33</v>
      </c>
    </row>
    <row r="64" spans="1:17" customFormat="1">
      <c r="A64" s="189" t="s">
        <v>1062</v>
      </c>
      <c r="B64" s="112">
        <v>9.0299999999999994</v>
      </c>
      <c r="C64" s="112">
        <v>14.45</v>
      </c>
      <c r="D64" s="112">
        <v>16.14</v>
      </c>
      <c r="E64" s="112">
        <v>7.68</v>
      </c>
      <c r="F64" s="112">
        <v>6.08</v>
      </c>
      <c r="G64" s="112">
        <v>4.6500000000000004</v>
      </c>
      <c r="H64" s="112">
        <v>1.51</v>
      </c>
      <c r="I64" s="112">
        <v>2.83</v>
      </c>
      <c r="J64" s="112">
        <v>0.2</v>
      </c>
      <c r="K64" s="112">
        <v>220.03</v>
      </c>
      <c r="L64" s="112">
        <v>29.94</v>
      </c>
      <c r="M64" s="112">
        <v>76.209999999999994</v>
      </c>
      <c r="N64" s="112">
        <v>225.5</v>
      </c>
      <c r="O64" s="112">
        <v>0</v>
      </c>
      <c r="P64" s="112">
        <v>0.41</v>
      </c>
      <c r="Q64" s="112">
        <v>5.32</v>
      </c>
    </row>
    <row r="65" spans="1:17" customFormat="1">
      <c r="A65" s="189" t="s">
        <v>1063</v>
      </c>
      <c r="B65" s="112">
        <v>8.91</v>
      </c>
      <c r="C65" s="112">
        <v>14.5</v>
      </c>
      <c r="D65" s="112">
        <v>16.07</v>
      </c>
      <c r="E65" s="112">
        <v>7.44</v>
      </c>
      <c r="F65" s="112">
        <v>5.95</v>
      </c>
      <c r="G65" s="112">
        <v>4.62</v>
      </c>
      <c r="H65" s="112">
        <v>1.43</v>
      </c>
      <c r="I65" s="112">
        <v>2.8</v>
      </c>
      <c r="J65" s="112">
        <v>0.12</v>
      </c>
      <c r="K65" s="112">
        <v>180.99</v>
      </c>
      <c r="L65" s="112">
        <v>30.62</v>
      </c>
      <c r="M65" s="112">
        <v>73.44</v>
      </c>
      <c r="N65" s="112">
        <v>396.5</v>
      </c>
      <c r="O65" s="112">
        <v>0</v>
      </c>
      <c r="P65" s="112">
        <v>0.3</v>
      </c>
      <c r="Q65" s="112">
        <v>5.33</v>
      </c>
    </row>
    <row r="66" spans="1:17" customFormat="1">
      <c r="A66" s="189" t="s">
        <v>1064</v>
      </c>
      <c r="B66" s="112">
        <v>8.94</v>
      </c>
      <c r="C66" s="112">
        <v>14.24</v>
      </c>
      <c r="D66" s="112">
        <v>15.96</v>
      </c>
      <c r="E66" s="112">
        <v>7.57</v>
      </c>
      <c r="F66" s="112">
        <v>6.13</v>
      </c>
      <c r="G66" s="112">
        <v>4.62</v>
      </c>
      <c r="H66" s="112">
        <v>1.43</v>
      </c>
      <c r="I66" s="112">
        <v>2.74</v>
      </c>
      <c r="J66" s="112">
        <v>0.26</v>
      </c>
      <c r="K66" s="112">
        <v>228.03</v>
      </c>
      <c r="L66" s="112">
        <v>30.85</v>
      </c>
      <c r="M66" s="112">
        <v>72.77</v>
      </c>
      <c r="N66" s="112">
        <v>245.5</v>
      </c>
      <c r="O66" s="112">
        <v>0</v>
      </c>
      <c r="P66" s="112">
        <v>0.33</v>
      </c>
      <c r="Q66" s="112">
        <v>5.33</v>
      </c>
    </row>
    <row r="67" spans="1:17" customFormat="1">
      <c r="A67" s="189" t="s">
        <v>1065</v>
      </c>
      <c r="B67" s="112">
        <v>8.89</v>
      </c>
      <c r="C67" s="112">
        <v>14.66</v>
      </c>
      <c r="D67" s="112">
        <v>16.14</v>
      </c>
      <c r="E67" s="112">
        <v>7.7</v>
      </c>
      <c r="F67" s="112">
        <v>5.69</v>
      </c>
      <c r="G67" s="112">
        <v>4.62</v>
      </c>
      <c r="H67" s="112">
        <v>1.43</v>
      </c>
      <c r="I67" s="112">
        <v>2.73</v>
      </c>
      <c r="J67" s="112">
        <v>0.33</v>
      </c>
      <c r="K67" s="112">
        <v>244.49</v>
      </c>
      <c r="L67" s="112">
        <v>29.75</v>
      </c>
      <c r="M67" s="112">
        <v>75.349999999999994</v>
      </c>
      <c r="N67" s="112">
        <v>158.9</v>
      </c>
      <c r="O67" s="112">
        <v>0</v>
      </c>
      <c r="P67" s="112">
        <v>0.33</v>
      </c>
      <c r="Q67" s="112">
        <v>5.31</v>
      </c>
    </row>
    <row r="68" spans="1:17" customFormat="1">
      <c r="A68" s="189" t="s">
        <v>1066</v>
      </c>
      <c r="B68" s="112">
        <v>8.65</v>
      </c>
      <c r="C68" s="112">
        <v>14.06</v>
      </c>
      <c r="D68" s="112">
        <v>15.63</v>
      </c>
      <c r="E68" s="112">
        <v>7.75</v>
      </c>
      <c r="F68" s="112">
        <v>7.24</v>
      </c>
      <c r="G68" s="112">
        <v>5.36</v>
      </c>
      <c r="H68" s="112">
        <v>1.43</v>
      </c>
      <c r="I68" s="112">
        <v>2.8</v>
      </c>
      <c r="J68" s="112">
        <v>0.32</v>
      </c>
      <c r="K68" s="112">
        <v>234.74</v>
      </c>
      <c r="L68" s="112">
        <v>30.16</v>
      </c>
      <c r="M68" s="112">
        <v>74.680000000000007</v>
      </c>
      <c r="N68" s="112">
        <v>353.3</v>
      </c>
      <c r="O68" s="112">
        <v>0</v>
      </c>
      <c r="P68" s="112">
        <v>0.33</v>
      </c>
      <c r="Q68" s="112">
        <v>5.29</v>
      </c>
    </row>
    <row r="69" spans="1:17" customFormat="1">
      <c r="A69" s="189" t="s">
        <v>1067</v>
      </c>
      <c r="B69" s="112">
        <v>8.77</v>
      </c>
      <c r="C69" s="112">
        <v>14.16</v>
      </c>
      <c r="D69" s="112">
        <v>15.78</v>
      </c>
      <c r="E69" s="112">
        <v>8.02</v>
      </c>
      <c r="F69" s="112">
        <v>6.31</v>
      </c>
      <c r="G69" s="112">
        <v>5.91</v>
      </c>
      <c r="H69" s="112">
        <v>1.43</v>
      </c>
      <c r="I69" s="112">
        <v>2.77</v>
      </c>
      <c r="J69" s="112">
        <v>0.36</v>
      </c>
      <c r="K69" s="112">
        <v>251.19</v>
      </c>
      <c r="L69" s="112">
        <v>30.05</v>
      </c>
      <c r="M69" s="112">
        <v>75.11</v>
      </c>
      <c r="N69" s="112">
        <v>175.8</v>
      </c>
      <c r="O69" s="112">
        <v>0</v>
      </c>
      <c r="P69" s="112">
        <v>0.33</v>
      </c>
      <c r="Q69" s="112">
        <v>5.3</v>
      </c>
    </row>
    <row r="70" spans="1:17" customFormat="1">
      <c r="A70" s="189" t="s">
        <v>1068</v>
      </c>
      <c r="B70" s="112">
        <v>8.7899999999999991</v>
      </c>
      <c r="C70" s="112">
        <v>14.09</v>
      </c>
      <c r="D70" s="112">
        <v>15.76</v>
      </c>
      <c r="E70" s="112">
        <v>7.64</v>
      </c>
      <c r="F70" s="112">
        <v>6.07</v>
      </c>
      <c r="G70" s="112">
        <v>5.91</v>
      </c>
      <c r="H70" s="112">
        <v>1.43</v>
      </c>
      <c r="I70" s="112">
        <v>2.67</v>
      </c>
      <c r="J70" s="112">
        <v>0.33</v>
      </c>
      <c r="K70" s="112">
        <v>246.61</v>
      </c>
      <c r="L70" s="112">
        <v>29.33</v>
      </c>
      <c r="M70" s="112">
        <v>77.64</v>
      </c>
      <c r="N70" s="112">
        <v>75.400000000000006</v>
      </c>
      <c r="O70" s="112">
        <v>0</v>
      </c>
      <c r="P70" s="112">
        <v>0.32</v>
      </c>
      <c r="Q70" s="112">
        <v>5.29</v>
      </c>
    </row>
    <row r="71" spans="1:17" customFormat="1">
      <c r="A71" s="189" t="s">
        <v>1069</v>
      </c>
      <c r="B71" s="112">
        <v>8.75</v>
      </c>
      <c r="C71" s="112">
        <v>14.29</v>
      </c>
      <c r="D71" s="112">
        <v>15.84</v>
      </c>
      <c r="E71" s="112">
        <v>7.42</v>
      </c>
      <c r="F71" s="112">
        <v>6.03</v>
      </c>
      <c r="G71" s="112">
        <v>5.91</v>
      </c>
      <c r="H71" s="112">
        <v>1.43</v>
      </c>
      <c r="I71" s="112">
        <v>2.74</v>
      </c>
      <c r="J71" s="112">
        <v>0.19</v>
      </c>
      <c r="K71" s="112">
        <v>190.62</v>
      </c>
      <c r="L71" s="112">
        <v>28.93</v>
      </c>
      <c r="M71" s="112">
        <v>78.91</v>
      </c>
      <c r="N71" s="112">
        <v>56.2</v>
      </c>
      <c r="O71" s="112">
        <v>0</v>
      </c>
      <c r="P71" s="112">
        <v>0.32</v>
      </c>
      <c r="Q71" s="112">
        <v>5.27</v>
      </c>
    </row>
    <row r="72" spans="1:17" customFormat="1">
      <c r="A72" s="189" t="s">
        <v>1070</v>
      </c>
      <c r="B72" s="112">
        <v>8.75</v>
      </c>
      <c r="C72" s="112">
        <v>14.17</v>
      </c>
      <c r="D72" s="112">
        <v>15.77</v>
      </c>
      <c r="E72" s="112">
        <v>7.39</v>
      </c>
      <c r="F72" s="112">
        <v>6.12</v>
      </c>
      <c r="G72" s="112">
        <v>6.05</v>
      </c>
      <c r="H72" s="112">
        <v>2.17</v>
      </c>
      <c r="I72" s="112">
        <v>2.74</v>
      </c>
      <c r="J72" s="112">
        <v>0.12</v>
      </c>
      <c r="K72" s="112">
        <v>191.66</v>
      </c>
      <c r="L72" s="112">
        <v>28.76</v>
      </c>
      <c r="M72" s="112">
        <v>80.63</v>
      </c>
      <c r="N72" s="112">
        <v>60.3</v>
      </c>
      <c r="O72" s="112">
        <v>0</v>
      </c>
      <c r="P72" s="112">
        <v>0.33</v>
      </c>
      <c r="Q72" s="112">
        <v>5.3</v>
      </c>
    </row>
    <row r="73" spans="1:17" customFormat="1">
      <c r="A73" s="189" t="s">
        <v>1071</v>
      </c>
      <c r="B73" s="112">
        <v>8.66</v>
      </c>
      <c r="C73" s="112">
        <v>14.06</v>
      </c>
      <c r="D73" s="112">
        <v>15.64</v>
      </c>
      <c r="E73" s="112">
        <v>7.88</v>
      </c>
      <c r="F73" s="112">
        <v>6.27</v>
      </c>
      <c r="G73" s="112">
        <v>6.16</v>
      </c>
      <c r="H73" s="112">
        <v>2.4</v>
      </c>
      <c r="I73" s="112">
        <v>2.71</v>
      </c>
      <c r="J73" s="112">
        <v>0.27</v>
      </c>
      <c r="K73" s="112">
        <v>240.36</v>
      </c>
      <c r="L73" s="112">
        <v>28.81</v>
      </c>
      <c r="M73" s="112">
        <v>80.739999999999995</v>
      </c>
      <c r="N73" s="112">
        <v>67</v>
      </c>
      <c r="O73" s="112">
        <v>0</v>
      </c>
      <c r="P73" s="112">
        <v>0.34</v>
      </c>
      <c r="Q73" s="112">
        <v>5.32</v>
      </c>
    </row>
    <row r="74" spans="1:17" customFormat="1">
      <c r="A74" s="189" t="s">
        <v>1072</v>
      </c>
      <c r="B74" s="112">
        <v>8.6</v>
      </c>
      <c r="C74" s="112">
        <v>13.71</v>
      </c>
      <c r="D74" s="112">
        <v>15.41</v>
      </c>
      <c r="E74" s="112">
        <v>7.65</v>
      </c>
      <c r="F74" s="112">
        <v>6.79</v>
      </c>
      <c r="G74" s="112">
        <v>6.16</v>
      </c>
      <c r="H74" s="112">
        <v>2.4</v>
      </c>
      <c r="I74" s="112">
        <v>2.7</v>
      </c>
      <c r="J74" s="112">
        <v>0.33</v>
      </c>
      <c r="K74" s="112">
        <v>254.37</v>
      </c>
      <c r="L74" s="112">
        <v>28.83</v>
      </c>
      <c r="M74" s="112">
        <v>80.42</v>
      </c>
      <c r="N74" s="112">
        <v>60.6</v>
      </c>
      <c r="O74" s="112">
        <v>0</v>
      </c>
      <c r="P74" s="112">
        <v>0.34</v>
      </c>
      <c r="Q74" s="112">
        <v>5.3</v>
      </c>
    </row>
    <row r="75" spans="1:17" customFormat="1">
      <c r="A75" s="189" t="s">
        <v>1073</v>
      </c>
      <c r="B75" s="112">
        <v>8.68</v>
      </c>
      <c r="C75" s="112">
        <v>14.01</v>
      </c>
      <c r="D75" s="112">
        <v>15.63</v>
      </c>
      <c r="E75" s="112">
        <v>7.4</v>
      </c>
      <c r="F75" s="112">
        <v>6.38</v>
      </c>
      <c r="G75" s="112">
        <v>6.16</v>
      </c>
      <c r="H75" s="112">
        <v>2.4</v>
      </c>
      <c r="I75" s="112">
        <v>2.68</v>
      </c>
      <c r="J75" s="112">
        <v>0.38</v>
      </c>
      <c r="K75" s="112">
        <v>258.93</v>
      </c>
      <c r="L75" s="112">
        <v>28.75</v>
      </c>
      <c r="M75" s="112">
        <v>80.930000000000007</v>
      </c>
      <c r="N75" s="112">
        <v>67.2</v>
      </c>
      <c r="O75" s="112">
        <v>0</v>
      </c>
      <c r="P75" s="112">
        <v>0.33</v>
      </c>
      <c r="Q75" s="112">
        <v>5.28</v>
      </c>
    </row>
    <row r="76" spans="1:17" customFormat="1">
      <c r="A76" s="189" t="s">
        <v>1074</v>
      </c>
      <c r="B76" s="112">
        <v>8.56</v>
      </c>
      <c r="C76" s="112">
        <v>13.67</v>
      </c>
      <c r="D76" s="112">
        <v>15.36</v>
      </c>
      <c r="E76" s="112">
        <v>7.6</v>
      </c>
      <c r="F76" s="112">
        <v>7.33</v>
      </c>
      <c r="G76" s="112">
        <v>7.88</v>
      </c>
      <c r="H76" s="112">
        <v>2.4700000000000002</v>
      </c>
      <c r="I76" s="112">
        <v>2.66</v>
      </c>
      <c r="J76" s="112">
        <v>0.39</v>
      </c>
      <c r="K76" s="112">
        <v>260.42</v>
      </c>
      <c r="L76" s="112">
        <v>28.7</v>
      </c>
      <c r="M76" s="112">
        <v>79.64</v>
      </c>
      <c r="N76" s="112">
        <v>54.4</v>
      </c>
      <c r="O76" s="112">
        <v>0</v>
      </c>
      <c r="P76" s="112">
        <v>0.33</v>
      </c>
      <c r="Q76" s="112">
        <v>5.28</v>
      </c>
    </row>
    <row r="77" spans="1:17" customFormat="1">
      <c r="A77" s="189" t="s">
        <v>1075</v>
      </c>
      <c r="B77" s="112">
        <v>8.59</v>
      </c>
      <c r="C77" s="112">
        <v>13.2</v>
      </c>
      <c r="D77" s="112">
        <v>15.14</v>
      </c>
      <c r="E77" s="112">
        <v>7.72</v>
      </c>
      <c r="F77" s="112">
        <v>7.67</v>
      </c>
      <c r="G77" s="112">
        <v>9.1300000000000008</v>
      </c>
      <c r="H77" s="112">
        <v>2.5</v>
      </c>
      <c r="I77" s="112">
        <v>2.7</v>
      </c>
      <c r="J77" s="112">
        <v>0.3</v>
      </c>
      <c r="K77" s="112">
        <v>250.19</v>
      </c>
      <c r="L77" s="112">
        <v>28.42</v>
      </c>
      <c r="M77" s="112">
        <v>80.48</v>
      </c>
      <c r="N77" s="112">
        <v>25.9</v>
      </c>
      <c r="O77" s="112">
        <v>0</v>
      </c>
      <c r="P77" s="112">
        <v>0.32</v>
      </c>
      <c r="Q77" s="112">
        <v>5.29</v>
      </c>
    </row>
    <row r="78" spans="1:17" customFormat="1">
      <c r="A78" s="189" t="s">
        <v>1076</v>
      </c>
      <c r="B78" s="112">
        <v>8.66</v>
      </c>
      <c r="C78" s="112">
        <v>12.86</v>
      </c>
      <c r="D78" s="112">
        <v>15.02</v>
      </c>
      <c r="E78" s="112">
        <v>8.06</v>
      </c>
      <c r="F78" s="112">
        <v>7.65</v>
      </c>
      <c r="G78" s="112">
        <v>9.1300000000000008</v>
      </c>
      <c r="H78" s="112">
        <v>2.5</v>
      </c>
      <c r="I78" s="112">
        <v>2.61</v>
      </c>
      <c r="J78" s="112">
        <v>0.16</v>
      </c>
      <c r="K78" s="112">
        <v>228.01</v>
      </c>
      <c r="L78" s="112">
        <v>28.22</v>
      </c>
      <c r="M78" s="112">
        <v>81.77</v>
      </c>
      <c r="N78" s="112">
        <v>15.3</v>
      </c>
      <c r="O78" s="112">
        <v>0</v>
      </c>
      <c r="P78" s="112">
        <v>0.32</v>
      </c>
      <c r="Q78" s="112">
        <v>5.26</v>
      </c>
    </row>
    <row r="79" spans="1:17" customFormat="1">
      <c r="A79" s="189" t="s">
        <v>1077</v>
      </c>
      <c r="B79" s="112">
        <v>8.36</v>
      </c>
      <c r="C79" s="112">
        <v>12.15</v>
      </c>
      <c r="D79" s="112">
        <v>14.4</v>
      </c>
      <c r="E79" s="112">
        <v>8.08</v>
      </c>
      <c r="F79" s="112">
        <v>8.99</v>
      </c>
      <c r="G79" s="112">
        <v>9.1300000000000008</v>
      </c>
      <c r="H79" s="112">
        <v>2.5</v>
      </c>
      <c r="I79" s="112">
        <v>2.6</v>
      </c>
      <c r="J79" s="112">
        <v>0.14000000000000001</v>
      </c>
      <c r="K79" s="112">
        <v>228.82</v>
      </c>
      <c r="L79" s="112">
        <v>28.01</v>
      </c>
      <c r="M79" s="112">
        <v>83.34</v>
      </c>
      <c r="N79" s="112">
        <v>11.4</v>
      </c>
      <c r="O79" s="112">
        <v>0</v>
      </c>
      <c r="P79" s="112">
        <v>0.31</v>
      </c>
      <c r="Q79" s="112">
        <v>5.27</v>
      </c>
    </row>
    <row r="80" spans="1:17" customFormat="1">
      <c r="A80" s="189" t="s">
        <v>1078</v>
      </c>
      <c r="B80" s="112">
        <v>8.16</v>
      </c>
      <c r="C80" s="112">
        <v>12.1</v>
      </c>
      <c r="D80" s="112">
        <v>14.22</v>
      </c>
      <c r="E80" s="112">
        <v>8.17</v>
      </c>
      <c r="F80" s="112">
        <v>10.73</v>
      </c>
      <c r="G80" s="112">
        <v>8.9600000000000009</v>
      </c>
      <c r="H80" s="112">
        <v>2.25</v>
      </c>
      <c r="I80" s="112">
        <v>2.5299999999999998</v>
      </c>
      <c r="J80" s="112">
        <v>0.16</v>
      </c>
      <c r="K80" s="112">
        <v>246.14</v>
      </c>
      <c r="L80" s="112">
        <v>27.79</v>
      </c>
      <c r="M80" s="112">
        <v>83.08</v>
      </c>
      <c r="N80" s="112">
        <v>2.5</v>
      </c>
      <c r="O80" s="112">
        <v>0</v>
      </c>
      <c r="P80" s="112">
        <v>0.32</v>
      </c>
      <c r="Q80" s="112">
        <v>5.25</v>
      </c>
    </row>
    <row r="81" spans="1:17" customFormat="1">
      <c r="A81" s="189" t="s">
        <v>1079</v>
      </c>
      <c r="B81" s="112">
        <v>7.85</v>
      </c>
      <c r="C81" s="112">
        <v>11.97</v>
      </c>
      <c r="D81" s="112">
        <v>13.9</v>
      </c>
      <c r="E81" s="112">
        <v>6.43</v>
      </c>
      <c r="F81" s="112">
        <v>10.88</v>
      </c>
      <c r="G81" s="112">
        <v>8.84</v>
      </c>
      <c r="H81" s="112">
        <v>2.1</v>
      </c>
      <c r="I81" s="112">
        <v>2.48</v>
      </c>
      <c r="J81" s="112">
        <v>0.11</v>
      </c>
      <c r="K81" s="112">
        <v>212.83</v>
      </c>
      <c r="L81" s="112">
        <v>27.38</v>
      </c>
      <c r="M81" s="112">
        <v>85.3</v>
      </c>
      <c r="N81" s="112">
        <v>0</v>
      </c>
      <c r="O81" s="112">
        <v>0</v>
      </c>
      <c r="P81" s="112">
        <v>0.3</v>
      </c>
      <c r="Q81" s="112">
        <v>5.28</v>
      </c>
    </row>
    <row r="82" spans="1:17" customFormat="1">
      <c r="A82" s="189" t="s">
        <v>1080</v>
      </c>
      <c r="B82" s="112">
        <v>7.83</v>
      </c>
      <c r="C82" s="112">
        <v>12.24</v>
      </c>
      <c r="D82" s="112">
        <v>14.03</v>
      </c>
      <c r="E82" s="112">
        <v>7.28</v>
      </c>
      <c r="F82" s="112">
        <v>10.37</v>
      </c>
      <c r="G82" s="112">
        <v>8.84</v>
      </c>
      <c r="H82" s="112">
        <v>2.1</v>
      </c>
      <c r="I82" s="112">
        <v>2.36</v>
      </c>
      <c r="J82" s="112">
        <v>0.11</v>
      </c>
      <c r="K82" s="112">
        <v>265.45</v>
      </c>
      <c r="L82" s="112">
        <v>27.13</v>
      </c>
      <c r="M82" s="112">
        <v>86.21</v>
      </c>
      <c r="N82" s="112">
        <v>0</v>
      </c>
      <c r="O82" s="112">
        <v>0</v>
      </c>
      <c r="P82" s="112">
        <v>0.31</v>
      </c>
      <c r="Q82" s="112">
        <v>5.27</v>
      </c>
    </row>
    <row r="83" spans="1:17" customFormat="1">
      <c r="A83" s="189" t="s">
        <v>1081</v>
      </c>
      <c r="B83" s="112">
        <v>7.84</v>
      </c>
      <c r="C83" s="112">
        <v>12.22</v>
      </c>
      <c r="D83" s="112">
        <v>14.03</v>
      </c>
      <c r="E83" s="112">
        <v>6.98</v>
      </c>
      <c r="F83" s="112">
        <v>9.9600000000000009</v>
      </c>
      <c r="G83" s="112">
        <v>8.84</v>
      </c>
      <c r="H83" s="112">
        <v>2.1</v>
      </c>
      <c r="I83" s="112">
        <v>2.46</v>
      </c>
      <c r="J83" s="112">
        <v>0.28000000000000003</v>
      </c>
      <c r="K83" s="112">
        <v>259.37</v>
      </c>
      <c r="L83" s="112">
        <v>27.04</v>
      </c>
      <c r="M83" s="112">
        <v>86.4</v>
      </c>
      <c r="N83" s="112">
        <v>0</v>
      </c>
      <c r="O83" s="112">
        <v>0</v>
      </c>
      <c r="P83" s="112">
        <v>0.3</v>
      </c>
      <c r="Q83" s="112">
        <v>5.26</v>
      </c>
    </row>
    <row r="84" spans="1:17" customFormat="1">
      <c r="A84" s="189" t="s">
        <v>1082</v>
      </c>
      <c r="B84" s="112">
        <v>7.99</v>
      </c>
      <c r="C84" s="112">
        <v>12.89</v>
      </c>
      <c r="D84" s="112">
        <v>14.49</v>
      </c>
      <c r="E84" s="112">
        <v>6.72</v>
      </c>
      <c r="F84" s="112">
        <v>9.17</v>
      </c>
      <c r="G84" s="112">
        <v>9.2200000000000006</v>
      </c>
      <c r="H84" s="112">
        <v>1.83</v>
      </c>
      <c r="I84" s="112">
        <v>2.42</v>
      </c>
      <c r="J84" s="112">
        <v>0.19</v>
      </c>
      <c r="K84" s="112">
        <v>249.02</v>
      </c>
      <c r="L84" s="112">
        <v>27.18</v>
      </c>
      <c r="M84" s="112">
        <v>85.64</v>
      </c>
      <c r="N84" s="112">
        <v>0</v>
      </c>
      <c r="O84" s="112">
        <v>0</v>
      </c>
      <c r="P84" s="112">
        <v>0.31</v>
      </c>
      <c r="Q84" s="112">
        <v>5.26</v>
      </c>
    </row>
    <row r="85" spans="1:17" customFormat="1">
      <c r="A85" s="189" t="s">
        <v>1083</v>
      </c>
      <c r="B85" s="112">
        <v>8.66</v>
      </c>
      <c r="C85" s="112">
        <v>15.51</v>
      </c>
      <c r="D85" s="112">
        <v>16.399999999999999</v>
      </c>
      <c r="E85" s="112">
        <v>7.32</v>
      </c>
      <c r="F85" s="112">
        <v>5.71</v>
      </c>
      <c r="G85" s="112">
        <v>9.5</v>
      </c>
      <c r="H85" s="112">
        <v>1.74</v>
      </c>
      <c r="I85" s="112">
        <v>2.54</v>
      </c>
      <c r="J85" s="112">
        <v>0.28000000000000003</v>
      </c>
      <c r="K85" s="112">
        <v>251.91</v>
      </c>
      <c r="L85" s="112">
        <v>27.22</v>
      </c>
      <c r="M85" s="112">
        <v>85.14</v>
      </c>
      <c r="N85" s="112">
        <v>0</v>
      </c>
      <c r="O85" s="112">
        <v>0</v>
      </c>
      <c r="P85" s="112">
        <v>0.35</v>
      </c>
      <c r="Q85" s="112">
        <v>5.35</v>
      </c>
    </row>
    <row r="86" spans="1:17" customFormat="1">
      <c r="A86" s="189" t="s">
        <v>1084</v>
      </c>
      <c r="B86" s="112">
        <v>8.7799999999999994</v>
      </c>
      <c r="C86" s="112">
        <v>14.66</v>
      </c>
      <c r="D86" s="112">
        <v>16.05</v>
      </c>
      <c r="E86" s="112">
        <v>7.56</v>
      </c>
      <c r="F86" s="112">
        <v>6.85</v>
      </c>
      <c r="G86" s="112">
        <v>9.5</v>
      </c>
      <c r="H86" s="112">
        <v>1.74</v>
      </c>
      <c r="I86" s="112">
        <v>2.67</v>
      </c>
      <c r="J86" s="112">
        <v>0.13</v>
      </c>
      <c r="K86" s="112">
        <v>230.89</v>
      </c>
      <c r="L86" s="112">
        <v>27.1</v>
      </c>
      <c r="M86" s="112">
        <v>85.06</v>
      </c>
      <c r="N86" s="112">
        <v>0</v>
      </c>
      <c r="O86" s="112">
        <v>0</v>
      </c>
      <c r="P86" s="112">
        <v>0.36</v>
      </c>
      <c r="Q86" s="112">
        <v>5.36</v>
      </c>
    </row>
    <row r="87" spans="1:17" customFormat="1">
      <c r="A87" s="189" t="s">
        <v>1085</v>
      </c>
      <c r="B87" s="112">
        <v>8.82</v>
      </c>
      <c r="C87" s="112">
        <v>13.43</v>
      </c>
      <c r="D87" s="112">
        <v>15.44</v>
      </c>
      <c r="E87" s="112">
        <v>6.82</v>
      </c>
      <c r="F87" s="112">
        <v>8.4600000000000009</v>
      </c>
      <c r="G87" s="112">
        <v>9.5</v>
      </c>
      <c r="H87" s="112">
        <v>1.74</v>
      </c>
      <c r="I87" s="112">
        <v>2.87</v>
      </c>
      <c r="J87" s="112">
        <v>0.11</v>
      </c>
      <c r="K87" s="112">
        <v>210.02</v>
      </c>
      <c r="L87" s="112">
        <v>27.06</v>
      </c>
      <c r="M87" s="112">
        <v>84.69</v>
      </c>
      <c r="N87" s="112">
        <v>0</v>
      </c>
      <c r="O87" s="112">
        <v>0</v>
      </c>
      <c r="P87" s="112">
        <v>0.34</v>
      </c>
      <c r="Q87" s="112">
        <v>5.32</v>
      </c>
    </row>
    <row r="88" spans="1:17" customFormat="1">
      <c r="A88" s="189" t="s">
        <v>1086</v>
      </c>
      <c r="B88" s="112">
        <v>8.39</v>
      </c>
      <c r="C88" s="112">
        <v>12.24</v>
      </c>
      <c r="D88" s="112">
        <v>14.47</v>
      </c>
      <c r="E88" s="112">
        <v>6.89</v>
      </c>
      <c r="F88" s="112">
        <v>11.2</v>
      </c>
      <c r="G88" s="112">
        <v>9.41</v>
      </c>
      <c r="H88" s="112">
        <v>1.5</v>
      </c>
      <c r="I88" s="112">
        <v>2.76</v>
      </c>
      <c r="J88" s="112">
        <v>0.1</v>
      </c>
      <c r="K88" s="112">
        <v>190.55</v>
      </c>
      <c r="L88" s="112">
        <v>26.81</v>
      </c>
      <c r="M88" s="112">
        <v>86.45</v>
      </c>
      <c r="N88" s="112">
        <v>0</v>
      </c>
      <c r="O88" s="112">
        <v>0</v>
      </c>
      <c r="P88" s="112">
        <v>0.34</v>
      </c>
      <c r="Q88" s="112">
        <v>5.31</v>
      </c>
    </row>
    <row r="89" spans="1:17" customFormat="1">
      <c r="A89" s="189" t="s">
        <v>1087</v>
      </c>
      <c r="B89" s="112">
        <v>8.27</v>
      </c>
      <c r="C89" s="112">
        <v>12.06</v>
      </c>
      <c r="D89" s="112">
        <v>14.29</v>
      </c>
      <c r="E89" s="112">
        <v>7.23</v>
      </c>
      <c r="F89" s="112">
        <v>10.24</v>
      </c>
      <c r="G89" s="112">
        <v>9.33</v>
      </c>
      <c r="H89" s="112">
        <v>1.43</v>
      </c>
      <c r="I89" s="112">
        <v>2.67</v>
      </c>
      <c r="J89" s="112">
        <v>0.1</v>
      </c>
      <c r="K89" s="112">
        <v>126.48</v>
      </c>
      <c r="L89" s="112">
        <v>26.72</v>
      </c>
      <c r="M89" s="112">
        <v>87.23</v>
      </c>
      <c r="N89" s="112">
        <v>0</v>
      </c>
      <c r="O89" s="112">
        <v>0</v>
      </c>
      <c r="P89" s="112">
        <v>0.33</v>
      </c>
      <c r="Q89" s="112">
        <v>5.31</v>
      </c>
    </row>
    <row r="90" spans="1:17" customFormat="1">
      <c r="A90" s="189" t="s">
        <v>1088</v>
      </c>
      <c r="B90" s="112">
        <v>8.06</v>
      </c>
      <c r="C90" s="112">
        <v>11.82</v>
      </c>
      <c r="D90" s="112">
        <v>13.99</v>
      </c>
      <c r="E90" s="112">
        <v>7.21</v>
      </c>
      <c r="F90" s="112">
        <v>10.33</v>
      </c>
      <c r="G90" s="112">
        <v>9.33</v>
      </c>
      <c r="H90" s="112">
        <v>1.43</v>
      </c>
      <c r="I90" s="112">
        <v>2.62</v>
      </c>
      <c r="J90" s="112">
        <v>7.0000000000000007E-2</v>
      </c>
      <c r="K90" s="112">
        <v>210.31</v>
      </c>
      <c r="L90" s="112">
        <v>26.56</v>
      </c>
      <c r="M90" s="112">
        <v>88.91</v>
      </c>
      <c r="N90" s="112">
        <v>0</v>
      </c>
      <c r="O90" s="112">
        <v>0</v>
      </c>
      <c r="P90" s="112">
        <v>0.32</v>
      </c>
      <c r="Q90" s="112">
        <v>5.28</v>
      </c>
    </row>
    <row r="91" spans="1:17" customFormat="1">
      <c r="A91" s="189" t="s">
        <v>1089</v>
      </c>
      <c r="B91" s="112">
        <v>8.4499999999999993</v>
      </c>
      <c r="C91" s="112">
        <v>13.1</v>
      </c>
      <c r="D91" s="112">
        <v>14.98</v>
      </c>
      <c r="E91" s="112">
        <v>7.72</v>
      </c>
      <c r="F91" s="112">
        <v>7.34</v>
      </c>
      <c r="G91" s="112">
        <v>9.33</v>
      </c>
      <c r="H91" s="112">
        <v>1.43</v>
      </c>
      <c r="I91" s="112">
        <v>2.69</v>
      </c>
      <c r="J91" s="112">
        <v>0.2</v>
      </c>
      <c r="K91" s="112">
        <v>255.55</v>
      </c>
      <c r="L91" s="112">
        <v>26.48</v>
      </c>
      <c r="M91" s="112">
        <v>88.58</v>
      </c>
      <c r="N91" s="112">
        <v>0</v>
      </c>
      <c r="O91" s="112">
        <v>0</v>
      </c>
      <c r="P91" s="112">
        <v>0.32</v>
      </c>
      <c r="Q91" s="112">
        <v>5.25</v>
      </c>
    </row>
    <row r="92" spans="1:17" customFormat="1">
      <c r="A92" s="189" t="s">
        <v>1090</v>
      </c>
      <c r="B92" s="112">
        <v>8.9</v>
      </c>
      <c r="C92" s="112">
        <v>14.86</v>
      </c>
      <c r="D92" s="112">
        <v>16.25</v>
      </c>
      <c r="E92" s="112">
        <v>7.36</v>
      </c>
      <c r="F92" s="112">
        <v>6.21</v>
      </c>
      <c r="G92" s="112">
        <v>9.2899999999999991</v>
      </c>
      <c r="H92" s="112">
        <v>1.23</v>
      </c>
      <c r="I92" s="112">
        <v>2.64</v>
      </c>
      <c r="J92" s="112">
        <v>0.28000000000000003</v>
      </c>
      <c r="K92" s="112">
        <v>251.33</v>
      </c>
      <c r="L92" s="112">
        <v>26.57</v>
      </c>
      <c r="M92" s="112">
        <v>86.62</v>
      </c>
      <c r="N92" s="112">
        <v>0</v>
      </c>
      <c r="O92" s="112">
        <v>0</v>
      </c>
      <c r="P92" s="112">
        <v>0.37</v>
      </c>
      <c r="Q92" s="112">
        <v>5.33</v>
      </c>
    </row>
    <row r="93" spans="1:17" customFormat="1">
      <c r="A93" s="189" t="s">
        <v>1091</v>
      </c>
      <c r="B93" s="112">
        <v>9.18</v>
      </c>
      <c r="C93" s="112">
        <v>14.26</v>
      </c>
      <c r="D93" s="112">
        <v>16.16</v>
      </c>
      <c r="E93" s="112">
        <v>7.53</v>
      </c>
      <c r="F93" s="112">
        <v>6.3</v>
      </c>
      <c r="G93" s="112">
        <v>9.26</v>
      </c>
      <c r="H93" s="112">
        <v>1.1599999999999999</v>
      </c>
      <c r="I93" s="112">
        <v>2.86</v>
      </c>
      <c r="J93" s="112">
        <v>0.28999999999999998</v>
      </c>
      <c r="K93" s="112">
        <v>253.4</v>
      </c>
      <c r="L93" s="112">
        <v>26.46</v>
      </c>
      <c r="M93" s="112">
        <v>86.26</v>
      </c>
      <c r="N93" s="112">
        <v>0</v>
      </c>
      <c r="O93" s="112">
        <v>0</v>
      </c>
      <c r="P93" s="112">
        <v>0.35</v>
      </c>
      <c r="Q93" s="112">
        <v>5.34</v>
      </c>
    </row>
    <row r="94" spans="1:17" customFormat="1">
      <c r="A94" s="189" t="s">
        <v>1092</v>
      </c>
      <c r="B94" s="112">
        <v>8.98</v>
      </c>
      <c r="C94" s="112">
        <v>13.5</v>
      </c>
      <c r="D94" s="112">
        <v>15.61</v>
      </c>
      <c r="E94" s="112">
        <v>7.42</v>
      </c>
      <c r="F94" s="112">
        <v>7.34</v>
      </c>
      <c r="G94" s="112">
        <v>9.26</v>
      </c>
      <c r="H94" s="112">
        <v>1.1599999999999999</v>
      </c>
      <c r="I94" s="112">
        <v>2.87</v>
      </c>
      <c r="J94" s="112">
        <v>0.2</v>
      </c>
      <c r="K94" s="112">
        <v>237.23</v>
      </c>
      <c r="L94" s="112">
        <v>26.4</v>
      </c>
      <c r="M94" s="112">
        <v>86.66</v>
      </c>
      <c r="N94" s="112">
        <v>0</v>
      </c>
      <c r="O94" s="112">
        <v>0</v>
      </c>
      <c r="P94" s="112">
        <v>0.34</v>
      </c>
      <c r="Q94" s="112">
        <v>5.29</v>
      </c>
    </row>
    <row r="95" spans="1:17" customFormat="1">
      <c r="A95" s="189" t="s">
        <v>1093</v>
      </c>
      <c r="B95" s="112">
        <v>8.8699999999999992</v>
      </c>
      <c r="C95" s="112">
        <v>13.02</v>
      </c>
      <c r="D95" s="112">
        <v>15.27</v>
      </c>
      <c r="E95" s="112">
        <v>7.03</v>
      </c>
      <c r="F95" s="112">
        <v>7.6</v>
      </c>
      <c r="G95" s="112">
        <v>9.26</v>
      </c>
      <c r="H95" s="112">
        <v>1.1599999999999999</v>
      </c>
      <c r="I95" s="112">
        <v>2.83</v>
      </c>
      <c r="J95" s="112">
        <v>0.33</v>
      </c>
      <c r="K95" s="112">
        <v>260.33</v>
      </c>
      <c r="L95" s="112">
        <v>26.29</v>
      </c>
      <c r="M95" s="112">
        <v>86.8</v>
      </c>
      <c r="N95" s="112">
        <v>0</v>
      </c>
      <c r="O95" s="112">
        <v>0</v>
      </c>
      <c r="P95" s="112">
        <v>0.32</v>
      </c>
      <c r="Q95" s="112">
        <v>5.29</v>
      </c>
    </row>
    <row r="96" spans="1:17" customFormat="1">
      <c r="A96" s="189" t="s">
        <v>1094</v>
      </c>
      <c r="B96" s="112">
        <v>8.69</v>
      </c>
      <c r="C96" s="112">
        <v>13.24</v>
      </c>
      <c r="D96" s="112">
        <v>15.24</v>
      </c>
      <c r="E96" s="112">
        <v>6.98</v>
      </c>
      <c r="F96" s="112">
        <v>7.46</v>
      </c>
      <c r="G96" s="112">
        <v>11.18</v>
      </c>
      <c r="H96" s="112">
        <v>1.5</v>
      </c>
      <c r="I96" s="112">
        <v>2.74</v>
      </c>
      <c r="J96" s="112">
        <v>0.18</v>
      </c>
      <c r="K96" s="112">
        <v>248.98</v>
      </c>
      <c r="L96" s="112">
        <v>26.33</v>
      </c>
      <c r="M96" s="112">
        <v>87.3</v>
      </c>
      <c r="N96" s="112">
        <v>0</v>
      </c>
      <c r="O96" s="112">
        <v>0</v>
      </c>
      <c r="P96" s="112">
        <v>0.33</v>
      </c>
      <c r="Q96" s="112">
        <v>5.27</v>
      </c>
    </row>
    <row r="97" spans="1:22" customFormat="1">
      <c r="A97" s="189" t="s">
        <v>1095</v>
      </c>
      <c r="B97" s="112">
        <v>9.16</v>
      </c>
      <c r="C97" s="112">
        <v>15.48</v>
      </c>
      <c r="D97" s="112">
        <v>16.79</v>
      </c>
      <c r="E97" s="112">
        <v>8.07</v>
      </c>
      <c r="F97" s="112">
        <v>4.99</v>
      </c>
      <c r="G97" s="112">
        <v>12.58</v>
      </c>
      <c r="H97" s="112">
        <v>1.61</v>
      </c>
      <c r="I97" s="112">
        <v>2.72</v>
      </c>
      <c r="J97" s="112">
        <v>0.11</v>
      </c>
      <c r="K97" s="112">
        <v>240.25</v>
      </c>
      <c r="L97" s="112">
        <v>26.27</v>
      </c>
      <c r="M97" s="112">
        <v>88.45</v>
      </c>
      <c r="N97" s="112">
        <v>0</v>
      </c>
      <c r="O97" s="112">
        <v>0</v>
      </c>
      <c r="P97" s="112">
        <v>0.36</v>
      </c>
      <c r="Q97" s="112">
        <v>5.35</v>
      </c>
    </row>
    <row r="98" spans="1:22" customFormat="1">
      <c r="A98" s="189" t="s">
        <v>1096</v>
      </c>
      <c r="B98" s="112">
        <v>9.52</v>
      </c>
      <c r="C98" s="112">
        <v>14.96</v>
      </c>
      <c r="D98" s="112">
        <v>16.8</v>
      </c>
      <c r="E98" s="112">
        <v>8.06</v>
      </c>
      <c r="F98" s="112">
        <v>5.38</v>
      </c>
      <c r="G98" s="112">
        <v>12.58</v>
      </c>
      <c r="H98" s="112">
        <v>1.61</v>
      </c>
      <c r="I98" s="112">
        <v>2.77</v>
      </c>
      <c r="J98" s="112">
        <v>0.35</v>
      </c>
      <c r="K98" s="112">
        <v>258.06</v>
      </c>
      <c r="L98" s="112">
        <v>26.26</v>
      </c>
      <c r="M98" s="112">
        <v>88.1</v>
      </c>
      <c r="N98" s="112">
        <v>0</v>
      </c>
      <c r="O98" s="112">
        <v>0</v>
      </c>
      <c r="P98" s="112">
        <v>0.36</v>
      </c>
      <c r="Q98" s="112">
        <v>5.35</v>
      </c>
    </row>
    <row r="99" spans="1:22" customFormat="1">
      <c r="A99" s="189" t="s">
        <v>1097</v>
      </c>
      <c r="B99" s="112">
        <v>9.4600000000000009</v>
      </c>
      <c r="C99" s="112">
        <v>13.7</v>
      </c>
      <c r="D99" s="112">
        <v>16.09</v>
      </c>
      <c r="E99" s="112">
        <v>7.56</v>
      </c>
      <c r="F99" s="112">
        <v>6.24</v>
      </c>
      <c r="G99" s="112">
        <v>12.58</v>
      </c>
      <c r="H99" s="112">
        <v>1.61</v>
      </c>
      <c r="I99" s="112">
        <v>2.93</v>
      </c>
      <c r="J99" s="112">
        <v>0.17</v>
      </c>
      <c r="K99" s="112">
        <v>240.59</v>
      </c>
      <c r="L99" s="112">
        <v>26.27</v>
      </c>
      <c r="M99" s="112">
        <v>88.21</v>
      </c>
      <c r="N99" s="112">
        <v>0</v>
      </c>
      <c r="O99" s="112">
        <v>0</v>
      </c>
      <c r="P99" s="112">
        <v>0.34</v>
      </c>
      <c r="Q99" s="112">
        <v>5.31</v>
      </c>
    </row>
    <row r="100" spans="1:22" customFormat="1">
      <c r="A100" s="189" t="s">
        <v>1098</v>
      </c>
      <c r="B100" s="112">
        <v>9.06</v>
      </c>
      <c r="C100" s="112">
        <v>12.53</v>
      </c>
      <c r="D100" s="112">
        <v>15.16</v>
      </c>
      <c r="E100" s="112">
        <v>7.1</v>
      </c>
      <c r="F100" s="112">
        <v>7.4</v>
      </c>
      <c r="G100" s="112">
        <v>11.78</v>
      </c>
      <c r="H100" s="112">
        <v>2.2999999999999998</v>
      </c>
      <c r="I100" s="112">
        <v>2.87</v>
      </c>
      <c r="J100" s="112">
        <v>0.17</v>
      </c>
      <c r="K100" s="112">
        <v>252.82</v>
      </c>
      <c r="L100" s="112">
        <v>26.17</v>
      </c>
      <c r="M100" s="112">
        <v>88.74</v>
      </c>
      <c r="N100" s="112">
        <v>0</v>
      </c>
      <c r="O100" s="112">
        <v>0</v>
      </c>
      <c r="P100" s="112">
        <v>0.32</v>
      </c>
      <c r="Q100" s="112">
        <v>5.3</v>
      </c>
    </row>
    <row r="101" spans="1:22" customFormat="1">
      <c r="A101" s="189" t="s">
        <v>1099</v>
      </c>
      <c r="B101" s="112">
        <v>9.3000000000000007</v>
      </c>
      <c r="C101" s="112">
        <v>14.79</v>
      </c>
      <c r="D101" s="112">
        <v>16.54</v>
      </c>
      <c r="E101" s="112">
        <v>7.81</v>
      </c>
      <c r="F101" s="112">
        <v>5.22</v>
      </c>
      <c r="G101" s="112">
        <v>11.19</v>
      </c>
      <c r="H101" s="112">
        <v>2.52</v>
      </c>
      <c r="I101" s="112">
        <v>2.77</v>
      </c>
      <c r="J101" s="112">
        <v>0.12</v>
      </c>
      <c r="K101" s="112">
        <v>232.37</v>
      </c>
      <c r="L101" s="112">
        <v>26.16</v>
      </c>
      <c r="M101" s="112">
        <v>88.98</v>
      </c>
      <c r="N101" s="112">
        <v>0</v>
      </c>
      <c r="O101" s="112">
        <v>0</v>
      </c>
      <c r="P101" s="112">
        <v>0.35</v>
      </c>
      <c r="Q101" s="112">
        <v>5.32</v>
      </c>
    </row>
    <row r="102" spans="1:22" customFormat="1">
      <c r="A102" s="189" t="s">
        <v>1100</v>
      </c>
      <c r="B102" s="112">
        <v>9.56</v>
      </c>
      <c r="C102" s="112">
        <v>15.4</v>
      </c>
      <c r="D102" s="112">
        <v>17.059999999999999</v>
      </c>
      <c r="E102" s="112">
        <v>7.62</v>
      </c>
      <c r="F102" s="112">
        <v>5.05</v>
      </c>
      <c r="G102" s="112">
        <v>11.19</v>
      </c>
      <c r="H102" s="112">
        <v>2.52</v>
      </c>
      <c r="I102" s="112">
        <v>2.63</v>
      </c>
      <c r="J102" s="112">
        <v>0.1</v>
      </c>
      <c r="K102" s="112">
        <v>238.62</v>
      </c>
      <c r="L102" s="112">
        <v>26.1</v>
      </c>
      <c r="M102" s="112">
        <v>89.17</v>
      </c>
      <c r="N102" s="112">
        <v>0</v>
      </c>
      <c r="O102" s="112">
        <v>0</v>
      </c>
      <c r="P102" s="112">
        <v>0.36</v>
      </c>
      <c r="Q102" s="112">
        <v>5.36</v>
      </c>
    </row>
    <row r="103" spans="1:22" customFormat="1">
      <c r="A103" s="189" t="s">
        <v>1101</v>
      </c>
      <c r="B103" s="112">
        <v>9.64</v>
      </c>
      <c r="C103" s="112">
        <v>14.18</v>
      </c>
      <c r="D103" s="112">
        <v>16.489999999999998</v>
      </c>
      <c r="E103" s="112">
        <v>7.24</v>
      </c>
      <c r="F103" s="112">
        <v>5.84</v>
      </c>
      <c r="G103" s="112">
        <v>11.19</v>
      </c>
      <c r="H103" s="112">
        <v>2.52</v>
      </c>
      <c r="I103" s="112">
        <v>2.97</v>
      </c>
      <c r="J103" s="112">
        <v>7.0000000000000007E-2</v>
      </c>
      <c r="K103" s="112">
        <v>206.94</v>
      </c>
      <c r="L103" s="112">
        <v>26.13</v>
      </c>
      <c r="M103" s="112">
        <v>89.27</v>
      </c>
      <c r="N103" s="112">
        <v>0</v>
      </c>
      <c r="O103" s="112">
        <v>0</v>
      </c>
      <c r="P103" s="112">
        <v>0.34</v>
      </c>
      <c r="Q103" s="112">
        <v>5.38</v>
      </c>
    </row>
    <row r="104" spans="1:22" customFormat="1">
      <c r="A104" s="189" t="s">
        <v>1102</v>
      </c>
      <c r="B104" s="112">
        <v>9.2200000000000006</v>
      </c>
      <c r="C104" s="112">
        <v>12.59</v>
      </c>
      <c r="D104" s="112">
        <v>15.32</v>
      </c>
      <c r="E104" s="112">
        <v>7.28</v>
      </c>
      <c r="F104" s="112">
        <v>7.42</v>
      </c>
      <c r="G104" s="112">
        <v>9.5299999999999994</v>
      </c>
      <c r="H104" s="112">
        <v>3.25</v>
      </c>
      <c r="I104" s="112">
        <v>2.86</v>
      </c>
      <c r="J104" s="112">
        <v>0.06</v>
      </c>
      <c r="K104" s="112">
        <v>206.17</v>
      </c>
      <c r="L104" s="112">
        <v>26</v>
      </c>
      <c r="M104" s="112">
        <v>89.72</v>
      </c>
      <c r="N104" s="112">
        <v>0</v>
      </c>
      <c r="O104" s="112">
        <v>0</v>
      </c>
      <c r="P104" s="112">
        <v>0.33</v>
      </c>
      <c r="Q104" s="112">
        <v>5.35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7.83</v>
      </c>
      <c r="C106" s="183">
        <f>MIN(C9:C104)</f>
        <v>11.82</v>
      </c>
      <c r="D106" s="183">
        <f t="shared" ref="D106:Q106" si="0">MIN(D9:D104)</f>
        <v>13.9</v>
      </c>
      <c r="E106" s="183">
        <f t="shared" si="0"/>
        <v>6.43</v>
      </c>
      <c r="F106" s="183">
        <f t="shared" si="0"/>
        <v>3.93</v>
      </c>
      <c r="G106" s="183">
        <f t="shared" si="0"/>
        <v>4.62</v>
      </c>
      <c r="H106" s="183">
        <f t="shared" si="0"/>
        <v>1.1599999999999999</v>
      </c>
      <c r="I106" s="183">
        <f t="shared" si="0"/>
        <v>0.03</v>
      </c>
      <c r="J106" s="183">
        <f t="shared" si="0"/>
        <v>0.03</v>
      </c>
      <c r="K106" s="183">
        <f t="shared" si="0"/>
        <v>126.48</v>
      </c>
      <c r="L106" s="183">
        <f t="shared" si="0"/>
        <v>25.03</v>
      </c>
      <c r="M106" s="183">
        <f t="shared" si="0"/>
        <v>72.77</v>
      </c>
      <c r="N106" s="183">
        <f t="shared" si="0"/>
        <v>0</v>
      </c>
      <c r="O106" s="183">
        <f t="shared" si="0"/>
        <v>0</v>
      </c>
      <c r="P106" s="183">
        <f t="shared" si="0"/>
        <v>0.3</v>
      </c>
      <c r="Q106" s="183">
        <f t="shared" si="0"/>
        <v>5.25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12.86</v>
      </c>
      <c r="C107" s="184">
        <f t="shared" ref="C107:Q107" si="1">MAX(C9:C104)</f>
        <v>18.61</v>
      </c>
      <c r="D107" s="184">
        <f t="shared" si="1"/>
        <v>21.21</v>
      </c>
      <c r="E107" s="184">
        <f t="shared" si="1"/>
        <v>10.41</v>
      </c>
      <c r="F107" s="184">
        <f t="shared" si="1"/>
        <v>11.2</v>
      </c>
      <c r="G107" s="184">
        <f t="shared" si="1"/>
        <v>12.58</v>
      </c>
      <c r="H107" s="184">
        <f t="shared" si="1"/>
        <v>4.55</v>
      </c>
      <c r="I107" s="184">
        <f t="shared" si="1"/>
        <v>3</v>
      </c>
      <c r="J107" s="184">
        <f t="shared" si="1"/>
        <v>0.69</v>
      </c>
      <c r="K107" s="184">
        <f t="shared" si="1"/>
        <v>288.38</v>
      </c>
      <c r="L107" s="184">
        <f t="shared" si="1"/>
        <v>30.85</v>
      </c>
      <c r="M107" s="184">
        <f t="shared" si="1"/>
        <v>94.36</v>
      </c>
      <c r="N107" s="184">
        <f t="shared" si="1"/>
        <v>489.1</v>
      </c>
      <c r="O107" s="184">
        <f t="shared" si="1"/>
        <v>0</v>
      </c>
      <c r="P107" s="184">
        <f t="shared" si="1"/>
        <v>0.44</v>
      </c>
      <c r="Q107" s="184">
        <f t="shared" si="1"/>
        <v>5.7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10.194895833333332</v>
      </c>
      <c r="C108" s="183">
        <f t="shared" ref="C108:Q108" si="2">AVERAGE(C9:C104)</f>
        <v>14.904999999999999</v>
      </c>
      <c r="D108" s="183">
        <f t="shared" si="2"/>
        <v>17.314479166666672</v>
      </c>
      <c r="E108" s="183">
        <f t="shared" si="2"/>
        <v>7.87</v>
      </c>
      <c r="F108" s="183">
        <f t="shared" si="2"/>
        <v>5.9655208333333318</v>
      </c>
      <c r="G108" s="183">
        <f t="shared" si="2"/>
        <v>7.7122916666666725</v>
      </c>
      <c r="H108" s="183">
        <f t="shared" si="2"/>
        <v>2.522916666666668</v>
      </c>
      <c r="I108" s="183">
        <f t="shared" si="2"/>
        <v>2.7494791666666676</v>
      </c>
      <c r="J108" s="183">
        <f t="shared" si="2"/>
        <v>0.24197916666666672</v>
      </c>
      <c r="K108" s="183">
        <f t="shared" si="2"/>
        <v>247.8110416666666</v>
      </c>
      <c r="L108" s="183">
        <f t="shared" si="2"/>
        <v>27.095729166666661</v>
      </c>
      <c r="M108" s="183">
        <f t="shared" si="2"/>
        <v>85.481041666666684</v>
      </c>
      <c r="N108" s="183">
        <f t="shared" si="2"/>
        <v>89.338541666666671</v>
      </c>
      <c r="O108" s="183">
        <f t="shared" si="2"/>
        <v>0</v>
      </c>
      <c r="P108" s="183">
        <f t="shared" si="2"/>
        <v>0.37291666666666662</v>
      </c>
      <c r="Q108" s="183">
        <f t="shared" si="2"/>
        <v>5.4418749999999987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1.5079215355767643</v>
      </c>
      <c r="C109" s="183">
        <f t="shared" ref="C109:Q109" si="3">STDEV(C9:C104)</f>
        <v>1.5435366089464455</v>
      </c>
      <c r="D109" s="183">
        <f t="shared" si="3"/>
        <v>1.8954382188998882</v>
      </c>
      <c r="E109" s="183">
        <f t="shared" si="3"/>
        <v>0.68422064769842739</v>
      </c>
      <c r="F109" s="183">
        <f t="shared" si="3"/>
        <v>1.6911041984714463</v>
      </c>
      <c r="G109" s="183">
        <f t="shared" si="3"/>
        <v>2.0014234298653344</v>
      </c>
      <c r="H109" s="183">
        <f t="shared" si="3"/>
        <v>0.90957007388009015</v>
      </c>
      <c r="I109" s="183">
        <f t="shared" si="3"/>
        <v>0.34785468772452732</v>
      </c>
      <c r="J109" s="183">
        <f t="shared" si="3"/>
        <v>0.14126212880700792</v>
      </c>
      <c r="K109" s="183">
        <f t="shared" si="3"/>
        <v>25.362419836368403</v>
      </c>
      <c r="L109" s="183">
        <f t="shared" si="3"/>
        <v>1.6674473051197325</v>
      </c>
      <c r="M109" s="183">
        <f t="shared" si="3"/>
        <v>6.1100136065254045</v>
      </c>
      <c r="N109" s="183">
        <f t="shared" si="3"/>
        <v>124.51282273412365</v>
      </c>
      <c r="O109" s="183">
        <f t="shared" si="3"/>
        <v>0</v>
      </c>
      <c r="P109" s="183">
        <f t="shared" si="3"/>
        <v>3.9092782121961191E-2</v>
      </c>
      <c r="Q109" s="183">
        <f t="shared" si="3"/>
        <v>0.14279401800836322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10/09/2023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1103</v>
      </c>
      <c r="B9" s="112">
        <v>9.8000000000000007</v>
      </c>
      <c r="C9" s="112">
        <v>15.82</v>
      </c>
      <c r="D9" s="112">
        <v>17.47</v>
      </c>
      <c r="E9" s="112">
        <v>7.7</v>
      </c>
      <c r="F9" s="112">
        <v>5.18</v>
      </c>
      <c r="G9" s="112">
        <v>8.31</v>
      </c>
      <c r="H9" s="112">
        <v>3.68</v>
      </c>
      <c r="I9" s="112">
        <v>2.76</v>
      </c>
      <c r="J9" s="112">
        <v>0.09</v>
      </c>
      <c r="K9" s="112">
        <v>141.94</v>
      </c>
      <c r="L9" s="112">
        <v>25.97</v>
      </c>
      <c r="M9" s="112">
        <v>89.94</v>
      </c>
      <c r="N9" s="112">
        <v>0</v>
      </c>
      <c r="O9" s="112">
        <v>0</v>
      </c>
      <c r="P9" s="112">
        <v>0.35</v>
      </c>
      <c r="Q9" s="112">
        <v>5.39</v>
      </c>
    </row>
    <row r="10" spans="1:21" customFormat="1">
      <c r="A10" s="189" t="s">
        <v>1104</v>
      </c>
      <c r="B10" s="112">
        <v>9.83</v>
      </c>
      <c r="C10" s="112">
        <v>15.22</v>
      </c>
      <c r="D10" s="112">
        <v>17.190000000000001</v>
      </c>
      <c r="E10" s="112">
        <v>7.94</v>
      </c>
      <c r="F10" s="112">
        <v>5.0199999999999996</v>
      </c>
      <c r="G10" s="112">
        <v>8.31</v>
      </c>
      <c r="H10" s="112">
        <v>3.68</v>
      </c>
      <c r="I10" s="112">
        <v>2.56</v>
      </c>
      <c r="J10" s="112">
        <v>0.08</v>
      </c>
      <c r="K10" s="112">
        <v>170.94</v>
      </c>
      <c r="L10" s="112">
        <v>25.85</v>
      </c>
      <c r="M10" s="112">
        <v>90.25</v>
      </c>
      <c r="N10" s="112">
        <v>0</v>
      </c>
      <c r="O10" s="112">
        <v>0</v>
      </c>
      <c r="P10" s="112">
        <v>0.36</v>
      </c>
      <c r="Q10" s="112">
        <v>5.41</v>
      </c>
    </row>
    <row r="11" spans="1:21" customFormat="1">
      <c r="A11" s="189" t="s">
        <v>1105</v>
      </c>
      <c r="B11" s="112">
        <v>9.69</v>
      </c>
      <c r="C11" s="112">
        <v>14.08</v>
      </c>
      <c r="D11" s="112">
        <v>16.48</v>
      </c>
      <c r="E11" s="112">
        <v>7.56</v>
      </c>
      <c r="F11" s="112">
        <v>5.89</v>
      </c>
      <c r="G11" s="112">
        <v>8.31</v>
      </c>
      <c r="H11" s="112">
        <v>3.68</v>
      </c>
      <c r="I11" s="112">
        <v>2.97</v>
      </c>
      <c r="J11" s="112">
        <v>7.0000000000000007E-2</v>
      </c>
      <c r="K11" s="112">
        <v>192.13</v>
      </c>
      <c r="L11" s="112">
        <v>25.81</v>
      </c>
      <c r="M11" s="112">
        <v>90.35</v>
      </c>
      <c r="N11" s="112">
        <v>0</v>
      </c>
      <c r="O11" s="112">
        <v>0</v>
      </c>
      <c r="P11" s="112">
        <v>0.34</v>
      </c>
      <c r="Q11" s="112">
        <v>5.4</v>
      </c>
    </row>
    <row r="12" spans="1:21" customFormat="1">
      <c r="A12" s="189" t="s">
        <v>1106</v>
      </c>
      <c r="B12" s="112">
        <v>9.31</v>
      </c>
      <c r="C12" s="112">
        <v>12.59</v>
      </c>
      <c r="D12" s="112">
        <v>15.39</v>
      </c>
      <c r="E12" s="112">
        <v>7.23</v>
      </c>
      <c r="F12" s="112">
        <v>6.95</v>
      </c>
      <c r="G12" s="112">
        <v>7.78</v>
      </c>
      <c r="H12" s="112">
        <v>2.96</v>
      </c>
      <c r="I12" s="112">
        <v>2.9</v>
      </c>
      <c r="J12" s="112">
        <v>0.11</v>
      </c>
      <c r="K12" s="112">
        <v>167.23</v>
      </c>
      <c r="L12" s="112">
        <v>25.81</v>
      </c>
      <c r="M12" s="112">
        <v>91.4</v>
      </c>
      <c r="N12" s="112">
        <v>0</v>
      </c>
      <c r="O12" s="112">
        <v>0</v>
      </c>
      <c r="P12" s="112">
        <v>0.32</v>
      </c>
      <c r="Q12" s="112">
        <v>5.37</v>
      </c>
    </row>
    <row r="13" spans="1:21" customFormat="1">
      <c r="A13" s="189" t="s">
        <v>1107</v>
      </c>
      <c r="B13" s="112">
        <v>9.19</v>
      </c>
      <c r="C13" s="112">
        <v>12.33</v>
      </c>
      <c r="D13" s="112">
        <v>15.16</v>
      </c>
      <c r="E13" s="112">
        <v>7.31</v>
      </c>
      <c r="F13" s="112">
        <v>6.93</v>
      </c>
      <c r="G13" s="112">
        <v>7.39</v>
      </c>
      <c r="H13" s="112">
        <v>2.73</v>
      </c>
      <c r="I13" s="112">
        <v>2.73</v>
      </c>
      <c r="J13" s="112">
        <v>7.0000000000000007E-2</v>
      </c>
      <c r="K13" s="112">
        <v>219.26</v>
      </c>
      <c r="L13" s="112">
        <v>25.73</v>
      </c>
      <c r="M13" s="112">
        <v>91.71</v>
      </c>
      <c r="N13" s="112">
        <v>0</v>
      </c>
      <c r="O13" s="112">
        <v>0</v>
      </c>
      <c r="P13" s="112">
        <v>0.31</v>
      </c>
      <c r="Q13" s="112">
        <v>5.36</v>
      </c>
    </row>
    <row r="14" spans="1:21" customFormat="1">
      <c r="A14" s="189" t="s">
        <v>1108</v>
      </c>
      <c r="B14" s="112">
        <v>9.6</v>
      </c>
      <c r="C14" s="112">
        <v>15.25</v>
      </c>
      <c r="D14" s="112">
        <v>17.02</v>
      </c>
      <c r="E14" s="112">
        <v>7.64</v>
      </c>
      <c r="F14" s="112">
        <v>4.8099999999999996</v>
      </c>
      <c r="G14" s="112">
        <v>7.39</v>
      </c>
      <c r="H14" s="112">
        <v>2.73</v>
      </c>
      <c r="I14" s="112">
        <v>2.63</v>
      </c>
      <c r="J14" s="112">
        <v>7.0000000000000007E-2</v>
      </c>
      <c r="K14" s="112">
        <v>174.09</v>
      </c>
      <c r="L14" s="112">
        <v>25.66</v>
      </c>
      <c r="M14" s="112">
        <v>92.95</v>
      </c>
      <c r="N14" s="112">
        <v>0</v>
      </c>
      <c r="O14" s="112">
        <v>0</v>
      </c>
      <c r="P14" s="112">
        <v>0.35</v>
      </c>
      <c r="Q14" s="112">
        <v>5.38</v>
      </c>
    </row>
    <row r="15" spans="1:21" customFormat="1">
      <c r="A15" s="189" t="s">
        <v>1109</v>
      </c>
      <c r="B15" s="112">
        <v>10.08</v>
      </c>
      <c r="C15" s="112">
        <v>16.260000000000002</v>
      </c>
      <c r="D15" s="112">
        <v>17.93</v>
      </c>
      <c r="E15" s="112">
        <v>8</v>
      </c>
      <c r="F15" s="112">
        <v>4.2699999999999996</v>
      </c>
      <c r="G15" s="112">
        <v>7.39</v>
      </c>
      <c r="H15" s="112">
        <v>2.73</v>
      </c>
      <c r="I15" s="112">
        <v>2.63</v>
      </c>
      <c r="J15" s="112">
        <v>0.09</v>
      </c>
      <c r="K15" s="112">
        <v>196.23</v>
      </c>
      <c r="L15" s="112">
        <v>25.61</v>
      </c>
      <c r="M15" s="112">
        <v>93.36</v>
      </c>
      <c r="N15" s="112">
        <v>0</v>
      </c>
      <c r="O15" s="112">
        <v>0</v>
      </c>
      <c r="P15" s="112">
        <v>0.38</v>
      </c>
      <c r="Q15" s="112">
        <v>5.45</v>
      </c>
    </row>
    <row r="16" spans="1:21" customFormat="1">
      <c r="A16" s="189" t="s">
        <v>1110</v>
      </c>
      <c r="B16" s="112">
        <v>10.25</v>
      </c>
      <c r="C16" s="112">
        <v>14.72</v>
      </c>
      <c r="D16" s="112">
        <v>17.260000000000002</v>
      </c>
      <c r="E16" s="112">
        <v>7.83</v>
      </c>
      <c r="F16" s="112">
        <v>5.32</v>
      </c>
      <c r="G16" s="112">
        <v>7.74</v>
      </c>
      <c r="H16" s="112">
        <v>3.85</v>
      </c>
      <c r="I16" s="112">
        <v>2.97</v>
      </c>
      <c r="J16" s="112">
        <v>0.11</v>
      </c>
      <c r="K16" s="112">
        <v>221.87</v>
      </c>
      <c r="L16" s="112">
        <v>25.64</v>
      </c>
      <c r="M16" s="112">
        <v>92.75</v>
      </c>
      <c r="N16" s="112">
        <v>0</v>
      </c>
      <c r="O16" s="112">
        <v>0</v>
      </c>
      <c r="P16" s="112">
        <v>0.37</v>
      </c>
      <c r="Q16" s="112">
        <v>5.45</v>
      </c>
    </row>
    <row r="17" spans="1:17" customFormat="1">
      <c r="A17" s="189" t="s">
        <v>1111</v>
      </c>
      <c r="B17" s="112">
        <v>10.119999999999999</v>
      </c>
      <c r="C17" s="112">
        <v>13.89</v>
      </c>
      <c r="D17" s="112">
        <v>16.72</v>
      </c>
      <c r="E17" s="112">
        <v>8.42</v>
      </c>
      <c r="F17" s="112">
        <v>5.76</v>
      </c>
      <c r="G17" s="112">
        <v>8</v>
      </c>
      <c r="H17" s="112">
        <v>4.21</v>
      </c>
      <c r="I17" s="112">
        <v>2.95</v>
      </c>
      <c r="J17" s="112">
        <v>0.25</v>
      </c>
      <c r="K17" s="112">
        <v>257.70999999999998</v>
      </c>
      <c r="L17" s="112">
        <v>25.69</v>
      </c>
      <c r="M17" s="112">
        <v>91.25</v>
      </c>
      <c r="N17" s="112">
        <v>0</v>
      </c>
      <c r="O17" s="112">
        <v>0</v>
      </c>
      <c r="P17" s="112">
        <v>0.33</v>
      </c>
      <c r="Q17" s="112">
        <v>5.42</v>
      </c>
    </row>
    <row r="18" spans="1:17" customFormat="1">
      <c r="A18" s="189" t="s">
        <v>1112</v>
      </c>
      <c r="B18" s="112">
        <v>9.91</v>
      </c>
      <c r="C18" s="112">
        <v>13.64</v>
      </c>
      <c r="D18" s="112">
        <v>16.420000000000002</v>
      </c>
      <c r="E18" s="112">
        <v>9.56</v>
      </c>
      <c r="F18" s="112">
        <v>6.01</v>
      </c>
      <c r="G18" s="112">
        <v>8</v>
      </c>
      <c r="H18" s="112">
        <v>4.21</v>
      </c>
      <c r="I18" s="112">
        <v>2.81</v>
      </c>
      <c r="J18" s="112">
        <v>0.12</v>
      </c>
      <c r="K18" s="112">
        <v>229.7</v>
      </c>
      <c r="L18" s="112">
        <v>25.69</v>
      </c>
      <c r="M18" s="112">
        <v>91.21</v>
      </c>
      <c r="N18" s="112">
        <v>0</v>
      </c>
      <c r="O18" s="112">
        <v>0</v>
      </c>
      <c r="P18" s="112">
        <v>0.32</v>
      </c>
      <c r="Q18" s="112">
        <v>5.36</v>
      </c>
    </row>
    <row r="19" spans="1:17" customFormat="1">
      <c r="A19" s="189" t="s">
        <v>1113</v>
      </c>
      <c r="B19" s="112">
        <v>9.76</v>
      </c>
      <c r="C19" s="112">
        <v>13.19</v>
      </c>
      <c r="D19" s="112">
        <v>16.07</v>
      </c>
      <c r="E19" s="112">
        <v>9.5399999999999991</v>
      </c>
      <c r="F19" s="112">
        <v>6.2</v>
      </c>
      <c r="G19" s="112">
        <v>8</v>
      </c>
      <c r="H19" s="112">
        <v>4.21</v>
      </c>
      <c r="I19" s="112">
        <v>2.8</v>
      </c>
      <c r="J19" s="112">
        <v>0.08</v>
      </c>
      <c r="K19" s="112">
        <v>168.4</v>
      </c>
      <c r="L19" s="112">
        <v>25.66</v>
      </c>
      <c r="M19" s="112">
        <v>92.13</v>
      </c>
      <c r="N19" s="112">
        <v>0</v>
      </c>
      <c r="O19" s="112">
        <v>0</v>
      </c>
      <c r="P19" s="112">
        <v>0.32</v>
      </c>
      <c r="Q19" s="112">
        <v>5.37</v>
      </c>
    </row>
    <row r="20" spans="1:17" customFormat="1">
      <c r="A20" s="189" t="s">
        <v>1114</v>
      </c>
      <c r="B20" s="112">
        <v>10.19</v>
      </c>
      <c r="C20" s="112">
        <v>15.48</v>
      </c>
      <c r="D20" s="112">
        <v>17.61</v>
      </c>
      <c r="E20" s="112">
        <v>10.48</v>
      </c>
      <c r="F20" s="112">
        <v>4.5999999999999996</v>
      </c>
      <c r="G20" s="112">
        <v>8.5399999999999991</v>
      </c>
      <c r="H20" s="112">
        <v>3.97</v>
      </c>
      <c r="I20" s="112">
        <v>2.7</v>
      </c>
      <c r="J20" s="112">
        <v>0.03</v>
      </c>
      <c r="K20" s="112">
        <v>207.02</v>
      </c>
      <c r="L20" s="112">
        <v>25.45</v>
      </c>
      <c r="M20" s="112">
        <v>93.38</v>
      </c>
      <c r="N20" s="112">
        <v>0</v>
      </c>
      <c r="O20" s="112">
        <v>0</v>
      </c>
      <c r="P20" s="112">
        <v>0.36</v>
      </c>
      <c r="Q20" s="112">
        <v>5.45</v>
      </c>
    </row>
    <row r="21" spans="1:17" customFormat="1">
      <c r="A21" s="189" t="s">
        <v>1115</v>
      </c>
      <c r="B21" s="112">
        <v>10.53</v>
      </c>
      <c r="C21" s="112">
        <v>15.42</v>
      </c>
      <c r="D21" s="112">
        <v>17.850000000000001</v>
      </c>
      <c r="E21" s="112">
        <v>10.86</v>
      </c>
      <c r="F21" s="112">
        <v>4.57</v>
      </c>
      <c r="G21" s="112">
        <v>8.93</v>
      </c>
      <c r="H21" s="112">
        <v>3.9</v>
      </c>
      <c r="I21" s="112">
        <v>2.74</v>
      </c>
      <c r="J21" s="112">
        <v>7.0000000000000007E-2</v>
      </c>
      <c r="K21" s="112">
        <v>228.9</v>
      </c>
      <c r="L21" s="112">
        <v>25.45</v>
      </c>
      <c r="M21" s="112">
        <v>94.01</v>
      </c>
      <c r="N21" s="112">
        <v>0</v>
      </c>
      <c r="O21" s="112">
        <v>0</v>
      </c>
      <c r="P21" s="112">
        <v>0.35</v>
      </c>
      <c r="Q21" s="112">
        <v>5.48</v>
      </c>
    </row>
    <row r="22" spans="1:17" customFormat="1">
      <c r="A22" s="189" t="s">
        <v>1116</v>
      </c>
      <c r="B22" s="112">
        <v>10.46</v>
      </c>
      <c r="C22" s="112">
        <v>14.23</v>
      </c>
      <c r="D22" s="112">
        <v>17.170000000000002</v>
      </c>
      <c r="E22" s="112">
        <v>9.8800000000000008</v>
      </c>
      <c r="F22" s="112">
        <v>5.13</v>
      </c>
      <c r="G22" s="112">
        <v>8.93</v>
      </c>
      <c r="H22" s="112">
        <v>3.9</v>
      </c>
      <c r="I22" s="112">
        <v>2.91</v>
      </c>
      <c r="J22" s="112">
        <v>0.09</v>
      </c>
      <c r="K22" s="112">
        <v>164.19</v>
      </c>
      <c r="L22" s="112">
        <v>25.47</v>
      </c>
      <c r="M22" s="112">
        <v>94.49</v>
      </c>
      <c r="N22" s="112">
        <v>0</v>
      </c>
      <c r="O22" s="112">
        <v>0</v>
      </c>
      <c r="P22" s="112">
        <v>0.34</v>
      </c>
      <c r="Q22" s="112">
        <v>5.43</v>
      </c>
    </row>
    <row r="23" spans="1:17" customFormat="1">
      <c r="A23" s="189" t="s">
        <v>1117</v>
      </c>
      <c r="B23" s="112">
        <v>10.29</v>
      </c>
      <c r="C23" s="112">
        <v>13.44</v>
      </c>
      <c r="D23" s="112">
        <v>16.62</v>
      </c>
      <c r="E23" s="112">
        <v>10.050000000000001</v>
      </c>
      <c r="F23" s="112">
        <v>5.53</v>
      </c>
      <c r="G23" s="112">
        <v>8.93</v>
      </c>
      <c r="H23" s="112">
        <v>3.9</v>
      </c>
      <c r="I23" s="112">
        <v>2.86</v>
      </c>
      <c r="J23" s="112">
        <v>0.05</v>
      </c>
      <c r="K23" s="112">
        <v>155.97999999999999</v>
      </c>
      <c r="L23" s="112">
        <v>25.51</v>
      </c>
      <c r="M23" s="112">
        <v>94</v>
      </c>
      <c r="N23" s="112">
        <v>0</v>
      </c>
      <c r="O23" s="112">
        <v>0</v>
      </c>
      <c r="P23" s="112">
        <v>0.32</v>
      </c>
      <c r="Q23" s="112">
        <v>5.42</v>
      </c>
    </row>
    <row r="24" spans="1:17" customFormat="1">
      <c r="A24" s="189" t="s">
        <v>1118</v>
      </c>
      <c r="B24" s="112">
        <v>9.92</v>
      </c>
      <c r="C24" s="112">
        <v>13.35</v>
      </c>
      <c r="D24" s="112">
        <v>16.28</v>
      </c>
      <c r="E24" s="112">
        <v>9.64</v>
      </c>
      <c r="F24" s="112">
        <v>5.72</v>
      </c>
      <c r="G24" s="112">
        <v>8.5500000000000007</v>
      </c>
      <c r="H24" s="112">
        <v>3.08</v>
      </c>
      <c r="I24" s="112">
        <v>2.72</v>
      </c>
      <c r="J24" s="112">
        <v>0.1</v>
      </c>
      <c r="K24" s="112">
        <v>216.22</v>
      </c>
      <c r="L24" s="112">
        <v>25.47</v>
      </c>
      <c r="M24" s="112">
        <v>94.62</v>
      </c>
      <c r="N24" s="112">
        <v>0</v>
      </c>
      <c r="O24" s="112">
        <v>0</v>
      </c>
      <c r="P24" s="112">
        <v>0.32</v>
      </c>
      <c r="Q24" s="112">
        <v>5.44</v>
      </c>
    </row>
    <row r="25" spans="1:17" customFormat="1">
      <c r="A25" s="189" t="s">
        <v>1119</v>
      </c>
      <c r="B25" s="112">
        <v>10.61</v>
      </c>
      <c r="C25" s="112">
        <v>15.76</v>
      </c>
      <c r="D25" s="112">
        <v>18.09</v>
      </c>
      <c r="E25" s="112">
        <v>10.37</v>
      </c>
      <c r="F25" s="112">
        <v>4.21</v>
      </c>
      <c r="G25" s="112">
        <v>8.27</v>
      </c>
      <c r="H25" s="112">
        <v>2.83</v>
      </c>
      <c r="I25" s="112">
        <v>2.67</v>
      </c>
      <c r="J25" s="112">
        <v>7.0000000000000007E-2</v>
      </c>
      <c r="K25" s="112">
        <v>197.52</v>
      </c>
      <c r="L25" s="112">
        <v>25.48</v>
      </c>
      <c r="M25" s="112">
        <v>95.05</v>
      </c>
      <c r="N25" s="112">
        <v>0</v>
      </c>
      <c r="O25" s="112">
        <v>0</v>
      </c>
      <c r="P25" s="112">
        <v>0.35</v>
      </c>
      <c r="Q25" s="112">
        <v>5.5</v>
      </c>
    </row>
    <row r="26" spans="1:17" customFormat="1">
      <c r="A26" s="189" t="s">
        <v>1120</v>
      </c>
      <c r="B26" s="112">
        <v>10.99</v>
      </c>
      <c r="C26" s="112">
        <v>15.13</v>
      </c>
      <c r="D26" s="112">
        <v>18.07</v>
      </c>
      <c r="E26" s="112">
        <v>10.58</v>
      </c>
      <c r="F26" s="112">
        <v>4.62</v>
      </c>
      <c r="G26" s="112">
        <v>8.27</v>
      </c>
      <c r="H26" s="112">
        <v>2.83</v>
      </c>
      <c r="I26" s="112">
        <v>2.69</v>
      </c>
      <c r="J26" s="112">
        <v>0.09</v>
      </c>
      <c r="K26" s="112">
        <v>242.21</v>
      </c>
      <c r="L26" s="112">
        <v>25.39</v>
      </c>
      <c r="M26" s="112">
        <v>95.49</v>
      </c>
      <c r="N26" s="112">
        <v>0</v>
      </c>
      <c r="O26" s="112">
        <v>0</v>
      </c>
      <c r="P26" s="112">
        <v>0.35</v>
      </c>
      <c r="Q26" s="112">
        <v>5.51</v>
      </c>
    </row>
    <row r="27" spans="1:17" customFormat="1">
      <c r="A27" s="189" t="s">
        <v>1121</v>
      </c>
      <c r="B27" s="112">
        <v>10.76</v>
      </c>
      <c r="C27" s="112">
        <v>13.84</v>
      </c>
      <c r="D27" s="112">
        <v>17.21</v>
      </c>
      <c r="E27" s="112">
        <v>9.9499999999999993</v>
      </c>
      <c r="F27" s="112">
        <v>5.29</v>
      </c>
      <c r="G27" s="112">
        <v>8.27</v>
      </c>
      <c r="H27" s="112">
        <v>2.83</v>
      </c>
      <c r="I27" s="112">
        <v>2.9</v>
      </c>
      <c r="J27" s="112">
        <v>0.06</v>
      </c>
      <c r="K27" s="112">
        <v>187.1</v>
      </c>
      <c r="L27" s="112">
        <v>25.37</v>
      </c>
      <c r="M27" s="112">
        <v>95.91</v>
      </c>
      <c r="N27" s="112">
        <v>0</v>
      </c>
      <c r="O27" s="112">
        <v>0</v>
      </c>
      <c r="P27" s="112">
        <v>0.33</v>
      </c>
      <c r="Q27" s="112">
        <v>5.47</v>
      </c>
    </row>
    <row r="28" spans="1:17" customFormat="1">
      <c r="A28" s="189" t="s">
        <v>1122</v>
      </c>
      <c r="B28" s="112">
        <v>10.67</v>
      </c>
      <c r="C28" s="112">
        <v>13.48</v>
      </c>
      <c r="D28" s="112">
        <v>16.95</v>
      </c>
      <c r="E28" s="112">
        <v>10.18</v>
      </c>
      <c r="F28" s="112">
        <v>5.49</v>
      </c>
      <c r="G28" s="112">
        <v>9.26</v>
      </c>
      <c r="H28" s="112">
        <v>3.79</v>
      </c>
      <c r="I28" s="112">
        <v>2.81</v>
      </c>
      <c r="J28" s="112">
        <v>0.1</v>
      </c>
      <c r="K28" s="112">
        <v>180.21</v>
      </c>
      <c r="L28" s="112">
        <v>25.47</v>
      </c>
      <c r="M28" s="112">
        <v>95.39</v>
      </c>
      <c r="N28" s="112">
        <v>0</v>
      </c>
      <c r="O28" s="112">
        <v>0</v>
      </c>
      <c r="P28" s="112">
        <v>0.32</v>
      </c>
      <c r="Q28" s="112">
        <v>5.45</v>
      </c>
    </row>
    <row r="29" spans="1:17" customFormat="1">
      <c r="A29" s="189" t="s">
        <v>1123</v>
      </c>
      <c r="B29" s="112">
        <v>11.1</v>
      </c>
      <c r="C29" s="112">
        <v>15.81</v>
      </c>
      <c r="D29" s="112">
        <v>18.510000000000002</v>
      </c>
      <c r="E29" s="112">
        <v>10.57</v>
      </c>
      <c r="F29" s="112">
        <v>4.18</v>
      </c>
      <c r="G29" s="112">
        <v>9.98</v>
      </c>
      <c r="H29" s="112">
        <v>4.0999999999999996</v>
      </c>
      <c r="I29" s="112">
        <v>2.63</v>
      </c>
      <c r="J29" s="112">
        <v>7.0000000000000007E-2</v>
      </c>
      <c r="K29" s="112">
        <v>131.4</v>
      </c>
      <c r="L29" s="112">
        <v>25.42</v>
      </c>
      <c r="M29" s="112">
        <v>94.87</v>
      </c>
      <c r="N29" s="112">
        <v>0</v>
      </c>
      <c r="O29" s="112">
        <v>0</v>
      </c>
      <c r="P29" s="112">
        <v>0.35</v>
      </c>
      <c r="Q29" s="112">
        <v>5.5</v>
      </c>
    </row>
    <row r="30" spans="1:17" customFormat="1">
      <c r="A30" s="189" t="s">
        <v>1124</v>
      </c>
      <c r="B30" s="112">
        <v>11.42</v>
      </c>
      <c r="C30" s="112">
        <v>15.44</v>
      </c>
      <c r="D30" s="112">
        <v>18.579999999999998</v>
      </c>
      <c r="E30" s="112">
        <v>10.61</v>
      </c>
      <c r="F30" s="112">
        <v>4.4800000000000004</v>
      </c>
      <c r="G30" s="112">
        <v>9.98</v>
      </c>
      <c r="H30" s="112">
        <v>4.0999999999999996</v>
      </c>
      <c r="I30" s="112">
        <v>2.72</v>
      </c>
      <c r="J30" s="112">
        <v>0.08</v>
      </c>
      <c r="K30" s="112">
        <v>176.47</v>
      </c>
      <c r="L30" s="112">
        <v>25.39</v>
      </c>
      <c r="M30" s="112">
        <v>95.01</v>
      </c>
      <c r="N30" s="112">
        <v>0</v>
      </c>
      <c r="O30" s="112">
        <v>0</v>
      </c>
      <c r="P30" s="112">
        <v>0.35</v>
      </c>
      <c r="Q30" s="112">
        <v>5.49</v>
      </c>
    </row>
    <row r="31" spans="1:17" customFormat="1">
      <c r="A31" s="189" t="s">
        <v>1125</v>
      </c>
      <c r="B31" s="112">
        <v>11.31</v>
      </c>
      <c r="C31" s="112">
        <v>14.21</v>
      </c>
      <c r="D31" s="112">
        <v>17.84</v>
      </c>
      <c r="E31" s="112">
        <v>10.32</v>
      </c>
      <c r="F31" s="112">
        <v>5.21</v>
      </c>
      <c r="G31" s="112">
        <v>9.98</v>
      </c>
      <c r="H31" s="112">
        <v>4.0999999999999996</v>
      </c>
      <c r="I31" s="112">
        <v>2.88</v>
      </c>
      <c r="J31" s="112">
        <v>0.08</v>
      </c>
      <c r="K31" s="112">
        <v>243.8</v>
      </c>
      <c r="L31" s="112">
        <v>25.34</v>
      </c>
      <c r="M31" s="112">
        <v>95.27</v>
      </c>
      <c r="N31" s="112">
        <v>0</v>
      </c>
      <c r="O31" s="112">
        <v>0</v>
      </c>
      <c r="P31" s="112">
        <v>0.34</v>
      </c>
      <c r="Q31" s="112">
        <v>5.5</v>
      </c>
    </row>
    <row r="32" spans="1:17" customFormat="1">
      <c r="A32" s="189" t="s">
        <v>1126</v>
      </c>
      <c r="B32" s="112">
        <v>11.13</v>
      </c>
      <c r="C32" s="112">
        <v>13.35</v>
      </c>
      <c r="D32" s="112">
        <v>17.25</v>
      </c>
      <c r="E32" s="112">
        <v>9.99</v>
      </c>
      <c r="F32" s="112">
        <v>5.54</v>
      </c>
      <c r="G32" s="112">
        <v>10.14</v>
      </c>
      <c r="H32" s="112">
        <v>4.12</v>
      </c>
      <c r="I32" s="112">
        <v>2.82</v>
      </c>
      <c r="J32" s="112">
        <v>0.13</v>
      </c>
      <c r="K32" s="112">
        <v>274.82</v>
      </c>
      <c r="L32" s="112">
        <v>25.37</v>
      </c>
      <c r="M32" s="112">
        <v>94.83</v>
      </c>
      <c r="N32" s="112">
        <v>2.9</v>
      </c>
      <c r="O32" s="112">
        <v>0</v>
      </c>
      <c r="P32" s="112">
        <v>0.33</v>
      </c>
      <c r="Q32" s="112">
        <v>5.48</v>
      </c>
    </row>
    <row r="33" spans="1:17" customFormat="1">
      <c r="A33" s="189" t="s">
        <v>1127</v>
      </c>
      <c r="B33" s="112">
        <v>11.52</v>
      </c>
      <c r="C33" s="112">
        <v>15.81</v>
      </c>
      <c r="D33" s="112">
        <v>18.850000000000001</v>
      </c>
      <c r="E33" s="112">
        <v>10.5</v>
      </c>
      <c r="F33" s="112">
        <v>4.1900000000000004</v>
      </c>
      <c r="G33" s="112">
        <v>10.25</v>
      </c>
      <c r="H33" s="112">
        <v>4.13</v>
      </c>
      <c r="I33" s="112">
        <v>2.73</v>
      </c>
      <c r="J33" s="112">
        <v>0.04</v>
      </c>
      <c r="K33" s="112">
        <v>281.76</v>
      </c>
      <c r="L33" s="112">
        <v>25.48</v>
      </c>
      <c r="M33" s="112">
        <v>94.7</v>
      </c>
      <c r="N33" s="112">
        <v>1.9</v>
      </c>
      <c r="O33" s="112">
        <v>0</v>
      </c>
      <c r="P33" s="112">
        <v>0.35</v>
      </c>
      <c r="Q33" s="112">
        <v>5.53</v>
      </c>
    </row>
    <row r="34" spans="1:17" customFormat="1">
      <c r="A34" s="189" t="s">
        <v>1128</v>
      </c>
      <c r="B34" s="112">
        <v>11.93</v>
      </c>
      <c r="C34" s="112">
        <v>16.690000000000001</v>
      </c>
      <c r="D34" s="112">
        <v>19.64</v>
      </c>
      <c r="E34" s="112">
        <v>11.04</v>
      </c>
      <c r="F34" s="112">
        <v>4</v>
      </c>
      <c r="G34" s="112">
        <v>10.25</v>
      </c>
      <c r="H34" s="112">
        <v>4.13</v>
      </c>
      <c r="I34" s="112">
        <v>2.69</v>
      </c>
      <c r="J34" s="112">
        <v>0.06</v>
      </c>
      <c r="K34" s="112">
        <v>260.83</v>
      </c>
      <c r="L34" s="112">
        <v>25.56</v>
      </c>
      <c r="M34" s="112">
        <v>94.53</v>
      </c>
      <c r="N34" s="112">
        <v>3.7</v>
      </c>
      <c r="O34" s="112">
        <v>0</v>
      </c>
      <c r="P34" s="112">
        <v>0.37</v>
      </c>
      <c r="Q34" s="112">
        <v>5.71</v>
      </c>
    </row>
    <row r="35" spans="1:17" customFormat="1">
      <c r="A35" s="189" t="s">
        <v>1129</v>
      </c>
      <c r="B35" s="112">
        <v>12.04</v>
      </c>
      <c r="C35" s="112">
        <v>15.66</v>
      </c>
      <c r="D35" s="112">
        <v>19.190000000000001</v>
      </c>
      <c r="E35" s="112">
        <v>10.63</v>
      </c>
      <c r="F35" s="112">
        <v>4.76</v>
      </c>
      <c r="G35" s="112">
        <v>10.25</v>
      </c>
      <c r="H35" s="112">
        <v>4.13</v>
      </c>
      <c r="I35" s="112">
        <v>2.92</v>
      </c>
      <c r="J35" s="112">
        <v>0.16</v>
      </c>
      <c r="K35" s="112">
        <v>272.83999999999997</v>
      </c>
      <c r="L35" s="112">
        <v>25.7</v>
      </c>
      <c r="M35" s="112">
        <v>93.87</v>
      </c>
      <c r="N35" s="112">
        <v>6</v>
      </c>
      <c r="O35" s="112">
        <v>0</v>
      </c>
      <c r="P35" s="112">
        <v>0.37</v>
      </c>
      <c r="Q35" s="112">
        <v>6.04</v>
      </c>
    </row>
    <row r="36" spans="1:17" customFormat="1">
      <c r="A36" s="189" t="s">
        <v>1130</v>
      </c>
      <c r="B36" s="112">
        <v>11.56</v>
      </c>
      <c r="C36" s="112">
        <v>13.76</v>
      </c>
      <c r="D36" s="112">
        <v>17.809999999999999</v>
      </c>
      <c r="E36" s="112">
        <v>9.83</v>
      </c>
      <c r="F36" s="112">
        <v>5.78</v>
      </c>
      <c r="G36" s="112">
        <v>12.31</v>
      </c>
      <c r="H36" s="112">
        <v>3.81</v>
      </c>
      <c r="I36" s="112">
        <v>2.96</v>
      </c>
      <c r="J36" s="112">
        <v>0.24</v>
      </c>
      <c r="K36" s="112">
        <v>250.79</v>
      </c>
      <c r="L36" s="112">
        <v>25.68</v>
      </c>
      <c r="M36" s="112">
        <v>93.95</v>
      </c>
      <c r="N36" s="112">
        <v>8.6999999999999993</v>
      </c>
      <c r="O36" s="112">
        <v>0.4</v>
      </c>
      <c r="P36" s="112">
        <v>0.34</v>
      </c>
      <c r="Q36" s="112">
        <v>5.73</v>
      </c>
    </row>
    <row r="37" spans="1:17" customFormat="1">
      <c r="A37" s="189" t="s">
        <v>1131</v>
      </c>
      <c r="B37" s="112">
        <v>11.65</v>
      </c>
      <c r="C37" s="112">
        <v>13.97</v>
      </c>
      <c r="D37" s="112">
        <v>17.989999999999998</v>
      </c>
      <c r="E37" s="112">
        <v>9.9499999999999993</v>
      </c>
      <c r="F37" s="112">
        <v>5.42</v>
      </c>
      <c r="G37" s="112">
        <v>13.82</v>
      </c>
      <c r="H37" s="112">
        <v>3.71</v>
      </c>
      <c r="I37" s="112">
        <v>2.91</v>
      </c>
      <c r="J37" s="112">
        <v>0.14000000000000001</v>
      </c>
      <c r="K37" s="112">
        <v>255.71</v>
      </c>
      <c r="L37" s="112">
        <v>25.5</v>
      </c>
      <c r="M37" s="112">
        <v>95.31</v>
      </c>
      <c r="N37" s="112">
        <v>25.3</v>
      </c>
      <c r="O37" s="112">
        <v>0</v>
      </c>
      <c r="P37" s="112">
        <v>0.33</v>
      </c>
      <c r="Q37" s="112">
        <v>5.43</v>
      </c>
    </row>
    <row r="38" spans="1:17" customFormat="1">
      <c r="A38" s="189" t="s">
        <v>1132</v>
      </c>
      <c r="B38" s="112">
        <v>12.02</v>
      </c>
      <c r="C38" s="112">
        <v>15.95</v>
      </c>
      <c r="D38" s="112">
        <v>19.329999999999998</v>
      </c>
      <c r="E38" s="112">
        <v>10.36</v>
      </c>
      <c r="F38" s="112">
        <v>4.17</v>
      </c>
      <c r="G38" s="112">
        <v>13.82</v>
      </c>
      <c r="H38" s="112">
        <v>3.71</v>
      </c>
      <c r="I38" s="112">
        <v>2.75</v>
      </c>
      <c r="J38" s="112">
        <v>0.13</v>
      </c>
      <c r="K38" s="112">
        <v>274.54000000000002</v>
      </c>
      <c r="L38" s="112">
        <v>25.59</v>
      </c>
      <c r="M38" s="112">
        <v>96.25</v>
      </c>
      <c r="N38" s="112">
        <v>59</v>
      </c>
      <c r="O38" s="112">
        <v>0</v>
      </c>
      <c r="P38" s="112">
        <v>0.36</v>
      </c>
      <c r="Q38" s="112">
        <v>5.36</v>
      </c>
    </row>
    <row r="39" spans="1:17" customFormat="1">
      <c r="A39" s="189" t="s">
        <v>1133</v>
      </c>
      <c r="B39" s="112">
        <v>12.21</v>
      </c>
      <c r="C39" s="112">
        <v>15.3</v>
      </c>
      <c r="D39" s="112">
        <v>19.13</v>
      </c>
      <c r="E39" s="112">
        <v>10.48</v>
      </c>
      <c r="F39" s="112">
        <v>4.74</v>
      </c>
      <c r="G39" s="112">
        <v>13.82</v>
      </c>
      <c r="H39" s="112">
        <v>3.71</v>
      </c>
      <c r="I39" s="112">
        <v>2.86</v>
      </c>
      <c r="J39" s="112">
        <v>0.23</v>
      </c>
      <c r="K39" s="112">
        <v>259.75</v>
      </c>
      <c r="L39" s="112">
        <v>25.82</v>
      </c>
      <c r="M39" s="112">
        <v>95.42</v>
      </c>
      <c r="N39" s="112">
        <v>92.3</v>
      </c>
      <c r="O39" s="112">
        <v>0</v>
      </c>
      <c r="P39" s="112">
        <v>0.37</v>
      </c>
      <c r="Q39" s="112">
        <v>5.3</v>
      </c>
    </row>
    <row r="40" spans="1:17" customFormat="1">
      <c r="A40" s="189" t="s">
        <v>1134</v>
      </c>
      <c r="B40" s="112">
        <v>11.79</v>
      </c>
      <c r="C40" s="112">
        <v>14.36</v>
      </c>
      <c r="D40" s="112">
        <v>18.3</v>
      </c>
      <c r="E40" s="112">
        <v>10.23</v>
      </c>
      <c r="F40" s="112">
        <v>5.58</v>
      </c>
      <c r="G40" s="112">
        <v>11.92</v>
      </c>
      <c r="H40" s="112">
        <v>3.05</v>
      </c>
      <c r="I40" s="112">
        <v>2.97</v>
      </c>
      <c r="J40" s="112">
        <v>0.17</v>
      </c>
      <c r="K40" s="112">
        <v>236.82</v>
      </c>
      <c r="L40" s="112">
        <v>26.21</v>
      </c>
      <c r="M40" s="112">
        <v>93.66</v>
      </c>
      <c r="N40" s="112">
        <v>109.1</v>
      </c>
      <c r="O40" s="112">
        <v>0</v>
      </c>
      <c r="P40" s="112">
        <v>0.34</v>
      </c>
      <c r="Q40" s="112">
        <v>5.19</v>
      </c>
    </row>
    <row r="41" spans="1:17" customFormat="1">
      <c r="A41" s="189" t="s">
        <v>1135</v>
      </c>
      <c r="B41" s="112">
        <v>11.95</v>
      </c>
      <c r="C41" s="112">
        <v>16.13</v>
      </c>
      <c r="D41" s="112">
        <v>19.36</v>
      </c>
      <c r="E41" s="112">
        <v>10.52</v>
      </c>
      <c r="F41" s="112">
        <v>4.46</v>
      </c>
      <c r="G41" s="112">
        <v>10.54</v>
      </c>
      <c r="H41" s="112">
        <v>2.85</v>
      </c>
      <c r="I41" s="112">
        <v>2.9</v>
      </c>
      <c r="J41" s="112">
        <v>0.25</v>
      </c>
      <c r="K41" s="112">
        <v>261.08</v>
      </c>
      <c r="L41" s="112">
        <v>26.16</v>
      </c>
      <c r="M41" s="112">
        <v>94.06</v>
      </c>
      <c r="N41" s="112">
        <v>128.6</v>
      </c>
      <c r="O41" s="112">
        <v>0</v>
      </c>
      <c r="P41" s="112">
        <v>0.36</v>
      </c>
      <c r="Q41" s="112">
        <v>5.16</v>
      </c>
    </row>
    <row r="42" spans="1:17" customFormat="1">
      <c r="A42" s="189" t="s">
        <v>1136</v>
      </c>
      <c r="B42" s="112">
        <v>12.17</v>
      </c>
      <c r="C42" s="112">
        <v>15.26</v>
      </c>
      <c r="D42" s="112">
        <v>19.09</v>
      </c>
      <c r="E42" s="112">
        <v>10.53</v>
      </c>
      <c r="F42" s="112">
        <v>4.96</v>
      </c>
      <c r="G42" s="112">
        <v>10.54</v>
      </c>
      <c r="H42" s="112">
        <v>2.85</v>
      </c>
      <c r="I42" s="112">
        <v>2.85</v>
      </c>
      <c r="J42" s="112">
        <v>0.31</v>
      </c>
      <c r="K42" s="112">
        <v>261.29000000000002</v>
      </c>
      <c r="L42" s="112">
        <v>26.99</v>
      </c>
      <c r="M42" s="112">
        <v>91.12</v>
      </c>
      <c r="N42" s="112">
        <v>256.8</v>
      </c>
      <c r="O42" s="112">
        <v>0</v>
      </c>
      <c r="P42" s="112">
        <v>0.36</v>
      </c>
      <c r="Q42" s="112">
        <v>5.15</v>
      </c>
    </row>
    <row r="43" spans="1:17" customFormat="1">
      <c r="A43" s="189" t="s">
        <v>1137</v>
      </c>
      <c r="B43" s="112">
        <v>11.91</v>
      </c>
      <c r="C43" s="112">
        <v>14.81</v>
      </c>
      <c r="D43" s="112">
        <v>18.64</v>
      </c>
      <c r="E43" s="112">
        <v>10.49</v>
      </c>
      <c r="F43" s="112">
        <v>5.31</v>
      </c>
      <c r="G43" s="112">
        <v>10.54</v>
      </c>
      <c r="H43" s="112">
        <v>2.85</v>
      </c>
      <c r="I43" s="112">
        <v>2.96</v>
      </c>
      <c r="J43" s="112">
        <v>0.2</v>
      </c>
      <c r="K43" s="112">
        <v>239.04</v>
      </c>
      <c r="L43" s="112">
        <v>28.09</v>
      </c>
      <c r="M43" s="112">
        <v>86.56</v>
      </c>
      <c r="N43" s="112">
        <v>252.3</v>
      </c>
      <c r="O43" s="112">
        <v>0</v>
      </c>
      <c r="P43" s="112">
        <v>0.35</v>
      </c>
      <c r="Q43" s="112">
        <v>5.1100000000000003</v>
      </c>
    </row>
    <row r="44" spans="1:17" customFormat="1">
      <c r="A44" s="189" t="s">
        <v>1138</v>
      </c>
      <c r="B44" s="112">
        <v>11.47</v>
      </c>
      <c r="C44" s="112">
        <v>14.16</v>
      </c>
      <c r="D44" s="112">
        <v>17.95</v>
      </c>
      <c r="E44" s="112">
        <v>10.54</v>
      </c>
      <c r="F44" s="112">
        <v>5.94</v>
      </c>
      <c r="G44" s="112">
        <v>8.84</v>
      </c>
      <c r="H44" s="112">
        <v>3.58</v>
      </c>
      <c r="I44" s="112">
        <v>2.92</v>
      </c>
      <c r="J44" s="112">
        <v>0.36</v>
      </c>
      <c r="K44" s="112">
        <v>253.42</v>
      </c>
      <c r="L44" s="112">
        <v>27.8</v>
      </c>
      <c r="M44" s="112">
        <v>86.64</v>
      </c>
      <c r="N44" s="112">
        <v>209.5</v>
      </c>
      <c r="O44" s="112">
        <v>0</v>
      </c>
      <c r="P44" s="112">
        <v>0.34</v>
      </c>
      <c r="Q44" s="112">
        <v>5.0999999999999996</v>
      </c>
    </row>
    <row r="45" spans="1:17" customFormat="1">
      <c r="A45" s="189" t="s">
        <v>1139</v>
      </c>
      <c r="B45" s="112">
        <v>11.16</v>
      </c>
      <c r="C45" s="112">
        <v>14.32</v>
      </c>
      <c r="D45" s="112">
        <v>17.79</v>
      </c>
      <c r="E45" s="112">
        <v>10.54</v>
      </c>
      <c r="F45" s="112">
        <v>6.12</v>
      </c>
      <c r="G45" s="112">
        <v>7.59</v>
      </c>
      <c r="H45" s="112">
        <v>3.8</v>
      </c>
      <c r="I45" s="112">
        <v>2.88</v>
      </c>
      <c r="J45" s="112">
        <v>0.32</v>
      </c>
      <c r="K45" s="112">
        <v>251.17</v>
      </c>
      <c r="L45" s="112">
        <v>27.95</v>
      </c>
      <c r="M45" s="112">
        <v>86.05</v>
      </c>
      <c r="N45" s="112">
        <v>229.4</v>
      </c>
      <c r="O45" s="112">
        <v>0</v>
      </c>
      <c r="P45" s="112">
        <v>0.32</v>
      </c>
      <c r="Q45" s="112">
        <v>5.0599999999999996</v>
      </c>
    </row>
    <row r="46" spans="1:17" customFormat="1">
      <c r="A46" s="189" t="s">
        <v>1140</v>
      </c>
      <c r="B46" s="112">
        <v>11.22</v>
      </c>
      <c r="C46" s="112">
        <v>16.559999999999999</v>
      </c>
      <c r="D46" s="112">
        <v>19</v>
      </c>
      <c r="E46" s="112">
        <v>10.62</v>
      </c>
      <c r="F46" s="112">
        <v>4.3499999999999996</v>
      </c>
      <c r="G46" s="112">
        <v>7.59</v>
      </c>
      <c r="H46" s="112">
        <v>3.8</v>
      </c>
      <c r="I46" s="112">
        <v>2.79</v>
      </c>
      <c r="J46" s="112">
        <v>0.42</v>
      </c>
      <c r="K46" s="112">
        <v>260.31</v>
      </c>
      <c r="L46" s="112">
        <v>28.18</v>
      </c>
      <c r="M46" s="112">
        <v>84.83</v>
      </c>
      <c r="N46" s="112">
        <v>191.3</v>
      </c>
      <c r="O46" s="112">
        <v>0</v>
      </c>
      <c r="P46" s="112">
        <v>0.37</v>
      </c>
      <c r="Q46" s="112">
        <v>5.03</v>
      </c>
    </row>
    <row r="47" spans="1:17" customFormat="1">
      <c r="A47" s="189" t="s">
        <v>1141</v>
      </c>
      <c r="B47" s="112">
        <v>11.33</v>
      </c>
      <c r="C47" s="112">
        <v>15.8</v>
      </c>
      <c r="D47" s="112">
        <v>18.690000000000001</v>
      </c>
      <c r="E47" s="112">
        <v>10.86</v>
      </c>
      <c r="F47" s="112">
        <v>5.01</v>
      </c>
      <c r="G47" s="112">
        <v>7.59</v>
      </c>
      <c r="H47" s="112">
        <v>3.8</v>
      </c>
      <c r="I47" s="112">
        <v>2.86</v>
      </c>
      <c r="J47" s="112">
        <v>0.37</v>
      </c>
      <c r="K47" s="112">
        <v>253.32</v>
      </c>
      <c r="L47" s="112">
        <v>28.14</v>
      </c>
      <c r="M47" s="112">
        <v>85.66</v>
      </c>
      <c r="N47" s="112">
        <v>281.10000000000002</v>
      </c>
      <c r="O47" s="112">
        <v>0</v>
      </c>
      <c r="P47" s="112">
        <v>0.37</v>
      </c>
      <c r="Q47" s="112">
        <v>5.03</v>
      </c>
    </row>
    <row r="48" spans="1:17" customFormat="1">
      <c r="A48" s="189" t="s">
        <v>1142</v>
      </c>
      <c r="B48" s="112">
        <v>11.09</v>
      </c>
      <c r="C48" s="112">
        <v>14.35</v>
      </c>
      <c r="D48" s="112">
        <v>17.75</v>
      </c>
      <c r="E48" s="112">
        <v>10.18</v>
      </c>
      <c r="F48" s="112">
        <v>6.02</v>
      </c>
      <c r="G48" s="112">
        <v>8.23</v>
      </c>
      <c r="H48" s="112">
        <v>4.8600000000000003</v>
      </c>
      <c r="I48" s="112">
        <v>2.99</v>
      </c>
      <c r="J48" s="112">
        <v>0.36</v>
      </c>
      <c r="K48" s="112">
        <v>255.51</v>
      </c>
      <c r="L48" s="112">
        <v>29.11</v>
      </c>
      <c r="M48" s="112">
        <v>81.75</v>
      </c>
      <c r="N48" s="112">
        <v>419.4</v>
      </c>
      <c r="O48" s="112">
        <v>0</v>
      </c>
      <c r="P48" s="112">
        <v>0.35</v>
      </c>
      <c r="Q48" s="112">
        <v>5.0199999999999996</v>
      </c>
    </row>
    <row r="49" spans="1:17" customFormat="1">
      <c r="A49" s="189" t="s">
        <v>1143</v>
      </c>
      <c r="B49" s="112">
        <v>10.95</v>
      </c>
      <c r="C49" s="112">
        <v>14.2</v>
      </c>
      <c r="D49" s="112">
        <v>17.55</v>
      </c>
      <c r="E49" s="112">
        <v>7.44</v>
      </c>
      <c r="F49" s="112">
        <v>5.96</v>
      </c>
      <c r="G49" s="112">
        <v>8.7100000000000009</v>
      </c>
      <c r="H49" s="112">
        <v>5.19</v>
      </c>
      <c r="I49" s="112">
        <v>2.91</v>
      </c>
      <c r="J49" s="112">
        <v>0.28999999999999998</v>
      </c>
      <c r="K49" s="112">
        <v>259.77999999999997</v>
      </c>
      <c r="L49" s="112">
        <v>29.54</v>
      </c>
      <c r="M49" s="112">
        <v>80.319999999999993</v>
      </c>
      <c r="N49" s="112">
        <v>408.7</v>
      </c>
      <c r="O49" s="112">
        <v>0</v>
      </c>
      <c r="P49" s="112">
        <v>0.35</v>
      </c>
      <c r="Q49" s="112">
        <v>5</v>
      </c>
    </row>
    <row r="50" spans="1:17" customFormat="1">
      <c r="A50" s="189" t="s">
        <v>1144</v>
      </c>
      <c r="B50" s="112">
        <v>10.67</v>
      </c>
      <c r="C50" s="112">
        <v>14.15</v>
      </c>
      <c r="D50" s="112">
        <v>17.3</v>
      </c>
      <c r="E50" s="112">
        <v>9.1</v>
      </c>
      <c r="F50" s="112">
        <v>5.78</v>
      </c>
      <c r="G50" s="112">
        <v>8.7100000000000009</v>
      </c>
      <c r="H50" s="112">
        <v>5.19</v>
      </c>
      <c r="I50" s="112">
        <v>2.82</v>
      </c>
      <c r="J50" s="112">
        <v>0.38</v>
      </c>
      <c r="K50" s="112">
        <v>252.32</v>
      </c>
      <c r="L50" s="112">
        <v>30.11</v>
      </c>
      <c r="M50" s="112">
        <v>78.38</v>
      </c>
      <c r="N50" s="112">
        <v>516.9</v>
      </c>
      <c r="O50" s="112">
        <v>0</v>
      </c>
      <c r="P50" s="112">
        <v>0.35</v>
      </c>
      <c r="Q50" s="112">
        <v>5.0199999999999996</v>
      </c>
    </row>
    <row r="51" spans="1:17" customFormat="1">
      <c r="A51" s="189" t="s">
        <v>1145</v>
      </c>
      <c r="B51" s="112">
        <v>10.37</v>
      </c>
      <c r="C51" s="112">
        <v>14.06</v>
      </c>
      <c r="D51" s="112">
        <v>17.02</v>
      </c>
      <c r="E51" s="112">
        <v>8.92</v>
      </c>
      <c r="F51" s="112">
        <v>5.86</v>
      </c>
      <c r="G51" s="112">
        <v>8.7100000000000009</v>
      </c>
      <c r="H51" s="112">
        <v>5.19</v>
      </c>
      <c r="I51" s="112">
        <v>2.86</v>
      </c>
      <c r="J51" s="112">
        <v>0.37</v>
      </c>
      <c r="K51" s="112">
        <v>231.72</v>
      </c>
      <c r="L51" s="112">
        <v>30.11</v>
      </c>
      <c r="M51" s="112">
        <v>77.37</v>
      </c>
      <c r="N51" s="112">
        <v>592.5</v>
      </c>
      <c r="O51" s="112">
        <v>0</v>
      </c>
      <c r="P51" s="112">
        <v>0.35</v>
      </c>
      <c r="Q51" s="112">
        <v>4.9800000000000004</v>
      </c>
    </row>
    <row r="52" spans="1:17" customFormat="1">
      <c r="A52" s="189" t="s">
        <v>1146</v>
      </c>
      <c r="B52" s="112">
        <v>10.28</v>
      </c>
      <c r="C52" s="112">
        <v>14.63</v>
      </c>
      <c r="D52" s="112">
        <v>17.239999999999998</v>
      </c>
      <c r="E52" s="112">
        <v>8.65</v>
      </c>
      <c r="F52" s="112">
        <v>5.42</v>
      </c>
      <c r="G52" s="112">
        <v>10.1</v>
      </c>
      <c r="H52" s="112">
        <v>5.76</v>
      </c>
      <c r="I52" s="112">
        <v>2.88</v>
      </c>
      <c r="J52" s="112">
        <v>0.6</v>
      </c>
      <c r="K52" s="112">
        <v>257.17</v>
      </c>
      <c r="L52" s="112">
        <v>30.41</v>
      </c>
      <c r="M52" s="112">
        <v>75.67</v>
      </c>
      <c r="N52" s="112">
        <v>564.6</v>
      </c>
      <c r="O52" s="112">
        <v>0</v>
      </c>
      <c r="P52" s="112">
        <v>0.36</v>
      </c>
      <c r="Q52" s="112">
        <v>4.95</v>
      </c>
    </row>
    <row r="53" spans="1:17" customFormat="1">
      <c r="A53" s="189" t="s">
        <v>1147</v>
      </c>
      <c r="B53" s="112">
        <v>10.220000000000001</v>
      </c>
      <c r="C53" s="112">
        <v>16.079999999999998</v>
      </c>
      <c r="D53" s="112">
        <v>17.95</v>
      </c>
      <c r="E53" s="112">
        <v>9.18</v>
      </c>
      <c r="F53" s="112">
        <v>4.72</v>
      </c>
      <c r="G53" s="112">
        <v>11.11</v>
      </c>
      <c r="H53" s="112">
        <v>5.94</v>
      </c>
      <c r="I53" s="112">
        <v>2.9</v>
      </c>
      <c r="J53" s="112">
        <v>0.5</v>
      </c>
      <c r="K53" s="112">
        <v>254.53</v>
      </c>
      <c r="L53" s="112">
        <v>30.78</v>
      </c>
      <c r="M53" s="112">
        <v>74.23</v>
      </c>
      <c r="N53" s="112">
        <v>795</v>
      </c>
      <c r="O53" s="112">
        <v>0</v>
      </c>
      <c r="P53" s="112">
        <v>0.39</v>
      </c>
      <c r="Q53" s="112">
        <v>4.9000000000000004</v>
      </c>
    </row>
    <row r="54" spans="1:17" customFormat="1">
      <c r="A54" s="189" t="s">
        <v>1148</v>
      </c>
      <c r="B54" s="112">
        <v>10.01</v>
      </c>
      <c r="C54" s="112">
        <v>15.6</v>
      </c>
      <c r="D54" s="112">
        <v>17.52</v>
      </c>
      <c r="E54" s="112">
        <v>9.35</v>
      </c>
      <c r="F54" s="112">
        <v>5.26</v>
      </c>
      <c r="G54" s="112">
        <v>11.11</v>
      </c>
      <c r="H54" s="112">
        <v>5.94</v>
      </c>
      <c r="I54" s="112">
        <v>2.97</v>
      </c>
      <c r="J54" s="112">
        <v>0.64</v>
      </c>
      <c r="K54" s="112">
        <v>260.18</v>
      </c>
      <c r="L54" s="112">
        <v>30.52</v>
      </c>
      <c r="M54" s="112">
        <v>74.95</v>
      </c>
      <c r="N54" s="112">
        <v>517</v>
      </c>
      <c r="O54" s="112">
        <v>0</v>
      </c>
      <c r="P54" s="112">
        <v>0.39</v>
      </c>
      <c r="Q54" s="112">
        <v>4.8899999999999997</v>
      </c>
    </row>
    <row r="55" spans="1:17" customFormat="1">
      <c r="A55" s="189" t="s">
        <v>1149</v>
      </c>
      <c r="B55" s="112">
        <v>9.83</v>
      </c>
      <c r="C55" s="112">
        <v>15.17</v>
      </c>
      <c r="D55" s="112">
        <v>17.16</v>
      </c>
      <c r="E55" s="112">
        <v>8.8000000000000007</v>
      </c>
      <c r="F55" s="112">
        <v>5.25</v>
      </c>
      <c r="G55" s="112">
        <v>11.11</v>
      </c>
      <c r="H55" s="112">
        <v>5.94</v>
      </c>
      <c r="I55" s="112">
        <v>3.02</v>
      </c>
      <c r="J55" s="112">
        <v>0.39</v>
      </c>
      <c r="K55" s="112">
        <v>244.38</v>
      </c>
      <c r="L55" s="112">
        <v>30.37</v>
      </c>
      <c r="M55" s="112">
        <v>76.239999999999995</v>
      </c>
      <c r="N55" s="112">
        <v>511.5</v>
      </c>
      <c r="O55" s="112">
        <v>0</v>
      </c>
      <c r="P55" s="112">
        <v>0.39</v>
      </c>
      <c r="Q55" s="112">
        <v>4.88</v>
      </c>
    </row>
    <row r="56" spans="1:17" customFormat="1">
      <c r="A56" s="189" t="s">
        <v>1150</v>
      </c>
      <c r="B56" s="112">
        <v>9.67</v>
      </c>
      <c r="C56" s="112">
        <v>14.69</v>
      </c>
      <c r="D56" s="112">
        <v>16.78</v>
      </c>
      <c r="E56" s="112">
        <v>8.74</v>
      </c>
      <c r="F56" s="112">
        <v>5.58</v>
      </c>
      <c r="G56" s="112">
        <v>9.2899999999999991</v>
      </c>
      <c r="H56" s="112">
        <v>4.95</v>
      </c>
      <c r="I56" s="112">
        <v>3</v>
      </c>
      <c r="J56" s="112">
        <v>0.57999999999999996</v>
      </c>
      <c r="K56" s="112">
        <v>254.24</v>
      </c>
      <c r="L56" s="112">
        <v>29.93</v>
      </c>
      <c r="M56" s="112">
        <v>77.400000000000006</v>
      </c>
      <c r="N56" s="112">
        <v>190.7</v>
      </c>
      <c r="O56" s="112">
        <v>0</v>
      </c>
      <c r="P56" s="112">
        <v>0.38</v>
      </c>
      <c r="Q56" s="112">
        <v>4.84</v>
      </c>
    </row>
    <row r="57" spans="1:17" customFormat="1">
      <c r="A57" s="189" t="s">
        <v>1151</v>
      </c>
      <c r="B57" s="112">
        <v>9.5</v>
      </c>
      <c r="C57" s="112">
        <v>14.96</v>
      </c>
      <c r="D57" s="112">
        <v>16.79</v>
      </c>
      <c r="E57" s="112">
        <v>8.6199999999999992</v>
      </c>
      <c r="F57" s="112">
        <v>5.18</v>
      </c>
      <c r="G57" s="112">
        <v>7.96</v>
      </c>
      <c r="H57" s="112">
        <v>4.37</v>
      </c>
      <c r="I57" s="112">
        <v>3.02</v>
      </c>
      <c r="J57" s="112">
        <v>0.49</v>
      </c>
      <c r="K57" s="112">
        <v>287.77999999999997</v>
      </c>
      <c r="L57" s="112">
        <v>28.02</v>
      </c>
      <c r="M57" s="112">
        <v>84.61</v>
      </c>
      <c r="N57" s="112">
        <v>82.2</v>
      </c>
      <c r="O57" s="112">
        <v>0</v>
      </c>
      <c r="P57" s="112">
        <v>0.38</v>
      </c>
      <c r="Q57" s="112">
        <v>4.8499999999999996</v>
      </c>
    </row>
    <row r="58" spans="1:17" customFormat="1">
      <c r="A58" s="189" t="s">
        <v>1152</v>
      </c>
      <c r="B58" s="112">
        <v>9.52</v>
      </c>
      <c r="C58" s="112">
        <v>14.91</v>
      </c>
      <c r="D58" s="112">
        <v>16.78</v>
      </c>
      <c r="E58" s="112">
        <v>8.27</v>
      </c>
      <c r="F58" s="112">
        <v>5.24</v>
      </c>
      <c r="G58" s="112">
        <v>7.96</v>
      </c>
      <c r="H58" s="112">
        <v>4.37</v>
      </c>
      <c r="I58" s="112">
        <v>3</v>
      </c>
      <c r="J58" s="112">
        <v>0.31</v>
      </c>
      <c r="K58" s="112">
        <v>257.57</v>
      </c>
      <c r="L58" s="112">
        <v>27.95</v>
      </c>
      <c r="M58" s="112">
        <v>85.67</v>
      </c>
      <c r="N58" s="112">
        <v>138.5</v>
      </c>
      <c r="O58" s="112">
        <v>0</v>
      </c>
      <c r="P58" s="112">
        <v>0.38</v>
      </c>
      <c r="Q58" s="112">
        <v>4.8899999999999997</v>
      </c>
    </row>
    <row r="59" spans="1:17" customFormat="1">
      <c r="A59" s="189" t="s">
        <v>1153</v>
      </c>
      <c r="B59" s="112">
        <v>9.2899999999999991</v>
      </c>
      <c r="C59" s="112">
        <v>14.52</v>
      </c>
      <c r="D59" s="112">
        <v>16.39</v>
      </c>
      <c r="E59" s="112">
        <v>8.27</v>
      </c>
      <c r="F59" s="112">
        <v>5.93</v>
      </c>
      <c r="G59" s="112">
        <v>7.96</v>
      </c>
      <c r="H59" s="112">
        <v>4.37</v>
      </c>
      <c r="I59" s="112">
        <v>3.04</v>
      </c>
      <c r="J59" s="112">
        <v>0.23</v>
      </c>
      <c r="K59" s="112">
        <v>209.43</v>
      </c>
      <c r="L59" s="112">
        <v>28.59</v>
      </c>
      <c r="M59" s="112">
        <v>82.94</v>
      </c>
      <c r="N59" s="112">
        <v>226</v>
      </c>
      <c r="O59" s="112">
        <v>0</v>
      </c>
      <c r="P59" s="112">
        <v>0.38</v>
      </c>
      <c r="Q59" s="112">
        <v>4.8899999999999997</v>
      </c>
    </row>
    <row r="60" spans="1:17" customFormat="1">
      <c r="A60" s="189" t="s">
        <v>1154</v>
      </c>
      <c r="B60" s="112">
        <v>9.0500000000000007</v>
      </c>
      <c r="C60" s="112">
        <v>13.54</v>
      </c>
      <c r="D60" s="112">
        <v>15.68</v>
      </c>
      <c r="E60" s="112">
        <v>8.26</v>
      </c>
      <c r="F60" s="112">
        <v>7.71</v>
      </c>
      <c r="G60" s="112">
        <v>9.3699999999999992</v>
      </c>
      <c r="H60" s="112">
        <v>3.41</v>
      </c>
      <c r="I60" s="112">
        <v>3.03</v>
      </c>
      <c r="J60" s="112">
        <v>0.4</v>
      </c>
      <c r="K60" s="112">
        <v>169.59</v>
      </c>
      <c r="L60" s="112">
        <v>29.62</v>
      </c>
      <c r="M60" s="112">
        <v>79.34</v>
      </c>
      <c r="N60" s="112">
        <v>563.5</v>
      </c>
      <c r="O60" s="112">
        <v>0</v>
      </c>
      <c r="P60" s="112">
        <v>0.37</v>
      </c>
      <c r="Q60" s="112">
        <v>4.8899999999999997</v>
      </c>
    </row>
    <row r="61" spans="1:17" customFormat="1">
      <c r="A61" s="189" t="s">
        <v>1155</v>
      </c>
      <c r="B61" s="112">
        <v>9.1</v>
      </c>
      <c r="C61" s="112">
        <v>13.44</v>
      </c>
      <c r="D61" s="112">
        <v>15.67</v>
      </c>
      <c r="E61" s="112">
        <v>8.69</v>
      </c>
      <c r="F61" s="112">
        <v>7.02</v>
      </c>
      <c r="G61" s="112">
        <v>10.4</v>
      </c>
      <c r="H61" s="112">
        <v>3.11</v>
      </c>
      <c r="I61" s="112">
        <v>2.99</v>
      </c>
      <c r="J61" s="112">
        <v>0.1</v>
      </c>
      <c r="K61" s="112">
        <v>161.5</v>
      </c>
      <c r="L61" s="112">
        <v>30.38</v>
      </c>
      <c r="M61" s="112">
        <v>77.55</v>
      </c>
      <c r="N61" s="112">
        <v>315.39999999999998</v>
      </c>
      <c r="O61" s="112">
        <v>0</v>
      </c>
      <c r="P61" s="112">
        <v>0.37</v>
      </c>
      <c r="Q61" s="112">
        <v>4.91</v>
      </c>
    </row>
    <row r="62" spans="1:17" customFormat="1">
      <c r="A62" s="189" t="s">
        <v>1156</v>
      </c>
      <c r="B62" s="112">
        <v>8.8800000000000008</v>
      </c>
      <c r="C62" s="112">
        <v>13.64</v>
      </c>
      <c r="D62" s="112">
        <v>15.6</v>
      </c>
      <c r="E62" s="112">
        <v>8.24</v>
      </c>
      <c r="F62" s="112">
        <v>6.58</v>
      </c>
      <c r="G62" s="112">
        <v>10.4</v>
      </c>
      <c r="H62" s="112">
        <v>3.11</v>
      </c>
      <c r="I62" s="112">
        <v>2.93</v>
      </c>
      <c r="J62" s="112">
        <v>0.26</v>
      </c>
      <c r="K62" s="112">
        <v>225.59</v>
      </c>
      <c r="L62" s="112">
        <v>30.31</v>
      </c>
      <c r="M62" s="112">
        <v>77.83</v>
      </c>
      <c r="N62" s="112">
        <v>266.39999999999998</v>
      </c>
      <c r="O62" s="112">
        <v>0</v>
      </c>
      <c r="P62" s="112">
        <v>0.37</v>
      </c>
      <c r="Q62" s="112">
        <v>4.9000000000000004</v>
      </c>
    </row>
    <row r="63" spans="1:17" customFormat="1">
      <c r="A63" s="189" t="s">
        <v>1157</v>
      </c>
      <c r="B63" s="112">
        <v>8.89</v>
      </c>
      <c r="C63" s="112">
        <v>13.8</v>
      </c>
      <c r="D63" s="112">
        <v>15.69</v>
      </c>
      <c r="E63" s="112">
        <v>8.4</v>
      </c>
      <c r="F63" s="112">
        <v>6.21</v>
      </c>
      <c r="G63" s="112">
        <v>10.4</v>
      </c>
      <c r="H63" s="112">
        <v>3.11</v>
      </c>
      <c r="I63" s="112">
        <v>2.96</v>
      </c>
      <c r="J63" s="112">
        <v>0.24</v>
      </c>
      <c r="K63" s="112">
        <v>227.08</v>
      </c>
      <c r="L63" s="112">
        <v>30.29</v>
      </c>
      <c r="M63" s="112">
        <v>76.790000000000006</v>
      </c>
      <c r="N63" s="112">
        <v>204.9</v>
      </c>
      <c r="O63" s="112">
        <v>0</v>
      </c>
      <c r="P63" s="112">
        <v>0.37</v>
      </c>
      <c r="Q63" s="112">
        <v>4.8600000000000003</v>
      </c>
    </row>
    <row r="64" spans="1:17" customFormat="1">
      <c r="A64" s="189" t="s">
        <v>1158</v>
      </c>
      <c r="B64" s="112">
        <v>8.68</v>
      </c>
      <c r="C64" s="112">
        <v>13.64</v>
      </c>
      <c r="D64" s="112">
        <v>15.44</v>
      </c>
      <c r="E64" s="112">
        <v>8.1999999999999993</v>
      </c>
      <c r="F64" s="112">
        <v>6.57</v>
      </c>
      <c r="G64" s="112">
        <v>8.68</v>
      </c>
      <c r="H64" s="112">
        <v>2.57</v>
      </c>
      <c r="I64" s="112">
        <v>2.97</v>
      </c>
      <c r="J64" s="112">
        <v>0.68</v>
      </c>
      <c r="K64" s="112">
        <v>262.98</v>
      </c>
      <c r="L64" s="112">
        <v>30.02</v>
      </c>
      <c r="M64" s="112">
        <v>76.67</v>
      </c>
      <c r="N64" s="112">
        <v>266</v>
      </c>
      <c r="O64" s="112">
        <v>0</v>
      </c>
      <c r="P64" s="112">
        <v>0.37</v>
      </c>
      <c r="Q64" s="112">
        <v>4.8499999999999996</v>
      </c>
    </row>
    <row r="65" spans="1:17" customFormat="1">
      <c r="A65" s="189" t="s">
        <v>1159</v>
      </c>
      <c r="B65" s="112">
        <v>8.68</v>
      </c>
      <c r="C65" s="112">
        <v>14.98</v>
      </c>
      <c r="D65" s="112">
        <v>16.14</v>
      </c>
      <c r="E65" s="112">
        <v>9.08</v>
      </c>
      <c r="F65" s="112">
        <v>5.8</v>
      </c>
      <c r="G65" s="112">
        <v>7.42</v>
      </c>
      <c r="H65" s="112">
        <v>2.4</v>
      </c>
      <c r="I65" s="112">
        <v>2.97</v>
      </c>
      <c r="J65" s="112">
        <v>0.79</v>
      </c>
      <c r="K65" s="112">
        <v>260.14</v>
      </c>
      <c r="L65" s="112">
        <v>30.61</v>
      </c>
      <c r="M65" s="112">
        <v>74.099999999999994</v>
      </c>
      <c r="N65" s="112">
        <v>534</v>
      </c>
      <c r="O65" s="112">
        <v>0</v>
      </c>
      <c r="P65" s="112">
        <v>0.38</v>
      </c>
      <c r="Q65" s="112">
        <v>4.79</v>
      </c>
    </row>
    <row r="66" spans="1:17" customFormat="1">
      <c r="A66" s="189" t="s">
        <v>1160</v>
      </c>
      <c r="B66" s="112">
        <v>8.67</v>
      </c>
      <c r="C66" s="112">
        <v>14.62</v>
      </c>
      <c r="D66" s="112">
        <v>15.94</v>
      </c>
      <c r="E66" s="112">
        <v>8.66</v>
      </c>
      <c r="F66" s="112">
        <v>6.14</v>
      </c>
      <c r="G66" s="112">
        <v>7.42</v>
      </c>
      <c r="H66" s="112">
        <v>2.4</v>
      </c>
      <c r="I66" s="112">
        <v>2.97</v>
      </c>
      <c r="J66" s="112">
        <v>0.82</v>
      </c>
      <c r="K66" s="112">
        <v>272.57</v>
      </c>
      <c r="L66" s="112">
        <v>30.63</v>
      </c>
      <c r="M66" s="112">
        <v>73.92</v>
      </c>
      <c r="N66" s="112">
        <v>521</v>
      </c>
      <c r="O66" s="112">
        <v>0</v>
      </c>
      <c r="P66" s="112">
        <v>0.38</v>
      </c>
      <c r="Q66" s="112">
        <v>4.71</v>
      </c>
    </row>
    <row r="67" spans="1:17" customFormat="1">
      <c r="A67" s="189" t="s">
        <v>1161</v>
      </c>
      <c r="B67" s="112">
        <v>8.4700000000000006</v>
      </c>
      <c r="C67" s="112">
        <v>14.23</v>
      </c>
      <c r="D67" s="112">
        <v>15.58</v>
      </c>
      <c r="E67" s="112">
        <v>8.48</v>
      </c>
      <c r="F67" s="112">
        <v>6.31</v>
      </c>
      <c r="G67" s="112">
        <v>7.42</v>
      </c>
      <c r="H67" s="112">
        <v>2.4</v>
      </c>
      <c r="I67" s="112">
        <v>3.04</v>
      </c>
      <c r="J67" s="112">
        <v>0.71</v>
      </c>
      <c r="K67" s="112">
        <v>261.17</v>
      </c>
      <c r="L67" s="112">
        <v>31.2</v>
      </c>
      <c r="M67" s="112">
        <v>71.84</v>
      </c>
      <c r="N67" s="112">
        <v>560.70000000000005</v>
      </c>
      <c r="O67" s="112">
        <v>0</v>
      </c>
      <c r="P67" s="112">
        <v>0.38</v>
      </c>
      <c r="Q67" s="112">
        <v>4.68</v>
      </c>
    </row>
    <row r="68" spans="1:17" customFormat="1">
      <c r="A68" s="189" t="s">
        <v>1162</v>
      </c>
      <c r="B68" s="112">
        <v>8.31</v>
      </c>
      <c r="C68" s="112">
        <v>13.89</v>
      </c>
      <c r="D68" s="112">
        <v>15.27</v>
      </c>
      <c r="E68" s="112">
        <v>8.48</v>
      </c>
      <c r="F68" s="112">
        <v>6.48</v>
      </c>
      <c r="G68" s="112">
        <v>8.6199999999999992</v>
      </c>
      <c r="H68" s="112">
        <v>4.54</v>
      </c>
      <c r="I68" s="112">
        <v>2.98</v>
      </c>
      <c r="J68" s="112">
        <v>0.64</v>
      </c>
      <c r="K68" s="112">
        <v>257.57</v>
      </c>
      <c r="L68" s="112">
        <v>30.84</v>
      </c>
      <c r="M68" s="112">
        <v>73.78</v>
      </c>
      <c r="N68" s="112">
        <v>410.4</v>
      </c>
      <c r="O68" s="112">
        <v>0</v>
      </c>
      <c r="P68" s="112">
        <v>0.38</v>
      </c>
      <c r="Q68" s="112">
        <v>4.67</v>
      </c>
    </row>
    <row r="69" spans="1:17" customFormat="1">
      <c r="A69" s="189" t="s">
        <v>1163</v>
      </c>
      <c r="B69" s="112">
        <v>8.14</v>
      </c>
      <c r="C69" s="112">
        <v>13.94</v>
      </c>
      <c r="D69" s="112">
        <v>15.16</v>
      </c>
      <c r="E69" s="112">
        <v>8.35</v>
      </c>
      <c r="F69" s="112">
        <v>6.15</v>
      </c>
      <c r="G69" s="112">
        <v>9.49</v>
      </c>
      <c r="H69" s="112">
        <v>5.22</v>
      </c>
      <c r="I69" s="112">
        <v>2.95</v>
      </c>
      <c r="J69" s="112">
        <v>0.95</v>
      </c>
      <c r="K69" s="112">
        <v>261.95</v>
      </c>
      <c r="L69" s="112">
        <v>30.8</v>
      </c>
      <c r="M69" s="112">
        <v>71.25</v>
      </c>
      <c r="N69" s="112">
        <v>520.9</v>
      </c>
      <c r="O69" s="112">
        <v>0</v>
      </c>
      <c r="P69" s="112">
        <v>0.38</v>
      </c>
      <c r="Q69" s="112">
        <v>4.66</v>
      </c>
    </row>
    <row r="70" spans="1:17" customFormat="1">
      <c r="A70" s="189" t="s">
        <v>1164</v>
      </c>
      <c r="B70" s="112">
        <v>8.09</v>
      </c>
      <c r="C70" s="112">
        <v>13.79</v>
      </c>
      <c r="D70" s="112">
        <v>15.04</v>
      </c>
      <c r="E70" s="112">
        <v>8.2799999999999994</v>
      </c>
      <c r="F70" s="112">
        <v>6.02</v>
      </c>
      <c r="G70" s="112">
        <v>9.49</v>
      </c>
      <c r="H70" s="112">
        <v>5.22</v>
      </c>
      <c r="I70" s="112">
        <v>2.92</v>
      </c>
      <c r="J70" s="112">
        <v>0.47</v>
      </c>
      <c r="K70" s="112">
        <v>248.64</v>
      </c>
      <c r="L70" s="112">
        <v>30.68</v>
      </c>
      <c r="M70" s="112">
        <v>72.760000000000005</v>
      </c>
      <c r="N70" s="112">
        <v>359.8</v>
      </c>
      <c r="O70" s="112">
        <v>0</v>
      </c>
      <c r="P70" s="112">
        <v>0.37</v>
      </c>
      <c r="Q70" s="112">
        <v>4.66</v>
      </c>
    </row>
    <row r="71" spans="1:17" customFormat="1">
      <c r="A71" s="189" t="s">
        <v>1165</v>
      </c>
      <c r="B71" s="112">
        <v>7.98</v>
      </c>
      <c r="C71" s="112">
        <v>13.59</v>
      </c>
      <c r="D71" s="112">
        <v>14.85</v>
      </c>
      <c r="E71" s="112">
        <v>8.4700000000000006</v>
      </c>
      <c r="F71" s="112">
        <v>6.1</v>
      </c>
      <c r="G71" s="112">
        <v>9.49</v>
      </c>
      <c r="H71" s="112">
        <v>5.22</v>
      </c>
      <c r="I71" s="112">
        <v>2.93</v>
      </c>
      <c r="J71" s="112">
        <v>0.7</v>
      </c>
      <c r="K71" s="112">
        <v>263.16000000000003</v>
      </c>
      <c r="L71" s="112">
        <v>30.1</v>
      </c>
      <c r="M71" s="112">
        <v>75.11</v>
      </c>
      <c r="N71" s="112">
        <v>203.6</v>
      </c>
      <c r="O71" s="112">
        <v>0</v>
      </c>
      <c r="P71" s="112">
        <v>0.36</v>
      </c>
      <c r="Q71" s="112">
        <v>4.6500000000000004</v>
      </c>
    </row>
    <row r="72" spans="1:17" customFormat="1">
      <c r="A72" s="189" t="s">
        <v>1166</v>
      </c>
      <c r="B72" s="112">
        <v>7.91</v>
      </c>
      <c r="C72" s="112">
        <v>13.74</v>
      </c>
      <c r="D72" s="112">
        <v>14.87</v>
      </c>
      <c r="E72" s="112">
        <v>8.27</v>
      </c>
      <c r="F72" s="112">
        <v>6.25</v>
      </c>
      <c r="G72" s="112">
        <v>10.17</v>
      </c>
      <c r="H72" s="112">
        <v>5.63</v>
      </c>
      <c r="I72" s="112">
        <v>2.92</v>
      </c>
      <c r="J72" s="112">
        <v>0.57999999999999996</v>
      </c>
      <c r="K72" s="112">
        <v>259.87</v>
      </c>
      <c r="L72" s="112">
        <v>29.96</v>
      </c>
      <c r="M72" s="112">
        <v>75.98</v>
      </c>
      <c r="N72" s="112">
        <v>180.2</v>
      </c>
      <c r="O72" s="112">
        <v>0</v>
      </c>
      <c r="P72" s="112">
        <v>0.37</v>
      </c>
      <c r="Q72" s="112">
        <v>4.62</v>
      </c>
    </row>
    <row r="73" spans="1:17" customFormat="1">
      <c r="A73" s="189" t="s">
        <v>1167</v>
      </c>
      <c r="B73" s="112">
        <v>7.97</v>
      </c>
      <c r="C73" s="112">
        <v>13.74</v>
      </c>
      <c r="D73" s="112">
        <v>14.92</v>
      </c>
      <c r="E73" s="112">
        <v>8.36</v>
      </c>
      <c r="F73" s="112">
        <v>6.22</v>
      </c>
      <c r="G73" s="112">
        <v>10.67</v>
      </c>
      <c r="H73" s="112">
        <v>5.76</v>
      </c>
      <c r="I73" s="112">
        <v>2.86</v>
      </c>
      <c r="J73" s="112">
        <v>0.42</v>
      </c>
      <c r="K73" s="112">
        <v>252.12</v>
      </c>
      <c r="L73" s="112">
        <v>29.96</v>
      </c>
      <c r="M73" s="112">
        <v>76.430000000000007</v>
      </c>
      <c r="N73" s="112">
        <v>142.5</v>
      </c>
      <c r="O73" s="112">
        <v>0</v>
      </c>
      <c r="P73" s="112">
        <v>0.38</v>
      </c>
      <c r="Q73" s="112">
        <v>4.63</v>
      </c>
    </row>
    <row r="74" spans="1:17" customFormat="1">
      <c r="A74" s="189" t="s">
        <v>1168</v>
      </c>
      <c r="B74" s="112">
        <v>7.86</v>
      </c>
      <c r="C74" s="112">
        <v>13.83</v>
      </c>
      <c r="D74" s="112">
        <v>14.88</v>
      </c>
      <c r="E74" s="112">
        <v>8.69</v>
      </c>
      <c r="F74" s="112">
        <v>6.1</v>
      </c>
      <c r="G74" s="112">
        <v>10.67</v>
      </c>
      <c r="H74" s="112">
        <v>5.76</v>
      </c>
      <c r="I74" s="112">
        <v>2.91</v>
      </c>
      <c r="J74" s="112">
        <v>0.59</v>
      </c>
      <c r="K74" s="112">
        <v>259.99</v>
      </c>
      <c r="L74" s="112">
        <v>29.74</v>
      </c>
      <c r="M74" s="112">
        <v>76.5</v>
      </c>
      <c r="N74" s="112">
        <v>151.19999999999999</v>
      </c>
      <c r="O74" s="112">
        <v>0</v>
      </c>
      <c r="P74" s="112">
        <v>0.38</v>
      </c>
      <c r="Q74" s="112">
        <v>4.6399999999999997</v>
      </c>
    </row>
    <row r="75" spans="1:17" customFormat="1">
      <c r="A75" s="189" t="s">
        <v>1169</v>
      </c>
      <c r="B75" s="112">
        <v>7.78</v>
      </c>
      <c r="C75" s="112">
        <v>13.43</v>
      </c>
      <c r="D75" s="112">
        <v>14.61</v>
      </c>
      <c r="E75" s="112">
        <v>8.41</v>
      </c>
      <c r="F75" s="112">
        <v>6.39</v>
      </c>
      <c r="G75" s="112">
        <v>10.67</v>
      </c>
      <c r="H75" s="112">
        <v>5.76</v>
      </c>
      <c r="I75" s="112">
        <v>2.89</v>
      </c>
      <c r="J75" s="112">
        <v>0.57999999999999996</v>
      </c>
      <c r="K75" s="112">
        <v>259.45</v>
      </c>
      <c r="L75" s="112">
        <v>29.58</v>
      </c>
      <c r="M75" s="112">
        <v>76.989999999999995</v>
      </c>
      <c r="N75" s="112">
        <v>128.30000000000001</v>
      </c>
      <c r="O75" s="112">
        <v>0</v>
      </c>
      <c r="P75" s="112">
        <v>0.37</v>
      </c>
      <c r="Q75" s="112">
        <v>4.6500000000000004</v>
      </c>
    </row>
    <row r="76" spans="1:17" customFormat="1">
      <c r="A76" s="189" t="s">
        <v>1170</v>
      </c>
      <c r="B76" s="112">
        <v>7.72</v>
      </c>
      <c r="C76" s="112">
        <v>13.03</v>
      </c>
      <c r="D76" s="112">
        <v>14.35</v>
      </c>
      <c r="E76" s="112">
        <v>8.24</v>
      </c>
      <c r="F76" s="112">
        <v>7.18</v>
      </c>
      <c r="G76" s="112">
        <v>10.49</v>
      </c>
      <c r="H76" s="112">
        <v>5.87</v>
      </c>
      <c r="I76" s="112">
        <v>2.86</v>
      </c>
      <c r="J76" s="112">
        <v>0.59</v>
      </c>
      <c r="K76" s="112">
        <v>255.09</v>
      </c>
      <c r="L76" s="112">
        <v>29.35</v>
      </c>
      <c r="M76" s="112">
        <v>78.11</v>
      </c>
      <c r="N76" s="112">
        <v>111.2</v>
      </c>
      <c r="O76" s="112">
        <v>0</v>
      </c>
      <c r="P76" s="112">
        <v>0.36</v>
      </c>
      <c r="Q76" s="112">
        <v>4.6399999999999997</v>
      </c>
    </row>
    <row r="77" spans="1:17" customFormat="1">
      <c r="A77" s="189" t="s">
        <v>1171</v>
      </c>
      <c r="B77" s="112">
        <v>7.69</v>
      </c>
      <c r="C77" s="112">
        <v>12.85</v>
      </c>
      <c r="D77" s="112">
        <v>14.23</v>
      </c>
      <c r="E77" s="112">
        <v>8.4700000000000006</v>
      </c>
      <c r="F77" s="112">
        <v>6.91</v>
      </c>
      <c r="G77" s="112">
        <v>10.37</v>
      </c>
      <c r="H77" s="112">
        <v>5.91</v>
      </c>
      <c r="I77" s="112">
        <v>2.83</v>
      </c>
      <c r="J77" s="112">
        <v>0.54</v>
      </c>
      <c r="K77" s="112">
        <v>257.69</v>
      </c>
      <c r="L77" s="112">
        <v>29.05</v>
      </c>
      <c r="M77" s="112">
        <v>79.64</v>
      </c>
      <c r="N77" s="112">
        <v>66.8</v>
      </c>
      <c r="O77" s="112">
        <v>0</v>
      </c>
      <c r="P77" s="112">
        <v>0.35</v>
      </c>
      <c r="Q77" s="112">
        <v>4.6399999999999997</v>
      </c>
    </row>
    <row r="78" spans="1:17" customFormat="1">
      <c r="A78" s="189" t="s">
        <v>1172</v>
      </c>
      <c r="B78" s="112">
        <v>7.6</v>
      </c>
      <c r="C78" s="112">
        <v>13.12</v>
      </c>
      <c r="D78" s="112">
        <v>14.3</v>
      </c>
      <c r="E78" s="112">
        <v>8.35</v>
      </c>
      <c r="F78" s="112">
        <v>6.25</v>
      </c>
      <c r="G78" s="112">
        <v>10.37</v>
      </c>
      <c r="H78" s="112">
        <v>5.91</v>
      </c>
      <c r="I78" s="112">
        <v>2.76</v>
      </c>
      <c r="J78" s="112">
        <v>0.52</v>
      </c>
      <c r="K78" s="112">
        <v>253.87</v>
      </c>
      <c r="L78" s="112">
        <v>28.69</v>
      </c>
      <c r="M78" s="112">
        <v>80.650000000000006</v>
      </c>
      <c r="N78" s="112">
        <v>32.4</v>
      </c>
      <c r="O78" s="112">
        <v>0</v>
      </c>
      <c r="P78" s="112">
        <v>0.35</v>
      </c>
      <c r="Q78" s="112">
        <v>4.6900000000000004</v>
      </c>
    </row>
    <row r="79" spans="1:17" customFormat="1">
      <c r="A79" s="189" t="s">
        <v>1173</v>
      </c>
      <c r="B79" s="112">
        <v>7.43</v>
      </c>
      <c r="C79" s="112">
        <v>12.91</v>
      </c>
      <c r="D79" s="112">
        <v>14.05</v>
      </c>
      <c r="E79" s="112">
        <v>7.98</v>
      </c>
      <c r="F79" s="112">
        <v>6.83</v>
      </c>
      <c r="G79" s="112">
        <v>10.37</v>
      </c>
      <c r="H79" s="112">
        <v>5.91</v>
      </c>
      <c r="I79" s="112">
        <v>2.76</v>
      </c>
      <c r="J79" s="112">
        <v>0.42</v>
      </c>
      <c r="K79" s="112">
        <v>258.64999999999998</v>
      </c>
      <c r="L79" s="112">
        <v>28.4</v>
      </c>
      <c r="M79" s="112">
        <v>82.08</v>
      </c>
      <c r="N79" s="112">
        <v>22.5</v>
      </c>
      <c r="O79" s="112">
        <v>0</v>
      </c>
      <c r="P79" s="112">
        <v>0.34</v>
      </c>
      <c r="Q79" s="112">
        <v>4.7</v>
      </c>
    </row>
    <row r="80" spans="1:17" customFormat="1">
      <c r="A80" s="189" t="s">
        <v>1174</v>
      </c>
      <c r="B80" s="112">
        <v>7.18</v>
      </c>
      <c r="C80" s="112">
        <v>11.89</v>
      </c>
      <c r="D80" s="112">
        <v>13.32</v>
      </c>
      <c r="E80" s="112">
        <v>7.74</v>
      </c>
      <c r="F80" s="112">
        <v>8.8800000000000008</v>
      </c>
      <c r="G80" s="112">
        <v>10.38</v>
      </c>
      <c r="H80" s="112">
        <v>6.67</v>
      </c>
      <c r="I80" s="112">
        <v>2.74</v>
      </c>
      <c r="J80" s="112">
        <v>0.43</v>
      </c>
      <c r="K80" s="112">
        <v>259.14</v>
      </c>
      <c r="L80" s="112">
        <v>28.26</v>
      </c>
      <c r="M80" s="112">
        <v>81.819999999999993</v>
      </c>
      <c r="N80" s="112">
        <v>4.2</v>
      </c>
      <c r="O80" s="112">
        <v>0</v>
      </c>
      <c r="P80" s="112">
        <v>0.34</v>
      </c>
      <c r="Q80" s="112">
        <v>4.7</v>
      </c>
    </row>
    <row r="81" spans="1:17" customFormat="1">
      <c r="A81" s="189" t="s">
        <v>1175</v>
      </c>
      <c r="B81" s="112">
        <v>7.59</v>
      </c>
      <c r="C81" s="112">
        <v>13.91</v>
      </c>
      <c r="D81" s="112">
        <v>14.7</v>
      </c>
      <c r="E81" s="112">
        <v>6.22</v>
      </c>
      <c r="F81" s="112">
        <v>5.39</v>
      </c>
      <c r="G81" s="112">
        <v>10.39</v>
      </c>
      <c r="H81" s="112">
        <v>7.13</v>
      </c>
      <c r="I81" s="112">
        <v>2.68</v>
      </c>
      <c r="J81" s="112">
        <v>0.34</v>
      </c>
      <c r="K81" s="112">
        <v>248.52</v>
      </c>
      <c r="L81" s="112">
        <v>27.96</v>
      </c>
      <c r="M81" s="112">
        <v>83.33</v>
      </c>
      <c r="N81" s="112">
        <v>0</v>
      </c>
      <c r="O81" s="112">
        <v>0</v>
      </c>
      <c r="P81" s="112">
        <v>0.36</v>
      </c>
      <c r="Q81" s="112">
        <v>4.7300000000000004</v>
      </c>
    </row>
    <row r="82" spans="1:17" customFormat="1">
      <c r="A82" s="189" t="s">
        <v>1176</v>
      </c>
      <c r="B82" s="112">
        <v>7.86</v>
      </c>
      <c r="C82" s="112">
        <v>14.41</v>
      </c>
      <c r="D82" s="112">
        <v>15.19</v>
      </c>
      <c r="E82" s="112">
        <v>6.64</v>
      </c>
      <c r="F82" s="112">
        <v>5.8</v>
      </c>
      <c r="G82" s="112">
        <v>10.39</v>
      </c>
      <c r="H82" s="112">
        <v>7.13</v>
      </c>
      <c r="I82" s="112">
        <v>2.52</v>
      </c>
      <c r="J82" s="112">
        <v>0.56000000000000005</v>
      </c>
      <c r="K82" s="112">
        <v>262.58</v>
      </c>
      <c r="L82" s="112">
        <v>27.7</v>
      </c>
      <c r="M82" s="112">
        <v>83.38</v>
      </c>
      <c r="N82" s="112">
        <v>0</v>
      </c>
      <c r="O82" s="112">
        <v>0</v>
      </c>
      <c r="P82" s="112">
        <v>0.36</v>
      </c>
      <c r="Q82" s="112">
        <v>4.72</v>
      </c>
    </row>
    <row r="83" spans="1:17" customFormat="1">
      <c r="A83" s="189" t="s">
        <v>1177</v>
      </c>
      <c r="B83" s="112">
        <v>7.85</v>
      </c>
      <c r="C83" s="112">
        <v>13.23</v>
      </c>
      <c r="D83" s="112">
        <v>14.56</v>
      </c>
      <c r="E83" s="112">
        <v>6.64</v>
      </c>
      <c r="F83" s="112">
        <v>7.14</v>
      </c>
      <c r="G83" s="112">
        <v>10.39</v>
      </c>
      <c r="H83" s="112">
        <v>7.13</v>
      </c>
      <c r="I83" s="112">
        <v>2.89</v>
      </c>
      <c r="J83" s="112">
        <v>0.59</v>
      </c>
      <c r="K83" s="112">
        <v>263.44</v>
      </c>
      <c r="L83" s="112">
        <v>27.53</v>
      </c>
      <c r="M83" s="112">
        <v>84.51</v>
      </c>
      <c r="N83" s="112">
        <v>0</v>
      </c>
      <c r="O83" s="112">
        <v>0</v>
      </c>
      <c r="P83" s="112">
        <v>0.35</v>
      </c>
      <c r="Q83" s="112">
        <v>4.72</v>
      </c>
    </row>
    <row r="84" spans="1:17" customFormat="1">
      <c r="A84" s="189" t="s">
        <v>1178</v>
      </c>
      <c r="B84" s="112">
        <v>7.6</v>
      </c>
      <c r="C84" s="112">
        <v>12.23</v>
      </c>
      <c r="D84" s="112">
        <v>13.84</v>
      </c>
      <c r="E84" s="112">
        <v>6.58</v>
      </c>
      <c r="F84" s="112">
        <v>9.0500000000000007</v>
      </c>
      <c r="G84" s="112">
        <v>10.01</v>
      </c>
      <c r="H84" s="112">
        <v>5.98</v>
      </c>
      <c r="I84" s="112">
        <v>2.77</v>
      </c>
      <c r="J84" s="112">
        <v>0.37</v>
      </c>
      <c r="K84" s="112">
        <v>257.52</v>
      </c>
      <c r="L84" s="112">
        <v>27.36</v>
      </c>
      <c r="M84" s="112">
        <v>85.69</v>
      </c>
      <c r="N84" s="112">
        <v>0</v>
      </c>
      <c r="O84" s="112">
        <v>0</v>
      </c>
      <c r="P84" s="112">
        <v>0.34</v>
      </c>
      <c r="Q84" s="112">
        <v>4.72</v>
      </c>
    </row>
    <row r="85" spans="1:17" customFormat="1">
      <c r="A85" s="189" t="s">
        <v>1179</v>
      </c>
      <c r="B85" s="112">
        <v>7.5</v>
      </c>
      <c r="C85" s="112">
        <v>12.07</v>
      </c>
      <c r="D85" s="112">
        <v>13.67</v>
      </c>
      <c r="E85" s="112">
        <v>6.56</v>
      </c>
      <c r="F85" s="112">
        <v>8.43</v>
      </c>
      <c r="G85" s="112">
        <v>9.74</v>
      </c>
      <c r="H85" s="112">
        <v>5.62</v>
      </c>
      <c r="I85" s="112">
        <v>2.76</v>
      </c>
      <c r="J85" s="112">
        <v>0.36</v>
      </c>
      <c r="K85" s="112">
        <v>258.45999999999998</v>
      </c>
      <c r="L85" s="112">
        <v>27.26</v>
      </c>
      <c r="M85" s="112">
        <v>86.91</v>
      </c>
      <c r="N85" s="112">
        <v>0</v>
      </c>
      <c r="O85" s="112">
        <v>0</v>
      </c>
      <c r="P85" s="112">
        <v>0.33</v>
      </c>
      <c r="Q85" s="112">
        <v>4.6900000000000004</v>
      </c>
    </row>
    <row r="86" spans="1:17" customFormat="1">
      <c r="A86" s="189" t="s">
        <v>1180</v>
      </c>
      <c r="B86" s="112">
        <v>7.96</v>
      </c>
      <c r="C86" s="112">
        <v>14.43</v>
      </c>
      <c r="D86" s="112">
        <v>15.28</v>
      </c>
      <c r="E86" s="112">
        <v>6.95</v>
      </c>
      <c r="F86" s="112">
        <v>5.4</v>
      </c>
      <c r="G86" s="112">
        <v>9.74</v>
      </c>
      <c r="H86" s="112">
        <v>5.62</v>
      </c>
      <c r="I86" s="112">
        <v>2.5499999999999998</v>
      </c>
      <c r="J86" s="112">
        <v>0.47</v>
      </c>
      <c r="K86" s="112">
        <v>266.37</v>
      </c>
      <c r="L86" s="112">
        <v>27.19</v>
      </c>
      <c r="M86" s="112">
        <v>87.41</v>
      </c>
      <c r="N86" s="112">
        <v>0</v>
      </c>
      <c r="O86" s="112">
        <v>0</v>
      </c>
      <c r="P86" s="112">
        <v>0.38</v>
      </c>
      <c r="Q86" s="112">
        <v>4.68</v>
      </c>
    </row>
    <row r="87" spans="1:17" customFormat="1">
      <c r="A87" s="189" t="s">
        <v>1181</v>
      </c>
      <c r="B87" s="112">
        <v>8.17</v>
      </c>
      <c r="C87" s="112">
        <v>14.23</v>
      </c>
      <c r="D87" s="112">
        <v>15.34</v>
      </c>
      <c r="E87" s="112">
        <v>7.22</v>
      </c>
      <c r="F87" s="112">
        <v>5.68</v>
      </c>
      <c r="G87" s="112">
        <v>9.74</v>
      </c>
      <c r="H87" s="112">
        <v>5.62</v>
      </c>
      <c r="I87" s="112">
        <v>2.7</v>
      </c>
      <c r="J87" s="112">
        <v>0.47</v>
      </c>
      <c r="K87" s="112">
        <v>265.64999999999998</v>
      </c>
      <c r="L87" s="112">
        <v>27.1</v>
      </c>
      <c r="M87" s="112">
        <v>86.78</v>
      </c>
      <c r="N87" s="112">
        <v>0</v>
      </c>
      <c r="O87" s="112">
        <v>0</v>
      </c>
      <c r="P87" s="112">
        <v>0.38</v>
      </c>
      <c r="Q87" s="112">
        <v>4.7</v>
      </c>
    </row>
    <row r="88" spans="1:17" customFormat="1">
      <c r="A88" s="189" t="s">
        <v>1182</v>
      </c>
      <c r="B88" s="112">
        <v>7.99</v>
      </c>
      <c r="C88" s="112">
        <v>12.76</v>
      </c>
      <c r="D88" s="112">
        <v>14.43</v>
      </c>
      <c r="E88" s="112">
        <v>6.76</v>
      </c>
      <c r="F88" s="112">
        <v>7.89</v>
      </c>
      <c r="G88" s="112">
        <v>10.6</v>
      </c>
      <c r="H88" s="112">
        <v>5.9</v>
      </c>
      <c r="I88" s="112">
        <v>2.93</v>
      </c>
      <c r="J88" s="112">
        <v>0.57999999999999996</v>
      </c>
      <c r="K88" s="112">
        <v>265.33</v>
      </c>
      <c r="L88" s="112">
        <v>26.91</v>
      </c>
      <c r="M88" s="112">
        <v>87.24</v>
      </c>
      <c r="N88" s="112">
        <v>0</v>
      </c>
      <c r="O88" s="112">
        <v>0</v>
      </c>
      <c r="P88" s="112">
        <v>0.38</v>
      </c>
      <c r="Q88" s="112">
        <v>4.71</v>
      </c>
    </row>
    <row r="89" spans="1:17" customFormat="1">
      <c r="A89" s="189" t="s">
        <v>1183</v>
      </c>
      <c r="B89" s="112">
        <v>7.91</v>
      </c>
      <c r="C89" s="112">
        <v>12.59</v>
      </c>
      <c r="D89" s="112">
        <v>14.27</v>
      </c>
      <c r="E89" s="112">
        <v>6.94</v>
      </c>
      <c r="F89" s="112">
        <v>7.63</v>
      </c>
      <c r="G89" s="112">
        <v>11.24</v>
      </c>
      <c r="H89" s="112">
        <v>5.99</v>
      </c>
      <c r="I89" s="112">
        <v>2.87</v>
      </c>
      <c r="J89" s="112">
        <v>0.49</v>
      </c>
      <c r="K89" s="112">
        <v>267.31</v>
      </c>
      <c r="L89" s="112">
        <v>26.83</v>
      </c>
      <c r="M89" s="112">
        <v>87.09</v>
      </c>
      <c r="N89" s="112">
        <v>0</v>
      </c>
      <c r="O89" s="112">
        <v>0</v>
      </c>
      <c r="P89" s="112">
        <v>0.35</v>
      </c>
      <c r="Q89" s="112">
        <v>4.7</v>
      </c>
    </row>
    <row r="90" spans="1:17" customFormat="1">
      <c r="A90" s="189" t="s">
        <v>1184</v>
      </c>
      <c r="B90" s="112">
        <v>8.2100000000000009</v>
      </c>
      <c r="C90" s="112">
        <v>14.64</v>
      </c>
      <c r="D90" s="112">
        <v>15.58</v>
      </c>
      <c r="E90" s="112">
        <v>6.99</v>
      </c>
      <c r="F90" s="112">
        <v>5.27</v>
      </c>
      <c r="G90" s="112">
        <v>11.24</v>
      </c>
      <c r="H90" s="112">
        <v>5.99</v>
      </c>
      <c r="I90" s="112">
        <v>2.79</v>
      </c>
      <c r="J90" s="112">
        <v>0.46</v>
      </c>
      <c r="K90" s="112">
        <v>263.27999999999997</v>
      </c>
      <c r="L90" s="112">
        <v>26.73</v>
      </c>
      <c r="M90" s="112">
        <v>87.5</v>
      </c>
      <c r="N90" s="112">
        <v>0</v>
      </c>
      <c r="O90" s="112">
        <v>0</v>
      </c>
      <c r="P90" s="112">
        <v>0.38</v>
      </c>
      <c r="Q90" s="112">
        <v>4.6900000000000004</v>
      </c>
    </row>
    <row r="91" spans="1:17" customFormat="1">
      <c r="A91" s="189" t="s">
        <v>1185</v>
      </c>
      <c r="B91" s="112">
        <v>8.43</v>
      </c>
      <c r="C91" s="112">
        <v>15.26</v>
      </c>
      <c r="D91" s="112">
        <v>16.079999999999998</v>
      </c>
      <c r="E91" s="112">
        <v>7.27</v>
      </c>
      <c r="F91" s="112">
        <v>5.05</v>
      </c>
      <c r="G91" s="112">
        <v>11.24</v>
      </c>
      <c r="H91" s="112">
        <v>5.99</v>
      </c>
      <c r="I91" s="112">
        <v>2.84</v>
      </c>
      <c r="J91" s="112">
        <v>0.42</v>
      </c>
      <c r="K91" s="112">
        <v>261.08999999999997</v>
      </c>
      <c r="L91" s="112">
        <v>26.72</v>
      </c>
      <c r="M91" s="112">
        <v>87.73</v>
      </c>
      <c r="N91" s="112">
        <v>0</v>
      </c>
      <c r="O91" s="112">
        <v>0</v>
      </c>
      <c r="P91" s="112">
        <v>0.39</v>
      </c>
      <c r="Q91" s="112">
        <v>4.7</v>
      </c>
    </row>
    <row r="92" spans="1:17" customFormat="1">
      <c r="A92" s="189" t="s">
        <v>1186</v>
      </c>
      <c r="B92" s="112">
        <v>8.42</v>
      </c>
      <c r="C92" s="112">
        <v>14.49</v>
      </c>
      <c r="D92" s="112">
        <v>15.67</v>
      </c>
      <c r="E92" s="112">
        <v>6.86</v>
      </c>
      <c r="F92" s="112">
        <v>6.15</v>
      </c>
      <c r="G92" s="112">
        <v>12.89</v>
      </c>
      <c r="H92" s="112">
        <v>5.7</v>
      </c>
      <c r="I92" s="112">
        <v>3.01</v>
      </c>
      <c r="J92" s="112">
        <v>0.32</v>
      </c>
      <c r="K92" s="112">
        <v>257.26</v>
      </c>
      <c r="L92" s="112">
        <v>26.59</v>
      </c>
      <c r="M92" s="112">
        <v>88.85</v>
      </c>
      <c r="N92" s="112">
        <v>0</v>
      </c>
      <c r="O92" s="112">
        <v>0</v>
      </c>
      <c r="P92" s="112">
        <v>0.4</v>
      </c>
      <c r="Q92" s="112">
        <v>4.72</v>
      </c>
    </row>
    <row r="93" spans="1:17" customFormat="1">
      <c r="A93" s="189" t="s">
        <v>1187</v>
      </c>
      <c r="B93" s="112">
        <v>8.41</v>
      </c>
      <c r="C93" s="112">
        <v>13.43</v>
      </c>
      <c r="D93" s="112">
        <v>15.11</v>
      </c>
      <c r="E93" s="112">
        <v>6.95</v>
      </c>
      <c r="F93" s="112">
        <v>7.16</v>
      </c>
      <c r="G93" s="112">
        <v>14.1</v>
      </c>
      <c r="H93" s="112">
        <v>5.61</v>
      </c>
      <c r="I93" s="112">
        <v>3.02</v>
      </c>
      <c r="J93" s="112">
        <v>0.18</v>
      </c>
      <c r="K93" s="112">
        <v>241.79</v>
      </c>
      <c r="L93" s="112">
        <v>26.59</v>
      </c>
      <c r="M93" s="112">
        <v>88.67</v>
      </c>
      <c r="N93" s="112">
        <v>0</v>
      </c>
      <c r="O93" s="112">
        <v>0</v>
      </c>
      <c r="P93" s="112">
        <v>0.37</v>
      </c>
      <c r="Q93" s="112">
        <v>4.71</v>
      </c>
    </row>
    <row r="94" spans="1:17" customFormat="1">
      <c r="A94" s="189" t="s">
        <v>1188</v>
      </c>
      <c r="B94" s="112">
        <v>8.14</v>
      </c>
      <c r="C94" s="112">
        <v>12.19</v>
      </c>
      <c r="D94" s="112">
        <v>14.25</v>
      </c>
      <c r="E94" s="112">
        <v>7.09</v>
      </c>
      <c r="F94" s="112">
        <v>8.27</v>
      </c>
      <c r="G94" s="112">
        <v>14.1</v>
      </c>
      <c r="H94" s="112">
        <v>5.61</v>
      </c>
      <c r="I94" s="112">
        <v>2.89</v>
      </c>
      <c r="J94" s="112">
        <v>0.18</v>
      </c>
      <c r="K94" s="112">
        <v>243.65</v>
      </c>
      <c r="L94" s="112">
        <v>26.47</v>
      </c>
      <c r="M94" s="112">
        <v>89.62</v>
      </c>
      <c r="N94" s="112">
        <v>0</v>
      </c>
      <c r="O94" s="112">
        <v>0</v>
      </c>
      <c r="P94" s="112">
        <v>0.35</v>
      </c>
      <c r="Q94" s="112">
        <v>4.72</v>
      </c>
    </row>
    <row r="95" spans="1:17" customFormat="1">
      <c r="A95" s="189" t="s">
        <v>1189</v>
      </c>
      <c r="B95" s="112">
        <v>8.27</v>
      </c>
      <c r="C95" s="112">
        <v>13.44</v>
      </c>
      <c r="D95" s="112">
        <v>15.01</v>
      </c>
      <c r="E95" s="112">
        <v>6.89</v>
      </c>
      <c r="F95" s="112">
        <v>6.25</v>
      </c>
      <c r="G95" s="112">
        <v>14.1</v>
      </c>
      <c r="H95" s="112">
        <v>5.61</v>
      </c>
      <c r="I95" s="112">
        <v>2.81</v>
      </c>
      <c r="J95" s="112">
        <v>0.12</v>
      </c>
      <c r="K95" s="112">
        <v>183.4</v>
      </c>
      <c r="L95" s="112">
        <v>26.33</v>
      </c>
      <c r="M95" s="112">
        <v>90.43</v>
      </c>
      <c r="N95" s="112">
        <v>0</v>
      </c>
      <c r="O95" s="112">
        <v>0</v>
      </c>
      <c r="P95" s="112">
        <v>0.35</v>
      </c>
      <c r="Q95" s="112">
        <v>4.7300000000000004</v>
      </c>
    </row>
    <row r="96" spans="1:17" customFormat="1">
      <c r="A96" s="189" t="s">
        <v>1190</v>
      </c>
      <c r="B96" s="112">
        <v>8.36</v>
      </c>
      <c r="C96" s="112">
        <v>14.67</v>
      </c>
      <c r="D96" s="112">
        <v>15.72</v>
      </c>
      <c r="E96" s="112">
        <v>6.91</v>
      </c>
      <c r="F96" s="112">
        <v>6.76</v>
      </c>
      <c r="G96" s="112">
        <v>13.2</v>
      </c>
      <c r="H96" s="112">
        <v>7.54</v>
      </c>
      <c r="I96" s="112">
        <v>2.75</v>
      </c>
      <c r="J96" s="112">
        <v>0.09</v>
      </c>
      <c r="K96" s="112">
        <v>249.03</v>
      </c>
      <c r="L96" s="112">
        <v>26.16</v>
      </c>
      <c r="M96" s="112">
        <v>92.38</v>
      </c>
      <c r="N96" s="112">
        <v>0</v>
      </c>
      <c r="O96" s="112">
        <v>0</v>
      </c>
      <c r="P96" s="112">
        <v>0.39</v>
      </c>
      <c r="Q96" s="112">
        <v>4.74</v>
      </c>
    </row>
    <row r="97" spans="1:22" customFormat="1">
      <c r="A97" s="189" t="s">
        <v>1191</v>
      </c>
      <c r="B97" s="112">
        <v>8.59</v>
      </c>
      <c r="C97" s="112">
        <v>13.81</v>
      </c>
      <c r="D97" s="112">
        <v>15.46</v>
      </c>
      <c r="E97" s="112">
        <v>7.62</v>
      </c>
      <c r="F97" s="112">
        <v>6.47</v>
      </c>
      <c r="G97" s="112">
        <v>12.53</v>
      </c>
      <c r="H97" s="112">
        <v>8.15</v>
      </c>
      <c r="I97" s="112">
        <v>2.97</v>
      </c>
      <c r="J97" s="112">
        <v>0.19</v>
      </c>
      <c r="K97" s="112">
        <v>254.01</v>
      </c>
      <c r="L97" s="112">
        <v>26.11</v>
      </c>
      <c r="M97" s="112">
        <v>93.04</v>
      </c>
      <c r="N97" s="112">
        <v>0</v>
      </c>
      <c r="O97" s="112">
        <v>0</v>
      </c>
      <c r="P97" s="112">
        <v>0.37</v>
      </c>
      <c r="Q97" s="112">
        <v>4.76</v>
      </c>
    </row>
    <row r="98" spans="1:22" customFormat="1">
      <c r="A98" s="189" t="s">
        <v>1192</v>
      </c>
      <c r="B98" s="112">
        <v>8.74</v>
      </c>
      <c r="C98" s="112">
        <v>13.22</v>
      </c>
      <c r="D98" s="112">
        <v>15.27</v>
      </c>
      <c r="E98" s="112">
        <v>7.13</v>
      </c>
      <c r="F98" s="112">
        <v>6.17</v>
      </c>
      <c r="G98" s="112">
        <v>12.53</v>
      </c>
      <c r="H98" s="112">
        <v>8.15</v>
      </c>
      <c r="I98" s="112">
        <v>2.87</v>
      </c>
      <c r="J98" s="112">
        <v>0.19</v>
      </c>
      <c r="K98" s="112">
        <v>257.42</v>
      </c>
      <c r="L98" s="112">
        <v>26.11</v>
      </c>
      <c r="M98" s="112">
        <v>93.16</v>
      </c>
      <c r="N98" s="112">
        <v>0</v>
      </c>
      <c r="O98" s="112">
        <v>0</v>
      </c>
      <c r="P98" s="112">
        <v>0.36</v>
      </c>
      <c r="Q98" s="112">
        <v>4.74</v>
      </c>
    </row>
    <row r="99" spans="1:22" customFormat="1">
      <c r="A99" s="189" t="s">
        <v>1193</v>
      </c>
      <c r="B99" s="112">
        <v>9.08</v>
      </c>
      <c r="C99" s="112">
        <v>15.03</v>
      </c>
      <c r="D99" s="112">
        <v>16.489999999999998</v>
      </c>
      <c r="E99" s="112">
        <v>7.16</v>
      </c>
      <c r="F99" s="112">
        <v>4.8899999999999997</v>
      </c>
      <c r="G99" s="112">
        <v>12.53</v>
      </c>
      <c r="H99" s="112">
        <v>8.15</v>
      </c>
      <c r="I99" s="112">
        <v>2.85</v>
      </c>
      <c r="J99" s="112">
        <v>0.31</v>
      </c>
      <c r="K99" s="112">
        <v>260.41000000000003</v>
      </c>
      <c r="L99" s="112">
        <v>26.16</v>
      </c>
      <c r="M99" s="112">
        <v>92.16</v>
      </c>
      <c r="N99" s="112">
        <v>0</v>
      </c>
      <c r="O99" s="112">
        <v>0</v>
      </c>
      <c r="P99" s="112">
        <v>0.4</v>
      </c>
      <c r="Q99" s="112">
        <v>4.75</v>
      </c>
    </row>
    <row r="100" spans="1:22" customFormat="1">
      <c r="A100" s="189" t="s">
        <v>1194</v>
      </c>
      <c r="B100" s="112">
        <v>9.0399999999999991</v>
      </c>
      <c r="C100" s="112">
        <v>13.78</v>
      </c>
      <c r="D100" s="112">
        <v>15.8</v>
      </c>
      <c r="E100" s="112">
        <v>7.58</v>
      </c>
      <c r="F100" s="112">
        <v>6.45</v>
      </c>
      <c r="G100" s="112">
        <v>12.1</v>
      </c>
      <c r="H100" s="112">
        <v>7.18</v>
      </c>
      <c r="I100" s="112">
        <v>2.94</v>
      </c>
      <c r="J100" s="112">
        <v>0.31</v>
      </c>
      <c r="K100" s="112">
        <v>258</v>
      </c>
      <c r="L100" s="112">
        <v>26.15</v>
      </c>
      <c r="M100" s="112">
        <v>91.78</v>
      </c>
      <c r="N100" s="112">
        <v>0</v>
      </c>
      <c r="O100" s="112">
        <v>0</v>
      </c>
      <c r="P100" s="112">
        <v>0.38</v>
      </c>
      <c r="Q100" s="112">
        <v>4.78</v>
      </c>
    </row>
    <row r="101" spans="1:22" customFormat="1">
      <c r="A101" s="189" t="s">
        <v>1195</v>
      </c>
      <c r="B101" s="112">
        <v>9.14</v>
      </c>
      <c r="C101" s="112">
        <v>13.54</v>
      </c>
      <c r="D101" s="112">
        <v>15.76</v>
      </c>
      <c r="E101" s="112">
        <v>7.56</v>
      </c>
      <c r="F101" s="112">
        <v>6.28</v>
      </c>
      <c r="G101" s="112">
        <v>11.78</v>
      </c>
      <c r="H101" s="112">
        <v>6.88</v>
      </c>
      <c r="I101" s="112">
        <v>3</v>
      </c>
      <c r="J101" s="112">
        <v>0.45</v>
      </c>
      <c r="K101" s="112">
        <v>264.33999999999997</v>
      </c>
      <c r="L101" s="112">
        <v>26.08</v>
      </c>
      <c r="M101" s="112">
        <v>91.48</v>
      </c>
      <c r="N101" s="112">
        <v>0</v>
      </c>
      <c r="O101" s="112">
        <v>0</v>
      </c>
      <c r="P101" s="112">
        <v>0.37</v>
      </c>
      <c r="Q101" s="112">
        <v>4.7699999999999996</v>
      </c>
    </row>
    <row r="102" spans="1:22" customFormat="1">
      <c r="A102" s="189" t="s">
        <v>1196</v>
      </c>
      <c r="B102" s="112">
        <v>9.4600000000000009</v>
      </c>
      <c r="C102" s="112">
        <v>15.43</v>
      </c>
      <c r="D102" s="112">
        <v>17</v>
      </c>
      <c r="E102" s="112">
        <v>7.58</v>
      </c>
      <c r="F102" s="112">
        <v>4.66</v>
      </c>
      <c r="G102" s="112">
        <v>11.78</v>
      </c>
      <c r="H102" s="112">
        <v>6.88</v>
      </c>
      <c r="I102" s="112">
        <v>2.84</v>
      </c>
      <c r="J102" s="112">
        <v>0.51</v>
      </c>
      <c r="K102" s="112">
        <v>262.60000000000002</v>
      </c>
      <c r="L102" s="112">
        <v>26.15</v>
      </c>
      <c r="M102" s="112">
        <v>90.79</v>
      </c>
      <c r="N102" s="112">
        <v>0</v>
      </c>
      <c r="O102" s="112">
        <v>0</v>
      </c>
      <c r="P102" s="112">
        <v>0.39</v>
      </c>
      <c r="Q102" s="112">
        <v>4.76</v>
      </c>
    </row>
    <row r="103" spans="1:22" customFormat="1">
      <c r="A103" s="189" t="s">
        <v>1197</v>
      </c>
      <c r="B103" s="112">
        <v>9.58</v>
      </c>
      <c r="C103" s="112">
        <v>14.5</v>
      </c>
      <c r="D103" s="112">
        <v>16.61</v>
      </c>
      <c r="E103" s="112">
        <v>7.32</v>
      </c>
      <c r="F103" s="112">
        <v>5.38</v>
      </c>
      <c r="G103" s="112">
        <v>11.78</v>
      </c>
      <c r="H103" s="112">
        <v>6.88</v>
      </c>
      <c r="I103" s="112">
        <v>2.98</v>
      </c>
      <c r="J103" s="112">
        <v>0.61</v>
      </c>
      <c r="K103" s="112">
        <v>265.72000000000003</v>
      </c>
      <c r="L103" s="112">
        <v>26.04</v>
      </c>
      <c r="M103" s="112">
        <v>90.78</v>
      </c>
      <c r="N103" s="112">
        <v>0</v>
      </c>
      <c r="O103" s="112">
        <v>0</v>
      </c>
      <c r="P103" s="112">
        <v>0.38</v>
      </c>
      <c r="Q103" s="112">
        <v>4.7699999999999996</v>
      </c>
    </row>
    <row r="104" spans="1:22" customFormat="1">
      <c r="A104" s="189" t="s">
        <v>1198</v>
      </c>
      <c r="B104" s="112">
        <v>9.52</v>
      </c>
      <c r="C104" s="112">
        <v>13.95</v>
      </c>
      <c r="D104" s="112">
        <v>16.27</v>
      </c>
      <c r="E104" s="112">
        <v>7.09</v>
      </c>
      <c r="F104" s="112">
        <v>5.68</v>
      </c>
      <c r="G104" s="112">
        <v>13.08</v>
      </c>
      <c r="H104" s="112">
        <v>7.86</v>
      </c>
      <c r="I104" s="112">
        <v>3.07</v>
      </c>
      <c r="J104" s="112">
        <v>0.5</v>
      </c>
      <c r="K104" s="112">
        <v>259.08999999999997</v>
      </c>
      <c r="L104" s="112">
        <v>25.94</v>
      </c>
      <c r="M104" s="112">
        <v>91.19</v>
      </c>
      <c r="N104" s="112">
        <v>0</v>
      </c>
      <c r="O104" s="112">
        <v>0</v>
      </c>
      <c r="P104" s="112">
        <v>0.38</v>
      </c>
      <c r="Q104" s="112">
        <v>4.79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7.18</v>
      </c>
      <c r="C106" s="183">
        <f>MIN(C9:C104)</f>
        <v>11.89</v>
      </c>
      <c r="D106" s="183">
        <f t="shared" ref="D106:Q106" si="0">MIN(D9:D104)</f>
        <v>13.32</v>
      </c>
      <c r="E106" s="183">
        <f t="shared" si="0"/>
        <v>6.22</v>
      </c>
      <c r="F106" s="183">
        <f t="shared" si="0"/>
        <v>4</v>
      </c>
      <c r="G106" s="183">
        <f t="shared" si="0"/>
        <v>7.39</v>
      </c>
      <c r="H106" s="183">
        <f t="shared" si="0"/>
        <v>2.4</v>
      </c>
      <c r="I106" s="183">
        <f t="shared" si="0"/>
        <v>2.52</v>
      </c>
      <c r="J106" s="183">
        <f t="shared" si="0"/>
        <v>0.03</v>
      </c>
      <c r="K106" s="183">
        <f t="shared" si="0"/>
        <v>131.4</v>
      </c>
      <c r="L106" s="183">
        <f t="shared" si="0"/>
        <v>25.34</v>
      </c>
      <c r="M106" s="183">
        <f t="shared" si="0"/>
        <v>71.25</v>
      </c>
      <c r="N106" s="183">
        <f t="shared" si="0"/>
        <v>0</v>
      </c>
      <c r="O106" s="183">
        <f t="shared" si="0"/>
        <v>0</v>
      </c>
      <c r="P106" s="183">
        <f t="shared" si="0"/>
        <v>0.31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12.21</v>
      </c>
      <c r="C107" s="184">
        <f t="shared" ref="C107:Q107" si="1">MAX(C9:C104)</f>
        <v>16.690000000000001</v>
      </c>
      <c r="D107" s="184">
        <f t="shared" si="1"/>
        <v>19.64</v>
      </c>
      <c r="E107" s="184">
        <f t="shared" si="1"/>
        <v>11.04</v>
      </c>
      <c r="F107" s="184">
        <f t="shared" si="1"/>
        <v>9.0500000000000007</v>
      </c>
      <c r="G107" s="184">
        <f t="shared" si="1"/>
        <v>14.1</v>
      </c>
      <c r="H107" s="184">
        <f t="shared" si="1"/>
        <v>8.15</v>
      </c>
      <c r="I107" s="184">
        <f t="shared" si="1"/>
        <v>3.07</v>
      </c>
      <c r="J107" s="184">
        <f t="shared" si="1"/>
        <v>0.95</v>
      </c>
      <c r="K107" s="184">
        <f t="shared" si="1"/>
        <v>287.77999999999997</v>
      </c>
      <c r="L107" s="184">
        <f t="shared" si="1"/>
        <v>31.2</v>
      </c>
      <c r="M107" s="184">
        <f t="shared" si="1"/>
        <v>96.25</v>
      </c>
      <c r="N107" s="184">
        <f t="shared" si="1"/>
        <v>795</v>
      </c>
      <c r="O107" s="184">
        <f t="shared" si="1"/>
        <v>0.4</v>
      </c>
      <c r="P107" s="184">
        <f t="shared" si="1"/>
        <v>0.4</v>
      </c>
      <c r="Q107" s="184">
        <f t="shared" si="1"/>
        <v>6.04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9.5640624999999968</v>
      </c>
      <c r="C108" s="183">
        <f t="shared" ref="C108:Q108" si="2">AVERAGE(C9:C104)</f>
        <v>14.256979166666673</v>
      </c>
      <c r="D108" s="183">
        <f t="shared" si="2"/>
        <v>16.469583333333325</v>
      </c>
      <c r="E108" s="183">
        <f t="shared" si="2"/>
        <v>8.640208333333339</v>
      </c>
      <c r="F108" s="183">
        <f t="shared" si="2"/>
        <v>5.826041666666665</v>
      </c>
      <c r="G108" s="183">
        <f t="shared" si="2"/>
        <v>9.992291666666663</v>
      </c>
      <c r="H108" s="183">
        <f t="shared" si="2"/>
        <v>4.7530208333333341</v>
      </c>
      <c r="I108" s="183">
        <f t="shared" si="2"/>
        <v>2.8603124999999996</v>
      </c>
      <c r="J108" s="183">
        <f t="shared" si="2"/>
        <v>0.32500000000000001</v>
      </c>
      <c r="K108" s="183">
        <f t="shared" si="2"/>
        <v>239.23645833333339</v>
      </c>
      <c r="L108" s="183">
        <f t="shared" si="2"/>
        <v>27.46489583333333</v>
      </c>
      <c r="M108" s="183">
        <f t="shared" si="2"/>
        <v>86.487499999999969</v>
      </c>
      <c r="N108" s="183">
        <f t="shared" si="2"/>
        <v>129.02916666666667</v>
      </c>
      <c r="O108" s="183">
        <f t="shared" si="2"/>
        <v>4.1666666666666666E-3</v>
      </c>
      <c r="P108" s="183">
        <f t="shared" si="2"/>
        <v>0.35958333333333331</v>
      </c>
      <c r="Q108" s="183">
        <f t="shared" si="2"/>
        <v>5.0225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1.4037270525846519</v>
      </c>
      <c r="C109" s="183">
        <f t="shared" ref="C109:Q109" si="3">STDEV(C9:C104)</f>
        <v>1.0641132901614323</v>
      </c>
      <c r="D109" s="183">
        <f t="shared" si="3"/>
        <v>1.5262454218505379</v>
      </c>
      <c r="E109" s="183">
        <f t="shared" si="3"/>
        <v>1.3443871459685706</v>
      </c>
      <c r="F109" s="183">
        <f t="shared" si="3"/>
        <v>1.0376922565473197</v>
      </c>
      <c r="G109" s="183">
        <f t="shared" si="3"/>
        <v>1.8076023544822886</v>
      </c>
      <c r="H109" s="183">
        <f t="shared" si="3"/>
        <v>1.5056910424621901</v>
      </c>
      <c r="I109" s="183">
        <f t="shared" si="3"/>
        <v>0.12119973184791197</v>
      </c>
      <c r="J109" s="183">
        <f t="shared" si="3"/>
        <v>0.2170132181276184</v>
      </c>
      <c r="K109" s="183">
        <f t="shared" si="3"/>
        <v>35.15448040559982</v>
      </c>
      <c r="L109" s="183">
        <f t="shared" si="3"/>
        <v>1.9080847353972938</v>
      </c>
      <c r="M109" s="183">
        <f t="shared" si="3"/>
        <v>7.3998273095071756</v>
      </c>
      <c r="N109" s="183">
        <f t="shared" si="3"/>
        <v>192.8140581884208</v>
      </c>
      <c r="O109" s="183">
        <f t="shared" si="3"/>
        <v>4.0824829046386304E-2</v>
      </c>
      <c r="P109" s="183">
        <f t="shared" si="3"/>
        <v>2.0921742237338524E-2</v>
      </c>
      <c r="Q109" s="183">
        <f t="shared" si="3"/>
        <v>0.34376246388886428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11/09/2023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1199</v>
      </c>
      <c r="B9" s="112">
        <v>8.9600000000000009</v>
      </c>
      <c r="C9" s="112">
        <v>16.260000000000002</v>
      </c>
      <c r="D9" s="112">
        <v>17.03</v>
      </c>
      <c r="E9" s="112">
        <v>7.57</v>
      </c>
      <c r="F9" s="112">
        <v>4.38</v>
      </c>
      <c r="G9" s="112">
        <v>14.03</v>
      </c>
      <c r="H9" s="112">
        <v>8.4499999999999993</v>
      </c>
      <c r="I9" s="112">
        <v>2.98</v>
      </c>
      <c r="J9" s="112">
        <v>0.52</v>
      </c>
      <c r="K9" s="112">
        <v>260.22000000000003</v>
      </c>
      <c r="L9" s="112">
        <v>25.84</v>
      </c>
      <c r="M9" s="112">
        <v>91.86</v>
      </c>
      <c r="N9" s="112">
        <v>0</v>
      </c>
      <c r="O9" s="112">
        <v>0</v>
      </c>
      <c r="P9" s="112">
        <v>0.39</v>
      </c>
      <c r="Q9" s="112">
        <v>4.78</v>
      </c>
    </row>
    <row r="10" spans="1:21" customFormat="1">
      <c r="A10" s="189" t="s">
        <v>1200</v>
      </c>
      <c r="B10" s="112">
        <v>8.8699999999999992</v>
      </c>
      <c r="C10" s="112">
        <v>15.2</v>
      </c>
      <c r="D10" s="112">
        <v>16.399999999999999</v>
      </c>
      <c r="E10" s="112">
        <v>7.52</v>
      </c>
      <c r="F10" s="112">
        <v>5.01</v>
      </c>
      <c r="G10" s="112">
        <v>14.03</v>
      </c>
      <c r="H10" s="112">
        <v>8.4499999999999993</v>
      </c>
      <c r="I10" s="112">
        <v>2.97</v>
      </c>
      <c r="J10" s="112">
        <v>0.35</v>
      </c>
      <c r="K10" s="112">
        <v>258.8</v>
      </c>
      <c r="L10" s="112">
        <v>25.75</v>
      </c>
      <c r="M10" s="112">
        <v>92.41</v>
      </c>
      <c r="N10" s="112">
        <v>0</v>
      </c>
      <c r="O10" s="112">
        <v>0</v>
      </c>
      <c r="P10" s="112">
        <v>0.37</v>
      </c>
      <c r="Q10" s="112">
        <v>4.8099999999999996</v>
      </c>
    </row>
    <row r="11" spans="1:21" customFormat="1">
      <c r="A11" s="189" t="s">
        <v>1201</v>
      </c>
      <c r="B11" s="112">
        <v>8.66</v>
      </c>
      <c r="C11" s="112">
        <v>14.24</v>
      </c>
      <c r="D11" s="112">
        <v>15.73</v>
      </c>
      <c r="E11" s="112">
        <v>7.21</v>
      </c>
      <c r="F11" s="112">
        <v>5.6</v>
      </c>
      <c r="G11" s="112">
        <v>14.03</v>
      </c>
      <c r="H11" s="112">
        <v>8.4499999999999993</v>
      </c>
      <c r="I11" s="112">
        <v>3.09</v>
      </c>
      <c r="J11" s="112">
        <v>0.52</v>
      </c>
      <c r="K11" s="112">
        <v>259.58999999999997</v>
      </c>
      <c r="L11" s="112">
        <v>25.7</v>
      </c>
      <c r="M11" s="112">
        <v>92.57</v>
      </c>
      <c r="N11" s="112">
        <v>0</v>
      </c>
      <c r="O11" s="112">
        <v>0</v>
      </c>
      <c r="P11" s="112">
        <v>0.36</v>
      </c>
      <c r="Q11" s="112">
        <v>4.83</v>
      </c>
    </row>
    <row r="12" spans="1:21" customFormat="1">
      <c r="A12" s="189" t="s">
        <v>1202</v>
      </c>
      <c r="B12" s="112">
        <v>8.7899999999999991</v>
      </c>
      <c r="C12" s="112">
        <v>15.85</v>
      </c>
      <c r="D12" s="112">
        <v>16.68</v>
      </c>
      <c r="E12" s="112">
        <v>7.33</v>
      </c>
      <c r="F12" s="112">
        <v>4.1100000000000003</v>
      </c>
      <c r="G12" s="112">
        <v>14.68</v>
      </c>
      <c r="H12" s="112">
        <v>9.14</v>
      </c>
      <c r="I12" s="112">
        <v>2.99</v>
      </c>
      <c r="J12" s="112">
        <v>0.28999999999999998</v>
      </c>
      <c r="K12" s="112">
        <v>256.97000000000003</v>
      </c>
      <c r="L12" s="112">
        <v>25.63</v>
      </c>
      <c r="M12" s="112">
        <v>92.74</v>
      </c>
      <c r="N12" s="112">
        <v>0</v>
      </c>
      <c r="O12" s="112">
        <v>0</v>
      </c>
      <c r="P12" s="112">
        <v>0.39</v>
      </c>
      <c r="Q12" s="112">
        <v>4.8</v>
      </c>
    </row>
    <row r="13" spans="1:21" customFormat="1">
      <c r="A13" s="189" t="s">
        <v>1203</v>
      </c>
      <c r="B13" s="112">
        <v>9.0500000000000007</v>
      </c>
      <c r="C13" s="112">
        <v>15.52</v>
      </c>
      <c r="D13" s="112">
        <v>16.71</v>
      </c>
      <c r="E13" s="112">
        <v>7.7</v>
      </c>
      <c r="F13" s="112">
        <v>4.59</v>
      </c>
      <c r="G13" s="112">
        <v>15.15</v>
      </c>
      <c r="H13" s="112">
        <v>9.35</v>
      </c>
      <c r="I13" s="112">
        <v>2.93</v>
      </c>
      <c r="J13" s="112">
        <v>0.36</v>
      </c>
      <c r="K13" s="112">
        <v>254.59</v>
      </c>
      <c r="L13" s="112">
        <v>25.79</v>
      </c>
      <c r="M13" s="112">
        <v>92.2</v>
      </c>
      <c r="N13" s="112">
        <v>0</v>
      </c>
      <c r="O13" s="112">
        <v>0</v>
      </c>
      <c r="P13" s="112">
        <v>0.38</v>
      </c>
      <c r="Q13" s="112">
        <v>4.82</v>
      </c>
    </row>
    <row r="14" spans="1:21" customFormat="1">
      <c r="A14" s="189" t="s">
        <v>1204</v>
      </c>
      <c r="B14" s="112">
        <v>9.09</v>
      </c>
      <c r="C14" s="112">
        <v>14.27</v>
      </c>
      <c r="D14" s="112">
        <v>16.100000000000001</v>
      </c>
      <c r="E14" s="112">
        <v>7.08</v>
      </c>
      <c r="F14" s="112">
        <v>5.4</v>
      </c>
      <c r="G14" s="112">
        <v>15.15</v>
      </c>
      <c r="H14" s="112">
        <v>9.35</v>
      </c>
      <c r="I14" s="112">
        <v>3.1</v>
      </c>
      <c r="J14" s="112">
        <v>0.15</v>
      </c>
      <c r="K14" s="112">
        <v>248.02</v>
      </c>
      <c r="L14" s="112">
        <v>25.78</v>
      </c>
      <c r="M14" s="112">
        <v>92.63</v>
      </c>
      <c r="N14" s="112">
        <v>0</v>
      </c>
      <c r="O14" s="112">
        <v>0</v>
      </c>
      <c r="P14" s="112">
        <v>0.37</v>
      </c>
      <c r="Q14" s="112">
        <v>4.8</v>
      </c>
    </row>
    <row r="15" spans="1:21" customFormat="1">
      <c r="A15" s="189" t="s">
        <v>1205</v>
      </c>
      <c r="B15" s="112">
        <v>9.17</v>
      </c>
      <c r="C15" s="112">
        <v>15.26</v>
      </c>
      <c r="D15" s="112">
        <v>16.670000000000002</v>
      </c>
      <c r="E15" s="112">
        <v>7.93</v>
      </c>
      <c r="F15" s="112">
        <v>4.6100000000000003</v>
      </c>
      <c r="G15" s="112">
        <v>15.15</v>
      </c>
      <c r="H15" s="112">
        <v>9.35</v>
      </c>
      <c r="I15" s="112">
        <v>3.01</v>
      </c>
      <c r="J15" s="112">
        <v>0.13</v>
      </c>
      <c r="K15" s="112">
        <v>216.47</v>
      </c>
      <c r="L15" s="112">
        <v>25.8</v>
      </c>
      <c r="M15" s="112">
        <v>92.91</v>
      </c>
      <c r="N15" s="112">
        <v>0</v>
      </c>
      <c r="O15" s="112">
        <v>0</v>
      </c>
      <c r="P15" s="112">
        <v>0.39</v>
      </c>
      <c r="Q15" s="112">
        <v>4.79</v>
      </c>
    </row>
    <row r="16" spans="1:21" customFormat="1">
      <c r="A16" s="189" t="s">
        <v>1206</v>
      </c>
      <c r="B16" s="112">
        <v>8.9600000000000009</v>
      </c>
      <c r="C16" s="112">
        <v>14.17</v>
      </c>
      <c r="D16" s="112">
        <v>15.94</v>
      </c>
      <c r="E16" s="112">
        <v>7.18</v>
      </c>
      <c r="F16" s="112">
        <v>6.15</v>
      </c>
      <c r="G16" s="112">
        <v>13.05</v>
      </c>
      <c r="H16" s="112">
        <v>7.44</v>
      </c>
      <c r="I16" s="112">
        <v>2.94</v>
      </c>
      <c r="J16" s="112">
        <v>0.24</v>
      </c>
      <c r="K16" s="112">
        <v>247.85</v>
      </c>
      <c r="L16" s="112">
        <v>25.68</v>
      </c>
      <c r="M16" s="112">
        <v>93.63</v>
      </c>
      <c r="N16" s="112">
        <v>0</v>
      </c>
      <c r="O16" s="112">
        <v>0</v>
      </c>
      <c r="P16" s="112">
        <v>0.38</v>
      </c>
      <c r="Q16" s="112">
        <v>4.84</v>
      </c>
    </row>
    <row r="17" spans="1:17" customFormat="1">
      <c r="A17" s="189" t="s">
        <v>1207</v>
      </c>
      <c r="B17" s="112">
        <v>9.09</v>
      </c>
      <c r="C17" s="112">
        <v>14.08</v>
      </c>
      <c r="D17" s="112">
        <v>15.99</v>
      </c>
      <c r="E17" s="112">
        <v>7.02</v>
      </c>
      <c r="F17" s="112">
        <v>5.75</v>
      </c>
      <c r="G17" s="112">
        <v>11.51</v>
      </c>
      <c r="H17" s="112">
        <v>6.85</v>
      </c>
      <c r="I17" s="112">
        <v>3.04</v>
      </c>
      <c r="J17" s="112">
        <v>0.25</v>
      </c>
      <c r="K17" s="112">
        <v>256.81</v>
      </c>
      <c r="L17" s="112">
        <v>25.74</v>
      </c>
      <c r="M17" s="112">
        <v>93.08</v>
      </c>
      <c r="N17" s="112">
        <v>0</v>
      </c>
      <c r="O17" s="112">
        <v>0</v>
      </c>
      <c r="P17" s="112">
        <v>0.36</v>
      </c>
      <c r="Q17" s="112">
        <v>4.8600000000000003</v>
      </c>
    </row>
    <row r="18" spans="1:17" customFormat="1">
      <c r="A18" s="189" t="s">
        <v>1208</v>
      </c>
      <c r="B18" s="112">
        <v>9.3000000000000007</v>
      </c>
      <c r="C18" s="112">
        <v>15.78</v>
      </c>
      <c r="D18" s="112">
        <v>17.05</v>
      </c>
      <c r="E18" s="112">
        <v>8.42</v>
      </c>
      <c r="F18" s="112">
        <v>4.5</v>
      </c>
      <c r="G18" s="112">
        <v>11.51</v>
      </c>
      <c r="H18" s="112">
        <v>6.85</v>
      </c>
      <c r="I18" s="112">
        <v>2.83</v>
      </c>
      <c r="J18" s="112">
        <v>0.24</v>
      </c>
      <c r="K18" s="112">
        <v>253.52</v>
      </c>
      <c r="L18" s="112">
        <v>25.77</v>
      </c>
      <c r="M18" s="112">
        <v>93.1</v>
      </c>
      <c r="N18" s="112">
        <v>0</v>
      </c>
      <c r="O18" s="112">
        <v>0</v>
      </c>
      <c r="P18" s="112">
        <v>0.39</v>
      </c>
      <c r="Q18" s="112">
        <v>4.84</v>
      </c>
    </row>
    <row r="19" spans="1:17" customFormat="1">
      <c r="A19" s="189" t="s">
        <v>1209</v>
      </c>
      <c r="B19" s="112">
        <v>9.2899999999999991</v>
      </c>
      <c r="C19" s="112">
        <v>15.2</v>
      </c>
      <c r="D19" s="112">
        <v>16.739999999999998</v>
      </c>
      <c r="E19" s="112">
        <v>9.07</v>
      </c>
      <c r="F19" s="112">
        <v>5.14</v>
      </c>
      <c r="G19" s="112">
        <v>11.51</v>
      </c>
      <c r="H19" s="112">
        <v>6.85</v>
      </c>
      <c r="I19" s="112">
        <v>2.99</v>
      </c>
      <c r="J19" s="112">
        <v>0.28000000000000003</v>
      </c>
      <c r="K19" s="112">
        <v>247.79</v>
      </c>
      <c r="L19" s="112">
        <v>25.85</v>
      </c>
      <c r="M19" s="112">
        <v>92.84</v>
      </c>
      <c r="N19" s="112">
        <v>0</v>
      </c>
      <c r="O19" s="112">
        <v>0</v>
      </c>
      <c r="P19" s="112">
        <v>0.37</v>
      </c>
      <c r="Q19" s="112">
        <v>4.87</v>
      </c>
    </row>
    <row r="20" spans="1:17" customFormat="1">
      <c r="A20" s="189" t="s">
        <v>1210</v>
      </c>
      <c r="B20" s="112">
        <v>9.32</v>
      </c>
      <c r="C20" s="112">
        <v>14.22</v>
      </c>
      <c r="D20" s="112">
        <v>16.25</v>
      </c>
      <c r="E20" s="112">
        <v>9</v>
      </c>
      <c r="F20" s="112">
        <v>5.94</v>
      </c>
      <c r="G20" s="112">
        <v>11.57</v>
      </c>
      <c r="H20" s="112">
        <v>5.45</v>
      </c>
      <c r="I20" s="112">
        <v>3.04</v>
      </c>
      <c r="J20" s="112">
        <v>0.15</v>
      </c>
      <c r="K20" s="112">
        <v>238.92</v>
      </c>
      <c r="L20" s="112">
        <v>25.88</v>
      </c>
      <c r="M20" s="112">
        <v>92.61</v>
      </c>
      <c r="N20" s="112">
        <v>0</v>
      </c>
      <c r="O20" s="112">
        <v>0</v>
      </c>
      <c r="P20" s="112">
        <v>0.36</v>
      </c>
      <c r="Q20" s="112">
        <v>4.87</v>
      </c>
    </row>
    <row r="21" spans="1:17" customFormat="1">
      <c r="A21" s="189" t="s">
        <v>1211</v>
      </c>
      <c r="B21" s="112">
        <v>9.43</v>
      </c>
      <c r="C21" s="112">
        <v>15.84</v>
      </c>
      <c r="D21" s="112">
        <v>17.190000000000001</v>
      </c>
      <c r="E21" s="112">
        <v>8.84</v>
      </c>
      <c r="F21" s="112">
        <v>4.6100000000000003</v>
      </c>
      <c r="G21" s="112">
        <v>11.61</v>
      </c>
      <c r="H21" s="112">
        <v>5</v>
      </c>
      <c r="I21" s="112">
        <v>2.97</v>
      </c>
      <c r="J21" s="112">
        <v>0.17</v>
      </c>
      <c r="K21" s="112">
        <v>235.99</v>
      </c>
      <c r="L21" s="112">
        <v>25.87</v>
      </c>
      <c r="M21" s="112">
        <v>92.87</v>
      </c>
      <c r="N21" s="112">
        <v>0</v>
      </c>
      <c r="O21" s="112">
        <v>0</v>
      </c>
      <c r="P21" s="112">
        <v>0.39</v>
      </c>
      <c r="Q21" s="112">
        <v>4.8600000000000003</v>
      </c>
    </row>
    <row r="22" spans="1:17" customFormat="1">
      <c r="A22" s="189" t="s">
        <v>1212</v>
      </c>
      <c r="B22" s="112">
        <v>9.56</v>
      </c>
      <c r="C22" s="112">
        <v>14.84</v>
      </c>
      <c r="D22" s="112">
        <v>16.77</v>
      </c>
      <c r="E22" s="112">
        <v>8.82</v>
      </c>
      <c r="F22" s="112">
        <v>5.2</v>
      </c>
      <c r="G22" s="112">
        <v>11.61</v>
      </c>
      <c r="H22" s="112">
        <v>5</v>
      </c>
      <c r="I22" s="112">
        <v>2.98</v>
      </c>
      <c r="J22" s="112">
        <v>0.18</v>
      </c>
      <c r="K22" s="112">
        <v>235.47</v>
      </c>
      <c r="L22" s="112">
        <v>25.93</v>
      </c>
      <c r="M22" s="112">
        <v>92.73</v>
      </c>
      <c r="N22" s="112">
        <v>0</v>
      </c>
      <c r="O22" s="112">
        <v>0</v>
      </c>
      <c r="P22" s="112">
        <v>0.38</v>
      </c>
      <c r="Q22" s="112">
        <v>4.87</v>
      </c>
    </row>
    <row r="23" spans="1:17" customFormat="1">
      <c r="A23" s="189" t="s">
        <v>1213</v>
      </c>
      <c r="B23" s="112">
        <v>9.5</v>
      </c>
      <c r="C23" s="112">
        <v>13.75</v>
      </c>
      <c r="D23" s="112">
        <v>16.16</v>
      </c>
      <c r="E23" s="112">
        <v>8.5299999999999994</v>
      </c>
      <c r="F23" s="112">
        <v>5.63</v>
      </c>
      <c r="G23" s="112">
        <v>11.61</v>
      </c>
      <c r="H23" s="112">
        <v>5</v>
      </c>
      <c r="I23" s="112">
        <v>3.09</v>
      </c>
      <c r="J23" s="112">
        <v>0.19</v>
      </c>
      <c r="K23" s="112">
        <v>241.76</v>
      </c>
      <c r="L23" s="112">
        <v>25.84</v>
      </c>
      <c r="M23" s="112">
        <v>93.32</v>
      </c>
      <c r="N23" s="112">
        <v>0</v>
      </c>
      <c r="O23" s="112">
        <v>0</v>
      </c>
      <c r="P23" s="112">
        <v>0.37</v>
      </c>
      <c r="Q23" s="112">
        <v>4.87</v>
      </c>
    </row>
    <row r="24" spans="1:17" customFormat="1">
      <c r="A24" s="189" t="s">
        <v>1214</v>
      </c>
      <c r="B24" s="112">
        <v>9.68</v>
      </c>
      <c r="C24" s="112">
        <v>15.38</v>
      </c>
      <c r="D24" s="112">
        <v>17.149999999999999</v>
      </c>
      <c r="E24" s="112">
        <v>8.85</v>
      </c>
      <c r="F24" s="112">
        <v>4.59</v>
      </c>
      <c r="G24" s="112">
        <v>11.06</v>
      </c>
      <c r="H24" s="112">
        <v>7.16</v>
      </c>
      <c r="I24" s="112">
        <v>3</v>
      </c>
      <c r="J24" s="112">
        <v>0.26</v>
      </c>
      <c r="K24" s="112">
        <v>250.13</v>
      </c>
      <c r="L24" s="112">
        <v>25.82</v>
      </c>
      <c r="M24" s="112">
        <v>93.52</v>
      </c>
      <c r="N24" s="112">
        <v>0</v>
      </c>
      <c r="O24" s="112">
        <v>0</v>
      </c>
      <c r="P24" s="112">
        <v>0.39</v>
      </c>
      <c r="Q24" s="112">
        <v>4.87</v>
      </c>
    </row>
    <row r="25" spans="1:17" customFormat="1">
      <c r="A25" s="189" t="s">
        <v>1215</v>
      </c>
      <c r="B25" s="112">
        <v>9.86</v>
      </c>
      <c r="C25" s="112">
        <v>14.59</v>
      </c>
      <c r="D25" s="112">
        <v>16.88</v>
      </c>
      <c r="E25" s="112">
        <v>9.02</v>
      </c>
      <c r="F25" s="112">
        <v>5.16</v>
      </c>
      <c r="G25" s="112">
        <v>10.65</v>
      </c>
      <c r="H25" s="112">
        <v>7.85</v>
      </c>
      <c r="I25" s="112">
        <v>3</v>
      </c>
      <c r="J25" s="112">
        <v>0.35</v>
      </c>
      <c r="K25" s="112">
        <v>254.83</v>
      </c>
      <c r="L25" s="112">
        <v>25.73</v>
      </c>
      <c r="M25" s="112">
        <v>93.9</v>
      </c>
      <c r="N25" s="112">
        <v>0</v>
      </c>
      <c r="O25" s="112">
        <v>0</v>
      </c>
      <c r="P25" s="112">
        <v>0.37</v>
      </c>
      <c r="Q25" s="112">
        <v>4.9000000000000004</v>
      </c>
    </row>
    <row r="26" spans="1:17" customFormat="1">
      <c r="A26" s="189" t="s">
        <v>1216</v>
      </c>
      <c r="B26" s="112">
        <v>9.84</v>
      </c>
      <c r="C26" s="112">
        <v>14.55</v>
      </c>
      <c r="D26" s="112">
        <v>16.850000000000001</v>
      </c>
      <c r="E26" s="112">
        <v>8.91</v>
      </c>
      <c r="F26" s="112">
        <v>4.99</v>
      </c>
      <c r="G26" s="112">
        <v>10.65</v>
      </c>
      <c r="H26" s="112">
        <v>7.85</v>
      </c>
      <c r="I26" s="112">
        <v>3.07</v>
      </c>
      <c r="J26" s="112">
        <v>0.31</v>
      </c>
      <c r="K26" s="112">
        <v>257.70999999999998</v>
      </c>
      <c r="L26" s="112">
        <v>25.7</v>
      </c>
      <c r="M26" s="112">
        <v>93.85</v>
      </c>
      <c r="N26" s="112">
        <v>0</v>
      </c>
      <c r="O26" s="112">
        <v>0</v>
      </c>
      <c r="P26" s="112">
        <v>0.37</v>
      </c>
      <c r="Q26" s="112">
        <v>4.92</v>
      </c>
    </row>
    <row r="27" spans="1:17" customFormat="1">
      <c r="A27" s="189" t="s">
        <v>1217</v>
      </c>
      <c r="B27" s="112">
        <v>9.93</v>
      </c>
      <c r="C27" s="112">
        <v>16.170000000000002</v>
      </c>
      <c r="D27" s="112">
        <v>17.760000000000002</v>
      </c>
      <c r="E27" s="112">
        <v>8.7899999999999991</v>
      </c>
      <c r="F27" s="112">
        <v>4.2</v>
      </c>
      <c r="G27" s="112">
        <v>10.65</v>
      </c>
      <c r="H27" s="112">
        <v>7.85</v>
      </c>
      <c r="I27" s="112">
        <v>3.02</v>
      </c>
      <c r="J27" s="112">
        <v>0.27</v>
      </c>
      <c r="K27" s="112">
        <v>265.69</v>
      </c>
      <c r="L27" s="112">
        <v>25.55</v>
      </c>
      <c r="M27" s="112">
        <v>94.56</v>
      </c>
      <c r="N27" s="112">
        <v>0</v>
      </c>
      <c r="O27" s="112">
        <v>0</v>
      </c>
      <c r="P27" s="112">
        <v>0.39</v>
      </c>
      <c r="Q27" s="112">
        <v>4.8899999999999997</v>
      </c>
    </row>
    <row r="28" spans="1:17" customFormat="1">
      <c r="A28" s="189" t="s">
        <v>1218</v>
      </c>
      <c r="B28" s="112">
        <v>10</v>
      </c>
      <c r="C28" s="112">
        <v>14.55</v>
      </c>
      <c r="D28" s="112">
        <v>16.97</v>
      </c>
      <c r="E28" s="112">
        <v>8.86</v>
      </c>
      <c r="F28" s="112">
        <v>5.1100000000000003</v>
      </c>
      <c r="G28" s="112">
        <v>11.88</v>
      </c>
      <c r="H28" s="112">
        <v>6.57</v>
      </c>
      <c r="I28" s="112">
        <v>3.06</v>
      </c>
      <c r="J28" s="112">
        <v>0.15</v>
      </c>
      <c r="K28" s="112">
        <v>249.86</v>
      </c>
      <c r="L28" s="112">
        <v>25.54</v>
      </c>
      <c r="M28" s="112">
        <v>94.93</v>
      </c>
      <c r="N28" s="112">
        <v>0</v>
      </c>
      <c r="O28" s="112">
        <v>0</v>
      </c>
      <c r="P28" s="112">
        <v>0.38</v>
      </c>
      <c r="Q28" s="112">
        <v>4.91</v>
      </c>
    </row>
    <row r="29" spans="1:17" customFormat="1">
      <c r="A29" s="189" t="s">
        <v>1219</v>
      </c>
      <c r="B29" s="112">
        <v>9.9499999999999993</v>
      </c>
      <c r="C29" s="112">
        <v>14.21</v>
      </c>
      <c r="D29" s="112">
        <v>16.75</v>
      </c>
      <c r="E29" s="112">
        <v>8.6199999999999992</v>
      </c>
      <c r="F29" s="112">
        <v>5.2</v>
      </c>
      <c r="G29" s="112">
        <v>12.77</v>
      </c>
      <c r="H29" s="112">
        <v>6.17</v>
      </c>
      <c r="I29" s="112">
        <v>3.11</v>
      </c>
      <c r="J29" s="112">
        <v>0.18</v>
      </c>
      <c r="K29" s="112">
        <v>248.97</v>
      </c>
      <c r="L29" s="112">
        <v>25.45</v>
      </c>
      <c r="M29" s="112">
        <v>95.52</v>
      </c>
      <c r="N29" s="112">
        <v>0</v>
      </c>
      <c r="O29" s="112">
        <v>0</v>
      </c>
      <c r="P29" s="112">
        <v>0.36</v>
      </c>
      <c r="Q29" s="112">
        <v>4.92</v>
      </c>
    </row>
    <row r="30" spans="1:17" customFormat="1">
      <c r="A30" s="189" t="s">
        <v>1220</v>
      </c>
      <c r="B30" s="112">
        <v>10.130000000000001</v>
      </c>
      <c r="C30" s="112">
        <v>15.92</v>
      </c>
      <c r="D30" s="112">
        <v>17.8</v>
      </c>
      <c r="E30" s="112">
        <v>8.86</v>
      </c>
      <c r="F30" s="112">
        <v>4.08</v>
      </c>
      <c r="G30" s="112">
        <v>12.77</v>
      </c>
      <c r="H30" s="112">
        <v>6.17</v>
      </c>
      <c r="I30" s="112">
        <v>2.94</v>
      </c>
      <c r="J30" s="112">
        <v>0.28000000000000003</v>
      </c>
      <c r="K30" s="112">
        <v>260.14</v>
      </c>
      <c r="L30" s="112">
        <v>25.46</v>
      </c>
      <c r="M30" s="112">
        <v>95.52</v>
      </c>
      <c r="N30" s="112">
        <v>0</v>
      </c>
      <c r="O30" s="112">
        <v>0</v>
      </c>
      <c r="P30" s="112">
        <v>0.38</v>
      </c>
      <c r="Q30" s="112">
        <v>4.93</v>
      </c>
    </row>
    <row r="31" spans="1:17" customFormat="1">
      <c r="A31" s="189" t="s">
        <v>1221</v>
      </c>
      <c r="B31" s="112">
        <v>10.31</v>
      </c>
      <c r="C31" s="112">
        <v>14.82</v>
      </c>
      <c r="D31" s="112">
        <v>17.36</v>
      </c>
      <c r="E31" s="112">
        <v>8.9</v>
      </c>
      <c r="F31" s="112">
        <v>4.88</v>
      </c>
      <c r="G31" s="112">
        <v>12.77</v>
      </c>
      <c r="H31" s="112">
        <v>6.17</v>
      </c>
      <c r="I31" s="112">
        <v>3.03</v>
      </c>
      <c r="J31" s="112">
        <v>0.25</v>
      </c>
      <c r="K31" s="112">
        <v>260.56</v>
      </c>
      <c r="L31" s="112">
        <v>25.55</v>
      </c>
      <c r="M31" s="112">
        <v>95.13</v>
      </c>
      <c r="N31" s="112">
        <v>0</v>
      </c>
      <c r="O31" s="112">
        <v>0</v>
      </c>
      <c r="P31" s="112">
        <v>0.38</v>
      </c>
      <c r="Q31" s="112">
        <v>4.95</v>
      </c>
    </row>
    <row r="32" spans="1:17" customFormat="1">
      <c r="A32" s="189" t="s">
        <v>1222</v>
      </c>
      <c r="B32" s="112">
        <v>10.23</v>
      </c>
      <c r="C32" s="112">
        <v>14.05</v>
      </c>
      <c r="D32" s="112">
        <v>16.899999999999999</v>
      </c>
      <c r="E32" s="112">
        <v>8.4600000000000009</v>
      </c>
      <c r="F32" s="112">
        <v>5.29</v>
      </c>
      <c r="G32" s="112">
        <v>11.65</v>
      </c>
      <c r="H32" s="112">
        <v>5.51</v>
      </c>
      <c r="I32" s="112">
        <v>3.09</v>
      </c>
      <c r="J32" s="112">
        <v>0.42</v>
      </c>
      <c r="K32" s="112">
        <v>265.92</v>
      </c>
      <c r="L32" s="112">
        <v>25.59</v>
      </c>
      <c r="M32" s="112">
        <v>94.87</v>
      </c>
      <c r="N32" s="112">
        <v>3.2</v>
      </c>
      <c r="O32" s="112">
        <v>0</v>
      </c>
      <c r="P32" s="112">
        <v>0.37</v>
      </c>
      <c r="Q32" s="112">
        <v>4.96</v>
      </c>
    </row>
    <row r="33" spans="1:17" customFormat="1">
      <c r="A33" s="189" t="s">
        <v>1223</v>
      </c>
      <c r="B33" s="112">
        <v>10.46</v>
      </c>
      <c r="C33" s="112">
        <v>16.28</v>
      </c>
      <c r="D33" s="112">
        <v>18.25</v>
      </c>
      <c r="E33" s="112">
        <v>9.01</v>
      </c>
      <c r="F33" s="112">
        <v>3.94</v>
      </c>
      <c r="G33" s="112">
        <v>10.83</v>
      </c>
      <c r="H33" s="112">
        <v>5.12</v>
      </c>
      <c r="I33" s="112">
        <v>2.98</v>
      </c>
      <c r="J33" s="112">
        <v>0.25</v>
      </c>
      <c r="K33" s="112">
        <v>259.74</v>
      </c>
      <c r="L33" s="112">
        <v>25.76</v>
      </c>
      <c r="M33" s="112">
        <v>94.47</v>
      </c>
      <c r="N33" s="112">
        <v>17.399999999999999</v>
      </c>
      <c r="O33" s="112">
        <v>0</v>
      </c>
      <c r="P33" s="112">
        <v>0.4</v>
      </c>
      <c r="Q33" s="112">
        <v>4.95</v>
      </c>
    </row>
    <row r="34" spans="1:17" customFormat="1">
      <c r="A34" s="189" t="s">
        <v>1224</v>
      </c>
      <c r="B34" s="112">
        <v>10.65</v>
      </c>
      <c r="C34" s="112">
        <v>16.78</v>
      </c>
      <c r="D34" s="112">
        <v>18.66</v>
      </c>
      <c r="E34" s="112">
        <v>9.06</v>
      </c>
      <c r="F34" s="112">
        <v>3.93</v>
      </c>
      <c r="G34" s="112">
        <v>10.83</v>
      </c>
      <c r="H34" s="112">
        <v>5.12</v>
      </c>
      <c r="I34" s="112">
        <v>2.95</v>
      </c>
      <c r="J34" s="112">
        <v>0.28000000000000003</v>
      </c>
      <c r="K34" s="112">
        <v>267.45999999999998</v>
      </c>
      <c r="L34" s="112">
        <v>25.92</v>
      </c>
      <c r="M34" s="112">
        <v>93.92</v>
      </c>
      <c r="N34" s="112">
        <v>26.3</v>
      </c>
      <c r="O34" s="112">
        <v>0</v>
      </c>
      <c r="P34" s="112">
        <v>0.41</v>
      </c>
      <c r="Q34" s="112">
        <v>4.95</v>
      </c>
    </row>
    <row r="35" spans="1:17" customFormat="1">
      <c r="A35" s="189" t="s">
        <v>1225</v>
      </c>
      <c r="B35" s="112">
        <v>10.83</v>
      </c>
      <c r="C35" s="112">
        <v>15.42</v>
      </c>
      <c r="D35" s="112">
        <v>18.09</v>
      </c>
      <c r="E35" s="112">
        <v>9.34</v>
      </c>
      <c r="F35" s="112">
        <v>4.72</v>
      </c>
      <c r="G35" s="112">
        <v>10.83</v>
      </c>
      <c r="H35" s="112">
        <v>5.12</v>
      </c>
      <c r="I35" s="112">
        <v>3.11</v>
      </c>
      <c r="J35" s="112">
        <v>0.37</v>
      </c>
      <c r="K35" s="112">
        <v>265.87</v>
      </c>
      <c r="L35" s="112">
        <v>26.13</v>
      </c>
      <c r="M35" s="112">
        <v>93.15</v>
      </c>
      <c r="N35" s="112">
        <v>41</v>
      </c>
      <c r="O35" s="112">
        <v>0</v>
      </c>
      <c r="P35" s="112">
        <v>0.39</v>
      </c>
      <c r="Q35" s="112">
        <v>4.97</v>
      </c>
    </row>
    <row r="36" spans="1:17" customFormat="1">
      <c r="A36" s="189" t="s">
        <v>1226</v>
      </c>
      <c r="B36" s="112">
        <v>10.55</v>
      </c>
      <c r="C36" s="112">
        <v>14.09</v>
      </c>
      <c r="D36" s="112">
        <v>17.18</v>
      </c>
      <c r="E36" s="112">
        <v>9.19</v>
      </c>
      <c r="F36" s="112">
        <v>5.4</v>
      </c>
      <c r="G36" s="112">
        <v>11.13</v>
      </c>
      <c r="H36" s="112">
        <v>4.82</v>
      </c>
      <c r="I36" s="112">
        <v>3.13</v>
      </c>
      <c r="J36" s="112">
        <v>0.52</v>
      </c>
      <c r="K36" s="112">
        <v>263.52</v>
      </c>
      <c r="L36" s="112">
        <v>26.26</v>
      </c>
      <c r="M36" s="112">
        <v>92.5</v>
      </c>
      <c r="N36" s="112">
        <v>56.7</v>
      </c>
      <c r="O36" s="112">
        <v>0</v>
      </c>
      <c r="P36" s="112">
        <v>0.38</v>
      </c>
      <c r="Q36" s="112">
        <v>5.01</v>
      </c>
    </row>
    <row r="37" spans="1:17" customFormat="1">
      <c r="A37" s="189" t="s">
        <v>1227</v>
      </c>
      <c r="B37" s="112">
        <v>10.64</v>
      </c>
      <c r="C37" s="112">
        <v>13.98</v>
      </c>
      <c r="D37" s="112">
        <v>17.190000000000001</v>
      </c>
      <c r="E37" s="112">
        <v>8.61</v>
      </c>
      <c r="F37" s="112">
        <v>5.07</v>
      </c>
      <c r="G37" s="112">
        <v>11.35</v>
      </c>
      <c r="H37" s="112">
        <v>4.7300000000000004</v>
      </c>
      <c r="I37" s="112">
        <v>3.12</v>
      </c>
      <c r="J37" s="112">
        <v>0.39</v>
      </c>
      <c r="K37" s="112">
        <v>272.14999999999998</v>
      </c>
      <c r="L37" s="112">
        <v>26.37</v>
      </c>
      <c r="M37" s="112">
        <v>92.13</v>
      </c>
      <c r="N37" s="112">
        <v>63.4</v>
      </c>
      <c r="O37" s="112">
        <v>0</v>
      </c>
      <c r="P37" s="112">
        <v>0.36</v>
      </c>
      <c r="Q37" s="112">
        <v>5.01</v>
      </c>
    </row>
    <row r="38" spans="1:17" customFormat="1">
      <c r="A38" s="189" t="s">
        <v>1228</v>
      </c>
      <c r="B38" s="112">
        <v>10.77</v>
      </c>
      <c r="C38" s="112">
        <v>16.05</v>
      </c>
      <c r="D38" s="112">
        <v>18.37</v>
      </c>
      <c r="E38" s="112">
        <v>9.2899999999999991</v>
      </c>
      <c r="F38" s="112">
        <v>3.94</v>
      </c>
      <c r="G38" s="112">
        <v>11.35</v>
      </c>
      <c r="H38" s="112">
        <v>4.7300000000000004</v>
      </c>
      <c r="I38" s="112">
        <v>3</v>
      </c>
      <c r="J38" s="112">
        <v>0.55000000000000004</v>
      </c>
      <c r="K38" s="112">
        <v>267.44</v>
      </c>
      <c r="L38" s="112">
        <v>26.68</v>
      </c>
      <c r="M38" s="112">
        <v>90.68</v>
      </c>
      <c r="N38" s="112">
        <v>99</v>
      </c>
      <c r="O38" s="112">
        <v>0</v>
      </c>
      <c r="P38" s="112">
        <v>0.41</v>
      </c>
      <c r="Q38" s="112">
        <v>5</v>
      </c>
    </row>
    <row r="39" spans="1:17" customFormat="1">
      <c r="A39" s="189" t="s">
        <v>1229</v>
      </c>
      <c r="B39" s="112">
        <v>10.97</v>
      </c>
      <c r="C39" s="112">
        <v>15.4</v>
      </c>
      <c r="D39" s="112">
        <v>18.190000000000001</v>
      </c>
      <c r="E39" s="112">
        <v>9.24</v>
      </c>
      <c r="F39" s="112">
        <v>4.58</v>
      </c>
      <c r="G39" s="112">
        <v>11.35</v>
      </c>
      <c r="H39" s="112">
        <v>4.7300000000000004</v>
      </c>
      <c r="I39" s="112">
        <v>3.1</v>
      </c>
      <c r="J39" s="112">
        <v>0.63</v>
      </c>
      <c r="K39" s="112">
        <v>265.64</v>
      </c>
      <c r="L39" s="112">
        <v>26.76</v>
      </c>
      <c r="M39" s="112">
        <v>90.02</v>
      </c>
      <c r="N39" s="112">
        <v>92.7</v>
      </c>
      <c r="O39" s="112">
        <v>0</v>
      </c>
      <c r="P39" s="112">
        <v>0.42</v>
      </c>
      <c r="Q39" s="112">
        <v>5</v>
      </c>
    </row>
    <row r="40" spans="1:17" customFormat="1">
      <c r="A40" s="189" t="s">
        <v>1230</v>
      </c>
      <c r="B40" s="112">
        <v>10.71</v>
      </c>
      <c r="C40" s="112">
        <v>14.38</v>
      </c>
      <c r="D40" s="112">
        <v>17.46</v>
      </c>
      <c r="E40" s="112">
        <v>9.5399999999999991</v>
      </c>
      <c r="F40" s="112">
        <v>5.15</v>
      </c>
      <c r="G40" s="112">
        <v>12.5</v>
      </c>
      <c r="H40" s="112">
        <v>6.12</v>
      </c>
      <c r="I40" s="112">
        <v>3.23</v>
      </c>
      <c r="J40" s="112">
        <v>0.53</v>
      </c>
      <c r="K40" s="112">
        <v>258.88</v>
      </c>
      <c r="L40" s="112">
        <v>26.91</v>
      </c>
      <c r="M40" s="112">
        <v>89.58</v>
      </c>
      <c r="N40" s="112">
        <v>95.4</v>
      </c>
      <c r="O40" s="112">
        <v>0</v>
      </c>
      <c r="P40" s="112">
        <v>0.44</v>
      </c>
      <c r="Q40" s="112">
        <v>5.01</v>
      </c>
    </row>
    <row r="41" spans="1:17" customFormat="1">
      <c r="A41" s="189" t="s">
        <v>1231</v>
      </c>
      <c r="B41" s="112">
        <v>10.68</v>
      </c>
      <c r="C41" s="112">
        <v>14.67</v>
      </c>
      <c r="D41" s="112">
        <v>17.579999999999998</v>
      </c>
      <c r="E41" s="112">
        <v>9.23</v>
      </c>
      <c r="F41" s="112">
        <v>4.8600000000000003</v>
      </c>
      <c r="G41" s="112">
        <v>13.35</v>
      </c>
      <c r="H41" s="112">
        <v>6.56</v>
      </c>
      <c r="I41" s="112">
        <v>3.25</v>
      </c>
      <c r="J41" s="112">
        <v>0.5</v>
      </c>
      <c r="K41" s="112">
        <v>273.73</v>
      </c>
      <c r="L41" s="112">
        <v>26.98</v>
      </c>
      <c r="M41" s="112">
        <v>89.76</v>
      </c>
      <c r="N41" s="112">
        <v>81.7</v>
      </c>
      <c r="O41" s="112">
        <v>0</v>
      </c>
      <c r="P41" s="112">
        <v>0.42</v>
      </c>
      <c r="Q41" s="112">
        <v>5.01</v>
      </c>
    </row>
    <row r="42" spans="1:17" customFormat="1">
      <c r="A42" s="189" t="s">
        <v>1232</v>
      </c>
      <c r="B42" s="112">
        <v>10.94</v>
      </c>
      <c r="C42" s="112">
        <v>16.350000000000001</v>
      </c>
      <c r="D42" s="112">
        <v>18.670000000000002</v>
      </c>
      <c r="E42" s="112">
        <v>9.18</v>
      </c>
      <c r="F42" s="112">
        <v>4.08</v>
      </c>
      <c r="G42" s="112">
        <v>13.35</v>
      </c>
      <c r="H42" s="112">
        <v>6.56</v>
      </c>
      <c r="I42" s="112">
        <v>3.36</v>
      </c>
      <c r="J42" s="112">
        <v>0.43</v>
      </c>
      <c r="K42" s="112">
        <v>263.76</v>
      </c>
      <c r="L42" s="112">
        <v>27.11</v>
      </c>
      <c r="M42" s="112">
        <v>89.33</v>
      </c>
      <c r="N42" s="112">
        <v>100.5</v>
      </c>
      <c r="O42" s="112">
        <v>0</v>
      </c>
      <c r="P42" s="112">
        <v>0.46</v>
      </c>
      <c r="Q42" s="112">
        <v>5</v>
      </c>
    </row>
    <row r="43" spans="1:17" customFormat="1">
      <c r="A43" s="189" t="s">
        <v>1233</v>
      </c>
      <c r="B43" s="112">
        <v>11.08</v>
      </c>
      <c r="C43" s="112">
        <v>15.07</v>
      </c>
      <c r="D43" s="112">
        <v>18.11</v>
      </c>
      <c r="E43" s="112">
        <v>9.41</v>
      </c>
      <c r="F43" s="112">
        <v>4.91</v>
      </c>
      <c r="G43" s="112">
        <v>13.35</v>
      </c>
      <c r="H43" s="112">
        <v>6.56</v>
      </c>
      <c r="I43" s="112">
        <v>3.43</v>
      </c>
      <c r="J43" s="112">
        <v>0.41</v>
      </c>
      <c r="K43" s="112">
        <v>264.48</v>
      </c>
      <c r="L43" s="112">
        <v>27.3</v>
      </c>
      <c r="M43" s="112">
        <v>88.7</v>
      </c>
      <c r="N43" s="112">
        <v>100.6</v>
      </c>
      <c r="O43" s="112">
        <v>0</v>
      </c>
      <c r="P43" s="112">
        <v>0.46</v>
      </c>
      <c r="Q43" s="112">
        <v>5.03</v>
      </c>
    </row>
    <row r="44" spans="1:17" customFormat="1">
      <c r="A44" s="189" t="s">
        <v>1234</v>
      </c>
      <c r="B44" s="112">
        <v>10.82</v>
      </c>
      <c r="C44" s="112">
        <v>14.21</v>
      </c>
      <c r="D44" s="112">
        <v>17.46</v>
      </c>
      <c r="E44" s="112">
        <v>9.7799999999999994</v>
      </c>
      <c r="F44" s="112">
        <v>5.28</v>
      </c>
      <c r="G44" s="112">
        <v>16.02</v>
      </c>
      <c r="H44" s="112">
        <v>7.28</v>
      </c>
      <c r="I44" s="112">
        <v>3.54</v>
      </c>
      <c r="J44" s="112">
        <v>0.6</v>
      </c>
      <c r="K44" s="112">
        <v>265.44</v>
      </c>
      <c r="L44" s="112">
        <v>27.23</v>
      </c>
      <c r="M44" s="112">
        <v>88.35</v>
      </c>
      <c r="N44" s="112">
        <v>72.8</v>
      </c>
      <c r="O44" s="112">
        <v>0</v>
      </c>
      <c r="P44" s="112">
        <v>0.46</v>
      </c>
      <c r="Q44" s="112">
        <v>5.0599999999999996</v>
      </c>
    </row>
    <row r="45" spans="1:17" customFormat="1">
      <c r="A45" s="189" t="s">
        <v>1235</v>
      </c>
      <c r="B45" s="112">
        <v>10.76</v>
      </c>
      <c r="C45" s="112">
        <v>13.85</v>
      </c>
      <c r="D45" s="112">
        <v>17.22</v>
      </c>
      <c r="E45" s="112">
        <v>9.4499999999999993</v>
      </c>
      <c r="F45" s="112">
        <v>5.36</v>
      </c>
      <c r="G45" s="112">
        <v>17.97</v>
      </c>
      <c r="H45" s="112">
        <v>7.51</v>
      </c>
      <c r="I45" s="112">
        <v>3.61</v>
      </c>
      <c r="J45" s="112">
        <v>0.45</v>
      </c>
      <c r="K45" s="112">
        <v>266.41000000000003</v>
      </c>
      <c r="L45" s="112">
        <v>27.34</v>
      </c>
      <c r="M45" s="112">
        <v>87.95</v>
      </c>
      <c r="N45" s="112">
        <v>139.69999999999999</v>
      </c>
      <c r="O45" s="112">
        <v>0</v>
      </c>
      <c r="P45" s="112">
        <v>0.45</v>
      </c>
      <c r="Q45" s="112">
        <v>5.04</v>
      </c>
    </row>
    <row r="46" spans="1:17" customFormat="1">
      <c r="A46" s="189" t="s">
        <v>1236</v>
      </c>
      <c r="B46" s="112">
        <v>11.06</v>
      </c>
      <c r="C46" s="112">
        <v>15.6</v>
      </c>
      <c r="D46" s="112">
        <v>18.37</v>
      </c>
      <c r="E46" s="112">
        <v>9.32</v>
      </c>
      <c r="F46" s="112">
        <v>4.28</v>
      </c>
      <c r="G46" s="112">
        <v>17.97</v>
      </c>
      <c r="H46" s="112">
        <v>7.51</v>
      </c>
      <c r="I46" s="112">
        <v>3.66</v>
      </c>
      <c r="J46" s="112">
        <v>0.41</v>
      </c>
      <c r="K46" s="112">
        <v>259.97000000000003</v>
      </c>
      <c r="L46" s="112">
        <v>27.71</v>
      </c>
      <c r="M46" s="112">
        <v>87.09</v>
      </c>
      <c r="N46" s="112">
        <v>148.80000000000001</v>
      </c>
      <c r="O46" s="112">
        <v>0</v>
      </c>
      <c r="P46" s="112">
        <v>0.47</v>
      </c>
      <c r="Q46" s="112">
        <v>5</v>
      </c>
    </row>
    <row r="47" spans="1:17" customFormat="1">
      <c r="A47" s="189" t="s">
        <v>1237</v>
      </c>
      <c r="B47" s="112">
        <v>11.26</v>
      </c>
      <c r="C47" s="112">
        <v>16.12</v>
      </c>
      <c r="D47" s="112">
        <v>18.8</v>
      </c>
      <c r="E47" s="112">
        <v>9.01</v>
      </c>
      <c r="F47" s="112">
        <v>4.28</v>
      </c>
      <c r="G47" s="112">
        <v>17.97</v>
      </c>
      <c r="H47" s="112">
        <v>7.51</v>
      </c>
      <c r="I47" s="112">
        <v>3.72</v>
      </c>
      <c r="J47" s="112">
        <v>0.45</v>
      </c>
      <c r="K47" s="112">
        <v>260.99</v>
      </c>
      <c r="L47" s="112">
        <v>27.43</v>
      </c>
      <c r="M47" s="112">
        <v>88.51</v>
      </c>
      <c r="N47" s="112">
        <v>63.5</v>
      </c>
      <c r="O47" s="112">
        <v>0</v>
      </c>
      <c r="P47" s="112">
        <v>0.49</v>
      </c>
      <c r="Q47" s="112">
        <v>5.0199999999999996</v>
      </c>
    </row>
    <row r="48" spans="1:17" customFormat="1">
      <c r="A48" s="189" t="s">
        <v>1238</v>
      </c>
      <c r="B48" s="112">
        <v>11.14</v>
      </c>
      <c r="C48" s="112">
        <v>14.65</v>
      </c>
      <c r="D48" s="112">
        <v>17.940000000000001</v>
      </c>
      <c r="E48" s="112">
        <v>8.9</v>
      </c>
      <c r="F48" s="112">
        <v>5.3</v>
      </c>
      <c r="G48" s="112">
        <v>20.43</v>
      </c>
      <c r="H48" s="112">
        <v>7.33</v>
      </c>
      <c r="I48" s="112">
        <v>3.84</v>
      </c>
      <c r="J48" s="112">
        <v>0.34</v>
      </c>
      <c r="K48" s="112">
        <v>251.08</v>
      </c>
      <c r="L48" s="112">
        <v>27.41</v>
      </c>
      <c r="M48" s="112">
        <v>90.2</v>
      </c>
      <c r="N48" s="112">
        <v>144.80000000000001</v>
      </c>
      <c r="O48" s="112">
        <v>0</v>
      </c>
      <c r="P48" s="112">
        <v>0.48</v>
      </c>
      <c r="Q48" s="112">
        <v>5.04</v>
      </c>
    </row>
    <row r="49" spans="1:17" customFormat="1">
      <c r="A49" s="189" t="s">
        <v>1239</v>
      </c>
      <c r="B49" s="112">
        <v>11.07</v>
      </c>
      <c r="C49" s="112">
        <v>13.96</v>
      </c>
      <c r="D49" s="112">
        <v>17.52</v>
      </c>
      <c r="E49" s="112">
        <v>5.76</v>
      </c>
      <c r="F49" s="112">
        <v>5.36</v>
      </c>
      <c r="G49" s="112">
        <v>22.23</v>
      </c>
      <c r="H49" s="112">
        <v>7.27</v>
      </c>
      <c r="I49" s="112">
        <v>3.81</v>
      </c>
      <c r="J49" s="112">
        <v>0.23</v>
      </c>
      <c r="K49" s="112">
        <v>219.94</v>
      </c>
      <c r="L49" s="112">
        <v>27.93</v>
      </c>
      <c r="M49" s="112">
        <v>88.52</v>
      </c>
      <c r="N49" s="112">
        <v>153.5</v>
      </c>
      <c r="O49" s="112">
        <v>0</v>
      </c>
      <c r="P49" s="112">
        <v>0.47</v>
      </c>
      <c r="Q49" s="112">
        <v>5.0199999999999996</v>
      </c>
    </row>
    <row r="50" spans="1:17" customFormat="1">
      <c r="A50" s="189" t="s">
        <v>1240</v>
      </c>
      <c r="B50" s="112">
        <v>10.91</v>
      </c>
      <c r="C50" s="112">
        <v>14</v>
      </c>
      <c r="D50" s="112">
        <v>17.420000000000002</v>
      </c>
      <c r="E50" s="112">
        <v>6.85</v>
      </c>
      <c r="F50" s="112">
        <v>5.87</v>
      </c>
      <c r="G50" s="112">
        <v>22.23</v>
      </c>
      <c r="H50" s="112">
        <v>7.27</v>
      </c>
      <c r="I50" s="112">
        <v>3.73</v>
      </c>
      <c r="J50" s="112">
        <v>0.38</v>
      </c>
      <c r="K50" s="112">
        <v>284.79000000000002</v>
      </c>
      <c r="L50" s="112">
        <v>28.15</v>
      </c>
      <c r="M50" s="112">
        <v>85.62</v>
      </c>
      <c r="N50" s="112">
        <v>148.9</v>
      </c>
      <c r="O50" s="112">
        <v>0</v>
      </c>
      <c r="P50" s="112">
        <v>0.48</v>
      </c>
      <c r="Q50" s="112">
        <v>5.01</v>
      </c>
    </row>
    <row r="51" spans="1:17" customFormat="1">
      <c r="A51" s="189" t="s">
        <v>1241</v>
      </c>
      <c r="B51" s="112">
        <v>10.89</v>
      </c>
      <c r="C51" s="112">
        <v>14.47</v>
      </c>
      <c r="D51" s="112">
        <v>17.649999999999999</v>
      </c>
      <c r="E51" s="112">
        <v>6.84</v>
      </c>
      <c r="F51" s="112">
        <v>5.75</v>
      </c>
      <c r="G51" s="112">
        <v>22.23</v>
      </c>
      <c r="H51" s="112">
        <v>7.27</v>
      </c>
      <c r="I51" s="112">
        <v>3.72</v>
      </c>
      <c r="J51" s="112">
        <v>0.6</v>
      </c>
      <c r="K51" s="112">
        <v>277.32</v>
      </c>
      <c r="L51" s="112">
        <v>27.95</v>
      </c>
      <c r="M51" s="112">
        <v>84.81</v>
      </c>
      <c r="N51" s="112">
        <v>98.5</v>
      </c>
      <c r="O51" s="112">
        <v>0</v>
      </c>
      <c r="P51" s="112">
        <v>0.47</v>
      </c>
      <c r="Q51" s="112">
        <v>5.03</v>
      </c>
    </row>
    <row r="52" spans="1:17" customFormat="1">
      <c r="A52" s="189" t="s">
        <v>1242</v>
      </c>
      <c r="B52" s="112">
        <v>10.99</v>
      </c>
      <c r="C52" s="112">
        <v>16.579999999999998</v>
      </c>
      <c r="D52" s="112">
        <v>18.829999999999998</v>
      </c>
      <c r="E52" s="112">
        <v>6.95</v>
      </c>
      <c r="F52" s="112">
        <v>4.58</v>
      </c>
      <c r="G52" s="112">
        <v>21.58</v>
      </c>
      <c r="H52" s="112">
        <v>10.88</v>
      </c>
      <c r="I52" s="112">
        <v>3.75</v>
      </c>
      <c r="J52" s="112">
        <v>0.56000000000000005</v>
      </c>
      <c r="K52" s="112">
        <v>281.89999999999998</v>
      </c>
      <c r="L52" s="112">
        <v>28.26</v>
      </c>
      <c r="M52" s="112">
        <v>82.75</v>
      </c>
      <c r="N52" s="112">
        <v>183.5</v>
      </c>
      <c r="O52" s="112">
        <v>0</v>
      </c>
      <c r="P52" s="112">
        <v>0.52</v>
      </c>
      <c r="Q52" s="112">
        <v>5.01</v>
      </c>
    </row>
    <row r="53" spans="1:17" customFormat="1">
      <c r="A53" s="189" t="s">
        <v>1243</v>
      </c>
      <c r="B53" s="112">
        <v>10.95</v>
      </c>
      <c r="C53" s="112">
        <v>17.829999999999998</v>
      </c>
      <c r="D53" s="112">
        <v>19.45</v>
      </c>
      <c r="E53" s="112">
        <v>6.71</v>
      </c>
      <c r="F53" s="112">
        <v>4.41</v>
      </c>
      <c r="G53" s="112">
        <v>21.1</v>
      </c>
      <c r="H53" s="112">
        <v>12.03</v>
      </c>
      <c r="I53" s="112">
        <v>3.83</v>
      </c>
      <c r="J53" s="112">
        <v>0.7</v>
      </c>
      <c r="K53" s="112">
        <v>268.12</v>
      </c>
      <c r="L53" s="112">
        <v>28.24</v>
      </c>
      <c r="M53" s="112">
        <v>82.97</v>
      </c>
      <c r="N53" s="112">
        <v>161.19999999999999</v>
      </c>
      <c r="O53" s="112">
        <v>0</v>
      </c>
      <c r="P53" s="112">
        <v>0.53</v>
      </c>
      <c r="Q53" s="112">
        <v>5.01</v>
      </c>
    </row>
    <row r="54" spans="1:17" customFormat="1">
      <c r="A54" s="189" t="s">
        <v>1244</v>
      </c>
      <c r="B54" s="112">
        <v>10.88</v>
      </c>
      <c r="C54" s="112">
        <v>16.91</v>
      </c>
      <c r="D54" s="112">
        <v>18.91</v>
      </c>
      <c r="E54" s="112">
        <v>6.78</v>
      </c>
      <c r="F54" s="112">
        <v>5.33</v>
      </c>
      <c r="G54" s="112">
        <v>21.1</v>
      </c>
      <c r="H54" s="112">
        <v>12.03</v>
      </c>
      <c r="I54" s="112">
        <v>3.91</v>
      </c>
      <c r="J54" s="112">
        <v>0.63</v>
      </c>
      <c r="K54" s="112">
        <v>288.17</v>
      </c>
      <c r="L54" s="112">
        <v>28.64</v>
      </c>
      <c r="M54" s="112">
        <v>81.56</v>
      </c>
      <c r="N54" s="112">
        <v>351.3</v>
      </c>
      <c r="O54" s="112">
        <v>0</v>
      </c>
      <c r="P54" s="112">
        <v>0.53</v>
      </c>
      <c r="Q54" s="112">
        <v>5.04</v>
      </c>
    </row>
    <row r="55" spans="1:17" customFormat="1">
      <c r="A55" s="189" t="s">
        <v>1245</v>
      </c>
      <c r="B55" s="112">
        <v>10.95</v>
      </c>
      <c r="C55" s="112">
        <v>16.37</v>
      </c>
      <c r="D55" s="112">
        <v>18.690000000000001</v>
      </c>
      <c r="E55" s="112">
        <v>6.59</v>
      </c>
      <c r="F55" s="112">
        <v>5.83</v>
      </c>
      <c r="G55" s="112">
        <v>21.1</v>
      </c>
      <c r="H55" s="112">
        <v>12.03</v>
      </c>
      <c r="I55" s="112">
        <v>3.96</v>
      </c>
      <c r="J55" s="112">
        <v>0.68</v>
      </c>
      <c r="K55" s="112">
        <v>299.83</v>
      </c>
      <c r="L55" s="112">
        <v>29.41</v>
      </c>
      <c r="M55" s="112">
        <v>78.290000000000006</v>
      </c>
      <c r="N55" s="112">
        <v>356</v>
      </c>
      <c r="O55" s="112">
        <v>0</v>
      </c>
      <c r="P55" s="112">
        <v>0.53</v>
      </c>
      <c r="Q55" s="112">
        <v>5.05</v>
      </c>
    </row>
    <row r="56" spans="1:17" customFormat="1">
      <c r="A56" s="189" t="s">
        <v>1246</v>
      </c>
      <c r="B56" s="112">
        <v>10.84</v>
      </c>
      <c r="C56" s="112">
        <v>16.18</v>
      </c>
      <c r="D56" s="112">
        <v>18.5</v>
      </c>
      <c r="E56" s="112">
        <v>6.8</v>
      </c>
      <c r="F56" s="112">
        <v>6.13</v>
      </c>
      <c r="G56" s="112">
        <v>23.86</v>
      </c>
      <c r="H56" s="112">
        <v>10.63</v>
      </c>
      <c r="I56" s="112">
        <v>3.91</v>
      </c>
      <c r="J56" s="112">
        <v>0.63</v>
      </c>
      <c r="K56" s="112">
        <v>285.43</v>
      </c>
      <c r="L56" s="112">
        <v>29.38</v>
      </c>
      <c r="M56" s="112">
        <v>78.56</v>
      </c>
      <c r="N56" s="112">
        <v>291.89999999999998</v>
      </c>
      <c r="O56" s="112">
        <v>0</v>
      </c>
      <c r="P56" s="112">
        <v>0.53</v>
      </c>
      <c r="Q56" s="112">
        <v>5.05</v>
      </c>
    </row>
    <row r="57" spans="1:17" customFormat="1">
      <c r="A57" s="189" t="s">
        <v>1247</v>
      </c>
      <c r="B57" s="112">
        <v>10.91</v>
      </c>
      <c r="C57" s="112">
        <v>15.63</v>
      </c>
      <c r="D57" s="112">
        <v>18.27</v>
      </c>
      <c r="E57" s="112">
        <v>6.61</v>
      </c>
      <c r="F57" s="112">
        <v>6.56</v>
      </c>
      <c r="G57" s="112">
        <v>25.87</v>
      </c>
      <c r="H57" s="112">
        <v>9.84</v>
      </c>
      <c r="I57" s="112">
        <v>3.87</v>
      </c>
      <c r="J57" s="112">
        <v>0.67</v>
      </c>
      <c r="K57" s="112">
        <v>304.77999999999997</v>
      </c>
      <c r="L57" s="112">
        <v>29.3</v>
      </c>
      <c r="M57" s="112">
        <v>78.19</v>
      </c>
      <c r="N57" s="112">
        <v>330.3</v>
      </c>
      <c r="O57" s="112">
        <v>0</v>
      </c>
      <c r="P57" s="112">
        <v>0.52</v>
      </c>
      <c r="Q57" s="112">
        <v>5.04</v>
      </c>
    </row>
    <row r="58" spans="1:17" customFormat="1">
      <c r="A58" s="189" t="s">
        <v>1248</v>
      </c>
      <c r="B58" s="112">
        <v>10.66</v>
      </c>
      <c r="C58" s="112">
        <v>16.09</v>
      </c>
      <c r="D58" s="112">
        <v>18.309999999999999</v>
      </c>
      <c r="E58" s="112">
        <v>6.29</v>
      </c>
      <c r="F58" s="112">
        <v>6.3</v>
      </c>
      <c r="G58" s="112">
        <v>25.87</v>
      </c>
      <c r="H58" s="112">
        <v>9.84</v>
      </c>
      <c r="I58" s="112">
        <v>3.82</v>
      </c>
      <c r="J58" s="112">
        <v>0.82</v>
      </c>
      <c r="K58" s="112">
        <v>304.70999999999998</v>
      </c>
      <c r="L58" s="112">
        <v>29.72</v>
      </c>
      <c r="M58" s="112">
        <v>76.56</v>
      </c>
      <c r="N58" s="112">
        <v>524.6</v>
      </c>
      <c r="O58" s="112">
        <v>0</v>
      </c>
      <c r="P58" s="112">
        <v>0.51</v>
      </c>
      <c r="Q58" s="112">
        <v>5.04</v>
      </c>
    </row>
    <row r="59" spans="1:17" customFormat="1">
      <c r="A59" s="189" t="s">
        <v>1249</v>
      </c>
      <c r="B59" s="112">
        <v>10.43</v>
      </c>
      <c r="C59" s="112">
        <v>15.84</v>
      </c>
      <c r="D59" s="112">
        <v>17.989999999999998</v>
      </c>
      <c r="E59" s="112">
        <v>6.5</v>
      </c>
      <c r="F59" s="112">
        <v>6.51</v>
      </c>
      <c r="G59" s="112">
        <v>25.87</v>
      </c>
      <c r="H59" s="112">
        <v>9.84</v>
      </c>
      <c r="I59" s="112">
        <v>3.84</v>
      </c>
      <c r="J59" s="112">
        <v>0.59</v>
      </c>
      <c r="K59" s="112">
        <v>296.66000000000003</v>
      </c>
      <c r="L59" s="112">
        <v>30.2</v>
      </c>
      <c r="M59" s="112">
        <v>75.290000000000006</v>
      </c>
      <c r="N59" s="112">
        <v>409</v>
      </c>
      <c r="O59" s="112">
        <v>0</v>
      </c>
      <c r="P59" s="112">
        <v>0.51</v>
      </c>
      <c r="Q59" s="112">
        <v>5.0199999999999996</v>
      </c>
    </row>
    <row r="60" spans="1:17" customFormat="1">
      <c r="A60" s="189" t="s">
        <v>1250</v>
      </c>
      <c r="B60" s="112">
        <v>10.15</v>
      </c>
      <c r="C60" s="112">
        <v>15.89</v>
      </c>
      <c r="D60" s="112">
        <v>17.79</v>
      </c>
      <c r="E60" s="112">
        <v>6.37</v>
      </c>
      <c r="F60" s="112">
        <v>6.8</v>
      </c>
      <c r="G60" s="112">
        <v>27.42</v>
      </c>
      <c r="H60" s="112">
        <v>11.85</v>
      </c>
      <c r="I60" s="112">
        <v>3.85</v>
      </c>
      <c r="J60" s="112">
        <v>0.69</v>
      </c>
      <c r="K60" s="112">
        <v>291.39</v>
      </c>
      <c r="L60" s="112">
        <v>29.79</v>
      </c>
      <c r="M60" s="112">
        <v>75.88</v>
      </c>
      <c r="N60" s="112">
        <v>316.3</v>
      </c>
      <c r="O60" s="112">
        <v>0</v>
      </c>
      <c r="P60" s="112">
        <v>0.51</v>
      </c>
      <c r="Q60" s="112">
        <v>5.0199999999999996</v>
      </c>
    </row>
    <row r="61" spans="1:17" customFormat="1">
      <c r="A61" s="189" t="s">
        <v>1251</v>
      </c>
      <c r="B61" s="112">
        <v>10.25</v>
      </c>
      <c r="C61" s="112">
        <v>17.2</v>
      </c>
      <c r="D61" s="112">
        <v>18.559999999999999</v>
      </c>
      <c r="E61" s="112">
        <v>6.63</v>
      </c>
      <c r="F61" s="112">
        <v>5.87</v>
      </c>
      <c r="G61" s="112">
        <v>28.55</v>
      </c>
      <c r="H61" s="112">
        <v>12.49</v>
      </c>
      <c r="I61" s="112">
        <v>3.8</v>
      </c>
      <c r="J61" s="112">
        <v>0.55000000000000004</v>
      </c>
      <c r="K61" s="112">
        <v>318.79000000000002</v>
      </c>
      <c r="L61" s="112">
        <v>30.12</v>
      </c>
      <c r="M61" s="112">
        <v>75.34</v>
      </c>
      <c r="N61" s="112">
        <v>485.6</v>
      </c>
      <c r="O61" s="112">
        <v>0</v>
      </c>
      <c r="P61" s="112">
        <v>0.55000000000000004</v>
      </c>
      <c r="Q61" s="112">
        <v>5</v>
      </c>
    </row>
    <row r="62" spans="1:17" customFormat="1">
      <c r="A62" s="189" t="s">
        <v>1252</v>
      </c>
      <c r="B62" s="112">
        <v>10.32</v>
      </c>
      <c r="C62" s="112">
        <v>17.57</v>
      </c>
      <c r="D62" s="112">
        <v>18.809999999999999</v>
      </c>
      <c r="E62" s="112">
        <v>6.58</v>
      </c>
      <c r="F62" s="112">
        <v>5.7</v>
      </c>
      <c r="G62" s="112">
        <v>28.55</v>
      </c>
      <c r="H62" s="112">
        <v>12.49</v>
      </c>
      <c r="I62" s="112">
        <v>3.79</v>
      </c>
      <c r="J62" s="112">
        <v>0.86</v>
      </c>
      <c r="K62" s="112">
        <v>297.81</v>
      </c>
      <c r="L62" s="112">
        <v>30.83</v>
      </c>
      <c r="M62" s="112">
        <v>72.400000000000006</v>
      </c>
      <c r="N62" s="112">
        <v>839.5</v>
      </c>
      <c r="O62" s="112">
        <v>0</v>
      </c>
      <c r="P62" s="112">
        <v>0.55000000000000004</v>
      </c>
      <c r="Q62" s="112">
        <v>4.99</v>
      </c>
    </row>
    <row r="63" spans="1:17" customFormat="1">
      <c r="A63" s="189" t="s">
        <v>1253</v>
      </c>
      <c r="B63" s="112">
        <v>10.02</v>
      </c>
      <c r="C63" s="112">
        <v>17.010000000000002</v>
      </c>
      <c r="D63" s="112">
        <v>18.28</v>
      </c>
      <c r="E63" s="112">
        <v>6.52</v>
      </c>
      <c r="F63" s="112">
        <v>5.85</v>
      </c>
      <c r="G63" s="112">
        <v>28.55</v>
      </c>
      <c r="H63" s="112">
        <v>12.49</v>
      </c>
      <c r="I63" s="112">
        <v>3.88</v>
      </c>
      <c r="J63" s="112">
        <v>0.82</v>
      </c>
      <c r="K63" s="112">
        <v>287.12</v>
      </c>
      <c r="L63" s="112">
        <v>30.87</v>
      </c>
      <c r="M63" s="112">
        <v>72.069999999999993</v>
      </c>
      <c r="N63" s="112">
        <v>792.1</v>
      </c>
      <c r="O63" s="112">
        <v>0</v>
      </c>
      <c r="P63" s="112">
        <v>0.55000000000000004</v>
      </c>
      <c r="Q63" s="112">
        <v>4.99</v>
      </c>
    </row>
    <row r="64" spans="1:17" customFormat="1">
      <c r="A64" s="189" t="s">
        <v>1254</v>
      </c>
      <c r="B64" s="112">
        <v>9.74</v>
      </c>
      <c r="C64" s="112">
        <v>16.88</v>
      </c>
      <c r="D64" s="112">
        <v>17.98</v>
      </c>
      <c r="E64" s="112">
        <v>6.61</v>
      </c>
      <c r="F64" s="112">
        <v>6.58</v>
      </c>
      <c r="G64" s="112">
        <v>27.94</v>
      </c>
      <c r="H64" s="112">
        <v>11.04</v>
      </c>
      <c r="I64" s="112">
        <v>3.88</v>
      </c>
      <c r="J64" s="112">
        <v>0.78</v>
      </c>
      <c r="K64" s="112">
        <v>291.95999999999998</v>
      </c>
      <c r="L64" s="112">
        <v>30.9</v>
      </c>
      <c r="M64" s="112">
        <v>69.84</v>
      </c>
      <c r="N64" s="112">
        <v>647.70000000000005</v>
      </c>
      <c r="O64" s="112">
        <v>0</v>
      </c>
      <c r="P64" s="112">
        <v>0.55000000000000004</v>
      </c>
      <c r="Q64" s="112">
        <v>4.95</v>
      </c>
    </row>
    <row r="65" spans="1:17" customFormat="1">
      <c r="A65" s="189" t="s">
        <v>1255</v>
      </c>
      <c r="B65" s="112">
        <v>9.49</v>
      </c>
      <c r="C65" s="112">
        <v>16.8</v>
      </c>
      <c r="D65" s="112">
        <v>17.73</v>
      </c>
      <c r="E65" s="112">
        <v>6.27</v>
      </c>
      <c r="F65" s="112">
        <v>6</v>
      </c>
      <c r="G65" s="112">
        <v>27.49</v>
      </c>
      <c r="H65" s="112">
        <v>10.58</v>
      </c>
      <c r="I65" s="112">
        <v>3.85</v>
      </c>
      <c r="J65" s="112">
        <v>0.76</v>
      </c>
      <c r="K65" s="112">
        <v>272.62</v>
      </c>
      <c r="L65" s="112">
        <v>30.29</v>
      </c>
      <c r="M65" s="112">
        <v>74.73</v>
      </c>
      <c r="N65" s="112">
        <v>323.10000000000002</v>
      </c>
      <c r="O65" s="112">
        <v>0</v>
      </c>
      <c r="P65" s="112">
        <v>0.51</v>
      </c>
      <c r="Q65" s="112">
        <v>4.9400000000000004</v>
      </c>
    </row>
    <row r="66" spans="1:17" customFormat="1">
      <c r="A66" s="189" t="s">
        <v>1256</v>
      </c>
      <c r="B66" s="112">
        <v>9.1</v>
      </c>
      <c r="C66" s="112">
        <v>16.59</v>
      </c>
      <c r="D66" s="112">
        <v>17.32</v>
      </c>
      <c r="E66" s="112">
        <v>6.05</v>
      </c>
      <c r="F66" s="112">
        <v>5.94</v>
      </c>
      <c r="G66" s="112">
        <v>27.49</v>
      </c>
      <c r="H66" s="112">
        <v>10.58</v>
      </c>
      <c r="I66" s="112">
        <v>3.81</v>
      </c>
      <c r="J66" s="112">
        <v>0.63</v>
      </c>
      <c r="K66" s="112">
        <v>292.44</v>
      </c>
      <c r="L66" s="112">
        <v>30.84</v>
      </c>
      <c r="M66" s="112">
        <v>73.84</v>
      </c>
      <c r="N66" s="112">
        <v>703.3</v>
      </c>
      <c r="O66" s="112">
        <v>0</v>
      </c>
      <c r="P66" s="112">
        <v>0.53</v>
      </c>
      <c r="Q66" s="112">
        <v>4.9000000000000004</v>
      </c>
    </row>
    <row r="67" spans="1:17" customFormat="1">
      <c r="A67" s="189" t="s">
        <v>1257</v>
      </c>
      <c r="B67" s="112">
        <v>8.92</v>
      </c>
      <c r="C67" s="112">
        <v>16.64</v>
      </c>
      <c r="D67" s="112">
        <v>17.2</v>
      </c>
      <c r="E67" s="112">
        <v>6.05</v>
      </c>
      <c r="F67" s="112">
        <v>5.67</v>
      </c>
      <c r="G67" s="112">
        <v>27.49</v>
      </c>
      <c r="H67" s="112">
        <v>10.58</v>
      </c>
      <c r="I67" s="112">
        <v>3.83</v>
      </c>
      <c r="J67" s="112">
        <v>0.68</v>
      </c>
      <c r="K67" s="112">
        <v>283.18</v>
      </c>
      <c r="L67" s="112">
        <v>30.48</v>
      </c>
      <c r="M67" s="112">
        <v>73.97</v>
      </c>
      <c r="N67" s="112">
        <v>228.7</v>
      </c>
      <c r="O67" s="112">
        <v>0</v>
      </c>
      <c r="P67" s="112">
        <v>0.54</v>
      </c>
      <c r="Q67" s="112">
        <v>4.8899999999999997</v>
      </c>
    </row>
    <row r="68" spans="1:17" customFormat="1">
      <c r="A68" s="189" t="s">
        <v>1258</v>
      </c>
      <c r="B68" s="112">
        <v>8.85</v>
      </c>
      <c r="C68" s="112">
        <v>16.329999999999998</v>
      </c>
      <c r="D68" s="112">
        <v>16.98</v>
      </c>
      <c r="E68" s="112">
        <v>5.82</v>
      </c>
      <c r="F68" s="112">
        <v>6.03</v>
      </c>
      <c r="G68" s="112">
        <v>26.69</v>
      </c>
      <c r="H68" s="112">
        <v>9.2799999999999994</v>
      </c>
      <c r="I68" s="112">
        <v>3.76</v>
      </c>
      <c r="J68" s="112">
        <v>0.75</v>
      </c>
      <c r="K68" s="112">
        <v>275.38</v>
      </c>
      <c r="L68" s="112">
        <v>29.97</v>
      </c>
      <c r="M68" s="112">
        <v>75.36</v>
      </c>
      <c r="N68" s="112">
        <v>354.6</v>
      </c>
      <c r="O68" s="112">
        <v>0</v>
      </c>
      <c r="P68" s="112">
        <v>0.53</v>
      </c>
      <c r="Q68" s="112">
        <v>4.91</v>
      </c>
    </row>
    <row r="69" spans="1:17" customFormat="1">
      <c r="A69" s="189" t="s">
        <v>1259</v>
      </c>
      <c r="B69" s="112">
        <v>8.86</v>
      </c>
      <c r="C69" s="112">
        <v>16.29</v>
      </c>
      <c r="D69" s="112">
        <v>16.97</v>
      </c>
      <c r="E69" s="112">
        <v>5.85</v>
      </c>
      <c r="F69" s="112">
        <v>6.4</v>
      </c>
      <c r="G69" s="112">
        <v>26.1</v>
      </c>
      <c r="H69" s="112">
        <v>8.8699999999999992</v>
      </c>
      <c r="I69" s="112">
        <v>3.83</v>
      </c>
      <c r="J69" s="112">
        <v>0.61</v>
      </c>
      <c r="K69" s="112">
        <v>291.73</v>
      </c>
      <c r="L69" s="112">
        <v>30.36</v>
      </c>
      <c r="M69" s="112">
        <v>74.17</v>
      </c>
      <c r="N69" s="112">
        <v>383</v>
      </c>
      <c r="O69" s="112">
        <v>0</v>
      </c>
      <c r="P69" s="112">
        <v>0.53</v>
      </c>
      <c r="Q69" s="112">
        <v>4.87</v>
      </c>
    </row>
    <row r="70" spans="1:17" customFormat="1">
      <c r="A70" s="189" t="s">
        <v>1260</v>
      </c>
      <c r="B70" s="112">
        <v>8.75</v>
      </c>
      <c r="C70" s="112">
        <v>16.399999999999999</v>
      </c>
      <c r="D70" s="112">
        <v>16.93</v>
      </c>
      <c r="E70" s="112">
        <v>5.68</v>
      </c>
      <c r="F70" s="112">
        <v>6.02</v>
      </c>
      <c r="G70" s="112">
        <v>26.1</v>
      </c>
      <c r="H70" s="112">
        <v>8.8699999999999992</v>
      </c>
      <c r="I70" s="112">
        <v>3.77</v>
      </c>
      <c r="J70" s="112">
        <v>0.79</v>
      </c>
      <c r="K70" s="112">
        <v>267.08999999999997</v>
      </c>
      <c r="L70" s="112">
        <v>30.11</v>
      </c>
      <c r="M70" s="112">
        <v>76.239999999999995</v>
      </c>
      <c r="N70" s="112">
        <v>315</v>
      </c>
      <c r="O70" s="112">
        <v>0</v>
      </c>
      <c r="P70" s="112">
        <v>0.54</v>
      </c>
      <c r="Q70" s="112">
        <v>4.84</v>
      </c>
    </row>
    <row r="71" spans="1:17" customFormat="1">
      <c r="A71" s="189" t="s">
        <v>1261</v>
      </c>
      <c r="B71" s="112">
        <v>8.4499999999999993</v>
      </c>
      <c r="C71" s="112">
        <v>16.25</v>
      </c>
      <c r="D71" s="112">
        <v>16.62</v>
      </c>
      <c r="E71" s="112">
        <v>5.72</v>
      </c>
      <c r="F71" s="112">
        <v>5.85</v>
      </c>
      <c r="G71" s="112">
        <v>26.1</v>
      </c>
      <c r="H71" s="112">
        <v>8.8699999999999992</v>
      </c>
      <c r="I71" s="112">
        <v>3.79</v>
      </c>
      <c r="J71" s="112">
        <v>0.71</v>
      </c>
      <c r="K71" s="112">
        <v>270.77</v>
      </c>
      <c r="L71" s="112">
        <v>29.52</v>
      </c>
      <c r="M71" s="112">
        <v>77.959999999999994</v>
      </c>
      <c r="N71" s="112">
        <v>146.9</v>
      </c>
      <c r="O71" s="112">
        <v>0</v>
      </c>
      <c r="P71" s="112">
        <v>0.54</v>
      </c>
      <c r="Q71" s="112">
        <v>4.82</v>
      </c>
    </row>
    <row r="72" spans="1:17" customFormat="1">
      <c r="A72" s="189" t="s">
        <v>1262</v>
      </c>
      <c r="B72" s="112">
        <v>8.1300000000000008</v>
      </c>
      <c r="C72" s="112">
        <v>16.329999999999998</v>
      </c>
      <c r="D72" s="112">
        <v>16.399999999999999</v>
      </c>
      <c r="E72" s="112">
        <v>5.8</v>
      </c>
      <c r="F72" s="112">
        <v>6.42</v>
      </c>
      <c r="G72" s="112">
        <v>27.21</v>
      </c>
      <c r="H72" s="112">
        <v>9.3800000000000008</v>
      </c>
      <c r="I72" s="112">
        <v>3.87</v>
      </c>
      <c r="J72" s="112">
        <v>0.59</v>
      </c>
      <c r="K72" s="112">
        <v>270.25</v>
      </c>
      <c r="L72" s="112">
        <v>29.41</v>
      </c>
      <c r="M72" s="112">
        <v>78.48</v>
      </c>
      <c r="N72" s="112">
        <v>139.4</v>
      </c>
      <c r="O72" s="112">
        <v>0</v>
      </c>
      <c r="P72" s="112">
        <v>0.54</v>
      </c>
      <c r="Q72" s="112">
        <v>4.8099999999999996</v>
      </c>
    </row>
    <row r="73" spans="1:17" customFormat="1">
      <c r="A73" s="189" t="s">
        <v>1263</v>
      </c>
      <c r="B73" s="112">
        <v>8.1300000000000008</v>
      </c>
      <c r="C73" s="112">
        <v>16.579999999999998</v>
      </c>
      <c r="D73" s="112">
        <v>16.53</v>
      </c>
      <c r="E73" s="112">
        <v>5.68</v>
      </c>
      <c r="F73" s="112">
        <v>5.86</v>
      </c>
      <c r="G73" s="112">
        <v>28.03</v>
      </c>
      <c r="H73" s="112">
        <v>9.5299999999999994</v>
      </c>
      <c r="I73" s="112">
        <v>3.89</v>
      </c>
      <c r="J73" s="112">
        <v>0.67</v>
      </c>
      <c r="K73" s="112">
        <v>270.26</v>
      </c>
      <c r="L73" s="112">
        <v>29.24</v>
      </c>
      <c r="M73" s="112">
        <v>77.930000000000007</v>
      </c>
      <c r="N73" s="112">
        <v>123.5</v>
      </c>
      <c r="O73" s="112">
        <v>0</v>
      </c>
      <c r="P73" s="112">
        <v>0.55000000000000004</v>
      </c>
      <c r="Q73" s="112">
        <v>4.82</v>
      </c>
    </row>
    <row r="74" spans="1:17" customFormat="1">
      <c r="A74" s="189" t="s">
        <v>1264</v>
      </c>
      <c r="B74" s="112">
        <v>8.3800000000000008</v>
      </c>
      <c r="C74" s="112">
        <v>16.75</v>
      </c>
      <c r="D74" s="112">
        <v>16.829999999999998</v>
      </c>
      <c r="E74" s="112">
        <v>5.58</v>
      </c>
      <c r="F74" s="112">
        <v>5.52</v>
      </c>
      <c r="G74" s="112">
        <v>28.03</v>
      </c>
      <c r="H74" s="112">
        <v>9.5299999999999994</v>
      </c>
      <c r="I74" s="112">
        <v>3.93</v>
      </c>
      <c r="J74" s="112">
        <v>0.57999999999999996</v>
      </c>
      <c r="K74" s="112">
        <v>283.02999999999997</v>
      </c>
      <c r="L74" s="112">
        <v>29.25</v>
      </c>
      <c r="M74" s="112">
        <v>77.83</v>
      </c>
      <c r="N74" s="112">
        <v>105</v>
      </c>
      <c r="O74" s="112">
        <v>0</v>
      </c>
      <c r="P74" s="112">
        <v>0.55000000000000004</v>
      </c>
      <c r="Q74" s="112">
        <v>4.8099999999999996</v>
      </c>
    </row>
    <row r="75" spans="1:17" customFormat="1">
      <c r="A75" s="189" t="s">
        <v>1265</v>
      </c>
      <c r="B75" s="112">
        <v>8.73</v>
      </c>
      <c r="C75" s="112">
        <v>17.02</v>
      </c>
      <c r="D75" s="112">
        <v>17.239999999999998</v>
      </c>
      <c r="E75" s="112">
        <v>5.84</v>
      </c>
      <c r="F75" s="112">
        <v>5.49</v>
      </c>
      <c r="G75" s="112">
        <v>28.03</v>
      </c>
      <c r="H75" s="112">
        <v>9.5299999999999994</v>
      </c>
      <c r="I75" s="112">
        <v>3.96</v>
      </c>
      <c r="J75" s="112">
        <v>0.44</v>
      </c>
      <c r="K75" s="112">
        <v>284.02999999999997</v>
      </c>
      <c r="L75" s="112">
        <v>29.14</v>
      </c>
      <c r="M75" s="112">
        <v>77.739999999999995</v>
      </c>
      <c r="N75" s="112">
        <v>73.2</v>
      </c>
      <c r="O75" s="112">
        <v>0</v>
      </c>
      <c r="P75" s="112">
        <v>0.54</v>
      </c>
      <c r="Q75" s="112">
        <v>4.8099999999999996</v>
      </c>
    </row>
    <row r="76" spans="1:17" customFormat="1">
      <c r="A76" s="189" t="s">
        <v>1266</v>
      </c>
      <c r="B76" s="112">
        <v>8.92</v>
      </c>
      <c r="C76" s="112">
        <v>17.32</v>
      </c>
      <c r="D76" s="112">
        <v>17.55</v>
      </c>
      <c r="E76" s="112">
        <v>6.02</v>
      </c>
      <c r="F76" s="112">
        <v>5.53</v>
      </c>
      <c r="G76" s="112">
        <v>30.74</v>
      </c>
      <c r="H76" s="112">
        <v>12.08</v>
      </c>
      <c r="I76" s="112">
        <v>4</v>
      </c>
      <c r="J76" s="112">
        <v>0.6</v>
      </c>
      <c r="K76" s="112">
        <v>273.8</v>
      </c>
      <c r="L76" s="112">
        <v>29.08</v>
      </c>
      <c r="M76" s="112">
        <v>76.94</v>
      </c>
      <c r="N76" s="112">
        <v>66.5</v>
      </c>
      <c r="O76" s="112">
        <v>0</v>
      </c>
      <c r="P76" s="112">
        <v>0.55000000000000004</v>
      </c>
      <c r="Q76" s="112">
        <v>4.84</v>
      </c>
    </row>
    <row r="77" spans="1:17" customFormat="1">
      <c r="A77" s="189" t="s">
        <v>1267</v>
      </c>
      <c r="B77" s="112">
        <v>9</v>
      </c>
      <c r="C77" s="112">
        <v>17.239999999999998</v>
      </c>
      <c r="D77" s="112">
        <v>17.579999999999998</v>
      </c>
      <c r="E77" s="112">
        <v>5.71</v>
      </c>
      <c r="F77" s="112">
        <v>5.58</v>
      </c>
      <c r="G77" s="112">
        <v>32.72</v>
      </c>
      <c r="H77" s="112">
        <v>12.88</v>
      </c>
      <c r="I77" s="112">
        <v>3.98</v>
      </c>
      <c r="J77" s="112">
        <v>0.51</v>
      </c>
      <c r="K77" s="112">
        <v>276.07</v>
      </c>
      <c r="L77" s="112">
        <v>28.8</v>
      </c>
      <c r="M77" s="112">
        <v>77.17</v>
      </c>
      <c r="N77" s="112">
        <v>42.9</v>
      </c>
      <c r="O77" s="112">
        <v>0</v>
      </c>
      <c r="P77" s="112">
        <v>0.54</v>
      </c>
      <c r="Q77" s="112">
        <v>4.88</v>
      </c>
    </row>
    <row r="78" spans="1:17" customFormat="1">
      <c r="A78" s="189" t="s">
        <v>1268</v>
      </c>
      <c r="B78" s="112">
        <v>10.82</v>
      </c>
      <c r="C78" s="112">
        <v>18.54</v>
      </c>
      <c r="D78" s="112">
        <v>19.72</v>
      </c>
      <c r="E78" s="112">
        <v>6.12</v>
      </c>
      <c r="F78" s="112">
        <v>5.6</v>
      </c>
      <c r="G78" s="112">
        <v>32.72</v>
      </c>
      <c r="H78" s="112">
        <v>12.88</v>
      </c>
      <c r="I78" s="112">
        <v>3.98</v>
      </c>
      <c r="J78" s="112">
        <v>0.43</v>
      </c>
      <c r="K78" s="112">
        <v>262.17</v>
      </c>
      <c r="L78" s="112">
        <v>28.75</v>
      </c>
      <c r="M78" s="112">
        <v>78.430000000000007</v>
      </c>
      <c r="N78" s="112">
        <v>26.7</v>
      </c>
      <c r="O78" s="112">
        <v>0</v>
      </c>
      <c r="P78" s="112">
        <v>0.54</v>
      </c>
      <c r="Q78" s="112">
        <v>4.8899999999999997</v>
      </c>
    </row>
    <row r="79" spans="1:17" customFormat="1">
      <c r="A79" s="189" t="s">
        <v>1269</v>
      </c>
      <c r="B79" s="112">
        <v>9.2200000000000006</v>
      </c>
      <c r="C79" s="112">
        <v>17.079999999999998</v>
      </c>
      <c r="D79" s="112">
        <v>17.670000000000002</v>
      </c>
      <c r="E79" s="112">
        <v>5.93</v>
      </c>
      <c r="F79" s="112">
        <v>6.48</v>
      </c>
      <c r="G79" s="112">
        <v>32.72</v>
      </c>
      <c r="H79" s="112">
        <v>12.88</v>
      </c>
      <c r="I79" s="112">
        <v>3.99</v>
      </c>
      <c r="J79" s="112">
        <v>0.63</v>
      </c>
      <c r="K79" s="112">
        <v>262.04000000000002</v>
      </c>
      <c r="L79" s="112">
        <v>28.56</v>
      </c>
      <c r="M79" s="112">
        <v>77.64</v>
      </c>
      <c r="N79" s="112">
        <v>9</v>
      </c>
      <c r="O79" s="112">
        <v>0</v>
      </c>
      <c r="P79" s="112">
        <v>0.53</v>
      </c>
      <c r="Q79" s="112">
        <v>4.9000000000000004</v>
      </c>
    </row>
    <row r="80" spans="1:17" customFormat="1">
      <c r="A80" s="189" t="s">
        <v>1270</v>
      </c>
      <c r="B80" s="112">
        <v>8.41</v>
      </c>
      <c r="C80" s="112">
        <v>15.43</v>
      </c>
      <c r="D80" s="112">
        <v>16.16</v>
      </c>
      <c r="E80" s="112">
        <v>7.26</v>
      </c>
      <c r="F80" s="112">
        <v>10.23</v>
      </c>
      <c r="G80" s="112">
        <v>31.88</v>
      </c>
      <c r="H80" s="112">
        <v>10.49</v>
      </c>
      <c r="I80" s="112">
        <v>3.93</v>
      </c>
      <c r="J80" s="112">
        <v>0.35</v>
      </c>
      <c r="K80" s="112">
        <v>273.14999999999998</v>
      </c>
      <c r="L80" s="112">
        <v>28.3</v>
      </c>
      <c r="M80" s="112">
        <v>79.89</v>
      </c>
      <c r="N80" s="112">
        <v>0.4</v>
      </c>
      <c r="O80" s="112">
        <v>0</v>
      </c>
      <c r="P80" s="112">
        <v>0.53</v>
      </c>
      <c r="Q80" s="112">
        <v>4.92</v>
      </c>
    </row>
    <row r="81" spans="1:17" customFormat="1">
      <c r="A81" s="189" t="s">
        <v>1271</v>
      </c>
      <c r="B81" s="112">
        <v>8.65</v>
      </c>
      <c r="C81" s="112">
        <v>16.809999999999999</v>
      </c>
      <c r="D81" s="112">
        <v>17.07</v>
      </c>
      <c r="E81" s="112">
        <v>7.17</v>
      </c>
      <c r="F81" s="112">
        <v>6.28</v>
      </c>
      <c r="G81" s="112">
        <v>31.26</v>
      </c>
      <c r="H81" s="112">
        <v>9.08</v>
      </c>
      <c r="I81" s="112">
        <v>3.9</v>
      </c>
      <c r="J81" s="112">
        <v>0.27</v>
      </c>
      <c r="K81" s="112">
        <v>260.07</v>
      </c>
      <c r="L81" s="112">
        <v>27.93</v>
      </c>
      <c r="M81" s="112">
        <v>82.93</v>
      </c>
      <c r="N81" s="112">
        <v>0</v>
      </c>
      <c r="O81" s="112">
        <v>0</v>
      </c>
      <c r="P81" s="112">
        <v>0.56000000000000005</v>
      </c>
      <c r="Q81" s="112">
        <v>4.9000000000000004</v>
      </c>
    </row>
    <row r="82" spans="1:17" customFormat="1">
      <c r="A82" s="189" t="s">
        <v>1272</v>
      </c>
      <c r="B82" s="112">
        <v>8.7100000000000009</v>
      </c>
      <c r="C82" s="112">
        <v>17.239999999999998</v>
      </c>
      <c r="D82" s="112">
        <v>17.34</v>
      </c>
      <c r="E82" s="112">
        <v>8.6300000000000008</v>
      </c>
      <c r="F82" s="112">
        <v>6.4</v>
      </c>
      <c r="G82" s="112">
        <v>31.26</v>
      </c>
      <c r="H82" s="112">
        <v>9.08</v>
      </c>
      <c r="I82" s="112">
        <v>3.79</v>
      </c>
      <c r="J82" s="112">
        <v>0.31</v>
      </c>
      <c r="K82" s="112">
        <v>260.91000000000003</v>
      </c>
      <c r="L82" s="112">
        <v>27.86</v>
      </c>
      <c r="M82" s="112">
        <v>82.42</v>
      </c>
      <c r="N82" s="112">
        <v>0</v>
      </c>
      <c r="O82" s="112">
        <v>0</v>
      </c>
      <c r="P82" s="112">
        <v>0.57999999999999996</v>
      </c>
      <c r="Q82" s="112">
        <v>4.88</v>
      </c>
    </row>
    <row r="83" spans="1:17" customFormat="1">
      <c r="A83" s="189" t="s">
        <v>1273</v>
      </c>
      <c r="B83" s="112">
        <v>8.5500000000000007</v>
      </c>
      <c r="C83" s="112">
        <v>16.53</v>
      </c>
      <c r="D83" s="112">
        <v>16.84</v>
      </c>
      <c r="E83" s="112">
        <v>8.66</v>
      </c>
      <c r="F83" s="112">
        <v>7.12</v>
      </c>
      <c r="G83" s="112">
        <v>31.26</v>
      </c>
      <c r="H83" s="112">
        <v>9.08</v>
      </c>
      <c r="I83" s="112">
        <v>4.07</v>
      </c>
      <c r="J83" s="112">
        <v>0.22</v>
      </c>
      <c r="K83" s="112">
        <v>239.66</v>
      </c>
      <c r="L83" s="112">
        <v>27.72</v>
      </c>
      <c r="M83" s="112">
        <v>82.79</v>
      </c>
      <c r="N83" s="112">
        <v>0</v>
      </c>
      <c r="O83" s="112">
        <v>0</v>
      </c>
      <c r="P83" s="112">
        <v>0.59</v>
      </c>
      <c r="Q83" s="112">
        <v>4.91</v>
      </c>
    </row>
    <row r="84" spans="1:17" customFormat="1">
      <c r="A84" s="189" t="s">
        <v>1274</v>
      </c>
      <c r="B84" s="112">
        <v>8.36</v>
      </c>
      <c r="C84" s="112">
        <v>15.05</v>
      </c>
      <c r="D84" s="112">
        <v>15.92</v>
      </c>
      <c r="E84" s="112">
        <v>8.02</v>
      </c>
      <c r="F84" s="112">
        <v>8.36</v>
      </c>
      <c r="G84" s="112">
        <v>29.94</v>
      </c>
      <c r="H84" s="112">
        <v>10.43</v>
      </c>
      <c r="I84" s="112">
        <v>4.18</v>
      </c>
      <c r="J84" s="112">
        <v>0.31</v>
      </c>
      <c r="K84" s="112">
        <v>258.70999999999998</v>
      </c>
      <c r="L84" s="112">
        <v>27.55</v>
      </c>
      <c r="M84" s="112">
        <v>86.62</v>
      </c>
      <c r="N84" s="112">
        <v>0</v>
      </c>
      <c r="O84" s="112">
        <v>0</v>
      </c>
      <c r="P84" s="112">
        <v>0.61</v>
      </c>
      <c r="Q84" s="112">
        <v>4.93</v>
      </c>
    </row>
    <row r="85" spans="1:17" customFormat="1">
      <c r="A85" s="189" t="s">
        <v>1275</v>
      </c>
      <c r="B85" s="112">
        <v>8.27</v>
      </c>
      <c r="C85" s="112">
        <v>13.74</v>
      </c>
      <c r="D85" s="112">
        <v>15.17</v>
      </c>
      <c r="E85" s="112">
        <v>7.92</v>
      </c>
      <c r="F85" s="112">
        <v>9.17</v>
      </c>
      <c r="G85" s="112">
        <v>28.97</v>
      </c>
      <c r="H85" s="112">
        <v>10.85</v>
      </c>
      <c r="I85" s="112">
        <v>4.0599999999999996</v>
      </c>
      <c r="J85" s="112">
        <v>0.12</v>
      </c>
      <c r="K85" s="112">
        <v>236.4</v>
      </c>
      <c r="L85" s="112">
        <v>27.29</v>
      </c>
      <c r="M85" s="112">
        <v>88.46</v>
      </c>
      <c r="N85" s="112">
        <v>0</v>
      </c>
      <c r="O85" s="112">
        <v>0</v>
      </c>
      <c r="P85" s="112">
        <v>0.56000000000000005</v>
      </c>
      <c r="Q85" s="112">
        <v>4.9000000000000004</v>
      </c>
    </row>
    <row r="86" spans="1:17" customFormat="1">
      <c r="A86" s="189" t="s">
        <v>1276</v>
      </c>
      <c r="B86" s="112">
        <v>8.77</v>
      </c>
      <c r="C86" s="112">
        <v>16.170000000000002</v>
      </c>
      <c r="D86" s="112">
        <v>16.84</v>
      </c>
      <c r="E86" s="112">
        <v>7.8</v>
      </c>
      <c r="F86" s="112">
        <v>5.8</v>
      </c>
      <c r="G86" s="112">
        <v>28.97</v>
      </c>
      <c r="H86" s="112">
        <v>10.85</v>
      </c>
      <c r="I86" s="112">
        <v>4.3</v>
      </c>
      <c r="J86" s="112">
        <v>0.34</v>
      </c>
      <c r="K86" s="112">
        <v>261.67</v>
      </c>
      <c r="L86" s="112">
        <v>27.18</v>
      </c>
      <c r="M86" s="112">
        <v>88.73</v>
      </c>
      <c r="N86" s="112">
        <v>0</v>
      </c>
      <c r="O86" s="112">
        <v>0</v>
      </c>
      <c r="P86" s="112">
        <v>0.56999999999999995</v>
      </c>
      <c r="Q86" s="112">
        <v>4.87</v>
      </c>
    </row>
    <row r="87" spans="1:17" customFormat="1">
      <c r="A87" s="189" t="s">
        <v>1277</v>
      </c>
      <c r="B87" s="112">
        <v>8.75</v>
      </c>
      <c r="C87" s="112">
        <v>16.23</v>
      </c>
      <c r="D87" s="112">
        <v>16.850000000000001</v>
      </c>
      <c r="E87" s="112">
        <v>7.98</v>
      </c>
      <c r="F87" s="112">
        <v>6.63</v>
      </c>
      <c r="G87" s="112">
        <v>28.97</v>
      </c>
      <c r="H87" s="112">
        <v>10.85</v>
      </c>
      <c r="I87" s="112">
        <v>4.04</v>
      </c>
      <c r="J87" s="112">
        <v>0.36</v>
      </c>
      <c r="K87" s="112">
        <v>260.33999999999997</v>
      </c>
      <c r="L87" s="112">
        <v>27.15</v>
      </c>
      <c r="M87" s="112">
        <v>89.2</v>
      </c>
      <c r="N87" s="112">
        <v>0</v>
      </c>
      <c r="O87" s="112">
        <v>0</v>
      </c>
      <c r="P87" s="112">
        <v>0.57999999999999996</v>
      </c>
      <c r="Q87" s="112">
        <v>4.91</v>
      </c>
    </row>
    <row r="88" spans="1:17" customFormat="1">
      <c r="A88" s="189" t="s">
        <v>1278</v>
      </c>
      <c r="B88" s="112">
        <v>8.5399999999999991</v>
      </c>
      <c r="C88" s="112">
        <v>14.31</v>
      </c>
      <c r="D88" s="112">
        <v>15.68</v>
      </c>
      <c r="E88" s="112">
        <v>8</v>
      </c>
      <c r="F88" s="112">
        <v>9.34</v>
      </c>
      <c r="G88" s="112">
        <v>28.38</v>
      </c>
      <c r="H88" s="112">
        <v>11.75</v>
      </c>
      <c r="I88" s="112">
        <v>4.28</v>
      </c>
      <c r="J88" s="112">
        <v>0.27</v>
      </c>
      <c r="K88" s="112">
        <v>254.73</v>
      </c>
      <c r="L88" s="112">
        <v>27.16</v>
      </c>
      <c r="M88" s="112">
        <v>89.51</v>
      </c>
      <c r="N88" s="112">
        <v>0</v>
      </c>
      <c r="O88" s="112">
        <v>0</v>
      </c>
      <c r="P88" s="112">
        <v>0.56000000000000005</v>
      </c>
      <c r="Q88" s="112">
        <v>4.93</v>
      </c>
    </row>
    <row r="89" spans="1:17" customFormat="1">
      <c r="A89" s="189" t="s">
        <v>1279</v>
      </c>
      <c r="B89" s="112">
        <v>8.09</v>
      </c>
      <c r="C89" s="112">
        <v>12.97</v>
      </c>
      <c r="D89" s="112">
        <v>14.61</v>
      </c>
      <c r="E89" s="112">
        <v>7.85</v>
      </c>
      <c r="F89" s="112">
        <v>9.39</v>
      </c>
      <c r="G89" s="112">
        <v>27.95</v>
      </c>
      <c r="H89" s="112">
        <v>12.03</v>
      </c>
      <c r="I89" s="112">
        <v>4.1399999999999997</v>
      </c>
      <c r="J89" s="112">
        <v>0.13</v>
      </c>
      <c r="K89" s="112">
        <v>191.8</v>
      </c>
      <c r="L89" s="112">
        <v>27.05</v>
      </c>
      <c r="M89" s="112">
        <v>90.99</v>
      </c>
      <c r="N89" s="112">
        <v>0</v>
      </c>
      <c r="O89" s="112">
        <v>0</v>
      </c>
      <c r="P89" s="112">
        <v>0.55000000000000004</v>
      </c>
      <c r="Q89" s="112">
        <v>4.91</v>
      </c>
    </row>
    <row r="90" spans="1:17" customFormat="1">
      <c r="A90" s="189" t="s">
        <v>1280</v>
      </c>
      <c r="B90" s="112">
        <v>8.7100000000000009</v>
      </c>
      <c r="C90" s="112">
        <v>15.61</v>
      </c>
      <c r="D90" s="112">
        <v>16.489999999999998</v>
      </c>
      <c r="E90" s="112">
        <v>7.29</v>
      </c>
      <c r="F90" s="112">
        <v>5.77</v>
      </c>
      <c r="G90" s="112">
        <v>27.95</v>
      </c>
      <c r="H90" s="112">
        <v>12.03</v>
      </c>
      <c r="I90" s="112">
        <v>3.91</v>
      </c>
      <c r="J90" s="112">
        <v>0.15</v>
      </c>
      <c r="K90" s="112">
        <v>156.16999999999999</v>
      </c>
      <c r="L90" s="112">
        <v>26.95</v>
      </c>
      <c r="M90" s="112">
        <v>91.8</v>
      </c>
      <c r="N90" s="112">
        <v>0</v>
      </c>
      <c r="O90" s="112">
        <v>0</v>
      </c>
      <c r="P90" s="112">
        <v>0.56999999999999995</v>
      </c>
      <c r="Q90" s="112">
        <v>4.9000000000000004</v>
      </c>
    </row>
    <row r="91" spans="1:17" customFormat="1">
      <c r="A91" s="189" t="s">
        <v>1281</v>
      </c>
      <c r="B91" s="112">
        <v>9</v>
      </c>
      <c r="C91" s="112">
        <v>16.77</v>
      </c>
      <c r="D91" s="112">
        <v>17.329999999999998</v>
      </c>
      <c r="E91" s="112">
        <v>8.4499999999999993</v>
      </c>
      <c r="F91" s="112">
        <v>5.19</v>
      </c>
      <c r="G91" s="112">
        <v>27.95</v>
      </c>
      <c r="H91" s="112">
        <v>12.03</v>
      </c>
      <c r="I91" s="112">
        <v>3.95</v>
      </c>
      <c r="J91" s="112">
        <v>0.12</v>
      </c>
      <c r="K91" s="112">
        <v>163.97</v>
      </c>
      <c r="L91" s="112">
        <v>26.83</v>
      </c>
      <c r="M91" s="112">
        <v>92.97</v>
      </c>
      <c r="N91" s="112">
        <v>0</v>
      </c>
      <c r="O91" s="112">
        <v>0</v>
      </c>
      <c r="P91" s="112">
        <v>0.59</v>
      </c>
      <c r="Q91" s="112">
        <v>4.91</v>
      </c>
    </row>
    <row r="92" spans="1:17" customFormat="1">
      <c r="A92" s="189" t="s">
        <v>1282</v>
      </c>
      <c r="B92" s="112">
        <v>8.89</v>
      </c>
      <c r="C92" s="112">
        <v>16.02</v>
      </c>
      <c r="D92" s="112">
        <v>16.850000000000001</v>
      </c>
      <c r="E92" s="112">
        <v>8.09</v>
      </c>
      <c r="F92" s="112">
        <v>6.13</v>
      </c>
      <c r="G92" s="112">
        <v>25.99</v>
      </c>
      <c r="H92" s="112">
        <v>10.49</v>
      </c>
      <c r="I92" s="112">
        <v>4.25</v>
      </c>
      <c r="J92" s="112">
        <v>0.15</v>
      </c>
      <c r="K92" s="112">
        <v>221.89</v>
      </c>
      <c r="L92" s="112">
        <v>26.77</v>
      </c>
      <c r="M92" s="112">
        <v>92.95</v>
      </c>
      <c r="N92" s="112">
        <v>0</v>
      </c>
      <c r="O92" s="112">
        <v>0</v>
      </c>
      <c r="P92" s="112">
        <v>0.57999999999999996</v>
      </c>
      <c r="Q92" s="112">
        <v>4.96</v>
      </c>
    </row>
    <row r="93" spans="1:17" customFormat="1">
      <c r="A93" s="189" t="s">
        <v>1283</v>
      </c>
      <c r="B93" s="112">
        <v>8.92</v>
      </c>
      <c r="C93" s="112">
        <v>14.46</v>
      </c>
      <c r="D93" s="112">
        <v>16.059999999999999</v>
      </c>
      <c r="E93" s="112">
        <v>7.86</v>
      </c>
      <c r="F93" s="112">
        <v>7.24</v>
      </c>
      <c r="G93" s="112">
        <v>24.57</v>
      </c>
      <c r="H93" s="112">
        <v>10.01</v>
      </c>
      <c r="I93" s="112">
        <v>4.25</v>
      </c>
      <c r="J93" s="112">
        <v>0.32</v>
      </c>
      <c r="K93" s="112">
        <v>257.7</v>
      </c>
      <c r="L93" s="112">
        <v>26.87</v>
      </c>
      <c r="M93" s="112">
        <v>91.49</v>
      </c>
      <c r="N93" s="112">
        <v>0</v>
      </c>
      <c r="O93" s="112">
        <v>0</v>
      </c>
      <c r="P93" s="112">
        <v>0.56000000000000005</v>
      </c>
      <c r="Q93" s="112">
        <v>4.99</v>
      </c>
    </row>
    <row r="94" spans="1:17" customFormat="1">
      <c r="A94" s="189" t="s">
        <v>1284</v>
      </c>
      <c r="B94" s="112">
        <v>8.77</v>
      </c>
      <c r="C94" s="112">
        <v>13.5</v>
      </c>
      <c r="D94" s="112">
        <v>15.44</v>
      </c>
      <c r="E94" s="112">
        <v>7.92</v>
      </c>
      <c r="F94" s="112">
        <v>7.93</v>
      </c>
      <c r="G94" s="112">
        <v>24.57</v>
      </c>
      <c r="H94" s="112">
        <v>10.01</v>
      </c>
      <c r="I94" s="112">
        <v>4.05</v>
      </c>
      <c r="J94" s="112">
        <v>0.4</v>
      </c>
      <c r="K94" s="112">
        <v>263.85000000000002</v>
      </c>
      <c r="L94" s="112">
        <v>26.82</v>
      </c>
      <c r="M94" s="112">
        <v>90.74</v>
      </c>
      <c r="N94" s="112">
        <v>0</v>
      </c>
      <c r="O94" s="112">
        <v>0</v>
      </c>
      <c r="P94" s="112">
        <v>0.53</v>
      </c>
      <c r="Q94" s="112">
        <v>4.96</v>
      </c>
    </row>
    <row r="95" spans="1:17" customFormat="1">
      <c r="A95" s="189" t="s">
        <v>1285</v>
      </c>
      <c r="B95" s="112">
        <v>8.7100000000000009</v>
      </c>
      <c r="C95" s="112">
        <v>13.69</v>
      </c>
      <c r="D95" s="112">
        <v>15.49</v>
      </c>
      <c r="E95" s="112">
        <v>7.96</v>
      </c>
      <c r="F95" s="112">
        <v>7.36</v>
      </c>
      <c r="G95" s="112">
        <v>24.57</v>
      </c>
      <c r="H95" s="112">
        <v>10.01</v>
      </c>
      <c r="I95" s="112">
        <v>3.97</v>
      </c>
      <c r="J95" s="112">
        <v>0.44</v>
      </c>
      <c r="K95" s="112">
        <v>262.25</v>
      </c>
      <c r="L95" s="112">
        <v>26.81</v>
      </c>
      <c r="M95" s="112">
        <v>89.64</v>
      </c>
      <c r="N95" s="112">
        <v>0</v>
      </c>
      <c r="O95" s="112">
        <v>0</v>
      </c>
      <c r="P95" s="112">
        <v>0.54</v>
      </c>
      <c r="Q95" s="112">
        <v>4.95</v>
      </c>
    </row>
    <row r="96" spans="1:17" customFormat="1">
      <c r="A96" s="189" t="s">
        <v>1286</v>
      </c>
      <c r="B96" s="112">
        <v>9.06</v>
      </c>
      <c r="C96" s="112">
        <v>15.96</v>
      </c>
      <c r="D96" s="112">
        <v>16.95</v>
      </c>
      <c r="E96" s="112">
        <v>7.67</v>
      </c>
      <c r="F96" s="112">
        <v>5.17</v>
      </c>
      <c r="G96" s="112">
        <v>25.33</v>
      </c>
      <c r="H96" s="112">
        <v>10.06</v>
      </c>
      <c r="I96" s="112">
        <v>3.81</v>
      </c>
      <c r="J96" s="112">
        <v>0.39</v>
      </c>
      <c r="K96" s="112">
        <v>268.61</v>
      </c>
      <c r="L96" s="112">
        <v>26.77</v>
      </c>
      <c r="M96" s="112">
        <v>89.09</v>
      </c>
      <c r="N96" s="112">
        <v>0</v>
      </c>
      <c r="O96" s="112">
        <v>0</v>
      </c>
      <c r="P96" s="112">
        <v>0.56999999999999995</v>
      </c>
      <c r="Q96" s="112">
        <v>4.93</v>
      </c>
    </row>
    <row r="97" spans="1:22" customFormat="1">
      <c r="A97" s="189" t="s">
        <v>1287</v>
      </c>
      <c r="B97" s="112">
        <v>9.1999999999999993</v>
      </c>
      <c r="C97" s="112">
        <v>16.27</v>
      </c>
      <c r="D97" s="112">
        <v>17.23</v>
      </c>
      <c r="E97" s="112">
        <v>8.4600000000000009</v>
      </c>
      <c r="F97" s="112">
        <v>5.21</v>
      </c>
      <c r="G97" s="112">
        <v>25.88</v>
      </c>
      <c r="H97" s="112">
        <v>10.08</v>
      </c>
      <c r="I97" s="112">
        <v>4.1100000000000003</v>
      </c>
      <c r="J97" s="112">
        <v>0.47</v>
      </c>
      <c r="K97" s="112">
        <v>262.23</v>
      </c>
      <c r="L97" s="112">
        <v>26.95</v>
      </c>
      <c r="M97" s="112">
        <v>86.51</v>
      </c>
      <c r="N97" s="112">
        <v>0</v>
      </c>
      <c r="O97" s="112">
        <v>0</v>
      </c>
      <c r="P97" s="112">
        <v>0.59</v>
      </c>
      <c r="Q97" s="112">
        <v>4.93</v>
      </c>
    </row>
    <row r="98" spans="1:22" customFormat="1">
      <c r="A98" s="189" t="s">
        <v>1288</v>
      </c>
      <c r="B98" s="112">
        <v>9.0299999999999994</v>
      </c>
      <c r="C98" s="112">
        <v>15.21</v>
      </c>
      <c r="D98" s="112">
        <v>16.54</v>
      </c>
      <c r="E98" s="112">
        <v>9.1300000000000008</v>
      </c>
      <c r="F98" s="112">
        <v>6.11</v>
      </c>
      <c r="G98" s="112">
        <v>25.88</v>
      </c>
      <c r="H98" s="112">
        <v>10.08</v>
      </c>
      <c r="I98" s="112">
        <v>4.33</v>
      </c>
      <c r="J98" s="112">
        <v>0.43</v>
      </c>
      <c r="K98" s="112">
        <v>264.74</v>
      </c>
      <c r="L98" s="112">
        <v>26.96</v>
      </c>
      <c r="M98" s="112">
        <v>86.14</v>
      </c>
      <c r="N98" s="112">
        <v>0</v>
      </c>
      <c r="O98" s="112">
        <v>0</v>
      </c>
      <c r="P98" s="112">
        <v>0.62</v>
      </c>
      <c r="Q98" s="112">
        <v>4.9400000000000004</v>
      </c>
    </row>
    <row r="99" spans="1:22" customFormat="1">
      <c r="A99" s="189" t="s">
        <v>1289</v>
      </c>
      <c r="B99" s="112">
        <v>8.99</v>
      </c>
      <c r="C99" s="112">
        <v>14.31</v>
      </c>
      <c r="D99" s="112">
        <v>16.03</v>
      </c>
      <c r="E99" s="112">
        <v>8.41</v>
      </c>
      <c r="F99" s="112">
        <v>6.66</v>
      </c>
      <c r="G99" s="112">
        <v>25.88</v>
      </c>
      <c r="H99" s="112">
        <v>10.08</v>
      </c>
      <c r="I99" s="112">
        <v>4.37</v>
      </c>
      <c r="J99" s="112">
        <v>0.39</v>
      </c>
      <c r="K99" s="112">
        <v>262.55</v>
      </c>
      <c r="L99" s="112">
        <v>26.89</v>
      </c>
      <c r="M99" s="112">
        <v>86.32</v>
      </c>
      <c r="N99" s="112">
        <v>0</v>
      </c>
      <c r="O99" s="112">
        <v>0</v>
      </c>
      <c r="P99" s="112">
        <v>0.59</v>
      </c>
      <c r="Q99" s="112">
        <v>4.93</v>
      </c>
    </row>
    <row r="100" spans="1:22" customFormat="1">
      <c r="A100" s="189" t="s">
        <v>1290</v>
      </c>
      <c r="B100" s="112">
        <v>8.85</v>
      </c>
      <c r="C100" s="112">
        <v>14.37</v>
      </c>
      <c r="D100" s="112">
        <v>15.96</v>
      </c>
      <c r="E100" s="112">
        <v>7.97</v>
      </c>
      <c r="F100" s="112">
        <v>6.85</v>
      </c>
      <c r="G100" s="112">
        <v>25.48</v>
      </c>
      <c r="H100" s="112">
        <v>8.9</v>
      </c>
      <c r="I100" s="112">
        <v>4.67</v>
      </c>
      <c r="J100" s="112">
        <v>0.39</v>
      </c>
      <c r="K100" s="112">
        <v>257.58999999999997</v>
      </c>
      <c r="L100" s="112">
        <v>26.77</v>
      </c>
      <c r="M100" s="112">
        <v>87.61</v>
      </c>
      <c r="N100" s="112">
        <v>0</v>
      </c>
      <c r="O100" s="112">
        <v>0</v>
      </c>
      <c r="P100" s="112">
        <v>0.56999999999999995</v>
      </c>
      <c r="Q100" s="112">
        <v>4.95</v>
      </c>
    </row>
    <row r="101" spans="1:22" customFormat="1">
      <c r="A101" s="189" t="s">
        <v>1291</v>
      </c>
      <c r="B101" s="112">
        <v>9.2100000000000009</v>
      </c>
      <c r="C101" s="112">
        <v>16.739999999999998</v>
      </c>
      <c r="D101" s="112">
        <v>17.48</v>
      </c>
      <c r="E101" s="112">
        <v>8.5</v>
      </c>
      <c r="F101" s="112">
        <v>5.0599999999999996</v>
      </c>
      <c r="G101" s="112">
        <v>25.19</v>
      </c>
      <c r="H101" s="112">
        <v>8.5299999999999994</v>
      </c>
      <c r="I101" s="112">
        <v>4.5</v>
      </c>
      <c r="J101" s="112">
        <v>0.45</v>
      </c>
      <c r="K101" s="112">
        <v>263.95</v>
      </c>
      <c r="L101" s="112">
        <v>26.62</v>
      </c>
      <c r="M101" s="112">
        <v>87.9</v>
      </c>
      <c r="N101" s="112">
        <v>0</v>
      </c>
      <c r="O101" s="112">
        <v>0</v>
      </c>
      <c r="P101" s="112">
        <v>0.59</v>
      </c>
      <c r="Q101" s="112">
        <v>4.95</v>
      </c>
    </row>
    <row r="102" spans="1:22" customFormat="1">
      <c r="A102" s="189" t="s">
        <v>1292</v>
      </c>
      <c r="B102" s="112">
        <v>9.3699999999999992</v>
      </c>
      <c r="C102" s="112">
        <v>15.58</v>
      </c>
      <c r="D102" s="112">
        <v>17.010000000000002</v>
      </c>
      <c r="E102" s="112">
        <v>8.34</v>
      </c>
      <c r="F102" s="112">
        <v>5.88</v>
      </c>
      <c r="G102" s="112">
        <v>25.19</v>
      </c>
      <c r="H102" s="112">
        <v>8.5299999999999994</v>
      </c>
      <c r="I102" s="112">
        <v>4.3600000000000003</v>
      </c>
      <c r="J102" s="112">
        <v>0.49</v>
      </c>
      <c r="K102" s="112">
        <v>261.64999999999998</v>
      </c>
      <c r="L102" s="112">
        <v>26.52</v>
      </c>
      <c r="M102" s="112">
        <v>88.36</v>
      </c>
      <c r="N102" s="112">
        <v>0</v>
      </c>
      <c r="O102" s="112">
        <v>0</v>
      </c>
      <c r="P102" s="112">
        <v>0.56999999999999995</v>
      </c>
      <c r="Q102" s="112">
        <v>4.99</v>
      </c>
    </row>
    <row r="103" spans="1:22" customFormat="1">
      <c r="A103" s="189" t="s">
        <v>1293</v>
      </c>
      <c r="B103" s="112">
        <v>9.19</v>
      </c>
      <c r="C103" s="112">
        <v>14.45</v>
      </c>
      <c r="D103" s="112">
        <v>16.27</v>
      </c>
      <c r="E103" s="112">
        <v>8.0500000000000007</v>
      </c>
      <c r="F103" s="112">
        <v>6.85</v>
      </c>
      <c r="G103" s="112">
        <v>25.19</v>
      </c>
      <c r="H103" s="112">
        <v>8.5299999999999994</v>
      </c>
      <c r="I103" s="112">
        <v>4.42</v>
      </c>
      <c r="J103" s="112">
        <v>0.44</v>
      </c>
      <c r="K103" s="112">
        <v>261.14999999999998</v>
      </c>
      <c r="L103" s="112">
        <v>26.42</v>
      </c>
      <c r="M103" s="112">
        <v>89.07</v>
      </c>
      <c r="N103" s="112">
        <v>0</v>
      </c>
      <c r="O103" s="112">
        <v>0</v>
      </c>
      <c r="P103" s="112">
        <v>0.54</v>
      </c>
      <c r="Q103" s="112">
        <v>5</v>
      </c>
    </row>
    <row r="104" spans="1:22" customFormat="1">
      <c r="A104" s="189" t="s">
        <v>1294</v>
      </c>
      <c r="B104" s="112">
        <v>9.3000000000000007</v>
      </c>
      <c r="C104" s="112">
        <v>16.100000000000001</v>
      </c>
      <c r="D104" s="112">
        <v>17.22</v>
      </c>
      <c r="E104" s="112">
        <v>8.42</v>
      </c>
      <c r="F104" s="112">
        <v>4.8099999999999996</v>
      </c>
      <c r="G104" s="112">
        <v>23.03</v>
      </c>
      <c r="H104" s="112">
        <v>8.84</v>
      </c>
      <c r="I104" s="112">
        <v>4.3</v>
      </c>
      <c r="J104" s="112">
        <v>0.33</v>
      </c>
      <c r="K104" s="112">
        <v>255.77</v>
      </c>
      <c r="L104" s="112">
        <v>26.3</v>
      </c>
      <c r="M104" s="112">
        <v>90.48</v>
      </c>
      <c r="N104" s="112">
        <v>0</v>
      </c>
      <c r="O104" s="112">
        <v>0</v>
      </c>
      <c r="P104" s="112">
        <v>0.57999999999999996</v>
      </c>
      <c r="Q104" s="112">
        <v>4.92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8.09</v>
      </c>
      <c r="C106" s="183">
        <f>MIN(C9:C104)</f>
        <v>12.97</v>
      </c>
      <c r="D106" s="183">
        <f t="shared" ref="D106:Q106" si="0">MIN(D9:D104)</f>
        <v>14.61</v>
      </c>
      <c r="E106" s="183">
        <f t="shared" si="0"/>
        <v>5.58</v>
      </c>
      <c r="F106" s="183">
        <f t="shared" si="0"/>
        <v>3.93</v>
      </c>
      <c r="G106" s="183">
        <f t="shared" si="0"/>
        <v>10.65</v>
      </c>
      <c r="H106" s="183">
        <f t="shared" si="0"/>
        <v>4.7300000000000004</v>
      </c>
      <c r="I106" s="183">
        <f t="shared" si="0"/>
        <v>2.83</v>
      </c>
      <c r="J106" s="183">
        <f t="shared" si="0"/>
        <v>0.12</v>
      </c>
      <c r="K106" s="183">
        <f t="shared" si="0"/>
        <v>156.16999999999999</v>
      </c>
      <c r="L106" s="183">
        <f t="shared" si="0"/>
        <v>25.45</v>
      </c>
      <c r="M106" s="183">
        <f t="shared" si="0"/>
        <v>69.84</v>
      </c>
      <c r="N106" s="183">
        <f t="shared" si="0"/>
        <v>0</v>
      </c>
      <c r="O106" s="183">
        <f t="shared" si="0"/>
        <v>0</v>
      </c>
      <c r="P106" s="183">
        <f t="shared" si="0"/>
        <v>0.36</v>
      </c>
      <c r="Q106" s="183">
        <f t="shared" si="0"/>
        <v>4.78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11.26</v>
      </c>
      <c r="C107" s="184">
        <f t="shared" ref="C107:Q107" si="1">MAX(C9:C104)</f>
        <v>18.54</v>
      </c>
      <c r="D107" s="184">
        <f t="shared" si="1"/>
        <v>19.72</v>
      </c>
      <c r="E107" s="184">
        <f t="shared" si="1"/>
        <v>9.7799999999999994</v>
      </c>
      <c r="F107" s="184">
        <f t="shared" si="1"/>
        <v>10.23</v>
      </c>
      <c r="G107" s="184">
        <f t="shared" si="1"/>
        <v>32.72</v>
      </c>
      <c r="H107" s="184">
        <f t="shared" si="1"/>
        <v>12.88</v>
      </c>
      <c r="I107" s="184">
        <f t="shared" si="1"/>
        <v>4.67</v>
      </c>
      <c r="J107" s="184">
        <f t="shared" si="1"/>
        <v>0.86</v>
      </c>
      <c r="K107" s="184">
        <f t="shared" si="1"/>
        <v>318.79000000000002</v>
      </c>
      <c r="L107" s="184">
        <f t="shared" si="1"/>
        <v>30.9</v>
      </c>
      <c r="M107" s="184">
        <f t="shared" si="1"/>
        <v>95.52</v>
      </c>
      <c r="N107" s="184">
        <f t="shared" si="1"/>
        <v>839.5</v>
      </c>
      <c r="O107" s="184">
        <f t="shared" si="1"/>
        <v>0</v>
      </c>
      <c r="P107" s="184">
        <f t="shared" si="1"/>
        <v>0.62</v>
      </c>
      <c r="Q107" s="184">
        <f t="shared" si="1"/>
        <v>5.0599999999999996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9.6281250000000007</v>
      </c>
      <c r="C108" s="183">
        <f t="shared" ref="C108:Q108" si="2">AVERAGE(C9:C104)</f>
        <v>15.580312499999998</v>
      </c>
      <c r="D108" s="183">
        <f t="shared" si="2"/>
        <v>17.212812499999998</v>
      </c>
      <c r="E108" s="183">
        <f t="shared" si="2"/>
        <v>7.722604166666664</v>
      </c>
      <c r="F108" s="183">
        <f t="shared" si="2"/>
        <v>5.7079166666666667</v>
      </c>
      <c r="G108" s="183">
        <f t="shared" si="2"/>
        <v>21.091979166666672</v>
      </c>
      <c r="H108" s="183">
        <f t="shared" si="2"/>
        <v>8.8322916666666629</v>
      </c>
      <c r="I108" s="183">
        <f t="shared" si="2"/>
        <v>3.6336458333333348</v>
      </c>
      <c r="J108" s="183">
        <f t="shared" si="2"/>
        <v>0.42927083333333349</v>
      </c>
      <c r="K108" s="183">
        <f t="shared" si="2"/>
        <v>262.16906249999994</v>
      </c>
      <c r="L108" s="183">
        <f t="shared" si="2"/>
        <v>27.463229166666661</v>
      </c>
      <c r="M108" s="183">
        <f t="shared" si="2"/>
        <v>86.451354166666647</v>
      </c>
      <c r="N108" s="183">
        <f t="shared" si="2"/>
        <v>109.15208333333335</v>
      </c>
      <c r="O108" s="183">
        <f t="shared" si="2"/>
        <v>0</v>
      </c>
      <c r="P108" s="183">
        <f t="shared" si="2"/>
        <v>0.48531250000000031</v>
      </c>
      <c r="Q108" s="183">
        <f t="shared" si="2"/>
        <v>4.9305208333333326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0.92433909533131153</v>
      </c>
      <c r="C109" s="183">
        <f t="shared" ref="C109:Q109" si="3">STDEV(C9:C104)</f>
        <v>1.1614495961830127</v>
      </c>
      <c r="D109" s="183">
        <f t="shared" si="3"/>
        <v>0.96045680263963285</v>
      </c>
      <c r="E109" s="183">
        <f t="shared" si="3"/>
        <v>1.207061891572982</v>
      </c>
      <c r="F109" s="183">
        <f t="shared" si="3"/>
        <v>1.1940324571685355</v>
      </c>
      <c r="G109" s="183">
        <f t="shared" si="3"/>
        <v>7.3736861623352059</v>
      </c>
      <c r="H109" s="183">
        <f t="shared" si="3"/>
        <v>2.2896271722093524</v>
      </c>
      <c r="I109" s="183">
        <f t="shared" si="3"/>
        <v>0.4818803515869951</v>
      </c>
      <c r="J109" s="183">
        <f t="shared" si="3"/>
        <v>0.1916094975761988</v>
      </c>
      <c r="K109" s="183">
        <f t="shared" si="3"/>
        <v>24.392977077241838</v>
      </c>
      <c r="L109" s="183">
        <f t="shared" si="3"/>
        <v>1.6018058853364938</v>
      </c>
      <c r="M109" s="183">
        <f t="shared" si="3"/>
        <v>7.0849084412304935</v>
      </c>
      <c r="N109" s="183">
        <f t="shared" si="3"/>
        <v>183.09549419801144</v>
      </c>
      <c r="O109" s="183">
        <f t="shared" si="3"/>
        <v>0</v>
      </c>
      <c r="P109" s="183">
        <f t="shared" si="3"/>
        <v>8.0967220462810685E-2</v>
      </c>
      <c r="Q109" s="183">
        <f t="shared" si="3"/>
        <v>7.3961153269761645E-2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12/09/2023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1295</v>
      </c>
      <c r="B9" s="112">
        <v>8.84</v>
      </c>
      <c r="C9" s="112">
        <v>16.420000000000002</v>
      </c>
      <c r="D9" s="112">
        <v>17.02</v>
      </c>
      <c r="E9" s="112">
        <v>8.65</v>
      </c>
      <c r="F9" s="112">
        <v>4.5199999999999996</v>
      </c>
      <c r="G9" s="112">
        <v>21.45</v>
      </c>
      <c r="H9" s="112">
        <v>9.01</v>
      </c>
      <c r="I9" s="112">
        <v>4.16</v>
      </c>
      <c r="J9" s="112">
        <v>0.4</v>
      </c>
      <c r="K9" s="112">
        <v>259.89</v>
      </c>
      <c r="L9" s="112">
        <v>26.29</v>
      </c>
      <c r="M9" s="112">
        <v>90.75</v>
      </c>
      <c r="N9" s="112">
        <v>0</v>
      </c>
      <c r="O9" s="112">
        <v>0</v>
      </c>
      <c r="P9" s="112">
        <v>0.57999999999999996</v>
      </c>
      <c r="Q9" s="112">
        <v>4.97</v>
      </c>
    </row>
    <row r="10" spans="1:21" customFormat="1">
      <c r="A10" s="189" t="s">
        <v>1296</v>
      </c>
      <c r="B10" s="112">
        <v>8.66</v>
      </c>
      <c r="C10" s="112">
        <v>15.11</v>
      </c>
      <c r="D10" s="112">
        <v>16.190000000000001</v>
      </c>
      <c r="E10" s="112">
        <v>8.24</v>
      </c>
      <c r="F10" s="112">
        <v>5.48</v>
      </c>
      <c r="G10" s="112">
        <v>21.45</v>
      </c>
      <c r="H10" s="112">
        <v>9.01</v>
      </c>
      <c r="I10" s="112">
        <v>4.3899999999999997</v>
      </c>
      <c r="J10" s="112">
        <v>0.23</v>
      </c>
      <c r="K10" s="112">
        <v>249.78</v>
      </c>
      <c r="L10" s="112">
        <v>26.22</v>
      </c>
      <c r="M10" s="112">
        <v>91.35</v>
      </c>
      <c r="N10" s="112">
        <v>0</v>
      </c>
      <c r="O10" s="112">
        <v>0</v>
      </c>
      <c r="P10" s="112">
        <v>0.55000000000000004</v>
      </c>
      <c r="Q10" s="112">
        <v>4.99</v>
      </c>
    </row>
    <row r="11" spans="1:21" customFormat="1">
      <c r="A11" s="189" t="s">
        <v>1297</v>
      </c>
      <c r="B11" s="112">
        <v>8.3699999999999992</v>
      </c>
      <c r="C11" s="112">
        <v>13.94</v>
      </c>
      <c r="D11" s="112">
        <v>15.35</v>
      </c>
      <c r="E11" s="112">
        <v>7.74</v>
      </c>
      <c r="F11" s="112">
        <v>5.99</v>
      </c>
      <c r="G11" s="112">
        <v>21.45</v>
      </c>
      <c r="H11" s="112">
        <v>9.01</v>
      </c>
      <c r="I11" s="112">
        <v>4.28</v>
      </c>
      <c r="J11" s="112">
        <v>0.31</v>
      </c>
      <c r="K11" s="112">
        <v>259.68</v>
      </c>
      <c r="L11" s="112">
        <v>26.08</v>
      </c>
      <c r="M11" s="112">
        <v>92.46</v>
      </c>
      <c r="N11" s="112">
        <v>0</v>
      </c>
      <c r="O11" s="112">
        <v>0</v>
      </c>
      <c r="P11" s="112">
        <v>0.53</v>
      </c>
      <c r="Q11" s="112">
        <v>4.99</v>
      </c>
    </row>
    <row r="12" spans="1:21" customFormat="1">
      <c r="A12" s="189" t="s">
        <v>1298</v>
      </c>
      <c r="B12" s="112">
        <v>8.61</v>
      </c>
      <c r="C12" s="112">
        <v>16.21</v>
      </c>
      <c r="D12" s="112">
        <v>16.72</v>
      </c>
      <c r="E12" s="112">
        <v>8.65</v>
      </c>
      <c r="F12" s="112">
        <v>4.3099999999999996</v>
      </c>
      <c r="G12" s="112">
        <v>21.77</v>
      </c>
      <c r="H12" s="112">
        <v>8.56</v>
      </c>
      <c r="I12" s="112">
        <v>4.2300000000000004</v>
      </c>
      <c r="J12" s="112">
        <v>0.43</v>
      </c>
      <c r="K12" s="112">
        <v>264.89</v>
      </c>
      <c r="L12" s="112">
        <v>26.12</v>
      </c>
      <c r="M12" s="112">
        <v>92.22</v>
      </c>
      <c r="N12" s="112">
        <v>0</v>
      </c>
      <c r="O12" s="112">
        <v>0</v>
      </c>
      <c r="P12" s="112">
        <v>0.56999999999999995</v>
      </c>
      <c r="Q12" s="112">
        <v>4.97</v>
      </c>
    </row>
    <row r="13" spans="1:21" customFormat="1">
      <c r="A13" s="189" t="s">
        <v>1299</v>
      </c>
      <c r="B13" s="112">
        <v>8.6999999999999993</v>
      </c>
      <c r="C13" s="112">
        <v>16.190000000000001</v>
      </c>
      <c r="D13" s="112">
        <v>16.79</v>
      </c>
      <c r="E13" s="112">
        <v>8.61</v>
      </c>
      <c r="F13" s="112">
        <v>4.5199999999999996</v>
      </c>
      <c r="G13" s="112">
        <v>22.01</v>
      </c>
      <c r="H13" s="112">
        <v>8.41</v>
      </c>
      <c r="I13" s="112">
        <v>4.1100000000000003</v>
      </c>
      <c r="J13" s="112">
        <v>0.51</v>
      </c>
      <c r="K13" s="112">
        <v>266.31</v>
      </c>
      <c r="L13" s="112">
        <v>26.14</v>
      </c>
      <c r="M13" s="112">
        <v>92.17</v>
      </c>
      <c r="N13" s="112">
        <v>0</v>
      </c>
      <c r="O13" s="112">
        <v>0</v>
      </c>
      <c r="P13" s="112">
        <v>0.56000000000000005</v>
      </c>
      <c r="Q13" s="112">
        <v>5.03</v>
      </c>
    </row>
    <row r="14" spans="1:21" customFormat="1">
      <c r="A14" s="189" t="s">
        <v>1300</v>
      </c>
      <c r="B14" s="112">
        <v>8.82</v>
      </c>
      <c r="C14" s="112">
        <v>15.2</v>
      </c>
      <c r="D14" s="112">
        <v>16.37</v>
      </c>
      <c r="E14" s="112">
        <v>7.92</v>
      </c>
      <c r="F14" s="112">
        <v>5.0599999999999996</v>
      </c>
      <c r="G14" s="112">
        <v>22.01</v>
      </c>
      <c r="H14" s="112">
        <v>8.41</v>
      </c>
      <c r="I14" s="112">
        <v>4.34</v>
      </c>
      <c r="J14" s="112">
        <v>0.46</v>
      </c>
      <c r="K14" s="112">
        <v>263.37</v>
      </c>
      <c r="L14" s="112">
        <v>26.12</v>
      </c>
      <c r="M14" s="112">
        <v>92.3</v>
      </c>
      <c r="N14" s="112">
        <v>0</v>
      </c>
      <c r="O14" s="112">
        <v>0</v>
      </c>
      <c r="P14" s="112">
        <v>0.55000000000000004</v>
      </c>
      <c r="Q14" s="112">
        <v>5.01</v>
      </c>
    </row>
    <row r="15" spans="1:21" customFormat="1">
      <c r="A15" s="189" t="s">
        <v>1301</v>
      </c>
      <c r="B15" s="112">
        <v>8.92</v>
      </c>
      <c r="C15" s="112">
        <v>16.09</v>
      </c>
      <c r="D15" s="112">
        <v>16.91</v>
      </c>
      <c r="E15" s="112">
        <v>7.83</v>
      </c>
      <c r="F15" s="112">
        <v>4.53</v>
      </c>
      <c r="G15" s="112">
        <v>22.01</v>
      </c>
      <c r="H15" s="112">
        <v>8.41</v>
      </c>
      <c r="I15" s="112">
        <v>4.17</v>
      </c>
      <c r="J15" s="112">
        <v>0.38</v>
      </c>
      <c r="K15" s="112">
        <v>264.11</v>
      </c>
      <c r="L15" s="112">
        <v>26.02</v>
      </c>
      <c r="M15" s="112">
        <v>93.01</v>
      </c>
      <c r="N15" s="112">
        <v>0</v>
      </c>
      <c r="O15" s="112">
        <v>0</v>
      </c>
      <c r="P15" s="112">
        <v>0.56999999999999995</v>
      </c>
      <c r="Q15" s="112">
        <v>5.01</v>
      </c>
    </row>
    <row r="16" spans="1:21" customFormat="1">
      <c r="A16" s="189" t="s">
        <v>1302</v>
      </c>
      <c r="B16" s="112">
        <v>8.7200000000000006</v>
      </c>
      <c r="C16" s="112">
        <v>15.07</v>
      </c>
      <c r="D16" s="112">
        <v>16.22</v>
      </c>
      <c r="E16" s="112">
        <v>8.76</v>
      </c>
      <c r="F16" s="112">
        <v>5.12</v>
      </c>
      <c r="G16" s="112">
        <v>21.18</v>
      </c>
      <c r="H16" s="112">
        <v>8.01</v>
      </c>
      <c r="I16" s="112">
        <v>4.17</v>
      </c>
      <c r="J16" s="112">
        <v>0.36</v>
      </c>
      <c r="K16" s="112">
        <v>266.32</v>
      </c>
      <c r="L16" s="112">
        <v>25.94</v>
      </c>
      <c r="M16" s="112">
        <v>93.54</v>
      </c>
      <c r="N16" s="112">
        <v>0</v>
      </c>
      <c r="O16" s="112">
        <v>0</v>
      </c>
      <c r="P16" s="112">
        <v>0.55000000000000004</v>
      </c>
      <c r="Q16" s="112">
        <v>5.03</v>
      </c>
    </row>
    <row r="17" spans="1:17" customFormat="1">
      <c r="A17" s="189" t="s">
        <v>1303</v>
      </c>
      <c r="B17" s="112">
        <v>8.77</v>
      </c>
      <c r="C17" s="112">
        <v>14.68</v>
      </c>
      <c r="D17" s="112">
        <v>16.05</v>
      </c>
      <c r="E17" s="112">
        <v>6.37</v>
      </c>
      <c r="F17" s="112">
        <v>5.19</v>
      </c>
      <c r="G17" s="112">
        <v>20.58</v>
      </c>
      <c r="H17" s="112">
        <v>7.88</v>
      </c>
      <c r="I17" s="112">
        <v>4.2300000000000004</v>
      </c>
      <c r="J17" s="112">
        <v>0.49</v>
      </c>
      <c r="K17" s="112">
        <v>262.64999999999998</v>
      </c>
      <c r="L17" s="112">
        <v>25.94</v>
      </c>
      <c r="M17" s="112">
        <v>93.59</v>
      </c>
      <c r="N17" s="112">
        <v>0</v>
      </c>
      <c r="O17" s="112">
        <v>0</v>
      </c>
      <c r="P17" s="112">
        <v>0.54</v>
      </c>
      <c r="Q17" s="112">
        <v>5.03</v>
      </c>
    </row>
    <row r="18" spans="1:17" customFormat="1">
      <c r="A18" s="189" t="s">
        <v>1304</v>
      </c>
      <c r="B18" s="112">
        <v>8.99</v>
      </c>
      <c r="C18" s="112">
        <v>16.25</v>
      </c>
      <c r="D18" s="112">
        <v>17.05</v>
      </c>
      <c r="E18" s="112">
        <v>7.39</v>
      </c>
      <c r="F18" s="112">
        <v>4.17</v>
      </c>
      <c r="G18" s="112">
        <v>20.58</v>
      </c>
      <c r="H18" s="112">
        <v>7.88</v>
      </c>
      <c r="I18" s="112">
        <v>4.05</v>
      </c>
      <c r="J18" s="112">
        <v>0.32</v>
      </c>
      <c r="K18" s="112">
        <v>262.87</v>
      </c>
      <c r="L18" s="112">
        <v>25.85</v>
      </c>
      <c r="M18" s="112">
        <v>94.16</v>
      </c>
      <c r="N18" s="112">
        <v>0</v>
      </c>
      <c r="O18" s="112">
        <v>0</v>
      </c>
      <c r="P18" s="112">
        <v>0.56999999999999995</v>
      </c>
      <c r="Q18" s="112">
        <v>5.04</v>
      </c>
    </row>
    <row r="19" spans="1:17" customFormat="1">
      <c r="A19" s="189" t="s">
        <v>1305</v>
      </c>
      <c r="B19" s="112">
        <v>9.23</v>
      </c>
      <c r="C19" s="112">
        <v>15.46</v>
      </c>
      <c r="D19" s="112">
        <v>16.829999999999998</v>
      </c>
      <c r="E19" s="112">
        <v>8.08</v>
      </c>
      <c r="F19" s="112">
        <v>4.59</v>
      </c>
      <c r="G19" s="112">
        <v>20.58</v>
      </c>
      <c r="H19" s="112">
        <v>7.88</v>
      </c>
      <c r="I19" s="112">
        <v>4.1500000000000004</v>
      </c>
      <c r="J19" s="112">
        <v>0.36</v>
      </c>
      <c r="K19" s="112">
        <v>261.98</v>
      </c>
      <c r="L19" s="112">
        <v>25.81</v>
      </c>
      <c r="M19" s="112">
        <v>94.41</v>
      </c>
      <c r="N19" s="112">
        <v>0</v>
      </c>
      <c r="O19" s="112">
        <v>0</v>
      </c>
      <c r="P19" s="112">
        <v>0.56000000000000005</v>
      </c>
      <c r="Q19" s="112">
        <v>5.08</v>
      </c>
    </row>
    <row r="20" spans="1:17" customFormat="1">
      <c r="A20" s="189" t="s">
        <v>1306</v>
      </c>
      <c r="B20" s="112">
        <v>9.1</v>
      </c>
      <c r="C20" s="112">
        <v>14.6</v>
      </c>
      <c r="D20" s="112">
        <v>16.27</v>
      </c>
      <c r="E20" s="112">
        <v>7.53</v>
      </c>
      <c r="F20" s="112">
        <v>4.8499999999999996</v>
      </c>
      <c r="G20" s="112">
        <v>23.07</v>
      </c>
      <c r="H20" s="112">
        <v>7.85</v>
      </c>
      <c r="I20" s="112">
        <v>4.24</v>
      </c>
      <c r="J20" s="112">
        <v>0.32</v>
      </c>
      <c r="K20" s="112">
        <v>274.18</v>
      </c>
      <c r="L20" s="112">
        <v>25.75</v>
      </c>
      <c r="M20" s="112">
        <v>94.41</v>
      </c>
      <c r="N20" s="112">
        <v>0</v>
      </c>
      <c r="O20" s="112">
        <v>0</v>
      </c>
      <c r="P20" s="112">
        <v>0.56999999999999995</v>
      </c>
      <c r="Q20" s="112">
        <v>5.0599999999999996</v>
      </c>
    </row>
    <row r="21" spans="1:17" customFormat="1">
      <c r="A21" s="189" t="s">
        <v>1307</v>
      </c>
      <c r="B21" s="112">
        <v>9.43</v>
      </c>
      <c r="C21" s="112">
        <v>16.510000000000002</v>
      </c>
      <c r="D21" s="112">
        <v>17.54</v>
      </c>
      <c r="E21" s="112">
        <v>7.74</v>
      </c>
      <c r="F21" s="112">
        <v>3.85</v>
      </c>
      <c r="G21" s="112">
        <v>24.9</v>
      </c>
      <c r="H21" s="112">
        <v>7.83</v>
      </c>
      <c r="I21" s="112">
        <v>4.21</v>
      </c>
      <c r="J21" s="112">
        <v>0.5</v>
      </c>
      <c r="K21" s="112">
        <v>264.75</v>
      </c>
      <c r="L21" s="112">
        <v>25.78</v>
      </c>
      <c r="M21" s="112">
        <v>94.06</v>
      </c>
      <c r="N21" s="112">
        <v>0</v>
      </c>
      <c r="O21" s="112">
        <v>0</v>
      </c>
      <c r="P21" s="112">
        <v>0.59</v>
      </c>
      <c r="Q21" s="112">
        <v>5.07</v>
      </c>
    </row>
    <row r="22" spans="1:17" customFormat="1">
      <c r="A22" s="189" t="s">
        <v>1308</v>
      </c>
      <c r="B22" s="112">
        <v>9.59</v>
      </c>
      <c r="C22" s="112">
        <v>15.63</v>
      </c>
      <c r="D22" s="112">
        <v>17.21</v>
      </c>
      <c r="E22" s="112">
        <v>7.38</v>
      </c>
      <c r="F22" s="112">
        <v>4.55</v>
      </c>
      <c r="G22" s="112">
        <v>24.9</v>
      </c>
      <c r="H22" s="112">
        <v>7.83</v>
      </c>
      <c r="I22" s="112">
        <v>4.22</v>
      </c>
      <c r="J22" s="112">
        <v>0.3</v>
      </c>
      <c r="K22" s="112">
        <v>262.06</v>
      </c>
      <c r="L22" s="112">
        <v>25.85</v>
      </c>
      <c r="M22" s="112">
        <v>93.79</v>
      </c>
      <c r="N22" s="112">
        <v>0</v>
      </c>
      <c r="O22" s="112">
        <v>0</v>
      </c>
      <c r="P22" s="112">
        <v>0.62</v>
      </c>
      <c r="Q22" s="112">
        <v>5.09</v>
      </c>
    </row>
    <row r="23" spans="1:17" customFormat="1">
      <c r="A23" s="189" t="s">
        <v>1309</v>
      </c>
      <c r="B23" s="112">
        <v>9.58</v>
      </c>
      <c r="C23" s="112">
        <v>15.05</v>
      </c>
      <c r="D23" s="112">
        <v>16.899999999999999</v>
      </c>
      <c r="E23" s="112">
        <v>7.4</v>
      </c>
      <c r="F23" s="112">
        <v>4.93</v>
      </c>
      <c r="G23" s="112">
        <v>24.9</v>
      </c>
      <c r="H23" s="112">
        <v>7.83</v>
      </c>
      <c r="I23" s="112">
        <v>4.37</v>
      </c>
      <c r="J23" s="112">
        <v>0.35</v>
      </c>
      <c r="K23" s="112">
        <v>261.24</v>
      </c>
      <c r="L23" s="112">
        <v>25.91</v>
      </c>
      <c r="M23" s="112">
        <v>93.29</v>
      </c>
      <c r="N23" s="112">
        <v>0</v>
      </c>
      <c r="O23" s="112">
        <v>0</v>
      </c>
      <c r="P23" s="112">
        <v>0.6</v>
      </c>
      <c r="Q23" s="112">
        <v>5.09</v>
      </c>
    </row>
    <row r="24" spans="1:17" customFormat="1">
      <c r="A24" s="189" t="s">
        <v>1310</v>
      </c>
      <c r="B24" s="112">
        <v>9.66</v>
      </c>
      <c r="C24" s="112">
        <v>16.38</v>
      </c>
      <c r="D24" s="112">
        <v>17.66</v>
      </c>
      <c r="E24" s="112">
        <v>7.59</v>
      </c>
      <c r="F24" s="112">
        <v>4.03</v>
      </c>
      <c r="G24" s="112">
        <v>26.51</v>
      </c>
      <c r="H24" s="112">
        <v>8.9499999999999993</v>
      </c>
      <c r="I24" s="112">
        <v>4.43</v>
      </c>
      <c r="J24" s="112">
        <v>0.36</v>
      </c>
      <c r="K24" s="112">
        <v>262.08999999999997</v>
      </c>
      <c r="L24" s="112">
        <v>25.76</v>
      </c>
      <c r="M24" s="112">
        <v>94.27</v>
      </c>
      <c r="N24" s="112">
        <v>0</v>
      </c>
      <c r="O24" s="112">
        <v>0</v>
      </c>
      <c r="P24" s="112">
        <v>0.64</v>
      </c>
      <c r="Q24" s="112">
        <v>5.08</v>
      </c>
    </row>
    <row r="25" spans="1:17" customFormat="1">
      <c r="A25" s="189" t="s">
        <v>1311</v>
      </c>
      <c r="B25" s="112">
        <v>9.91</v>
      </c>
      <c r="C25" s="112">
        <v>15.71</v>
      </c>
      <c r="D25" s="112">
        <v>17.510000000000002</v>
      </c>
      <c r="E25" s="112">
        <v>7.58</v>
      </c>
      <c r="F25" s="112">
        <v>4.59</v>
      </c>
      <c r="G25" s="112">
        <v>27.7</v>
      </c>
      <c r="H25" s="112">
        <v>9.31</v>
      </c>
      <c r="I25" s="112">
        <v>4.47</v>
      </c>
      <c r="J25" s="112">
        <v>0.22</v>
      </c>
      <c r="K25" s="112">
        <v>251.09</v>
      </c>
      <c r="L25" s="112">
        <v>25.74</v>
      </c>
      <c r="M25" s="112">
        <v>94.33</v>
      </c>
      <c r="N25" s="112">
        <v>0</v>
      </c>
      <c r="O25" s="112">
        <v>0</v>
      </c>
      <c r="P25" s="112">
        <v>0.62</v>
      </c>
      <c r="Q25" s="112">
        <v>5.13</v>
      </c>
    </row>
    <row r="26" spans="1:17" customFormat="1">
      <c r="A26" s="189" t="s">
        <v>1312</v>
      </c>
      <c r="B26" s="112">
        <v>9.8699999999999992</v>
      </c>
      <c r="C26" s="112">
        <v>14.85</v>
      </c>
      <c r="D26" s="112">
        <v>17.02</v>
      </c>
      <c r="E26" s="112">
        <v>7.13</v>
      </c>
      <c r="F26" s="112">
        <v>4.83</v>
      </c>
      <c r="G26" s="112">
        <v>27.7</v>
      </c>
      <c r="H26" s="112">
        <v>9.31</v>
      </c>
      <c r="I26" s="112">
        <v>4.6100000000000003</v>
      </c>
      <c r="J26" s="112">
        <v>0.11</v>
      </c>
      <c r="K26" s="112">
        <v>240.18</v>
      </c>
      <c r="L26" s="112">
        <v>25.65</v>
      </c>
      <c r="M26" s="112">
        <v>95.29</v>
      </c>
      <c r="N26" s="112">
        <v>0</v>
      </c>
      <c r="O26" s="112">
        <v>0</v>
      </c>
      <c r="P26" s="112">
        <v>0.61</v>
      </c>
      <c r="Q26" s="112">
        <v>5.1100000000000003</v>
      </c>
    </row>
    <row r="27" spans="1:17" customFormat="1">
      <c r="A27" s="189" t="s">
        <v>1313</v>
      </c>
      <c r="B27" s="112">
        <v>10.19</v>
      </c>
      <c r="C27" s="112">
        <v>16.739999999999998</v>
      </c>
      <c r="D27" s="112">
        <v>18.260000000000002</v>
      </c>
      <c r="E27" s="112">
        <v>7.42</v>
      </c>
      <c r="F27" s="112">
        <v>3.98</v>
      </c>
      <c r="G27" s="112">
        <v>27.7</v>
      </c>
      <c r="H27" s="112">
        <v>9.31</v>
      </c>
      <c r="I27" s="112">
        <v>4.6100000000000003</v>
      </c>
      <c r="J27" s="112">
        <v>0.19</v>
      </c>
      <c r="K27" s="112">
        <v>254.43</v>
      </c>
      <c r="L27" s="112">
        <v>25.64</v>
      </c>
      <c r="M27" s="112">
        <v>95.56</v>
      </c>
      <c r="N27" s="112">
        <v>0</v>
      </c>
      <c r="O27" s="112">
        <v>0</v>
      </c>
      <c r="P27" s="112">
        <v>0.64</v>
      </c>
      <c r="Q27" s="112">
        <v>5.0999999999999996</v>
      </c>
    </row>
    <row r="28" spans="1:17" customFormat="1">
      <c r="A28" s="189" t="s">
        <v>1314</v>
      </c>
      <c r="B28" s="112">
        <v>10.199999999999999</v>
      </c>
      <c r="C28" s="112">
        <v>15.89</v>
      </c>
      <c r="D28" s="112">
        <v>17.829999999999998</v>
      </c>
      <c r="E28" s="112">
        <v>7.67</v>
      </c>
      <c r="F28" s="112">
        <v>4.66</v>
      </c>
      <c r="G28" s="112">
        <v>27.03</v>
      </c>
      <c r="H28" s="112">
        <v>8.81</v>
      </c>
      <c r="I28" s="112">
        <v>4.6100000000000003</v>
      </c>
      <c r="J28" s="112">
        <v>0.22</v>
      </c>
      <c r="K28" s="112">
        <v>260.29000000000002</v>
      </c>
      <c r="L28" s="112">
        <v>25.68</v>
      </c>
      <c r="M28" s="112">
        <v>95.26</v>
      </c>
      <c r="N28" s="112">
        <v>0</v>
      </c>
      <c r="O28" s="112">
        <v>0</v>
      </c>
      <c r="P28" s="112">
        <v>0.63</v>
      </c>
      <c r="Q28" s="112">
        <v>5.16</v>
      </c>
    </row>
    <row r="29" spans="1:17" customFormat="1">
      <c r="A29" s="189" t="s">
        <v>1315</v>
      </c>
      <c r="B29" s="112">
        <v>10.37</v>
      </c>
      <c r="C29" s="112">
        <v>14.91</v>
      </c>
      <c r="D29" s="112">
        <v>17.46</v>
      </c>
      <c r="E29" s="112">
        <v>7.08</v>
      </c>
      <c r="F29" s="112">
        <v>4.84</v>
      </c>
      <c r="G29" s="112">
        <v>26.54</v>
      </c>
      <c r="H29" s="112">
        <v>8.65</v>
      </c>
      <c r="I29" s="112">
        <v>4.7</v>
      </c>
      <c r="J29" s="112">
        <v>0.32</v>
      </c>
      <c r="K29" s="112">
        <v>262.45999999999998</v>
      </c>
      <c r="L29" s="112">
        <v>25.56</v>
      </c>
      <c r="M29" s="112">
        <v>95.39</v>
      </c>
      <c r="N29" s="112">
        <v>0</v>
      </c>
      <c r="O29" s="112">
        <v>0</v>
      </c>
      <c r="P29" s="112">
        <v>0.61</v>
      </c>
      <c r="Q29" s="112">
        <v>5.16</v>
      </c>
    </row>
    <row r="30" spans="1:17" customFormat="1">
      <c r="A30" s="189" t="s">
        <v>1316</v>
      </c>
      <c r="B30" s="112">
        <v>10.66</v>
      </c>
      <c r="C30" s="112">
        <v>16.54</v>
      </c>
      <c r="D30" s="112">
        <v>18.54</v>
      </c>
      <c r="E30" s="112">
        <v>7.72</v>
      </c>
      <c r="F30" s="112">
        <v>4.07</v>
      </c>
      <c r="G30" s="112">
        <v>26.54</v>
      </c>
      <c r="H30" s="112">
        <v>8.65</v>
      </c>
      <c r="I30" s="112">
        <v>4.63</v>
      </c>
      <c r="J30" s="112">
        <v>0.38</v>
      </c>
      <c r="K30" s="112">
        <v>263.69</v>
      </c>
      <c r="L30" s="112">
        <v>25.52</v>
      </c>
      <c r="M30" s="112">
        <v>95.46</v>
      </c>
      <c r="N30" s="112">
        <v>0</v>
      </c>
      <c r="O30" s="112">
        <v>0</v>
      </c>
      <c r="P30" s="112">
        <v>0.64</v>
      </c>
      <c r="Q30" s="112">
        <v>5.16</v>
      </c>
    </row>
    <row r="31" spans="1:17" customFormat="1">
      <c r="A31" s="189" t="s">
        <v>1317</v>
      </c>
      <c r="B31" s="112">
        <v>10.76</v>
      </c>
      <c r="C31" s="112">
        <v>15.56</v>
      </c>
      <c r="D31" s="112">
        <v>18.11</v>
      </c>
      <c r="E31" s="112">
        <v>7.59</v>
      </c>
      <c r="F31" s="112">
        <v>4.5999999999999996</v>
      </c>
      <c r="G31" s="112">
        <v>26.54</v>
      </c>
      <c r="H31" s="112">
        <v>8.65</v>
      </c>
      <c r="I31" s="112">
        <v>4.6500000000000004</v>
      </c>
      <c r="J31" s="112">
        <v>0.24</v>
      </c>
      <c r="K31" s="112">
        <v>263.33</v>
      </c>
      <c r="L31" s="112">
        <v>25.47</v>
      </c>
      <c r="M31" s="112">
        <v>96.04</v>
      </c>
      <c r="N31" s="112">
        <v>0</v>
      </c>
      <c r="O31" s="112">
        <v>0</v>
      </c>
      <c r="P31" s="112">
        <v>0.63</v>
      </c>
      <c r="Q31" s="112">
        <v>5.18</v>
      </c>
    </row>
    <row r="32" spans="1:17" customFormat="1">
      <c r="A32" s="189" t="s">
        <v>1318</v>
      </c>
      <c r="B32" s="112">
        <v>10.5</v>
      </c>
      <c r="C32" s="112">
        <v>14.64</v>
      </c>
      <c r="D32" s="112">
        <v>17.420000000000002</v>
      </c>
      <c r="E32" s="112">
        <v>7.07</v>
      </c>
      <c r="F32" s="112">
        <v>4.82</v>
      </c>
      <c r="G32" s="112">
        <v>23.62</v>
      </c>
      <c r="H32" s="112">
        <v>8.94</v>
      </c>
      <c r="I32" s="112">
        <v>4.76</v>
      </c>
      <c r="J32" s="112">
        <v>0.23</v>
      </c>
      <c r="K32" s="112">
        <v>254.11</v>
      </c>
      <c r="L32" s="112">
        <v>25.57</v>
      </c>
      <c r="M32" s="112">
        <v>95.89</v>
      </c>
      <c r="N32" s="112">
        <v>2.9</v>
      </c>
      <c r="O32" s="112">
        <v>0</v>
      </c>
      <c r="P32" s="112">
        <v>0.61</v>
      </c>
      <c r="Q32" s="112">
        <v>5.18</v>
      </c>
    </row>
    <row r="33" spans="1:17" customFormat="1">
      <c r="A33" s="189" t="s">
        <v>1319</v>
      </c>
      <c r="B33" s="112">
        <v>10.83</v>
      </c>
      <c r="C33" s="112">
        <v>16.98</v>
      </c>
      <c r="D33" s="112">
        <v>18.91</v>
      </c>
      <c r="E33" s="112">
        <v>7.94</v>
      </c>
      <c r="F33" s="112">
        <v>3.78</v>
      </c>
      <c r="G33" s="112">
        <v>21.5</v>
      </c>
      <c r="H33" s="112">
        <v>9.11</v>
      </c>
      <c r="I33" s="112">
        <v>4.67</v>
      </c>
      <c r="J33" s="112">
        <v>0.2</v>
      </c>
      <c r="K33" s="112">
        <v>254.92</v>
      </c>
      <c r="L33" s="112">
        <v>25.69</v>
      </c>
      <c r="M33" s="112">
        <v>95.52</v>
      </c>
      <c r="N33" s="112">
        <v>13.7</v>
      </c>
      <c r="O33" s="112">
        <v>0</v>
      </c>
      <c r="P33" s="112">
        <v>0.64</v>
      </c>
      <c r="Q33" s="112">
        <v>5.17</v>
      </c>
    </row>
    <row r="34" spans="1:17" customFormat="1">
      <c r="A34" s="189" t="s">
        <v>1320</v>
      </c>
      <c r="B34" s="112">
        <v>11.15</v>
      </c>
      <c r="C34" s="112">
        <v>17.670000000000002</v>
      </c>
      <c r="D34" s="112">
        <v>19.52</v>
      </c>
      <c r="E34" s="112">
        <v>7.59</v>
      </c>
      <c r="F34" s="112">
        <v>3.83</v>
      </c>
      <c r="G34" s="112">
        <v>21.5</v>
      </c>
      <c r="H34" s="112">
        <v>9.11</v>
      </c>
      <c r="I34" s="112">
        <v>4.6500000000000004</v>
      </c>
      <c r="J34" s="112">
        <v>0.17</v>
      </c>
      <c r="K34" s="112">
        <v>258.14</v>
      </c>
      <c r="L34" s="112">
        <v>25.89</v>
      </c>
      <c r="M34" s="112">
        <v>95.13</v>
      </c>
      <c r="N34" s="112">
        <v>20.7</v>
      </c>
      <c r="O34" s="112">
        <v>0</v>
      </c>
      <c r="P34" s="112">
        <v>0.66</v>
      </c>
      <c r="Q34" s="112">
        <v>5.2</v>
      </c>
    </row>
    <row r="35" spans="1:17" customFormat="1">
      <c r="A35" s="189" t="s">
        <v>1321</v>
      </c>
      <c r="B35" s="112">
        <v>11.38</v>
      </c>
      <c r="C35" s="112">
        <v>15.95</v>
      </c>
      <c r="D35" s="112">
        <v>18.809999999999999</v>
      </c>
      <c r="E35" s="112">
        <v>7.65</v>
      </c>
      <c r="F35" s="112">
        <v>4.6100000000000003</v>
      </c>
      <c r="G35" s="112">
        <v>21.5</v>
      </c>
      <c r="H35" s="112">
        <v>9.11</v>
      </c>
      <c r="I35" s="112">
        <v>4.83</v>
      </c>
      <c r="J35" s="112">
        <v>0.11</v>
      </c>
      <c r="K35" s="112">
        <v>233.67</v>
      </c>
      <c r="L35" s="112">
        <v>26.1</v>
      </c>
      <c r="M35" s="112">
        <v>94.09</v>
      </c>
      <c r="N35" s="112">
        <v>20</v>
      </c>
      <c r="O35" s="112">
        <v>0</v>
      </c>
      <c r="P35" s="112">
        <v>0.66</v>
      </c>
      <c r="Q35" s="112">
        <v>5.25</v>
      </c>
    </row>
    <row r="36" spans="1:17" customFormat="1">
      <c r="A36" s="189" t="s">
        <v>1322</v>
      </c>
      <c r="B36" s="112">
        <v>10.86</v>
      </c>
      <c r="C36" s="112">
        <v>14.31</v>
      </c>
      <c r="D36" s="112">
        <v>17.53</v>
      </c>
      <c r="E36" s="112">
        <v>7.55</v>
      </c>
      <c r="F36" s="112">
        <v>4.8600000000000003</v>
      </c>
      <c r="G36" s="112">
        <v>23.08</v>
      </c>
      <c r="H36" s="112">
        <v>8.15</v>
      </c>
      <c r="I36" s="112">
        <v>4.87</v>
      </c>
      <c r="J36" s="112">
        <v>7.0000000000000007E-2</v>
      </c>
      <c r="K36" s="112">
        <v>232.28</v>
      </c>
      <c r="L36" s="112">
        <v>26.22</v>
      </c>
      <c r="M36" s="112">
        <v>93.57</v>
      </c>
      <c r="N36" s="112">
        <v>36.299999999999997</v>
      </c>
      <c r="O36" s="112">
        <v>0</v>
      </c>
      <c r="P36" s="112">
        <v>0.64</v>
      </c>
      <c r="Q36" s="112">
        <v>5.26</v>
      </c>
    </row>
    <row r="37" spans="1:17" customFormat="1">
      <c r="A37" s="189" t="s">
        <v>1323</v>
      </c>
      <c r="B37" s="112">
        <v>11.28</v>
      </c>
      <c r="C37" s="112">
        <v>15.98</v>
      </c>
      <c r="D37" s="112">
        <v>18.75</v>
      </c>
      <c r="E37" s="112">
        <v>7.77</v>
      </c>
      <c r="F37" s="112">
        <v>4.24</v>
      </c>
      <c r="G37" s="112">
        <v>24.23</v>
      </c>
      <c r="H37" s="112">
        <v>7.85</v>
      </c>
      <c r="I37" s="112">
        <v>4.8600000000000003</v>
      </c>
      <c r="J37" s="112">
        <v>0.14000000000000001</v>
      </c>
      <c r="K37" s="112">
        <v>263.68</v>
      </c>
      <c r="L37" s="112">
        <v>26.5</v>
      </c>
      <c r="M37" s="112">
        <v>92.36</v>
      </c>
      <c r="N37" s="112">
        <v>62.5</v>
      </c>
      <c r="O37" s="112">
        <v>0</v>
      </c>
      <c r="P37" s="112">
        <v>0.64</v>
      </c>
      <c r="Q37" s="112">
        <v>5.26</v>
      </c>
    </row>
    <row r="38" spans="1:17" customFormat="1">
      <c r="A38" s="189" t="s">
        <v>1324</v>
      </c>
      <c r="B38" s="112">
        <v>11.48</v>
      </c>
      <c r="C38" s="112">
        <v>16.510000000000002</v>
      </c>
      <c r="D38" s="112">
        <v>19.190000000000001</v>
      </c>
      <c r="E38" s="112">
        <v>7.52</v>
      </c>
      <c r="F38" s="112">
        <v>4.26</v>
      </c>
      <c r="G38" s="112">
        <v>24.23</v>
      </c>
      <c r="H38" s="112">
        <v>7.85</v>
      </c>
      <c r="I38" s="112">
        <v>4.76</v>
      </c>
      <c r="J38" s="112">
        <v>0.33</v>
      </c>
      <c r="K38" s="112">
        <v>269.75</v>
      </c>
      <c r="L38" s="112">
        <v>26.65</v>
      </c>
      <c r="M38" s="112">
        <v>91.09</v>
      </c>
      <c r="N38" s="112">
        <v>86.1</v>
      </c>
      <c r="O38" s="112">
        <v>0</v>
      </c>
      <c r="P38" s="112">
        <v>0.66</v>
      </c>
      <c r="Q38" s="112">
        <v>5.3</v>
      </c>
    </row>
    <row r="39" spans="1:17" customFormat="1">
      <c r="A39" s="189" t="s">
        <v>1325</v>
      </c>
      <c r="B39" s="112">
        <v>11.52</v>
      </c>
      <c r="C39" s="112">
        <v>15.55</v>
      </c>
      <c r="D39" s="112">
        <v>18.71</v>
      </c>
      <c r="E39" s="112">
        <v>7.53</v>
      </c>
      <c r="F39" s="112">
        <v>4.9800000000000004</v>
      </c>
      <c r="G39" s="112">
        <v>24.23</v>
      </c>
      <c r="H39" s="112">
        <v>7.85</v>
      </c>
      <c r="I39" s="112">
        <v>4.9800000000000004</v>
      </c>
      <c r="J39" s="112">
        <v>0.42</v>
      </c>
      <c r="K39" s="112">
        <v>264.42</v>
      </c>
      <c r="L39" s="112">
        <v>26.99</v>
      </c>
      <c r="M39" s="112">
        <v>88.78</v>
      </c>
      <c r="N39" s="112">
        <v>83</v>
      </c>
      <c r="O39" s="112">
        <v>0</v>
      </c>
      <c r="P39" s="112">
        <v>0.65</v>
      </c>
      <c r="Q39" s="112">
        <v>5.29</v>
      </c>
    </row>
    <row r="40" spans="1:17" customFormat="1">
      <c r="A40" s="189" t="s">
        <v>1326</v>
      </c>
      <c r="B40" s="112">
        <v>11.23</v>
      </c>
      <c r="C40" s="112">
        <v>14.84</v>
      </c>
      <c r="D40" s="112">
        <v>18.11</v>
      </c>
      <c r="E40" s="112">
        <v>7.26</v>
      </c>
      <c r="F40" s="112">
        <v>5.4</v>
      </c>
      <c r="G40" s="112">
        <v>24.36</v>
      </c>
      <c r="H40" s="112">
        <v>7.81</v>
      </c>
      <c r="I40" s="112">
        <v>4.95</v>
      </c>
      <c r="J40" s="112">
        <v>0.49</v>
      </c>
      <c r="K40" s="112">
        <v>265.7</v>
      </c>
      <c r="L40" s="112">
        <v>26.91</v>
      </c>
      <c r="M40" s="112">
        <v>88.39</v>
      </c>
      <c r="N40" s="112">
        <v>92.6</v>
      </c>
      <c r="O40" s="112">
        <v>0</v>
      </c>
      <c r="P40" s="112">
        <v>0.64</v>
      </c>
      <c r="Q40" s="112">
        <v>5.28</v>
      </c>
    </row>
    <row r="41" spans="1:17" customFormat="1">
      <c r="A41" s="189" t="s">
        <v>1327</v>
      </c>
      <c r="B41" s="112">
        <v>11.53</v>
      </c>
      <c r="C41" s="112">
        <v>16.71</v>
      </c>
      <c r="D41" s="112">
        <v>19.329999999999998</v>
      </c>
      <c r="E41" s="112">
        <v>7.48</v>
      </c>
      <c r="F41" s="112">
        <v>4.25</v>
      </c>
      <c r="G41" s="112">
        <v>24.46</v>
      </c>
      <c r="H41" s="112">
        <v>7.8</v>
      </c>
      <c r="I41" s="112">
        <v>4.96</v>
      </c>
      <c r="J41" s="112">
        <v>0.49</v>
      </c>
      <c r="K41" s="112">
        <v>262.42</v>
      </c>
      <c r="L41" s="112">
        <v>27.12</v>
      </c>
      <c r="M41" s="112">
        <v>87.88</v>
      </c>
      <c r="N41" s="112">
        <v>81.599999999999994</v>
      </c>
      <c r="O41" s="112">
        <v>0</v>
      </c>
      <c r="P41" s="112">
        <v>0.67</v>
      </c>
      <c r="Q41" s="112">
        <v>5.26</v>
      </c>
    </row>
    <row r="42" spans="1:17" customFormat="1">
      <c r="A42" s="189" t="s">
        <v>1328</v>
      </c>
      <c r="B42" s="112">
        <v>11.6</v>
      </c>
      <c r="C42" s="112">
        <v>16.38</v>
      </c>
      <c r="D42" s="112">
        <v>19.21</v>
      </c>
      <c r="E42" s="112">
        <v>7.72</v>
      </c>
      <c r="F42" s="112">
        <v>4.6399999999999997</v>
      </c>
      <c r="G42" s="112">
        <v>24.46</v>
      </c>
      <c r="H42" s="112">
        <v>7.8</v>
      </c>
      <c r="I42" s="112">
        <v>4.96</v>
      </c>
      <c r="J42" s="112">
        <v>0.44</v>
      </c>
      <c r="K42" s="112">
        <v>269.64</v>
      </c>
      <c r="L42" s="112">
        <v>27.02</v>
      </c>
      <c r="M42" s="112">
        <v>87.81</v>
      </c>
      <c r="N42" s="112">
        <v>59.7</v>
      </c>
      <c r="O42" s="112">
        <v>0</v>
      </c>
      <c r="P42" s="112">
        <v>0.66</v>
      </c>
      <c r="Q42" s="112">
        <v>5.29</v>
      </c>
    </row>
    <row r="43" spans="1:17" customFormat="1">
      <c r="A43" s="189" t="s">
        <v>1329</v>
      </c>
      <c r="B43" s="112">
        <v>11.35</v>
      </c>
      <c r="C43" s="112">
        <v>15.28</v>
      </c>
      <c r="D43" s="112">
        <v>18.43</v>
      </c>
      <c r="E43" s="112">
        <v>7.48</v>
      </c>
      <c r="F43" s="112">
        <v>5.32</v>
      </c>
      <c r="G43" s="112">
        <v>24.46</v>
      </c>
      <c r="H43" s="112">
        <v>7.8</v>
      </c>
      <c r="I43" s="112">
        <v>5.09</v>
      </c>
      <c r="J43" s="112">
        <v>0.35</v>
      </c>
      <c r="K43" s="112">
        <v>271.20999999999998</v>
      </c>
      <c r="L43" s="112">
        <v>27.27</v>
      </c>
      <c r="M43" s="112">
        <v>86.88</v>
      </c>
      <c r="N43" s="112">
        <v>109.7</v>
      </c>
      <c r="O43" s="112">
        <v>0</v>
      </c>
      <c r="P43" s="112">
        <v>0.65</v>
      </c>
      <c r="Q43" s="112">
        <v>5.31</v>
      </c>
    </row>
    <row r="44" spans="1:17" customFormat="1">
      <c r="A44" s="189" t="s">
        <v>1330</v>
      </c>
      <c r="B44" s="112">
        <v>11.05</v>
      </c>
      <c r="C44" s="112">
        <v>15.17</v>
      </c>
      <c r="D44" s="112">
        <v>18.14</v>
      </c>
      <c r="E44" s="112">
        <v>7.58</v>
      </c>
      <c r="F44" s="112">
        <v>5.61</v>
      </c>
      <c r="G44" s="112">
        <v>26.4</v>
      </c>
      <c r="H44" s="112">
        <v>9.86</v>
      </c>
      <c r="I44" s="112">
        <v>5.12</v>
      </c>
      <c r="J44" s="112">
        <v>0.36</v>
      </c>
      <c r="K44" s="112">
        <v>271.5</v>
      </c>
      <c r="L44" s="112">
        <v>27.64</v>
      </c>
      <c r="M44" s="112">
        <v>85.04</v>
      </c>
      <c r="N44" s="112">
        <v>141.19999999999999</v>
      </c>
      <c r="O44" s="112">
        <v>0</v>
      </c>
      <c r="P44" s="112">
        <v>0.64</v>
      </c>
      <c r="Q44" s="112">
        <v>5.31</v>
      </c>
    </row>
    <row r="45" spans="1:17" customFormat="1">
      <c r="A45" s="189" t="s">
        <v>1331</v>
      </c>
      <c r="B45" s="112">
        <v>11.4</v>
      </c>
      <c r="C45" s="112">
        <v>17.420000000000002</v>
      </c>
      <c r="D45" s="112">
        <v>19.59</v>
      </c>
      <c r="E45" s="112">
        <v>7.69</v>
      </c>
      <c r="F45" s="112">
        <v>4.6100000000000003</v>
      </c>
      <c r="G45" s="112">
        <v>27.82</v>
      </c>
      <c r="H45" s="112">
        <v>10.5</v>
      </c>
      <c r="I45" s="112">
        <v>5.1100000000000003</v>
      </c>
      <c r="J45" s="112">
        <v>0.47</v>
      </c>
      <c r="K45" s="112">
        <v>269.38</v>
      </c>
      <c r="L45" s="112">
        <v>27.93</v>
      </c>
      <c r="M45" s="112">
        <v>82.83</v>
      </c>
      <c r="N45" s="112">
        <v>167.2</v>
      </c>
      <c r="O45" s="112">
        <v>0</v>
      </c>
      <c r="P45" s="112">
        <v>0.67</v>
      </c>
      <c r="Q45" s="112">
        <v>5.31</v>
      </c>
    </row>
    <row r="46" spans="1:17" customFormat="1">
      <c r="A46" s="189" t="s">
        <v>1332</v>
      </c>
      <c r="B46" s="112">
        <v>11.72</v>
      </c>
      <c r="C46" s="112">
        <v>16.82</v>
      </c>
      <c r="D46" s="112">
        <v>19.54</v>
      </c>
      <c r="E46" s="112">
        <v>8.1</v>
      </c>
      <c r="F46" s="112">
        <v>5.07</v>
      </c>
      <c r="G46" s="112">
        <v>27.82</v>
      </c>
      <c r="H46" s="112">
        <v>10.5</v>
      </c>
      <c r="I46" s="112">
        <v>5.14</v>
      </c>
      <c r="J46" s="112">
        <v>0.56000000000000005</v>
      </c>
      <c r="K46" s="112">
        <v>279.5</v>
      </c>
      <c r="L46" s="112">
        <v>28.41</v>
      </c>
      <c r="M46" s="112">
        <v>80.3</v>
      </c>
      <c r="N46" s="112">
        <v>247.8</v>
      </c>
      <c r="O46" s="112">
        <v>0</v>
      </c>
      <c r="P46" s="112">
        <v>0.67</v>
      </c>
      <c r="Q46" s="112">
        <v>5.33</v>
      </c>
    </row>
    <row r="47" spans="1:17" customFormat="1">
      <c r="A47" s="189" t="s">
        <v>1333</v>
      </c>
      <c r="B47" s="112">
        <v>11.78</v>
      </c>
      <c r="C47" s="112">
        <v>16.59</v>
      </c>
      <c r="D47" s="112">
        <v>19.47</v>
      </c>
      <c r="E47" s="112">
        <v>7.34</v>
      </c>
      <c r="F47" s="112">
        <v>5.35</v>
      </c>
      <c r="G47" s="112">
        <v>27.82</v>
      </c>
      <c r="H47" s="112">
        <v>10.5</v>
      </c>
      <c r="I47" s="112">
        <v>5.23</v>
      </c>
      <c r="J47" s="112">
        <v>0.54</v>
      </c>
      <c r="K47" s="112">
        <v>282.92</v>
      </c>
      <c r="L47" s="112">
        <v>28.58</v>
      </c>
      <c r="M47" s="112">
        <v>79.319999999999993</v>
      </c>
      <c r="N47" s="112">
        <v>239.3</v>
      </c>
      <c r="O47" s="112">
        <v>0</v>
      </c>
      <c r="P47" s="112">
        <v>0.67</v>
      </c>
      <c r="Q47" s="112">
        <v>5.32</v>
      </c>
    </row>
    <row r="48" spans="1:17" customFormat="1">
      <c r="A48" s="189" t="s">
        <v>1334</v>
      </c>
      <c r="B48" s="112">
        <v>11.84</v>
      </c>
      <c r="C48" s="112">
        <v>16.510000000000002</v>
      </c>
      <c r="D48" s="112">
        <v>19.47</v>
      </c>
      <c r="E48" s="112">
        <v>7.05</v>
      </c>
      <c r="F48" s="112">
        <v>6.07</v>
      </c>
      <c r="G48" s="112">
        <v>30.91</v>
      </c>
      <c r="H48" s="112">
        <v>9.76</v>
      </c>
      <c r="I48" s="112">
        <v>5.19</v>
      </c>
      <c r="J48" s="112">
        <v>0.56999999999999995</v>
      </c>
      <c r="K48" s="112">
        <v>286.76</v>
      </c>
      <c r="L48" s="112">
        <v>29.04</v>
      </c>
      <c r="M48" s="112">
        <v>77.489999999999995</v>
      </c>
      <c r="N48" s="112">
        <v>369.9</v>
      </c>
      <c r="O48" s="112">
        <v>0</v>
      </c>
      <c r="P48" s="112">
        <v>0.67</v>
      </c>
      <c r="Q48" s="112">
        <v>5.29</v>
      </c>
    </row>
    <row r="49" spans="1:17" customFormat="1">
      <c r="A49" s="189" t="s">
        <v>1335</v>
      </c>
      <c r="B49" s="112">
        <v>11.8</v>
      </c>
      <c r="C49" s="112">
        <v>16.690000000000001</v>
      </c>
      <c r="D49" s="112">
        <v>19.53</v>
      </c>
      <c r="E49" s="112">
        <v>8.41</v>
      </c>
      <c r="F49" s="112">
        <v>5.88</v>
      </c>
      <c r="G49" s="112">
        <v>33.159999999999997</v>
      </c>
      <c r="H49" s="112">
        <v>9.52</v>
      </c>
      <c r="I49" s="112">
        <v>5.15</v>
      </c>
      <c r="J49" s="112">
        <v>0.64</v>
      </c>
      <c r="K49" s="112">
        <v>291.07</v>
      </c>
      <c r="L49" s="112">
        <v>29.48</v>
      </c>
      <c r="M49" s="112">
        <v>74.77</v>
      </c>
      <c r="N49" s="112">
        <v>444</v>
      </c>
      <c r="O49" s="112">
        <v>0</v>
      </c>
      <c r="P49" s="112">
        <v>0.65</v>
      </c>
      <c r="Q49" s="112">
        <v>5.3</v>
      </c>
    </row>
    <row r="50" spans="1:17" customFormat="1">
      <c r="A50" s="189" t="s">
        <v>1336</v>
      </c>
      <c r="B50" s="112">
        <v>11.52</v>
      </c>
      <c r="C50" s="112">
        <v>16.8</v>
      </c>
      <c r="D50" s="112">
        <v>19.36</v>
      </c>
      <c r="E50" s="112">
        <v>10.210000000000001</v>
      </c>
      <c r="F50" s="112">
        <v>6.05</v>
      </c>
      <c r="G50" s="112">
        <v>33.159999999999997</v>
      </c>
      <c r="H50" s="112">
        <v>9.52</v>
      </c>
      <c r="I50" s="112">
        <v>5.17</v>
      </c>
      <c r="J50" s="112">
        <v>0.77</v>
      </c>
      <c r="K50" s="112">
        <v>308.07</v>
      </c>
      <c r="L50" s="112">
        <v>30.12</v>
      </c>
      <c r="M50" s="112">
        <v>72.150000000000006</v>
      </c>
      <c r="N50" s="112">
        <v>709.8</v>
      </c>
      <c r="O50" s="112">
        <v>0</v>
      </c>
      <c r="P50" s="112">
        <v>0.64</v>
      </c>
      <c r="Q50" s="112">
        <v>5.25</v>
      </c>
    </row>
    <row r="51" spans="1:17" customFormat="1">
      <c r="A51" s="189" t="s">
        <v>1337</v>
      </c>
      <c r="B51" s="112">
        <v>11.28</v>
      </c>
      <c r="C51" s="112">
        <v>17.11</v>
      </c>
      <c r="D51" s="112">
        <v>19.329999999999998</v>
      </c>
      <c r="E51" s="112">
        <v>10.130000000000001</v>
      </c>
      <c r="F51" s="112">
        <v>5.8</v>
      </c>
      <c r="G51" s="112">
        <v>33.159999999999997</v>
      </c>
      <c r="H51" s="112">
        <v>9.52</v>
      </c>
      <c r="I51" s="112">
        <v>5.1100000000000003</v>
      </c>
      <c r="J51" s="112">
        <v>0.73</v>
      </c>
      <c r="K51" s="112">
        <v>311.18</v>
      </c>
      <c r="L51" s="112">
        <v>30.59</v>
      </c>
      <c r="M51" s="112">
        <v>70.98</v>
      </c>
      <c r="N51" s="112">
        <v>727.3</v>
      </c>
      <c r="O51" s="112">
        <v>0</v>
      </c>
      <c r="P51" s="112">
        <v>0.66</v>
      </c>
      <c r="Q51" s="112">
        <v>5.23</v>
      </c>
    </row>
    <row r="52" spans="1:17" customFormat="1">
      <c r="A52" s="189" t="s">
        <v>1338</v>
      </c>
      <c r="B52" s="112">
        <v>10.95</v>
      </c>
      <c r="C52" s="112">
        <v>18.420000000000002</v>
      </c>
      <c r="D52" s="112">
        <v>19.75</v>
      </c>
      <c r="E52" s="112">
        <v>10.15</v>
      </c>
      <c r="F52" s="112">
        <v>5.75</v>
      </c>
      <c r="G52" s="112">
        <v>36.14</v>
      </c>
      <c r="H52" s="112">
        <v>11.5</v>
      </c>
      <c r="I52" s="112">
        <v>5.01</v>
      </c>
      <c r="J52" s="112">
        <v>0.78</v>
      </c>
      <c r="K52" s="112">
        <v>283.27</v>
      </c>
      <c r="L52" s="112">
        <v>30.78</v>
      </c>
      <c r="M52" s="112">
        <v>71.489999999999995</v>
      </c>
      <c r="N52" s="112">
        <v>720.1</v>
      </c>
      <c r="O52" s="112">
        <v>0</v>
      </c>
      <c r="P52" s="112">
        <v>0.67</v>
      </c>
      <c r="Q52" s="112">
        <v>5.24</v>
      </c>
    </row>
    <row r="53" spans="1:17" customFormat="1">
      <c r="A53" s="189" t="s">
        <v>1339</v>
      </c>
      <c r="B53" s="112">
        <v>10.52</v>
      </c>
      <c r="C53" s="112">
        <v>18.79</v>
      </c>
      <c r="D53" s="112">
        <v>19.600000000000001</v>
      </c>
      <c r="E53" s="112">
        <v>10.34</v>
      </c>
      <c r="F53" s="112">
        <v>5.51</v>
      </c>
      <c r="G53" s="112">
        <v>38.31</v>
      </c>
      <c r="H53" s="112">
        <v>12.13</v>
      </c>
      <c r="I53" s="112">
        <v>5.05</v>
      </c>
      <c r="J53" s="112">
        <v>0.8</v>
      </c>
      <c r="K53" s="112">
        <v>284.75</v>
      </c>
      <c r="L53" s="112">
        <v>30.95</v>
      </c>
      <c r="M53" s="112">
        <v>71.010000000000005</v>
      </c>
      <c r="N53" s="112">
        <v>636.29999999999995</v>
      </c>
      <c r="O53" s="112">
        <v>0</v>
      </c>
      <c r="P53" s="112">
        <v>0.69</v>
      </c>
      <c r="Q53" s="112">
        <v>5.22</v>
      </c>
    </row>
    <row r="54" spans="1:17" customFormat="1">
      <c r="A54" s="189" t="s">
        <v>1340</v>
      </c>
      <c r="B54" s="112">
        <v>10.15</v>
      </c>
      <c r="C54" s="112">
        <v>18.18</v>
      </c>
      <c r="D54" s="112">
        <v>18.989999999999998</v>
      </c>
      <c r="E54" s="112">
        <v>10.73</v>
      </c>
      <c r="F54" s="112">
        <v>6.12</v>
      </c>
      <c r="G54" s="112">
        <v>38.31</v>
      </c>
      <c r="H54" s="112">
        <v>12.13</v>
      </c>
      <c r="I54" s="112">
        <v>5.01</v>
      </c>
      <c r="J54" s="112">
        <v>0.61</v>
      </c>
      <c r="K54" s="112">
        <v>315.63</v>
      </c>
      <c r="L54" s="112">
        <v>31.02</v>
      </c>
      <c r="M54" s="112">
        <v>70.11</v>
      </c>
      <c r="N54" s="112">
        <v>540.6</v>
      </c>
      <c r="O54" s="112">
        <v>0</v>
      </c>
      <c r="P54" s="112">
        <v>0.68</v>
      </c>
      <c r="Q54" s="112">
        <v>5.21</v>
      </c>
    </row>
    <row r="55" spans="1:17" customFormat="1">
      <c r="A55" s="189" t="s">
        <v>1341</v>
      </c>
      <c r="B55" s="112">
        <v>9.9</v>
      </c>
      <c r="C55" s="112">
        <v>17.920000000000002</v>
      </c>
      <c r="D55" s="112">
        <v>18.649999999999999</v>
      </c>
      <c r="E55" s="112">
        <v>10.49</v>
      </c>
      <c r="F55" s="112">
        <v>7.35</v>
      </c>
      <c r="G55" s="112">
        <v>38.31</v>
      </c>
      <c r="H55" s="112">
        <v>12.13</v>
      </c>
      <c r="I55" s="112">
        <v>5.0199999999999996</v>
      </c>
      <c r="J55" s="112">
        <v>0.42</v>
      </c>
      <c r="K55" s="112">
        <v>331.96</v>
      </c>
      <c r="L55" s="112">
        <v>31.24</v>
      </c>
      <c r="M55" s="112">
        <v>70.16</v>
      </c>
      <c r="N55" s="112">
        <v>466</v>
      </c>
      <c r="O55" s="112">
        <v>0</v>
      </c>
      <c r="P55" s="112">
        <v>0.68</v>
      </c>
      <c r="Q55" s="112">
        <v>5.19</v>
      </c>
    </row>
    <row r="56" spans="1:17" customFormat="1">
      <c r="A56" s="189" t="s">
        <v>1342</v>
      </c>
      <c r="B56" s="112">
        <v>9.74</v>
      </c>
      <c r="C56" s="112">
        <v>17.98</v>
      </c>
      <c r="D56" s="112">
        <v>18.559999999999999</v>
      </c>
      <c r="E56" s="112">
        <v>10.85</v>
      </c>
      <c r="F56" s="112">
        <v>7.17</v>
      </c>
      <c r="G56" s="112">
        <v>40.42</v>
      </c>
      <c r="H56" s="112">
        <v>13.69</v>
      </c>
      <c r="I56" s="112">
        <v>4.9400000000000004</v>
      </c>
      <c r="J56" s="112">
        <v>0.69</v>
      </c>
      <c r="K56" s="112">
        <v>306.41000000000003</v>
      </c>
      <c r="L56" s="112">
        <v>30.94</v>
      </c>
      <c r="M56" s="112">
        <v>71.150000000000006</v>
      </c>
      <c r="N56" s="112">
        <v>355.7</v>
      </c>
      <c r="O56" s="112">
        <v>0</v>
      </c>
      <c r="P56" s="112">
        <v>0.67</v>
      </c>
      <c r="Q56" s="112">
        <v>5.17</v>
      </c>
    </row>
    <row r="57" spans="1:17" customFormat="1">
      <c r="A57" s="189" t="s">
        <v>1343</v>
      </c>
      <c r="B57" s="112">
        <v>9.57</v>
      </c>
      <c r="C57" s="112">
        <v>18.38</v>
      </c>
      <c r="D57" s="112">
        <v>18.63</v>
      </c>
      <c r="E57" s="112">
        <v>10.199999999999999</v>
      </c>
      <c r="F57" s="112">
        <v>6.25</v>
      </c>
      <c r="G57" s="112">
        <v>41.97</v>
      </c>
      <c r="H57" s="112">
        <v>14.58</v>
      </c>
      <c r="I57" s="112">
        <v>4.8499999999999996</v>
      </c>
      <c r="J57" s="112">
        <v>0.79</v>
      </c>
      <c r="K57" s="112">
        <v>279.66000000000003</v>
      </c>
      <c r="L57" s="112">
        <v>31.08</v>
      </c>
      <c r="M57" s="112">
        <v>70.97</v>
      </c>
      <c r="N57" s="112">
        <v>530.5</v>
      </c>
      <c r="O57" s="112">
        <v>0</v>
      </c>
      <c r="P57" s="112">
        <v>0.66</v>
      </c>
      <c r="Q57" s="112">
        <v>5.16</v>
      </c>
    </row>
    <row r="58" spans="1:17" customFormat="1">
      <c r="A58" s="189" t="s">
        <v>1344</v>
      </c>
      <c r="B58" s="112">
        <v>9.25</v>
      </c>
      <c r="C58" s="112">
        <v>18.059999999999999</v>
      </c>
      <c r="D58" s="112">
        <v>18.21</v>
      </c>
      <c r="E58" s="112">
        <v>9.51</v>
      </c>
      <c r="F58" s="112">
        <v>5.94</v>
      </c>
      <c r="G58" s="112">
        <v>41.97</v>
      </c>
      <c r="H58" s="112">
        <v>14.58</v>
      </c>
      <c r="I58" s="112">
        <v>4.84</v>
      </c>
      <c r="J58" s="112">
        <v>0.71</v>
      </c>
      <c r="K58" s="112">
        <v>291.45</v>
      </c>
      <c r="L58" s="112">
        <v>30.74</v>
      </c>
      <c r="M58" s="112">
        <v>71.349999999999994</v>
      </c>
      <c r="N58" s="112">
        <v>394.6</v>
      </c>
      <c r="O58" s="112">
        <v>0</v>
      </c>
      <c r="P58" s="112">
        <v>0.64</v>
      </c>
      <c r="Q58" s="112">
        <v>5.13</v>
      </c>
    </row>
    <row r="59" spans="1:17" customFormat="1">
      <c r="A59" s="189" t="s">
        <v>1345</v>
      </c>
      <c r="B59" s="112">
        <v>9</v>
      </c>
      <c r="C59" s="112">
        <v>17.829999999999998</v>
      </c>
      <c r="D59" s="112">
        <v>17.88</v>
      </c>
      <c r="E59" s="112">
        <v>9.43</v>
      </c>
      <c r="F59" s="112">
        <v>5.98</v>
      </c>
      <c r="G59" s="112">
        <v>41.97</v>
      </c>
      <c r="H59" s="112">
        <v>14.58</v>
      </c>
      <c r="I59" s="112">
        <v>4.8600000000000003</v>
      </c>
      <c r="J59" s="112">
        <v>0.86</v>
      </c>
      <c r="K59" s="112">
        <v>278.62</v>
      </c>
      <c r="L59" s="112">
        <v>30.87</v>
      </c>
      <c r="M59" s="112">
        <v>70.63</v>
      </c>
      <c r="N59" s="112">
        <v>696.6</v>
      </c>
      <c r="O59" s="112">
        <v>0</v>
      </c>
      <c r="P59" s="112">
        <v>0.64</v>
      </c>
      <c r="Q59" s="112">
        <v>5.1100000000000003</v>
      </c>
    </row>
    <row r="60" spans="1:17" customFormat="1">
      <c r="A60" s="189" t="s">
        <v>1346</v>
      </c>
      <c r="B60" s="112">
        <v>8.6</v>
      </c>
      <c r="C60" s="112">
        <v>17.71</v>
      </c>
      <c r="D60" s="112">
        <v>17.510000000000002</v>
      </c>
      <c r="E60" s="112">
        <v>9.6199999999999992</v>
      </c>
      <c r="F60" s="112">
        <v>6.81</v>
      </c>
      <c r="G60" s="112">
        <v>43.51</v>
      </c>
      <c r="H60" s="112">
        <v>13.29</v>
      </c>
      <c r="I60" s="112">
        <v>4.8</v>
      </c>
      <c r="J60" s="112">
        <v>0.97</v>
      </c>
      <c r="K60" s="112">
        <v>308.8</v>
      </c>
      <c r="L60" s="112">
        <v>31.13</v>
      </c>
      <c r="M60" s="112">
        <v>69.42</v>
      </c>
      <c r="N60" s="112">
        <v>805.9</v>
      </c>
      <c r="O60" s="112">
        <v>0</v>
      </c>
      <c r="P60" s="112">
        <v>0.64</v>
      </c>
      <c r="Q60" s="112">
        <v>5.09</v>
      </c>
    </row>
    <row r="61" spans="1:17" customFormat="1">
      <c r="A61" s="189" t="s">
        <v>1347</v>
      </c>
      <c r="B61" s="112">
        <v>8.31</v>
      </c>
      <c r="C61" s="112">
        <v>17.7</v>
      </c>
      <c r="D61" s="112">
        <v>17.260000000000002</v>
      </c>
      <c r="E61" s="112">
        <v>9.42</v>
      </c>
      <c r="F61" s="112">
        <v>6.1</v>
      </c>
      <c r="G61" s="112">
        <v>44.64</v>
      </c>
      <c r="H61" s="112">
        <v>12.89</v>
      </c>
      <c r="I61" s="112">
        <v>4.79</v>
      </c>
      <c r="J61" s="112">
        <v>1.1299999999999999</v>
      </c>
      <c r="K61" s="112">
        <v>295.45</v>
      </c>
      <c r="L61" s="112">
        <v>30.8</v>
      </c>
      <c r="M61" s="112">
        <v>69.47</v>
      </c>
      <c r="N61" s="112">
        <v>561.9</v>
      </c>
      <c r="O61" s="112">
        <v>0</v>
      </c>
      <c r="P61" s="112">
        <v>0.63</v>
      </c>
      <c r="Q61" s="112">
        <v>5.09</v>
      </c>
    </row>
    <row r="62" spans="1:17" customFormat="1">
      <c r="A62" s="189" t="s">
        <v>1348</v>
      </c>
      <c r="B62" s="112">
        <v>8.11</v>
      </c>
      <c r="C62" s="112">
        <v>17.48</v>
      </c>
      <c r="D62" s="112">
        <v>16.989999999999998</v>
      </c>
      <c r="E62" s="112">
        <v>9.0500000000000007</v>
      </c>
      <c r="F62" s="112">
        <v>5.89</v>
      </c>
      <c r="G62" s="112">
        <v>44.64</v>
      </c>
      <c r="H62" s="112">
        <v>12.89</v>
      </c>
      <c r="I62" s="112">
        <v>4.6399999999999997</v>
      </c>
      <c r="J62" s="112">
        <v>0.7</v>
      </c>
      <c r="K62" s="112">
        <v>289.32</v>
      </c>
      <c r="L62" s="112">
        <v>30.04</v>
      </c>
      <c r="M62" s="112">
        <v>71.819999999999993</v>
      </c>
      <c r="N62" s="112">
        <v>317</v>
      </c>
      <c r="O62" s="112">
        <v>0</v>
      </c>
      <c r="P62" s="112">
        <v>0.63</v>
      </c>
      <c r="Q62" s="112">
        <v>5.03</v>
      </c>
    </row>
    <row r="63" spans="1:17" customFormat="1">
      <c r="A63" s="189" t="s">
        <v>1349</v>
      </c>
      <c r="B63" s="112">
        <v>7.92</v>
      </c>
      <c r="C63" s="112">
        <v>17.440000000000001</v>
      </c>
      <c r="D63" s="112">
        <v>16.809999999999999</v>
      </c>
      <c r="E63" s="112">
        <v>8.76</v>
      </c>
      <c r="F63" s="112">
        <v>5.98</v>
      </c>
      <c r="G63" s="112">
        <v>44.64</v>
      </c>
      <c r="H63" s="112">
        <v>12.89</v>
      </c>
      <c r="I63" s="112">
        <v>4.62</v>
      </c>
      <c r="J63" s="112">
        <v>0.86</v>
      </c>
      <c r="K63" s="112">
        <v>279.32</v>
      </c>
      <c r="L63" s="112">
        <v>30.79</v>
      </c>
      <c r="M63" s="112">
        <v>70.53</v>
      </c>
      <c r="N63" s="112">
        <v>668.5</v>
      </c>
      <c r="O63" s="112">
        <v>0</v>
      </c>
      <c r="P63" s="112">
        <v>0.62</v>
      </c>
      <c r="Q63" s="112">
        <v>5.0199999999999996</v>
      </c>
    </row>
    <row r="64" spans="1:17" customFormat="1">
      <c r="A64" s="189" t="s">
        <v>1350</v>
      </c>
      <c r="B64" s="112">
        <v>7.73</v>
      </c>
      <c r="C64" s="112">
        <v>17.34</v>
      </c>
      <c r="D64" s="112">
        <v>16.61</v>
      </c>
      <c r="E64" s="112">
        <v>8.6999999999999993</v>
      </c>
      <c r="F64" s="112">
        <v>6.04</v>
      </c>
      <c r="G64" s="112">
        <v>45.04</v>
      </c>
      <c r="H64" s="112">
        <v>11.58</v>
      </c>
      <c r="I64" s="112">
        <v>4.54</v>
      </c>
      <c r="J64" s="112">
        <v>0.74</v>
      </c>
      <c r="K64" s="112">
        <v>291.39999999999998</v>
      </c>
      <c r="L64" s="112">
        <v>31.06</v>
      </c>
      <c r="M64" s="112">
        <v>70.040000000000006</v>
      </c>
      <c r="N64" s="112">
        <v>585.9</v>
      </c>
      <c r="O64" s="112">
        <v>0</v>
      </c>
      <c r="P64" s="112">
        <v>0.62</v>
      </c>
      <c r="Q64" s="112">
        <v>4.99</v>
      </c>
    </row>
    <row r="65" spans="1:17" customFormat="1">
      <c r="A65" s="189" t="s">
        <v>1351</v>
      </c>
      <c r="B65" s="112">
        <v>7.71</v>
      </c>
      <c r="C65" s="112">
        <v>17.62</v>
      </c>
      <c r="D65" s="112">
        <v>16.739999999999998</v>
      </c>
      <c r="E65" s="112">
        <v>8.93</v>
      </c>
      <c r="F65" s="112">
        <v>6.24</v>
      </c>
      <c r="G65" s="112">
        <v>45.33</v>
      </c>
      <c r="H65" s="112">
        <v>11.16</v>
      </c>
      <c r="I65" s="112">
        <v>4.47</v>
      </c>
      <c r="J65" s="112">
        <v>1.04</v>
      </c>
      <c r="K65" s="112">
        <v>285.54000000000002</v>
      </c>
      <c r="L65" s="112">
        <v>31.29</v>
      </c>
      <c r="M65" s="112">
        <v>67.97</v>
      </c>
      <c r="N65" s="112">
        <v>663.3</v>
      </c>
      <c r="O65" s="112">
        <v>0</v>
      </c>
      <c r="P65" s="112">
        <v>0.6</v>
      </c>
      <c r="Q65" s="112">
        <v>4.9800000000000004</v>
      </c>
    </row>
    <row r="66" spans="1:17" customFormat="1">
      <c r="A66" s="189" t="s">
        <v>1352</v>
      </c>
      <c r="B66" s="112">
        <v>7.52</v>
      </c>
      <c r="C66" s="112">
        <v>17.28</v>
      </c>
      <c r="D66" s="112">
        <v>16.41</v>
      </c>
      <c r="E66" s="112">
        <v>8.84</v>
      </c>
      <c r="F66" s="112">
        <v>6.26</v>
      </c>
      <c r="G66" s="112">
        <v>45.33</v>
      </c>
      <c r="H66" s="112">
        <v>11.16</v>
      </c>
      <c r="I66" s="112">
        <v>4.45</v>
      </c>
      <c r="J66" s="112">
        <v>0.95</v>
      </c>
      <c r="K66" s="112">
        <v>296.29000000000002</v>
      </c>
      <c r="L66" s="112">
        <v>31.7</v>
      </c>
      <c r="M66" s="112">
        <v>66.42</v>
      </c>
      <c r="N66" s="112">
        <v>591</v>
      </c>
      <c r="O66" s="112">
        <v>0</v>
      </c>
      <c r="P66" s="112">
        <v>0.6</v>
      </c>
      <c r="Q66" s="112">
        <v>4.9400000000000004</v>
      </c>
    </row>
    <row r="67" spans="1:17" customFormat="1">
      <c r="A67" s="189" t="s">
        <v>1353</v>
      </c>
      <c r="B67" s="112">
        <v>7.16</v>
      </c>
      <c r="C67" s="112">
        <v>17.46</v>
      </c>
      <c r="D67" s="112">
        <v>16.21</v>
      </c>
      <c r="E67" s="112">
        <v>8.5</v>
      </c>
      <c r="F67" s="112">
        <v>5.85</v>
      </c>
      <c r="G67" s="112">
        <v>45.33</v>
      </c>
      <c r="H67" s="112">
        <v>11.16</v>
      </c>
      <c r="I67" s="112">
        <v>4.3899999999999997</v>
      </c>
      <c r="J67" s="112">
        <v>0.81</v>
      </c>
      <c r="K67" s="112">
        <v>284.95</v>
      </c>
      <c r="L67" s="112">
        <v>30.51</v>
      </c>
      <c r="M67" s="112">
        <v>70.12</v>
      </c>
      <c r="N67" s="112">
        <v>180</v>
      </c>
      <c r="O67" s="112">
        <v>0</v>
      </c>
      <c r="P67" s="112">
        <v>0.6</v>
      </c>
      <c r="Q67" s="112">
        <v>4.9400000000000004</v>
      </c>
    </row>
    <row r="68" spans="1:17" customFormat="1">
      <c r="A68" s="189" t="s">
        <v>1354</v>
      </c>
      <c r="B68" s="112">
        <v>7.12</v>
      </c>
      <c r="C68" s="112">
        <v>16.989999999999998</v>
      </c>
      <c r="D68" s="112">
        <v>15.94</v>
      </c>
      <c r="E68" s="112">
        <v>8.75</v>
      </c>
      <c r="F68" s="112">
        <v>5.66</v>
      </c>
      <c r="G68" s="112">
        <v>43.91</v>
      </c>
      <c r="H68" s="112">
        <v>12.68</v>
      </c>
      <c r="I68" s="112">
        <v>4.33</v>
      </c>
      <c r="J68" s="112">
        <v>0.9</v>
      </c>
      <c r="K68" s="112">
        <v>284.58</v>
      </c>
      <c r="L68" s="112">
        <v>29.9</v>
      </c>
      <c r="M68" s="112">
        <v>72.17</v>
      </c>
      <c r="N68" s="112">
        <v>194.8</v>
      </c>
      <c r="O68" s="112">
        <v>0</v>
      </c>
      <c r="P68" s="112">
        <v>0.59</v>
      </c>
      <c r="Q68" s="112">
        <v>4.92</v>
      </c>
    </row>
    <row r="69" spans="1:17" customFormat="1">
      <c r="A69" s="189" t="s">
        <v>1355</v>
      </c>
      <c r="B69" s="112">
        <v>6.99</v>
      </c>
      <c r="C69" s="112">
        <v>16.87</v>
      </c>
      <c r="D69" s="112">
        <v>15.77</v>
      </c>
      <c r="E69" s="112">
        <v>8.57</v>
      </c>
      <c r="F69" s="112">
        <v>5.88</v>
      </c>
      <c r="G69" s="112">
        <v>42.88</v>
      </c>
      <c r="H69" s="112">
        <v>13.16</v>
      </c>
      <c r="I69" s="112">
        <v>4.29</v>
      </c>
      <c r="J69" s="112">
        <v>0.87</v>
      </c>
      <c r="K69" s="112">
        <v>285.11</v>
      </c>
      <c r="L69" s="112">
        <v>30.41</v>
      </c>
      <c r="M69" s="112">
        <v>70.88</v>
      </c>
      <c r="N69" s="112">
        <v>271.2</v>
      </c>
      <c r="O69" s="112">
        <v>0</v>
      </c>
      <c r="P69" s="112">
        <v>0.57999999999999996</v>
      </c>
      <c r="Q69" s="112">
        <v>4.8899999999999997</v>
      </c>
    </row>
    <row r="70" spans="1:17" customFormat="1">
      <c r="A70" s="189" t="s">
        <v>1356</v>
      </c>
      <c r="B70" s="112">
        <v>6.86</v>
      </c>
      <c r="C70" s="112">
        <v>16.760000000000002</v>
      </c>
      <c r="D70" s="112">
        <v>15.61</v>
      </c>
      <c r="E70" s="112">
        <v>8.3000000000000007</v>
      </c>
      <c r="F70" s="112">
        <v>6.03</v>
      </c>
      <c r="G70" s="112">
        <v>42.88</v>
      </c>
      <c r="H70" s="112">
        <v>13.16</v>
      </c>
      <c r="I70" s="112">
        <v>4.22</v>
      </c>
      <c r="J70" s="112">
        <v>0.78</v>
      </c>
      <c r="K70" s="112">
        <v>273.43</v>
      </c>
      <c r="L70" s="112">
        <v>30.04</v>
      </c>
      <c r="M70" s="112">
        <v>73.62</v>
      </c>
      <c r="N70" s="112">
        <v>126.5</v>
      </c>
      <c r="O70" s="112">
        <v>0</v>
      </c>
      <c r="P70" s="112">
        <v>0.57999999999999996</v>
      </c>
      <c r="Q70" s="112">
        <v>4.88</v>
      </c>
    </row>
    <row r="71" spans="1:17" customFormat="1">
      <c r="A71" s="189" t="s">
        <v>1357</v>
      </c>
      <c r="B71" s="112">
        <v>6.86</v>
      </c>
      <c r="C71" s="112">
        <v>16.739999999999998</v>
      </c>
      <c r="D71" s="112">
        <v>15.6</v>
      </c>
      <c r="E71" s="112">
        <v>8.44</v>
      </c>
      <c r="F71" s="112">
        <v>6.06</v>
      </c>
      <c r="G71" s="112">
        <v>42.88</v>
      </c>
      <c r="H71" s="112">
        <v>13.16</v>
      </c>
      <c r="I71" s="112">
        <v>4.13</v>
      </c>
      <c r="J71" s="112">
        <v>0.7</v>
      </c>
      <c r="K71" s="112">
        <v>285.57</v>
      </c>
      <c r="L71" s="112">
        <v>29.9</v>
      </c>
      <c r="M71" s="112">
        <v>74.05</v>
      </c>
      <c r="N71" s="112">
        <v>112.6</v>
      </c>
      <c r="O71" s="112">
        <v>0</v>
      </c>
      <c r="P71" s="112">
        <v>0.57999999999999996</v>
      </c>
      <c r="Q71" s="112">
        <v>4.87</v>
      </c>
    </row>
    <row r="72" spans="1:17" customFormat="1">
      <c r="A72" s="189" t="s">
        <v>1358</v>
      </c>
      <c r="B72" s="112">
        <v>6.78</v>
      </c>
      <c r="C72" s="112">
        <v>16.600000000000001</v>
      </c>
      <c r="D72" s="112">
        <v>15.47</v>
      </c>
      <c r="E72" s="112">
        <v>8.75</v>
      </c>
      <c r="F72" s="112">
        <v>6.56</v>
      </c>
      <c r="G72" s="112">
        <v>42.23</v>
      </c>
      <c r="H72" s="112">
        <v>12.71</v>
      </c>
      <c r="I72" s="112">
        <v>4.07</v>
      </c>
      <c r="J72" s="112">
        <v>0.78</v>
      </c>
      <c r="K72" s="112">
        <v>267.02999999999997</v>
      </c>
      <c r="L72" s="112">
        <v>29.81</v>
      </c>
      <c r="M72" s="112">
        <v>75.36</v>
      </c>
      <c r="N72" s="112">
        <v>115.5</v>
      </c>
      <c r="O72" s="112">
        <v>0</v>
      </c>
      <c r="P72" s="112">
        <v>0.56999999999999995</v>
      </c>
      <c r="Q72" s="112">
        <v>4.87</v>
      </c>
    </row>
    <row r="73" spans="1:17" customFormat="1">
      <c r="A73" s="189" t="s">
        <v>1359</v>
      </c>
      <c r="B73" s="112">
        <v>6.69</v>
      </c>
      <c r="C73" s="112">
        <v>16.16</v>
      </c>
      <c r="D73" s="112">
        <v>15.16</v>
      </c>
      <c r="E73" s="112">
        <v>8.9</v>
      </c>
      <c r="F73" s="112">
        <v>6.5</v>
      </c>
      <c r="G73" s="112">
        <v>41.76</v>
      </c>
      <c r="H73" s="112">
        <v>12.57</v>
      </c>
      <c r="I73" s="112">
        <v>4.0199999999999996</v>
      </c>
      <c r="J73" s="112">
        <v>0.6</v>
      </c>
      <c r="K73" s="112">
        <v>262.16000000000003</v>
      </c>
      <c r="L73" s="112">
        <v>29.55</v>
      </c>
      <c r="M73" s="112">
        <v>78.2</v>
      </c>
      <c r="N73" s="112">
        <v>68.8</v>
      </c>
      <c r="O73" s="112">
        <v>0</v>
      </c>
      <c r="P73" s="112">
        <v>0.56999999999999995</v>
      </c>
      <c r="Q73" s="112">
        <v>4.88</v>
      </c>
    </row>
    <row r="74" spans="1:17" customFormat="1">
      <c r="A74" s="189" t="s">
        <v>1360</v>
      </c>
      <c r="B74" s="112">
        <v>6.64</v>
      </c>
      <c r="C74" s="112">
        <v>15.5</v>
      </c>
      <c r="D74" s="112">
        <v>14.78</v>
      </c>
      <c r="E74" s="112">
        <v>9.35</v>
      </c>
      <c r="F74" s="112">
        <v>6.64</v>
      </c>
      <c r="G74" s="112">
        <v>41.76</v>
      </c>
      <c r="H74" s="112">
        <v>12.57</v>
      </c>
      <c r="I74" s="112">
        <v>3.99</v>
      </c>
      <c r="J74" s="112">
        <v>0.46</v>
      </c>
      <c r="K74" s="112">
        <v>270.85000000000002</v>
      </c>
      <c r="L74" s="112">
        <v>29.2</v>
      </c>
      <c r="M74" s="112">
        <v>78.739999999999995</v>
      </c>
      <c r="N74" s="112">
        <v>30.5</v>
      </c>
      <c r="O74" s="112">
        <v>0</v>
      </c>
      <c r="P74" s="112">
        <v>0.6</v>
      </c>
      <c r="Q74" s="112">
        <v>4.8600000000000003</v>
      </c>
    </row>
    <row r="75" spans="1:17" customFormat="1">
      <c r="A75" s="189" t="s">
        <v>1361</v>
      </c>
      <c r="B75" s="112">
        <v>6.38</v>
      </c>
      <c r="C75" s="112">
        <v>15.13</v>
      </c>
      <c r="D75" s="112">
        <v>14.37</v>
      </c>
      <c r="E75" s="112">
        <v>9.7200000000000006</v>
      </c>
      <c r="F75" s="112">
        <v>7.33</v>
      </c>
      <c r="G75" s="112">
        <v>41.76</v>
      </c>
      <c r="H75" s="112">
        <v>12.57</v>
      </c>
      <c r="I75" s="112">
        <v>4.12</v>
      </c>
      <c r="J75" s="112">
        <v>0.32</v>
      </c>
      <c r="K75" s="112">
        <v>266.8</v>
      </c>
      <c r="L75" s="112">
        <v>28.95</v>
      </c>
      <c r="M75" s="112">
        <v>80.790000000000006</v>
      </c>
      <c r="N75" s="112">
        <v>16.600000000000001</v>
      </c>
      <c r="O75" s="112">
        <v>0</v>
      </c>
      <c r="P75" s="112">
        <v>0.62</v>
      </c>
      <c r="Q75" s="112">
        <v>4.8600000000000003</v>
      </c>
    </row>
    <row r="76" spans="1:17" customFormat="1">
      <c r="A76" s="189" t="s">
        <v>1362</v>
      </c>
      <c r="B76" s="112">
        <v>6.15</v>
      </c>
      <c r="C76" s="112">
        <v>14.48</v>
      </c>
      <c r="D76" s="112">
        <v>13.85</v>
      </c>
      <c r="E76" s="112">
        <v>9.93</v>
      </c>
      <c r="F76" s="112">
        <v>8.89</v>
      </c>
      <c r="G76" s="112">
        <v>40.32</v>
      </c>
      <c r="H76" s="112">
        <v>11.59</v>
      </c>
      <c r="I76" s="112">
        <v>4.47</v>
      </c>
      <c r="J76" s="112">
        <v>0.27</v>
      </c>
      <c r="K76" s="112">
        <v>258.99</v>
      </c>
      <c r="L76" s="112">
        <v>28.84</v>
      </c>
      <c r="M76" s="112">
        <v>81.78</v>
      </c>
      <c r="N76" s="112">
        <v>8.6</v>
      </c>
      <c r="O76" s="112">
        <v>0</v>
      </c>
      <c r="P76" s="112">
        <v>0.64</v>
      </c>
      <c r="Q76" s="112">
        <v>4.9000000000000004</v>
      </c>
    </row>
    <row r="77" spans="1:17" customFormat="1">
      <c r="A77" s="189" t="s">
        <v>1363</v>
      </c>
      <c r="B77" s="112">
        <v>6.09</v>
      </c>
      <c r="C77" s="112">
        <v>13.93</v>
      </c>
      <c r="D77" s="112">
        <v>13.51</v>
      </c>
      <c r="E77" s="112">
        <v>9.0299999999999994</v>
      </c>
      <c r="F77" s="112">
        <v>8.98</v>
      </c>
      <c r="G77" s="112">
        <v>39.270000000000003</v>
      </c>
      <c r="H77" s="112">
        <v>11.28</v>
      </c>
      <c r="I77" s="112">
        <v>4.5999999999999996</v>
      </c>
      <c r="J77" s="112">
        <v>0.23</v>
      </c>
      <c r="K77" s="112">
        <v>251.27</v>
      </c>
      <c r="L77" s="112">
        <v>28.77</v>
      </c>
      <c r="M77" s="112">
        <v>83.05</v>
      </c>
      <c r="N77" s="112">
        <v>5.0999999999999996</v>
      </c>
      <c r="O77" s="112">
        <v>0</v>
      </c>
      <c r="P77" s="112">
        <v>0.62</v>
      </c>
      <c r="Q77" s="112">
        <v>4.91</v>
      </c>
    </row>
    <row r="78" spans="1:17" customFormat="1">
      <c r="A78" s="189" t="s">
        <v>1364</v>
      </c>
      <c r="B78" s="112">
        <v>6.03</v>
      </c>
      <c r="C78" s="112">
        <v>13.81</v>
      </c>
      <c r="D78" s="112">
        <v>13.41</v>
      </c>
      <c r="E78" s="112">
        <v>9.02</v>
      </c>
      <c r="F78" s="112">
        <v>8.9</v>
      </c>
      <c r="G78" s="112">
        <v>39.270000000000003</v>
      </c>
      <c r="H78" s="112">
        <v>11.28</v>
      </c>
      <c r="I78" s="112">
        <v>4.4400000000000004</v>
      </c>
      <c r="J78" s="112">
        <v>0.11</v>
      </c>
      <c r="K78" s="112">
        <v>205.01</v>
      </c>
      <c r="L78" s="112">
        <v>28.59</v>
      </c>
      <c r="M78" s="112">
        <v>84.73</v>
      </c>
      <c r="N78" s="112">
        <v>0</v>
      </c>
      <c r="O78" s="112">
        <v>0</v>
      </c>
      <c r="P78" s="112">
        <v>0.59</v>
      </c>
      <c r="Q78" s="112">
        <v>4.93</v>
      </c>
    </row>
    <row r="79" spans="1:17" customFormat="1">
      <c r="A79" s="189" t="s">
        <v>1365</v>
      </c>
      <c r="B79" s="112">
        <v>6</v>
      </c>
      <c r="C79" s="112">
        <v>12.92</v>
      </c>
      <c r="D79" s="112">
        <v>12.91</v>
      </c>
      <c r="E79" s="112">
        <v>9.07</v>
      </c>
      <c r="F79" s="112">
        <v>9.8699999999999992</v>
      </c>
      <c r="G79" s="112">
        <v>39.270000000000003</v>
      </c>
      <c r="H79" s="112">
        <v>11.28</v>
      </c>
      <c r="I79" s="112">
        <v>4.29</v>
      </c>
      <c r="J79" s="112">
        <v>0.2</v>
      </c>
      <c r="K79" s="112">
        <v>169.25</v>
      </c>
      <c r="L79" s="112">
        <v>28.59</v>
      </c>
      <c r="M79" s="112">
        <v>85.17</v>
      </c>
      <c r="N79" s="112">
        <v>0</v>
      </c>
      <c r="O79" s="112">
        <v>0</v>
      </c>
      <c r="P79" s="112">
        <v>0.59</v>
      </c>
      <c r="Q79" s="112">
        <v>4.96</v>
      </c>
    </row>
    <row r="80" spans="1:17" customFormat="1">
      <c r="A80" s="189" t="s">
        <v>1366</v>
      </c>
      <c r="B80" s="112">
        <v>5.71</v>
      </c>
      <c r="C80" s="112">
        <v>12.07</v>
      </c>
      <c r="D80" s="112">
        <v>12.24</v>
      </c>
      <c r="E80" s="112">
        <v>8.9499999999999993</v>
      </c>
      <c r="F80" s="112">
        <v>11.08</v>
      </c>
      <c r="G80" s="112">
        <v>37.770000000000003</v>
      </c>
      <c r="H80" s="112">
        <v>11.09</v>
      </c>
      <c r="I80" s="112">
        <v>4.57</v>
      </c>
      <c r="J80" s="112">
        <v>0.17</v>
      </c>
      <c r="K80" s="112">
        <v>233.31</v>
      </c>
      <c r="L80" s="112">
        <v>28.4</v>
      </c>
      <c r="M80" s="112">
        <v>85.58</v>
      </c>
      <c r="N80" s="112">
        <v>0</v>
      </c>
      <c r="O80" s="112">
        <v>0</v>
      </c>
      <c r="P80" s="112">
        <v>0.59</v>
      </c>
      <c r="Q80" s="112">
        <v>5.04</v>
      </c>
    </row>
    <row r="81" spans="1:17" customFormat="1">
      <c r="A81" s="189" t="s">
        <v>1367</v>
      </c>
      <c r="B81" s="112">
        <v>5.85</v>
      </c>
      <c r="C81" s="112">
        <v>12.76</v>
      </c>
      <c r="D81" s="112">
        <v>12.71</v>
      </c>
      <c r="E81" s="112">
        <v>7.06</v>
      </c>
      <c r="F81" s="112">
        <v>9.43</v>
      </c>
      <c r="G81" s="112">
        <v>36.68</v>
      </c>
      <c r="H81" s="112">
        <v>10.98</v>
      </c>
      <c r="I81" s="112">
        <v>4.84</v>
      </c>
      <c r="J81" s="112">
        <v>0.14000000000000001</v>
      </c>
      <c r="K81" s="112">
        <v>192.32</v>
      </c>
      <c r="L81" s="112">
        <v>28.38</v>
      </c>
      <c r="M81" s="112">
        <v>86.11</v>
      </c>
      <c r="N81" s="112">
        <v>0</v>
      </c>
      <c r="O81" s="112">
        <v>0</v>
      </c>
      <c r="P81" s="112">
        <v>0.56999999999999995</v>
      </c>
      <c r="Q81" s="112">
        <v>5.0999999999999996</v>
      </c>
    </row>
    <row r="82" spans="1:17" customFormat="1">
      <c r="A82" s="189" t="s">
        <v>1368</v>
      </c>
      <c r="B82" s="112">
        <v>6.38</v>
      </c>
      <c r="C82" s="112">
        <v>15.07</v>
      </c>
      <c r="D82" s="112">
        <v>14.34</v>
      </c>
      <c r="E82" s="112">
        <v>8.3699999999999992</v>
      </c>
      <c r="F82" s="112">
        <v>7.32</v>
      </c>
      <c r="G82" s="112">
        <v>36.68</v>
      </c>
      <c r="H82" s="112">
        <v>10.98</v>
      </c>
      <c r="I82" s="112">
        <v>5.48</v>
      </c>
      <c r="J82" s="112">
        <v>0.08</v>
      </c>
      <c r="K82" s="112">
        <v>198.62</v>
      </c>
      <c r="L82" s="112">
        <v>28.12</v>
      </c>
      <c r="M82" s="112">
        <v>87.68</v>
      </c>
      <c r="N82" s="112">
        <v>0</v>
      </c>
      <c r="O82" s="112">
        <v>0</v>
      </c>
      <c r="P82" s="112">
        <v>0.59</v>
      </c>
      <c r="Q82" s="112">
        <v>5.16</v>
      </c>
    </row>
    <row r="83" spans="1:17" customFormat="1">
      <c r="A83" s="189" t="s">
        <v>1369</v>
      </c>
      <c r="B83" s="112">
        <v>6.47</v>
      </c>
      <c r="C83" s="112">
        <v>13.96</v>
      </c>
      <c r="D83" s="112">
        <v>13.83</v>
      </c>
      <c r="E83" s="112">
        <v>8.77</v>
      </c>
      <c r="F83" s="112">
        <v>8.11</v>
      </c>
      <c r="G83" s="112">
        <v>36.68</v>
      </c>
      <c r="H83" s="112">
        <v>10.98</v>
      </c>
      <c r="I83" s="112">
        <v>5.64</v>
      </c>
      <c r="J83" s="112">
        <v>0.18</v>
      </c>
      <c r="K83" s="112">
        <v>243.61</v>
      </c>
      <c r="L83" s="112">
        <v>28.12</v>
      </c>
      <c r="M83" s="112">
        <v>87.73</v>
      </c>
      <c r="N83" s="112">
        <v>0</v>
      </c>
      <c r="O83" s="112">
        <v>0</v>
      </c>
      <c r="P83" s="112">
        <v>0.59</v>
      </c>
      <c r="Q83" s="112">
        <v>5.25</v>
      </c>
    </row>
    <row r="84" spans="1:17" customFormat="1">
      <c r="A84" s="189" t="s">
        <v>1370</v>
      </c>
      <c r="B84" s="112">
        <v>6.31</v>
      </c>
      <c r="C84" s="112">
        <v>12.13</v>
      </c>
      <c r="D84" s="112">
        <v>12.74</v>
      </c>
      <c r="E84" s="112">
        <v>7.95</v>
      </c>
      <c r="F84" s="112">
        <v>10.97</v>
      </c>
      <c r="G84" s="112">
        <v>33.85</v>
      </c>
      <c r="H84" s="112">
        <v>10.039999999999999</v>
      </c>
      <c r="I84" s="112">
        <v>4.55</v>
      </c>
      <c r="J84" s="112">
        <v>0.09</v>
      </c>
      <c r="K84" s="112">
        <v>216.18</v>
      </c>
      <c r="L84" s="112">
        <v>28.1</v>
      </c>
      <c r="M84" s="112">
        <v>88.06</v>
      </c>
      <c r="N84" s="112">
        <v>0</v>
      </c>
      <c r="O84" s="112">
        <v>0</v>
      </c>
      <c r="P84" s="112">
        <v>0.56999999999999995</v>
      </c>
      <c r="Q84" s="112">
        <v>5.27</v>
      </c>
    </row>
    <row r="85" spans="1:17" customFormat="1">
      <c r="A85" s="189" t="s">
        <v>1371</v>
      </c>
      <c r="B85" s="112">
        <v>6.11</v>
      </c>
      <c r="C85" s="112">
        <v>11.97</v>
      </c>
      <c r="D85" s="112">
        <v>12.5</v>
      </c>
      <c r="E85" s="112">
        <v>8.64</v>
      </c>
      <c r="F85" s="112">
        <v>10.29</v>
      </c>
      <c r="G85" s="112">
        <v>31.77</v>
      </c>
      <c r="H85" s="112">
        <v>9.74</v>
      </c>
      <c r="I85" s="112">
        <v>4.4400000000000004</v>
      </c>
      <c r="J85" s="112">
        <v>0.11</v>
      </c>
      <c r="K85" s="112">
        <v>201.05</v>
      </c>
      <c r="L85" s="112">
        <v>28.05</v>
      </c>
      <c r="M85" s="112">
        <v>88.69</v>
      </c>
      <c r="N85" s="112">
        <v>0</v>
      </c>
      <c r="O85" s="112">
        <v>0</v>
      </c>
      <c r="P85" s="112">
        <v>0.56000000000000005</v>
      </c>
      <c r="Q85" s="112">
        <v>5.26</v>
      </c>
    </row>
    <row r="86" spans="1:17" customFormat="1">
      <c r="A86" s="189" t="s">
        <v>1372</v>
      </c>
      <c r="B86" s="112">
        <v>6.23</v>
      </c>
      <c r="C86" s="112">
        <v>11.97</v>
      </c>
      <c r="D86" s="112">
        <v>12.6</v>
      </c>
      <c r="E86" s="112">
        <v>8.89</v>
      </c>
      <c r="F86" s="112">
        <v>9.32</v>
      </c>
      <c r="G86" s="112">
        <v>31.77</v>
      </c>
      <c r="H86" s="112">
        <v>9.74</v>
      </c>
      <c r="I86" s="112">
        <v>4.3899999999999997</v>
      </c>
      <c r="J86" s="112">
        <v>0.15</v>
      </c>
      <c r="K86" s="112">
        <v>166.19</v>
      </c>
      <c r="L86" s="112">
        <v>27.88</v>
      </c>
      <c r="M86" s="112">
        <v>89.75</v>
      </c>
      <c r="N86" s="112">
        <v>0</v>
      </c>
      <c r="O86" s="112">
        <v>0</v>
      </c>
      <c r="P86" s="112">
        <v>0.55000000000000004</v>
      </c>
      <c r="Q86" s="112">
        <v>5.25</v>
      </c>
    </row>
    <row r="87" spans="1:17" customFormat="1">
      <c r="A87" s="189" t="s">
        <v>1373</v>
      </c>
      <c r="B87" s="112">
        <v>6.8</v>
      </c>
      <c r="C87" s="112">
        <v>14.65</v>
      </c>
      <c r="D87" s="112">
        <v>14.45</v>
      </c>
      <c r="E87" s="112">
        <v>8.67</v>
      </c>
      <c r="F87" s="112">
        <v>6.89</v>
      </c>
      <c r="G87" s="112">
        <v>31.77</v>
      </c>
      <c r="H87" s="112">
        <v>9.74</v>
      </c>
      <c r="I87" s="112">
        <v>4.6900000000000004</v>
      </c>
      <c r="J87" s="112">
        <v>0.12</v>
      </c>
      <c r="K87" s="112">
        <v>223.46</v>
      </c>
      <c r="L87" s="112">
        <v>27.6</v>
      </c>
      <c r="M87" s="112">
        <v>92.05</v>
      </c>
      <c r="N87" s="112">
        <v>0</v>
      </c>
      <c r="O87" s="112">
        <v>0.2</v>
      </c>
      <c r="P87" s="112">
        <v>0.57999999999999996</v>
      </c>
      <c r="Q87" s="112">
        <v>5.26</v>
      </c>
    </row>
    <row r="88" spans="1:17" customFormat="1">
      <c r="A88" s="189" t="s">
        <v>1374</v>
      </c>
      <c r="B88" s="112">
        <v>6.85</v>
      </c>
      <c r="C88" s="112">
        <v>13.27</v>
      </c>
      <c r="D88" s="112">
        <v>13.77</v>
      </c>
      <c r="E88" s="112">
        <v>8.5500000000000007</v>
      </c>
      <c r="F88" s="112">
        <v>8.4600000000000009</v>
      </c>
      <c r="G88" s="112">
        <v>28.96</v>
      </c>
      <c r="H88" s="112">
        <v>9.33</v>
      </c>
      <c r="I88" s="112">
        <v>4.7300000000000004</v>
      </c>
      <c r="J88" s="112">
        <v>0.15</v>
      </c>
      <c r="K88" s="112">
        <v>223.39</v>
      </c>
      <c r="L88" s="112">
        <v>27.34</v>
      </c>
      <c r="M88" s="112">
        <v>93.75</v>
      </c>
      <c r="N88" s="112">
        <v>0</v>
      </c>
      <c r="O88" s="112">
        <v>0.2</v>
      </c>
      <c r="P88" s="112">
        <v>0.56999999999999995</v>
      </c>
      <c r="Q88" s="112">
        <v>5.35</v>
      </c>
    </row>
    <row r="89" spans="1:17" customFormat="1">
      <c r="A89" s="189" t="s">
        <v>1375</v>
      </c>
      <c r="B89" s="112">
        <v>6.8</v>
      </c>
      <c r="C89" s="112">
        <v>12.31</v>
      </c>
      <c r="D89" s="112">
        <v>13.23</v>
      </c>
      <c r="E89" s="112">
        <v>8.4</v>
      </c>
      <c r="F89" s="112">
        <v>8.6300000000000008</v>
      </c>
      <c r="G89" s="112">
        <v>26.91</v>
      </c>
      <c r="H89" s="112">
        <v>9.19</v>
      </c>
      <c r="I89" s="112">
        <v>4.6900000000000004</v>
      </c>
      <c r="J89" s="112">
        <v>0.13</v>
      </c>
      <c r="K89" s="112">
        <v>181.46</v>
      </c>
      <c r="L89" s="112">
        <v>27.12</v>
      </c>
      <c r="M89" s="112">
        <v>95.44</v>
      </c>
      <c r="N89" s="112">
        <v>0</v>
      </c>
      <c r="O89" s="112">
        <v>0.4</v>
      </c>
      <c r="P89" s="112">
        <v>0.55000000000000004</v>
      </c>
      <c r="Q89" s="112">
        <v>5.32</v>
      </c>
    </row>
    <row r="90" spans="1:17" customFormat="1">
      <c r="A90" s="189" t="s">
        <v>1376</v>
      </c>
      <c r="B90" s="112">
        <v>6.69</v>
      </c>
      <c r="C90" s="112">
        <v>11.51</v>
      </c>
      <c r="D90" s="112">
        <v>12.73</v>
      </c>
      <c r="E90" s="112">
        <v>8.4</v>
      </c>
      <c r="F90" s="112">
        <v>8.89</v>
      </c>
      <c r="G90" s="112">
        <v>26.91</v>
      </c>
      <c r="H90" s="112">
        <v>9.19</v>
      </c>
      <c r="I90" s="112">
        <v>4.6100000000000003</v>
      </c>
      <c r="J90" s="112">
        <v>0.25</v>
      </c>
      <c r="K90" s="112">
        <v>250.72</v>
      </c>
      <c r="L90" s="112">
        <v>26.98</v>
      </c>
      <c r="M90" s="112">
        <v>96.55</v>
      </c>
      <c r="N90" s="112">
        <v>0</v>
      </c>
      <c r="O90" s="112">
        <v>0.8</v>
      </c>
      <c r="P90" s="112">
        <v>0.54</v>
      </c>
      <c r="Q90" s="112">
        <v>5.27</v>
      </c>
    </row>
    <row r="91" spans="1:17" customFormat="1">
      <c r="A91" s="189" t="s">
        <v>1377</v>
      </c>
      <c r="B91" s="112">
        <v>7.22</v>
      </c>
      <c r="C91" s="112">
        <v>12.95</v>
      </c>
      <c r="D91" s="112">
        <v>13.91</v>
      </c>
      <c r="E91" s="112">
        <v>9.15</v>
      </c>
      <c r="F91" s="112">
        <v>7.03</v>
      </c>
      <c r="G91" s="112">
        <v>26.91</v>
      </c>
      <c r="H91" s="112">
        <v>9.19</v>
      </c>
      <c r="I91" s="112">
        <v>4.8</v>
      </c>
      <c r="J91" s="112">
        <v>0.37</v>
      </c>
      <c r="K91" s="112">
        <v>267.75</v>
      </c>
      <c r="L91" s="112">
        <v>26.62</v>
      </c>
      <c r="M91" s="112">
        <v>96.57</v>
      </c>
      <c r="N91" s="112">
        <v>0</v>
      </c>
      <c r="O91" s="112">
        <v>0.4</v>
      </c>
      <c r="P91" s="112">
        <v>0.54</v>
      </c>
      <c r="Q91" s="112">
        <v>5.2</v>
      </c>
    </row>
    <row r="92" spans="1:17" customFormat="1">
      <c r="A92" s="189" t="s">
        <v>1378</v>
      </c>
      <c r="B92" s="112">
        <v>7.3</v>
      </c>
      <c r="C92" s="112">
        <v>14.56</v>
      </c>
      <c r="D92" s="112">
        <v>14.81</v>
      </c>
      <c r="E92" s="112">
        <v>9.1999999999999993</v>
      </c>
      <c r="F92" s="112">
        <v>7.02</v>
      </c>
      <c r="G92" s="112">
        <v>25.96</v>
      </c>
      <c r="H92" s="112">
        <v>8.82</v>
      </c>
      <c r="I92" s="112">
        <v>4.6900000000000004</v>
      </c>
      <c r="J92" s="112">
        <v>0.45</v>
      </c>
      <c r="K92" s="112">
        <v>264.66000000000003</v>
      </c>
      <c r="L92" s="112">
        <v>26.37</v>
      </c>
      <c r="M92" s="112">
        <v>96.78</v>
      </c>
      <c r="N92" s="112">
        <v>0</v>
      </c>
      <c r="O92" s="112">
        <v>0.2</v>
      </c>
      <c r="P92" s="112">
        <v>0.56999999999999995</v>
      </c>
      <c r="Q92" s="112">
        <v>5.24</v>
      </c>
    </row>
    <row r="93" spans="1:17" customFormat="1">
      <c r="A93" s="189" t="s">
        <v>1379</v>
      </c>
      <c r="B93" s="112">
        <v>7.49</v>
      </c>
      <c r="C93" s="112">
        <v>14.12</v>
      </c>
      <c r="D93" s="112">
        <v>14.74</v>
      </c>
      <c r="E93" s="112">
        <v>8.74</v>
      </c>
      <c r="F93" s="112">
        <v>6.91</v>
      </c>
      <c r="G93" s="112">
        <v>25.26</v>
      </c>
      <c r="H93" s="112">
        <v>8.7100000000000009</v>
      </c>
      <c r="I93" s="112">
        <v>4.82</v>
      </c>
      <c r="J93" s="112">
        <v>0.6</v>
      </c>
      <c r="K93" s="112">
        <v>261.89999999999998</v>
      </c>
      <c r="L93" s="112">
        <v>26.2</v>
      </c>
      <c r="M93" s="112">
        <v>95.56</v>
      </c>
      <c r="N93" s="112">
        <v>0</v>
      </c>
      <c r="O93" s="112">
        <v>0.2</v>
      </c>
      <c r="P93" s="112">
        <v>0.55000000000000004</v>
      </c>
      <c r="Q93" s="112">
        <v>5.3</v>
      </c>
    </row>
    <row r="94" spans="1:17" customFormat="1">
      <c r="A94" s="189" t="s">
        <v>1380</v>
      </c>
      <c r="B94" s="112">
        <v>7.53</v>
      </c>
      <c r="C94" s="112">
        <v>14.18</v>
      </c>
      <c r="D94" s="112">
        <v>14.8</v>
      </c>
      <c r="E94" s="112">
        <v>9.2100000000000009</v>
      </c>
      <c r="F94" s="112">
        <v>6.38</v>
      </c>
      <c r="G94" s="112">
        <v>25.26</v>
      </c>
      <c r="H94" s="112">
        <v>8.7100000000000009</v>
      </c>
      <c r="I94" s="112">
        <v>4.62</v>
      </c>
      <c r="J94" s="112">
        <v>0.46</v>
      </c>
      <c r="K94" s="112">
        <v>265.16000000000003</v>
      </c>
      <c r="L94" s="112">
        <v>26.11</v>
      </c>
      <c r="M94" s="112">
        <v>95.83</v>
      </c>
      <c r="N94" s="112">
        <v>0</v>
      </c>
      <c r="O94" s="112">
        <v>0.2</v>
      </c>
      <c r="P94" s="112">
        <v>0.55000000000000004</v>
      </c>
      <c r="Q94" s="112">
        <v>5.28</v>
      </c>
    </row>
    <row r="95" spans="1:17" customFormat="1">
      <c r="A95" s="189" t="s">
        <v>1381</v>
      </c>
      <c r="B95" s="112">
        <v>7.51</v>
      </c>
      <c r="C95" s="112">
        <v>15.59</v>
      </c>
      <c r="D95" s="112">
        <v>15.52</v>
      </c>
      <c r="E95" s="112">
        <v>9.08</v>
      </c>
      <c r="F95" s="112">
        <v>5.35</v>
      </c>
      <c r="G95" s="112">
        <v>25.26</v>
      </c>
      <c r="H95" s="112">
        <v>8.7100000000000009</v>
      </c>
      <c r="I95" s="112">
        <v>4.66</v>
      </c>
      <c r="J95" s="112">
        <v>0.48</v>
      </c>
      <c r="K95" s="112">
        <v>267.69</v>
      </c>
      <c r="L95" s="112">
        <v>26</v>
      </c>
      <c r="M95" s="112">
        <v>96.01</v>
      </c>
      <c r="N95" s="112">
        <v>0</v>
      </c>
      <c r="O95" s="112">
        <v>0</v>
      </c>
      <c r="P95" s="112">
        <v>0.56000000000000005</v>
      </c>
      <c r="Q95" s="112">
        <v>5.29</v>
      </c>
    </row>
    <row r="96" spans="1:17" customFormat="1">
      <c r="A96" s="189" t="s">
        <v>1382</v>
      </c>
      <c r="B96" s="112">
        <v>7.37</v>
      </c>
      <c r="C96" s="112">
        <v>14.25</v>
      </c>
      <c r="D96" s="112">
        <v>14.71</v>
      </c>
      <c r="E96" s="112">
        <v>8.52</v>
      </c>
      <c r="F96" s="112">
        <v>7.09</v>
      </c>
      <c r="G96" s="112">
        <v>24.28</v>
      </c>
      <c r="H96" s="112">
        <v>8.98</v>
      </c>
      <c r="I96" s="112">
        <v>4.72</v>
      </c>
      <c r="J96" s="112">
        <v>0.34</v>
      </c>
      <c r="K96" s="112">
        <v>269.18</v>
      </c>
      <c r="L96" s="112">
        <v>25.98</v>
      </c>
      <c r="M96" s="112">
        <v>96.19</v>
      </c>
      <c r="N96" s="112">
        <v>0</v>
      </c>
      <c r="O96" s="112">
        <v>0</v>
      </c>
      <c r="P96" s="112">
        <v>0.55000000000000004</v>
      </c>
      <c r="Q96" s="112">
        <v>5.36</v>
      </c>
    </row>
    <row r="97" spans="1:22" customFormat="1">
      <c r="A97" s="189" t="s">
        <v>1383</v>
      </c>
      <c r="B97" s="112">
        <v>7.29</v>
      </c>
      <c r="C97" s="112">
        <v>14.26</v>
      </c>
      <c r="D97" s="112">
        <v>14.65</v>
      </c>
      <c r="E97" s="112">
        <v>9.01</v>
      </c>
      <c r="F97" s="112">
        <v>6.95</v>
      </c>
      <c r="G97" s="112">
        <v>23.57</v>
      </c>
      <c r="H97" s="112">
        <v>9.07</v>
      </c>
      <c r="I97" s="112">
        <v>4.7</v>
      </c>
      <c r="J97" s="112">
        <v>0.31</v>
      </c>
      <c r="K97" s="112">
        <v>258.45999999999998</v>
      </c>
      <c r="L97" s="112">
        <v>25.92</v>
      </c>
      <c r="M97" s="112">
        <v>96.83</v>
      </c>
      <c r="N97" s="112">
        <v>0</v>
      </c>
      <c r="O97" s="112">
        <v>0.2</v>
      </c>
      <c r="P97" s="112">
        <v>0.54</v>
      </c>
      <c r="Q97" s="112">
        <v>5.3</v>
      </c>
    </row>
    <row r="98" spans="1:22" customFormat="1">
      <c r="A98" s="189" t="s">
        <v>1384</v>
      </c>
      <c r="B98" s="112">
        <v>7.61</v>
      </c>
      <c r="C98" s="112">
        <v>16.09</v>
      </c>
      <c r="D98" s="112">
        <v>15.87</v>
      </c>
      <c r="E98" s="112">
        <v>8.74</v>
      </c>
      <c r="F98" s="112">
        <v>4.74</v>
      </c>
      <c r="G98" s="112">
        <v>23.57</v>
      </c>
      <c r="H98" s="112">
        <v>9.07</v>
      </c>
      <c r="I98" s="112">
        <v>4.49</v>
      </c>
      <c r="J98" s="112">
        <v>0.33</v>
      </c>
      <c r="K98" s="112">
        <v>263.08999999999997</v>
      </c>
      <c r="L98" s="112">
        <v>25.93</v>
      </c>
      <c r="M98" s="112">
        <v>97.33</v>
      </c>
      <c r="N98" s="112">
        <v>0</v>
      </c>
      <c r="O98" s="112">
        <v>0.2</v>
      </c>
      <c r="P98" s="112">
        <v>0.56999999999999995</v>
      </c>
      <c r="Q98" s="112">
        <v>5.31</v>
      </c>
    </row>
    <row r="99" spans="1:22" customFormat="1">
      <c r="A99" s="189" t="s">
        <v>1385</v>
      </c>
      <c r="B99" s="112">
        <v>7.85</v>
      </c>
      <c r="C99" s="112">
        <v>15.36</v>
      </c>
      <c r="D99" s="112">
        <v>15.68</v>
      </c>
      <c r="E99" s="112">
        <v>8.9600000000000009</v>
      </c>
      <c r="F99" s="112">
        <v>5.0999999999999996</v>
      </c>
      <c r="G99" s="112">
        <v>23.57</v>
      </c>
      <c r="H99" s="112">
        <v>9.07</v>
      </c>
      <c r="I99" s="112">
        <v>4.66</v>
      </c>
      <c r="J99" s="112">
        <v>0.32</v>
      </c>
      <c r="K99" s="112">
        <v>259.33999999999997</v>
      </c>
      <c r="L99" s="112">
        <v>25.95</v>
      </c>
      <c r="M99" s="112">
        <v>97.57</v>
      </c>
      <c r="N99" s="112">
        <v>0</v>
      </c>
      <c r="O99" s="112">
        <v>0.2</v>
      </c>
      <c r="P99" s="112">
        <v>0.59</v>
      </c>
      <c r="Q99" s="112">
        <v>5.41</v>
      </c>
    </row>
    <row r="100" spans="1:22" customFormat="1">
      <c r="A100" s="189" t="s">
        <v>1386</v>
      </c>
      <c r="B100" s="112">
        <v>7.85</v>
      </c>
      <c r="C100" s="112">
        <v>14.43</v>
      </c>
      <c r="D100" s="112">
        <v>15.19</v>
      </c>
      <c r="E100" s="112">
        <v>8.68</v>
      </c>
      <c r="F100" s="112">
        <v>6.2</v>
      </c>
      <c r="G100" s="112">
        <v>22.28</v>
      </c>
      <c r="H100" s="112">
        <v>8.17</v>
      </c>
      <c r="I100" s="112">
        <v>4.8099999999999996</v>
      </c>
      <c r="J100" s="112">
        <v>0.42</v>
      </c>
      <c r="K100" s="112">
        <v>267.68</v>
      </c>
      <c r="L100" s="112">
        <v>25.79</v>
      </c>
      <c r="M100" s="112">
        <v>97.66</v>
      </c>
      <c r="N100" s="112">
        <v>0</v>
      </c>
      <c r="O100" s="112">
        <v>0.2</v>
      </c>
      <c r="P100" s="112">
        <v>0.61</v>
      </c>
      <c r="Q100" s="112">
        <v>5.36</v>
      </c>
    </row>
    <row r="101" spans="1:22" customFormat="1">
      <c r="A101" s="189" t="s">
        <v>1387</v>
      </c>
      <c r="B101" s="112">
        <v>8.2100000000000009</v>
      </c>
      <c r="C101" s="112">
        <v>16.27</v>
      </c>
      <c r="D101" s="112">
        <v>16.43</v>
      </c>
      <c r="E101" s="112">
        <v>8.89</v>
      </c>
      <c r="F101" s="112">
        <v>4.51</v>
      </c>
      <c r="G101" s="112">
        <v>21.35</v>
      </c>
      <c r="H101" s="112">
        <v>7.89</v>
      </c>
      <c r="I101" s="112">
        <v>4.91</v>
      </c>
      <c r="J101" s="112">
        <v>0.43</v>
      </c>
      <c r="K101" s="112">
        <v>268.8</v>
      </c>
      <c r="L101" s="112">
        <v>25.7</v>
      </c>
      <c r="M101" s="112">
        <v>97.91</v>
      </c>
      <c r="N101" s="112">
        <v>0</v>
      </c>
      <c r="O101" s="112">
        <v>0.2</v>
      </c>
      <c r="P101" s="112">
        <v>0.62</v>
      </c>
      <c r="Q101" s="112">
        <v>5.33</v>
      </c>
    </row>
    <row r="102" spans="1:22" customFormat="1">
      <c r="A102" s="189" t="s">
        <v>1388</v>
      </c>
      <c r="B102" s="112">
        <v>8.56</v>
      </c>
      <c r="C102" s="112">
        <v>16.21</v>
      </c>
      <c r="D102" s="112">
        <v>16.690000000000001</v>
      </c>
      <c r="E102" s="112">
        <v>9.25</v>
      </c>
      <c r="F102" s="112">
        <v>4.63</v>
      </c>
      <c r="G102" s="112">
        <v>21.35</v>
      </c>
      <c r="H102" s="112">
        <v>7.89</v>
      </c>
      <c r="I102" s="112">
        <v>5.0199999999999996</v>
      </c>
      <c r="J102" s="112">
        <v>0.52</v>
      </c>
      <c r="K102" s="112">
        <v>269.33999999999997</v>
      </c>
      <c r="L102" s="112">
        <v>25.65</v>
      </c>
      <c r="M102" s="112">
        <v>98.09</v>
      </c>
      <c r="N102" s="112">
        <v>0</v>
      </c>
      <c r="O102" s="112">
        <v>0</v>
      </c>
      <c r="P102" s="112">
        <v>0.64</v>
      </c>
      <c r="Q102" s="112">
        <v>5.41</v>
      </c>
    </row>
    <row r="103" spans="1:22" customFormat="1">
      <c r="A103" s="189" t="s">
        <v>1389</v>
      </c>
      <c r="B103" s="112">
        <v>8.84</v>
      </c>
      <c r="C103" s="112">
        <v>15.67</v>
      </c>
      <c r="D103" s="112">
        <v>16.63</v>
      </c>
      <c r="E103" s="112">
        <v>9.07</v>
      </c>
      <c r="F103" s="112">
        <v>4.93</v>
      </c>
      <c r="G103" s="112">
        <v>21.35</v>
      </c>
      <c r="H103" s="112">
        <v>7.89</v>
      </c>
      <c r="I103" s="112">
        <v>5.09</v>
      </c>
      <c r="J103" s="112">
        <v>0.64</v>
      </c>
      <c r="K103" s="112">
        <v>269.05</v>
      </c>
      <c r="L103" s="112">
        <v>25.62</v>
      </c>
      <c r="M103" s="112">
        <v>97.81</v>
      </c>
      <c r="N103" s="112">
        <v>0</v>
      </c>
      <c r="O103" s="112">
        <v>0</v>
      </c>
      <c r="P103" s="112">
        <v>0.63</v>
      </c>
      <c r="Q103" s="112">
        <v>5.42</v>
      </c>
    </row>
    <row r="104" spans="1:22" customFormat="1">
      <c r="A104" s="189" t="s">
        <v>1390</v>
      </c>
      <c r="B104" s="112">
        <v>9.06</v>
      </c>
      <c r="C104" s="112">
        <v>16.690000000000001</v>
      </c>
      <c r="D104" s="112">
        <v>17.34</v>
      </c>
      <c r="E104" s="112">
        <v>8.4499999999999993</v>
      </c>
      <c r="F104" s="112">
        <v>4.0599999999999996</v>
      </c>
      <c r="G104" s="112">
        <v>23.36</v>
      </c>
      <c r="H104" s="112">
        <v>8.94</v>
      </c>
      <c r="I104" s="112">
        <v>5.19</v>
      </c>
      <c r="J104" s="112">
        <v>0.64</v>
      </c>
      <c r="K104" s="112">
        <v>269.36</v>
      </c>
      <c r="L104" s="112">
        <v>25.55</v>
      </c>
      <c r="M104" s="112">
        <v>97.6</v>
      </c>
      <c r="N104" s="112">
        <v>0</v>
      </c>
      <c r="O104" s="112">
        <v>0</v>
      </c>
      <c r="P104" s="112">
        <v>0.65</v>
      </c>
      <c r="Q104" s="112">
        <v>5.44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5.71</v>
      </c>
      <c r="C106" s="183">
        <f>MIN(C9:C104)</f>
        <v>11.51</v>
      </c>
      <c r="D106" s="183">
        <f t="shared" ref="D106:Q106" si="0">MIN(D9:D104)</f>
        <v>12.24</v>
      </c>
      <c r="E106" s="183">
        <f t="shared" si="0"/>
        <v>6.37</v>
      </c>
      <c r="F106" s="183">
        <f t="shared" si="0"/>
        <v>3.78</v>
      </c>
      <c r="G106" s="183">
        <f t="shared" si="0"/>
        <v>20.58</v>
      </c>
      <c r="H106" s="183">
        <f t="shared" si="0"/>
        <v>7.8</v>
      </c>
      <c r="I106" s="183">
        <f t="shared" si="0"/>
        <v>3.99</v>
      </c>
      <c r="J106" s="183">
        <f t="shared" si="0"/>
        <v>7.0000000000000007E-2</v>
      </c>
      <c r="K106" s="183">
        <f t="shared" si="0"/>
        <v>166.19</v>
      </c>
      <c r="L106" s="183">
        <f t="shared" si="0"/>
        <v>25.47</v>
      </c>
      <c r="M106" s="183">
        <f t="shared" si="0"/>
        <v>66.42</v>
      </c>
      <c r="N106" s="183">
        <f t="shared" si="0"/>
        <v>0</v>
      </c>
      <c r="O106" s="183">
        <f t="shared" si="0"/>
        <v>0</v>
      </c>
      <c r="P106" s="183">
        <f t="shared" si="0"/>
        <v>0.53</v>
      </c>
      <c r="Q106" s="183">
        <f t="shared" si="0"/>
        <v>4.8600000000000003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11.84</v>
      </c>
      <c r="C107" s="184">
        <f t="shared" ref="C107:Q107" si="1">MAX(C9:C104)</f>
        <v>18.79</v>
      </c>
      <c r="D107" s="184">
        <f t="shared" si="1"/>
        <v>19.75</v>
      </c>
      <c r="E107" s="184">
        <f t="shared" si="1"/>
        <v>10.85</v>
      </c>
      <c r="F107" s="184">
        <f t="shared" si="1"/>
        <v>11.08</v>
      </c>
      <c r="G107" s="184">
        <f t="shared" si="1"/>
        <v>45.33</v>
      </c>
      <c r="H107" s="184">
        <f t="shared" si="1"/>
        <v>14.58</v>
      </c>
      <c r="I107" s="184">
        <f t="shared" si="1"/>
        <v>5.64</v>
      </c>
      <c r="J107" s="184">
        <f t="shared" si="1"/>
        <v>1.1299999999999999</v>
      </c>
      <c r="K107" s="184">
        <f t="shared" si="1"/>
        <v>331.96</v>
      </c>
      <c r="L107" s="184">
        <f t="shared" si="1"/>
        <v>31.7</v>
      </c>
      <c r="M107" s="184">
        <f t="shared" si="1"/>
        <v>98.09</v>
      </c>
      <c r="N107" s="184">
        <f t="shared" si="1"/>
        <v>805.9</v>
      </c>
      <c r="O107" s="184">
        <f t="shared" si="1"/>
        <v>0.8</v>
      </c>
      <c r="P107" s="184">
        <f t="shared" si="1"/>
        <v>0.69</v>
      </c>
      <c r="Q107" s="184">
        <f t="shared" si="1"/>
        <v>5.44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8.7882291666666656</v>
      </c>
      <c r="C108" s="183">
        <f t="shared" ref="C108:Q108" si="2">AVERAGE(C9:C104)</f>
        <v>15.694583333333336</v>
      </c>
      <c r="D108" s="183">
        <f t="shared" si="2"/>
        <v>16.598541666666669</v>
      </c>
      <c r="E108" s="183">
        <f t="shared" si="2"/>
        <v>8.480104166666667</v>
      </c>
      <c r="F108" s="183">
        <f t="shared" si="2"/>
        <v>5.9741666666666662</v>
      </c>
      <c r="G108" s="183">
        <f t="shared" si="2"/>
        <v>30.605312500000014</v>
      </c>
      <c r="H108" s="183">
        <f t="shared" si="2"/>
        <v>9.9663541666666706</v>
      </c>
      <c r="I108" s="183">
        <f t="shared" si="2"/>
        <v>4.6526041666666682</v>
      </c>
      <c r="J108" s="183">
        <f t="shared" si="2"/>
        <v>0.44583333333333347</v>
      </c>
      <c r="K108" s="183">
        <f t="shared" si="2"/>
        <v>262.88124999999997</v>
      </c>
      <c r="L108" s="183">
        <f t="shared" si="2"/>
        <v>27.724270833333321</v>
      </c>
      <c r="M108" s="183">
        <f t="shared" si="2"/>
        <v>86.330312499999991</v>
      </c>
      <c r="N108" s="183">
        <f t="shared" si="2"/>
        <v>139.36875000000001</v>
      </c>
      <c r="O108" s="183">
        <f t="shared" si="2"/>
        <v>3.7500000000000012E-2</v>
      </c>
      <c r="P108" s="183">
        <f t="shared" si="2"/>
        <v>0.60843750000000019</v>
      </c>
      <c r="Q108" s="183">
        <f t="shared" si="2"/>
        <v>5.1494791666666675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1.8311244717769248</v>
      </c>
      <c r="C109" s="183">
        <f t="shared" ref="C109:Q109" si="3">STDEV(C9:C104)</f>
        <v>1.6446397248520384</v>
      </c>
      <c r="D109" s="183">
        <f t="shared" si="3"/>
        <v>2.0392464961180039</v>
      </c>
      <c r="E109" s="183">
        <f t="shared" si="3"/>
        <v>0.9313210705248276</v>
      </c>
      <c r="F109" s="183">
        <f t="shared" si="3"/>
        <v>1.6610768014606947</v>
      </c>
      <c r="G109" s="183">
        <f t="shared" si="3"/>
        <v>8.3035292373815874</v>
      </c>
      <c r="H109" s="183">
        <f t="shared" si="3"/>
        <v>1.8940939340857037</v>
      </c>
      <c r="I109" s="183">
        <f t="shared" si="3"/>
        <v>0.35069328266843497</v>
      </c>
      <c r="J109" s="183">
        <f t="shared" si="3"/>
        <v>0.25116849729830276</v>
      </c>
      <c r="K109" s="183">
        <f t="shared" si="3"/>
        <v>28.721167043068569</v>
      </c>
      <c r="L109" s="183">
        <f t="shared" si="3"/>
        <v>1.9850635650922117</v>
      </c>
      <c r="M109" s="183">
        <f t="shared" si="3"/>
        <v>10.094088051207457</v>
      </c>
      <c r="N109" s="183">
        <f t="shared" si="3"/>
        <v>230.30480458114175</v>
      </c>
      <c r="O109" s="183">
        <f t="shared" si="3"/>
        <v>0.11355499479153379</v>
      </c>
      <c r="P109" s="183">
        <f t="shared" si="3"/>
        <v>4.2110834335366852E-2</v>
      </c>
      <c r="Q109" s="183">
        <f t="shared" si="3"/>
        <v>0.15416580132521099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13/09/2023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9" t="s">
        <v>1391</v>
      </c>
      <c r="B9" s="112">
        <v>9.49</v>
      </c>
      <c r="C9" s="112">
        <v>17.47</v>
      </c>
      <c r="D9" s="112">
        <v>18.100000000000001</v>
      </c>
      <c r="E9" s="112">
        <v>8.9499999999999993</v>
      </c>
      <c r="F9" s="112">
        <v>4.04</v>
      </c>
      <c r="G9" s="112">
        <v>24.83</v>
      </c>
      <c r="H9" s="112">
        <v>9.5399999999999991</v>
      </c>
      <c r="I9" s="112">
        <v>5.21</v>
      </c>
      <c r="J9" s="112">
        <v>0.59</v>
      </c>
      <c r="K9" s="112">
        <v>265.94</v>
      </c>
      <c r="L9" s="112">
        <v>25.51</v>
      </c>
      <c r="M9" s="112">
        <v>97.68</v>
      </c>
      <c r="N9" s="112">
        <v>0</v>
      </c>
      <c r="O9" s="112">
        <v>0</v>
      </c>
      <c r="P9" s="112">
        <v>0.66</v>
      </c>
      <c r="Q9" s="112">
        <v>5.51</v>
      </c>
    </row>
    <row r="10" spans="1:21" customFormat="1">
      <c r="A10" s="189" t="s">
        <v>1392</v>
      </c>
      <c r="B10" s="112">
        <v>9.6199999999999992</v>
      </c>
      <c r="C10" s="112">
        <v>16.45</v>
      </c>
      <c r="D10" s="112">
        <v>17.66</v>
      </c>
      <c r="E10" s="112">
        <v>8.68</v>
      </c>
      <c r="F10" s="112">
        <v>4.84</v>
      </c>
      <c r="G10" s="112">
        <v>24.83</v>
      </c>
      <c r="H10" s="112">
        <v>9.5399999999999991</v>
      </c>
      <c r="I10" s="112">
        <v>5.32</v>
      </c>
      <c r="J10" s="112">
        <v>0.5</v>
      </c>
      <c r="K10" s="112">
        <v>275.01</v>
      </c>
      <c r="L10" s="112">
        <v>25.55</v>
      </c>
      <c r="M10" s="112">
        <v>97.64</v>
      </c>
      <c r="N10" s="112">
        <v>0</v>
      </c>
      <c r="O10" s="112">
        <v>0</v>
      </c>
      <c r="P10" s="112">
        <v>0.63</v>
      </c>
      <c r="Q10" s="112">
        <v>5.57</v>
      </c>
    </row>
    <row r="11" spans="1:21" customFormat="1">
      <c r="A11" s="189" t="s">
        <v>1393</v>
      </c>
      <c r="B11" s="112">
        <v>9.7100000000000009</v>
      </c>
      <c r="C11" s="112">
        <v>16.36</v>
      </c>
      <c r="D11" s="112">
        <v>17.68</v>
      </c>
      <c r="E11" s="112">
        <v>8.82</v>
      </c>
      <c r="F11" s="112">
        <v>4.57</v>
      </c>
      <c r="G11" s="112">
        <v>24.83</v>
      </c>
      <c r="H11" s="112">
        <v>9.5399999999999991</v>
      </c>
      <c r="I11" s="112">
        <v>5.28</v>
      </c>
      <c r="J11" s="112">
        <v>0.59</v>
      </c>
      <c r="K11" s="112">
        <v>264.33999999999997</v>
      </c>
      <c r="L11" s="112">
        <v>25.62</v>
      </c>
      <c r="M11" s="112">
        <v>97.14</v>
      </c>
      <c r="N11" s="112">
        <v>0</v>
      </c>
      <c r="O11" s="112">
        <v>0</v>
      </c>
      <c r="P11" s="112">
        <v>0.63</v>
      </c>
      <c r="Q11" s="112">
        <v>5.49</v>
      </c>
    </row>
    <row r="12" spans="1:21" customFormat="1">
      <c r="A12" s="189" t="s">
        <v>1394</v>
      </c>
      <c r="B12" s="112">
        <v>9.84</v>
      </c>
      <c r="C12" s="112">
        <v>17.47</v>
      </c>
      <c r="D12" s="112">
        <v>18.37</v>
      </c>
      <c r="E12" s="112">
        <v>9.3000000000000007</v>
      </c>
      <c r="F12" s="112">
        <v>4.1500000000000004</v>
      </c>
      <c r="G12" s="112">
        <v>20.96</v>
      </c>
      <c r="H12" s="112">
        <v>7.62</v>
      </c>
      <c r="I12" s="112">
        <v>5.19</v>
      </c>
      <c r="J12" s="112">
        <v>0.63</v>
      </c>
      <c r="K12" s="112">
        <v>265.51</v>
      </c>
      <c r="L12" s="112">
        <v>25.67</v>
      </c>
      <c r="M12" s="112">
        <v>97.03</v>
      </c>
      <c r="N12" s="112">
        <v>0</v>
      </c>
      <c r="O12" s="112">
        <v>0</v>
      </c>
      <c r="P12" s="112">
        <v>0.64</v>
      </c>
      <c r="Q12" s="112">
        <v>5.53</v>
      </c>
    </row>
    <row r="13" spans="1:21" customFormat="1">
      <c r="A13" s="189" t="s">
        <v>1395</v>
      </c>
      <c r="B13" s="112">
        <v>9.9499999999999993</v>
      </c>
      <c r="C13" s="112">
        <v>16.77</v>
      </c>
      <c r="D13" s="112">
        <v>18.09</v>
      </c>
      <c r="E13" s="112">
        <v>9.01</v>
      </c>
      <c r="F13" s="112">
        <v>4.71</v>
      </c>
      <c r="G13" s="112">
        <v>18.13</v>
      </c>
      <c r="H13" s="112">
        <v>7.02</v>
      </c>
      <c r="I13" s="112">
        <v>5.3</v>
      </c>
      <c r="J13" s="112">
        <v>0.67</v>
      </c>
      <c r="K13" s="112">
        <v>265.45</v>
      </c>
      <c r="L13" s="112">
        <v>25.68</v>
      </c>
      <c r="M13" s="112">
        <v>96.89</v>
      </c>
      <c r="N13" s="112">
        <v>0</v>
      </c>
      <c r="O13" s="112">
        <v>0</v>
      </c>
      <c r="P13" s="112">
        <v>0.62</v>
      </c>
      <c r="Q13" s="112">
        <v>5.54</v>
      </c>
    </row>
    <row r="14" spans="1:21" customFormat="1">
      <c r="A14" s="189" t="s">
        <v>1396</v>
      </c>
      <c r="B14" s="112">
        <v>9.9499999999999993</v>
      </c>
      <c r="C14" s="112">
        <v>16.239999999999998</v>
      </c>
      <c r="D14" s="112">
        <v>17.809999999999999</v>
      </c>
      <c r="E14" s="112">
        <v>8.56</v>
      </c>
      <c r="F14" s="112">
        <v>4.82</v>
      </c>
      <c r="G14" s="112">
        <v>18.13</v>
      </c>
      <c r="H14" s="112">
        <v>7.02</v>
      </c>
      <c r="I14" s="112">
        <v>5.44</v>
      </c>
      <c r="J14" s="112">
        <v>0.43</v>
      </c>
      <c r="K14" s="112">
        <v>267.33999999999997</v>
      </c>
      <c r="L14" s="112">
        <v>25.79</v>
      </c>
      <c r="M14" s="112">
        <v>96.77</v>
      </c>
      <c r="N14" s="112">
        <v>0</v>
      </c>
      <c r="O14" s="112">
        <v>0</v>
      </c>
      <c r="P14" s="112">
        <v>0.59</v>
      </c>
      <c r="Q14" s="112">
        <v>5.49</v>
      </c>
    </row>
    <row r="15" spans="1:21" customFormat="1">
      <c r="A15" s="189" t="s">
        <v>1397</v>
      </c>
      <c r="B15" s="112">
        <v>9.9499999999999993</v>
      </c>
      <c r="C15" s="112">
        <v>17.420000000000002</v>
      </c>
      <c r="D15" s="112">
        <v>18.43</v>
      </c>
      <c r="E15" s="112">
        <v>9.19</v>
      </c>
      <c r="F15" s="112">
        <v>4.0999999999999996</v>
      </c>
      <c r="G15" s="112">
        <v>18.13</v>
      </c>
      <c r="H15" s="112">
        <v>7.02</v>
      </c>
      <c r="I15" s="112">
        <v>5.44</v>
      </c>
      <c r="J15" s="112">
        <v>0.16</v>
      </c>
      <c r="K15" s="112">
        <v>263.85000000000002</v>
      </c>
      <c r="L15" s="112">
        <v>25.75</v>
      </c>
      <c r="M15" s="112">
        <v>96.95</v>
      </c>
      <c r="N15" s="112">
        <v>0</v>
      </c>
      <c r="O15" s="112">
        <v>0</v>
      </c>
      <c r="P15" s="112">
        <v>0.62</v>
      </c>
      <c r="Q15" s="112">
        <v>5.49</v>
      </c>
    </row>
    <row r="16" spans="1:21" customFormat="1">
      <c r="A16" s="189" t="s">
        <v>1398</v>
      </c>
      <c r="B16" s="112">
        <v>10.32</v>
      </c>
      <c r="C16" s="112">
        <v>16.920000000000002</v>
      </c>
      <c r="D16" s="112">
        <v>18.47</v>
      </c>
      <c r="E16" s="112">
        <v>9.18</v>
      </c>
      <c r="F16" s="112">
        <v>4.41</v>
      </c>
      <c r="G16" s="112">
        <v>18.66</v>
      </c>
      <c r="H16" s="112">
        <v>6.37</v>
      </c>
      <c r="I16" s="112">
        <v>5.48</v>
      </c>
      <c r="J16" s="112">
        <v>0.31</v>
      </c>
      <c r="K16" s="112">
        <v>293.16000000000003</v>
      </c>
      <c r="L16" s="112">
        <v>25.82</v>
      </c>
      <c r="M16" s="112">
        <v>96.65</v>
      </c>
      <c r="N16" s="112">
        <v>0</v>
      </c>
      <c r="O16" s="112">
        <v>0</v>
      </c>
      <c r="P16" s="112">
        <v>0.61</v>
      </c>
      <c r="Q16" s="112">
        <v>5.56</v>
      </c>
    </row>
    <row r="17" spans="1:17" customFormat="1">
      <c r="A17" s="189" t="s">
        <v>1399</v>
      </c>
      <c r="B17" s="112">
        <v>10.58</v>
      </c>
      <c r="C17" s="112">
        <v>16.59</v>
      </c>
      <c r="D17" s="112">
        <v>18.510000000000002</v>
      </c>
      <c r="E17" s="112">
        <v>6.66</v>
      </c>
      <c r="F17" s="112">
        <v>4.78</v>
      </c>
      <c r="G17" s="112">
        <v>19.04</v>
      </c>
      <c r="H17" s="112">
        <v>6.16</v>
      </c>
      <c r="I17" s="112">
        <v>5.59</v>
      </c>
      <c r="J17" s="112">
        <v>0.39</v>
      </c>
      <c r="K17" s="112">
        <v>293.52</v>
      </c>
      <c r="L17" s="112">
        <v>25.78</v>
      </c>
      <c r="M17" s="112">
        <v>95.87</v>
      </c>
      <c r="N17" s="112">
        <v>0</v>
      </c>
      <c r="O17" s="112">
        <v>0</v>
      </c>
      <c r="P17" s="112">
        <v>0.59</v>
      </c>
      <c r="Q17" s="112">
        <v>5.55</v>
      </c>
    </row>
    <row r="18" spans="1:17" customFormat="1">
      <c r="A18" s="189" t="s">
        <v>1400</v>
      </c>
      <c r="B18" s="112">
        <v>10.71</v>
      </c>
      <c r="C18" s="112">
        <v>17.71</v>
      </c>
      <c r="D18" s="112">
        <v>19.190000000000001</v>
      </c>
      <c r="E18" s="112">
        <v>7.35</v>
      </c>
      <c r="F18" s="112">
        <v>4.21</v>
      </c>
      <c r="G18" s="112">
        <v>19.04</v>
      </c>
      <c r="H18" s="112">
        <v>6.16</v>
      </c>
      <c r="I18" s="112">
        <v>5.46</v>
      </c>
      <c r="J18" s="112">
        <v>0.28999999999999998</v>
      </c>
      <c r="K18" s="112">
        <v>277.26</v>
      </c>
      <c r="L18" s="112">
        <v>25.66</v>
      </c>
      <c r="M18" s="112">
        <v>96.17</v>
      </c>
      <c r="N18" s="112">
        <v>0</v>
      </c>
      <c r="O18" s="112">
        <v>0</v>
      </c>
      <c r="P18" s="112">
        <v>0.61</v>
      </c>
      <c r="Q18" s="112">
        <v>5.61</v>
      </c>
    </row>
    <row r="19" spans="1:17" customFormat="1">
      <c r="A19" s="189" t="s">
        <v>1401</v>
      </c>
      <c r="B19" s="112">
        <v>10.85</v>
      </c>
      <c r="C19" s="112">
        <v>17.13</v>
      </c>
      <c r="D19" s="112">
        <v>19</v>
      </c>
      <c r="E19" s="112">
        <v>7.76</v>
      </c>
      <c r="F19" s="112">
        <v>4.7</v>
      </c>
      <c r="G19" s="112">
        <v>19.04</v>
      </c>
      <c r="H19" s="112">
        <v>6.16</v>
      </c>
      <c r="I19" s="112">
        <v>5.49</v>
      </c>
      <c r="J19" s="112">
        <v>0.51</v>
      </c>
      <c r="K19" s="112">
        <v>272.01</v>
      </c>
      <c r="L19" s="112">
        <v>25.51</v>
      </c>
      <c r="M19" s="112">
        <v>96.43</v>
      </c>
      <c r="N19" s="112">
        <v>0</v>
      </c>
      <c r="O19" s="112">
        <v>0</v>
      </c>
      <c r="P19" s="112">
        <v>0.59</v>
      </c>
      <c r="Q19" s="112">
        <v>5.67</v>
      </c>
    </row>
    <row r="20" spans="1:17" customFormat="1">
      <c r="A20" s="189" t="s">
        <v>1402</v>
      </c>
      <c r="B20" s="112">
        <v>10.84</v>
      </c>
      <c r="C20" s="112">
        <v>16.22</v>
      </c>
      <c r="D20" s="112">
        <v>18.510000000000002</v>
      </c>
      <c r="E20" s="112">
        <v>7.87</v>
      </c>
      <c r="F20" s="112">
        <v>5.33</v>
      </c>
      <c r="G20" s="112">
        <v>22.54</v>
      </c>
      <c r="H20" s="112">
        <v>7.47</v>
      </c>
      <c r="I20" s="112">
        <v>5.5</v>
      </c>
      <c r="J20" s="112">
        <v>0.41</v>
      </c>
      <c r="K20" s="112">
        <v>303.49</v>
      </c>
      <c r="L20" s="112">
        <v>25.39</v>
      </c>
      <c r="M20" s="112">
        <v>93.39</v>
      </c>
      <c r="N20" s="112">
        <v>0</v>
      </c>
      <c r="O20" s="112">
        <v>0</v>
      </c>
      <c r="P20" s="112">
        <v>0.57999999999999996</v>
      </c>
      <c r="Q20" s="112">
        <v>5.63</v>
      </c>
    </row>
    <row r="21" spans="1:17" customFormat="1">
      <c r="A21" s="189" t="s">
        <v>1403</v>
      </c>
      <c r="B21" s="112">
        <v>11.1</v>
      </c>
      <c r="C21" s="112">
        <v>17.57</v>
      </c>
      <c r="D21" s="112">
        <v>19.440000000000001</v>
      </c>
      <c r="E21" s="112">
        <v>7.62</v>
      </c>
      <c r="F21" s="112">
        <v>4.2300000000000004</v>
      </c>
      <c r="G21" s="112">
        <v>25.09</v>
      </c>
      <c r="H21" s="112">
        <v>7.88</v>
      </c>
      <c r="I21" s="112">
        <v>5.36</v>
      </c>
      <c r="J21" s="112">
        <v>0.26</v>
      </c>
      <c r="K21" s="112">
        <v>317.22000000000003</v>
      </c>
      <c r="L21" s="112">
        <v>25.2</v>
      </c>
      <c r="M21" s="112">
        <v>92.93</v>
      </c>
      <c r="N21" s="112">
        <v>0</v>
      </c>
      <c r="O21" s="112">
        <v>0</v>
      </c>
      <c r="P21" s="112">
        <v>0.6</v>
      </c>
      <c r="Q21" s="112">
        <v>5.63</v>
      </c>
    </row>
    <row r="22" spans="1:17" customFormat="1">
      <c r="A22" s="189" t="s">
        <v>1404</v>
      </c>
      <c r="B22" s="112">
        <v>11.17</v>
      </c>
      <c r="C22" s="112">
        <v>16.82</v>
      </c>
      <c r="D22" s="112">
        <v>19.100000000000001</v>
      </c>
      <c r="E22" s="112">
        <v>7.74</v>
      </c>
      <c r="F22" s="112">
        <v>4.9000000000000004</v>
      </c>
      <c r="G22" s="112">
        <v>25.09</v>
      </c>
      <c r="H22" s="112">
        <v>7.88</v>
      </c>
      <c r="I22" s="112">
        <v>5.24</v>
      </c>
      <c r="J22" s="112">
        <v>0.27</v>
      </c>
      <c r="K22" s="112">
        <v>311.25</v>
      </c>
      <c r="L22" s="112">
        <v>25.1</v>
      </c>
      <c r="M22" s="112">
        <v>93.37</v>
      </c>
      <c r="N22" s="112">
        <v>0</v>
      </c>
      <c r="O22" s="112">
        <v>0</v>
      </c>
      <c r="P22" s="112">
        <v>0.57999999999999996</v>
      </c>
      <c r="Q22" s="112">
        <v>5.71</v>
      </c>
    </row>
    <row r="23" spans="1:17" customFormat="1">
      <c r="A23" s="189" t="s">
        <v>1405</v>
      </c>
      <c r="B23" s="112">
        <v>11.25</v>
      </c>
      <c r="C23" s="112">
        <v>16.48</v>
      </c>
      <c r="D23" s="112">
        <v>18.98</v>
      </c>
      <c r="E23" s="112">
        <v>7.51</v>
      </c>
      <c r="F23" s="112">
        <v>5.12</v>
      </c>
      <c r="G23" s="112">
        <v>25.09</v>
      </c>
      <c r="H23" s="112">
        <v>7.88</v>
      </c>
      <c r="I23" s="112">
        <v>5.34</v>
      </c>
      <c r="J23" s="112">
        <v>0.28999999999999998</v>
      </c>
      <c r="K23" s="112">
        <v>280.66000000000003</v>
      </c>
      <c r="L23" s="112">
        <v>25.06</v>
      </c>
      <c r="M23" s="112">
        <v>93.39</v>
      </c>
      <c r="N23" s="112">
        <v>0</v>
      </c>
      <c r="O23" s="112">
        <v>0</v>
      </c>
      <c r="P23" s="112">
        <v>0.56000000000000005</v>
      </c>
      <c r="Q23" s="112">
        <v>5.66</v>
      </c>
    </row>
    <row r="24" spans="1:17" customFormat="1">
      <c r="A24" s="189" t="s">
        <v>1406</v>
      </c>
      <c r="B24" s="112">
        <v>11.31</v>
      </c>
      <c r="C24" s="112">
        <v>17.82</v>
      </c>
      <c r="D24" s="112">
        <v>19.73</v>
      </c>
      <c r="E24" s="112">
        <v>7.5</v>
      </c>
      <c r="F24" s="112">
        <v>4.25</v>
      </c>
      <c r="G24" s="112">
        <v>24.49</v>
      </c>
      <c r="H24" s="112">
        <v>8.67</v>
      </c>
      <c r="I24" s="112">
        <v>5.19</v>
      </c>
      <c r="J24" s="112">
        <v>0.31</v>
      </c>
      <c r="K24" s="112">
        <v>265.37</v>
      </c>
      <c r="L24" s="112">
        <v>24.98</v>
      </c>
      <c r="M24" s="112">
        <v>94.34</v>
      </c>
      <c r="N24" s="112">
        <v>0</v>
      </c>
      <c r="O24" s="112">
        <v>0</v>
      </c>
      <c r="P24" s="112">
        <v>0.57999999999999996</v>
      </c>
      <c r="Q24" s="112">
        <v>5.66</v>
      </c>
    </row>
    <row r="25" spans="1:17" customFormat="1">
      <c r="A25" s="189" t="s">
        <v>1407</v>
      </c>
      <c r="B25" s="112">
        <v>11.51</v>
      </c>
      <c r="C25" s="112">
        <v>17.260000000000002</v>
      </c>
      <c r="D25" s="112">
        <v>19.600000000000001</v>
      </c>
      <c r="E25" s="112">
        <v>7.99</v>
      </c>
      <c r="F25" s="112">
        <v>4.66</v>
      </c>
      <c r="G25" s="112">
        <v>24.03</v>
      </c>
      <c r="H25" s="112">
        <v>8.92</v>
      </c>
      <c r="I25" s="112">
        <v>5.18</v>
      </c>
      <c r="J25" s="112">
        <v>0.43</v>
      </c>
      <c r="K25" s="112">
        <v>263.5</v>
      </c>
      <c r="L25" s="112">
        <v>24.92</v>
      </c>
      <c r="M25" s="112">
        <v>94.44</v>
      </c>
      <c r="N25" s="112">
        <v>0</v>
      </c>
      <c r="O25" s="112">
        <v>0</v>
      </c>
      <c r="P25" s="112">
        <v>0.56000000000000005</v>
      </c>
      <c r="Q25" s="112">
        <v>5.74</v>
      </c>
    </row>
    <row r="26" spans="1:17" customFormat="1">
      <c r="A26" s="189" t="s">
        <v>1408</v>
      </c>
      <c r="B26" s="112">
        <v>11.54</v>
      </c>
      <c r="C26" s="112">
        <v>16.88</v>
      </c>
      <c r="D26" s="112">
        <v>19.420000000000002</v>
      </c>
      <c r="E26" s="112">
        <v>7.31</v>
      </c>
      <c r="F26" s="112">
        <v>4.6399999999999997</v>
      </c>
      <c r="G26" s="112">
        <v>24.03</v>
      </c>
      <c r="H26" s="112">
        <v>8.92</v>
      </c>
      <c r="I26" s="112">
        <v>5.16</v>
      </c>
      <c r="J26" s="112">
        <v>0.38</v>
      </c>
      <c r="K26" s="112">
        <v>264.04000000000002</v>
      </c>
      <c r="L26" s="112">
        <v>24.87</v>
      </c>
      <c r="M26" s="112">
        <v>95.12</v>
      </c>
      <c r="N26" s="112">
        <v>0</v>
      </c>
      <c r="O26" s="112">
        <v>0</v>
      </c>
      <c r="P26" s="112">
        <v>0.55000000000000004</v>
      </c>
      <c r="Q26" s="112">
        <v>5.69</v>
      </c>
    </row>
    <row r="27" spans="1:17" customFormat="1">
      <c r="A27" s="189" t="s">
        <v>1409</v>
      </c>
      <c r="B27" s="112">
        <v>11.63</v>
      </c>
      <c r="C27" s="112">
        <v>17.78</v>
      </c>
      <c r="D27" s="112">
        <v>19.96</v>
      </c>
      <c r="E27" s="112">
        <v>7.35</v>
      </c>
      <c r="F27" s="112">
        <v>3.91</v>
      </c>
      <c r="G27" s="112">
        <v>24.03</v>
      </c>
      <c r="H27" s="112">
        <v>8.92</v>
      </c>
      <c r="I27" s="112">
        <v>5.0599999999999996</v>
      </c>
      <c r="J27" s="112">
        <v>0.48</v>
      </c>
      <c r="K27" s="112">
        <v>265.3</v>
      </c>
      <c r="L27" s="112">
        <v>24.87</v>
      </c>
      <c r="M27" s="112">
        <v>95.47</v>
      </c>
      <c r="N27" s="112">
        <v>0</v>
      </c>
      <c r="O27" s="112">
        <v>0</v>
      </c>
      <c r="P27" s="112">
        <v>0.56999999999999995</v>
      </c>
      <c r="Q27" s="112">
        <v>5.73</v>
      </c>
    </row>
    <row r="28" spans="1:17" customFormat="1">
      <c r="A28" s="189" t="s">
        <v>1410</v>
      </c>
      <c r="B28" s="112">
        <v>11.36</v>
      </c>
      <c r="C28" s="112">
        <v>16.48</v>
      </c>
      <c r="D28" s="112">
        <v>19.07</v>
      </c>
      <c r="E28" s="112">
        <v>7.77</v>
      </c>
      <c r="F28" s="112">
        <v>4.95</v>
      </c>
      <c r="G28" s="112">
        <v>23.46</v>
      </c>
      <c r="H28" s="112">
        <v>7.55</v>
      </c>
      <c r="I28" s="112">
        <v>5.0599999999999996</v>
      </c>
      <c r="J28" s="112">
        <v>0.54</v>
      </c>
      <c r="K28" s="112">
        <v>267.51</v>
      </c>
      <c r="L28" s="112">
        <v>24.98</v>
      </c>
      <c r="M28" s="112">
        <v>95.36</v>
      </c>
      <c r="N28" s="112">
        <v>0</v>
      </c>
      <c r="O28" s="112">
        <v>0</v>
      </c>
      <c r="P28" s="112">
        <v>0.54</v>
      </c>
      <c r="Q28" s="112">
        <v>5.76</v>
      </c>
    </row>
    <row r="29" spans="1:17" customFormat="1">
      <c r="A29" s="189" t="s">
        <v>1411</v>
      </c>
      <c r="B29" s="112">
        <v>11.45</v>
      </c>
      <c r="C29" s="112">
        <v>17.21</v>
      </c>
      <c r="D29" s="112">
        <v>19.52</v>
      </c>
      <c r="E29" s="112">
        <v>7.78</v>
      </c>
      <c r="F29" s="112">
        <v>4.3099999999999996</v>
      </c>
      <c r="G29" s="112">
        <v>23.04</v>
      </c>
      <c r="H29" s="112">
        <v>7.12</v>
      </c>
      <c r="I29" s="112">
        <v>5</v>
      </c>
      <c r="J29" s="112">
        <v>0.5</v>
      </c>
      <c r="K29" s="112">
        <v>268.74</v>
      </c>
      <c r="L29" s="112">
        <v>25.02</v>
      </c>
      <c r="M29" s="112">
        <v>95.57</v>
      </c>
      <c r="N29" s="112">
        <v>0</v>
      </c>
      <c r="O29" s="112">
        <v>0</v>
      </c>
      <c r="P29" s="112">
        <v>0.54</v>
      </c>
      <c r="Q29" s="112">
        <v>5.67</v>
      </c>
    </row>
    <row r="30" spans="1:17" customFormat="1">
      <c r="A30" s="189" t="s">
        <v>1412</v>
      </c>
      <c r="B30" s="112">
        <v>11.64</v>
      </c>
      <c r="C30" s="112">
        <v>17.98</v>
      </c>
      <c r="D30" s="112">
        <v>20.079999999999998</v>
      </c>
      <c r="E30" s="112">
        <v>7.98</v>
      </c>
      <c r="F30" s="112">
        <v>4.05</v>
      </c>
      <c r="G30" s="112">
        <v>23.04</v>
      </c>
      <c r="H30" s="112">
        <v>7.12</v>
      </c>
      <c r="I30" s="112">
        <v>4.82</v>
      </c>
      <c r="J30" s="112">
        <v>0.54</v>
      </c>
      <c r="K30" s="112">
        <v>279.38</v>
      </c>
      <c r="L30" s="112">
        <v>25.14</v>
      </c>
      <c r="M30" s="112">
        <v>94.8</v>
      </c>
      <c r="N30" s="112">
        <v>0</v>
      </c>
      <c r="O30" s="112">
        <v>0</v>
      </c>
      <c r="P30" s="112">
        <v>0.55000000000000004</v>
      </c>
      <c r="Q30" s="112">
        <v>5.71</v>
      </c>
    </row>
    <row r="31" spans="1:17" customFormat="1">
      <c r="A31" s="189" t="s">
        <v>1413</v>
      </c>
      <c r="B31" s="112">
        <v>11.93</v>
      </c>
      <c r="C31" s="112">
        <v>16.809999999999999</v>
      </c>
      <c r="D31" s="112">
        <v>19.7</v>
      </c>
      <c r="E31" s="112">
        <v>7.89</v>
      </c>
      <c r="F31" s="112">
        <v>4.5199999999999996</v>
      </c>
      <c r="G31" s="112">
        <v>23.04</v>
      </c>
      <c r="H31" s="112">
        <v>7.12</v>
      </c>
      <c r="I31" s="112">
        <v>4.99</v>
      </c>
      <c r="J31" s="112">
        <v>0.53</v>
      </c>
      <c r="K31" s="112">
        <v>268.37</v>
      </c>
      <c r="L31" s="112">
        <v>25.1</v>
      </c>
      <c r="M31" s="112">
        <v>94.72</v>
      </c>
      <c r="N31" s="112">
        <v>0</v>
      </c>
      <c r="O31" s="112">
        <v>0</v>
      </c>
      <c r="P31" s="112">
        <v>0.52</v>
      </c>
      <c r="Q31" s="112">
        <v>5.69</v>
      </c>
    </row>
    <row r="32" spans="1:17" customFormat="1">
      <c r="A32" s="189" t="s">
        <v>1414</v>
      </c>
      <c r="B32" s="112">
        <v>12.12</v>
      </c>
      <c r="C32" s="112">
        <v>17.41</v>
      </c>
      <c r="D32" s="112">
        <v>20.16</v>
      </c>
      <c r="E32" s="112">
        <v>8.1300000000000008</v>
      </c>
      <c r="F32" s="112">
        <v>4.0599999999999996</v>
      </c>
      <c r="G32" s="112">
        <v>23.95</v>
      </c>
      <c r="H32" s="112">
        <v>6.99</v>
      </c>
      <c r="I32" s="112">
        <v>4.9800000000000004</v>
      </c>
      <c r="J32" s="112">
        <v>0.43</v>
      </c>
      <c r="K32" s="112">
        <v>278.07</v>
      </c>
      <c r="L32" s="112">
        <v>25.17</v>
      </c>
      <c r="M32" s="112">
        <v>93.82</v>
      </c>
      <c r="N32" s="112">
        <v>0.5</v>
      </c>
      <c r="O32" s="112">
        <v>0</v>
      </c>
      <c r="P32" s="112">
        <v>0.54</v>
      </c>
      <c r="Q32" s="112">
        <v>5.66</v>
      </c>
    </row>
    <row r="33" spans="1:17" customFormat="1">
      <c r="A33" s="189" t="s">
        <v>1415</v>
      </c>
      <c r="B33" s="112">
        <v>12.34</v>
      </c>
      <c r="C33" s="112">
        <v>18.809999999999999</v>
      </c>
      <c r="D33" s="112">
        <v>21.07</v>
      </c>
      <c r="E33" s="112">
        <v>8.01</v>
      </c>
      <c r="F33" s="112">
        <v>3.74</v>
      </c>
      <c r="G33" s="112">
        <v>24.62</v>
      </c>
      <c r="H33" s="112">
        <v>6.91</v>
      </c>
      <c r="I33" s="112">
        <v>4.9000000000000004</v>
      </c>
      <c r="J33" s="112">
        <v>0.5</v>
      </c>
      <c r="K33" s="112">
        <v>284.01</v>
      </c>
      <c r="L33" s="112">
        <v>25.23</v>
      </c>
      <c r="M33" s="112">
        <v>93.32</v>
      </c>
      <c r="N33" s="112">
        <v>11.2</v>
      </c>
      <c r="O33" s="112">
        <v>0</v>
      </c>
      <c r="P33" s="112">
        <v>0.55000000000000004</v>
      </c>
      <c r="Q33" s="112">
        <v>5.72</v>
      </c>
    </row>
    <row r="34" spans="1:17" customFormat="1">
      <c r="A34" s="189" t="s">
        <v>1416</v>
      </c>
      <c r="B34" s="112">
        <v>12.6</v>
      </c>
      <c r="C34" s="112">
        <v>18.77</v>
      </c>
      <c r="D34" s="112">
        <v>21.26</v>
      </c>
      <c r="E34" s="112">
        <v>7.71</v>
      </c>
      <c r="F34" s="112">
        <v>4.33</v>
      </c>
      <c r="G34" s="112">
        <v>24.62</v>
      </c>
      <c r="H34" s="112">
        <v>6.91</v>
      </c>
      <c r="I34" s="112">
        <v>5.01</v>
      </c>
      <c r="J34" s="112">
        <v>0.61</v>
      </c>
      <c r="K34" s="112">
        <v>282.88</v>
      </c>
      <c r="L34" s="112">
        <v>25.4</v>
      </c>
      <c r="M34" s="112">
        <v>91.87</v>
      </c>
      <c r="N34" s="112">
        <v>25.1</v>
      </c>
      <c r="O34" s="112">
        <v>0</v>
      </c>
      <c r="P34" s="112">
        <v>0.56000000000000005</v>
      </c>
      <c r="Q34" s="112">
        <v>5.74</v>
      </c>
    </row>
    <row r="35" spans="1:17" customFormat="1">
      <c r="A35" s="189" t="s">
        <v>1417</v>
      </c>
      <c r="B35" s="112">
        <v>12.88</v>
      </c>
      <c r="C35" s="112">
        <v>17.670000000000002</v>
      </c>
      <c r="D35" s="112">
        <v>20.92</v>
      </c>
      <c r="E35" s="112">
        <v>7.78</v>
      </c>
      <c r="F35" s="112">
        <v>4.8</v>
      </c>
      <c r="G35" s="112">
        <v>24.62</v>
      </c>
      <c r="H35" s="112">
        <v>6.91</v>
      </c>
      <c r="I35" s="112">
        <v>4.9800000000000004</v>
      </c>
      <c r="J35" s="112">
        <v>0.53</v>
      </c>
      <c r="K35" s="112">
        <v>283.60000000000002</v>
      </c>
      <c r="L35" s="112">
        <v>25.41</v>
      </c>
      <c r="M35" s="112">
        <v>92.59</v>
      </c>
      <c r="N35" s="112">
        <v>34.200000000000003</v>
      </c>
      <c r="O35" s="112">
        <v>0</v>
      </c>
      <c r="P35" s="112">
        <v>0.53</v>
      </c>
      <c r="Q35" s="112">
        <v>5.73</v>
      </c>
    </row>
    <row r="36" spans="1:17" customFormat="1">
      <c r="A36" s="189" t="s">
        <v>1418</v>
      </c>
      <c r="B36" s="112">
        <v>12.93</v>
      </c>
      <c r="C36" s="112">
        <v>16.79</v>
      </c>
      <c r="D36" s="112">
        <v>20.5</v>
      </c>
      <c r="E36" s="112">
        <v>7.56</v>
      </c>
      <c r="F36" s="112">
        <v>4.93</v>
      </c>
      <c r="G36" s="112">
        <v>25.56</v>
      </c>
      <c r="H36" s="112">
        <v>5.48</v>
      </c>
      <c r="I36" s="112">
        <v>5.13</v>
      </c>
      <c r="J36" s="112">
        <v>0.51</v>
      </c>
      <c r="K36" s="112">
        <v>292.38</v>
      </c>
      <c r="L36" s="112">
        <v>25.4</v>
      </c>
      <c r="M36" s="112">
        <v>93.75</v>
      </c>
      <c r="N36" s="112">
        <v>31</v>
      </c>
      <c r="O36" s="112">
        <v>0</v>
      </c>
      <c r="P36" s="112">
        <v>0.53</v>
      </c>
      <c r="Q36" s="112">
        <v>5.67</v>
      </c>
    </row>
    <row r="37" spans="1:17" customFormat="1">
      <c r="A37" s="189" t="s">
        <v>1419</v>
      </c>
      <c r="B37" s="112">
        <v>13.14</v>
      </c>
      <c r="C37" s="112">
        <v>18.260000000000002</v>
      </c>
      <c r="D37" s="112">
        <v>21.42</v>
      </c>
      <c r="E37" s="112">
        <v>7.61</v>
      </c>
      <c r="F37" s="112">
        <v>4.08</v>
      </c>
      <c r="G37" s="112">
        <v>26.25</v>
      </c>
      <c r="H37" s="112">
        <v>5.0199999999999996</v>
      </c>
      <c r="I37" s="112">
        <v>5.2</v>
      </c>
      <c r="J37" s="112">
        <v>0.6</v>
      </c>
      <c r="K37" s="112">
        <v>299.79000000000002</v>
      </c>
      <c r="L37" s="112">
        <v>25.58</v>
      </c>
      <c r="M37" s="112">
        <v>92.44</v>
      </c>
      <c r="N37" s="112">
        <v>57</v>
      </c>
      <c r="O37" s="112">
        <v>0</v>
      </c>
      <c r="P37" s="112">
        <v>0.55000000000000004</v>
      </c>
      <c r="Q37" s="112">
        <v>5.64</v>
      </c>
    </row>
    <row r="38" spans="1:17" customFormat="1">
      <c r="A38" s="189" t="s">
        <v>1420</v>
      </c>
      <c r="B38" s="112">
        <v>13.47</v>
      </c>
      <c r="C38" s="112">
        <v>17.39</v>
      </c>
      <c r="D38" s="112">
        <v>21.24</v>
      </c>
      <c r="E38" s="112">
        <v>7.73</v>
      </c>
      <c r="F38" s="112">
        <v>4.71</v>
      </c>
      <c r="G38" s="112">
        <v>26.25</v>
      </c>
      <c r="H38" s="112">
        <v>5.0199999999999996</v>
      </c>
      <c r="I38" s="112">
        <v>5.0999999999999996</v>
      </c>
      <c r="J38" s="112">
        <v>0.6</v>
      </c>
      <c r="K38" s="112">
        <v>302.89999999999998</v>
      </c>
      <c r="L38" s="112">
        <v>25.84</v>
      </c>
      <c r="M38" s="112">
        <v>90.2</v>
      </c>
      <c r="N38" s="112">
        <v>81.099999999999994</v>
      </c>
      <c r="O38" s="112">
        <v>0</v>
      </c>
      <c r="P38" s="112">
        <v>0.54</v>
      </c>
      <c r="Q38" s="112">
        <v>5.64</v>
      </c>
    </row>
    <row r="39" spans="1:17" customFormat="1">
      <c r="A39" s="189" t="s">
        <v>1421</v>
      </c>
      <c r="B39" s="112">
        <v>13.46</v>
      </c>
      <c r="C39" s="112">
        <v>16.79</v>
      </c>
      <c r="D39" s="112">
        <v>20.92</v>
      </c>
      <c r="E39" s="112">
        <v>7.43</v>
      </c>
      <c r="F39" s="112">
        <v>4.87</v>
      </c>
      <c r="G39" s="112">
        <v>26.25</v>
      </c>
      <c r="H39" s="112">
        <v>5.0199999999999996</v>
      </c>
      <c r="I39" s="112">
        <v>5.17</v>
      </c>
      <c r="J39" s="112">
        <v>0.48</v>
      </c>
      <c r="K39" s="112">
        <v>304.41000000000003</v>
      </c>
      <c r="L39" s="112">
        <v>26.04</v>
      </c>
      <c r="M39" s="112">
        <v>89.17</v>
      </c>
      <c r="N39" s="112">
        <v>75.2</v>
      </c>
      <c r="O39" s="112">
        <v>0</v>
      </c>
      <c r="P39" s="112">
        <v>0.52</v>
      </c>
      <c r="Q39" s="112">
        <v>5.61</v>
      </c>
    </row>
    <row r="40" spans="1:17" customFormat="1">
      <c r="A40" s="189" t="s">
        <v>1422</v>
      </c>
      <c r="B40" s="112">
        <v>13.47</v>
      </c>
      <c r="C40" s="112">
        <v>18.170000000000002</v>
      </c>
      <c r="D40" s="112">
        <v>21.65</v>
      </c>
      <c r="E40" s="112">
        <v>8.01</v>
      </c>
      <c r="F40" s="112">
        <v>4.26</v>
      </c>
      <c r="G40" s="112">
        <v>27.44</v>
      </c>
      <c r="H40" s="112">
        <v>7.86</v>
      </c>
      <c r="I40" s="112">
        <v>5.0999999999999996</v>
      </c>
      <c r="J40" s="112">
        <v>0.45</v>
      </c>
      <c r="K40" s="112">
        <v>306.82</v>
      </c>
      <c r="L40" s="112">
        <v>26.23</v>
      </c>
      <c r="M40" s="112">
        <v>88.69</v>
      </c>
      <c r="N40" s="112">
        <v>102.4</v>
      </c>
      <c r="O40" s="112">
        <v>0</v>
      </c>
      <c r="P40" s="112">
        <v>0.54</v>
      </c>
      <c r="Q40" s="112">
        <v>5.6</v>
      </c>
    </row>
    <row r="41" spans="1:17" customFormat="1">
      <c r="A41" s="189" t="s">
        <v>1423</v>
      </c>
      <c r="B41" s="112">
        <v>13.77</v>
      </c>
      <c r="C41" s="112">
        <v>17.579999999999998</v>
      </c>
      <c r="D41" s="112">
        <v>21.58</v>
      </c>
      <c r="E41" s="112">
        <v>8.09</v>
      </c>
      <c r="F41" s="112">
        <v>4.7699999999999996</v>
      </c>
      <c r="G41" s="112">
        <v>28.3</v>
      </c>
      <c r="H41" s="112">
        <v>8.77</v>
      </c>
      <c r="I41" s="112">
        <v>5.1100000000000003</v>
      </c>
      <c r="J41" s="112">
        <v>0.49</v>
      </c>
      <c r="K41" s="112">
        <v>301.36</v>
      </c>
      <c r="L41" s="112">
        <v>26.66</v>
      </c>
      <c r="M41" s="112">
        <v>87.1</v>
      </c>
      <c r="N41" s="112">
        <v>182.6</v>
      </c>
      <c r="O41" s="112">
        <v>0</v>
      </c>
      <c r="P41" s="112">
        <v>0.55000000000000004</v>
      </c>
      <c r="Q41" s="112">
        <v>5.63</v>
      </c>
    </row>
    <row r="42" spans="1:17" customFormat="1">
      <c r="A42" s="189" t="s">
        <v>1424</v>
      </c>
      <c r="B42" s="112">
        <v>13.78</v>
      </c>
      <c r="C42" s="112">
        <v>16.809999999999999</v>
      </c>
      <c r="D42" s="112">
        <v>21.18</v>
      </c>
      <c r="E42" s="112">
        <v>8.7200000000000006</v>
      </c>
      <c r="F42" s="112">
        <v>5.24</v>
      </c>
      <c r="G42" s="112">
        <v>28.3</v>
      </c>
      <c r="H42" s="112">
        <v>8.77</v>
      </c>
      <c r="I42" s="112">
        <v>5.1100000000000003</v>
      </c>
      <c r="J42" s="112">
        <v>0.38</v>
      </c>
      <c r="K42" s="112">
        <v>314.88</v>
      </c>
      <c r="L42" s="112">
        <v>27.28</v>
      </c>
      <c r="M42" s="112">
        <v>85.57</v>
      </c>
      <c r="N42" s="112">
        <v>222.5</v>
      </c>
      <c r="O42" s="112">
        <v>0</v>
      </c>
      <c r="P42" s="112">
        <v>0.54</v>
      </c>
      <c r="Q42" s="112">
        <v>5.61</v>
      </c>
    </row>
    <row r="43" spans="1:17" customFormat="1">
      <c r="A43" s="189" t="s">
        <v>1425</v>
      </c>
      <c r="B43" s="112">
        <v>14.17</v>
      </c>
      <c r="C43" s="112">
        <v>17.11</v>
      </c>
      <c r="D43" s="112">
        <v>21.65</v>
      </c>
      <c r="E43" s="112">
        <v>8.26</v>
      </c>
      <c r="F43" s="112">
        <v>4.8499999999999996</v>
      </c>
      <c r="G43" s="112">
        <v>28.3</v>
      </c>
      <c r="H43" s="112">
        <v>8.77</v>
      </c>
      <c r="I43" s="112">
        <v>5.03</v>
      </c>
      <c r="J43" s="112">
        <v>0.49</v>
      </c>
      <c r="K43" s="112">
        <v>327.06</v>
      </c>
      <c r="L43" s="112">
        <v>27.8</v>
      </c>
      <c r="M43" s="112">
        <v>82.94</v>
      </c>
      <c r="N43" s="112">
        <v>200.5</v>
      </c>
      <c r="O43" s="112">
        <v>0</v>
      </c>
      <c r="P43" s="112">
        <v>0.53</v>
      </c>
      <c r="Q43" s="112">
        <v>5.6</v>
      </c>
    </row>
    <row r="44" spans="1:17" customFormat="1">
      <c r="A44" s="189" t="s">
        <v>1426</v>
      </c>
      <c r="B44" s="112">
        <v>14.53</v>
      </c>
      <c r="C44" s="112">
        <v>18.72</v>
      </c>
      <c r="D44" s="112">
        <v>22.78</v>
      </c>
      <c r="E44" s="112">
        <v>9.31</v>
      </c>
      <c r="F44" s="112">
        <v>4.34</v>
      </c>
      <c r="G44" s="112">
        <v>34.03</v>
      </c>
      <c r="H44" s="112">
        <v>7.99</v>
      </c>
      <c r="I44" s="112">
        <v>4.95</v>
      </c>
      <c r="J44" s="112">
        <v>0.44</v>
      </c>
      <c r="K44" s="112">
        <v>308.98</v>
      </c>
      <c r="L44" s="112">
        <v>27.83</v>
      </c>
      <c r="M44" s="112">
        <v>82.16</v>
      </c>
      <c r="N44" s="112">
        <v>185.4</v>
      </c>
      <c r="O44" s="112">
        <v>0</v>
      </c>
      <c r="P44" s="112">
        <v>0.57999999999999996</v>
      </c>
      <c r="Q44" s="112">
        <v>5.64</v>
      </c>
    </row>
    <row r="45" spans="1:17" customFormat="1">
      <c r="A45" s="189" t="s">
        <v>1427</v>
      </c>
      <c r="B45" s="112">
        <v>14.71</v>
      </c>
      <c r="C45" s="112">
        <v>18.239999999999998</v>
      </c>
      <c r="D45" s="112">
        <v>22.68</v>
      </c>
      <c r="E45" s="112">
        <v>8.82</v>
      </c>
      <c r="F45" s="112">
        <v>4.9400000000000004</v>
      </c>
      <c r="G45" s="112">
        <v>38.21</v>
      </c>
      <c r="H45" s="112">
        <v>7.74</v>
      </c>
      <c r="I45" s="112">
        <v>5</v>
      </c>
      <c r="J45" s="112">
        <v>0.4</v>
      </c>
      <c r="K45" s="112">
        <v>302.23</v>
      </c>
      <c r="L45" s="112">
        <v>27.57</v>
      </c>
      <c r="M45" s="112">
        <v>82.78</v>
      </c>
      <c r="N45" s="112">
        <v>107</v>
      </c>
      <c r="O45" s="112">
        <v>0</v>
      </c>
      <c r="P45" s="112">
        <v>0.56999999999999995</v>
      </c>
      <c r="Q45" s="112">
        <v>5.69</v>
      </c>
    </row>
    <row r="46" spans="1:17" customFormat="1">
      <c r="A46" s="189" t="s">
        <v>1428</v>
      </c>
      <c r="B46" s="112">
        <v>14.8</v>
      </c>
      <c r="C46" s="112">
        <v>17.600000000000001</v>
      </c>
      <c r="D46" s="112">
        <v>22.41</v>
      </c>
      <c r="E46" s="112">
        <v>9.5</v>
      </c>
      <c r="F46" s="112">
        <v>5.47</v>
      </c>
      <c r="G46" s="112">
        <v>38.21</v>
      </c>
      <c r="H46" s="112">
        <v>7.74</v>
      </c>
      <c r="I46" s="112">
        <v>5.05</v>
      </c>
      <c r="J46" s="112">
        <v>0.41</v>
      </c>
      <c r="K46" s="112">
        <v>317.63</v>
      </c>
      <c r="L46" s="112">
        <v>27.76</v>
      </c>
      <c r="M46" s="112">
        <v>81.8</v>
      </c>
      <c r="N46" s="112">
        <v>186.2</v>
      </c>
      <c r="O46" s="112">
        <v>0</v>
      </c>
      <c r="P46" s="112">
        <v>0.56999999999999995</v>
      </c>
      <c r="Q46" s="112">
        <v>5.66</v>
      </c>
    </row>
    <row r="47" spans="1:17" customFormat="1">
      <c r="A47" s="189" t="s">
        <v>1429</v>
      </c>
      <c r="B47" s="112">
        <v>14.92</v>
      </c>
      <c r="C47" s="112">
        <v>17.37</v>
      </c>
      <c r="D47" s="112">
        <v>22.39</v>
      </c>
      <c r="E47" s="112">
        <v>8.74</v>
      </c>
      <c r="F47" s="112">
        <v>5.66</v>
      </c>
      <c r="G47" s="112">
        <v>38.21</v>
      </c>
      <c r="H47" s="112">
        <v>7.74</v>
      </c>
      <c r="I47" s="112">
        <v>4.99</v>
      </c>
      <c r="J47" s="112">
        <v>0.44</v>
      </c>
      <c r="K47" s="112">
        <v>293.01</v>
      </c>
      <c r="L47" s="112">
        <v>27.98</v>
      </c>
      <c r="M47" s="112">
        <v>80.48</v>
      </c>
      <c r="N47" s="112">
        <v>194.5</v>
      </c>
      <c r="O47" s="112">
        <v>0</v>
      </c>
      <c r="P47" s="112">
        <v>0.56000000000000005</v>
      </c>
      <c r="Q47" s="112">
        <v>5.68</v>
      </c>
    </row>
    <row r="48" spans="1:17" customFormat="1">
      <c r="A48" s="189" t="s">
        <v>1430</v>
      </c>
      <c r="B48" s="112">
        <v>14.98</v>
      </c>
      <c r="C48" s="112">
        <v>17.53</v>
      </c>
      <c r="D48" s="112">
        <v>22.52</v>
      </c>
      <c r="E48" s="112">
        <v>8.73</v>
      </c>
      <c r="F48" s="112">
        <v>5.9</v>
      </c>
      <c r="G48" s="112">
        <v>41.01</v>
      </c>
      <c r="H48" s="112">
        <v>11.29</v>
      </c>
      <c r="I48" s="112">
        <v>4.91</v>
      </c>
      <c r="J48" s="112">
        <v>0.4</v>
      </c>
      <c r="K48" s="112">
        <v>313.75</v>
      </c>
      <c r="L48" s="112">
        <v>28.55</v>
      </c>
      <c r="M48" s="112">
        <v>78.78</v>
      </c>
      <c r="N48" s="112">
        <v>310.5</v>
      </c>
      <c r="O48" s="112">
        <v>0</v>
      </c>
      <c r="P48" s="112">
        <v>0.56999999999999995</v>
      </c>
      <c r="Q48" s="112">
        <v>5.71</v>
      </c>
    </row>
    <row r="49" spans="1:17" customFormat="1">
      <c r="A49" s="189" t="s">
        <v>1431</v>
      </c>
      <c r="B49" s="112">
        <v>14.95</v>
      </c>
      <c r="C49" s="112">
        <v>19.66</v>
      </c>
      <c r="D49" s="112">
        <v>23.61</v>
      </c>
      <c r="E49" s="112">
        <v>7.55</v>
      </c>
      <c r="F49" s="112">
        <v>4.6399999999999997</v>
      </c>
      <c r="G49" s="112">
        <v>43.06</v>
      </c>
      <c r="H49" s="112">
        <v>12.43</v>
      </c>
      <c r="I49" s="112">
        <v>4.92</v>
      </c>
      <c r="J49" s="112">
        <v>0.53</v>
      </c>
      <c r="K49" s="112">
        <v>299.17</v>
      </c>
      <c r="L49" s="112">
        <v>28.92</v>
      </c>
      <c r="M49" s="112">
        <v>77.08</v>
      </c>
      <c r="N49" s="112">
        <v>312</v>
      </c>
      <c r="O49" s="112">
        <v>0</v>
      </c>
      <c r="P49" s="112">
        <v>0.61</v>
      </c>
      <c r="Q49" s="112">
        <v>5.75</v>
      </c>
    </row>
    <row r="50" spans="1:17" customFormat="1">
      <c r="A50" s="189" t="s">
        <v>1432</v>
      </c>
      <c r="B50" s="112">
        <v>15.1</v>
      </c>
      <c r="C50" s="112">
        <v>19.3</v>
      </c>
      <c r="D50" s="112">
        <v>23.54</v>
      </c>
      <c r="E50" s="112">
        <v>9.24</v>
      </c>
      <c r="F50" s="112">
        <v>5.45</v>
      </c>
      <c r="G50" s="112">
        <v>43.06</v>
      </c>
      <c r="H50" s="112">
        <v>12.43</v>
      </c>
      <c r="I50" s="112">
        <v>4.87</v>
      </c>
      <c r="J50" s="112">
        <v>0.48</v>
      </c>
      <c r="K50" s="112">
        <v>327.71</v>
      </c>
      <c r="L50" s="112">
        <v>29.26</v>
      </c>
      <c r="M50" s="112">
        <v>75.61</v>
      </c>
      <c r="N50" s="112">
        <v>314.8</v>
      </c>
      <c r="O50" s="112">
        <v>0</v>
      </c>
      <c r="P50" s="112">
        <v>0.61</v>
      </c>
      <c r="Q50" s="112">
        <v>5.8</v>
      </c>
    </row>
    <row r="51" spans="1:17" customFormat="1">
      <c r="A51" s="189" t="s">
        <v>1433</v>
      </c>
      <c r="B51" s="112">
        <v>14.98</v>
      </c>
      <c r="C51" s="112">
        <v>18.64</v>
      </c>
      <c r="D51" s="112">
        <v>23.1</v>
      </c>
      <c r="E51" s="112">
        <v>9.17</v>
      </c>
      <c r="F51" s="112">
        <v>5.99</v>
      </c>
      <c r="G51" s="112">
        <v>43.06</v>
      </c>
      <c r="H51" s="112">
        <v>12.43</v>
      </c>
      <c r="I51" s="112">
        <v>5.0199999999999996</v>
      </c>
      <c r="J51" s="112">
        <v>0.35</v>
      </c>
      <c r="K51" s="112">
        <v>330.35</v>
      </c>
      <c r="L51" s="112">
        <v>29.51</v>
      </c>
      <c r="M51" s="112">
        <v>75.75</v>
      </c>
      <c r="N51" s="112">
        <v>315.39999999999998</v>
      </c>
      <c r="O51" s="112">
        <v>0</v>
      </c>
      <c r="P51" s="112">
        <v>0.61</v>
      </c>
      <c r="Q51" s="112">
        <v>5.8</v>
      </c>
    </row>
    <row r="52" spans="1:17" customFormat="1">
      <c r="A52" s="189" t="s">
        <v>1434</v>
      </c>
      <c r="B52" s="112">
        <v>14.49</v>
      </c>
      <c r="C52" s="112">
        <v>18.190000000000001</v>
      </c>
      <c r="D52" s="112">
        <v>22.48</v>
      </c>
      <c r="E52" s="112">
        <v>9.3699999999999992</v>
      </c>
      <c r="F52" s="112">
        <v>7.32</v>
      </c>
      <c r="G52" s="112">
        <v>42.55</v>
      </c>
      <c r="H52" s="112">
        <v>13.83</v>
      </c>
      <c r="I52" s="112">
        <v>4.9400000000000004</v>
      </c>
      <c r="J52" s="112">
        <v>0.49</v>
      </c>
      <c r="K52" s="112">
        <v>344.09</v>
      </c>
      <c r="L52" s="112">
        <v>30.01</v>
      </c>
      <c r="M52" s="112">
        <v>74.89</v>
      </c>
      <c r="N52" s="112">
        <v>531.5</v>
      </c>
      <c r="O52" s="112">
        <v>0</v>
      </c>
      <c r="P52" s="112">
        <v>0.61</v>
      </c>
      <c r="Q52" s="112">
        <v>5.79</v>
      </c>
    </row>
    <row r="53" spans="1:17" customFormat="1">
      <c r="A53" s="189" t="s">
        <v>1435</v>
      </c>
      <c r="B53" s="112">
        <v>14.26</v>
      </c>
      <c r="C53" s="112">
        <v>19.239999999999998</v>
      </c>
      <c r="D53" s="112">
        <v>22.83</v>
      </c>
      <c r="E53" s="112">
        <v>8.69</v>
      </c>
      <c r="F53" s="112">
        <v>6.02</v>
      </c>
      <c r="G53" s="112">
        <v>42.17</v>
      </c>
      <c r="H53" s="112">
        <v>14.27</v>
      </c>
      <c r="I53" s="112">
        <v>4.96</v>
      </c>
      <c r="J53" s="112">
        <v>0.61</v>
      </c>
      <c r="K53" s="112">
        <v>299.02999999999997</v>
      </c>
      <c r="L53" s="112">
        <v>29.98</v>
      </c>
      <c r="M53" s="112">
        <v>74.64</v>
      </c>
      <c r="N53" s="112">
        <v>343.7</v>
      </c>
      <c r="O53" s="112">
        <v>0</v>
      </c>
      <c r="P53" s="112">
        <v>0.62</v>
      </c>
      <c r="Q53" s="112">
        <v>5.74</v>
      </c>
    </row>
    <row r="54" spans="1:17" customFormat="1">
      <c r="A54" s="189" t="s">
        <v>1436</v>
      </c>
      <c r="B54" s="112">
        <v>13.94</v>
      </c>
      <c r="C54" s="112">
        <v>19.440000000000001</v>
      </c>
      <c r="D54" s="112">
        <v>22.69</v>
      </c>
      <c r="E54" s="112">
        <v>8.33</v>
      </c>
      <c r="F54" s="112">
        <v>5.7</v>
      </c>
      <c r="G54" s="112">
        <v>42.17</v>
      </c>
      <c r="H54" s="112">
        <v>14.27</v>
      </c>
      <c r="I54" s="112">
        <v>4.83</v>
      </c>
      <c r="J54" s="112">
        <v>0.37</v>
      </c>
      <c r="K54" s="112">
        <v>308.64999999999998</v>
      </c>
      <c r="L54" s="112">
        <v>29.88</v>
      </c>
      <c r="M54" s="112">
        <v>75.22</v>
      </c>
      <c r="N54" s="112">
        <v>316</v>
      </c>
      <c r="O54" s="112">
        <v>0</v>
      </c>
      <c r="P54" s="112">
        <v>0.63</v>
      </c>
      <c r="Q54" s="112">
        <v>5.77</v>
      </c>
    </row>
    <row r="55" spans="1:17" customFormat="1">
      <c r="A55" s="189" t="s">
        <v>1437</v>
      </c>
      <c r="B55" s="112">
        <v>13.69</v>
      </c>
      <c r="C55" s="112">
        <v>19.28</v>
      </c>
      <c r="D55" s="112">
        <v>22.4</v>
      </c>
      <c r="E55" s="112">
        <v>8.74</v>
      </c>
      <c r="F55" s="112">
        <v>6.09</v>
      </c>
      <c r="G55" s="112">
        <v>42.17</v>
      </c>
      <c r="H55" s="112">
        <v>14.27</v>
      </c>
      <c r="I55" s="112">
        <v>5.0199999999999996</v>
      </c>
      <c r="J55" s="112">
        <v>0.37</v>
      </c>
      <c r="K55" s="112">
        <v>317.02</v>
      </c>
      <c r="L55" s="112">
        <v>30.02</v>
      </c>
      <c r="M55" s="112">
        <v>74.73</v>
      </c>
      <c r="N55" s="112">
        <v>284.2</v>
      </c>
      <c r="O55" s="112">
        <v>0</v>
      </c>
      <c r="P55" s="112">
        <v>0.63</v>
      </c>
      <c r="Q55" s="112">
        <v>5.76</v>
      </c>
    </row>
    <row r="56" spans="1:17" customFormat="1">
      <c r="A56" s="189" t="s">
        <v>1438</v>
      </c>
      <c r="B56" s="112">
        <v>13.11</v>
      </c>
      <c r="C56" s="112">
        <v>18.38</v>
      </c>
      <c r="D56" s="112">
        <v>21.47</v>
      </c>
      <c r="E56" s="112">
        <v>8.3800000000000008</v>
      </c>
      <c r="F56" s="112">
        <v>7.74</v>
      </c>
      <c r="G56" s="112">
        <v>42.03</v>
      </c>
      <c r="H56" s="112">
        <v>13.16</v>
      </c>
      <c r="I56" s="112">
        <v>4.9800000000000004</v>
      </c>
      <c r="J56" s="112">
        <v>0.44</v>
      </c>
      <c r="K56" s="112">
        <v>296.05</v>
      </c>
      <c r="L56" s="112">
        <v>30.14</v>
      </c>
      <c r="M56" s="112">
        <v>74.62</v>
      </c>
      <c r="N56" s="112">
        <v>387.1</v>
      </c>
      <c r="O56" s="112">
        <v>0</v>
      </c>
      <c r="P56" s="112">
        <v>0.61</v>
      </c>
      <c r="Q56" s="112">
        <v>5.74</v>
      </c>
    </row>
    <row r="57" spans="1:17" customFormat="1">
      <c r="A57" s="189" t="s">
        <v>1439</v>
      </c>
      <c r="B57" s="112">
        <v>12.8</v>
      </c>
      <c r="C57" s="112">
        <v>17.87</v>
      </c>
      <c r="D57" s="112">
        <v>20.95</v>
      </c>
      <c r="E57" s="112">
        <v>9</v>
      </c>
      <c r="F57" s="112">
        <v>8.24</v>
      </c>
      <c r="G57" s="112">
        <v>41.92</v>
      </c>
      <c r="H57" s="112">
        <v>12.53</v>
      </c>
      <c r="I57" s="112">
        <v>4.9000000000000004</v>
      </c>
      <c r="J57" s="112">
        <v>0.34</v>
      </c>
      <c r="K57" s="112">
        <v>353.4</v>
      </c>
      <c r="L57" s="112">
        <v>30.66</v>
      </c>
      <c r="M57" s="112">
        <v>73.61</v>
      </c>
      <c r="N57" s="112">
        <v>503.9</v>
      </c>
      <c r="O57" s="112">
        <v>0</v>
      </c>
      <c r="P57" s="112">
        <v>0.61</v>
      </c>
      <c r="Q57" s="112">
        <v>5.74</v>
      </c>
    </row>
    <row r="58" spans="1:17" customFormat="1">
      <c r="A58" s="189" t="s">
        <v>1440</v>
      </c>
      <c r="B58" s="112">
        <v>12.68</v>
      </c>
      <c r="C58" s="112">
        <v>18.54</v>
      </c>
      <c r="D58" s="112">
        <v>21.21</v>
      </c>
      <c r="E58" s="112">
        <v>8.48</v>
      </c>
      <c r="F58" s="112">
        <v>7.04</v>
      </c>
      <c r="G58" s="112">
        <v>41.92</v>
      </c>
      <c r="H58" s="112">
        <v>12.53</v>
      </c>
      <c r="I58" s="112">
        <v>4.6500000000000004</v>
      </c>
      <c r="J58" s="112">
        <v>0.41</v>
      </c>
      <c r="K58" s="112">
        <v>319.42</v>
      </c>
      <c r="L58" s="112">
        <v>31.03</v>
      </c>
      <c r="M58" s="112">
        <v>71.86</v>
      </c>
      <c r="N58" s="112">
        <v>604</v>
      </c>
      <c r="O58" s="112">
        <v>0</v>
      </c>
      <c r="P58" s="112">
        <v>0.61</v>
      </c>
      <c r="Q58" s="112">
        <v>5.69</v>
      </c>
    </row>
    <row r="59" spans="1:17" customFormat="1">
      <c r="A59" s="189" t="s">
        <v>1441</v>
      </c>
      <c r="B59" s="112">
        <v>12.38</v>
      </c>
      <c r="C59" s="112">
        <v>18.420000000000002</v>
      </c>
      <c r="D59" s="112">
        <v>20.9</v>
      </c>
      <c r="E59" s="112">
        <v>8.4700000000000006</v>
      </c>
      <c r="F59" s="112">
        <v>7.46</v>
      </c>
      <c r="G59" s="112">
        <v>41.92</v>
      </c>
      <c r="H59" s="112">
        <v>12.53</v>
      </c>
      <c r="I59" s="112">
        <v>4.7</v>
      </c>
      <c r="J59" s="112">
        <v>0.38</v>
      </c>
      <c r="K59" s="112">
        <v>321.41000000000003</v>
      </c>
      <c r="L59" s="112">
        <v>31.15</v>
      </c>
      <c r="M59" s="112">
        <v>71.2</v>
      </c>
      <c r="N59" s="112">
        <v>393.2</v>
      </c>
      <c r="O59" s="112">
        <v>0</v>
      </c>
      <c r="P59" s="112">
        <v>0.6</v>
      </c>
      <c r="Q59" s="112">
        <v>5.71</v>
      </c>
    </row>
    <row r="60" spans="1:17" customFormat="1">
      <c r="A60" s="189" t="s">
        <v>1442</v>
      </c>
      <c r="B60" s="112">
        <v>11.93</v>
      </c>
      <c r="C60" s="112">
        <v>18.55</v>
      </c>
      <c r="D60" s="112">
        <v>20.61</v>
      </c>
      <c r="E60" s="112">
        <v>8.6</v>
      </c>
      <c r="F60" s="112">
        <v>7.53</v>
      </c>
      <c r="G60" s="112">
        <v>38.78</v>
      </c>
      <c r="H60" s="112">
        <v>11.1</v>
      </c>
      <c r="I60" s="112">
        <v>4.7</v>
      </c>
      <c r="J60" s="112">
        <v>0.55000000000000004</v>
      </c>
      <c r="K60" s="112">
        <v>289.12</v>
      </c>
      <c r="L60" s="112">
        <v>30.47</v>
      </c>
      <c r="M60" s="112">
        <v>74.010000000000005</v>
      </c>
      <c r="N60" s="112">
        <v>263.10000000000002</v>
      </c>
      <c r="O60" s="112">
        <v>0</v>
      </c>
      <c r="P60" s="112">
        <v>0.6</v>
      </c>
      <c r="Q60" s="112">
        <v>5.7</v>
      </c>
    </row>
    <row r="61" spans="1:17" customFormat="1">
      <c r="A61" s="189" t="s">
        <v>1443</v>
      </c>
      <c r="B61" s="112">
        <v>11.58</v>
      </c>
      <c r="C61" s="112">
        <v>18.53</v>
      </c>
      <c r="D61" s="112">
        <v>20.32</v>
      </c>
      <c r="E61" s="112">
        <v>8.36</v>
      </c>
      <c r="F61" s="112">
        <v>8.11</v>
      </c>
      <c r="G61" s="112">
        <v>36.49</v>
      </c>
      <c r="H61" s="112">
        <v>10.64</v>
      </c>
      <c r="I61" s="112">
        <v>4.66</v>
      </c>
      <c r="J61" s="112">
        <v>0.35</v>
      </c>
      <c r="K61" s="112">
        <v>329.85</v>
      </c>
      <c r="L61" s="112">
        <v>30.5</v>
      </c>
      <c r="M61" s="112">
        <v>73.209999999999994</v>
      </c>
      <c r="N61" s="112">
        <v>265.39999999999998</v>
      </c>
      <c r="O61" s="112">
        <v>0</v>
      </c>
      <c r="P61" s="112">
        <v>0.6</v>
      </c>
      <c r="Q61" s="112">
        <v>5.67</v>
      </c>
    </row>
    <row r="62" spans="1:17" customFormat="1">
      <c r="A62" s="189" t="s">
        <v>1444</v>
      </c>
      <c r="B62" s="112">
        <v>11.32</v>
      </c>
      <c r="C62" s="112">
        <v>18.420000000000002</v>
      </c>
      <c r="D62" s="112">
        <v>20.05</v>
      </c>
      <c r="E62" s="112">
        <v>8.3699999999999992</v>
      </c>
      <c r="F62" s="112">
        <v>7.73</v>
      </c>
      <c r="G62" s="112">
        <v>36.49</v>
      </c>
      <c r="H62" s="112">
        <v>10.64</v>
      </c>
      <c r="I62" s="112">
        <v>4.68</v>
      </c>
      <c r="J62" s="112">
        <v>0.28000000000000003</v>
      </c>
      <c r="K62" s="112">
        <v>331.95</v>
      </c>
      <c r="L62" s="112">
        <v>30.68</v>
      </c>
      <c r="M62" s="112">
        <v>73.16</v>
      </c>
      <c r="N62" s="112">
        <v>279.7</v>
      </c>
      <c r="O62" s="112">
        <v>0</v>
      </c>
      <c r="P62" s="112">
        <v>0.6</v>
      </c>
      <c r="Q62" s="112">
        <v>5.64</v>
      </c>
    </row>
    <row r="63" spans="1:17" customFormat="1">
      <c r="A63" s="189" t="s">
        <v>1445</v>
      </c>
      <c r="B63" s="112">
        <v>11.3</v>
      </c>
      <c r="C63" s="112">
        <v>18.59</v>
      </c>
      <c r="D63" s="112">
        <v>20.13</v>
      </c>
      <c r="E63" s="112">
        <v>8.33</v>
      </c>
      <c r="F63" s="112">
        <v>7.65</v>
      </c>
      <c r="G63" s="112">
        <v>36.49</v>
      </c>
      <c r="H63" s="112">
        <v>10.64</v>
      </c>
      <c r="I63" s="112">
        <v>4.47</v>
      </c>
      <c r="J63" s="112">
        <v>0.49</v>
      </c>
      <c r="K63" s="112">
        <v>344.79</v>
      </c>
      <c r="L63" s="112">
        <v>30.57</v>
      </c>
      <c r="M63" s="112">
        <v>74.489999999999995</v>
      </c>
      <c r="N63" s="112">
        <v>212.9</v>
      </c>
      <c r="O63" s="112">
        <v>0</v>
      </c>
      <c r="P63" s="112">
        <v>0.61</v>
      </c>
      <c r="Q63" s="112">
        <v>5.66</v>
      </c>
    </row>
    <row r="64" spans="1:17" customFormat="1">
      <c r="A64" s="189" t="s">
        <v>1446</v>
      </c>
      <c r="B64" s="112">
        <v>11.09</v>
      </c>
      <c r="C64" s="112">
        <v>18.25</v>
      </c>
      <c r="D64" s="112">
        <v>19.78</v>
      </c>
      <c r="E64" s="112">
        <v>9.27</v>
      </c>
      <c r="F64" s="112">
        <v>8.2200000000000006</v>
      </c>
      <c r="G64" s="112">
        <v>38.08</v>
      </c>
      <c r="H64" s="112">
        <v>10.48</v>
      </c>
      <c r="I64" s="112">
        <v>4.5199999999999996</v>
      </c>
      <c r="J64" s="112">
        <v>0.42</v>
      </c>
      <c r="K64" s="112">
        <v>336.59</v>
      </c>
      <c r="L64" s="112">
        <v>30.28</v>
      </c>
      <c r="M64" s="112">
        <v>74.31</v>
      </c>
      <c r="N64" s="112">
        <v>243.3</v>
      </c>
      <c r="O64" s="112">
        <v>0</v>
      </c>
      <c r="P64" s="112">
        <v>0.61</v>
      </c>
      <c r="Q64" s="112">
        <v>5.66</v>
      </c>
    </row>
    <row r="65" spans="1:17" customFormat="1">
      <c r="A65" s="189" t="s">
        <v>1447</v>
      </c>
      <c r="B65" s="112">
        <v>11.27</v>
      </c>
      <c r="C65" s="112">
        <v>18.2</v>
      </c>
      <c r="D65" s="112">
        <v>19.899999999999999</v>
      </c>
      <c r="E65" s="112">
        <v>8.91</v>
      </c>
      <c r="F65" s="112">
        <v>7.94</v>
      </c>
      <c r="G65" s="112">
        <v>39.25</v>
      </c>
      <c r="H65" s="112">
        <v>10.43</v>
      </c>
      <c r="I65" s="112">
        <v>4.55</v>
      </c>
      <c r="J65" s="112">
        <v>0.35</v>
      </c>
      <c r="K65" s="112">
        <v>324.68</v>
      </c>
      <c r="L65" s="112">
        <v>30.65</v>
      </c>
      <c r="M65" s="112">
        <v>73.61</v>
      </c>
      <c r="N65" s="112">
        <v>454.6</v>
      </c>
      <c r="O65" s="112">
        <v>0</v>
      </c>
      <c r="P65" s="112">
        <v>0.57999999999999996</v>
      </c>
      <c r="Q65" s="112">
        <v>5.64</v>
      </c>
    </row>
    <row r="66" spans="1:17" customFormat="1">
      <c r="A66" s="189" t="s">
        <v>1448</v>
      </c>
      <c r="B66" s="112">
        <v>11.07</v>
      </c>
      <c r="C66" s="112">
        <v>18.420000000000002</v>
      </c>
      <c r="D66" s="112">
        <v>19.850000000000001</v>
      </c>
      <c r="E66" s="112">
        <v>8.69</v>
      </c>
      <c r="F66" s="112">
        <v>7.33</v>
      </c>
      <c r="G66" s="112">
        <v>39.25</v>
      </c>
      <c r="H66" s="112">
        <v>10.43</v>
      </c>
      <c r="I66" s="112">
        <v>4.49</v>
      </c>
      <c r="J66" s="112">
        <v>0.5</v>
      </c>
      <c r="K66" s="112">
        <v>322.7</v>
      </c>
      <c r="L66" s="112">
        <v>31.58</v>
      </c>
      <c r="M66" s="112">
        <v>69.25</v>
      </c>
      <c r="N66" s="112">
        <v>544.70000000000005</v>
      </c>
      <c r="O66" s="112">
        <v>0</v>
      </c>
      <c r="P66" s="112">
        <v>0.6</v>
      </c>
      <c r="Q66" s="112">
        <v>5.62</v>
      </c>
    </row>
    <row r="67" spans="1:17" customFormat="1">
      <c r="A67" s="189" t="s">
        <v>1449</v>
      </c>
      <c r="B67" s="112">
        <v>11.12</v>
      </c>
      <c r="C67" s="112">
        <v>18.190000000000001</v>
      </c>
      <c r="D67" s="112">
        <v>19.77</v>
      </c>
      <c r="E67" s="112">
        <v>8.52</v>
      </c>
      <c r="F67" s="112">
        <v>7.18</v>
      </c>
      <c r="G67" s="112">
        <v>39.25</v>
      </c>
      <c r="H67" s="112">
        <v>10.43</v>
      </c>
      <c r="I67" s="112">
        <v>4.49</v>
      </c>
      <c r="J67" s="112">
        <v>0.38</v>
      </c>
      <c r="K67" s="112">
        <v>337.42</v>
      </c>
      <c r="L67" s="112">
        <v>31.3</v>
      </c>
      <c r="M67" s="112">
        <v>70.349999999999994</v>
      </c>
      <c r="N67" s="112">
        <v>218.1</v>
      </c>
      <c r="O67" s="112">
        <v>0</v>
      </c>
      <c r="P67" s="112">
        <v>0.62</v>
      </c>
      <c r="Q67" s="112">
        <v>5.63</v>
      </c>
    </row>
    <row r="68" spans="1:17" customFormat="1">
      <c r="A68" s="189" t="s">
        <v>1450</v>
      </c>
      <c r="B68" s="112">
        <v>10.99</v>
      </c>
      <c r="C68" s="112">
        <v>18.18</v>
      </c>
      <c r="D68" s="112">
        <v>19.670000000000002</v>
      </c>
      <c r="E68" s="112">
        <v>8.75</v>
      </c>
      <c r="F68" s="112">
        <v>8.26</v>
      </c>
      <c r="G68" s="112">
        <v>41.04</v>
      </c>
      <c r="H68" s="112">
        <v>11.61</v>
      </c>
      <c r="I68" s="112">
        <v>4.54</v>
      </c>
      <c r="J68" s="112">
        <v>0.46</v>
      </c>
      <c r="K68" s="112">
        <v>286.41000000000003</v>
      </c>
      <c r="L68" s="112">
        <v>30.6</v>
      </c>
      <c r="M68" s="112">
        <v>72.400000000000006</v>
      </c>
      <c r="N68" s="112">
        <v>161.9</v>
      </c>
      <c r="O68" s="112">
        <v>0</v>
      </c>
      <c r="P68" s="112">
        <v>0.62</v>
      </c>
      <c r="Q68" s="112">
        <v>5.62</v>
      </c>
    </row>
    <row r="69" spans="1:17" customFormat="1">
      <c r="A69" s="189" t="s">
        <v>1451</v>
      </c>
      <c r="B69" s="112">
        <v>10.51</v>
      </c>
      <c r="C69" s="112">
        <v>17.59</v>
      </c>
      <c r="D69" s="112">
        <v>18.97</v>
      </c>
      <c r="E69" s="112">
        <v>8.0299999999999994</v>
      </c>
      <c r="F69" s="112">
        <v>7.78</v>
      </c>
      <c r="G69" s="112">
        <v>42.35</v>
      </c>
      <c r="H69" s="112">
        <v>11.98</v>
      </c>
      <c r="I69" s="112">
        <v>4.45</v>
      </c>
      <c r="J69" s="112">
        <v>0.39</v>
      </c>
      <c r="K69" s="112">
        <v>258.02999999999997</v>
      </c>
      <c r="L69" s="112">
        <v>30.17</v>
      </c>
      <c r="M69" s="112">
        <v>78.53</v>
      </c>
      <c r="N69" s="112">
        <v>119.4</v>
      </c>
      <c r="O69" s="112">
        <v>0</v>
      </c>
      <c r="P69" s="112">
        <v>0.59</v>
      </c>
      <c r="Q69" s="112">
        <v>5.6</v>
      </c>
    </row>
    <row r="70" spans="1:17" customFormat="1">
      <c r="A70" s="189" t="s">
        <v>1452</v>
      </c>
      <c r="B70" s="112">
        <v>10.18</v>
      </c>
      <c r="C70" s="112">
        <v>17.45</v>
      </c>
      <c r="D70" s="112">
        <v>18.64</v>
      </c>
      <c r="E70" s="112">
        <v>7.23</v>
      </c>
      <c r="F70" s="112">
        <v>7.08</v>
      </c>
      <c r="G70" s="112">
        <v>42.35</v>
      </c>
      <c r="H70" s="112">
        <v>11.98</v>
      </c>
      <c r="I70" s="112">
        <v>4.59</v>
      </c>
      <c r="J70" s="112">
        <v>0.31</v>
      </c>
      <c r="K70" s="112">
        <v>239.49</v>
      </c>
      <c r="L70" s="112">
        <v>29.31</v>
      </c>
      <c r="M70" s="112">
        <v>84.25</v>
      </c>
      <c r="N70" s="112">
        <v>45.5</v>
      </c>
      <c r="O70" s="112">
        <v>0</v>
      </c>
      <c r="P70" s="112">
        <v>0.59</v>
      </c>
      <c r="Q70" s="112">
        <v>5.54</v>
      </c>
    </row>
    <row r="71" spans="1:17" customFormat="1">
      <c r="A71" s="189" t="s">
        <v>1453</v>
      </c>
      <c r="B71" s="112">
        <v>9.76</v>
      </c>
      <c r="C71" s="112">
        <v>16.739999999999998</v>
      </c>
      <c r="D71" s="112">
        <v>17.93</v>
      </c>
      <c r="E71" s="112">
        <v>7.27</v>
      </c>
      <c r="F71" s="112">
        <v>7.2</v>
      </c>
      <c r="G71" s="112">
        <v>42.35</v>
      </c>
      <c r="H71" s="112">
        <v>11.98</v>
      </c>
      <c r="I71" s="112">
        <v>4.3600000000000003</v>
      </c>
      <c r="J71" s="112">
        <v>0.18</v>
      </c>
      <c r="K71" s="112">
        <v>259.75</v>
      </c>
      <c r="L71" s="112">
        <v>28.59</v>
      </c>
      <c r="M71" s="112">
        <v>86.41</v>
      </c>
      <c r="N71" s="112">
        <v>15.1</v>
      </c>
      <c r="O71" s="112">
        <v>0</v>
      </c>
      <c r="P71" s="112">
        <v>0.56999999999999995</v>
      </c>
      <c r="Q71" s="112">
        <v>5.51</v>
      </c>
    </row>
    <row r="72" spans="1:17" customFormat="1">
      <c r="A72" s="189" t="s">
        <v>1454</v>
      </c>
      <c r="B72" s="112">
        <v>9.77</v>
      </c>
      <c r="C72" s="112">
        <v>17.059999999999999</v>
      </c>
      <c r="D72" s="112">
        <v>18.100000000000001</v>
      </c>
      <c r="E72" s="112">
        <v>7.14</v>
      </c>
      <c r="F72" s="112">
        <v>6.66</v>
      </c>
      <c r="G72" s="112">
        <v>36.94</v>
      </c>
      <c r="H72" s="112">
        <v>10.37</v>
      </c>
      <c r="I72" s="112">
        <v>4.42</v>
      </c>
      <c r="J72" s="112">
        <v>0.22</v>
      </c>
      <c r="K72" s="112">
        <v>237.24</v>
      </c>
      <c r="L72" s="112">
        <v>27.73</v>
      </c>
      <c r="M72" s="112">
        <v>89.18</v>
      </c>
      <c r="N72" s="112">
        <v>5.0999999999999996</v>
      </c>
      <c r="O72" s="112">
        <v>0</v>
      </c>
      <c r="P72" s="112">
        <v>0.57999999999999996</v>
      </c>
      <c r="Q72" s="112">
        <v>5.5</v>
      </c>
    </row>
    <row r="73" spans="1:17" customFormat="1">
      <c r="A73" s="189" t="s">
        <v>1455</v>
      </c>
      <c r="B73" s="112">
        <v>9.6999999999999993</v>
      </c>
      <c r="C73" s="112">
        <v>17.52</v>
      </c>
      <c r="D73" s="112">
        <v>18.28</v>
      </c>
      <c r="E73" s="112">
        <v>7.1</v>
      </c>
      <c r="F73" s="112">
        <v>5.81</v>
      </c>
      <c r="G73" s="112">
        <v>32.979999999999997</v>
      </c>
      <c r="H73" s="112">
        <v>9.85</v>
      </c>
      <c r="I73" s="112">
        <v>4.25</v>
      </c>
      <c r="J73" s="112">
        <v>0.27</v>
      </c>
      <c r="K73" s="112">
        <v>242.28</v>
      </c>
      <c r="L73" s="112">
        <v>27.14</v>
      </c>
      <c r="M73" s="112">
        <v>91.99</v>
      </c>
      <c r="N73" s="112">
        <v>0</v>
      </c>
      <c r="O73" s="112">
        <v>1.4</v>
      </c>
      <c r="P73" s="112">
        <v>0.57999999999999996</v>
      </c>
      <c r="Q73" s="112">
        <v>5.5</v>
      </c>
    </row>
    <row r="74" spans="1:17" customFormat="1">
      <c r="A74" s="189" t="s">
        <v>1456</v>
      </c>
      <c r="B74" s="112">
        <v>9.6999999999999993</v>
      </c>
      <c r="C74" s="112">
        <v>16.8</v>
      </c>
      <c r="D74" s="112">
        <v>17.91</v>
      </c>
      <c r="E74" s="112">
        <v>6.87</v>
      </c>
      <c r="F74" s="112">
        <v>5.9</v>
      </c>
      <c r="G74" s="112">
        <v>32.979999999999997</v>
      </c>
      <c r="H74" s="112">
        <v>9.85</v>
      </c>
      <c r="I74" s="112">
        <v>4.3600000000000003</v>
      </c>
      <c r="J74" s="112">
        <v>0.36</v>
      </c>
      <c r="K74" s="112">
        <v>257.61</v>
      </c>
      <c r="L74" s="112">
        <v>25.84</v>
      </c>
      <c r="M74" s="112">
        <v>97.47</v>
      </c>
      <c r="N74" s="112">
        <v>0</v>
      </c>
      <c r="O74" s="112">
        <v>8</v>
      </c>
      <c r="P74" s="112">
        <v>0.56000000000000005</v>
      </c>
      <c r="Q74" s="112">
        <v>5.46</v>
      </c>
    </row>
    <row r="75" spans="1:17" customFormat="1">
      <c r="A75" s="189" t="s">
        <v>1457</v>
      </c>
      <c r="B75" s="112">
        <v>9.57</v>
      </c>
      <c r="C75" s="112">
        <v>15.94</v>
      </c>
      <c r="D75" s="112">
        <v>17.350000000000001</v>
      </c>
      <c r="E75" s="112">
        <v>6.68</v>
      </c>
      <c r="F75" s="112">
        <v>5.92</v>
      </c>
      <c r="G75" s="112">
        <v>32.979999999999997</v>
      </c>
      <c r="H75" s="112">
        <v>9.85</v>
      </c>
      <c r="I75" s="112">
        <v>4.3499999999999996</v>
      </c>
      <c r="J75" s="112">
        <v>0.25</v>
      </c>
      <c r="K75" s="112">
        <v>251.06</v>
      </c>
      <c r="L75" s="112">
        <v>25.26</v>
      </c>
      <c r="M75" s="112">
        <v>98.55</v>
      </c>
      <c r="N75" s="112">
        <v>0</v>
      </c>
      <c r="O75" s="112">
        <v>10.8</v>
      </c>
      <c r="P75" s="112">
        <v>0.55000000000000004</v>
      </c>
      <c r="Q75" s="112">
        <v>5.4</v>
      </c>
    </row>
    <row r="76" spans="1:17" customFormat="1">
      <c r="A76" s="189" t="s">
        <v>1458</v>
      </c>
      <c r="B76" s="112">
        <v>9.24</v>
      </c>
      <c r="C76" s="112">
        <v>16.059999999999999</v>
      </c>
      <c r="D76" s="112">
        <v>17.149999999999999</v>
      </c>
      <c r="E76" s="112">
        <v>6.57</v>
      </c>
      <c r="F76" s="112">
        <v>6.91</v>
      </c>
      <c r="G76" s="112">
        <v>25.94</v>
      </c>
      <c r="H76" s="112">
        <v>9.39</v>
      </c>
      <c r="I76" s="112">
        <v>4.26</v>
      </c>
      <c r="J76" s="112">
        <v>0.31</v>
      </c>
      <c r="K76" s="112">
        <v>258.83</v>
      </c>
      <c r="L76" s="112">
        <v>25.02</v>
      </c>
      <c r="M76" s="112">
        <v>98.92</v>
      </c>
      <c r="N76" s="112">
        <v>0</v>
      </c>
      <c r="O76" s="112">
        <v>14.4</v>
      </c>
      <c r="P76" s="112">
        <v>0.54</v>
      </c>
      <c r="Q76" s="112">
        <v>5.4</v>
      </c>
    </row>
    <row r="77" spans="1:17" customFormat="1">
      <c r="A77" s="189" t="s">
        <v>1459</v>
      </c>
      <c r="B77" s="112">
        <v>9.16</v>
      </c>
      <c r="C77" s="112">
        <v>17.87</v>
      </c>
      <c r="D77" s="112">
        <v>18.04</v>
      </c>
      <c r="E77" s="112">
        <v>7.47</v>
      </c>
      <c r="F77" s="112">
        <v>4.99</v>
      </c>
      <c r="G77" s="112">
        <v>20.8</v>
      </c>
      <c r="H77" s="112">
        <v>9.24</v>
      </c>
      <c r="I77" s="112">
        <v>4.1900000000000004</v>
      </c>
      <c r="J77" s="112">
        <v>0.17</v>
      </c>
      <c r="K77" s="112">
        <v>176.11</v>
      </c>
      <c r="L77" s="112">
        <v>24.37</v>
      </c>
      <c r="M77" s="112">
        <v>98.99</v>
      </c>
      <c r="N77" s="112">
        <v>0</v>
      </c>
      <c r="O77" s="112">
        <v>18.399999999999999</v>
      </c>
      <c r="P77" s="112">
        <v>0.56000000000000005</v>
      </c>
      <c r="Q77" s="112">
        <v>5.43</v>
      </c>
    </row>
    <row r="78" spans="1:17" customFormat="1">
      <c r="A78" s="189" t="s">
        <v>1460</v>
      </c>
      <c r="B78" s="112">
        <v>9.0500000000000007</v>
      </c>
      <c r="C78" s="112">
        <v>17.329999999999998</v>
      </c>
      <c r="D78" s="112">
        <v>17.66</v>
      </c>
      <c r="E78" s="112">
        <v>7.11</v>
      </c>
      <c r="F78" s="112">
        <v>5.5</v>
      </c>
      <c r="G78" s="112">
        <v>20.8</v>
      </c>
      <c r="H78" s="112">
        <v>9.24</v>
      </c>
      <c r="I78" s="112">
        <v>4.17</v>
      </c>
      <c r="J78" s="112">
        <v>0.28000000000000003</v>
      </c>
      <c r="K78" s="112">
        <v>263.58</v>
      </c>
      <c r="L78" s="112">
        <v>24.06</v>
      </c>
      <c r="M78" s="112">
        <v>99.4</v>
      </c>
      <c r="N78" s="112">
        <v>0</v>
      </c>
      <c r="O78" s="112">
        <v>11.8</v>
      </c>
      <c r="P78" s="112">
        <v>0.55000000000000004</v>
      </c>
      <c r="Q78" s="112">
        <v>5.45</v>
      </c>
    </row>
    <row r="79" spans="1:17" customFormat="1">
      <c r="A79" s="189" t="s">
        <v>1461</v>
      </c>
      <c r="B79" s="112">
        <v>8.9499999999999993</v>
      </c>
      <c r="C79" s="112">
        <v>16.670000000000002</v>
      </c>
      <c r="D79" s="112">
        <v>17.239999999999998</v>
      </c>
      <c r="E79" s="112">
        <v>6.9</v>
      </c>
      <c r="F79" s="112">
        <v>5.91</v>
      </c>
      <c r="G79" s="112">
        <v>20.8</v>
      </c>
      <c r="H79" s="112">
        <v>9.24</v>
      </c>
      <c r="I79" s="112">
        <v>4.2300000000000004</v>
      </c>
      <c r="J79" s="112">
        <v>0.13</v>
      </c>
      <c r="K79" s="112">
        <v>36.5</v>
      </c>
      <c r="L79" s="112">
        <v>24.3</v>
      </c>
      <c r="M79" s="112">
        <v>99.54</v>
      </c>
      <c r="N79" s="112">
        <v>0</v>
      </c>
      <c r="O79" s="112">
        <v>6</v>
      </c>
      <c r="P79" s="112">
        <v>0.52</v>
      </c>
      <c r="Q79" s="112">
        <v>5.39</v>
      </c>
    </row>
    <row r="80" spans="1:17" customFormat="1">
      <c r="A80" s="189" t="s">
        <v>1462</v>
      </c>
      <c r="B80" s="112">
        <v>9.52</v>
      </c>
      <c r="C80" s="112">
        <v>18.16</v>
      </c>
      <c r="D80" s="112">
        <v>18.47</v>
      </c>
      <c r="E80" s="112">
        <v>6.53</v>
      </c>
      <c r="F80" s="112">
        <v>5.55</v>
      </c>
      <c r="G80" s="112">
        <v>21.04</v>
      </c>
      <c r="H80" s="112">
        <v>8.17</v>
      </c>
      <c r="I80" s="112">
        <v>4.0999999999999996</v>
      </c>
      <c r="J80" s="112">
        <v>0.57999999999999996</v>
      </c>
      <c r="K80" s="112">
        <v>32.51</v>
      </c>
      <c r="L80" s="112">
        <v>24.48</v>
      </c>
      <c r="M80" s="112">
        <v>99.32</v>
      </c>
      <c r="N80" s="112">
        <v>0</v>
      </c>
      <c r="O80" s="112">
        <v>3</v>
      </c>
      <c r="P80" s="112">
        <v>0.55000000000000004</v>
      </c>
      <c r="Q80" s="112">
        <v>5.37</v>
      </c>
    </row>
    <row r="81" spans="1:17" customFormat="1">
      <c r="A81" s="189" t="s">
        <v>1463</v>
      </c>
      <c r="B81" s="112">
        <v>9.73</v>
      </c>
      <c r="C81" s="112">
        <v>19.329999999999998</v>
      </c>
      <c r="D81" s="112">
        <v>19.260000000000002</v>
      </c>
      <c r="E81" s="112">
        <v>5.85</v>
      </c>
      <c r="F81" s="112">
        <v>4.16</v>
      </c>
      <c r="G81" s="112">
        <v>21.23</v>
      </c>
      <c r="H81" s="112">
        <v>7.56</v>
      </c>
      <c r="I81" s="112">
        <v>4.01</v>
      </c>
      <c r="J81" s="112">
        <v>0.42</v>
      </c>
      <c r="K81" s="112">
        <v>331.5</v>
      </c>
      <c r="L81" s="112">
        <v>24.19</v>
      </c>
      <c r="M81" s="112">
        <v>99.34</v>
      </c>
      <c r="N81" s="112">
        <v>0</v>
      </c>
      <c r="O81" s="112">
        <v>1</v>
      </c>
      <c r="P81" s="112">
        <v>0.56999999999999995</v>
      </c>
      <c r="Q81" s="112">
        <v>5.45</v>
      </c>
    </row>
    <row r="82" spans="1:17" customFormat="1">
      <c r="A82" s="189" t="s">
        <v>1464</v>
      </c>
      <c r="B82" s="112">
        <v>10.02</v>
      </c>
      <c r="C82" s="112">
        <v>19.05</v>
      </c>
      <c r="D82" s="112">
        <v>19.34</v>
      </c>
      <c r="E82" s="112">
        <v>7.41</v>
      </c>
      <c r="F82" s="112">
        <v>4.47</v>
      </c>
      <c r="G82" s="112">
        <v>21.23</v>
      </c>
      <c r="H82" s="112">
        <v>7.56</v>
      </c>
      <c r="I82" s="112">
        <v>4.2300000000000004</v>
      </c>
      <c r="J82" s="112">
        <v>0.31</v>
      </c>
      <c r="K82" s="112">
        <v>340.61</v>
      </c>
      <c r="L82" s="112">
        <v>23.72</v>
      </c>
      <c r="M82" s="112">
        <v>99.4</v>
      </c>
      <c r="N82" s="112">
        <v>0</v>
      </c>
      <c r="O82" s="112">
        <v>2.2000000000000002</v>
      </c>
      <c r="P82" s="112">
        <v>0.56999999999999995</v>
      </c>
      <c r="Q82" s="112">
        <v>5.53</v>
      </c>
    </row>
    <row r="83" spans="1:17" customFormat="1">
      <c r="A83" s="189" t="s">
        <v>1465</v>
      </c>
      <c r="B83" s="112">
        <v>10.32</v>
      </c>
      <c r="C83" s="112">
        <v>18.79</v>
      </c>
      <c r="D83" s="112">
        <v>19.440000000000001</v>
      </c>
      <c r="E83" s="112">
        <v>7.41</v>
      </c>
      <c r="F83" s="112">
        <v>4.75</v>
      </c>
      <c r="G83" s="112">
        <v>21.23</v>
      </c>
      <c r="H83" s="112">
        <v>7.56</v>
      </c>
      <c r="I83" s="112">
        <v>4.25</v>
      </c>
      <c r="J83" s="112">
        <v>0.2</v>
      </c>
      <c r="K83" s="112">
        <v>76.8</v>
      </c>
      <c r="L83" s="112">
        <v>23.78</v>
      </c>
      <c r="M83" s="112">
        <v>99.55</v>
      </c>
      <c r="N83" s="112">
        <v>0</v>
      </c>
      <c r="O83" s="112">
        <v>0.6</v>
      </c>
      <c r="P83" s="112">
        <v>0.56000000000000005</v>
      </c>
      <c r="Q83" s="112">
        <v>5.52</v>
      </c>
    </row>
    <row r="84" spans="1:17" customFormat="1">
      <c r="A84" s="189" t="s">
        <v>1466</v>
      </c>
      <c r="B84" s="112">
        <v>10.61</v>
      </c>
      <c r="C84" s="112">
        <v>19.760000000000002</v>
      </c>
      <c r="D84" s="112">
        <v>20.18</v>
      </c>
      <c r="E84" s="112">
        <v>7.9</v>
      </c>
      <c r="F84" s="112">
        <v>3.9</v>
      </c>
      <c r="G84" s="112">
        <v>16.989999999999998</v>
      </c>
      <c r="H84" s="112">
        <v>6</v>
      </c>
      <c r="I84" s="112">
        <v>4.21</v>
      </c>
      <c r="J84" s="112">
        <v>0.12</v>
      </c>
      <c r="K84" s="112">
        <v>188.68</v>
      </c>
      <c r="L84" s="112">
        <v>24.24</v>
      </c>
      <c r="M84" s="112">
        <v>99.76</v>
      </c>
      <c r="N84" s="112">
        <v>0</v>
      </c>
      <c r="O84" s="112">
        <v>0.2</v>
      </c>
      <c r="P84" s="112">
        <v>0.59</v>
      </c>
      <c r="Q84" s="112">
        <v>5.5</v>
      </c>
    </row>
    <row r="85" spans="1:17" customFormat="1">
      <c r="A85" s="189" t="s">
        <v>1467</v>
      </c>
      <c r="B85" s="112">
        <v>10.65</v>
      </c>
      <c r="C85" s="112">
        <v>18.7</v>
      </c>
      <c r="D85" s="112">
        <v>19.66</v>
      </c>
      <c r="E85" s="112">
        <v>7.37</v>
      </c>
      <c r="F85" s="112">
        <v>5.12</v>
      </c>
      <c r="G85" s="112">
        <v>13.89</v>
      </c>
      <c r="H85" s="112">
        <v>5.51</v>
      </c>
      <c r="I85" s="112">
        <v>4.21</v>
      </c>
      <c r="J85" s="112">
        <v>0.27</v>
      </c>
      <c r="K85" s="112">
        <v>277.16000000000003</v>
      </c>
      <c r="L85" s="112">
        <v>24.67</v>
      </c>
      <c r="M85" s="112">
        <v>99.86</v>
      </c>
      <c r="N85" s="112">
        <v>0</v>
      </c>
      <c r="O85" s="112">
        <v>0</v>
      </c>
      <c r="P85" s="112">
        <v>0.56999999999999995</v>
      </c>
      <c r="Q85" s="112">
        <v>5.5</v>
      </c>
    </row>
    <row r="86" spans="1:17" customFormat="1">
      <c r="A86" s="189" t="s">
        <v>1468</v>
      </c>
      <c r="B86" s="112">
        <v>10.95</v>
      </c>
      <c r="C86" s="112">
        <v>18.13</v>
      </c>
      <c r="D86" s="112">
        <v>19.61</v>
      </c>
      <c r="E86" s="112">
        <v>7.64</v>
      </c>
      <c r="F86" s="112">
        <v>5</v>
      </c>
      <c r="G86" s="112">
        <v>13.89</v>
      </c>
      <c r="H86" s="112">
        <v>5.51</v>
      </c>
      <c r="I86" s="112">
        <v>4.2699999999999996</v>
      </c>
      <c r="J86" s="112">
        <v>0.8</v>
      </c>
      <c r="K86" s="112">
        <v>8.43</v>
      </c>
      <c r="L86" s="112">
        <v>24.59</v>
      </c>
      <c r="M86" s="112">
        <v>100.51</v>
      </c>
      <c r="N86" s="112">
        <v>0</v>
      </c>
      <c r="O86" s="112">
        <v>0</v>
      </c>
      <c r="P86" s="112">
        <v>0.59</v>
      </c>
      <c r="Q86" s="112">
        <v>5.45</v>
      </c>
    </row>
    <row r="87" spans="1:17" customFormat="1">
      <c r="A87" s="189" t="s">
        <v>1469</v>
      </c>
      <c r="B87" s="112">
        <v>10.99</v>
      </c>
      <c r="C87" s="112">
        <v>19.7</v>
      </c>
      <c r="D87" s="112">
        <v>20.45</v>
      </c>
      <c r="E87" s="112">
        <v>8.6199999999999992</v>
      </c>
      <c r="F87" s="112">
        <v>4.26</v>
      </c>
      <c r="G87" s="112">
        <v>13.89</v>
      </c>
      <c r="H87" s="112">
        <v>5.51</v>
      </c>
      <c r="I87" s="112">
        <v>4.1500000000000004</v>
      </c>
      <c r="J87" s="112">
        <v>1.08</v>
      </c>
      <c r="K87" s="112">
        <v>23.2</v>
      </c>
      <c r="L87" s="112">
        <v>23.7</v>
      </c>
      <c r="M87" s="112">
        <v>100.21</v>
      </c>
      <c r="N87" s="112">
        <v>0</v>
      </c>
      <c r="O87" s="112">
        <v>2.4</v>
      </c>
      <c r="P87" s="112">
        <v>0.6</v>
      </c>
      <c r="Q87" s="112">
        <v>5.44</v>
      </c>
    </row>
    <row r="88" spans="1:17" customFormat="1">
      <c r="A88" s="189" t="s">
        <v>1470</v>
      </c>
      <c r="B88" s="112">
        <v>11.34</v>
      </c>
      <c r="C88" s="112">
        <v>19.579999999999998</v>
      </c>
      <c r="D88" s="112">
        <v>20.68</v>
      </c>
      <c r="E88" s="112">
        <v>8.83</v>
      </c>
      <c r="F88" s="112">
        <v>4.7</v>
      </c>
      <c r="G88" s="112">
        <v>12.46</v>
      </c>
      <c r="H88" s="112">
        <v>4.42</v>
      </c>
      <c r="I88" s="112">
        <v>4.2699999999999996</v>
      </c>
      <c r="J88" s="112">
        <v>0.74</v>
      </c>
      <c r="K88" s="112">
        <v>24.14</v>
      </c>
      <c r="L88" s="112">
        <v>23.44</v>
      </c>
      <c r="M88" s="112">
        <v>100.21</v>
      </c>
      <c r="N88" s="112">
        <v>0</v>
      </c>
      <c r="O88" s="112">
        <v>6</v>
      </c>
      <c r="P88" s="112">
        <v>0.6</v>
      </c>
      <c r="Q88" s="112">
        <v>5.49</v>
      </c>
    </row>
    <row r="89" spans="1:17" customFormat="1">
      <c r="A89" s="189" t="s">
        <v>1471</v>
      </c>
      <c r="B89" s="112">
        <v>11.37</v>
      </c>
      <c r="C89" s="112">
        <v>20.6</v>
      </c>
      <c r="D89" s="112">
        <v>21.23</v>
      </c>
      <c r="E89" s="112">
        <v>8.24</v>
      </c>
      <c r="F89" s="112">
        <v>4.1900000000000004</v>
      </c>
      <c r="G89" s="112">
        <v>11.42</v>
      </c>
      <c r="H89" s="112">
        <v>4.0599999999999996</v>
      </c>
      <c r="I89" s="112">
        <v>4.3499999999999996</v>
      </c>
      <c r="J89" s="112">
        <v>0.45</v>
      </c>
      <c r="K89" s="112">
        <v>305.61</v>
      </c>
      <c r="L89" s="112">
        <v>23.13</v>
      </c>
      <c r="M89" s="112">
        <v>100.23</v>
      </c>
      <c r="N89" s="112">
        <v>0</v>
      </c>
      <c r="O89" s="112">
        <v>3.2</v>
      </c>
      <c r="P89" s="112">
        <v>0.61</v>
      </c>
      <c r="Q89" s="112">
        <v>5.45</v>
      </c>
    </row>
    <row r="90" spans="1:17" customFormat="1">
      <c r="A90" s="189" t="s">
        <v>1472</v>
      </c>
      <c r="B90" s="112">
        <v>11.47</v>
      </c>
      <c r="C90" s="112">
        <v>20.13</v>
      </c>
      <c r="D90" s="112">
        <v>21.06</v>
      </c>
      <c r="E90" s="112">
        <v>7.78</v>
      </c>
      <c r="F90" s="112">
        <v>4.46</v>
      </c>
      <c r="G90" s="112">
        <v>11.42</v>
      </c>
      <c r="H90" s="112">
        <v>4.0599999999999996</v>
      </c>
      <c r="I90" s="112">
        <v>4.32</v>
      </c>
      <c r="J90" s="112">
        <v>0.35</v>
      </c>
      <c r="K90" s="112">
        <v>270</v>
      </c>
      <c r="L90" s="112">
        <v>23.22</v>
      </c>
      <c r="M90" s="112">
        <v>100.17</v>
      </c>
      <c r="N90" s="112">
        <v>0</v>
      </c>
      <c r="O90" s="112">
        <v>0.6</v>
      </c>
      <c r="P90" s="112">
        <v>0.59</v>
      </c>
      <c r="Q90" s="112">
        <v>5.46</v>
      </c>
    </row>
    <row r="91" spans="1:17" customFormat="1">
      <c r="A91" s="189" t="s">
        <v>1473</v>
      </c>
      <c r="B91" s="112">
        <v>11.37</v>
      </c>
      <c r="C91" s="112">
        <v>19.579999999999998</v>
      </c>
      <c r="D91" s="112">
        <v>20.7</v>
      </c>
      <c r="E91" s="112">
        <v>7.09</v>
      </c>
      <c r="F91" s="112">
        <v>4.6100000000000003</v>
      </c>
      <c r="G91" s="112">
        <v>11.42</v>
      </c>
      <c r="H91" s="112">
        <v>4.0599999999999996</v>
      </c>
      <c r="I91" s="112">
        <v>4.41</v>
      </c>
      <c r="J91" s="112">
        <v>0.4</v>
      </c>
      <c r="K91" s="112">
        <v>303.48</v>
      </c>
      <c r="L91" s="112">
        <v>23.38</v>
      </c>
      <c r="M91" s="112">
        <v>101.09</v>
      </c>
      <c r="N91" s="112">
        <v>0</v>
      </c>
      <c r="O91" s="112">
        <v>1.2</v>
      </c>
      <c r="P91" s="112">
        <v>0.57999999999999996</v>
      </c>
      <c r="Q91" s="112">
        <v>5.41</v>
      </c>
    </row>
    <row r="92" spans="1:17" customFormat="1">
      <c r="A92" s="189" t="s">
        <v>1474</v>
      </c>
      <c r="B92" s="112">
        <v>11.64</v>
      </c>
      <c r="C92" s="112">
        <v>20.72</v>
      </c>
      <c r="D92" s="112">
        <v>21.51</v>
      </c>
      <c r="E92" s="112">
        <v>7.52</v>
      </c>
      <c r="F92" s="112">
        <v>4.03</v>
      </c>
      <c r="G92" s="112">
        <v>11.64</v>
      </c>
      <c r="H92" s="112">
        <v>4</v>
      </c>
      <c r="I92" s="112">
        <v>4.33</v>
      </c>
      <c r="J92" s="112">
        <v>0.53</v>
      </c>
      <c r="K92" s="112">
        <v>265.44</v>
      </c>
      <c r="L92" s="112">
        <v>23.3</v>
      </c>
      <c r="M92" s="112">
        <v>100.49</v>
      </c>
      <c r="N92" s="112">
        <v>0</v>
      </c>
      <c r="O92" s="112">
        <v>1.2</v>
      </c>
      <c r="P92" s="112">
        <v>0.62</v>
      </c>
      <c r="Q92" s="112">
        <v>5.39</v>
      </c>
    </row>
    <row r="93" spans="1:17" customFormat="1">
      <c r="A93" s="189" t="s">
        <v>1475</v>
      </c>
      <c r="B93" s="112">
        <v>11.84</v>
      </c>
      <c r="C93" s="112">
        <v>19.989999999999998</v>
      </c>
      <c r="D93" s="112">
        <v>21.29</v>
      </c>
      <c r="E93" s="112">
        <v>7.36</v>
      </c>
      <c r="F93" s="112">
        <v>4.5</v>
      </c>
      <c r="G93" s="112">
        <v>11.81</v>
      </c>
      <c r="H93" s="112">
        <v>3.98</v>
      </c>
      <c r="I93" s="112">
        <v>4.3099999999999996</v>
      </c>
      <c r="J93" s="112">
        <v>0.52</v>
      </c>
      <c r="K93" s="112">
        <v>266.64999999999998</v>
      </c>
      <c r="L93" s="112">
        <v>23.35</v>
      </c>
      <c r="M93" s="112">
        <v>100.85</v>
      </c>
      <c r="N93" s="112">
        <v>0</v>
      </c>
      <c r="O93" s="112">
        <v>1</v>
      </c>
      <c r="P93" s="112">
        <v>0.59</v>
      </c>
      <c r="Q93" s="112">
        <v>5.43</v>
      </c>
    </row>
    <row r="94" spans="1:17" customFormat="1">
      <c r="A94" s="189" t="s">
        <v>1476</v>
      </c>
      <c r="B94" s="112">
        <v>11.81</v>
      </c>
      <c r="C94" s="112">
        <v>20.56</v>
      </c>
      <c r="D94" s="112">
        <v>21.56</v>
      </c>
      <c r="E94" s="112">
        <v>7.47</v>
      </c>
      <c r="F94" s="112">
        <v>4.03</v>
      </c>
      <c r="G94" s="112">
        <v>11.81</v>
      </c>
      <c r="H94" s="112">
        <v>3.98</v>
      </c>
      <c r="I94" s="112">
        <v>4.3499999999999996</v>
      </c>
      <c r="J94" s="112">
        <v>0.37</v>
      </c>
      <c r="K94" s="112">
        <v>302.77999999999997</v>
      </c>
      <c r="L94" s="112">
        <v>23.5</v>
      </c>
      <c r="M94" s="112">
        <v>100.66</v>
      </c>
      <c r="N94" s="112">
        <v>0</v>
      </c>
      <c r="O94" s="112">
        <v>0</v>
      </c>
      <c r="P94" s="112">
        <v>0.6</v>
      </c>
      <c r="Q94" s="112">
        <v>5.39</v>
      </c>
    </row>
    <row r="95" spans="1:17" customFormat="1">
      <c r="A95" s="189" t="s">
        <v>1477</v>
      </c>
      <c r="B95" s="112">
        <v>12.1</v>
      </c>
      <c r="C95" s="112">
        <v>21.04</v>
      </c>
      <c r="D95" s="112">
        <v>22.05</v>
      </c>
      <c r="E95" s="112">
        <v>7.7</v>
      </c>
      <c r="F95" s="112">
        <v>4.07</v>
      </c>
      <c r="G95" s="112">
        <v>11.81</v>
      </c>
      <c r="H95" s="112">
        <v>3.98</v>
      </c>
      <c r="I95" s="112">
        <v>4.29</v>
      </c>
      <c r="J95" s="112">
        <v>0.39</v>
      </c>
      <c r="K95" s="112">
        <v>276.95999999999998</v>
      </c>
      <c r="L95" s="112">
        <v>23.55</v>
      </c>
      <c r="M95" s="112">
        <v>101.15</v>
      </c>
      <c r="N95" s="112">
        <v>0</v>
      </c>
      <c r="O95" s="112">
        <v>0</v>
      </c>
      <c r="P95" s="112">
        <v>0.61</v>
      </c>
      <c r="Q95" s="112">
        <v>5.4</v>
      </c>
    </row>
    <row r="96" spans="1:17" customFormat="1">
      <c r="A96" s="189" t="s">
        <v>1478</v>
      </c>
      <c r="B96" s="112">
        <v>12.22</v>
      </c>
      <c r="C96" s="112">
        <v>19.989999999999998</v>
      </c>
      <c r="D96" s="112">
        <v>21.6</v>
      </c>
      <c r="E96" s="112">
        <v>7.6</v>
      </c>
      <c r="F96" s="112">
        <v>4.66</v>
      </c>
      <c r="G96" s="112">
        <v>10.4</v>
      </c>
      <c r="H96" s="112">
        <v>4.46</v>
      </c>
      <c r="I96" s="112">
        <v>4.4000000000000004</v>
      </c>
      <c r="J96" s="112">
        <v>0.16</v>
      </c>
      <c r="K96" s="112">
        <v>251.58</v>
      </c>
      <c r="L96" s="112">
        <v>23.69</v>
      </c>
      <c r="M96" s="112">
        <v>101.19</v>
      </c>
      <c r="N96" s="112">
        <v>0</v>
      </c>
      <c r="O96" s="112">
        <v>0</v>
      </c>
      <c r="P96" s="112">
        <v>0.61</v>
      </c>
      <c r="Q96" s="112">
        <v>5.39</v>
      </c>
    </row>
    <row r="97" spans="1:22" customFormat="1">
      <c r="A97" s="189" t="s">
        <v>1479</v>
      </c>
      <c r="B97" s="112">
        <v>12.24</v>
      </c>
      <c r="C97" s="112">
        <v>21.12</v>
      </c>
      <c r="D97" s="112">
        <v>22.2</v>
      </c>
      <c r="E97" s="112">
        <v>7.65</v>
      </c>
      <c r="F97" s="112">
        <v>3.89</v>
      </c>
      <c r="G97" s="112">
        <v>9.3699999999999992</v>
      </c>
      <c r="H97" s="112">
        <v>4.6100000000000003</v>
      </c>
      <c r="I97" s="112">
        <v>4.34</v>
      </c>
      <c r="J97" s="112">
        <v>0.34</v>
      </c>
      <c r="K97" s="112">
        <v>259.08</v>
      </c>
      <c r="L97" s="112">
        <v>23.67</v>
      </c>
      <c r="M97" s="112">
        <v>101.57</v>
      </c>
      <c r="N97" s="112">
        <v>0</v>
      </c>
      <c r="O97" s="112">
        <v>0.2</v>
      </c>
      <c r="P97" s="112">
        <v>0.62</v>
      </c>
      <c r="Q97" s="112">
        <v>5.42</v>
      </c>
    </row>
    <row r="98" spans="1:22" customFormat="1">
      <c r="A98" s="189" t="s">
        <v>1480</v>
      </c>
      <c r="B98" s="112">
        <v>12.51</v>
      </c>
      <c r="C98" s="112">
        <v>20.37</v>
      </c>
      <c r="D98" s="112">
        <v>22.03</v>
      </c>
      <c r="E98" s="112">
        <v>7.51</v>
      </c>
      <c r="F98" s="112">
        <v>4.29</v>
      </c>
      <c r="G98" s="112">
        <v>9.3699999999999992</v>
      </c>
      <c r="H98" s="112">
        <v>4.6100000000000003</v>
      </c>
      <c r="I98" s="112">
        <v>4.3099999999999996</v>
      </c>
      <c r="J98" s="112">
        <v>0.26</v>
      </c>
      <c r="K98" s="112">
        <v>254.24</v>
      </c>
      <c r="L98" s="112">
        <v>23.76</v>
      </c>
      <c r="M98" s="112">
        <v>101.51</v>
      </c>
      <c r="N98" s="112">
        <v>0</v>
      </c>
      <c r="O98" s="112">
        <v>0</v>
      </c>
      <c r="P98" s="112">
        <v>0.61</v>
      </c>
      <c r="Q98" s="112">
        <v>5.43</v>
      </c>
    </row>
    <row r="99" spans="1:22" customFormat="1">
      <c r="A99" s="189" t="s">
        <v>1481</v>
      </c>
      <c r="B99" s="112">
        <v>12.45</v>
      </c>
      <c r="C99" s="112">
        <v>19.75</v>
      </c>
      <c r="D99" s="112">
        <v>21.65</v>
      </c>
      <c r="E99" s="112">
        <v>7.65</v>
      </c>
      <c r="F99" s="112">
        <v>4.49</v>
      </c>
      <c r="G99" s="112">
        <v>9.3699999999999992</v>
      </c>
      <c r="H99" s="112">
        <v>4.6100000000000003</v>
      </c>
      <c r="I99" s="112">
        <v>4.4000000000000004</v>
      </c>
      <c r="J99" s="112">
        <v>0.18</v>
      </c>
      <c r="K99" s="112">
        <v>339.88</v>
      </c>
      <c r="L99" s="112">
        <v>23.8</v>
      </c>
      <c r="M99" s="112">
        <v>101.73</v>
      </c>
      <c r="N99" s="112">
        <v>0</v>
      </c>
      <c r="O99" s="112">
        <v>0.4</v>
      </c>
      <c r="P99" s="112">
        <v>0.6</v>
      </c>
      <c r="Q99" s="112">
        <v>5.43</v>
      </c>
    </row>
    <row r="100" spans="1:22" customFormat="1">
      <c r="A100" s="189" t="s">
        <v>1482</v>
      </c>
      <c r="B100" s="112">
        <v>12.84</v>
      </c>
      <c r="C100" s="112">
        <v>21.4</v>
      </c>
      <c r="D100" s="112">
        <v>22.82</v>
      </c>
      <c r="E100" s="112">
        <v>8.18</v>
      </c>
      <c r="F100" s="112">
        <v>3.79</v>
      </c>
      <c r="G100" s="112">
        <v>10.68</v>
      </c>
      <c r="H100" s="112">
        <v>4.8899999999999997</v>
      </c>
      <c r="I100" s="112">
        <v>4.34</v>
      </c>
      <c r="J100" s="112">
        <v>0.17</v>
      </c>
      <c r="K100" s="112">
        <v>281.32</v>
      </c>
      <c r="L100" s="112">
        <v>23.86</v>
      </c>
      <c r="M100" s="112">
        <v>101.43</v>
      </c>
      <c r="N100" s="112">
        <v>0</v>
      </c>
      <c r="O100" s="112">
        <v>1</v>
      </c>
      <c r="P100" s="112">
        <v>0.62</v>
      </c>
      <c r="Q100" s="112">
        <v>5.44</v>
      </c>
    </row>
    <row r="101" spans="1:22" customFormat="1">
      <c r="A101" s="189" t="s">
        <v>1483</v>
      </c>
      <c r="B101" s="112">
        <v>13.2</v>
      </c>
      <c r="C101" s="112">
        <v>20.51</v>
      </c>
      <c r="D101" s="112">
        <v>22.65</v>
      </c>
      <c r="E101" s="112">
        <v>8.1300000000000008</v>
      </c>
      <c r="F101" s="112">
        <v>4.78</v>
      </c>
      <c r="G101" s="112">
        <v>11.63</v>
      </c>
      <c r="H101" s="112">
        <v>4.99</v>
      </c>
      <c r="I101" s="112">
        <v>4.28</v>
      </c>
      <c r="J101" s="112">
        <v>0.36</v>
      </c>
      <c r="K101" s="112">
        <v>318.14999999999998</v>
      </c>
      <c r="L101" s="112">
        <v>23.84</v>
      </c>
      <c r="M101" s="112">
        <v>101.7</v>
      </c>
      <c r="N101" s="112">
        <v>0</v>
      </c>
      <c r="O101" s="112">
        <v>0.6</v>
      </c>
      <c r="P101" s="112">
        <v>0.59</v>
      </c>
      <c r="Q101" s="112">
        <v>5.49</v>
      </c>
    </row>
    <row r="102" spans="1:22" customFormat="1">
      <c r="A102" s="189" t="s">
        <v>1484</v>
      </c>
      <c r="B102" s="112">
        <v>13.19</v>
      </c>
      <c r="C102" s="112">
        <v>21.03</v>
      </c>
      <c r="D102" s="112">
        <v>22.92</v>
      </c>
      <c r="E102" s="112">
        <v>7.91</v>
      </c>
      <c r="F102" s="112">
        <v>4.17</v>
      </c>
      <c r="G102" s="112">
        <v>11.63</v>
      </c>
      <c r="H102" s="112">
        <v>4.99</v>
      </c>
      <c r="I102" s="112">
        <v>4.34</v>
      </c>
      <c r="J102" s="112">
        <v>0.46</v>
      </c>
      <c r="K102" s="112">
        <v>317.48</v>
      </c>
      <c r="L102" s="112">
        <v>23.72</v>
      </c>
      <c r="M102" s="112">
        <v>101.56</v>
      </c>
      <c r="N102" s="112">
        <v>0</v>
      </c>
      <c r="O102" s="112">
        <v>0.4</v>
      </c>
      <c r="P102" s="112">
        <v>0.61</v>
      </c>
      <c r="Q102" s="112">
        <v>5.49</v>
      </c>
    </row>
    <row r="103" spans="1:22" customFormat="1">
      <c r="A103" s="189" t="s">
        <v>1485</v>
      </c>
      <c r="B103" s="112">
        <v>13.24</v>
      </c>
      <c r="C103" s="112">
        <v>21.39</v>
      </c>
      <c r="D103" s="112">
        <v>23.14</v>
      </c>
      <c r="E103" s="112">
        <v>8.26</v>
      </c>
      <c r="F103" s="112">
        <v>3.93</v>
      </c>
      <c r="G103" s="112">
        <v>11.63</v>
      </c>
      <c r="H103" s="112">
        <v>4.99</v>
      </c>
      <c r="I103" s="112">
        <v>4.24</v>
      </c>
      <c r="J103" s="112">
        <v>0.45</v>
      </c>
      <c r="K103" s="112">
        <v>298.14</v>
      </c>
      <c r="L103" s="112">
        <v>23.73</v>
      </c>
      <c r="M103" s="112">
        <v>101.48</v>
      </c>
      <c r="N103" s="112">
        <v>0</v>
      </c>
      <c r="O103" s="112">
        <v>0.6</v>
      </c>
      <c r="P103" s="112">
        <v>0.61</v>
      </c>
      <c r="Q103" s="112">
        <v>5.53</v>
      </c>
    </row>
    <row r="104" spans="1:22" customFormat="1">
      <c r="A104" s="189" t="s">
        <v>1486</v>
      </c>
      <c r="B104" s="112">
        <v>13.26</v>
      </c>
      <c r="C104" s="112">
        <v>20.36</v>
      </c>
      <c r="D104" s="112">
        <v>22.62</v>
      </c>
      <c r="E104" s="112">
        <v>7.54</v>
      </c>
      <c r="F104" s="112">
        <v>4.58</v>
      </c>
      <c r="G104" s="112">
        <v>10.63</v>
      </c>
      <c r="H104" s="112">
        <v>4.1900000000000004</v>
      </c>
      <c r="I104" s="112">
        <v>4.3</v>
      </c>
      <c r="J104" s="112">
        <v>0.28999999999999998</v>
      </c>
      <c r="K104" s="112">
        <v>290.97000000000003</v>
      </c>
      <c r="L104" s="112">
        <v>23.79</v>
      </c>
      <c r="M104" s="112">
        <v>101.53</v>
      </c>
      <c r="N104" s="112">
        <v>0</v>
      </c>
      <c r="O104" s="112">
        <v>0.8</v>
      </c>
      <c r="P104" s="112">
        <v>0.6</v>
      </c>
      <c r="Q104" s="112">
        <v>5.51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8.9499999999999993</v>
      </c>
      <c r="C106" s="183">
        <f>MIN(C9:C104)</f>
        <v>15.94</v>
      </c>
      <c r="D106" s="183">
        <f t="shared" ref="D106:Q106" si="0">MIN(D9:D104)</f>
        <v>17.149999999999999</v>
      </c>
      <c r="E106" s="183">
        <f t="shared" si="0"/>
        <v>5.85</v>
      </c>
      <c r="F106" s="183">
        <f t="shared" si="0"/>
        <v>3.74</v>
      </c>
      <c r="G106" s="183">
        <f t="shared" si="0"/>
        <v>9.3699999999999992</v>
      </c>
      <c r="H106" s="183">
        <f t="shared" si="0"/>
        <v>3.98</v>
      </c>
      <c r="I106" s="183">
        <f t="shared" si="0"/>
        <v>4.01</v>
      </c>
      <c r="J106" s="183">
        <f t="shared" si="0"/>
        <v>0.12</v>
      </c>
      <c r="K106" s="183">
        <f t="shared" si="0"/>
        <v>8.43</v>
      </c>
      <c r="L106" s="183">
        <f t="shared" si="0"/>
        <v>23.13</v>
      </c>
      <c r="M106" s="183">
        <f t="shared" si="0"/>
        <v>69.25</v>
      </c>
      <c r="N106" s="183">
        <f t="shared" si="0"/>
        <v>0</v>
      </c>
      <c r="O106" s="183">
        <f t="shared" si="0"/>
        <v>0</v>
      </c>
      <c r="P106" s="183">
        <f t="shared" si="0"/>
        <v>0.52</v>
      </c>
      <c r="Q106" s="183">
        <f t="shared" si="0"/>
        <v>5.37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15.1</v>
      </c>
      <c r="C107" s="184">
        <f t="shared" ref="C107:Q107" si="1">MAX(C9:C104)</f>
        <v>21.4</v>
      </c>
      <c r="D107" s="184">
        <f t="shared" si="1"/>
        <v>23.61</v>
      </c>
      <c r="E107" s="184">
        <f t="shared" si="1"/>
        <v>9.5</v>
      </c>
      <c r="F107" s="184">
        <f t="shared" si="1"/>
        <v>8.26</v>
      </c>
      <c r="G107" s="184">
        <f t="shared" si="1"/>
        <v>43.06</v>
      </c>
      <c r="H107" s="184">
        <f t="shared" si="1"/>
        <v>14.27</v>
      </c>
      <c r="I107" s="184">
        <f t="shared" si="1"/>
        <v>5.59</v>
      </c>
      <c r="J107" s="184">
        <f t="shared" si="1"/>
        <v>1.08</v>
      </c>
      <c r="K107" s="184">
        <f t="shared" si="1"/>
        <v>353.4</v>
      </c>
      <c r="L107" s="184">
        <f t="shared" si="1"/>
        <v>31.58</v>
      </c>
      <c r="M107" s="184">
        <f t="shared" si="1"/>
        <v>101.73</v>
      </c>
      <c r="N107" s="184">
        <f t="shared" si="1"/>
        <v>604</v>
      </c>
      <c r="O107" s="184">
        <f t="shared" si="1"/>
        <v>18.399999999999999</v>
      </c>
      <c r="P107" s="184">
        <f t="shared" si="1"/>
        <v>0.66</v>
      </c>
      <c r="Q107" s="184">
        <f t="shared" si="1"/>
        <v>5.8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11.773854166666668</v>
      </c>
      <c r="C108" s="183">
        <f t="shared" ref="C108:Q108" si="2">AVERAGE(C9:C104)</f>
        <v>18.249166666666664</v>
      </c>
      <c r="D108" s="183">
        <f t="shared" si="2"/>
        <v>20.327083333333338</v>
      </c>
      <c r="E108" s="183">
        <f t="shared" si="2"/>
        <v>8.0067708333333325</v>
      </c>
      <c r="F108" s="183">
        <f t="shared" si="2"/>
        <v>5.2794791666666665</v>
      </c>
      <c r="G108" s="183">
        <f t="shared" si="2"/>
        <v>26.156562499999996</v>
      </c>
      <c r="H108" s="183">
        <f t="shared" si="2"/>
        <v>8.1754166666666652</v>
      </c>
      <c r="I108" s="183">
        <f t="shared" si="2"/>
        <v>4.7536458333333336</v>
      </c>
      <c r="J108" s="183">
        <f t="shared" si="2"/>
        <v>0.41447916666666673</v>
      </c>
      <c r="K108" s="183">
        <f t="shared" si="2"/>
        <v>273.71937500000007</v>
      </c>
      <c r="L108" s="183">
        <f t="shared" si="2"/>
        <v>26.331041666666678</v>
      </c>
      <c r="M108" s="183">
        <f t="shared" si="2"/>
        <v>90.617812499999971</v>
      </c>
      <c r="N108" s="183">
        <f t="shared" si="2"/>
        <v>95.223958333333329</v>
      </c>
      <c r="O108" s="183">
        <f t="shared" si="2"/>
        <v>1.0145833333333334</v>
      </c>
      <c r="P108" s="183">
        <f t="shared" si="2"/>
        <v>0.58437500000000009</v>
      </c>
      <c r="Q108" s="183">
        <f t="shared" si="2"/>
        <v>5.584791666666665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1.6349468813464818</v>
      </c>
      <c r="C109" s="183">
        <f t="shared" ref="C109:Q109" si="3">STDEV(C9:C104)</f>
        <v>1.3679894326052031</v>
      </c>
      <c r="D109" s="183">
        <f t="shared" si="3"/>
        <v>1.6917464763818777</v>
      </c>
      <c r="E109" s="183">
        <f t="shared" si="3"/>
        <v>0.74915881921225547</v>
      </c>
      <c r="F109" s="183">
        <f t="shared" si="3"/>
        <v>1.2767560619267289</v>
      </c>
      <c r="G109" s="183">
        <f t="shared" si="3"/>
        <v>10.827494906669189</v>
      </c>
      <c r="H109" s="183">
        <f t="shared" si="3"/>
        <v>2.8247984247288929</v>
      </c>
      <c r="I109" s="183">
        <f t="shared" si="3"/>
        <v>0.42389949104565072</v>
      </c>
      <c r="J109" s="183">
        <f t="shared" si="3"/>
        <v>0.15161495407197001</v>
      </c>
      <c r="K109" s="183">
        <f t="shared" si="3"/>
        <v>69.926636440027195</v>
      </c>
      <c r="L109" s="183">
        <f t="shared" si="3"/>
        <v>2.5064651053945939</v>
      </c>
      <c r="M109" s="183">
        <f t="shared" si="3"/>
        <v>10.335592790080872</v>
      </c>
      <c r="N109" s="183">
        <f t="shared" si="3"/>
        <v>152.61333303468649</v>
      </c>
      <c r="O109" s="183">
        <f t="shared" si="3"/>
        <v>3.0420553705008366</v>
      </c>
      <c r="P109" s="183">
        <f t="shared" si="3"/>
        <v>3.1113121280083516E-2</v>
      </c>
      <c r="Q109" s="183">
        <f t="shared" si="3"/>
        <v>0.12042887542065907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14/09/2023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1487</v>
      </c>
      <c r="B9" s="134">
        <v>14.34</v>
      </c>
      <c r="C9" s="134">
        <v>22.28</v>
      </c>
      <c r="D9" s="134">
        <v>24.49</v>
      </c>
      <c r="E9" s="134">
        <v>7.43</v>
      </c>
      <c r="F9" s="134">
        <v>3.75</v>
      </c>
      <c r="G9" s="134">
        <v>9.91</v>
      </c>
      <c r="H9" s="134">
        <v>3.72</v>
      </c>
      <c r="I9" s="134">
        <v>4.24</v>
      </c>
      <c r="J9" s="134">
        <v>0.19</v>
      </c>
      <c r="K9" s="134">
        <v>326.02</v>
      </c>
      <c r="L9" s="134">
        <v>23.93</v>
      </c>
      <c r="M9" s="134">
        <v>101.3</v>
      </c>
      <c r="N9" s="134">
        <v>0</v>
      </c>
      <c r="O9" s="134">
        <v>0.2</v>
      </c>
      <c r="P9" s="134">
        <v>0.61</v>
      </c>
      <c r="Q9" s="134">
        <v>5.48</v>
      </c>
    </row>
    <row r="10" spans="1:21" customFormat="1">
      <c r="A10" s="112" t="s">
        <v>1488</v>
      </c>
      <c r="B10" s="134">
        <v>14.79</v>
      </c>
      <c r="C10" s="134">
        <v>21.54</v>
      </c>
      <c r="D10" s="134">
        <v>24.47</v>
      </c>
      <c r="E10" s="134">
        <v>8.11</v>
      </c>
      <c r="F10" s="134">
        <v>4.16</v>
      </c>
      <c r="G10" s="134">
        <v>9.91</v>
      </c>
      <c r="H10" s="134">
        <v>3.72</v>
      </c>
      <c r="I10" s="134">
        <v>4.1399999999999997</v>
      </c>
      <c r="J10" s="134">
        <v>0.35</v>
      </c>
      <c r="K10" s="134">
        <v>303.23</v>
      </c>
      <c r="L10" s="134">
        <v>23.98</v>
      </c>
      <c r="M10" s="134">
        <v>101.13</v>
      </c>
      <c r="N10" s="134">
        <v>0</v>
      </c>
      <c r="O10" s="134">
        <v>0.4</v>
      </c>
      <c r="P10" s="134">
        <v>0.61</v>
      </c>
      <c r="Q10" s="134">
        <v>5.52</v>
      </c>
    </row>
    <row r="11" spans="1:21" customFormat="1">
      <c r="A11" s="112" t="s">
        <v>1489</v>
      </c>
      <c r="B11" s="134">
        <v>14.91</v>
      </c>
      <c r="C11" s="134">
        <v>20.25</v>
      </c>
      <c r="D11" s="134">
        <v>23.89</v>
      </c>
      <c r="E11" s="134">
        <v>7.78</v>
      </c>
      <c r="F11" s="134">
        <v>4.8899999999999997</v>
      </c>
      <c r="G11" s="134">
        <v>9.91</v>
      </c>
      <c r="H11" s="134">
        <v>3.72</v>
      </c>
      <c r="I11" s="134">
        <v>4.2699999999999996</v>
      </c>
      <c r="J11" s="134">
        <v>0.42</v>
      </c>
      <c r="K11" s="134">
        <v>301.29000000000002</v>
      </c>
      <c r="L11" s="134">
        <v>24.01</v>
      </c>
      <c r="M11" s="134">
        <v>100.83</v>
      </c>
      <c r="N11" s="134">
        <v>0</v>
      </c>
      <c r="O11" s="134">
        <v>0.4</v>
      </c>
      <c r="P11" s="134">
        <v>0.57999999999999996</v>
      </c>
      <c r="Q11" s="134">
        <v>5.53</v>
      </c>
    </row>
    <row r="12" spans="1:21" customFormat="1">
      <c r="A12" s="112" t="s">
        <v>1490</v>
      </c>
      <c r="B12" s="134">
        <v>14.92</v>
      </c>
      <c r="C12" s="134">
        <v>21.23</v>
      </c>
      <c r="D12" s="134">
        <v>24.41</v>
      </c>
      <c r="E12" s="134">
        <v>7.7</v>
      </c>
      <c r="F12" s="134">
        <v>4</v>
      </c>
      <c r="G12" s="134">
        <v>13.71</v>
      </c>
      <c r="H12" s="134">
        <v>4.46</v>
      </c>
      <c r="I12" s="134">
        <v>4.22</v>
      </c>
      <c r="J12" s="134">
        <v>0.4</v>
      </c>
      <c r="K12" s="134">
        <v>301.63</v>
      </c>
      <c r="L12" s="134">
        <v>24.08</v>
      </c>
      <c r="M12" s="134">
        <v>100.64</v>
      </c>
      <c r="N12" s="134">
        <v>0</v>
      </c>
      <c r="O12" s="134">
        <v>0.6</v>
      </c>
      <c r="P12" s="134">
        <v>0.6</v>
      </c>
      <c r="Q12" s="134">
        <v>5.49</v>
      </c>
    </row>
    <row r="13" spans="1:21" customFormat="1">
      <c r="A13" s="112" t="s">
        <v>1491</v>
      </c>
      <c r="B13" s="134">
        <v>14.97</v>
      </c>
      <c r="C13" s="134">
        <v>21.39</v>
      </c>
      <c r="D13" s="134">
        <v>24.53</v>
      </c>
      <c r="E13" s="134">
        <v>7.76</v>
      </c>
      <c r="F13" s="134">
        <v>4.32</v>
      </c>
      <c r="G13" s="134">
        <v>16.489999999999998</v>
      </c>
      <c r="H13" s="134">
        <v>4.7</v>
      </c>
      <c r="I13" s="134">
        <v>4.1900000000000004</v>
      </c>
      <c r="J13" s="134">
        <v>0.38</v>
      </c>
      <c r="K13" s="134">
        <v>354.68</v>
      </c>
      <c r="L13" s="134">
        <v>24.17</v>
      </c>
      <c r="M13" s="134">
        <v>100.57</v>
      </c>
      <c r="N13" s="134">
        <v>0</v>
      </c>
      <c r="O13" s="134">
        <v>0.4</v>
      </c>
      <c r="P13" s="134">
        <v>0.6</v>
      </c>
      <c r="Q13" s="134">
        <v>5.55</v>
      </c>
    </row>
    <row r="14" spans="1:21" customFormat="1">
      <c r="A14" s="112" t="s">
        <v>1492</v>
      </c>
      <c r="B14" s="134">
        <v>14.96</v>
      </c>
      <c r="C14" s="134">
        <v>20.07</v>
      </c>
      <c r="D14" s="134">
        <v>23.83</v>
      </c>
      <c r="E14" s="134">
        <v>7.74</v>
      </c>
      <c r="F14" s="134">
        <v>4.97</v>
      </c>
      <c r="G14" s="134">
        <v>16.489999999999998</v>
      </c>
      <c r="H14" s="134">
        <v>4.7</v>
      </c>
      <c r="I14" s="134">
        <v>4.33</v>
      </c>
      <c r="J14" s="134">
        <v>0.42</v>
      </c>
      <c r="K14" s="134">
        <v>29.11</v>
      </c>
      <c r="L14" s="134">
        <v>24.16</v>
      </c>
      <c r="M14" s="134">
        <v>100.64</v>
      </c>
      <c r="N14" s="134">
        <v>0</v>
      </c>
      <c r="O14" s="134">
        <v>0</v>
      </c>
      <c r="P14" s="134">
        <v>0.57999999999999996</v>
      </c>
      <c r="Q14" s="134">
        <v>5.53</v>
      </c>
    </row>
    <row r="15" spans="1:21" customFormat="1">
      <c r="A15" s="112" t="s">
        <v>1493</v>
      </c>
      <c r="B15" s="134">
        <v>14.84</v>
      </c>
      <c r="C15" s="134">
        <v>21.06</v>
      </c>
      <c r="D15" s="134">
        <v>24.26</v>
      </c>
      <c r="E15" s="134">
        <v>7.72</v>
      </c>
      <c r="F15" s="134">
        <v>4.12</v>
      </c>
      <c r="G15" s="134">
        <v>16.489999999999998</v>
      </c>
      <c r="H15" s="134">
        <v>4.7</v>
      </c>
      <c r="I15" s="134">
        <v>4.18</v>
      </c>
      <c r="J15" s="134">
        <v>0.12</v>
      </c>
      <c r="K15" s="134">
        <v>319.43</v>
      </c>
      <c r="L15" s="134">
        <v>24.26</v>
      </c>
      <c r="M15" s="134">
        <v>100.93</v>
      </c>
      <c r="N15" s="134">
        <v>0</v>
      </c>
      <c r="O15" s="134">
        <v>0</v>
      </c>
      <c r="P15" s="134">
        <v>0.6</v>
      </c>
      <c r="Q15" s="134">
        <v>5.47</v>
      </c>
    </row>
    <row r="16" spans="1:21" customFormat="1">
      <c r="A16" s="112" t="s">
        <v>1494</v>
      </c>
      <c r="B16" s="134">
        <v>14.7</v>
      </c>
      <c r="C16" s="134">
        <v>19.940000000000001</v>
      </c>
      <c r="D16" s="134">
        <v>23.55</v>
      </c>
      <c r="E16" s="134">
        <v>7.61</v>
      </c>
      <c r="F16" s="134">
        <v>5.01</v>
      </c>
      <c r="G16" s="134">
        <v>14.2</v>
      </c>
      <c r="H16" s="134">
        <v>5.36</v>
      </c>
      <c r="I16" s="134">
        <v>4.1500000000000004</v>
      </c>
      <c r="J16" s="134">
        <v>0.22</v>
      </c>
      <c r="K16" s="134">
        <v>328.66</v>
      </c>
      <c r="L16" s="134">
        <v>24.26</v>
      </c>
      <c r="M16" s="134">
        <v>100.83</v>
      </c>
      <c r="N16" s="134">
        <v>0</v>
      </c>
      <c r="O16" s="134">
        <v>0</v>
      </c>
      <c r="P16" s="134">
        <v>0.57999999999999996</v>
      </c>
      <c r="Q16" s="134">
        <v>5.51</v>
      </c>
    </row>
    <row r="17" spans="1:17" customFormat="1">
      <c r="A17" s="112" t="s">
        <v>1495</v>
      </c>
      <c r="B17" s="134">
        <v>14.51</v>
      </c>
      <c r="C17" s="134">
        <v>19.21</v>
      </c>
      <c r="D17" s="134">
        <v>23.02</v>
      </c>
      <c r="E17" s="134">
        <v>8.01</v>
      </c>
      <c r="F17" s="134">
        <v>5.41</v>
      </c>
      <c r="G17" s="134">
        <v>12.53</v>
      </c>
      <c r="H17" s="134">
        <v>5.57</v>
      </c>
      <c r="I17" s="134">
        <v>4.1900000000000004</v>
      </c>
      <c r="J17" s="134">
        <v>0.23</v>
      </c>
      <c r="K17" s="134">
        <v>29.47</v>
      </c>
      <c r="L17" s="134">
        <v>24.27</v>
      </c>
      <c r="M17" s="134">
        <v>100.91</v>
      </c>
      <c r="N17" s="134">
        <v>0</v>
      </c>
      <c r="O17" s="134">
        <v>0.2</v>
      </c>
      <c r="P17" s="134">
        <v>0.55000000000000004</v>
      </c>
      <c r="Q17" s="134">
        <v>5.5</v>
      </c>
    </row>
    <row r="18" spans="1:17" customFormat="1">
      <c r="A18" s="112" t="s">
        <v>1496</v>
      </c>
      <c r="B18" s="134">
        <v>14.6</v>
      </c>
      <c r="C18" s="134">
        <v>20.79</v>
      </c>
      <c r="D18" s="134">
        <v>23.92</v>
      </c>
      <c r="E18" s="134">
        <v>9.68</v>
      </c>
      <c r="F18" s="134">
        <v>4.0999999999999996</v>
      </c>
      <c r="G18" s="134">
        <v>12.53</v>
      </c>
      <c r="H18" s="134">
        <v>5.57</v>
      </c>
      <c r="I18" s="134">
        <v>4</v>
      </c>
      <c r="J18" s="134">
        <v>0.12</v>
      </c>
      <c r="K18" s="134">
        <v>18.29</v>
      </c>
      <c r="L18" s="134">
        <v>24.26</v>
      </c>
      <c r="M18" s="134">
        <v>101.48</v>
      </c>
      <c r="N18" s="134">
        <v>0</v>
      </c>
      <c r="O18" s="134">
        <v>0.4</v>
      </c>
      <c r="P18" s="134">
        <v>0.57999999999999996</v>
      </c>
      <c r="Q18" s="134">
        <v>5.5</v>
      </c>
    </row>
    <row r="19" spans="1:17" customFormat="1">
      <c r="A19" s="112" t="s">
        <v>1497</v>
      </c>
      <c r="B19" s="134">
        <v>14.75</v>
      </c>
      <c r="C19" s="134">
        <v>19.87</v>
      </c>
      <c r="D19" s="134">
        <v>23.56</v>
      </c>
      <c r="E19" s="134">
        <v>9.65</v>
      </c>
      <c r="F19" s="134">
        <v>4.51</v>
      </c>
      <c r="G19" s="134">
        <v>12.53</v>
      </c>
      <c r="H19" s="134">
        <v>5.57</v>
      </c>
      <c r="I19" s="134">
        <v>4.03</v>
      </c>
      <c r="J19" s="134">
        <v>0.11</v>
      </c>
      <c r="K19" s="134">
        <v>357.7</v>
      </c>
      <c r="L19" s="134">
        <v>24.3</v>
      </c>
      <c r="M19" s="134">
        <v>101.48</v>
      </c>
      <c r="N19" s="134">
        <v>0</v>
      </c>
      <c r="O19" s="134">
        <v>0.2</v>
      </c>
      <c r="P19" s="134">
        <v>0.56000000000000005</v>
      </c>
      <c r="Q19" s="134">
        <v>5.51</v>
      </c>
    </row>
    <row r="20" spans="1:17" customFormat="1">
      <c r="A20" s="112" t="s">
        <v>1498</v>
      </c>
      <c r="B20" s="134">
        <v>14.43</v>
      </c>
      <c r="C20" s="134">
        <v>18.95</v>
      </c>
      <c r="D20" s="134">
        <v>22.82</v>
      </c>
      <c r="E20" s="134">
        <v>9.51</v>
      </c>
      <c r="F20" s="134">
        <v>5.65</v>
      </c>
      <c r="G20" s="134">
        <v>11.34</v>
      </c>
      <c r="H20" s="134">
        <v>4.3899999999999997</v>
      </c>
      <c r="I20" s="134">
        <v>4.1100000000000003</v>
      </c>
      <c r="J20" s="134">
        <v>0.14000000000000001</v>
      </c>
      <c r="K20" s="134">
        <v>299.42</v>
      </c>
      <c r="L20" s="134">
        <v>24.27</v>
      </c>
      <c r="M20" s="134">
        <v>101.05</v>
      </c>
      <c r="N20" s="134">
        <v>0</v>
      </c>
      <c r="O20" s="134">
        <v>0.2</v>
      </c>
      <c r="P20" s="134">
        <v>0.53</v>
      </c>
      <c r="Q20" s="134">
        <v>5.51</v>
      </c>
    </row>
    <row r="21" spans="1:17" customFormat="1">
      <c r="A21" s="112" t="s">
        <v>1499</v>
      </c>
      <c r="B21" s="134">
        <v>14.72</v>
      </c>
      <c r="C21" s="134">
        <v>20.64</v>
      </c>
      <c r="D21" s="134">
        <v>23.94</v>
      </c>
      <c r="E21" s="134">
        <v>9.5399999999999991</v>
      </c>
      <c r="F21" s="134">
        <v>4.05</v>
      </c>
      <c r="G21" s="134">
        <v>10.47</v>
      </c>
      <c r="H21" s="134">
        <v>4.0199999999999996</v>
      </c>
      <c r="I21" s="134">
        <v>3.98</v>
      </c>
      <c r="J21" s="134">
        <v>0.25</v>
      </c>
      <c r="K21" s="134">
        <v>283.25</v>
      </c>
      <c r="L21" s="134">
        <v>24.25</v>
      </c>
      <c r="M21" s="134">
        <v>100.9</v>
      </c>
      <c r="N21" s="134">
        <v>0</v>
      </c>
      <c r="O21" s="134">
        <v>0.2</v>
      </c>
      <c r="P21" s="134">
        <v>0.56999999999999995</v>
      </c>
      <c r="Q21" s="134">
        <v>5.52</v>
      </c>
    </row>
    <row r="22" spans="1:17" customFormat="1">
      <c r="A22" s="112" t="s">
        <v>1500</v>
      </c>
      <c r="B22" s="134">
        <v>14.94</v>
      </c>
      <c r="C22" s="134">
        <v>20.11</v>
      </c>
      <c r="D22" s="134">
        <v>23.83</v>
      </c>
      <c r="E22" s="134">
        <v>9.85</v>
      </c>
      <c r="F22" s="134">
        <v>4.45</v>
      </c>
      <c r="G22" s="134">
        <v>10.47</v>
      </c>
      <c r="H22" s="134">
        <v>4.0199999999999996</v>
      </c>
      <c r="I22" s="134">
        <v>3.85</v>
      </c>
      <c r="J22" s="134">
        <v>0.24</v>
      </c>
      <c r="K22" s="134">
        <v>302.86</v>
      </c>
      <c r="L22" s="134">
        <v>24.2</v>
      </c>
      <c r="M22" s="134">
        <v>100.55</v>
      </c>
      <c r="N22" s="134">
        <v>0</v>
      </c>
      <c r="O22" s="134">
        <v>0.2</v>
      </c>
      <c r="P22" s="134">
        <v>0.56000000000000005</v>
      </c>
      <c r="Q22" s="134">
        <v>5.55</v>
      </c>
    </row>
    <row r="23" spans="1:17" customFormat="1">
      <c r="A23" s="112" t="s">
        <v>1501</v>
      </c>
      <c r="B23" s="134">
        <v>14.96</v>
      </c>
      <c r="C23" s="134">
        <v>19.27</v>
      </c>
      <c r="D23" s="134">
        <v>23.42</v>
      </c>
      <c r="E23" s="134">
        <v>9.3000000000000007</v>
      </c>
      <c r="F23" s="134">
        <v>4.71</v>
      </c>
      <c r="G23" s="134">
        <v>10.47</v>
      </c>
      <c r="H23" s="134">
        <v>4.0199999999999996</v>
      </c>
      <c r="I23" s="134">
        <v>4.0599999999999996</v>
      </c>
      <c r="J23" s="134">
        <v>0.2</v>
      </c>
      <c r="K23" s="134">
        <v>268.07</v>
      </c>
      <c r="L23" s="134">
        <v>24.18</v>
      </c>
      <c r="M23" s="134">
        <v>100.9</v>
      </c>
      <c r="N23" s="134">
        <v>0</v>
      </c>
      <c r="O23" s="134">
        <v>0.4</v>
      </c>
      <c r="P23" s="134">
        <v>0.53</v>
      </c>
      <c r="Q23" s="134">
        <v>5.57</v>
      </c>
    </row>
    <row r="24" spans="1:17" customFormat="1">
      <c r="A24" s="112" t="s">
        <v>1502</v>
      </c>
      <c r="B24" s="134">
        <v>14.96</v>
      </c>
      <c r="C24" s="134">
        <v>21.01</v>
      </c>
      <c r="D24" s="134">
        <v>24.32</v>
      </c>
      <c r="E24" s="134">
        <v>9.4499999999999993</v>
      </c>
      <c r="F24" s="134">
        <v>3.74</v>
      </c>
      <c r="G24" s="134">
        <v>15.85</v>
      </c>
      <c r="H24" s="134">
        <v>5.93</v>
      </c>
      <c r="I24" s="134">
        <v>3.98</v>
      </c>
      <c r="J24" s="134">
        <v>0.14000000000000001</v>
      </c>
      <c r="K24" s="134">
        <v>216.96</v>
      </c>
      <c r="L24" s="134">
        <v>24.23</v>
      </c>
      <c r="M24" s="134">
        <v>101.88</v>
      </c>
      <c r="N24" s="134">
        <v>0</v>
      </c>
      <c r="O24" s="134">
        <v>0.2</v>
      </c>
      <c r="P24" s="134">
        <v>0.56000000000000005</v>
      </c>
      <c r="Q24" s="134">
        <v>5.59</v>
      </c>
    </row>
    <row r="25" spans="1:17" customFormat="1">
      <c r="A25" s="112" t="s">
        <v>1503</v>
      </c>
      <c r="B25" s="134">
        <v>15.22</v>
      </c>
      <c r="C25" s="134">
        <v>20.94</v>
      </c>
      <c r="D25" s="134">
        <v>24.5</v>
      </c>
      <c r="E25" s="134">
        <v>9.93</v>
      </c>
      <c r="F25" s="134">
        <v>4.1100000000000003</v>
      </c>
      <c r="G25" s="134">
        <v>19.79</v>
      </c>
      <c r="H25" s="134">
        <v>6.54</v>
      </c>
      <c r="I25" s="134">
        <v>3.96</v>
      </c>
      <c r="J25" s="134">
        <v>0.1</v>
      </c>
      <c r="K25" s="134">
        <v>243.04</v>
      </c>
      <c r="L25" s="134">
        <v>24.27</v>
      </c>
      <c r="M25" s="134">
        <v>101.24</v>
      </c>
      <c r="N25" s="134">
        <v>0</v>
      </c>
      <c r="O25" s="134">
        <v>0</v>
      </c>
      <c r="P25" s="134">
        <v>0.56000000000000005</v>
      </c>
      <c r="Q25" s="134">
        <v>5.63</v>
      </c>
    </row>
    <row r="26" spans="1:17" customFormat="1">
      <c r="A26" s="112" t="s">
        <v>1504</v>
      </c>
      <c r="B26" s="134">
        <v>15.32</v>
      </c>
      <c r="C26" s="134">
        <v>19.66</v>
      </c>
      <c r="D26" s="134">
        <v>23.91</v>
      </c>
      <c r="E26" s="134">
        <v>9.59</v>
      </c>
      <c r="F26" s="134">
        <v>4.6900000000000004</v>
      </c>
      <c r="G26" s="134">
        <v>19.79</v>
      </c>
      <c r="H26" s="134">
        <v>6.54</v>
      </c>
      <c r="I26" s="134">
        <v>4.09</v>
      </c>
      <c r="J26" s="134">
        <v>0.13</v>
      </c>
      <c r="K26" s="134">
        <v>225.18</v>
      </c>
      <c r="L26" s="134">
        <v>24.33</v>
      </c>
      <c r="M26" s="134">
        <v>100.79</v>
      </c>
      <c r="N26" s="134">
        <v>0</v>
      </c>
      <c r="O26" s="134">
        <v>0</v>
      </c>
      <c r="P26" s="134">
        <v>0.55000000000000004</v>
      </c>
      <c r="Q26" s="134">
        <v>5.65</v>
      </c>
    </row>
    <row r="27" spans="1:17" customFormat="1">
      <c r="A27" s="112" t="s">
        <v>1505</v>
      </c>
      <c r="B27" s="134">
        <v>15.46</v>
      </c>
      <c r="C27" s="134">
        <v>20.46</v>
      </c>
      <c r="D27" s="134">
        <v>24.44</v>
      </c>
      <c r="E27" s="134">
        <v>9.51</v>
      </c>
      <c r="F27" s="134">
        <v>4.04</v>
      </c>
      <c r="G27" s="134">
        <v>19.79</v>
      </c>
      <c r="H27" s="134">
        <v>6.54</v>
      </c>
      <c r="I27" s="134">
        <v>4.07</v>
      </c>
      <c r="J27" s="134">
        <v>0.1</v>
      </c>
      <c r="K27" s="134">
        <v>214.09</v>
      </c>
      <c r="L27" s="134">
        <v>24.47</v>
      </c>
      <c r="M27" s="134">
        <v>100.71</v>
      </c>
      <c r="N27" s="134">
        <v>0</v>
      </c>
      <c r="O27" s="134">
        <v>0</v>
      </c>
      <c r="P27" s="134">
        <v>0.56000000000000005</v>
      </c>
      <c r="Q27" s="134">
        <v>5.61</v>
      </c>
    </row>
    <row r="28" spans="1:17" customFormat="1">
      <c r="A28" s="112" t="s">
        <v>1506</v>
      </c>
      <c r="B28" s="134">
        <v>15.52</v>
      </c>
      <c r="C28" s="134">
        <v>20.36</v>
      </c>
      <c r="D28" s="134">
        <v>24.43</v>
      </c>
      <c r="E28" s="134">
        <v>10.130000000000001</v>
      </c>
      <c r="F28" s="134">
        <v>4.1500000000000004</v>
      </c>
      <c r="G28" s="134">
        <v>20.93</v>
      </c>
      <c r="H28" s="134">
        <v>9.2899999999999991</v>
      </c>
      <c r="I28" s="134">
        <v>4</v>
      </c>
      <c r="J28" s="134">
        <v>0.31</v>
      </c>
      <c r="K28" s="134">
        <v>259.89999999999998</v>
      </c>
      <c r="L28" s="134">
        <v>24.45</v>
      </c>
      <c r="M28" s="134">
        <v>100.6</v>
      </c>
      <c r="N28" s="134">
        <v>0</v>
      </c>
      <c r="O28" s="134">
        <v>0</v>
      </c>
      <c r="P28" s="134">
        <v>0.56999999999999995</v>
      </c>
      <c r="Q28" s="134">
        <v>5.65</v>
      </c>
    </row>
    <row r="29" spans="1:17" customFormat="1">
      <c r="A29" s="112" t="s">
        <v>1507</v>
      </c>
      <c r="B29" s="134">
        <v>15.48</v>
      </c>
      <c r="C29" s="134">
        <v>19.48</v>
      </c>
      <c r="D29" s="134">
        <v>23.95</v>
      </c>
      <c r="E29" s="134">
        <v>9.69</v>
      </c>
      <c r="F29" s="134">
        <v>4.46</v>
      </c>
      <c r="G29" s="134">
        <v>21.76</v>
      </c>
      <c r="H29" s="134">
        <v>10.17</v>
      </c>
      <c r="I29" s="134">
        <v>4.1500000000000004</v>
      </c>
      <c r="J29" s="134">
        <v>0.34</v>
      </c>
      <c r="K29" s="134">
        <v>260.74</v>
      </c>
      <c r="L29" s="134">
        <v>24.48</v>
      </c>
      <c r="M29" s="134">
        <v>100.55</v>
      </c>
      <c r="N29" s="134">
        <v>0</v>
      </c>
      <c r="O29" s="134">
        <v>0.2</v>
      </c>
      <c r="P29" s="134">
        <v>0.54</v>
      </c>
      <c r="Q29" s="134">
        <v>5.65</v>
      </c>
    </row>
    <row r="30" spans="1:17" customFormat="1">
      <c r="A30" s="112" t="s">
        <v>1508</v>
      </c>
      <c r="B30" s="134">
        <v>15.43</v>
      </c>
      <c r="C30" s="134">
        <v>20.37</v>
      </c>
      <c r="D30" s="134">
        <v>24.37</v>
      </c>
      <c r="E30" s="134">
        <v>10.1</v>
      </c>
      <c r="F30" s="134">
        <v>3.71</v>
      </c>
      <c r="G30" s="134">
        <v>21.76</v>
      </c>
      <c r="H30" s="134">
        <v>10.17</v>
      </c>
      <c r="I30" s="134">
        <v>4.08</v>
      </c>
      <c r="J30" s="134">
        <v>0.33</v>
      </c>
      <c r="K30" s="134">
        <v>259.47000000000003</v>
      </c>
      <c r="L30" s="134">
        <v>24.51</v>
      </c>
      <c r="M30" s="134">
        <v>100.51</v>
      </c>
      <c r="N30" s="134">
        <v>0</v>
      </c>
      <c r="O30" s="134">
        <v>0</v>
      </c>
      <c r="P30" s="134">
        <v>0.56000000000000005</v>
      </c>
      <c r="Q30" s="134">
        <v>5.64</v>
      </c>
    </row>
    <row r="31" spans="1:17" customFormat="1">
      <c r="A31" s="112" t="s">
        <v>1509</v>
      </c>
      <c r="B31" s="134">
        <v>15.5</v>
      </c>
      <c r="C31" s="134">
        <v>19.61</v>
      </c>
      <c r="D31" s="134">
        <v>24.03</v>
      </c>
      <c r="E31" s="134">
        <v>9.4700000000000006</v>
      </c>
      <c r="F31" s="134">
        <v>4.3499999999999996</v>
      </c>
      <c r="G31" s="134">
        <v>21.76</v>
      </c>
      <c r="H31" s="134">
        <v>10.17</v>
      </c>
      <c r="I31" s="134">
        <v>4.05</v>
      </c>
      <c r="J31" s="134">
        <v>0.27</v>
      </c>
      <c r="K31" s="134">
        <v>263.45</v>
      </c>
      <c r="L31" s="134">
        <v>24.56</v>
      </c>
      <c r="M31" s="134">
        <v>100.52</v>
      </c>
      <c r="N31" s="134">
        <v>0</v>
      </c>
      <c r="O31" s="134">
        <v>0</v>
      </c>
      <c r="P31" s="134">
        <v>0.54</v>
      </c>
      <c r="Q31" s="134">
        <v>5.64</v>
      </c>
    </row>
    <row r="32" spans="1:17" customFormat="1">
      <c r="A32" s="112" t="s">
        <v>1510</v>
      </c>
      <c r="B32" s="134">
        <v>15.04</v>
      </c>
      <c r="C32" s="134">
        <v>18.309999999999999</v>
      </c>
      <c r="D32" s="134">
        <v>22.98</v>
      </c>
      <c r="E32" s="134">
        <v>9.32</v>
      </c>
      <c r="F32" s="134">
        <v>5.15</v>
      </c>
      <c r="G32" s="134">
        <v>19.399999999999999</v>
      </c>
      <c r="H32" s="134">
        <v>9.08</v>
      </c>
      <c r="I32" s="134">
        <v>4.09</v>
      </c>
      <c r="J32" s="134">
        <v>0.15</v>
      </c>
      <c r="K32" s="134">
        <v>263.92</v>
      </c>
      <c r="L32" s="134">
        <v>24.61</v>
      </c>
      <c r="M32" s="134">
        <v>100.42</v>
      </c>
      <c r="N32" s="134">
        <v>0</v>
      </c>
      <c r="O32" s="134">
        <v>0</v>
      </c>
      <c r="P32" s="134">
        <v>0.52</v>
      </c>
      <c r="Q32" s="134">
        <v>5.62</v>
      </c>
    </row>
    <row r="33" spans="1:17" customFormat="1">
      <c r="A33" s="112" t="s">
        <v>1511</v>
      </c>
      <c r="B33" s="134">
        <v>15.35</v>
      </c>
      <c r="C33" s="134">
        <v>20.420000000000002</v>
      </c>
      <c r="D33" s="134">
        <v>24.33</v>
      </c>
      <c r="E33" s="134">
        <v>10.48</v>
      </c>
      <c r="F33" s="134">
        <v>3.79</v>
      </c>
      <c r="G33" s="134">
        <v>17.670000000000002</v>
      </c>
      <c r="H33" s="134">
        <v>8.44</v>
      </c>
      <c r="I33" s="134">
        <v>3.98</v>
      </c>
      <c r="J33" s="134">
        <v>0.23</v>
      </c>
      <c r="K33" s="134">
        <v>256.14</v>
      </c>
      <c r="L33" s="134">
        <v>24.69</v>
      </c>
      <c r="M33" s="134">
        <v>100.6</v>
      </c>
      <c r="N33" s="134">
        <v>0</v>
      </c>
      <c r="O33" s="134">
        <v>0</v>
      </c>
      <c r="P33" s="134">
        <v>0.55000000000000004</v>
      </c>
      <c r="Q33" s="134">
        <v>5.59</v>
      </c>
    </row>
    <row r="34" spans="1:17" customFormat="1">
      <c r="A34" s="112" t="s">
        <v>1512</v>
      </c>
      <c r="B34" s="134">
        <v>15.52</v>
      </c>
      <c r="C34" s="134">
        <v>21.25</v>
      </c>
      <c r="D34" s="134">
        <v>24.9</v>
      </c>
      <c r="E34" s="134">
        <v>10.039999999999999</v>
      </c>
      <c r="F34" s="134">
        <v>3.8</v>
      </c>
      <c r="G34" s="134">
        <v>17.670000000000002</v>
      </c>
      <c r="H34" s="134">
        <v>8.44</v>
      </c>
      <c r="I34" s="134">
        <v>3.85</v>
      </c>
      <c r="J34" s="134">
        <v>0.23</v>
      </c>
      <c r="K34" s="134">
        <v>258.86</v>
      </c>
      <c r="L34" s="134">
        <v>24.77</v>
      </c>
      <c r="M34" s="134">
        <v>100.47</v>
      </c>
      <c r="N34" s="134">
        <v>2</v>
      </c>
      <c r="O34" s="134">
        <v>0</v>
      </c>
      <c r="P34" s="134">
        <v>0.56000000000000005</v>
      </c>
      <c r="Q34" s="134">
        <v>5.63</v>
      </c>
    </row>
    <row r="35" spans="1:17" customFormat="1">
      <c r="A35" s="112" t="s">
        <v>1513</v>
      </c>
      <c r="B35" s="134">
        <v>15.91</v>
      </c>
      <c r="C35" s="134">
        <v>20.02</v>
      </c>
      <c r="D35" s="134">
        <v>24.57</v>
      </c>
      <c r="E35" s="134">
        <v>10.14</v>
      </c>
      <c r="F35" s="134">
        <v>4.49</v>
      </c>
      <c r="G35" s="134">
        <v>17.670000000000002</v>
      </c>
      <c r="H35" s="134">
        <v>8.44</v>
      </c>
      <c r="I35" s="134">
        <v>4.04</v>
      </c>
      <c r="J35" s="134">
        <v>0.26</v>
      </c>
      <c r="K35" s="134">
        <v>267.57</v>
      </c>
      <c r="L35" s="134">
        <v>24.82</v>
      </c>
      <c r="M35" s="134">
        <v>100.54</v>
      </c>
      <c r="N35" s="134">
        <v>6.6</v>
      </c>
      <c r="O35" s="134">
        <v>0</v>
      </c>
      <c r="P35" s="134">
        <v>0.55000000000000004</v>
      </c>
      <c r="Q35" s="134">
        <v>5.7</v>
      </c>
    </row>
    <row r="36" spans="1:17" customFormat="1">
      <c r="A36" s="112" t="s">
        <v>1514</v>
      </c>
      <c r="B36" s="134">
        <v>16.27</v>
      </c>
      <c r="C36" s="134">
        <v>19.21</v>
      </c>
      <c r="D36" s="134">
        <v>24.43</v>
      </c>
      <c r="E36" s="134">
        <v>9.34</v>
      </c>
      <c r="F36" s="134">
        <v>4.5</v>
      </c>
      <c r="G36" s="134">
        <v>15.4</v>
      </c>
      <c r="H36" s="134">
        <v>6.73</v>
      </c>
      <c r="I36" s="134">
        <v>4.0599999999999996</v>
      </c>
      <c r="J36" s="134">
        <v>0.28000000000000003</v>
      </c>
      <c r="K36" s="134">
        <v>284.57</v>
      </c>
      <c r="L36" s="134">
        <v>24.86</v>
      </c>
      <c r="M36" s="134">
        <v>100.87</v>
      </c>
      <c r="N36" s="134">
        <v>14</v>
      </c>
      <c r="O36" s="134">
        <v>0</v>
      </c>
      <c r="P36" s="134">
        <v>0.54</v>
      </c>
      <c r="Q36" s="134">
        <v>5.67</v>
      </c>
    </row>
    <row r="37" spans="1:17" customFormat="1">
      <c r="A37" s="112" t="s">
        <v>1515</v>
      </c>
      <c r="B37" s="134">
        <v>16.399999999999999</v>
      </c>
      <c r="C37" s="134">
        <v>20.77</v>
      </c>
      <c r="D37" s="134">
        <v>25.35</v>
      </c>
      <c r="E37" s="134">
        <v>9.85</v>
      </c>
      <c r="F37" s="134">
        <v>3.92</v>
      </c>
      <c r="G37" s="134">
        <v>13.74</v>
      </c>
      <c r="H37" s="134">
        <v>6.18</v>
      </c>
      <c r="I37" s="134">
        <v>4.0599999999999996</v>
      </c>
      <c r="J37" s="134">
        <v>0.4</v>
      </c>
      <c r="K37" s="134">
        <v>276.38</v>
      </c>
      <c r="L37" s="134">
        <v>24.9</v>
      </c>
      <c r="M37" s="134">
        <v>101.02</v>
      </c>
      <c r="N37" s="134">
        <v>22.6</v>
      </c>
      <c r="O37" s="134">
        <v>0</v>
      </c>
      <c r="P37" s="134">
        <v>0.56000000000000005</v>
      </c>
      <c r="Q37" s="134">
        <v>5.66</v>
      </c>
    </row>
    <row r="38" spans="1:17" customFormat="1">
      <c r="A38" s="112" t="s">
        <v>1516</v>
      </c>
      <c r="B38" s="134">
        <v>16.86</v>
      </c>
      <c r="C38" s="134">
        <v>20.27</v>
      </c>
      <c r="D38" s="134">
        <v>25.46</v>
      </c>
      <c r="E38" s="134">
        <v>9.7799999999999994</v>
      </c>
      <c r="F38" s="134">
        <v>4.3</v>
      </c>
      <c r="G38" s="134">
        <v>13.74</v>
      </c>
      <c r="H38" s="134">
        <v>6.18</v>
      </c>
      <c r="I38" s="134">
        <v>4.1100000000000003</v>
      </c>
      <c r="J38" s="134">
        <v>0.2</v>
      </c>
      <c r="K38" s="134">
        <v>273.91000000000003</v>
      </c>
      <c r="L38" s="134">
        <v>25.03</v>
      </c>
      <c r="M38" s="134">
        <v>100.96</v>
      </c>
      <c r="N38" s="134">
        <v>28.6</v>
      </c>
      <c r="O38" s="134">
        <v>0</v>
      </c>
      <c r="P38" s="134">
        <v>0.55000000000000004</v>
      </c>
      <c r="Q38" s="134">
        <v>5.71</v>
      </c>
    </row>
    <row r="39" spans="1:17" customFormat="1">
      <c r="A39" s="112" t="s">
        <v>1517</v>
      </c>
      <c r="B39" s="134">
        <v>17.3</v>
      </c>
      <c r="C39" s="134">
        <v>19.61</v>
      </c>
      <c r="D39" s="134">
        <v>25.47</v>
      </c>
      <c r="E39" s="134">
        <v>9.8800000000000008</v>
      </c>
      <c r="F39" s="134">
        <v>4.4800000000000004</v>
      </c>
      <c r="G39" s="134">
        <v>13.74</v>
      </c>
      <c r="H39" s="134">
        <v>6.18</v>
      </c>
      <c r="I39" s="134">
        <v>4.2300000000000004</v>
      </c>
      <c r="J39" s="134">
        <v>0.22</v>
      </c>
      <c r="K39" s="134">
        <v>282.38</v>
      </c>
      <c r="L39" s="134">
        <v>25.17</v>
      </c>
      <c r="M39" s="134">
        <v>101.36</v>
      </c>
      <c r="N39" s="134">
        <v>51</v>
      </c>
      <c r="O39" s="134">
        <v>0</v>
      </c>
      <c r="P39" s="134">
        <v>0.56000000000000005</v>
      </c>
      <c r="Q39" s="134">
        <v>5.71</v>
      </c>
    </row>
    <row r="40" spans="1:17" customFormat="1">
      <c r="A40" s="112" t="s">
        <v>1518</v>
      </c>
      <c r="B40" s="134">
        <v>17.63</v>
      </c>
      <c r="C40" s="134">
        <v>20.95</v>
      </c>
      <c r="D40" s="134">
        <v>26.43</v>
      </c>
      <c r="E40" s="134">
        <v>9.67</v>
      </c>
      <c r="F40" s="134">
        <v>3.81</v>
      </c>
      <c r="G40" s="134">
        <v>17.27</v>
      </c>
      <c r="H40" s="134">
        <v>6.38</v>
      </c>
      <c r="I40" s="134">
        <v>4.21</v>
      </c>
      <c r="J40" s="134">
        <v>0.2</v>
      </c>
      <c r="K40" s="134">
        <v>263.11</v>
      </c>
      <c r="L40" s="134">
        <v>25.36</v>
      </c>
      <c r="M40" s="134">
        <v>100.66</v>
      </c>
      <c r="N40" s="134">
        <v>65.900000000000006</v>
      </c>
      <c r="O40" s="134">
        <v>0</v>
      </c>
      <c r="P40" s="134">
        <v>0.59</v>
      </c>
      <c r="Q40" s="134">
        <v>5.72</v>
      </c>
    </row>
    <row r="41" spans="1:17" customFormat="1">
      <c r="A41" s="112" t="s">
        <v>1519</v>
      </c>
      <c r="B41" s="134">
        <v>17.88</v>
      </c>
      <c r="C41" s="134">
        <v>20.34</v>
      </c>
      <c r="D41" s="134">
        <v>26.32</v>
      </c>
      <c r="E41" s="134">
        <v>10.36</v>
      </c>
      <c r="F41" s="134">
        <v>4.34</v>
      </c>
      <c r="G41" s="134">
        <v>19.86</v>
      </c>
      <c r="H41" s="134">
        <v>6.44</v>
      </c>
      <c r="I41" s="134">
        <v>4.28</v>
      </c>
      <c r="J41" s="134">
        <v>0.24</v>
      </c>
      <c r="K41" s="134">
        <v>258.75</v>
      </c>
      <c r="L41" s="134">
        <v>25.59</v>
      </c>
      <c r="M41" s="134">
        <v>100.49</v>
      </c>
      <c r="N41" s="134">
        <v>98.6</v>
      </c>
      <c r="O41" s="134">
        <v>0</v>
      </c>
      <c r="P41" s="134">
        <v>0.57999999999999996</v>
      </c>
      <c r="Q41" s="134">
        <v>5.74</v>
      </c>
    </row>
    <row r="42" spans="1:17" customFormat="1">
      <c r="A42" s="112" t="s">
        <v>1520</v>
      </c>
      <c r="B42" s="134">
        <v>17.79</v>
      </c>
      <c r="C42" s="134">
        <v>19.309999999999999</v>
      </c>
      <c r="D42" s="134">
        <v>25.7</v>
      </c>
      <c r="E42" s="134">
        <v>9.86</v>
      </c>
      <c r="F42" s="134">
        <v>4.72</v>
      </c>
      <c r="G42" s="134">
        <v>19.86</v>
      </c>
      <c r="H42" s="134">
        <v>6.44</v>
      </c>
      <c r="I42" s="134">
        <v>4.42</v>
      </c>
      <c r="J42" s="134">
        <v>0.4</v>
      </c>
      <c r="K42" s="134">
        <v>261.81</v>
      </c>
      <c r="L42" s="134">
        <v>25.82</v>
      </c>
      <c r="M42" s="134">
        <v>100.62</v>
      </c>
      <c r="N42" s="134">
        <v>88.8</v>
      </c>
      <c r="O42" s="134">
        <v>0</v>
      </c>
      <c r="P42" s="134">
        <v>0.57999999999999996</v>
      </c>
      <c r="Q42" s="134">
        <v>5.74</v>
      </c>
    </row>
    <row r="43" spans="1:17" customFormat="1">
      <c r="A43" s="112" t="s">
        <v>1521</v>
      </c>
      <c r="B43" s="134">
        <v>17.72</v>
      </c>
      <c r="C43" s="134">
        <v>20.65</v>
      </c>
      <c r="D43" s="134">
        <v>26.35</v>
      </c>
      <c r="E43" s="134">
        <v>9.8699999999999992</v>
      </c>
      <c r="F43" s="134">
        <v>3.87</v>
      </c>
      <c r="G43" s="134">
        <v>19.86</v>
      </c>
      <c r="H43" s="134">
        <v>6.44</v>
      </c>
      <c r="I43" s="134">
        <v>4.41</v>
      </c>
      <c r="J43" s="134">
        <v>0.34</v>
      </c>
      <c r="K43" s="134">
        <v>262.22000000000003</v>
      </c>
      <c r="L43" s="134">
        <v>25.77</v>
      </c>
      <c r="M43" s="134">
        <v>101.41</v>
      </c>
      <c r="N43" s="134">
        <v>57.4</v>
      </c>
      <c r="O43" s="134">
        <v>0</v>
      </c>
      <c r="P43" s="134">
        <v>0.6</v>
      </c>
      <c r="Q43" s="134">
        <v>5.7</v>
      </c>
    </row>
    <row r="44" spans="1:17" customFormat="1">
      <c r="A44" s="112" t="s">
        <v>1522</v>
      </c>
      <c r="B44" s="134">
        <v>17.63</v>
      </c>
      <c r="C44" s="134">
        <v>20.11</v>
      </c>
      <c r="D44" s="134">
        <v>26</v>
      </c>
      <c r="E44" s="134">
        <v>10.199999999999999</v>
      </c>
      <c r="F44" s="134">
        <v>4.32</v>
      </c>
      <c r="G44" s="134">
        <v>19.27</v>
      </c>
      <c r="H44" s="134">
        <v>8.58</v>
      </c>
      <c r="I44" s="134">
        <v>4.4400000000000004</v>
      </c>
      <c r="J44" s="134">
        <v>0.22</v>
      </c>
      <c r="K44" s="134">
        <v>289.52999999999997</v>
      </c>
      <c r="L44" s="134">
        <v>25.93</v>
      </c>
      <c r="M44" s="134">
        <v>100.6</v>
      </c>
      <c r="N44" s="134">
        <v>142.30000000000001</v>
      </c>
      <c r="O44" s="134">
        <v>0</v>
      </c>
      <c r="P44" s="134">
        <v>0.61</v>
      </c>
      <c r="Q44" s="134">
        <v>5.76</v>
      </c>
    </row>
    <row r="45" spans="1:17" customFormat="1">
      <c r="A45" s="112" t="s">
        <v>1523</v>
      </c>
      <c r="B45" s="134">
        <v>18.260000000000002</v>
      </c>
      <c r="C45" s="134">
        <v>19.670000000000002</v>
      </c>
      <c r="D45" s="134">
        <v>26.27</v>
      </c>
      <c r="E45" s="134">
        <v>10.35</v>
      </c>
      <c r="F45" s="134">
        <v>4.7</v>
      </c>
      <c r="G45" s="134">
        <v>18.850000000000001</v>
      </c>
      <c r="H45" s="134">
        <v>9.27</v>
      </c>
      <c r="I45" s="134">
        <v>4.55</v>
      </c>
      <c r="J45" s="134">
        <v>0.44</v>
      </c>
      <c r="K45" s="134">
        <v>279.20999999999998</v>
      </c>
      <c r="L45" s="134">
        <v>26.52</v>
      </c>
      <c r="M45" s="134">
        <v>98.59</v>
      </c>
      <c r="N45" s="134">
        <v>233</v>
      </c>
      <c r="O45" s="134">
        <v>0</v>
      </c>
      <c r="P45" s="134">
        <v>0.61</v>
      </c>
      <c r="Q45" s="134">
        <v>5.77</v>
      </c>
    </row>
    <row r="46" spans="1:17" customFormat="1">
      <c r="A46" s="112" t="s">
        <v>1524</v>
      </c>
      <c r="B46" s="134">
        <v>18.21</v>
      </c>
      <c r="C46" s="134">
        <v>20.91</v>
      </c>
      <c r="D46" s="134">
        <v>26.88</v>
      </c>
      <c r="E46" s="134">
        <v>10.24</v>
      </c>
      <c r="F46" s="134">
        <v>4.1500000000000004</v>
      </c>
      <c r="G46" s="134">
        <v>18.850000000000001</v>
      </c>
      <c r="H46" s="134">
        <v>9.27</v>
      </c>
      <c r="I46" s="134">
        <v>4.63</v>
      </c>
      <c r="J46" s="134">
        <v>0.33</v>
      </c>
      <c r="K46" s="134">
        <v>280.20999999999998</v>
      </c>
      <c r="L46" s="134">
        <v>27.07</v>
      </c>
      <c r="M46" s="134">
        <v>93.79</v>
      </c>
      <c r="N46" s="134">
        <v>234</v>
      </c>
      <c r="O46" s="134">
        <v>0</v>
      </c>
      <c r="P46" s="134">
        <v>0.62</v>
      </c>
      <c r="Q46" s="134">
        <v>5.76</v>
      </c>
    </row>
    <row r="47" spans="1:17" customFormat="1">
      <c r="A47" s="112" t="s">
        <v>1525</v>
      </c>
      <c r="B47" s="134">
        <v>18.22</v>
      </c>
      <c r="C47" s="134">
        <v>20.27</v>
      </c>
      <c r="D47" s="134">
        <v>26.55</v>
      </c>
      <c r="E47" s="134">
        <v>10.33</v>
      </c>
      <c r="F47" s="134">
        <v>4.7300000000000004</v>
      </c>
      <c r="G47" s="134">
        <v>18.850000000000001</v>
      </c>
      <c r="H47" s="134">
        <v>9.27</v>
      </c>
      <c r="I47" s="134">
        <v>4.63</v>
      </c>
      <c r="J47" s="134">
        <v>0.3</v>
      </c>
      <c r="K47" s="134">
        <v>280.85000000000002</v>
      </c>
      <c r="L47" s="134">
        <v>27.13</v>
      </c>
      <c r="M47" s="134">
        <v>92.06</v>
      </c>
      <c r="N47" s="134">
        <v>117.7</v>
      </c>
      <c r="O47" s="134">
        <v>0</v>
      </c>
      <c r="P47" s="134">
        <v>0.64</v>
      </c>
      <c r="Q47" s="134">
        <v>5.79</v>
      </c>
    </row>
    <row r="48" spans="1:17" customFormat="1">
      <c r="A48" s="112" t="s">
        <v>1526</v>
      </c>
      <c r="B48" s="134">
        <v>17.61</v>
      </c>
      <c r="C48" s="134">
        <v>19.190000000000001</v>
      </c>
      <c r="D48" s="134">
        <v>25.5</v>
      </c>
      <c r="E48" s="134">
        <v>10.77</v>
      </c>
      <c r="F48" s="134">
        <v>5.85</v>
      </c>
      <c r="G48" s="134">
        <v>23.89</v>
      </c>
      <c r="H48" s="134">
        <v>9.9700000000000006</v>
      </c>
      <c r="I48" s="134">
        <v>4.7300000000000004</v>
      </c>
      <c r="J48" s="134">
        <v>0.31</v>
      </c>
      <c r="K48" s="134">
        <v>276.5</v>
      </c>
      <c r="L48" s="134">
        <v>27.18</v>
      </c>
      <c r="M48" s="134">
        <v>91.19</v>
      </c>
      <c r="N48" s="134">
        <v>169.3</v>
      </c>
      <c r="O48" s="134">
        <v>0</v>
      </c>
      <c r="P48" s="134">
        <v>0.65</v>
      </c>
      <c r="Q48" s="134">
        <v>5.8</v>
      </c>
    </row>
    <row r="49" spans="1:17" customFormat="1">
      <c r="A49" s="112" t="s">
        <v>1527</v>
      </c>
      <c r="B49" s="134">
        <v>18.09</v>
      </c>
      <c r="C49" s="134">
        <v>19.23</v>
      </c>
      <c r="D49" s="134">
        <v>25.9</v>
      </c>
      <c r="E49" s="134">
        <v>8.61</v>
      </c>
      <c r="F49" s="134">
        <v>5.87</v>
      </c>
      <c r="G49" s="134">
        <v>27.57</v>
      </c>
      <c r="H49" s="134">
        <v>10.19</v>
      </c>
      <c r="I49" s="134">
        <v>4.75</v>
      </c>
      <c r="J49" s="134">
        <v>0.33</v>
      </c>
      <c r="K49" s="134">
        <v>278.13</v>
      </c>
      <c r="L49" s="134">
        <v>27.55</v>
      </c>
      <c r="M49" s="134">
        <v>89.24</v>
      </c>
      <c r="N49" s="134">
        <v>169.9</v>
      </c>
      <c r="O49" s="134">
        <v>0</v>
      </c>
      <c r="P49" s="134">
        <v>0.64</v>
      </c>
      <c r="Q49" s="134">
        <v>5.79</v>
      </c>
    </row>
    <row r="50" spans="1:17" customFormat="1">
      <c r="A50" s="112" t="s">
        <v>1528</v>
      </c>
      <c r="B50" s="134">
        <v>18.09</v>
      </c>
      <c r="C50" s="134">
        <v>19.989999999999998</v>
      </c>
      <c r="D50" s="134">
        <v>26.3</v>
      </c>
      <c r="E50" s="134">
        <v>9.82</v>
      </c>
      <c r="F50" s="134">
        <v>5.33</v>
      </c>
      <c r="G50" s="134">
        <v>27.57</v>
      </c>
      <c r="H50" s="134">
        <v>10.19</v>
      </c>
      <c r="I50" s="134">
        <v>4.68</v>
      </c>
      <c r="J50" s="134">
        <v>0.28000000000000003</v>
      </c>
      <c r="K50" s="134">
        <v>313.47000000000003</v>
      </c>
      <c r="L50" s="134">
        <v>27.76</v>
      </c>
      <c r="M50" s="134">
        <v>88.06</v>
      </c>
      <c r="N50" s="134">
        <v>174.3</v>
      </c>
      <c r="O50" s="134">
        <v>0</v>
      </c>
      <c r="P50" s="134">
        <v>0.66</v>
      </c>
      <c r="Q50" s="134">
        <v>5.78</v>
      </c>
    </row>
    <row r="51" spans="1:17" customFormat="1">
      <c r="A51" s="112" t="s">
        <v>1529</v>
      </c>
      <c r="B51" s="134">
        <v>17.98</v>
      </c>
      <c r="C51" s="134">
        <v>21.73</v>
      </c>
      <c r="D51" s="134">
        <v>27.12</v>
      </c>
      <c r="E51" s="134">
        <v>9.5299999999999994</v>
      </c>
      <c r="F51" s="134">
        <v>4.55</v>
      </c>
      <c r="G51" s="134">
        <v>27.57</v>
      </c>
      <c r="H51" s="134">
        <v>10.19</v>
      </c>
      <c r="I51" s="134">
        <v>4.7699999999999996</v>
      </c>
      <c r="J51" s="134">
        <v>0.25</v>
      </c>
      <c r="K51" s="134">
        <v>308.69</v>
      </c>
      <c r="L51" s="134">
        <v>27.79</v>
      </c>
      <c r="M51" s="134">
        <v>86.96</v>
      </c>
      <c r="N51" s="134">
        <v>138.6</v>
      </c>
      <c r="O51" s="134">
        <v>0</v>
      </c>
      <c r="P51" s="134">
        <v>0.68</v>
      </c>
      <c r="Q51" s="134">
        <v>5.8</v>
      </c>
    </row>
    <row r="52" spans="1:17" customFormat="1">
      <c r="A52" s="112" t="s">
        <v>1530</v>
      </c>
      <c r="B52" s="134">
        <v>18.2</v>
      </c>
      <c r="C52" s="134">
        <v>21.19</v>
      </c>
      <c r="D52" s="134">
        <v>27.02</v>
      </c>
      <c r="E52" s="134">
        <v>11.29</v>
      </c>
      <c r="F52" s="134">
        <v>5.7</v>
      </c>
      <c r="G52" s="134">
        <v>33.049999999999997</v>
      </c>
      <c r="H52" s="134">
        <v>12.62</v>
      </c>
      <c r="I52" s="134">
        <v>4.8600000000000003</v>
      </c>
      <c r="J52" s="134">
        <v>0.27</v>
      </c>
      <c r="K52" s="134">
        <v>325.14999999999998</v>
      </c>
      <c r="L52" s="134">
        <v>27.94</v>
      </c>
      <c r="M52" s="134">
        <v>86.28</v>
      </c>
      <c r="N52" s="134">
        <v>155</v>
      </c>
      <c r="O52" s="134">
        <v>0</v>
      </c>
      <c r="P52" s="134">
        <v>0.7</v>
      </c>
      <c r="Q52" s="134">
        <v>5.88</v>
      </c>
    </row>
    <row r="53" spans="1:17" customFormat="1">
      <c r="A53" s="112" t="s">
        <v>1531</v>
      </c>
      <c r="B53" s="134">
        <v>18.16</v>
      </c>
      <c r="C53" s="134">
        <v>21.2</v>
      </c>
      <c r="D53" s="134">
        <v>26.99</v>
      </c>
      <c r="E53" s="134">
        <v>9.5</v>
      </c>
      <c r="F53" s="134">
        <v>5.29</v>
      </c>
      <c r="G53" s="134">
        <v>37.24</v>
      </c>
      <c r="H53" s="134">
        <v>13.39</v>
      </c>
      <c r="I53" s="134">
        <v>4.91</v>
      </c>
      <c r="J53" s="134">
        <v>0.4</v>
      </c>
      <c r="K53" s="134">
        <v>295.08999999999997</v>
      </c>
      <c r="L53" s="134">
        <v>28.2</v>
      </c>
      <c r="M53" s="134">
        <v>85.19</v>
      </c>
      <c r="N53" s="134">
        <v>260</v>
      </c>
      <c r="O53" s="134">
        <v>0</v>
      </c>
      <c r="P53" s="134">
        <v>0.69</v>
      </c>
      <c r="Q53" s="134">
        <v>5.87</v>
      </c>
    </row>
    <row r="54" spans="1:17" customFormat="1">
      <c r="A54" s="112" t="s">
        <v>1532</v>
      </c>
      <c r="B54" s="134">
        <v>18.059999999999999</v>
      </c>
      <c r="C54" s="134">
        <v>22.13</v>
      </c>
      <c r="D54" s="134">
        <v>27.4</v>
      </c>
      <c r="E54" s="134">
        <v>7.89</v>
      </c>
      <c r="F54" s="134">
        <v>4.8600000000000003</v>
      </c>
      <c r="G54" s="134">
        <v>37.24</v>
      </c>
      <c r="H54" s="134">
        <v>13.39</v>
      </c>
      <c r="I54" s="134">
        <v>4.8499999999999996</v>
      </c>
      <c r="J54" s="134">
        <v>0.42</v>
      </c>
      <c r="K54" s="134">
        <v>318.67</v>
      </c>
      <c r="L54" s="134">
        <v>28.46</v>
      </c>
      <c r="M54" s="134">
        <v>83.78</v>
      </c>
      <c r="N54" s="134">
        <v>257.60000000000002</v>
      </c>
      <c r="O54" s="134">
        <v>0</v>
      </c>
      <c r="P54" s="134">
        <v>0.71</v>
      </c>
      <c r="Q54" s="134">
        <v>5.86</v>
      </c>
    </row>
    <row r="55" spans="1:17" customFormat="1">
      <c r="A55" s="112" t="s">
        <v>1533</v>
      </c>
      <c r="B55" s="134">
        <v>17.649999999999999</v>
      </c>
      <c r="C55" s="134">
        <v>23.15</v>
      </c>
      <c r="D55" s="134">
        <v>27.6</v>
      </c>
      <c r="E55" s="134">
        <v>9.2899999999999991</v>
      </c>
      <c r="F55" s="134">
        <v>5.0599999999999996</v>
      </c>
      <c r="G55" s="134">
        <v>37.24</v>
      </c>
      <c r="H55" s="134">
        <v>13.39</v>
      </c>
      <c r="I55" s="134">
        <v>4.9400000000000004</v>
      </c>
      <c r="J55" s="134">
        <v>0.28000000000000003</v>
      </c>
      <c r="K55" s="134">
        <v>20.190000000000001</v>
      </c>
      <c r="L55" s="134">
        <v>28.67</v>
      </c>
      <c r="M55" s="134">
        <v>83.7</v>
      </c>
      <c r="N55" s="134">
        <v>204.3</v>
      </c>
      <c r="O55" s="134">
        <v>0</v>
      </c>
      <c r="P55" s="134">
        <v>0.75</v>
      </c>
      <c r="Q55" s="134">
        <v>5.83</v>
      </c>
    </row>
    <row r="56" spans="1:17" customFormat="1">
      <c r="A56" s="112" t="s">
        <v>1534</v>
      </c>
      <c r="B56" s="151" t="s">
        <v>12</v>
      </c>
      <c r="C56" s="151" t="s">
        <v>12</v>
      </c>
      <c r="D56" s="151" t="s">
        <v>12</v>
      </c>
      <c r="E56" s="134">
        <v>12.26</v>
      </c>
      <c r="F56" s="151" t="s">
        <v>12</v>
      </c>
      <c r="G56" s="151" t="s">
        <v>12</v>
      </c>
      <c r="H56" s="151" t="s">
        <v>12</v>
      </c>
      <c r="I56" s="134">
        <v>5.0199999999999996</v>
      </c>
      <c r="J56" s="134">
        <v>0.36</v>
      </c>
      <c r="K56" s="134">
        <v>304.08999999999997</v>
      </c>
      <c r="L56" s="134">
        <v>28.66</v>
      </c>
      <c r="M56" s="134">
        <v>83.51</v>
      </c>
      <c r="N56" s="134">
        <v>222.5</v>
      </c>
      <c r="O56" s="134">
        <v>0</v>
      </c>
      <c r="P56" s="151" t="s">
        <v>12</v>
      </c>
      <c r="Q56" s="134">
        <v>5.8</v>
      </c>
    </row>
    <row r="57" spans="1:17" customFormat="1">
      <c r="A57" s="112" t="s">
        <v>1535</v>
      </c>
      <c r="B57" s="151" t="s">
        <v>12</v>
      </c>
      <c r="C57" s="151" t="s">
        <v>12</v>
      </c>
      <c r="D57" s="151" t="s">
        <v>12</v>
      </c>
      <c r="E57" s="134">
        <v>13.4</v>
      </c>
      <c r="F57" s="151" t="s">
        <v>12</v>
      </c>
      <c r="G57" s="151" t="s">
        <v>12</v>
      </c>
      <c r="H57" s="151" t="s">
        <v>12</v>
      </c>
      <c r="I57" s="134">
        <v>4.82</v>
      </c>
      <c r="J57" s="134">
        <v>0.34</v>
      </c>
      <c r="K57" s="134">
        <v>322.41000000000003</v>
      </c>
      <c r="L57" s="134">
        <v>28.92</v>
      </c>
      <c r="M57" s="134">
        <v>82.14</v>
      </c>
      <c r="N57" s="134">
        <v>242.5</v>
      </c>
      <c r="O57" s="134">
        <v>0</v>
      </c>
      <c r="P57" s="151" t="s">
        <v>12</v>
      </c>
      <c r="Q57" s="134">
        <v>5.61</v>
      </c>
    </row>
    <row r="58" spans="1:17" customFormat="1">
      <c r="A58" s="112" t="s">
        <v>1536</v>
      </c>
      <c r="B58" s="151" t="s">
        <v>12</v>
      </c>
      <c r="C58" s="151" t="s">
        <v>12</v>
      </c>
      <c r="D58" s="151" t="s">
        <v>12</v>
      </c>
      <c r="E58" s="134">
        <v>14.99</v>
      </c>
      <c r="F58" s="134">
        <v>15.75</v>
      </c>
      <c r="G58" s="151" t="s">
        <v>12</v>
      </c>
      <c r="H58" s="151" t="s">
        <v>12</v>
      </c>
      <c r="I58" s="134">
        <v>6.51</v>
      </c>
      <c r="J58" s="134">
        <v>0.31</v>
      </c>
      <c r="K58" s="134">
        <v>322.38</v>
      </c>
      <c r="L58" s="134">
        <v>28.99</v>
      </c>
      <c r="M58" s="134">
        <v>81.3</v>
      </c>
      <c r="N58" s="134">
        <v>213.3</v>
      </c>
      <c r="O58" s="134">
        <v>0</v>
      </c>
      <c r="P58" s="134">
        <v>0.61</v>
      </c>
      <c r="Q58" s="134">
        <v>5.41</v>
      </c>
    </row>
    <row r="59" spans="1:17" customFormat="1">
      <c r="A59" s="112" t="s">
        <v>1537</v>
      </c>
      <c r="B59" s="151" t="s">
        <v>12</v>
      </c>
      <c r="C59" s="151" t="s">
        <v>12</v>
      </c>
      <c r="D59" s="151" t="s">
        <v>12</v>
      </c>
      <c r="E59" s="134">
        <v>14.38</v>
      </c>
      <c r="F59" s="134">
        <v>17.149999999999999</v>
      </c>
      <c r="G59" s="151" t="s">
        <v>12</v>
      </c>
      <c r="H59" s="151" t="s">
        <v>12</v>
      </c>
      <c r="I59" s="134">
        <v>10.77</v>
      </c>
      <c r="J59" s="134">
        <v>0.34</v>
      </c>
      <c r="K59" s="134">
        <v>270.67</v>
      </c>
      <c r="L59" s="134">
        <v>28.92</v>
      </c>
      <c r="M59" s="134">
        <v>84.07</v>
      </c>
      <c r="N59" s="134">
        <v>189.6</v>
      </c>
      <c r="O59" s="134">
        <v>0</v>
      </c>
      <c r="P59" s="134">
        <v>0.67</v>
      </c>
      <c r="Q59" s="134">
        <v>5.22</v>
      </c>
    </row>
    <row r="60" spans="1:17" customFormat="1">
      <c r="A60" s="112" t="s">
        <v>1538</v>
      </c>
      <c r="B60" s="151" t="s">
        <v>12</v>
      </c>
      <c r="C60" s="151" t="s">
        <v>12</v>
      </c>
      <c r="D60" s="151" t="s">
        <v>12</v>
      </c>
      <c r="E60" s="134">
        <v>14.01</v>
      </c>
      <c r="F60" s="134">
        <v>14.06</v>
      </c>
      <c r="G60" s="151" t="s">
        <v>12</v>
      </c>
      <c r="H60" s="151" t="s">
        <v>12</v>
      </c>
      <c r="I60" s="134">
        <v>18.66</v>
      </c>
      <c r="J60" s="134">
        <v>0.23</v>
      </c>
      <c r="K60" s="134">
        <v>337.51</v>
      </c>
      <c r="L60" s="134">
        <v>28.9</v>
      </c>
      <c r="M60" s="134">
        <v>83.83</v>
      </c>
      <c r="N60" s="134">
        <v>121.1</v>
      </c>
      <c r="O60" s="134">
        <v>0</v>
      </c>
      <c r="P60" s="134">
        <v>0.72</v>
      </c>
      <c r="Q60" s="134">
        <v>5.08</v>
      </c>
    </row>
    <row r="61" spans="1:17" customFormat="1">
      <c r="A61" s="112" t="s">
        <v>1539</v>
      </c>
      <c r="B61" s="151" t="s">
        <v>12</v>
      </c>
      <c r="C61" s="151" t="s">
        <v>12</v>
      </c>
      <c r="D61" s="151" t="s">
        <v>12</v>
      </c>
      <c r="E61" s="134">
        <v>13.69</v>
      </c>
      <c r="F61" s="134">
        <v>17.329999999999998</v>
      </c>
      <c r="G61" s="151" t="s">
        <v>12</v>
      </c>
      <c r="H61" s="151" t="s">
        <v>12</v>
      </c>
      <c r="I61" s="134">
        <v>30.11</v>
      </c>
      <c r="J61" s="134">
        <v>0.26</v>
      </c>
      <c r="K61" s="134">
        <v>311.27</v>
      </c>
      <c r="L61" s="134">
        <v>29.03</v>
      </c>
      <c r="M61" s="134">
        <v>83.63</v>
      </c>
      <c r="N61" s="134">
        <v>196.1</v>
      </c>
      <c r="O61" s="134">
        <v>0</v>
      </c>
      <c r="P61" s="134">
        <v>0.72</v>
      </c>
      <c r="Q61" s="134">
        <v>5.04</v>
      </c>
    </row>
    <row r="62" spans="1:17" customFormat="1">
      <c r="A62" s="112" t="s">
        <v>1540</v>
      </c>
      <c r="B62" s="151" t="s">
        <v>12</v>
      </c>
      <c r="C62" s="151" t="s">
        <v>12</v>
      </c>
      <c r="D62" s="151" t="s">
        <v>12</v>
      </c>
      <c r="E62" s="134">
        <v>12.5</v>
      </c>
      <c r="F62" s="134">
        <v>18.5</v>
      </c>
      <c r="G62" s="134">
        <v>46.3</v>
      </c>
      <c r="H62" s="134">
        <v>20.78</v>
      </c>
      <c r="I62" s="134">
        <v>37.51</v>
      </c>
      <c r="J62" s="134">
        <v>0.33</v>
      </c>
      <c r="K62" s="134">
        <v>297.02</v>
      </c>
      <c r="L62" s="134">
        <v>29.24</v>
      </c>
      <c r="M62" s="134">
        <v>82.24</v>
      </c>
      <c r="N62" s="134">
        <v>240.4</v>
      </c>
      <c r="O62" s="134">
        <v>0</v>
      </c>
      <c r="P62" s="134">
        <v>0.67</v>
      </c>
      <c r="Q62" s="134">
        <v>5</v>
      </c>
    </row>
    <row r="63" spans="1:17" customFormat="1">
      <c r="A63" s="112" t="s">
        <v>1541</v>
      </c>
      <c r="B63" s="134">
        <v>7.09</v>
      </c>
      <c r="C63" s="134">
        <v>19.440000000000001</v>
      </c>
      <c r="D63" s="134">
        <v>17.190000000000001</v>
      </c>
      <c r="E63" s="134">
        <v>12.48</v>
      </c>
      <c r="F63" s="134">
        <v>17.09</v>
      </c>
      <c r="G63" s="134">
        <v>46.3</v>
      </c>
      <c r="H63" s="134">
        <v>20.78</v>
      </c>
      <c r="I63" s="134">
        <v>44.49</v>
      </c>
      <c r="J63" s="134">
        <v>0.5</v>
      </c>
      <c r="K63" s="134">
        <v>271.10000000000002</v>
      </c>
      <c r="L63" s="134">
        <v>29.12</v>
      </c>
      <c r="M63" s="134">
        <v>82.39</v>
      </c>
      <c r="N63" s="134">
        <v>142.80000000000001</v>
      </c>
      <c r="O63" s="134">
        <v>0</v>
      </c>
      <c r="P63" s="134">
        <v>0.65</v>
      </c>
      <c r="Q63" s="134">
        <v>4.9800000000000004</v>
      </c>
    </row>
    <row r="64" spans="1:17" customFormat="1">
      <c r="A64" s="112" t="s">
        <v>1542</v>
      </c>
      <c r="B64" s="134">
        <v>5.28</v>
      </c>
      <c r="C64" s="134">
        <v>17.48</v>
      </c>
      <c r="D64" s="134">
        <v>14.72</v>
      </c>
      <c r="E64" s="134">
        <v>9.89</v>
      </c>
      <c r="F64" s="134">
        <v>19.09</v>
      </c>
      <c r="G64" s="134">
        <v>46.3</v>
      </c>
      <c r="H64" s="134">
        <v>20.78</v>
      </c>
      <c r="I64" s="134">
        <v>56.07</v>
      </c>
      <c r="J64" s="134">
        <v>0.49</v>
      </c>
      <c r="K64" s="134">
        <v>266.14999999999998</v>
      </c>
      <c r="L64" s="134">
        <v>28.57</v>
      </c>
      <c r="M64" s="134">
        <v>85.51</v>
      </c>
      <c r="N64" s="134">
        <v>53.5</v>
      </c>
      <c r="O64" s="134">
        <v>0</v>
      </c>
      <c r="P64" s="134">
        <v>0.6</v>
      </c>
      <c r="Q64" s="134">
        <v>4.97</v>
      </c>
    </row>
    <row r="65" spans="1:17" customFormat="1">
      <c r="A65" s="112" t="s">
        <v>1543</v>
      </c>
      <c r="B65" s="134">
        <v>4.29</v>
      </c>
      <c r="C65" s="134">
        <v>14.72</v>
      </c>
      <c r="D65" s="134">
        <v>12.48</v>
      </c>
      <c r="E65" s="134">
        <v>9.19</v>
      </c>
      <c r="F65" s="134">
        <v>19.18</v>
      </c>
      <c r="G65" s="134">
        <v>46.3</v>
      </c>
      <c r="H65" s="134">
        <v>20.78</v>
      </c>
      <c r="I65" s="134">
        <v>53.39</v>
      </c>
      <c r="J65" s="134">
        <v>0.17</v>
      </c>
      <c r="K65" s="134">
        <v>211.09</v>
      </c>
      <c r="L65" s="134">
        <v>28.19</v>
      </c>
      <c r="M65" s="134">
        <v>89.04</v>
      </c>
      <c r="N65" s="134">
        <v>8.4</v>
      </c>
      <c r="O65" s="134">
        <v>0</v>
      </c>
      <c r="P65" s="134">
        <v>0.5</v>
      </c>
      <c r="Q65" s="134">
        <v>4.93</v>
      </c>
    </row>
    <row r="66" spans="1:17" customFormat="1">
      <c r="A66" s="112" t="s">
        <v>1544</v>
      </c>
      <c r="B66" s="134">
        <v>3.84</v>
      </c>
      <c r="C66" s="134">
        <v>12.76</v>
      </c>
      <c r="D66" s="134">
        <v>11.1</v>
      </c>
      <c r="E66" s="134">
        <v>7.95</v>
      </c>
      <c r="F66" s="134">
        <v>17.47</v>
      </c>
      <c r="G66" s="134">
        <v>38.159999999999997</v>
      </c>
      <c r="H66" s="134">
        <v>16.649999999999999</v>
      </c>
      <c r="I66" s="134">
        <v>43.35</v>
      </c>
      <c r="J66" s="134">
        <v>0.21</v>
      </c>
      <c r="K66" s="134">
        <v>164.09</v>
      </c>
      <c r="L66" s="134">
        <v>27.84</v>
      </c>
      <c r="M66" s="134">
        <v>92.09</v>
      </c>
      <c r="N66" s="134">
        <v>0.8</v>
      </c>
      <c r="O66" s="134">
        <v>1.2</v>
      </c>
      <c r="P66" s="134">
        <v>0.51</v>
      </c>
      <c r="Q66" s="134">
        <v>4.9000000000000004</v>
      </c>
    </row>
    <row r="67" spans="1:17" customFormat="1">
      <c r="A67" s="112" t="s">
        <v>1545</v>
      </c>
      <c r="B67" s="134">
        <v>3.89</v>
      </c>
      <c r="C67" s="134">
        <v>14.48</v>
      </c>
      <c r="D67" s="134">
        <v>12.03</v>
      </c>
      <c r="E67" s="134">
        <v>6.56</v>
      </c>
      <c r="F67" s="134">
        <v>8.5500000000000007</v>
      </c>
      <c r="G67" s="134">
        <v>36.79</v>
      </c>
      <c r="H67" s="134">
        <v>16.649999999999999</v>
      </c>
      <c r="I67" s="134">
        <v>33.43</v>
      </c>
      <c r="J67" s="134">
        <v>0.18</v>
      </c>
      <c r="K67" s="134">
        <v>92.47</v>
      </c>
      <c r="L67" s="134">
        <v>26.85</v>
      </c>
      <c r="M67" s="134">
        <v>98.75</v>
      </c>
      <c r="N67" s="134">
        <v>0</v>
      </c>
      <c r="O67" s="134">
        <v>10.8</v>
      </c>
      <c r="P67" s="134">
        <v>0.52</v>
      </c>
      <c r="Q67" s="134">
        <v>4.88</v>
      </c>
    </row>
    <row r="68" spans="1:17" customFormat="1">
      <c r="A68" s="112" t="s">
        <v>1546</v>
      </c>
      <c r="B68" s="134">
        <v>3.84</v>
      </c>
      <c r="C68" s="134">
        <v>14.54</v>
      </c>
      <c r="D68" s="134">
        <v>12.03</v>
      </c>
      <c r="E68" s="134">
        <v>6.1</v>
      </c>
      <c r="F68" s="134">
        <v>10.9</v>
      </c>
      <c r="G68" s="134">
        <v>36.79</v>
      </c>
      <c r="H68" s="134">
        <v>16.649999999999999</v>
      </c>
      <c r="I68" s="134">
        <v>28.32</v>
      </c>
      <c r="J68" s="134">
        <v>0.1</v>
      </c>
      <c r="K68" s="134">
        <v>198.72</v>
      </c>
      <c r="L68" s="134">
        <v>25.99</v>
      </c>
      <c r="M68" s="134">
        <v>99.9</v>
      </c>
      <c r="N68" s="134">
        <v>0</v>
      </c>
      <c r="O68" s="134">
        <v>13.2</v>
      </c>
      <c r="P68" s="134">
        <v>0.5</v>
      </c>
      <c r="Q68" s="134">
        <v>4.87</v>
      </c>
    </row>
    <row r="69" spans="1:17" customFormat="1">
      <c r="A69" s="112" t="s">
        <v>1547</v>
      </c>
      <c r="B69" s="134">
        <v>3.89</v>
      </c>
      <c r="C69" s="134">
        <v>12.38</v>
      </c>
      <c r="D69" s="134">
        <v>10.94</v>
      </c>
      <c r="E69" s="134">
        <v>6.67</v>
      </c>
      <c r="F69" s="134">
        <v>16.579999999999998</v>
      </c>
      <c r="G69" s="134">
        <v>36.79</v>
      </c>
      <c r="H69" s="134">
        <v>16.649999999999999</v>
      </c>
      <c r="I69" s="134">
        <v>33.42</v>
      </c>
      <c r="J69" s="134">
        <v>0.08</v>
      </c>
      <c r="K69" s="134">
        <v>269.87</v>
      </c>
      <c r="L69" s="134">
        <v>25.97</v>
      </c>
      <c r="M69" s="134">
        <v>101.26</v>
      </c>
      <c r="N69" s="134">
        <v>1.2</v>
      </c>
      <c r="O69" s="134">
        <v>0.2</v>
      </c>
      <c r="P69" s="134">
        <v>0.47</v>
      </c>
      <c r="Q69" s="134">
        <v>4.9000000000000004</v>
      </c>
    </row>
    <row r="70" spans="1:17" customFormat="1">
      <c r="A70" s="112" t="s">
        <v>1548</v>
      </c>
      <c r="B70" s="134">
        <v>4.04</v>
      </c>
      <c r="C70" s="134">
        <v>11.62</v>
      </c>
      <c r="D70" s="134">
        <v>10.66</v>
      </c>
      <c r="E70" s="134">
        <v>6.3</v>
      </c>
      <c r="F70" s="134">
        <v>14.14</v>
      </c>
      <c r="G70" s="134">
        <v>31.2</v>
      </c>
      <c r="H70" s="134">
        <v>11.79</v>
      </c>
      <c r="I70" s="134">
        <v>25.07</v>
      </c>
      <c r="J70" s="134">
        <v>0.16</v>
      </c>
      <c r="K70" s="134">
        <v>266.08999999999997</v>
      </c>
      <c r="L70" s="134">
        <v>25.68</v>
      </c>
      <c r="M70" s="134">
        <v>101.1</v>
      </c>
      <c r="N70" s="134">
        <v>1</v>
      </c>
      <c r="O70" s="134">
        <v>0</v>
      </c>
      <c r="P70" s="134">
        <v>0.44</v>
      </c>
      <c r="Q70" s="134">
        <v>4.91</v>
      </c>
    </row>
    <row r="71" spans="1:17" customFormat="1">
      <c r="A71" s="112" t="s">
        <v>1549</v>
      </c>
      <c r="B71" s="134">
        <v>4.17</v>
      </c>
      <c r="C71" s="134">
        <v>13.02</v>
      </c>
      <c r="D71" s="134">
        <v>11.5</v>
      </c>
      <c r="E71" s="134">
        <v>5.43</v>
      </c>
      <c r="F71" s="134">
        <v>8</v>
      </c>
      <c r="G71" s="134">
        <v>30.26</v>
      </c>
      <c r="H71" s="134">
        <v>11.79</v>
      </c>
      <c r="I71" s="134">
        <v>16.23</v>
      </c>
      <c r="J71" s="134">
        <v>0.23</v>
      </c>
      <c r="K71" s="134">
        <v>251.92</v>
      </c>
      <c r="L71" s="134">
        <v>25.23</v>
      </c>
      <c r="M71" s="134">
        <v>101.11</v>
      </c>
      <c r="N71" s="134">
        <v>0.5</v>
      </c>
      <c r="O71" s="134">
        <v>0</v>
      </c>
      <c r="P71" s="134">
        <v>0.43</v>
      </c>
      <c r="Q71" s="134">
        <v>4.88</v>
      </c>
    </row>
    <row r="72" spans="1:17" customFormat="1">
      <c r="A72" s="112" t="s">
        <v>1550</v>
      </c>
      <c r="B72" s="134">
        <v>4.6399999999999997</v>
      </c>
      <c r="C72" s="134">
        <v>13.92</v>
      </c>
      <c r="D72" s="134">
        <v>12.35</v>
      </c>
      <c r="E72" s="134">
        <v>5.1100000000000003</v>
      </c>
      <c r="F72" s="134">
        <v>6.07</v>
      </c>
      <c r="G72" s="134">
        <v>30.26</v>
      </c>
      <c r="H72" s="134">
        <v>11.79</v>
      </c>
      <c r="I72" s="134">
        <v>14</v>
      </c>
      <c r="J72" s="134">
        <v>0.15</v>
      </c>
      <c r="K72" s="134">
        <v>251.84</v>
      </c>
      <c r="L72" s="134">
        <v>25.19</v>
      </c>
      <c r="M72" s="134">
        <v>99.88</v>
      </c>
      <c r="N72" s="134">
        <v>3.1</v>
      </c>
      <c r="O72" s="134">
        <v>0.2</v>
      </c>
      <c r="P72" s="134">
        <v>0.43</v>
      </c>
      <c r="Q72" s="134">
        <v>4.8600000000000003</v>
      </c>
    </row>
    <row r="73" spans="1:17" customFormat="1">
      <c r="A73" s="112" t="s">
        <v>1551</v>
      </c>
      <c r="B73" s="134">
        <v>5.19</v>
      </c>
      <c r="C73" s="134">
        <v>14.87</v>
      </c>
      <c r="D73" s="134">
        <v>13.28</v>
      </c>
      <c r="E73" s="134">
        <v>5.54</v>
      </c>
      <c r="F73" s="134">
        <v>5.14</v>
      </c>
      <c r="G73" s="134">
        <v>30.26</v>
      </c>
      <c r="H73" s="134">
        <v>11.79</v>
      </c>
      <c r="I73" s="134">
        <v>15.06</v>
      </c>
      <c r="J73" s="134">
        <v>0.19</v>
      </c>
      <c r="K73" s="134">
        <v>247.12</v>
      </c>
      <c r="L73" s="134">
        <v>25.35</v>
      </c>
      <c r="M73" s="134">
        <v>99.94</v>
      </c>
      <c r="N73" s="134">
        <v>23.6</v>
      </c>
      <c r="O73" s="134">
        <v>0.2</v>
      </c>
      <c r="P73" s="134">
        <v>0.45</v>
      </c>
      <c r="Q73" s="134">
        <v>4.93</v>
      </c>
    </row>
    <row r="74" spans="1:17" customFormat="1">
      <c r="A74" s="112" t="s">
        <v>1552</v>
      </c>
      <c r="B74" s="134">
        <v>5.54</v>
      </c>
      <c r="C74" s="134">
        <v>14.11</v>
      </c>
      <c r="D74" s="134">
        <v>13.17</v>
      </c>
      <c r="E74" s="134">
        <v>5.92</v>
      </c>
      <c r="F74" s="134">
        <v>6.72</v>
      </c>
      <c r="G74" s="134">
        <v>22.42</v>
      </c>
      <c r="H74" s="134">
        <v>13.23</v>
      </c>
      <c r="I74" s="134">
        <v>15.13</v>
      </c>
      <c r="J74" s="134">
        <v>0.16</v>
      </c>
      <c r="K74" s="134">
        <v>183.73</v>
      </c>
      <c r="L74" s="134">
        <v>25.5</v>
      </c>
      <c r="M74" s="134">
        <v>100.73</v>
      </c>
      <c r="N74" s="134">
        <v>36.4</v>
      </c>
      <c r="O74" s="134">
        <v>0</v>
      </c>
      <c r="P74" s="134">
        <v>0.44</v>
      </c>
      <c r="Q74" s="134">
        <v>4.95</v>
      </c>
    </row>
    <row r="75" spans="1:17" customFormat="1">
      <c r="A75" s="112" t="s">
        <v>1553</v>
      </c>
      <c r="B75" s="134">
        <v>5.89</v>
      </c>
      <c r="C75" s="134">
        <v>14.28</v>
      </c>
      <c r="D75" s="134">
        <v>13.53</v>
      </c>
      <c r="E75" s="134">
        <v>5.51</v>
      </c>
      <c r="F75" s="134">
        <v>5.86</v>
      </c>
      <c r="G75" s="134">
        <v>21.1</v>
      </c>
      <c r="H75" s="134">
        <v>13.23</v>
      </c>
      <c r="I75" s="134">
        <v>14.83</v>
      </c>
      <c r="J75" s="134">
        <v>0.25</v>
      </c>
      <c r="K75" s="134">
        <v>257.75</v>
      </c>
      <c r="L75" s="134">
        <v>25.37</v>
      </c>
      <c r="M75" s="134">
        <v>100.89</v>
      </c>
      <c r="N75" s="134">
        <v>38.1</v>
      </c>
      <c r="O75" s="134">
        <v>0</v>
      </c>
      <c r="P75" s="134">
        <v>0.43</v>
      </c>
      <c r="Q75" s="134">
        <v>4.91</v>
      </c>
    </row>
    <row r="76" spans="1:17" customFormat="1">
      <c r="A76" s="112" t="s">
        <v>1554</v>
      </c>
      <c r="B76" s="134">
        <v>6.38</v>
      </c>
      <c r="C76" s="134">
        <v>16.13</v>
      </c>
      <c r="D76" s="134">
        <v>14.89</v>
      </c>
      <c r="E76" s="134">
        <v>6.25</v>
      </c>
      <c r="F76" s="134">
        <v>4.43</v>
      </c>
      <c r="G76" s="134">
        <v>21.1</v>
      </c>
      <c r="H76" s="134">
        <v>13.23</v>
      </c>
      <c r="I76" s="134">
        <v>14.3</v>
      </c>
      <c r="J76" s="134">
        <v>0.22</v>
      </c>
      <c r="K76" s="134">
        <v>246.71</v>
      </c>
      <c r="L76" s="134">
        <v>25.22</v>
      </c>
      <c r="M76" s="134">
        <v>100.67</v>
      </c>
      <c r="N76" s="134">
        <v>26.9</v>
      </c>
      <c r="O76" s="134">
        <v>0</v>
      </c>
      <c r="P76" s="134">
        <v>0.45</v>
      </c>
      <c r="Q76" s="134">
        <v>4.95</v>
      </c>
    </row>
    <row r="77" spans="1:17" customFormat="1">
      <c r="A77" s="112" t="s">
        <v>1555</v>
      </c>
      <c r="B77" s="134">
        <v>6.96</v>
      </c>
      <c r="C77" s="134">
        <v>15.61</v>
      </c>
      <c r="D77" s="134">
        <v>15.09</v>
      </c>
      <c r="E77" s="134">
        <v>6.25</v>
      </c>
      <c r="F77" s="134">
        <v>4.8899999999999997</v>
      </c>
      <c r="G77" s="134">
        <v>21.1</v>
      </c>
      <c r="H77" s="134">
        <v>13.23</v>
      </c>
      <c r="I77" s="134">
        <v>14.56</v>
      </c>
      <c r="J77" s="134">
        <v>0.33</v>
      </c>
      <c r="K77" s="134">
        <v>249.16</v>
      </c>
      <c r="L77" s="134">
        <v>25.29</v>
      </c>
      <c r="M77" s="134">
        <v>100.27</v>
      </c>
      <c r="N77" s="134">
        <v>13.5</v>
      </c>
      <c r="O77" s="134">
        <v>0.2</v>
      </c>
      <c r="P77" s="134">
        <v>0.45</v>
      </c>
      <c r="Q77" s="134">
        <v>5.03</v>
      </c>
    </row>
    <row r="78" spans="1:17" customFormat="1">
      <c r="A78" s="112" t="s">
        <v>1556</v>
      </c>
      <c r="B78" s="134">
        <v>7.08</v>
      </c>
      <c r="C78" s="134">
        <v>15.15</v>
      </c>
      <c r="D78" s="134">
        <v>14.94</v>
      </c>
      <c r="E78" s="134">
        <v>6.33</v>
      </c>
      <c r="F78" s="134">
        <v>5.82</v>
      </c>
      <c r="G78" s="134">
        <v>19.579999999999998</v>
      </c>
      <c r="H78" s="134">
        <v>9.5299999999999994</v>
      </c>
      <c r="I78" s="134">
        <v>14.54</v>
      </c>
      <c r="J78" s="134">
        <v>0.74</v>
      </c>
      <c r="K78" s="134">
        <v>265.08</v>
      </c>
      <c r="L78" s="134">
        <v>25.2</v>
      </c>
      <c r="M78" s="134">
        <v>100.19</v>
      </c>
      <c r="N78" s="134">
        <v>0.2</v>
      </c>
      <c r="O78" s="134">
        <v>0</v>
      </c>
      <c r="P78" s="134">
        <v>0.44</v>
      </c>
      <c r="Q78" s="134">
        <v>5</v>
      </c>
    </row>
    <row r="79" spans="1:17" customFormat="1">
      <c r="A79" s="112" t="s">
        <v>1557</v>
      </c>
      <c r="B79" s="134">
        <v>7.41</v>
      </c>
      <c r="C79" s="134">
        <v>16.510000000000002</v>
      </c>
      <c r="D79" s="134">
        <v>15.92</v>
      </c>
      <c r="E79" s="134">
        <v>6.26</v>
      </c>
      <c r="F79" s="134">
        <v>4.5</v>
      </c>
      <c r="G79" s="134">
        <v>19.32</v>
      </c>
      <c r="H79" s="134">
        <v>9.5299999999999994</v>
      </c>
      <c r="I79" s="134">
        <v>14.19</v>
      </c>
      <c r="J79" s="134">
        <v>0.72</v>
      </c>
      <c r="K79" s="134">
        <v>264.2</v>
      </c>
      <c r="L79" s="134">
        <v>25.06</v>
      </c>
      <c r="M79" s="134">
        <v>100.1</v>
      </c>
      <c r="N79" s="134">
        <v>0</v>
      </c>
      <c r="O79" s="134">
        <v>0</v>
      </c>
      <c r="P79" s="134">
        <v>0.45</v>
      </c>
      <c r="Q79" s="134">
        <v>5</v>
      </c>
    </row>
    <row r="80" spans="1:17" customFormat="1">
      <c r="A80" s="112" t="s">
        <v>1558</v>
      </c>
      <c r="B80" s="134">
        <v>7.6</v>
      </c>
      <c r="C80" s="134">
        <v>16.07</v>
      </c>
      <c r="D80" s="134">
        <v>15.84</v>
      </c>
      <c r="E80" s="134">
        <v>6.33</v>
      </c>
      <c r="F80" s="134">
        <v>5.18</v>
      </c>
      <c r="G80" s="134">
        <v>19.32</v>
      </c>
      <c r="H80" s="134">
        <v>9.5299999999999994</v>
      </c>
      <c r="I80" s="134">
        <v>13.03</v>
      </c>
      <c r="J80" s="134">
        <v>0.74</v>
      </c>
      <c r="K80" s="134">
        <v>266.99</v>
      </c>
      <c r="L80" s="134">
        <v>24.98</v>
      </c>
      <c r="M80" s="134">
        <v>100.09</v>
      </c>
      <c r="N80" s="134">
        <v>0</v>
      </c>
      <c r="O80" s="134">
        <v>0</v>
      </c>
      <c r="P80" s="134">
        <v>0.44</v>
      </c>
      <c r="Q80" s="134">
        <v>5.04</v>
      </c>
    </row>
    <row r="81" spans="1:17" customFormat="1">
      <c r="A81" s="112" t="s">
        <v>1559</v>
      </c>
      <c r="B81" s="134">
        <v>7.81</v>
      </c>
      <c r="C81" s="134">
        <v>15.38</v>
      </c>
      <c r="D81" s="134">
        <v>15.65</v>
      </c>
      <c r="E81" s="134">
        <v>5.7</v>
      </c>
      <c r="F81" s="134">
        <v>5.42</v>
      </c>
      <c r="G81" s="134">
        <v>19.32</v>
      </c>
      <c r="H81" s="134">
        <v>9.5299999999999994</v>
      </c>
      <c r="I81" s="134">
        <v>12.92</v>
      </c>
      <c r="J81" s="134">
        <v>0.76</v>
      </c>
      <c r="K81" s="134">
        <v>268.95</v>
      </c>
      <c r="L81" s="134">
        <v>24.83</v>
      </c>
      <c r="M81" s="134">
        <v>100.1</v>
      </c>
      <c r="N81" s="134">
        <v>0</v>
      </c>
      <c r="O81" s="134">
        <v>4</v>
      </c>
      <c r="P81" s="134">
        <v>0.43</v>
      </c>
      <c r="Q81" s="134">
        <v>4.99</v>
      </c>
    </row>
    <row r="82" spans="1:17" customFormat="1">
      <c r="A82" s="112" t="s">
        <v>1560</v>
      </c>
      <c r="B82" s="134">
        <v>8.06</v>
      </c>
      <c r="C82" s="134">
        <v>17.27</v>
      </c>
      <c r="D82" s="134">
        <v>16.829999999999998</v>
      </c>
      <c r="E82" s="134">
        <v>6.3</v>
      </c>
      <c r="F82" s="134">
        <v>4.26</v>
      </c>
      <c r="G82" s="134">
        <v>14.47</v>
      </c>
      <c r="H82" s="134">
        <v>6.84</v>
      </c>
      <c r="I82" s="134">
        <v>12.46</v>
      </c>
      <c r="J82" s="134">
        <v>0.88</v>
      </c>
      <c r="K82" s="134">
        <v>264.51</v>
      </c>
      <c r="L82" s="134">
        <v>24.71</v>
      </c>
      <c r="M82" s="134">
        <v>100.14</v>
      </c>
      <c r="N82" s="134">
        <v>0</v>
      </c>
      <c r="O82" s="134">
        <v>0.2</v>
      </c>
      <c r="P82" s="134">
        <v>0.46</v>
      </c>
      <c r="Q82" s="134">
        <v>4.99</v>
      </c>
    </row>
    <row r="83" spans="1:17" customFormat="1">
      <c r="A83" s="112" t="s">
        <v>1561</v>
      </c>
      <c r="B83" s="134">
        <v>8.36</v>
      </c>
      <c r="C83" s="134">
        <v>17.28</v>
      </c>
      <c r="D83" s="134">
        <v>17.079999999999998</v>
      </c>
      <c r="E83" s="134">
        <v>6.7</v>
      </c>
      <c r="F83" s="134">
        <v>4.6500000000000004</v>
      </c>
      <c r="G83" s="134">
        <v>13.66</v>
      </c>
      <c r="H83" s="134">
        <v>6.84</v>
      </c>
      <c r="I83" s="134">
        <v>12.25</v>
      </c>
      <c r="J83" s="134">
        <v>0.69</v>
      </c>
      <c r="K83" s="134">
        <v>269.37</v>
      </c>
      <c r="L83" s="134">
        <v>24.7</v>
      </c>
      <c r="M83" s="134">
        <v>100.22</v>
      </c>
      <c r="N83" s="134">
        <v>0</v>
      </c>
      <c r="O83" s="134">
        <v>0.2</v>
      </c>
      <c r="P83" s="134">
        <v>0.45</v>
      </c>
      <c r="Q83" s="134">
        <v>5.03</v>
      </c>
    </row>
    <row r="84" spans="1:17" customFormat="1">
      <c r="A84" s="112" t="s">
        <v>1562</v>
      </c>
      <c r="B84" s="134">
        <v>8.56</v>
      </c>
      <c r="C84" s="134">
        <v>15.92</v>
      </c>
      <c r="D84" s="134">
        <v>16.54</v>
      </c>
      <c r="E84" s="134">
        <v>6.96</v>
      </c>
      <c r="F84" s="134">
        <v>5.43</v>
      </c>
      <c r="G84" s="134">
        <v>13.66</v>
      </c>
      <c r="H84" s="134">
        <v>6.84</v>
      </c>
      <c r="I84" s="134">
        <v>12.14</v>
      </c>
      <c r="J84" s="134">
        <v>0.6</v>
      </c>
      <c r="K84" s="134">
        <v>261.76</v>
      </c>
      <c r="L84" s="134">
        <v>24.7</v>
      </c>
      <c r="M84" s="134">
        <v>100.32</v>
      </c>
      <c r="N84" s="134">
        <v>0</v>
      </c>
      <c r="O84" s="134">
        <v>0.2</v>
      </c>
      <c r="P84" s="134">
        <v>0.43</v>
      </c>
      <c r="Q84" s="134">
        <v>4.99</v>
      </c>
    </row>
    <row r="85" spans="1:17" customFormat="1">
      <c r="A85" s="112" t="s">
        <v>1563</v>
      </c>
      <c r="B85" s="134">
        <v>8.6</v>
      </c>
      <c r="C85" s="134">
        <v>17.239999999999998</v>
      </c>
      <c r="D85" s="134">
        <v>17.260000000000002</v>
      </c>
      <c r="E85" s="134">
        <v>6.67</v>
      </c>
      <c r="F85" s="134">
        <v>4.54</v>
      </c>
      <c r="G85" s="134">
        <v>13.66</v>
      </c>
      <c r="H85" s="134">
        <v>6.84</v>
      </c>
      <c r="I85" s="134">
        <v>11.74</v>
      </c>
      <c r="J85" s="134">
        <v>0.65</v>
      </c>
      <c r="K85" s="134">
        <v>263.33999999999997</v>
      </c>
      <c r="L85" s="134">
        <v>24.65</v>
      </c>
      <c r="M85" s="134">
        <v>100.52</v>
      </c>
      <c r="N85" s="134">
        <v>0</v>
      </c>
      <c r="O85" s="134">
        <v>0</v>
      </c>
      <c r="P85" s="134">
        <v>0.45</v>
      </c>
      <c r="Q85" s="134">
        <v>4.95</v>
      </c>
    </row>
    <row r="86" spans="1:17" customFormat="1">
      <c r="A86" s="112" t="s">
        <v>1564</v>
      </c>
      <c r="B86" s="134">
        <v>8.89</v>
      </c>
      <c r="C86" s="134">
        <v>17.100000000000001</v>
      </c>
      <c r="D86" s="134">
        <v>17.41</v>
      </c>
      <c r="E86" s="134">
        <v>6.89</v>
      </c>
      <c r="F86" s="134">
        <v>4.7300000000000004</v>
      </c>
      <c r="G86" s="134">
        <v>10.44</v>
      </c>
      <c r="H86" s="134">
        <v>5.05</v>
      </c>
      <c r="I86" s="134">
        <v>11.45</v>
      </c>
      <c r="J86" s="134">
        <v>0.55000000000000004</v>
      </c>
      <c r="K86" s="134">
        <v>262.04000000000002</v>
      </c>
      <c r="L86" s="134">
        <v>24.72</v>
      </c>
      <c r="M86" s="134">
        <v>100.11</v>
      </c>
      <c r="N86" s="134">
        <v>0</v>
      </c>
      <c r="O86" s="134">
        <v>0</v>
      </c>
      <c r="P86" s="134">
        <v>0.44</v>
      </c>
      <c r="Q86" s="134">
        <v>4.97</v>
      </c>
    </row>
    <row r="87" spans="1:17" customFormat="1">
      <c r="A87" s="112" t="s">
        <v>1565</v>
      </c>
      <c r="B87" s="134">
        <v>8.86</v>
      </c>
      <c r="C87" s="134">
        <v>15.96</v>
      </c>
      <c r="D87" s="134">
        <v>16.8</v>
      </c>
      <c r="E87" s="134">
        <v>6.77</v>
      </c>
      <c r="F87" s="134">
        <v>5.55</v>
      </c>
      <c r="G87" s="134">
        <v>9.89</v>
      </c>
      <c r="H87" s="134">
        <v>5.05</v>
      </c>
      <c r="I87" s="134">
        <v>11.34</v>
      </c>
      <c r="J87" s="134">
        <v>0.39</v>
      </c>
      <c r="K87" s="134">
        <v>255.65</v>
      </c>
      <c r="L87" s="134">
        <v>24.79</v>
      </c>
      <c r="M87" s="134">
        <v>99.86</v>
      </c>
      <c r="N87" s="134">
        <v>0</v>
      </c>
      <c r="O87" s="134">
        <v>0</v>
      </c>
      <c r="P87" s="134">
        <v>0.43</v>
      </c>
      <c r="Q87" s="134">
        <v>4.95</v>
      </c>
    </row>
    <row r="88" spans="1:17" customFormat="1">
      <c r="A88" s="112" t="s">
        <v>1566</v>
      </c>
      <c r="B88" s="134">
        <v>9.11</v>
      </c>
      <c r="C88" s="134">
        <v>17.09</v>
      </c>
      <c r="D88" s="134">
        <v>17.59</v>
      </c>
      <c r="E88" s="134">
        <v>6.65</v>
      </c>
      <c r="F88" s="134">
        <v>4.4400000000000004</v>
      </c>
      <c r="G88" s="134">
        <v>9.89</v>
      </c>
      <c r="H88" s="134">
        <v>5.05</v>
      </c>
      <c r="I88" s="134">
        <v>11.68</v>
      </c>
      <c r="J88" s="134">
        <v>0.28000000000000003</v>
      </c>
      <c r="K88" s="134">
        <v>255.73</v>
      </c>
      <c r="L88" s="134">
        <v>24.83</v>
      </c>
      <c r="M88" s="134">
        <v>99.78</v>
      </c>
      <c r="N88" s="134">
        <v>0</v>
      </c>
      <c r="O88" s="134">
        <v>0.4</v>
      </c>
      <c r="P88" s="134">
        <v>0.44</v>
      </c>
      <c r="Q88" s="134">
        <v>4.9000000000000004</v>
      </c>
    </row>
    <row r="89" spans="1:17" customFormat="1">
      <c r="A89" s="112" t="s">
        <v>1567</v>
      </c>
      <c r="B89" s="134">
        <v>9.4700000000000006</v>
      </c>
      <c r="C89" s="134">
        <v>17</v>
      </c>
      <c r="D89" s="134">
        <v>17.829999999999998</v>
      </c>
      <c r="E89" s="134">
        <v>7.24</v>
      </c>
      <c r="F89" s="134">
        <v>4.67</v>
      </c>
      <c r="G89" s="134">
        <v>9.89</v>
      </c>
      <c r="H89" s="134">
        <v>5.05</v>
      </c>
      <c r="I89" s="134">
        <v>11.3</v>
      </c>
      <c r="J89" s="134">
        <v>0.52</v>
      </c>
      <c r="K89" s="134">
        <v>265.17</v>
      </c>
      <c r="L89" s="134">
        <v>24.92</v>
      </c>
      <c r="M89" s="134">
        <v>99.75</v>
      </c>
      <c r="N89" s="134">
        <v>0</v>
      </c>
      <c r="O89" s="134">
        <v>0.2</v>
      </c>
      <c r="P89" s="134">
        <v>0.44</v>
      </c>
      <c r="Q89" s="134">
        <v>4.91</v>
      </c>
    </row>
    <row r="90" spans="1:17" customFormat="1">
      <c r="A90" s="112" t="s">
        <v>1568</v>
      </c>
      <c r="B90" s="134">
        <v>9.5299999999999994</v>
      </c>
      <c r="C90" s="134">
        <v>15.72</v>
      </c>
      <c r="D90" s="134">
        <v>17.21</v>
      </c>
      <c r="E90" s="134">
        <v>6.75</v>
      </c>
      <c r="F90" s="134">
        <v>5.98</v>
      </c>
      <c r="G90" s="134">
        <v>7.64</v>
      </c>
      <c r="H90" s="134">
        <v>4.09</v>
      </c>
      <c r="I90" s="134">
        <v>11.37</v>
      </c>
      <c r="J90" s="134">
        <v>0.5</v>
      </c>
      <c r="K90" s="134">
        <v>262.45</v>
      </c>
      <c r="L90" s="134">
        <v>24.98</v>
      </c>
      <c r="M90" s="134">
        <v>99.73</v>
      </c>
      <c r="N90" s="134">
        <v>0</v>
      </c>
      <c r="O90" s="134">
        <v>0.6</v>
      </c>
      <c r="P90" s="134">
        <v>0.43</v>
      </c>
      <c r="Q90" s="134">
        <v>4.91</v>
      </c>
    </row>
    <row r="91" spans="1:17" customFormat="1">
      <c r="A91" s="112" t="s">
        <v>1569</v>
      </c>
      <c r="B91" s="134">
        <v>9.75</v>
      </c>
      <c r="C91" s="134">
        <v>17.489999999999998</v>
      </c>
      <c r="D91" s="134">
        <v>18.309999999999999</v>
      </c>
      <c r="E91" s="134">
        <v>6.87</v>
      </c>
      <c r="F91" s="134">
        <v>4.26</v>
      </c>
      <c r="G91" s="134">
        <v>7.26</v>
      </c>
      <c r="H91" s="134">
        <v>4.09</v>
      </c>
      <c r="I91" s="134">
        <v>11.01</v>
      </c>
      <c r="J91" s="134">
        <v>0.16</v>
      </c>
      <c r="K91" s="134">
        <v>336.3</v>
      </c>
      <c r="L91" s="134">
        <v>25.04</v>
      </c>
      <c r="M91" s="134">
        <v>99.72</v>
      </c>
      <c r="N91" s="134">
        <v>0</v>
      </c>
      <c r="O91" s="134">
        <v>0.2</v>
      </c>
      <c r="P91" s="134">
        <v>0.45</v>
      </c>
      <c r="Q91" s="134">
        <v>4.87</v>
      </c>
    </row>
    <row r="92" spans="1:17" customFormat="1">
      <c r="A92" s="112" t="s">
        <v>1570</v>
      </c>
      <c r="B92" s="134">
        <v>10.07</v>
      </c>
      <c r="C92" s="134">
        <v>18.190000000000001</v>
      </c>
      <c r="D92" s="134">
        <v>18.920000000000002</v>
      </c>
      <c r="E92" s="134">
        <v>7.27</v>
      </c>
      <c r="F92" s="134">
        <v>4.3899999999999997</v>
      </c>
      <c r="G92" s="134">
        <v>7.26</v>
      </c>
      <c r="H92" s="134">
        <v>4.09</v>
      </c>
      <c r="I92" s="134">
        <v>10.64</v>
      </c>
      <c r="J92" s="134">
        <v>0.36</v>
      </c>
      <c r="K92" s="134">
        <v>310.55</v>
      </c>
      <c r="L92" s="134">
        <v>24.92</v>
      </c>
      <c r="M92" s="134">
        <v>99.69</v>
      </c>
      <c r="N92" s="134">
        <v>0</v>
      </c>
      <c r="O92" s="134">
        <v>10.199999999999999</v>
      </c>
      <c r="P92" s="134">
        <v>0.46</v>
      </c>
      <c r="Q92" s="134">
        <v>4.92</v>
      </c>
    </row>
    <row r="93" spans="1:17" customFormat="1">
      <c r="A93" s="112" t="s">
        <v>1571</v>
      </c>
      <c r="B93" s="134">
        <v>10.34</v>
      </c>
      <c r="C93" s="134">
        <v>17.11</v>
      </c>
      <c r="D93" s="134">
        <v>18.59</v>
      </c>
      <c r="E93" s="134">
        <v>6.94</v>
      </c>
      <c r="F93" s="134">
        <v>5.53</v>
      </c>
      <c r="G93" s="134">
        <v>7.26</v>
      </c>
      <c r="H93" s="134">
        <v>4.09</v>
      </c>
      <c r="I93" s="134">
        <v>10.67</v>
      </c>
      <c r="J93" s="134">
        <v>0.75</v>
      </c>
      <c r="K93" s="134">
        <v>295.19</v>
      </c>
      <c r="L93" s="134">
        <v>24.54</v>
      </c>
      <c r="M93" s="134">
        <v>99.63</v>
      </c>
      <c r="N93" s="134">
        <v>0</v>
      </c>
      <c r="O93" s="134">
        <v>4.4000000000000004</v>
      </c>
      <c r="P93" s="134">
        <v>0.46</v>
      </c>
      <c r="Q93" s="134">
        <v>4.91</v>
      </c>
    </row>
    <row r="94" spans="1:17" customFormat="1">
      <c r="A94" s="112" t="s">
        <v>1572</v>
      </c>
      <c r="B94" s="134">
        <v>10.54</v>
      </c>
      <c r="C94" s="134">
        <v>17.89</v>
      </c>
      <c r="D94" s="134">
        <v>19.149999999999999</v>
      </c>
      <c r="E94" s="134">
        <v>7.54</v>
      </c>
      <c r="F94" s="134">
        <v>4.8</v>
      </c>
      <c r="G94" s="134">
        <v>8.15</v>
      </c>
      <c r="H94" s="134">
        <v>5.12</v>
      </c>
      <c r="I94" s="134">
        <v>10.52</v>
      </c>
      <c r="J94" s="134">
        <v>1</v>
      </c>
      <c r="K94" s="134">
        <v>290.58</v>
      </c>
      <c r="L94" s="134">
        <v>24.5</v>
      </c>
      <c r="M94" s="134">
        <v>99.63</v>
      </c>
      <c r="N94" s="134">
        <v>0</v>
      </c>
      <c r="O94" s="134">
        <v>10</v>
      </c>
      <c r="P94" s="134">
        <v>0.47</v>
      </c>
      <c r="Q94" s="134">
        <v>4.92</v>
      </c>
    </row>
    <row r="95" spans="1:17" customFormat="1">
      <c r="A95" s="112" t="s">
        <v>1573</v>
      </c>
      <c r="B95" s="134">
        <v>10.82</v>
      </c>
      <c r="C95" s="134">
        <v>18.170000000000002</v>
      </c>
      <c r="D95" s="134">
        <v>19.52</v>
      </c>
      <c r="E95" s="134">
        <v>7.34</v>
      </c>
      <c r="F95" s="134">
        <v>4.55</v>
      </c>
      <c r="G95" s="134">
        <v>8.3000000000000007</v>
      </c>
      <c r="H95" s="134">
        <v>5.12</v>
      </c>
      <c r="I95" s="134">
        <v>10.15</v>
      </c>
      <c r="J95" s="134">
        <v>1.27</v>
      </c>
      <c r="K95" s="134">
        <v>265.58</v>
      </c>
      <c r="L95" s="134">
        <v>24.38</v>
      </c>
      <c r="M95" s="134">
        <v>99.62</v>
      </c>
      <c r="N95" s="134">
        <v>0</v>
      </c>
      <c r="O95" s="134">
        <v>14.2</v>
      </c>
      <c r="P95" s="134">
        <v>0.47</v>
      </c>
      <c r="Q95" s="134">
        <v>4.9400000000000004</v>
      </c>
    </row>
    <row r="96" spans="1:17" customFormat="1">
      <c r="A96" s="112" t="s">
        <v>1574</v>
      </c>
      <c r="B96" s="134">
        <v>10.8</v>
      </c>
      <c r="C96" s="134">
        <v>16.88</v>
      </c>
      <c r="D96" s="134">
        <v>18.829999999999998</v>
      </c>
      <c r="E96" s="134">
        <v>7.12</v>
      </c>
      <c r="F96" s="134">
        <v>5.31</v>
      </c>
      <c r="G96" s="134">
        <v>8.3000000000000007</v>
      </c>
      <c r="H96" s="134">
        <v>5.12</v>
      </c>
      <c r="I96" s="134">
        <v>10.199999999999999</v>
      </c>
      <c r="J96" s="134">
        <v>1.0900000000000001</v>
      </c>
      <c r="K96" s="134">
        <v>265.04000000000002</v>
      </c>
      <c r="L96" s="134">
        <v>24.39</v>
      </c>
      <c r="M96" s="134">
        <v>99.58</v>
      </c>
      <c r="N96" s="134">
        <v>0</v>
      </c>
      <c r="O96" s="134">
        <v>4.8</v>
      </c>
      <c r="P96" s="134">
        <v>0.46</v>
      </c>
      <c r="Q96" s="134">
        <v>4.96</v>
      </c>
    </row>
    <row r="97" spans="1:22" customFormat="1">
      <c r="A97" s="112" t="s">
        <v>1575</v>
      </c>
      <c r="B97" s="134">
        <v>10.62</v>
      </c>
      <c r="C97" s="134">
        <v>16.57</v>
      </c>
      <c r="D97" s="134">
        <v>18.52</v>
      </c>
      <c r="E97" s="134">
        <v>6.56</v>
      </c>
      <c r="F97" s="134">
        <v>5.03</v>
      </c>
      <c r="G97" s="134">
        <v>8.3000000000000007</v>
      </c>
      <c r="H97" s="134">
        <v>5.12</v>
      </c>
      <c r="I97" s="134">
        <v>9.98</v>
      </c>
      <c r="J97" s="134">
        <v>0.86</v>
      </c>
      <c r="K97" s="134">
        <v>267.58</v>
      </c>
      <c r="L97" s="134">
        <v>24.49</v>
      </c>
      <c r="M97" s="134">
        <v>99.53</v>
      </c>
      <c r="N97" s="134">
        <v>0</v>
      </c>
      <c r="O97" s="134">
        <v>1.4</v>
      </c>
      <c r="P97" s="134">
        <v>0.46</v>
      </c>
      <c r="Q97" s="134">
        <v>4.9400000000000004</v>
      </c>
    </row>
    <row r="98" spans="1:22" customFormat="1">
      <c r="A98" s="112" t="s">
        <v>1576</v>
      </c>
      <c r="B98" s="134">
        <v>10.35</v>
      </c>
      <c r="C98" s="134">
        <v>17.87</v>
      </c>
      <c r="D98" s="134">
        <v>18.989999999999998</v>
      </c>
      <c r="E98" s="134">
        <v>6.61</v>
      </c>
      <c r="F98" s="134">
        <v>4.38</v>
      </c>
      <c r="G98" s="134">
        <v>6.45</v>
      </c>
      <c r="H98" s="134">
        <v>5.38</v>
      </c>
      <c r="I98" s="134">
        <v>9.6</v>
      </c>
      <c r="J98" s="134">
        <v>0.76</v>
      </c>
      <c r="K98" s="134">
        <v>266.93</v>
      </c>
      <c r="L98" s="134">
        <v>24.55</v>
      </c>
      <c r="M98" s="134">
        <v>99.48</v>
      </c>
      <c r="N98" s="134">
        <v>0</v>
      </c>
      <c r="O98" s="134">
        <v>1.6</v>
      </c>
      <c r="P98" s="134">
        <v>0.49</v>
      </c>
      <c r="Q98" s="134">
        <v>4.9000000000000004</v>
      </c>
    </row>
    <row r="99" spans="1:22" customFormat="1">
      <c r="A99" s="112" t="s">
        <v>1577</v>
      </c>
      <c r="B99" s="134">
        <v>10.79</v>
      </c>
      <c r="C99" s="134">
        <v>19.3</v>
      </c>
      <c r="D99" s="134">
        <v>20.09</v>
      </c>
      <c r="E99" s="134">
        <v>7.19</v>
      </c>
      <c r="F99" s="134">
        <v>3.79</v>
      </c>
      <c r="G99" s="134">
        <v>6.13</v>
      </c>
      <c r="H99" s="134">
        <v>5.38</v>
      </c>
      <c r="I99" s="134">
        <v>9.5</v>
      </c>
      <c r="J99" s="134">
        <v>0.74</v>
      </c>
      <c r="K99" s="134">
        <v>266.16000000000003</v>
      </c>
      <c r="L99" s="134">
        <v>24.54</v>
      </c>
      <c r="M99" s="134">
        <v>99.47</v>
      </c>
      <c r="N99" s="134">
        <v>0</v>
      </c>
      <c r="O99" s="134">
        <v>1.4</v>
      </c>
      <c r="P99" s="134">
        <v>0.53</v>
      </c>
      <c r="Q99" s="134">
        <v>4.91</v>
      </c>
    </row>
    <row r="100" spans="1:22" customFormat="1">
      <c r="A100" s="112" t="s">
        <v>1578</v>
      </c>
      <c r="B100" s="134">
        <v>11.08</v>
      </c>
      <c r="C100" s="134">
        <v>17.98</v>
      </c>
      <c r="D100" s="134">
        <v>19.63</v>
      </c>
      <c r="E100" s="134">
        <v>7.17</v>
      </c>
      <c r="F100" s="134">
        <v>4.6399999999999997</v>
      </c>
      <c r="G100" s="134">
        <v>6.13</v>
      </c>
      <c r="H100" s="134">
        <v>5.38</v>
      </c>
      <c r="I100" s="134">
        <v>9.57</v>
      </c>
      <c r="J100" s="134">
        <v>0.59</v>
      </c>
      <c r="K100" s="134">
        <v>270.39999999999998</v>
      </c>
      <c r="L100" s="134">
        <v>24.51</v>
      </c>
      <c r="M100" s="134">
        <v>99.45</v>
      </c>
      <c r="N100" s="134">
        <v>0</v>
      </c>
      <c r="O100" s="134">
        <v>1.4</v>
      </c>
      <c r="P100" s="134">
        <v>0.53</v>
      </c>
      <c r="Q100" s="134">
        <v>4.93</v>
      </c>
    </row>
    <row r="101" spans="1:22" customFormat="1">
      <c r="A101" s="112" t="s">
        <v>1579</v>
      </c>
      <c r="B101" s="134">
        <v>11.17</v>
      </c>
      <c r="C101" s="134">
        <v>18.38</v>
      </c>
      <c r="D101" s="134">
        <v>19.91</v>
      </c>
      <c r="E101" s="134">
        <v>7.18</v>
      </c>
      <c r="F101" s="134">
        <v>4.2699999999999996</v>
      </c>
      <c r="G101" s="134">
        <v>6.13</v>
      </c>
      <c r="H101" s="134">
        <v>5.38</v>
      </c>
      <c r="I101" s="134">
        <v>9.5500000000000007</v>
      </c>
      <c r="J101" s="134">
        <v>0.57999999999999996</v>
      </c>
      <c r="K101" s="134">
        <v>267.89</v>
      </c>
      <c r="L101" s="134">
        <v>24.54</v>
      </c>
      <c r="M101" s="134">
        <v>99.45</v>
      </c>
      <c r="N101" s="134">
        <v>0</v>
      </c>
      <c r="O101" s="134">
        <v>1.6</v>
      </c>
      <c r="P101" s="134">
        <v>0.53</v>
      </c>
      <c r="Q101" s="134">
        <v>4.91</v>
      </c>
    </row>
    <row r="102" spans="1:22" customFormat="1">
      <c r="A102" s="112" t="s">
        <v>1580</v>
      </c>
      <c r="B102" s="134">
        <v>11.41</v>
      </c>
      <c r="C102" s="134">
        <v>18.809999999999999</v>
      </c>
      <c r="D102" s="134">
        <v>20.329999999999998</v>
      </c>
      <c r="E102" s="134">
        <v>7.15</v>
      </c>
      <c r="F102" s="134">
        <v>4.29</v>
      </c>
      <c r="G102" s="134">
        <v>9.26</v>
      </c>
      <c r="H102" s="134">
        <v>5.08</v>
      </c>
      <c r="I102" s="134">
        <v>9.3699999999999992</v>
      </c>
      <c r="J102" s="134">
        <v>0.49</v>
      </c>
      <c r="K102" s="134">
        <v>271.43</v>
      </c>
      <c r="L102" s="134">
        <v>24.59</v>
      </c>
      <c r="M102" s="134">
        <v>99.43</v>
      </c>
      <c r="N102" s="134">
        <v>0</v>
      </c>
      <c r="O102" s="134">
        <v>1.2</v>
      </c>
      <c r="P102" s="134">
        <v>0.54</v>
      </c>
      <c r="Q102" s="134">
        <v>4.95</v>
      </c>
    </row>
    <row r="103" spans="1:22" customFormat="1">
      <c r="A103" s="112" t="s">
        <v>1581</v>
      </c>
      <c r="B103" s="134">
        <v>11.61</v>
      </c>
      <c r="C103" s="134">
        <v>17.66</v>
      </c>
      <c r="D103" s="134">
        <v>19.88</v>
      </c>
      <c r="E103" s="134">
        <v>7.36</v>
      </c>
      <c r="F103" s="134">
        <v>4.84</v>
      </c>
      <c r="G103" s="134">
        <v>9.7899999999999991</v>
      </c>
      <c r="H103" s="134">
        <v>5.08</v>
      </c>
      <c r="I103" s="134">
        <v>9.33</v>
      </c>
      <c r="J103" s="134">
        <v>0.55000000000000004</v>
      </c>
      <c r="K103" s="134">
        <v>273.05</v>
      </c>
      <c r="L103" s="134">
        <v>24.6</v>
      </c>
      <c r="M103" s="134">
        <v>99.41</v>
      </c>
      <c r="N103" s="134">
        <v>0</v>
      </c>
      <c r="O103" s="134">
        <v>1</v>
      </c>
      <c r="P103" s="134">
        <v>0.52</v>
      </c>
      <c r="Q103" s="134">
        <v>4.95</v>
      </c>
    </row>
    <row r="104" spans="1:22" customFormat="1">
      <c r="A104" s="112" t="s">
        <v>1582</v>
      </c>
      <c r="B104" s="134">
        <v>11.75</v>
      </c>
      <c r="C104" s="134">
        <v>18.86</v>
      </c>
      <c r="D104" s="134">
        <v>20.63</v>
      </c>
      <c r="E104" s="134">
        <v>6.96</v>
      </c>
      <c r="F104" s="134">
        <v>4.1100000000000003</v>
      </c>
      <c r="G104" s="134">
        <v>9.7899999999999991</v>
      </c>
      <c r="H104" s="134">
        <v>5.08</v>
      </c>
      <c r="I104" s="134">
        <v>9.14</v>
      </c>
      <c r="J104" s="134">
        <v>0.56000000000000005</v>
      </c>
      <c r="K104" s="134">
        <v>275.81</v>
      </c>
      <c r="L104" s="134">
        <v>24.55</v>
      </c>
      <c r="M104" s="134">
        <v>99.4</v>
      </c>
      <c r="N104" s="134">
        <v>0</v>
      </c>
      <c r="O104" s="134">
        <v>0.8</v>
      </c>
      <c r="P104" s="134">
        <v>0.54</v>
      </c>
      <c r="Q104" s="134">
        <v>4.9400000000000004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3.84</v>
      </c>
      <c r="C106" s="183">
        <f>MIN(C9:C104)</f>
        <v>11.62</v>
      </c>
      <c r="D106" s="183">
        <f t="shared" ref="D106:Q106" si="0">MIN(D9:D104)</f>
        <v>10.66</v>
      </c>
      <c r="E106" s="183">
        <f t="shared" si="0"/>
        <v>5.1100000000000003</v>
      </c>
      <c r="F106" s="183">
        <f t="shared" si="0"/>
        <v>3.71</v>
      </c>
      <c r="G106" s="183">
        <f t="shared" si="0"/>
        <v>6.13</v>
      </c>
      <c r="H106" s="183">
        <f t="shared" si="0"/>
        <v>3.72</v>
      </c>
      <c r="I106" s="183">
        <f t="shared" si="0"/>
        <v>3.85</v>
      </c>
      <c r="J106" s="183">
        <f t="shared" si="0"/>
        <v>0.08</v>
      </c>
      <c r="K106" s="183">
        <f t="shared" si="0"/>
        <v>18.29</v>
      </c>
      <c r="L106" s="183">
        <f t="shared" si="0"/>
        <v>23.93</v>
      </c>
      <c r="M106" s="183">
        <f t="shared" si="0"/>
        <v>81.3</v>
      </c>
      <c r="N106" s="183">
        <f t="shared" si="0"/>
        <v>0</v>
      </c>
      <c r="O106" s="183">
        <f t="shared" si="0"/>
        <v>0</v>
      </c>
      <c r="P106" s="183">
        <f t="shared" si="0"/>
        <v>0.43</v>
      </c>
      <c r="Q106" s="183">
        <f t="shared" si="0"/>
        <v>4.8600000000000003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18.260000000000002</v>
      </c>
      <c r="C107" s="184">
        <f t="shared" ref="C107:Q107" si="1">MAX(C9:C104)</f>
        <v>23.15</v>
      </c>
      <c r="D107" s="184">
        <f t="shared" si="1"/>
        <v>27.6</v>
      </c>
      <c r="E107" s="184">
        <f t="shared" si="1"/>
        <v>14.99</v>
      </c>
      <c r="F107" s="184">
        <f t="shared" si="1"/>
        <v>19.18</v>
      </c>
      <c r="G107" s="184">
        <f t="shared" si="1"/>
        <v>46.3</v>
      </c>
      <c r="H107" s="184">
        <f t="shared" si="1"/>
        <v>20.78</v>
      </c>
      <c r="I107" s="184">
        <f t="shared" si="1"/>
        <v>56.07</v>
      </c>
      <c r="J107" s="184">
        <f t="shared" si="1"/>
        <v>1.27</v>
      </c>
      <c r="K107" s="184">
        <f t="shared" si="1"/>
        <v>357.7</v>
      </c>
      <c r="L107" s="184">
        <f t="shared" si="1"/>
        <v>29.24</v>
      </c>
      <c r="M107" s="184">
        <f t="shared" si="1"/>
        <v>101.88</v>
      </c>
      <c r="N107" s="184">
        <f t="shared" si="1"/>
        <v>260</v>
      </c>
      <c r="O107" s="184">
        <f t="shared" si="1"/>
        <v>14.2</v>
      </c>
      <c r="P107" s="184">
        <f t="shared" si="1"/>
        <v>0.75</v>
      </c>
      <c r="Q107" s="184">
        <f t="shared" si="1"/>
        <v>5.88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12.308202247191012</v>
      </c>
      <c r="C108" s="183">
        <f t="shared" ref="C108:Q108" si="2">AVERAGE(C9:C104)</f>
        <v>18.455955056179778</v>
      </c>
      <c r="D108" s="183">
        <f t="shared" si="2"/>
        <v>20.863707865168539</v>
      </c>
      <c r="E108" s="183">
        <f t="shared" si="2"/>
        <v>8.6131249999999984</v>
      </c>
      <c r="F108" s="183">
        <f t="shared" si="2"/>
        <v>6.2679787234042523</v>
      </c>
      <c r="G108" s="183">
        <f t="shared" si="2"/>
        <v>19.029222222222227</v>
      </c>
      <c r="H108" s="183">
        <f t="shared" si="2"/>
        <v>8.4195555555555561</v>
      </c>
      <c r="I108" s="183">
        <f t="shared" si="2"/>
        <v>10.786354166666667</v>
      </c>
      <c r="J108" s="183">
        <f t="shared" si="2"/>
        <v>0.37354166666666666</v>
      </c>
      <c r="K108" s="183">
        <f t="shared" si="2"/>
        <v>262.31395833333335</v>
      </c>
      <c r="L108" s="183">
        <f t="shared" si="2"/>
        <v>25.569791666666674</v>
      </c>
      <c r="M108" s="183">
        <f t="shared" si="2"/>
        <v>97.275520833333317</v>
      </c>
      <c r="N108" s="183">
        <f t="shared" si="2"/>
        <v>46.53125</v>
      </c>
      <c r="O108" s="183">
        <f t="shared" si="2"/>
        <v>0.93958333333333355</v>
      </c>
      <c r="P108" s="183">
        <f t="shared" si="2"/>
        <v>0.54340425531914904</v>
      </c>
      <c r="Q108" s="183">
        <f t="shared" si="2"/>
        <v>5.3153125000000019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4.5917122875195995</v>
      </c>
      <c r="C109" s="183">
        <f t="shared" ref="C109:Q109" si="3">STDEV(C9:C104)</f>
        <v>2.5344748959019152</v>
      </c>
      <c r="D109" s="183">
        <f t="shared" si="3"/>
        <v>4.9065844864608339</v>
      </c>
      <c r="E109" s="183">
        <f t="shared" si="3"/>
        <v>2.1449722424900268</v>
      </c>
      <c r="F109" s="183">
        <f t="shared" si="3"/>
        <v>4.0752543504728473</v>
      </c>
      <c r="G109" s="183">
        <f t="shared" si="3"/>
        <v>10.33627366708374</v>
      </c>
      <c r="H109" s="183">
        <f t="shared" si="3"/>
        <v>4.3286144632013848</v>
      </c>
      <c r="I109" s="183">
        <f t="shared" si="3"/>
        <v>10.76705052901203</v>
      </c>
      <c r="J109" s="183">
        <f t="shared" si="3"/>
        <v>0.23497806915211508</v>
      </c>
      <c r="K109" s="183">
        <f t="shared" si="3"/>
        <v>62.246088247064677</v>
      </c>
      <c r="L109" s="183">
        <f t="shared" si="3"/>
        <v>1.5720023966543646</v>
      </c>
      <c r="M109" s="183">
        <f t="shared" si="3"/>
        <v>6.1709959734897941</v>
      </c>
      <c r="N109" s="183">
        <f t="shared" si="3"/>
        <v>79.458568233951169</v>
      </c>
      <c r="O109" s="183">
        <f t="shared" si="3"/>
        <v>2.6912911855862118</v>
      </c>
      <c r="P109" s="183">
        <f t="shared" si="3"/>
        <v>8.2312715952662915E-2</v>
      </c>
      <c r="Q109" s="183">
        <f t="shared" si="3"/>
        <v>0.36418605171415813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15/09/2023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1583</v>
      </c>
      <c r="B9" s="134">
        <v>9.4</v>
      </c>
      <c r="C9" s="134">
        <v>18.18</v>
      </c>
      <c r="D9" s="134">
        <v>18.39</v>
      </c>
      <c r="E9" s="134">
        <v>7.68</v>
      </c>
      <c r="F9" s="134">
        <v>4.5199999999999996</v>
      </c>
      <c r="G9" s="134">
        <v>9.7899999999999991</v>
      </c>
      <c r="H9" s="134">
        <v>5.08</v>
      </c>
      <c r="I9" s="134">
        <v>8.93</v>
      </c>
      <c r="J9" s="134">
        <v>0.68</v>
      </c>
      <c r="K9" s="134">
        <v>279.49</v>
      </c>
      <c r="L9" s="134">
        <v>24.51</v>
      </c>
      <c r="M9" s="134">
        <v>99.4</v>
      </c>
      <c r="N9" s="134">
        <v>0</v>
      </c>
      <c r="O9" s="134">
        <v>0.8</v>
      </c>
      <c r="P9" s="134">
        <v>0.53</v>
      </c>
      <c r="Q9" s="134">
        <v>5</v>
      </c>
    </row>
    <row r="10" spans="1:21" customFormat="1">
      <c r="A10" s="112" t="s">
        <v>1584</v>
      </c>
      <c r="B10" s="134">
        <v>9.09</v>
      </c>
      <c r="C10" s="134">
        <v>17.89</v>
      </c>
      <c r="D10" s="134">
        <v>17.989999999999998</v>
      </c>
      <c r="E10" s="134">
        <v>7.34</v>
      </c>
      <c r="F10" s="134">
        <v>4.84</v>
      </c>
      <c r="G10" s="134">
        <v>8.8800000000000008</v>
      </c>
      <c r="H10" s="134">
        <v>3.91</v>
      </c>
      <c r="I10" s="134">
        <v>8.93</v>
      </c>
      <c r="J10" s="134">
        <v>0.65</v>
      </c>
      <c r="K10" s="134">
        <v>285.14</v>
      </c>
      <c r="L10" s="134">
        <v>24.39</v>
      </c>
      <c r="M10" s="134">
        <v>99.4</v>
      </c>
      <c r="N10" s="134">
        <v>0</v>
      </c>
      <c r="O10" s="134">
        <v>2.2000000000000002</v>
      </c>
      <c r="P10" s="134">
        <v>0.52</v>
      </c>
      <c r="Q10" s="134">
        <v>5</v>
      </c>
    </row>
    <row r="11" spans="1:21" customFormat="1">
      <c r="A11" s="112" t="s">
        <v>1585</v>
      </c>
      <c r="B11" s="134">
        <v>9.33</v>
      </c>
      <c r="C11" s="134">
        <v>19.079999999999998</v>
      </c>
      <c r="D11" s="134">
        <v>18.8</v>
      </c>
      <c r="E11" s="134">
        <v>7.28</v>
      </c>
      <c r="F11" s="134">
        <v>4.01</v>
      </c>
      <c r="G11" s="134">
        <v>8.7200000000000006</v>
      </c>
      <c r="H11" s="134">
        <v>3.91</v>
      </c>
      <c r="I11" s="134">
        <v>8.66</v>
      </c>
      <c r="J11" s="134">
        <v>0.48</v>
      </c>
      <c r="K11" s="134">
        <v>284.91000000000003</v>
      </c>
      <c r="L11" s="134">
        <v>24.41</v>
      </c>
      <c r="M11" s="134">
        <v>99.4</v>
      </c>
      <c r="N11" s="134">
        <v>0</v>
      </c>
      <c r="O11" s="134">
        <v>2.2000000000000002</v>
      </c>
      <c r="P11" s="134">
        <v>0.54</v>
      </c>
      <c r="Q11" s="134">
        <v>5</v>
      </c>
    </row>
    <row r="12" spans="1:21" customFormat="1">
      <c r="A12" s="112" t="s">
        <v>1586</v>
      </c>
      <c r="B12" s="134">
        <v>9.5</v>
      </c>
      <c r="C12" s="134">
        <v>18.309999999999999</v>
      </c>
      <c r="D12" s="134">
        <v>18.54</v>
      </c>
      <c r="E12" s="134">
        <v>7.87</v>
      </c>
      <c r="F12" s="134">
        <v>4.62</v>
      </c>
      <c r="G12" s="134">
        <v>8.7200000000000006</v>
      </c>
      <c r="H12" s="134">
        <v>3.91</v>
      </c>
      <c r="I12" s="134">
        <v>8.5</v>
      </c>
      <c r="J12" s="134">
        <v>0.51</v>
      </c>
      <c r="K12" s="134">
        <v>293.36</v>
      </c>
      <c r="L12" s="134">
        <v>24.45</v>
      </c>
      <c r="M12" s="134">
        <v>99.4</v>
      </c>
      <c r="N12" s="134">
        <v>0</v>
      </c>
      <c r="O12" s="134">
        <v>1.6</v>
      </c>
      <c r="P12" s="134">
        <v>0.51</v>
      </c>
      <c r="Q12" s="134">
        <v>5.01</v>
      </c>
    </row>
    <row r="13" spans="1:21" customFormat="1">
      <c r="A13" s="112" t="s">
        <v>1587</v>
      </c>
      <c r="B13" s="134">
        <v>9.48</v>
      </c>
      <c r="C13" s="134">
        <v>17.329999999999998</v>
      </c>
      <c r="D13" s="134">
        <v>18.010000000000002</v>
      </c>
      <c r="E13" s="134">
        <v>7.32</v>
      </c>
      <c r="F13" s="134">
        <v>5.31</v>
      </c>
      <c r="G13" s="134">
        <v>8.7200000000000006</v>
      </c>
      <c r="H13" s="134">
        <v>3.91</v>
      </c>
      <c r="I13" s="134">
        <v>8.49</v>
      </c>
      <c r="J13" s="134">
        <v>0.76</v>
      </c>
      <c r="K13" s="134">
        <v>297.42</v>
      </c>
      <c r="L13" s="134">
        <v>24.29</v>
      </c>
      <c r="M13" s="134">
        <v>99.4</v>
      </c>
      <c r="N13" s="134">
        <v>0</v>
      </c>
      <c r="O13" s="134">
        <v>1</v>
      </c>
      <c r="P13" s="134">
        <v>0.5</v>
      </c>
      <c r="Q13" s="134">
        <v>5.01</v>
      </c>
    </row>
    <row r="14" spans="1:21" customFormat="1">
      <c r="A14" s="112" t="s">
        <v>1588</v>
      </c>
      <c r="B14" s="134">
        <v>9.4700000000000006</v>
      </c>
      <c r="C14" s="134">
        <v>19.43</v>
      </c>
      <c r="D14" s="134">
        <v>19.09</v>
      </c>
      <c r="E14" s="134">
        <v>7.57</v>
      </c>
      <c r="F14" s="134">
        <v>3.93</v>
      </c>
      <c r="G14" s="134">
        <v>6.91</v>
      </c>
      <c r="H14" s="134">
        <v>2.73</v>
      </c>
      <c r="I14" s="134">
        <v>8.27</v>
      </c>
      <c r="J14" s="134">
        <v>0.7</v>
      </c>
      <c r="K14" s="134">
        <v>280.63</v>
      </c>
      <c r="L14" s="134">
        <v>24.24</v>
      </c>
      <c r="M14" s="134">
        <v>99.41</v>
      </c>
      <c r="N14" s="134">
        <v>0</v>
      </c>
      <c r="O14" s="134">
        <v>1.6</v>
      </c>
      <c r="P14" s="134">
        <v>0.52</v>
      </c>
      <c r="Q14" s="134">
        <v>4.96</v>
      </c>
    </row>
    <row r="15" spans="1:21" customFormat="1">
      <c r="A15" s="112" t="s">
        <v>1589</v>
      </c>
      <c r="B15" s="134">
        <v>9.41</v>
      </c>
      <c r="C15" s="134">
        <v>19.649999999999999</v>
      </c>
      <c r="D15" s="134">
        <v>19.16</v>
      </c>
      <c r="E15" s="134">
        <v>7.49</v>
      </c>
      <c r="F15" s="134">
        <v>4.12</v>
      </c>
      <c r="G15" s="134">
        <v>6.58</v>
      </c>
      <c r="H15" s="134">
        <v>2.73</v>
      </c>
      <c r="I15" s="134">
        <v>7.99</v>
      </c>
      <c r="J15" s="134">
        <v>0.84</v>
      </c>
      <c r="K15" s="134">
        <v>281.88</v>
      </c>
      <c r="L15" s="134">
        <v>24.14</v>
      </c>
      <c r="M15" s="134">
        <v>99.43</v>
      </c>
      <c r="N15" s="134">
        <v>0</v>
      </c>
      <c r="O15" s="134">
        <v>1.4</v>
      </c>
      <c r="P15" s="134">
        <v>0.52</v>
      </c>
      <c r="Q15" s="134">
        <v>5.01</v>
      </c>
    </row>
    <row r="16" spans="1:21" customFormat="1">
      <c r="A16" s="112" t="s">
        <v>1590</v>
      </c>
      <c r="B16" s="134">
        <v>9.36</v>
      </c>
      <c r="C16" s="134">
        <v>17.91</v>
      </c>
      <c r="D16" s="134">
        <v>18.21</v>
      </c>
      <c r="E16" s="134">
        <v>7.46</v>
      </c>
      <c r="F16" s="134">
        <v>5.21</v>
      </c>
      <c r="G16" s="134">
        <v>6.58</v>
      </c>
      <c r="H16" s="134">
        <v>2.73</v>
      </c>
      <c r="I16" s="134">
        <v>7.97</v>
      </c>
      <c r="J16" s="134">
        <v>0.88</v>
      </c>
      <c r="K16" s="134">
        <v>278.3</v>
      </c>
      <c r="L16" s="134">
        <v>23.95</v>
      </c>
      <c r="M16" s="134">
        <v>99.4</v>
      </c>
      <c r="N16" s="134">
        <v>0</v>
      </c>
      <c r="O16" s="134">
        <v>1.4</v>
      </c>
      <c r="P16" s="134">
        <v>0.5</v>
      </c>
      <c r="Q16" s="134">
        <v>5.01</v>
      </c>
    </row>
    <row r="17" spans="1:17" customFormat="1">
      <c r="A17" s="112" t="s">
        <v>1591</v>
      </c>
      <c r="B17" s="134">
        <v>9.0500000000000007</v>
      </c>
      <c r="C17" s="134">
        <v>17.350000000000001</v>
      </c>
      <c r="D17" s="134">
        <v>17.670000000000002</v>
      </c>
      <c r="E17" s="134">
        <v>6.32</v>
      </c>
      <c r="F17" s="134">
        <v>5.35</v>
      </c>
      <c r="G17" s="134">
        <v>6.58</v>
      </c>
      <c r="H17" s="134">
        <v>2.73</v>
      </c>
      <c r="I17" s="134">
        <v>7.75</v>
      </c>
      <c r="J17" s="134">
        <v>0.73</v>
      </c>
      <c r="K17" s="134">
        <v>270.39999999999998</v>
      </c>
      <c r="L17" s="134">
        <v>23.92</v>
      </c>
      <c r="M17" s="134">
        <v>99.38</v>
      </c>
      <c r="N17" s="134">
        <v>0</v>
      </c>
      <c r="O17" s="134">
        <v>1.2</v>
      </c>
      <c r="P17" s="134">
        <v>0.48</v>
      </c>
      <c r="Q17" s="134">
        <v>4.99</v>
      </c>
    </row>
    <row r="18" spans="1:17" customFormat="1">
      <c r="A18" s="112" t="s">
        <v>1592</v>
      </c>
      <c r="B18" s="134">
        <v>9.11</v>
      </c>
      <c r="C18" s="134">
        <v>19.010000000000002</v>
      </c>
      <c r="D18" s="134">
        <v>18.59</v>
      </c>
      <c r="E18" s="134">
        <v>8.15</v>
      </c>
      <c r="F18" s="134">
        <v>4.04</v>
      </c>
      <c r="G18" s="134">
        <v>5.0199999999999996</v>
      </c>
      <c r="H18" s="134">
        <v>1.91</v>
      </c>
      <c r="I18" s="134">
        <v>7.53</v>
      </c>
      <c r="J18" s="134">
        <v>0.7</v>
      </c>
      <c r="K18" s="134">
        <v>261.94</v>
      </c>
      <c r="L18" s="134">
        <v>24</v>
      </c>
      <c r="M18" s="134">
        <v>99.38</v>
      </c>
      <c r="N18" s="134">
        <v>0</v>
      </c>
      <c r="O18" s="134">
        <v>0.8</v>
      </c>
      <c r="P18" s="134">
        <v>0.5</v>
      </c>
      <c r="Q18" s="134">
        <v>4.97</v>
      </c>
    </row>
    <row r="19" spans="1:17" customFormat="1">
      <c r="A19" s="112" t="s">
        <v>1593</v>
      </c>
      <c r="B19" s="134">
        <v>9.2100000000000009</v>
      </c>
      <c r="C19" s="134">
        <v>18.38</v>
      </c>
      <c r="D19" s="134">
        <v>18.34</v>
      </c>
      <c r="E19" s="134">
        <v>7.98</v>
      </c>
      <c r="F19" s="134">
        <v>4.5199999999999996</v>
      </c>
      <c r="G19" s="134">
        <v>4.7300000000000004</v>
      </c>
      <c r="H19" s="134">
        <v>1.91</v>
      </c>
      <c r="I19" s="134">
        <v>7.36</v>
      </c>
      <c r="J19" s="134">
        <v>0.65</v>
      </c>
      <c r="K19" s="134">
        <v>266.12</v>
      </c>
      <c r="L19" s="134">
        <v>24.1</v>
      </c>
      <c r="M19" s="134">
        <v>99.38</v>
      </c>
      <c r="N19" s="134">
        <v>0</v>
      </c>
      <c r="O19" s="134">
        <v>0.6</v>
      </c>
      <c r="P19" s="134">
        <v>0.48</v>
      </c>
      <c r="Q19" s="134">
        <v>5</v>
      </c>
    </row>
    <row r="20" spans="1:17" customFormat="1">
      <c r="A20" s="112" t="s">
        <v>1594</v>
      </c>
      <c r="B20" s="134">
        <v>9.19</v>
      </c>
      <c r="C20" s="134">
        <v>17.13</v>
      </c>
      <c r="D20" s="134">
        <v>17.670000000000002</v>
      </c>
      <c r="E20" s="134">
        <v>7.82</v>
      </c>
      <c r="F20" s="134">
        <v>5.0599999999999996</v>
      </c>
      <c r="G20" s="134">
        <v>4.7300000000000004</v>
      </c>
      <c r="H20" s="134">
        <v>1.91</v>
      </c>
      <c r="I20" s="134">
        <v>7.38</v>
      </c>
      <c r="J20" s="134">
        <v>0.53</v>
      </c>
      <c r="K20" s="134">
        <v>265.26</v>
      </c>
      <c r="L20" s="134">
        <v>24.16</v>
      </c>
      <c r="M20" s="134">
        <v>99.37</v>
      </c>
      <c r="N20" s="134">
        <v>0</v>
      </c>
      <c r="O20" s="134">
        <v>0.6</v>
      </c>
      <c r="P20" s="134">
        <v>0.46</v>
      </c>
      <c r="Q20" s="134">
        <v>4.96</v>
      </c>
    </row>
    <row r="21" spans="1:17" customFormat="1">
      <c r="A21" s="112" t="s">
        <v>1595</v>
      </c>
      <c r="B21" s="134">
        <v>9.08</v>
      </c>
      <c r="C21" s="134">
        <v>18.489999999999998</v>
      </c>
      <c r="D21" s="134">
        <v>18.29</v>
      </c>
      <c r="E21" s="134">
        <v>7.58</v>
      </c>
      <c r="F21" s="134">
        <v>4.09</v>
      </c>
      <c r="G21" s="134">
        <v>4.7300000000000004</v>
      </c>
      <c r="H21" s="134">
        <v>1.91</v>
      </c>
      <c r="I21" s="134">
        <v>7.17</v>
      </c>
      <c r="J21" s="134">
        <v>0.59</v>
      </c>
      <c r="K21" s="134">
        <v>267.7</v>
      </c>
      <c r="L21" s="134">
        <v>24.14</v>
      </c>
      <c r="M21" s="134">
        <v>99.38</v>
      </c>
      <c r="N21" s="134">
        <v>0</v>
      </c>
      <c r="O21" s="134">
        <v>0.6</v>
      </c>
      <c r="P21" s="134">
        <v>0.48</v>
      </c>
      <c r="Q21" s="134">
        <v>4.9400000000000004</v>
      </c>
    </row>
    <row r="22" spans="1:17" customFormat="1">
      <c r="A22" s="112" t="s">
        <v>1596</v>
      </c>
      <c r="B22" s="134">
        <v>9.14</v>
      </c>
      <c r="C22" s="134">
        <v>17.93</v>
      </c>
      <c r="D22" s="134">
        <v>18.05</v>
      </c>
      <c r="E22" s="134">
        <v>7.76</v>
      </c>
      <c r="F22" s="134">
        <v>4.66</v>
      </c>
      <c r="G22" s="134">
        <v>3.86</v>
      </c>
      <c r="H22" s="134">
        <v>1.34</v>
      </c>
      <c r="I22" s="134">
        <v>7</v>
      </c>
      <c r="J22" s="134">
        <v>0.75</v>
      </c>
      <c r="K22" s="134">
        <v>264.38</v>
      </c>
      <c r="L22" s="134">
        <v>24</v>
      </c>
      <c r="M22" s="134">
        <v>99.37</v>
      </c>
      <c r="N22" s="134">
        <v>0</v>
      </c>
      <c r="O22" s="134">
        <v>0.4</v>
      </c>
      <c r="P22" s="134">
        <v>0.46</v>
      </c>
      <c r="Q22" s="134">
        <v>4.97</v>
      </c>
    </row>
    <row r="23" spans="1:17" customFormat="1">
      <c r="A23" s="112" t="s">
        <v>1597</v>
      </c>
      <c r="B23" s="134">
        <v>9.02</v>
      </c>
      <c r="C23" s="134">
        <v>16.8</v>
      </c>
      <c r="D23" s="134">
        <v>17.36</v>
      </c>
      <c r="E23" s="134">
        <v>7.47</v>
      </c>
      <c r="F23" s="134">
        <v>5.35</v>
      </c>
      <c r="G23" s="134">
        <v>3.71</v>
      </c>
      <c r="H23" s="134">
        <v>1.34</v>
      </c>
      <c r="I23" s="134">
        <v>7.02</v>
      </c>
      <c r="J23" s="134">
        <v>0.48</v>
      </c>
      <c r="K23" s="134">
        <v>265.63</v>
      </c>
      <c r="L23" s="134">
        <v>23.94</v>
      </c>
      <c r="M23" s="134">
        <v>99.35</v>
      </c>
      <c r="N23" s="134">
        <v>0</v>
      </c>
      <c r="O23" s="134">
        <v>0</v>
      </c>
      <c r="P23" s="134">
        <v>0.44</v>
      </c>
      <c r="Q23" s="134">
        <v>4.96</v>
      </c>
    </row>
    <row r="24" spans="1:17" customFormat="1">
      <c r="A24" s="112" t="s">
        <v>1598</v>
      </c>
      <c r="B24" s="134">
        <v>8.9700000000000006</v>
      </c>
      <c r="C24" s="134">
        <v>18.36</v>
      </c>
      <c r="D24" s="134">
        <v>18.13</v>
      </c>
      <c r="E24" s="134">
        <v>7.55</v>
      </c>
      <c r="F24" s="134">
        <v>4.28</v>
      </c>
      <c r="G24" s="134">
        <v>3.71</v>
      </c>
      <c r="H24" s="134">
        <v>1.34</v>
      </c>
      <c r="I24" s="134">
        <v>6.83</v>
      </c>
      <c r="J24" s="134">
        <v>0.45</v>
      </c>
      <c r="K24" s="134">
        <v>260.93</v>
      </c>
      <c r="L24" s="134">
        <v>24.03</v>
      </c>
      <c r="M24" s="134">
        <v>99.37</v>
      </c>
      <c r="N24" s="134">
        <v>0</v>
      </c>
      <c r="O24" s="134">
        <v>0.2</v>
      </c>
      <c r="P24" s="134">
        <v>0.46</v>
      </c>
      <c r="Q24" s="134">
        <v>4.95</v>
      </c>
    </row>
    <row r="25" spans="1:17" customFormat="1">
      <c r="A25" s="112" t="s">
        <v>1599</v>
      </c>
      <c r="B25" s="134">
        <v>9.1999999999999993</v>
      </c>
      <c r="C25" s="134">
        <v>18.350000000000001</v>
      </c>
      <c r="D25" s="134">
        <v>18.32</v>
      </c>
      <c r="E25" s="134">
        <v>7.73</v>
      </c>
      <c r="F25" s="134">
        <v>4.21</v>
      </c>
      <c r="G25" s="134">
        <v>3.71</v>
      </c>
      <c r="H25" s="134">
        <v>1.34</v>
      </c>
      <c r="I25" s="134">
        <v>6.65</v>
      </c>
      <c r="J25" s="134">
        <v>0.77</v>
      </c>
      <c r="K25" s="134">
        <v>266.37</v>
      </c>
      <c r="L25" s="134">
        <v>23.9</v>
      </c>
      <c r="M25" s="134">
        <v>99.37</v>
      </c>
      <c r="N25" s="134">
        <v>0</v>
      </c>
      <c r="O25" s="134">
        <v>0</v>
      </c>
      <c r="P25" s="134">
        <v>0.46</v>
      </c>
      <c r="Q25" s="134">
        <v>4.96</v>
      </c>
    </row>
    <row r="26" spans="1:17" customFormat="1">
      <c r="A26" s="112" t="s">
        <v>1600</v>
      </c>
      <c r="B26" s="134">
        <v>9.2100000000000009</v>
      </c>
      <c r="C26" s="134">
        <v>17.420000000000002</v>
      </c>
      <c r="D26" s="134">
        <v>17.84</v>
      </c>
      <c r="E26" s="134">
        <v>7.79</v>
      </c>
      <c r="F26" s="134">
        <v>4.82</v>
      </c>
      <c r="G26" s="134">
        <v>2.93</v>
      </c>
      <c r="H26" s="134">
        <v>1.1299999999999999</v>
      </c>
      <c r="I26" s="134">
        <v>6.74</v>
      </c>
      <c r="J26" s="134">
        <v>0.61</v>
      </c>
      <c r="K26" s="134">
        <v>271.02</v>
      </c>
      <c r="L26" s="134">
        <v>23.68</v>
      </c>
      <c r="M26" s="134">
        <v>99.35</v>
      </c>
      <c r="N26" s="134">
        <v>0</v>
      </c>
      <c r="O26" s="134">
        <v>0.2</v>
      </c>
      <c r="P26" s="134">
        <v>0.44</v>
      </c>
      <c r="Q26" s="134">
        <v>4.96</v>
      </c>
    </row>
    <row r="27" spans="1:17" customFormat="1">
      <c r="A27" s="112" t="s">
        <v>1601</v>
      </c>
      <c r="B27" s="134">
        <v>9.18</v>
      </c>
      <c r="C27" s="134">
        <v>19.05</v>
      </c>
      <c r="D27" s="134">
        <v>18.670000000000002</v>
      </c>
      <c r="E27" s="134">
        <v>7.44</v>
      </c>
      <c r="F27" s="134">
        <v>3.92</v>
      </c>
      <c r="G27" s="134">
        <v>2.8</v>
      </c>
      <c r="H27" s="134">
        <v>1.1299999999999999</v>
      </c>
      <c r="I27" s="134">
        <v>6.57</v>
      </c>
      <c r="J27" s="134">
        <v>0.55000000000000004</v>
      </c>
      <c r="K27" s="134">
        <v>267.52</v>
      </c>
      <c r="L27" s="134">
        <v>23.53</v>
      </c>
      <c r="M27" s="134">
        <v>99.36</v>
      </c>
      <c r="N27" s="134">
        <v>0</v>
      </c>
      <c r="O27" s="134">
        <v>0</v>
      </c>
      <c r="P27" s="134">
        <v>0.45</v>
      </c>
      <c r="Q27" s="134">
        <v>4.9400000000000004</v>
      </c>
    </row>
    <row r="28" spans="1:17" customFormat="1">
      <c r="A28" s="112" t="s">
        <v>1602</v>
      </c>
      <c r="B28" s="134">
        <v>9.39</v>
      </c>
      <c r="C28" s="134">
        <v>19.059999999999999</v>
      </c>
      <c r="D28" s="134">
        <v>18.84</v>
      </c>
      <c r="E28" s="134">
        <v>7.78</v>
      </c>
      <c r="F28" s="134">
        <v>4.2300000000000004</v>
      </c>
      <c r="G28" s="134">
        <v>2.8</v>
      </c>
      <c r="H28" s="134">
        <v>1.1299999999999999</v>
      </c>
      <c r="I28" s="134">
        <v>6.42</v>
      </c>
      <c r="J28" s="134">
        <v>0.36</v>
      </c>
      <c r="K28" s="134">
        <v>272.58</v>
      </c>
      <c r="L28" s="134">
        <v>23.52</v>
      </c>
      <c r="M28" s="134">
        <v>99.36</v>
      </c>
      <c r="N28" s="134">
        <v>0</v>
      </c>
      <c r="O28" s="134">
        <v>0.2</v>
      </c>
      <c r="P28" s="134">
        <v>0.46</v>
      </c>
      <c r="Q28" s="134">
        <v>4.97</v>
      </c>
    </row>
    <row r="29" spans="1:17" customFormat="1">
      <c r="A29" s="112" t="s">
        <v>1603</v>
      </c>
      <c r="B29" s="134">
        <v>9.57</v>
      </c>
      <c r="C29" s="134">
        <v>17.79</v>
      </c>
      <c r="D29" s="134">
        <v>18.32</v>
      </c>
      <c r="E29" s="134">
        <v>7.48</v>
      </c>
      <c r="F29" s="134">
        <v>4.72</v>
      </c>
      <c r="G29" s="134">
        <v>2.8</v>
      </c>
      <c r="H29" s="134">
        <v>1.1299999999999999</v>
      </c>
      <c r="I29" s="134">
        <v>6.46</v>
      </c>
      <c r="J29" s="134">
        <v>0.22</v>
      </c>
      <c r="K29" s="134">
        <v>247.1</v>
      </c>
      <c r="L29" s="134">
        <v>23.67</v>
      </c>
      <c r="M29" s="134">
        <v>99.35</v>
      </c>
      <c r="N29" s="134">
        <v>0</v>
      </c>
      <c r="O29" s="134">
        <v>0.2</v>
      </c>
      <c r="P29" s="134">
        <v>0.44</v>
      </c>
      <c r="Q29" s="134">
        <v>4.99</v>
      </c>
    </row>
    <row r="30" spans="1:17" customFormat="1">
      <c r="A30" s="112" t="s">
        <v>1604</v>
      </c>
      <c r="B30" s="134">
        <v>9.68</v>
      </c>
      <c r="C30" s="134">
        <v>19.07</v>
      </c>
      <c r="D30" s="134">
        <v>19.079999999999998</v>
      </c>
      <c r="E30" s="134">
        <v>7.5</v>
      </c>
      <c r="F30" s="134">
        <v>4.03</v>
      </c>
      <c r="G30" s="134">
        <v>2.27</v>
      </c>
      <c r="H30" s="134">
        <v>0.88</v>
      </c>
      <c r="I30" s="134">
        <v>6.32</v>
      </c>
      <c r="J30" s="134">
        <v>0.17</v>
      </c>
      <c r="K30" s="134">
        <v>254.5</v>
      </c>
      <c r="L30" s="134">
        <v>23.71</v>
      </c>
      <c r="M30" s="134">
        <v>99.35</v>
      </c>
      <c r="N30" s="134">
        <v>0</v>
      </c>
      <c r="O30" s="134">
        <v>0</v>
      </c>
      <c r="P30" s="134">
        <v>0.46</v>
      </c>
      <c r="Q30" s="134">
        <v>4.9800000000000004</v>
      </c>
    </row>
    <row r="31" spans="1:17" customFormat="1">
      <c r="A31" s="112" t="s">
        <v>1605</v>
      </c>
      <c r="B31" s="134">
        <v>10</v>
      </c>
      <c r="C31" s="134">
        <v>19.16</v>
      </c>
      <c r="D31" s="134">
        <v>19.38</v>
      </c>
      <c r="E31" s="134">
        <v>7.55</v>
      </c>
      <c r="F31" s="134">
        <v>4.0599999999999996</v>
      </c>
      <c r="G31" s="134">
        <v>2.1800000000000002</v>
      </c>
      <c r="H31" s="134">
        <v>0.88</v>
      </c>
      <c r="I31" s="134">
        <v>6.23</v>
      </c>
      <c r="J31" s="134">
        <v>0.17</v>
      </c>
      <c r="K31" s="134">
        <v>243.18</v>
      </c>
      <c r="L31" s="134">
        <v>23.76</v>
      </c>
      <c r="M31" s="134">
        <v>99.35</v>
      </c>
      <c r="N31" s="134">
        <v>0</v>
      </c>
      <c r="O31" s="134">
        <v>0</v>
      </c>
      <c r="P31" s="134">
        <v>0.47</v>
      </c>
      <c r="Q31" s="134">
        <v>5.0199999999999996</v>
      </c>
    </row>
    <row r="32" spans="1:17" customFormat="1">
      <c r="A32" s="112" t="s">
        <v>1606</v>
      </c>
      <c r="B32" s="134">
        <v>10.029999999999999</v>
      </c>
      <c r="C32" s="134">
        <v>17.82</v>
      </c>
      <c r="D32" s="134">
        <v>18.71</v>
      </c>
      <c r="E32" s="134">
        <v>7.98</v>
      </c>
      <c r="F32" s="134">
        <v>4.8099999999999996</v>
      </c>
      <c r="G32" s="134">
        <v>2.1800000000000002</v>
      </c>
      <c r="H32" s="134">
        <v>0.88</v>
      </c>
      <c r="I32" s="134">
        <v>6.29</v>
      </c>
      <c r="J32" s="134">
        <v>0.21</v>
      </c>
      <c r="K32" s="134">
        <v>251.13</v>
      </c>
      <c r="L32" s="134">
        <v>23.78</v>
      </c>
      <c r="M32" s="134">
        <v>99.35</v>
      </c>
      <c r="N32" s="134">
        <v>0</v>
      </c>
      <c r="O32" s="134">
        <v>0.2</v>
      </c>
      <c r="P32" s="134">
        <v>0.45</v>
      </c>
      <c r="Q32" s="134">
        <v>5.04</v>
      </c>
    </row>
    <row r="33" spans="1:17" customFormat="1">
      <c r="A33" s="112" t="s">
        <v>1607</v>
      </c>
      <c r="B33" s="134">
        <v>9.85</v>
      </c>
      <c r="C33" s="134">
        <v>18.420000000000002</v>
      </c>
      <c r="D33" s="134">
        <v>18.87</v>
      </c>
      <c r="E33" s="134">
        <v>7.66</v>
      </c>
      <c r="F33" s="134">
        <v>4.3099999999999996</v>
      </c>
      <c r="G33" s="134">
        <v>2.1800000000000002</v>
      </c>
      <c r="H33" s="134">
        <v>0.88</v>
      </c>
      <c r="I33" s="134">
        <v>6.21</v>
      </c>
      <c r="J33" s="134">
        <v>0.23</v>
      </c>
      <c r="K33" s="134">
        <v>241.06</v>
      </c>
      <c r="L33" s="134">
        <v>23.87</v>
      </c>
      <c r="M33" s="134">
        <v>99.36</v>
      </c>
      <c r="N33" s="134">
        <v>0.4</v>
      </c>
      <c r="O33" s="134">
        <v>0</v>
      </c>
      <c r="P33" s="134">
        <v>0.46</v>
      </c>
      <c r="Q33" s="134">
        <v>5.01</v>
      </c>
    </row>
    <row r="34" spans="1:17" customFormat="1">
      <c r="A34" s="112" t="s">
        <v>1608</v>
      </c>
      <c r="B34" s="134">
        <v>9.9</v>
      </c>
      <c r="C34" s="134">
        <v>19.39</v>
      </c>
      <c r="D34" s="134">
        <v>19.420000000000002</v>
      </c>
      <c r="E34" s="134">
        <v>7.97</v>
      </c>
      <c r="F34" s="134">
        <v>4.08</v>
      </c>
      <c r="G34" s="134">
        <v>1.74</v>
      </c>
      <c r="H34" s="134">
        <v>0.8</v>
      </c>
      <c r="I34" s="134">
        <v>6.07</v>
      </c>
      <c r="J34" s="134">
        <v>0.25</v>
      </c>
      <c r="K34" s="134">
        <v>249.96</v>
      </c>
      <c r="L34" s="134">
        <v>23.79</v>
      </c>
      <c r="M34" s="134">
        <v>99.37</v>
      </c>
      <c r="N34" s="134">
        <v>3.4</v>
      </c>
      <c r="O34" s="134">
        <v>0</v>
      </c>
      <c r="P34" s="134">
        <v>0.47</v>
      </c>
      <c r="Q34" s="134">
        <v>5.01</v>
      </c>
    </row>
    <row r="35" spans="1:17" customFormat="1">
      <c r="A35" s="112" t="s">
        <v>1609</v>
      </c>
      <c r="B35" s="134">
        <v>10.15</v>
      </c>
      <c r="C35" s="134">
        <v>18.010000000000002</v>
      </c>
      <c r="D35" s="134">
        <v>18.899999999999999</v>
      </c>
      <c r="E35" s="134">
        <v>8.0500000000000007</v>
      </c>
      <c r="F35" s="134">
        <v>4.71</v>
      </c>
      <c r="G35" s="134">
        <v>1.66</v>
      </c>
      <c r="H35" s="134">
        <v>0.8</v>
      </c>
      <c r="I35" s="134">
        <v>6.07</v>
      </c>
      <c r="J35" s="134">
        <v>0.14000000000000001</v>
      </c>
      <c r="K35" s="134">
        <v>248.96</v>
      </c>
      <c r="L35" s="134">
        <v>23.86</v>
      </c>
      <c r="M35" s="134">
        <v>99.35</v>
      </c>
      <c r="N35" s="134">
        <v>3.2</v>
      </c>
      <c r="O35" s="134">
        <v>0</v>
      </c>
      <c r="P35" s="134">
        <v>0.45</v>
      </c>
      <c r="Q35" s="134">
        <v>5.05</v>
      </c>
    </row>
    <row r="36" spans="1:17" customFormat="1">
      <c r="A36" s="112" t="s">
        <v>1610</v>
      </c>
      <c r="B36" s="134">
        <v>10.07</v>
      </c>
      <c r="C36" s="134">
        <v>17.850000000000001</v>
      </c>
      <c r="D36" s="134">
        <v>18.75</v>
      </c>
      <c r="E36" s="134">
        <v>7.53</v>
      </c>
      <c r="F36" s="134">
        <v>4.53</v>
      </c>
      <c r="G36" s="134">
        <v>1.66</v>
      </c>
      <c r="H36" s="134">
        <v>0.8</v>
      </c>
      <c r="I36" s="134">
        <v>5.95</v>
      </c>
      <c r="J36" s="134">
        <v>0.06</v>
      </c>
      <c r="K36" s="134">
        <v>260.19</v>
      </c>
      <c r="L36" s="134">
        <v>23.96</v>
      </c>
      <c r="M36" s="134">
        <v>99.36</v>
      </c>
      <c r="N36" s="134">
        <v>26.6</v>
      </c>
      <c r="O36" s="134">
        <v>0.2</v>
      </c>
      <c r="P36" s="134">
        <v>0.43</v>
      </c>
      <c r="Q36" s="134">
        <v>5.03</v>
      </c>
    </row>
    <row r="37" spans="1:17" customFormat="1">
      <c r="A37" s="112" t="s">
        <v>1611</v>
      </c>
      <c r="B37" s="134">
        <v>10.06</v>
      </c>
      <c r="C37" s="134">
        <v>19.260000000000002</v>
      </c>
      <c r="D37" s="134">
        <v>19.48</v>
      </c>
      <c r="E37" s="134">
        <v>7.78</v>
      </c>
      <c r="F37" s="134">
        <v>3.97</v>
      </c>
      <c r="G37" s="134">
        <v>1.66</v>
      </c>
      <c r="H37" s="134">
        <v>0.8</v>
      </c>
      <c r="I37" s="134">
        <v>5.83</v>
      </c>
      <c r="J37" s="134">
        <v>0.11</v>
      </c>
      <c r="K37" s="134">
        <v>311.98</v>
      </c>
      <c r="L37" s="134">
        <v>24.17</v>
      </c>
      <c r="M37" s="134">
        <v>99.38</v>
      </c>
      <c r="N37" s="134">
        <v>54.8</v>
      </c>
      <c r="O37" s="134">
        <v>0</v>
      </c>
      <c r="P37" s="134">
        <v>0.45</v>
      </c>
      <c r="Q37" s="134">
        <v>5.04</v>
      </c>
    </row>
    <row r="38" spans="1:17" customFormat="1">
      <c r="A38" s="112" t="s">
        <v>1612</v>
      </c>
      <c r="B38" s="134">
        <v>10.07</v>
      </c>
      <c r="C38" s="134">
        <v>17.89</v>
      </c>
      <c r="D38" s="134">
        <v>18.78</v>
      </c>
      <c r="E38" s="134">
        <v>8.18</v>
      </c>
      <c r="F38" s="134">
        <v>4.96</v>
      </c>
      <c r="G38" s="134">
        <v>1.29</v>
      </c>
      <c r="H38" s="134">
        <v>0.82</v>
      </c>
      <c r="I38" s="134">
        <v>5.8</v>
      </c>
      <c r="J38" s="134">
        <v>0.23</v>
      </c>
      <c r="K38" s="134">
        <v>279.10000000000002</v>
      </c>
      <c r="L38" s="134">
        <v>24.29</v>
      </c>
      <c r="M38" s="134">
        <v>99.38</v>
      </c>
      <c r="N38" s="134">
        <v>41.8</v>
      </c>
      <c r="O38" s="134">
        <v>0</v>
      </c>
      <c r="P38" s="134">
        <v>0.44</v>
      </c>
      <c r="Q38" s="134">
        <v>5.07</v>
      </c>
    </row>
    <row r="39" spans="1:17" customFormat="1">
      <c r="A39" s="112" t="s">
        <v>1613</v>
      </c>
      <c r="B39" s="134">
        <v>10.17</v>
      </c>
      <c r="C39" s="134">
        <v>18.3</v>
      </c>
      <c r="D39" s="134">
        <v>19.07</v>
      </c>
      <c r="E39" s="134">
        <v>7.94</v>
      </c>
      <c r="F39" s="134">
        <v>4.47</v>
      </c>
      <c r="G39" s="134">
        <v>1.23</v>
      </c>
      <c r="H39" s="134">
        <v>0.82</v>
      </c>
      <c r="I39" s="134">
        <v>5.76</v>
      </c>
      <c r="J39" s="134">
        <v>0.15</v>
      </c>
      <c r="K39" s="134">
        <v>283.57</v>
      </c>
      <c r="L39" s="134">
        <v>24.4</v>
      </c>
      <c r="M39" s="134">
        <v>99.38</v>
      </c>
      <c r="N39" s="134">
        <v>72.2</v>
      </c>
      <c r="O39" s="134">
        <v>0</v>
      </c>
      <c r="P39" s="134">
        <v>0.44</v>
      </c>
      <c r="Q39" s="134">
        <v>5.04</v>
      </c>
    </row>
    <row r="40" spans="1:17" customFormat="1">
      <c r="A40" s="112" t="s">
        <v>1614</v>
      </c>
      <c r="B40" s="134">
        <v>10.23</v>
      </c>
      <c r="C40" s="134">
        <v>19.010000000000002</v>
      </c>
      <c r="D40" s="134">
        <v>19.489999999999998</v>
      </c>
      <c r="E40" s="134">
        <v>8.2899999999999991</v>
      </c>
      <c r="F40" s="134">
        <v>4.04</v>
      </c>
      <c r="G40" s="134">
        <v>1.23</v>
      </c>
      <c r="H40" s="134">
        <v>0.82</v>
      </c>
      <c r="I40" s="134">
        <v>5.6</v>
      </c>
      <c r="J40" s="134">
        <v>0.14000000000000001</v>
      </c>
      <c r="K40" s="134">
        <v>298.12</v>
      </c>
      <c r="L40" s="134">
        <v>24.73</v>
      </c>
      <c r="M40" s="134">
        <v>99.38</v>
      </c>
      <c r="N40" s="134">
        <v>100.5</v>
      </c>
      <c r="O40" s="134">
        <v>0</v>
      </c>
      <c r="P40" s="134">
        <v>0.44</v>
      </c>
      <c r="Q40" s="134">
        <v>5.05</v>
      </c>
    </row>
    <row r="41" spans="1:17" customFormat="1">
      <c r="A41" s="112" t="s">
        <v>1615</v>
      </c>
      <c r="B41" s="134">
        <v>10.23</v>
      </c>
      <c r="C41" s="134">
        <v>17.52</v>
      </c>
      <c r="D41" s="134">
        <v>18.71</v>
      </c>
      <c r="E41" s="134">
        <v>7.96</v>
      </c>
      <c r="F41" s="134">
        <v>5.07</v>
      </c>
      <c r="G41" s="134">
        <v>1.23</v>
      </c>
      <c r="H41" s="134">
        <v>0.82</v>
      </c>
      <c r="I41" s="134">
        <v>5.64</v>
      </c>
      <c r="J41" s="134">
        <v>0.31</v>
      </c>
      <c r="K41" s="134">
        <v>280</v>
      </c>
      <c r="L41" s="134">
        <v>24.87</v>
      </c>
      <c r="M41" s="134">
        <v>99.37</v>
      </c>
      <c r="N41" s="134">
        <v>65.599999999999994</v>
      </c>
      <c r="O41" s="134">
        <v>0</v>
      </c>
      <c r="P41" s="134">
        <v>0.43</v>
      </c>
      <c r="Q41" s="134">
        <v>5.08</v>
      </c>
    </row>
    <row r="42" spans="1:17" customFormat="1">
      <c r="A42" s="112" t="s">
        <v>1616</v>
      </c>
      <c r="B42" s="134">
        <v>10.25</v>
      </c>
      <c r="C42" s="134">
        <v>17.68</v>
      </c>
      <c r="D42" s="134">
        <v>18.8</v>
      </c>
      <c r="E42" s="134">
        <v>7.76</v>
      </c>
      <c r="F42" s="134">
        <v>4.72</v>
      </c>
      <c r="G42" s="134">
        <v>0.98</v>
      </c>
      <c r="H42" s="134">
        <v>0.77</v>
      </c>
      <c r="I42" s="134">
        <v>5.51</v>
      </c>
      <c r="J42" s="134">
        <v>0.3</v>
      </c>
      <c r="K42" s="134">
        <v>261.92</v>
      </c>
      <c r="L42" s="134">
        <v>24.97</v>
      </c>
      <c r="M42" s="134">
        <v>99.37</v>
      </c>
      <c r="N42" s="134">
        <v>85.9</v>
      </c>
      <c r="O42" s="134">
        <v>0</v>
      </c>
      <c r="P42" s="134">
        <v>0.43</v>
      </c>
      <c r="Q42" s="134">
        <v>5.0599999999999996</v>
      </c>
    </row>
    <row r="43" spans="1:17" customFormat="1">
      <c r="A43" s="112" t="s">
        <v>1617</v>
      </c>
      <c r="B43" s="134">
        <v>10.33</v>
      </c>
      <c r="C43" s="134">
        <v>18.73</v>
      </c>
      <c r="D43" s="134">
        <v>19.420000000000002</v>
      </c>
      <c r="E43" s="134">
        <v>8.07</v>
      </c>
      <c r="F43" s="134">
        <v>4.26</v>
      </c>
      <c r="G43" s="134">
        <v>0.94</v>
      </c>
      <c r="H43" s="134">
        <v>0.77</v>
      </c>
      <c r="I43" s="134">
        <v>5.33</v>
      </c>
      <c r="J43" s="134">
        <v>0.33</v>
      </c>
      <c r="K43" s="134">
        <v>261.49</v>
      </c>
      <c r="L43" s="134">
        <v>25.34</v>
      </c>
      <c r="M43" s="134">
        <v>99.38</v>
      </c>
      <c r="N43" s="134">
        <v>159.4</v>
      </c>
      <c r="O43" s="134">
        <v>0</v>
      </c>
      <c r="P43" s="134">
        <v>0.43</v>
      </c>
      <c r="Q43" s="134">
        <v>5.08</v>
      </c>
    </row>
    <row r="44" spans="1:17" customFormat="1">
      <c r="A44" s="112" t="s">
        <v>1618</v>
      </c>
      <c r="B44" s="134">
        <v>10.3</v>
      </c>
      <c r="C44" s="134">
        <v>17.38</v>
      </c>
      <c r="D44" s="134">
        <v>18.690000000000001</v>
      </c>
      <c r="E44" s="134">
        <v>8.14</v>
      </c>
      <c r="F44" s="134">
        <v>5.22</v>
      </c>
      <c r="G44" s="134">
        <v>0.94</v>
      </c>
      <c r="H44" s="134">
        <v>0.77</v>
      </c>
      <c r="I44" s="134">
        <v>5.36</v>
      </c>
      <c r="J44" s="134">
        <v>0.36</v>
      </c>
      <c r="K44" s="134">
        <v>260.56</v>
      </c>
      <c r="L44" s="134">
        <v>25.74</v>
      </c>
      <c r="M44" s="134">
        <v>99.38</v>
      </c>
      <c r="N44" s="134">
        <v>169</v>
      </c>
      <c r="O44" s="134">
        <v>0</v>
      </c>
      <c r="P44" s="134">
        <v>0.42</v>
      </c>
      <c r="Q44" s="134">
        <v>5.1100000000000003</v>
      </c>
    </row>
    <row r="45" spans="1:17" customFormat="1">
      <c r="A45" s="112" t="s">
        <v>1619</v>
      </c>
      <c r="B45" s="134">
        <v>10.26</v>
      </c>
      <c r="C45" s="134">
        <v>16.55</v>
      </c>
      <c r="D45" s="134">
        <v>18.22</v>
      </c>
      <c r="E45" s="134">
        <v>7.9</v>
      </c>
      <c r="F45" s="134">
        <v>5.4</v>
      </c>
      <c r="G45" s="134">
        <v>0.94</v>
      </c>
      <c r="H45" s="134">
        <v>0.77</v>
      </c>
      <c r="I45" s="134">
        <v>5.25</v>
      </c>
      <c r="J45" s="134">
        <v>0.37</v>
      </c>
      <c r="K45" s="134">
        <v>262.14</v>
      </c>
      <c r="L45" s="134">
        <v>26.18</v>
      </c>
      <c r="M45" s="134">
        <v>99.38</v>
      </c>
      <c r="N45" s="134">
        <v>248.6</v>
      </c>
      <c r="O45" s="134">
        <v>0</v>
      </c>
      <c r="P45" s="134">
        <v>0.42</v>
      </c>
      <c r="Q45" s="134">
        <v>5.0599999999999996</v>
      </c>
    </row>
    <row r="46" spans="1:17" customFormat="1">
      <c r="A46" s="112" t="s">
        <v>1620</v>
      </c>
      <c r="B46" s="134">
        <v>10.23</v>
      </c>
      <c r="C46" s="134">
        <v>18.78</v>
      </c>
      <c r="D46" s="134">
        <v>19.36</v>
      </c>
      <c r="E46" s="134">
        <v>8.2899999999999991</v>
      </c>
      <c r="F46" s="134">
        <v>4.59</v>
      </c>
      <c r="G46" s="134">
        <v>0.76</v>
      </c>
      <c r="H46" s="134">
        <v>1.56</v>
      </c>
      <c r="I46" s="134">
        <v>5.09</v>
      </c>
      <c r="J46" s="134">
        <v>0.41</v>
      </c>
      <c r="K46" s="134">
        <v>259.47000000000003</v>
      </c>
      <c r="L46" s="134">
        <v>26.98</v>
      </c>
      <c r="M46" s="134">
        <v>98.89</v>
      </c>
      <c r="N46" s="134">
        <v>480.7</v>
      </c>
      <c r="O46" s="134">
        <v>0</v>
      </c>
      <c r="P46" s="134">
        <v>0.43</v>
      </c>
      <c r="Q46" s="134">
        <v>5.08</v>
      </c>
    </row>
    <row r="47" spans="1:17" customFormat="1">
      <c r="A47" s="112" t="s">
        <v>1621</v>
      </c>
      <c r="B47" s="134">
        <v>10.41</v>
      </c>
      <c r="C47" s="134">
        <v>17.25</v>
      </c>
      <c r="D47" s="134">
        <v>18.72</v>
      </c>
      <c r="E47" s="134">
        <v>7.92</v>
      </c>
      <c r="F47" s="134">
        <v>5.17</v>
      </c>
      <c r="G47" s="134">
        <v>0.73</v>
      </c>
      <c r="H47" s="134">
        <v>1.56</v>
      </c>
      <c r="I47" s="134">
        <v>5.08</v>
      </c>
      <c r="J47" s="134">
        <v>0.44</v>
      </c>
      <c r="K47" s="134">
        <v>257.93</v>
      </c>
      <c r="L47" s="134">
        <v>27.38</v>
      </c>
      <c r="M47" s="134">
        <v>93.76</v>
      </c>
      <c r="N47" s="134">
        <v>242.3</v>
      </c>
      <c r="O47" s="134">
        <v>0</v>
      </c>
      <c r="P47" s="134">
        <v>0.42</v>
      </c>
      <c r="Q47" s="134">
        <v>5.09</v>
      </c>
    </row>
    <row r="48" spans="1:17" customFormat="1">
      <c r="A48" s="112" t="s">
        <v>1622</v>
      </c>
      <c r="B48" s="134">
        <v>10.32</v>
      </c>
      <c r="C48" s="134">
        <v>16.149999999999999</v>
      </c>
      <c r="D48" s="134">
        <v>18.07</v>
      </c>
      <c r="E48" s="134">
        <v>7.67</v>
      </c>
      <c r="F48" s="134">
        <v>5.59</v>
      </c>
      <c r="G48" s="134">
        <v>0.73</v>
      </c>
      <c r="H48" s="134">
        <v>1.56</v>
      </c>
      <c r="I48" s="134">
        <v>5.07</v>
      </c>
      <c r="J48" s="134">
        <v>0.48</v>
      </c>
      <c r="K48" s="134">
        <v>256.14999999999998</v>
      </c>
      <c r="L48" s="134">
        <v>26.99</v>
      </c>
      <c r="M48" s="134">
        <v>90.27</v>
      </c>
      <c r="N48" s="134">
        <v>184.3</v>
      </c>
      <c r="O48" s="134">
        <v>0</v>
      </c>
      <c r="P48" s="134">
        <v>0.4</v>
      </c>
      <c r="Q48" s="134">
        <v>5.07</v>
      </c>
    </row>
    <row r="49" spans="1:17" customFormat="1">
      <c r="A49" s="112" t="s">
        <v>1623</v>
      </c>
      <c r="B49" s="134">
        <v>10.09</v>
      </c>
      <c r="C49" s="134">
        <v>15.55</v>
      </c>
      <c r="D49" s="134">
        <v>17.57</v>
      </c>
      <c r="E49" s="134">
        <v>8.66</v>
      </c>
      <c r="F49" s="134">
        <v>5.64</v>
      </c>
      <c r="G49" s="134">
        <v>0.73</v>
      </c>
      <c r="H49" s="134">
        <v>1.56</v>
      </c>
      <c r="I49" s="134">
        <v>4.92</v>
      </c>
      <c r="J49" s="134">
        <v>0.51</v>
      </c>
      <c r="K49" s="134">
        <v>250.19</v>
      </c>
      <c r="L49" s="134">
        <v>27.14</v>
      </c>
      <c r="M49" s="134">
        <v>89.49</v>
      </c>
      <c r="N49" s="134">
        <v>258</v>
      </c>
      <c r="O49" s="134">
        <v>0</v>
      </c>
      <c r="P49" s="134">
        <v>0.4</v>
      </c>
      <c r="Q49" s="134">
        <v>5.05</v>
      </c>
    </row>
    <row r="50" spans="1:17" customFormat="1">
      <c r="A50" s="112" t="s">
        <v>1624</v>
      </c>
      <c r="B50" s="134">
        <v>9.74</v>
      </c>
      <c r="C50" s="134">
        <v>16.100000000000001</v>
      </c>
      <c r="D50" s="134">
        <v>17.579999999999998</v>
      </c>
      <c r="E50" s="134">
        <v>9.9600000000000009</v>
      </c>
      <c r="F50" s="134">
        <v>5.72</v>
      </c>
      <c r="G50" s="134">
        <v>1.8</v>
      </c>
      <c r="H50" s="134">
        <v>2.67</v>
      </c>
      <c r="I50" s="134">
        <v>4.8</v>
      </c>
      <c r="J50" s="134">
        <v>0.53</v>
      </c>
      <c r="K50" s="134">
        <v>256.16000000000003</v>
      </c>
      <c r="L50" s="134">
        <v>27.55</v>
      </c>
      <c r="M50" s="134">
        <v>88.12</v>
      </c>
      <c r="N50" s="134">
        <v>278.10000000000002</v>
      </c>
      <c r="O50" s="134">
        <v>0</v>
      </c>
      <c r="P50" s="134">
        <v>0.39</v>
      </c>
      <c r="Q50" s="134">
        <v>5.04</v>
      </c>
    </row>
    <row r="51" spans="1:17" customFormat="1">
      <c r="A51" s="112" t="s">
        <v>1625</v>
      </c>
      <c r="B51" s="134">
        <v>10</v>
      </c>
      <c r="C51" s="134">
        <v>17.649999999999999</v>
      </c>
      <c r="D51" s="134">
        <v>18.600000000000001</v>
      </c>
      <c r="E51" s="134">
        <v>10.11</v>
      </c>
      <c r="F51" s="134">
        <v>4.5999999999999996</v>
      </c>
      <c r="G51" s="134">
        <v>1.98</v>
      </c>
      <c r="H51" s="134">
        <v>2.67</v>
      </c>
      <c r="I51" s="134">
        <v>4.71</v>
      </c>
      <c r="J51" s="134">
        <v>0.5</v>
      </c>
      <c r="K51" s="134">
        <v>259.98</v>
      </c>
      <c r="L51" s="134">
        <v>27.42</v>
      </c>
      <c r="M51" s="134">
        <v>87.97</v>
      </c>
      <c r="N51" s="134">
        <v>239.3</v>
      </c>
      <c r="O51" s="134">
        <v>0</v>
      </c>
      <c r="P51" s="134">
        <v>0.41</v>
      </c>
      <c r="Q51" s="134">
        <v>5.05</v>
      </c>
    </row>
    <row r="52" spans="1:17" customFormat="1">
      <c r="A52" s="112" t="s">
        <v>1626</v>
      </c>
      <c r="B52" s="134">
        <v>10.06</v>
      </c>
      <c r="C52" s="134">
        <v>16.690000000000001</v>
      </c>
      <c r="D52" s="134">
        <v>18.14</v>
      </c>
      <c r="E52" s="134">
        <v>9.86</v>
      </c>
      <c r="F52" s="134">
        <v>5.42</v>
      </c>
      <c r="G52" s="134">
        <v>1.98</v>
      </c>
      <c r="H52" s="134">
        <v>2.67</v>
      </c>
      <c r="I52" s="134">
        <v>4.7300000000000004</v>
      </c>
      <c r="J52" s="134">
        <v>0.6</v>
      </c>
      <c r="K52" s="134">
        <v>251.82</v>
      </c>
      <c r="L52" s="134">
        <v>27.59</v>
      </c>
      <c r="M52" s="134">
        <v>87.45</v>
      </c>
      <c r="N52" s="134">
        <v>234.2</v>
      </c>
      <c r="O52" s="134">
        <v>0</v>
      </c>
      <c r="P52" s="134">
        <v>0.41</v>
      </c>
      <c r="Q52" s="134">
        <v>5.09</v>
      </c>
    </row>
    <row r="53" spans="1:17" customFormat="1">
      <c r="A53" s="112" t="s">
        <v>1627</v>
      </c>
      <c r="B53" s="134">
        <v>10</v>
      </c>
      <c r="C53" s="134">
        <v>16.75</v>
      </c>
      <c r="D53" s="134">
        <v>18.12</v>
      </c>
      <c r="E53" s="134">
        <v>10.199999999999999</v>
      </c>
      <c r="F53" s="134">
        <v>5.16</v>
      </c>
      <c r="G53" s="134">
        <v>1.98</v>
      </c>
      <c r="H53" s="134">
        <v>2.67</v>
      </c>
      <c r="I53" s="134">
        <v>4.7</v>
      </c>
      <c r="J53" s="134">
        <v>0.43</v>
      </c>
      <c r="K53" s="134">
        <v>253.49</v>
      </c>
      <c r="L53" s="134">
        <v>27.76</v>
      </c>
      <c r="M53" s="134">
        <v>87.21</v>
      </c>
      <c r="N53" s="134">
        <v>316.89999999999998</v>
      </c>
      <c r="O53" s="134">
        <v>0</v>
      </c>
      <c r="P53" s="134">
        <v>0.41</v>
      </c>
      <c r="Q53" s="134">
        <v>5.03</v>
      </c>
    </row>
    <row r="54" spans="1:17" customFormat="1">
      <c r="A54" s="112" t="s">
        <v>1628</v>
      </c>
      <c r="B54" s="134">
        <v>9.85</v>
      </c>
      <c r="C54" s="134">
        <v>15.98</v>
      </c>
      <c r="D54" s="134">
        <v>17.59</v>
      </c>
      <c r="E54" s="134">
        <v>10.220000000000001</v>
      </c>
      <c r="F54" s="134">
        <v>6.09</v>
      </c>
      <c r="G54" s="134">
        <v>1.84</v>
      </c>
      <c r="H54" s="134">
        <v>2.2599999999999998</v>
      </c>
      <c r="I54" s="134">
        <v>4.5999999999999996</v>
      </c>
      <c r="J54" s="134">
        <v>0.36</v>
      </c>
      <c r="K54" s="134">
        <v>244.77</v>
      </c>
      <c r="L54" s="134">
        <v>28.43</v>
      </c>
      <c r="M54" s="134">
        <v>84.45</v>
      </c>
      <c r="N54" s="134">
        <v>393.2</v>
      </c>
      <c r="O54" s="134">
        <v>0</v>
      </c>
      <c r="P54" s="134">
        <v>0.41</v>
      </c>
      <c r="Q54" s="134">
        <v>5.0199999999999996</v>
      </c>
    </row>
    <row r="55" spans="1:17" customFormat="1">
      <c r="A55" s="112" t="s">
        <v>1629</v>
      </c>
      <c r="B55" s="134">
        <v>9.7100000000000009</v>
      </c>
      <c r="C55" s="134">
        <v>15.58</v>
      </c>
      <c r="D55" s="134">
        <v>17.28</v>
      </c>
      <c r="E55" s="134">
        <v>9.58</v>
      </c>
      <c r="F55" s="134">
        <v>6.01</v>
      </c>
      <c r="G55" s="134">
        <v>1.82</v>
      </c>
      <c r="H55" s="134">
        <v>2.2599999999999998</v>
      </c>
      <c r="I55" s="134">
        <v>4.5599999999999996</v>
      </c>
      <c r="J55" s="134">
        <v>0.46</v>
      </c>
      <c r="K55" s="134">
        <v>261.44</v>
      </c>
      <c r="L55" s="134">
        <v>28.43</v>
      </c>
      <c r="M55" s="134">
        <v>83.87</v>
      </c>
      <c r="N55" s="134">
        <v>235.2</v>
      </c>
      <c r="O55" s="134">
        <v>0</v>
      </c>
      <c r="P55" s="134">
        <v>0.39</v>
      </c>
      <c r="Q55" s="134">
        <v>5.03</v>
      </c>
    </row>
    <row r="56" spans="1:17" customFormat="1">
      <c r="A56" s="112" t="s">
        <v>1630</v>
      </c>
      <c r="B56" s="134">
        <v>9.4700000000000006</v>
      </c>
      <c r="C56" s="134">
        <v>15.59</v>
      </c>
      <c r="D56" s="134">
        <v>17.09</v>
      </c>
      <c r="E56" s="134">
        <v>9.3699999999999992</v>
      </c>
      <c r="F56" s="134">
        <v>6.04</v>
      </c>
      <c r="G56" s="134">
        <v>1.82</v>
      </c>
      <c r="H56" s="134">
        <v>2.2599999999999998</v>
      </c>
      <c r="I56" s="134">
        <v>4.38</v>
      </c>
      <c r="J56" s="134">
        <v>0.42</v>
      </c>
      <c r="K56" s="134">
        <v>241.91</v>
      </c>
      <c r="L56" s="134">
        <v>28.04</v>
      </c>
      <c r="M56" s="134">
        <v>84.59</v>
      </c>
      <c r="N56" s="134">
        <v>255.5</v>
      </c>
      <c r="O56" s="134">
        <v>0</v>
      </c>
      <c r="P56" s="134">
        <v>0.39</v>
      </c>
      <c r="Q56" s="134">
        <v>5.0199999999999996</v>
      </c>
    </row>
    <row r="57" spans="1:17" customFormat="1">
      <c r="A57" s="112" t="s">
        <v>1631</v>
      </c>
      <c r="B57" s="134">
        <v>9.27</v>
      </c>
      <c r="C57" s="134">
        <v>15.23</v>
      </c>
      <c r="D57" s="134">
        <v>16.739999999999998</v>
      </c>
      <c r="E57" s="134">
        <v>9.3800000000000008</v>
      </c>
      <c r="F57" s="134">
        <v>6.2</v>
      </c>
      <c r="G57" s="134">
        <v>1.82</v>
      </c>
      <c r="H57" s="134">
        <v>2.2599999999999998</v>
      </c>
      <c r="I57" s="134">
        <v>4.3899999999999997</v>
      </c>
      <c r="J57" s="134">
        <v>0.41</v>
      </c>
      <c r="K57" s="134">
        <v>252.47</v>
      </c>
      <c r="L57" s="134">
        <v>28.44</v>
      </c>
      <c r="M57" s="134">
        <v>82.83</v>
      </c>
      <c r="N57" s="134">
        <v>372.1</v>
      </c>
      <c r="O57" s="134">
        <v>0</v>
      </c>
      <c r="P57" s="134">
        <v>0.38</v>
      </c>
      <c r="Q57" s="134">
        <v>4.99</v>
      </c>
    </row>
    <row r="58" spans="1:17" customFormat="1">
      <c r="A58" s="112" t="s">
        <v>1632</v>
      </c>
      <c r="B58" s="134">
        <v>8.7200000000000006</v>
      </c>
      <c r="C58" s="134">
        <v>14.87</v>
      </c>
      <c r="D58" s="134">
        <v>16.11</v>
      </c>
      <c r="E58" s="134">
        <v>9.68</v>
      </c>
      <c r="F58" s="134">
        <v>7.23</v>
      </c>
      <c r="G58" s="134">
        <v>1.73</v>
      </c>
      <c r="H58" s="134">
        <v>2.57</v>
      </c>
      <c r="I58" s="134">
        <v>4.29</v>
      </c>
      <c r="J58" s="134">
        <v>0.32</v>
      </c>
      <c r="K58" s="134">
        <v>262.42</v>
      </c>
      <c r="L58" s="134">
        <v>28.26</v>
      </c>
      <c r="M58" s="134">
        <v>83.76</v>
      </c>
      <c r="N58" s="134">
        <v>174.4</v>
      </c>
      <c r="O58" s="134">
        <v>0</v>
      </c>
      <c r="P58" s="134">
        <v>0.37</v>
      </c>
      <c r="Q58" s="134">
        <v>4.9800000000000004</v>
      </c>
    </row>
    <row r="59" spans="1:17" customFormat="1">
      <c r="A59" s="112" t="s">
        <v>1633</v>
      </c>
      <c r="B59" s="134">
        <v>8.99</v>
      </c>
      <c r="C59" s="134">
        <v>17.059999999999999</v>
      </c>
      <c r="D59" s="134">
        <v>17.47</v>
      </c>
      <c r="E59" s="134">
        <v>10.130000000000001</v>
      </c>
      <c r="F59" s="134">
        <v>5.53</v>
      </c>
      <c r="G59" s="134">
        <v>1.72</v>
      </c>
      <c r="H59" s="134">
        <v>2.57</v>
      </c>
      <c r="I59" s="134">
        <v>4.18</v>
      </c>
      <c r="J59" s="134">
        <v>0.59</v>
      </c>
      <c r="K59" s="134">
        <v>261.5</v>
      </c>
      <c r="L59" s="134">
        <v>27.92</v>
      </c>
      <c r="M59" s="134">
        <v>84.09</v>
      </c>
      <c r="N59" s="134">
        <v>200.3</v>
      </c>
      <c r="O59" s="134">
        <v>0</v>
      </c>
      <c r="P59" s="134">
        <v>0.4</v>
      </c>
      <c r="Q59" s="134">
        <v>5</v>
      </c>
    </row>
    <row r="60" spans="1:17" customFormat="1">
      <c r="A60" s="112" t="s">
        <v>1634</v>
      </c>
      <c r="B60" s="134">
        <v>9.01</v>
      </c>
      <c r="C60" s="134">
        <v>16.899999999999999</v>
      </c>
      <c r="D60" s="134">
        <v>17.41</v>
      </c>
      <c r="E60" s="134">
        <v>10.02</v>
      </c>
      <c r="F60" s="134">
        <v>5.94</v>
      </c>
      <c r="G60" s="134">
        <v>1.72</v>
      </c>
      <c r="H60" s="134">
        <v>2.57</v>
      </c>
      <c r="I60" s="134">
        <v>4.05</v>
      </c>
      <c r="J60" s="134">
        <v>0.5</v>
      </c>
      <c r="K60" s="134">
        <v>244.12</v>
      </c>
      <c r="L60" s="134">
        <v>28</v>
      </c>
      <c r="M60" s="134">
        <v>83.87</v>
      </c>
      <c r="N60" s="134">
        <v>182.6</v>
      </c>
      <c r="O60" s="134">
        <v>0</v>
      </c>
      <c r="P60" s="134">
        <v>0.39</v>
      </c>
      <c r="Q60" s="134">
        <v>4.99</v>
      </c>
    </row>
    <row r="61" spans="1:17" customFormat="1">
      <c r="A61" s="112" t="s">
        <v>1635</v>
      </c>
      <c r="B61" s="134">
        <v>9.07</v>
      </c>
      <c r="C61" s="134">
        <v>15.89</v>
      </c>
      <c r="D61" s="134">
        <v>16.93</v>
      </c>
      <c r="E61" s="134">
        <v>9.61</v>
      </c>
      <c r="F61" s="134">
        <v>5.96</v>
      </c>
      <c r="G61" s="134">
        <v>1.72</v>
      </c>
      <c r="H61" s="134">
        <v>2.57</v>
      </c>
      <c r="I61" s="134">
        <v>4.24</v>
      </c>
      <c r="J61" s="134">
        <v>0.48</v>
      </c>
      <c r="K61" s="134">
        <v>252.17</v>
      </c>
      <c r="L61" s="134">
        <v>27.72</v>
      </c>
      <c r="M61" s="134">
        <v>84.53</v>
      </c>
      <c r="N61" s="134">
        <v>192.7</v>
      </c>
      <c r="O61" s="134">
        <v>0</v>
      </c>
      <c r="P61" s="134">
        <v>0.39</v>
      </c>
      <c r="Q61" s="134">
        <v>4.97</v>
      </c>
    </row>
    <row r="62" spans="1:17" customFormat="1">
      <c r="A62" s="112" t="s">
        <v>1636</v>
      </c>
      <c r="B62" s="134">
        <v>8.67</v>
      </c>
      <c r="C62" s="134">
        <v>15.21</v>
      </c>
      <c r="D62" s="134">
        <v>16.25</v>
      </c>
      <c r="E62" s="134">
        <v>9.42</v>
      </c>
      <c r="F62" s="134">
        <v>7.5</v>
      </c>
      <c r="G62" s="134">
        <v>2.2799999999999998</v>
      </c>
      <c r="H62" s="134">
        <v>1.77</v>
      </c>
      <c r="I62" s="134">
        <v>4.1500000000000004</v>
      </c>
      <c r="J62" s="134">
        <v>0.61</v>
      </c>
      <c r="K62" s="134">
        <v>260.45999999999998</v>
      </c>
      <c r="L62" s="134">
        <v>28.21</v>
      </c>
      <c r="M62" s="134">
        <v>82.96</v>
      </c>
      <c r="N62" s="134">
        <v>269.2</v>
      </c>
      <c r="O62" s="134">
        <v>0</v>
      </c>
      <c r="P62" s="134">
        <v>0.37</v>
      </c>
      <c r="Q62" s="134">
        <v>4.9800000000000004</v>
      </c>
    </row>
    <row r="63" spans="1:17" customFormat="1">
      <c r="A63" s="112" t="s">
        <v>1637</v>
      </c>
      <c r="B63" s="134">
        <v>8.52</v>
      </c>
      <c r="C63" s="134">
        <v>15</v>
      </c>
      <c r="D63" s="134">
        <v>16.02</v>
      </c>
      <c r="E63" s="134">
        <v>9.56</v>
      </c>
      <c r="F63" s="134">
        <v>6.8</v>
      </c>
      <c r="G63" s="134">
        <v>2.37</v>
      </c>
      <c r="H63" s="134">
        <v>1.77</v>
      </c>
      <c r="I63" s="134">
        <v>4.03</v>
      </c>
      <c r="J63" s="134">
        <v>0.38</v>
      </c>
      <c r="K63" s="134">
        <v>254.02</v>
      </c>
      <c r="L63" s="134">
        <v>28.44</v>
      </c>
      <c r="M63" s="134">
        <v>82.61</v>
      </c>
      <c r="N63" s="134">
        <v>252.8</v>
      </c>
      <c r="O63" s="134">
        <v>0</v>
      </c>
      <c r="P63" s="134">
        <v>0.36</v>
      </c>
      <c r="Q63" s="134">
        <v>4.9800000000000004</v>
      </c>
    </row>
    <row r="64" spans="1:17" customFormat="1">
      <c r="A64" s="112" t="s">
        <v>1638</v>
      </c>
      <c r="B64" s="134">
        <v>8.19</v>
      </c>
      <c r="C64" s="134">
        <v>14.7</v>
      </c>
      <c r="D64" s="134">
        <v>15.59</v>
      </c>
      <c r="E64" s="134">
        <v>9.2899999999999991</v>
      </c>
      <c r="F64" s="134">
        <v>6.79</v>
      </c>
      <c r="G64" s="134">
        <v>2.37</v>
      </c>
      <c r="H64" s="134">
        <v>1.77</v>
      </c>
      <c r="I64" s="134">
        <v>3.9</v>
      </c>
      <c r="J64" s="134">
        <v>0.27</v>
      </c>
      <c r="K64" s="134">
        <v>258.18</v>
      </c>
      <c r="L64" s="134">
        <v>28.13</v>
      </c>
      <c r="M64" s="134">
        <v>83.47</v>
      </c>
      <c r="N64" s="134">
        <v>155.5</v>
      </c>
      <c r="O64" s="134">
        <v>0</v>
      </c>
      <c r="P64" s="134">
        <v>0.35</v>
      </c>
      <c r="Q64" s="134">
        <v>4.95</v>
      </c>
    </row>
    <row r="65" spans="1:17" customFormat="1">
      <c r="A65" s="112" t="s">
        <v>1639</v>
      </c>
      <c r="B65" s="134">
        <v>8.0399999999999991</v>
      </c>
      <c r="C65" s="134">
        <v>15.5</v>
      </c>
      <c r="D65" s="134">
        <v>15.9</v>
      </c>
      <c r="E65" s="134">
        <v>9.39</v>
      </c>
      <c r="F65" s="134">
        <v>5.92</v>
      </c>
      <c r="G65" s="134">
        <v>2.37</v>
      </c>
      <c r="H65" s="134">
        <v>1.77</v>
      </c>
      <c r="I65" s="134">
        <v>3.85</v>
      </c>
      <c r="J65" s="134">
        <v>0.45</v>
      </c>
      <c r="K65" s="134">
        <v>253.91</v>
      </c>
      <c r="L65" s="134">
        <v>28.1</v>
      </c>
      <c r="M65" s="134">
        <v>83.7</v>
      </c>
      <c r="N65" s="134">
        <v>175.2</v>
      </c>
      <c r="O65" s="134">
        <v>0</v>
      </c>
      <c r="P65" s="134">
        <v>0.35</v>
      </c>
      <c r="Q65" s="134">
        <v>4.93</v>
      </c>
    </row>
    <row r="66" spans="1:17" customFormat="1">
      <c r="A66" s="112" t="s">
        <v>1640</v>
      </c>
      <c r="B66" s="134">
        <v>8.2100000000000009</v>
      </c>
      <c r="C66" s="134">
        <v>17.32</v>
      </c>
      <c r="D66" s="134">
        <v>16.98</v>
      </c>
      <c r="E66" s="134">
        <v>10.07</v>
      </c>
      <c r="F66" s="134">
        <v>4.7699999999999996</v>
      </c>
      <c r="G66" s="134">
        <v>2.2000000000000002</v>
      </c>
      <c r="H66" s="134">
        <v>1.5</v>
      </c>
      <c r="I66" s="134">
        <v>3.8</v>
      </c>
      <c r="J66" s="134">
        <v>0.35</v>
      </c>
      <c r="K66" s="134">
        <v>254.18</v>
      </c>
      <c r="L66" s="134">
        <v>27.78</v>
      </c>
      <c r="M66" s="134">
        <v>83.88</v>
      </c>
      <c r="N66" s="134">
        <v>73.599999999999994</v>
      </c>
      <c r="O66" s="134">
        <v>0</v>
      </c>
      <c r="P66" s="134">
        <v>0.39</v>
      </c>
      <c r="Q66" s="134">
        <v>4.91</v>
      </c>
    </row>
    <row r="67" spans="1:17" customFormat="1">
      <c r="A67" s="112" t="s">
        <v>1641</v>
      </c>
      <c r="B67" s="134">
        <v>8.3800000000000008</v>
      </c>
      <c r="C67" s="134">
        <v>16.559999999999999</v>
      </c>
      <c r="D67" s="134">
        <v>16.72</v>
      </c>
      <c r="E67" s="134">
        <v>9.83</v>
      </c>
      <c r="F67" s="134">
        <v>5.55</v>
      </c>
      <c r="G67" s="134">
        <v>2.1800000000000002</v>
      </c>
      <c r="H67" s="134">
        <v>1.5</v>
      </c>
      <c r="I67" s="134">
        <v>3.87</v>
      </c>
      <c r="J67" s="134">
        <v>0.39</v>
      </c>
      <c r="K67" s="134">
        <v>250.66</v>
      </c>
      <c r="L67" s="134">
        <v>27.35</v>
      </c>
      <c r="M67" s="134">
        <v>85.11</v>
      </c>
      <c r="N67" s="134">
        <v>137.9</v>
      </c>
      <c r="O67" s="134">
        <v>0</v>
      </c>
      <c r="P67" s="134">
        <v>0.38</v>
      </c>
      <c r="Q67" s="134">
        <v>4.95</v>
      </c>
    </row>
    <row r="68" spans="1:17" customFormat="1">
      <c r="A68" s="112" t="s">
        <v>1642</v>
      </c>
      <c r="B68" s="134">
        <v>8.39</v>
      </c>
      <c r="C68" s="134">
        <v>15.46</v>
      </c>
      <c r="D68" s="134">
        <v>16.149999999999999</v>
      </c>
      <c r="E68" s="134">
        <v>9.23</v>
      </c>
      <c r="F68" s="134">
        <v>6.34</v>
      </c>
      <c r="G68" s="134">
        <v>2.1800000000000002</v>
      </c>
      <c r="H68" s="134">
        <v>1.5</v>
      </c>
      <c r="I68" s="134">
        <v>3.89</v>
      </c>
      <c r="J68" s="134">
        <v>0.52</v>
      </c>
      <c r="K68" s="134">
        <v>252.57</v>
      </c>
      <c r="L68" s="134">
        <v>27.59</v>
      </c>
      <c r="M68" s="134">
        <v>83.34</v>
      </c>
      <c r="N68" s="134">
        <v>161.9</v>
      </c>
      <c r="O68" s="134">
        <v>0</v>
      </c>
      <c r="P68" s="134">
        <v>0.37</v>
      </c>
      <c r="Q68" s="134">
        <v>4.96</v>
      </c>
    </row>
    <row r="69" spans="1:17" customFormat="1">
      <c r="A69" s="112" t="s">
        <v>1643</v>
      </c>
      <c r="B69" s="134">
        <v>8.15</v>
      </c>
      <c r="C69" s="134">
        <v>14.7</v>
      </c>
      <c r="D69" s="134">
        <v>15.57</v>
      </c>
      <c r="E69" s="134">
        <v>9.56</v>
      </c>
      <c r="F69" s="134">
        <v>6.69</v>
      </c>
      <c r="G69" s="134">
        <v>2.1800000000000002</v>
      </c>
      <c r="H69" s="134">
        <v>1.5</v>
      </c>
      <c r="I69" s="134">
        <v>3.77</v>
      </c>
      <c r="J69" s="134">
        <v>0.89</v>
      </c>
      <c r="K69" s="134">
        <v>262.97000000000003</v>
      </c>
      <c r="L69" s="134">
        <v>27.57</v>
      </c>
      <c r="M69" s="134">
        <v>82.77</v>
      </c>
      <c r="N69" s="134">
        <v>159.19999999999999</v>
      </c>
      <c r="O69" s="134">
        <v>0</v>
      </c>
      <c r="P69" s="134">
        <v>0.35</v>
      </c>
      <c r="Q69" s="134">
        <v>4.9800000000000004</v>
      </c>
    </row>
    <row r="70" spans="1:17" customFormat="1">
      <c r="A70" s="112" t="s">
        <v>1644</v>
      </c>
      <c r="B70" s="134">
        <v>7.93</v>
      </c>
      <c r="C70" s="134">
        <v>15.3</v>
      </c>
      <c r="D70" s="134">
        <v>15.7</v>
      </c>
      <c r="E70" s="134">
        <v>9.51</v>
      </c>
      <c r="F70" s="134">
        <v>6.71</v>
      </c>
      <c r="G70" s="134">
        <v>2.0299999999999998</v>
      </c>
      <c r="H70" s="134">
        <v>1.1399999999999999</v>
      </c>
      <c r="I70" s="134">
        <v>3.71</v>
      </c>
      <c r="J70" s="134">
        <v>0.77</v>
      </c>
      <c r="K70" s="134">
        <v>257.8</v>
      </c>
      <c r="L70" s="134">
        <v>27.32</v>
      </c>
      <c r="M70" s="134">
        <v>83.35</v>
      </c>
      <c r="N70" s="134">
        <v>157.69999999999999</v>
      </c>
      <c r="O70" s="134">
        <v>0</v>
      </c>
      <c r="P70" s="134">
        <v>0.35</v>
      </c>
      <c r="Q70" s="134">
        <v>5</v>
      </c>
    </row>
    <row r="71" spans="1:17" customFormat="1">
      <c r="A71" s="112" t="s">
        <v>1645</v>
      </c>
      <c r="B71" s="134">
        <v>7.9</v>
      </c>
      <c r="C71" s="134">
        <v>16.89</v>
      </c>
      <c r="D71" s="134">
        <v>16.510000000000002</v>
      </c>
      <c r="E71" s="134">
        <v>9.31</v>
      </c>
      <c r="F71" s="134">
        <v>5.61</v>
      </c>
      <c r="G71" s="134">
        <v>2.0099999999999998</v>
      </c>
      <c r="H71" s="134">
        <v>1.1399999999999999</v>
      </c>
      <c r="I71" s="134">
        <v>3.61</v>
      </c>
      <c r="J71" s="134">
        <v>0.79</v>
      </c>
      <c r="K71" s="134">
        <v>258.38</v>
      </c>
      <c r="L71" s="134">
        <v>27.26</v>
      </c>
      <c r="M71" s="134">
        <v>83.22</v>
      </c>
      <c r="N71" s="134">
        <v>152.9</v>
      </c>
      <c r="O71" s="134">
        <v>0</v>
      </c>
      <c r="P71" s="134">
        <v>0.37</v>
      </c>
      <c r="Q71" s="134">
        <v>5.01</v>
      </c>
    </row>
    <row r="72" spans="1:17" customFormat="1">
      <c r="A72" s="112" t="s">
        <v>1646</v>
      </c>
      <c r="B72" s="134">
        <v>7.98</v>
      </c>
      <c r="C72" s="134">
        <v>16.989999999999998</v>
      </c>
      <c r="D72" s="134">
        <v>16.63</v>
      </c>
      <c r="E72" s="134">
        <v>9.82</v>
      </c>
      <c r="F72" s="134">
        <v>5.15</v>
      </c>
      <c r="G72" s="134">
        <v>2.0099999999999998</v>
      </c>
      <c r="H72" s="134">
        <v>1.1399999999999999</v>
      </c>
      <c r="I72" s="134">
        <v>3.62</v>
      </c>
      <c r="J72" s="134">
        <v>0.65</v>
      </c>
      <c r="K72" s="134">
        <v>259.58999999999997</v>
      </c>
      <c r="L72" s="134">
        <v>26.83</v>
      </c>
      <c r="M72" s="134">
        <v>85.27</v>
      </c>
      <c r="N72" s="134">
        <v>78.8</v>
      </c>
      <c r="O72" s="134">
        <v>0</v>
      </c>
      <c r="P72" s="134">
        <v>0.37</v>
      </c>
      <c r="Q72" s="134">
        <v>5.04</v>
      </c>
    </row>
    <row r="73" spans="1:17" customFormat="1">
      <c r="A73" s="112" t="s">
        <v>1647</v>
      </c>
      <c r="B73" s="134">
        <v>7.91</v>
      </c>
      <c r="C73" s="134">
        <v>16.510000000000002</v>
      </c>
      <c r="D73" s="134">
        <v>16.32</v>
      </c>
      <c r="E73" s="134">
        <v>9.9600000000000009</v>
      </c>
      <c r="F73" s="134">
        <v>6.43</v>
      </c>
      <c r="G73" s="134">
        <v>2.0099999999999998</v>
      </c>
      <c r="H73" s="134">
        <v>1.1399999999999999</v>
      </c>
      <c r="I73" s="134">
        <v>3.62</v>
      </c>
      <c r="J73" s="134">
        <v>0.46</v>
      </c>
      <c r="K73" s="134">
        <v>252.31</v>
      </c>
      <c r="L73" s="134">
        <v>26.87</v>
      </c>
      <c r="M73" s="134">
        <v>85.7</v>
      </c>
      <c r="N73" s="134">
        <v>67.5</v>
      </c>
      <c r="O73" s="134">
        <v>0</v>
      </c>
      <c r="P73" s="134">
        <v>0.37</v>
      </c>
      <c r="Q73" s="134">
        <v>5.03</v>
      </c>
    </row>
    <row r="74" spans="1:17" customFormat="1">
      <c r="A74" s="112" t="s">
        <v>1648</v>
      </c>
      <c r="B74" s="134">
        <v>7.85</v>
      </c>
      <c r="C74" s="134">
        <v>15.69</v>
      </c>
      <c r="D74" s="134">
        <v>15.85</v>
      </c>
      <c r="E74" s="134">
        <v>9.8800000000000008</v>
      </c>
      <c r="F74" s="134">
        <v>6.68</v>
      </c>
      <c r="G74" s="134">
        <v>2.73</v>
      </c>
      <c r="H74" s="134">
        <v>4.6900000000000004</v>
      </c>
      <c r="I74" s="134">
        <v>3.66</v>
      </c>
      <c r="J74" s="134">
        <v>0.41</v>
      </c>
      <c r="K74" s="134">
        <v>258.20999999999998</v>
      </c>
      <c r="L74" s="134">
        <v>26.6</v>
      </c>
      <c r="M74" s="134">
        <v>87.11</v>
      </c>
      <c r="N74" s="134">
        <v>57.3</v>
      </c>
      <c r="O74" s="134">
        <v>0</v>
      </c>
      <c r="P74" s="134">
        <v>0.36</v>
      </c>
      <c r="Q74" s="134">
        <v>5.0599999999999996</v>
      </c>
    </row>
    <row r="75" spans="1:17" customFormat="1">
      <c r="A75" s="112" t="s">
        <v>1649</v>
      </c>
      <c r="B75" s="134">
        <v>7.58</v>
      </c>
      <c r="C75" s="134">
        <v>15.4</v>
      </c>
      <c r="D75" s="134">
        <v>15.48</v>
      </c>
      <c r="E75" s="134">
        <v>9.56</v>
      </c>
      <c r="F75" s="134">
        <v>6.74</v>
      </c>
      <c r="G75" s="134">
        <v>2.86</v>
      </c>
      <c r="H75" s="134">
        <v>4.6900000000000004</v>
      </c>
      <c r="I75" s="134">
        <v>3.54</v>
      </c>
      <c r="J75" s="134">
        <v>0.19</v>
      </c>
      <c r="K75" s="134">
        <v>237.18</v>
      </c>
      <c r="L75" s="134">
        <v>26.69</v>
      </c>
      <c r="M75" s="134">
        <v>87.52</v>
      </c>
      <c r="N75" s="134">
        <v>53.3</v>
      </c>
      <c r="O75" s="134">
        <v>0</v>
      </c>
      <c r="P75" s="134">
        <v>0.34</v>
      </c>
      <c r="Q75" s="134">
        <v>5.0599999999999996</v>
      </c>
    </row>
    <row r="76" spans="1:17" customFormat="1">
      <c r="A76" s="112" t="s">
        <v>1650</v>
      </c>
      <c r="B76" s="134">
        <v>7.38</v>
      </c>
      <c r="C76" s="134">
        <v>14.93</v>
      </c>
      <c r="D76" s="134">
        <v>15.07</v>
      </c>
      <c r="E76" s="134">
        <v>9.57</v>
      </c>
      <c r="F76" s="134">
        <v>6.92</v>
      </c>
      <c r="G76" s="134">
        <v>2.86</v>
      </c>
      <c r="H76" s="134">
        <v>4.6900000000000004</v>
      </c>
      <c r="I76" s="134">
        <v>3.45</v>
      </c>
      <c r="J76" s="134">
        <v>0.2</v>
      </c>
      <c r="K76" s="134">
        <v>251.13</v>
      </c>
      <c r="L76" s="134">
        <v>26.64</v>
      </c>
      <c r="M76" s="134">
        <v>87.95</v>
      </c>
      <c r="N76" s="134">
        <v>25.2</v>
      </c>
      <c r="O76" s="134">
        <v>0</v>
      </c>
      <c r="P76" s="134">
        <v>0.33</v>
      </c>
      <c r="Q76" s="134">
        <v>5.08</v>
      </c>
    </row>
    <row r="77" spans="1:17" customFormat="1">
      <c r="A77" s="112" t="s">
        <v>1651</v>
      </c>
      <c r="B77" s="134">
        <v>7.59</v>
      </c>
      <c r="C77" s="134">
        <v>17.11</v>
      </c>
      <c r="D77" s="134">
        <v>16.38</v>
      </c>
      <c r="E77" s="134">
        <v>9.56</v>
      </c>
      <c r="F77" s="134">
        <v>5.26</v>
      </c>
      <c r="G77" s="134">
        <v>2.86</v>
      </c>
      <c r="H77" s="134">
        <v>4.6900000000000004</v>
      </c>
      <c r="I77" s="134">
        <v>3.37</v>
      </c>
      <c r="J77" s="134">
        <v>0.18</v>
      </c>
      <c r="K77" s="134">
        <v>264.33999999999997</v>
      </c>
      <c r="L77" s="134">
        <v>26.55</v>
      </c>
      <c r="M77" s="134">
        <v>87.49</v>
      </c>
      <c r="N77" s="134">
        <v>25</v>
      </c>
      <c r="O77" s="134">
        <v>0</v>
      </c>
      <c r="P77" s="134">
        <v>0.37</v>
      </c>
      <c r="Q77" s="134">
        <v>5.1100000000000003</v>
      </c>
    </row>
    <row r="78" spans="1:17" customFormat="1">
      <c r="A78" s="112" t="s">
        <v>1652</v>
      </c>
      <c r="B78" s="134">
        <v>7.73</v>
      </c>
      <c r="C78" s="134">
        <v>16.12</v>
      </c>
      <c r="D78" s="134">
        <v>15.97</v>
      </c>
      <c r="E78" s="134">
        <v>9.49</v>
      </c>
      <c r="F78" s="134">
        <v>6.61</v>
      </c>
      <c r="G78" s="134">
        <v>5.48</v>
      </c>
      <c r="H78" s="134">
        <v>3.55</v>
      </c>
      <c r="I78" s="134">
        <v>3.36</v>
      </c>
      <c r="J78" s="134">
        <v>0.38</v>
      </c>
      <c r="K78" s="134">
        <v>263.36</v>
      </c>
      <c r="L78" s="134">
        <v>26.32</v>
      </c>
      <c r="M78" s="134">
        <v>88.57</v>
      </c>
      <c r="N78" s="134">
        <v>4.5999999999999996</v>
      </c>
      <c r="O78" s="134">
        <v>0</v>
      </c>
      <c r="P78" s="134">
        <v>0.36</v>
      </c>
      <c r="Q78" s="134">
        <v>5.19</v>
      </c>
    </row>
    <row r="79" spans="1:17" customFormat="1">
      <c r="A79" s="112" t="s">
        <v>1653</v>
      </c>
      <c r="B79" s="134">
        <v>7.8</v>
      </c>
      <c r="C79" s="134">
        <v>15.66</v>
      </c>
      <c r="D79" s="134">
        <v>15.79</v>
      </c>
      <c r="E79" s="134">
        <v>9.76</v>
      </c>
      <c r="F79" s="134">
        <v>6.47</v>
      </c>
      <c r="G79" s="134">
        <v>5.92</v>
      </c>
      <c r="H79" s="134">
        <v>3.55</v>
      </c>
      <c r="I79" s="134">
        <v>3.45</v>
      </c>
      <c r="J79" s="134">
        <v>0.18</v>
      </c>
      <c r="K79" s="134">
        <v>243.19</v>
      </c>
      <c r="L79" s="134">
        <v>26.15</v>
      </c>
      <c r="M79" s="134">
        <v>89.92</v>
      </c>
      <c r="N79" s="134">
        <v>0.1</v>
      </c>
      <c r="O79" s="134">
        <v>0</v>
      </c>
      <c r="P79" s="134">
        <v>0.35</v>
      </c>
      <c r="Q79" s="134">
        <v>5.23</v>
      </c>
    </row>
    <row r="80" spans="1:17" customFormat="1">
      <c r="A80" s="112" t="s">
        <v>1654</v>
      </c>
      <c r="B80" s="134">
        <v>8.02</v>
      </c>
      <c r="C80" s="134">
        <v>17.25</v>
      </c>
      <c r="D80" s="134">
        <v>16.8</v>
      </c>
      <c r="E80" s="134">
        <v>9.98</v>
      </c>
      <c r="F80" s="134">
        <v>4.96</v>
      </c>
      <c r="G80" s="134">
        <v>5.92</v>
      </c>
      <c r="H80" s="134">
        <v>3.55</v>
      </c>
      <c r="I80" s="134">
        <v>3.35</v>
      </c>
      <c r="J80" s="134">
        <v>0.18</v>
      </c>
      <c r="K80" s="134">
        <v>245.1</v>
      </c>
      <c r="L80" s="134">
        <v>26.08</v>
      </c>
      <c r="M80" s="134">
        <v>90.34</v>
      </c>
      <c r="N80" s="134">
        <v>0</v>
      </c>
      <c r="O80" s="134">
        <v>0</v>
      </c>
      <c r="P80" s="134">
        <v>0.37</v>
      </c>
      <c r="Q80" s="134">
        <v>5.28</v>
      </c>
    </row>
    <row r="81" spans="1:17" customFormat="1">
      <c r="A81" s="112" t="s">
        <v>1655</v>
      </c>
      <c r="B81" s="134">
        <v>8.14</v>
      </c>
      <c r="C81" s="134">
        <v>15.84</v>
      </c>
      <c r="D81" s="134">
        <v>16.149999999999999</v>
      </c>
      <c r="E81" s="134">
        <v>7.42</v>
      </c>
      <c r="F81" s="134">
        <v>5.89</v>
      </c>
      <c r="G81" s="134">
        <v>5.92</v>
      </c>
      <c r="H81" s="134">
        <v>3.55</v>
      </c>
      <c r="I81" s="134">
        <v>3.38</v>
      </c>
      <c r="J81" s="134">
        <v>7.0000000000000007E-2</v>
      </c>
      <c r="K81" s="134">
        <v>260.33999999999997</v>
      </c>
      <c r="L81" s="134">
        <v>25.94</v>
      </c>
      <c r="M81" s="134">
        <v>92.11</v>
      </c>
      <c r="N81" s="134">
        <v>0</v>
      </c>
      <c r="O81" s="134">
        <v>0</v>
      </c>
      <c r="P81" s="134">
        <v>0.36</v>
      </c>
      <c r="Q81" s="134">
        <v>5.34</v>
      </c>
    </row>
    <row r="82" spans="1:17" customFormat="1">
      <c r="A82" s="112" t="s">
        <v>1656</v>
      </c>
      <c r="B82" s="134">
        <v>7.98</v>
      </c>
      <c r="C82" s="134">
        <v>15.16</v>
      </c>
      <c r="D82" s="134">
        <v>15.67</v>
      </c>
      <c r="E82" s="134">
        <v>8.0500000000000007</v>
      </c>
      <c r="F82" s="134">
        <v>6.89</v>
      </c>
      <c r="G82" s="134">
        <v>7.41</v>
      </c>
      <c r="H82" s="134">
        <v>6.58</v>
      </c>
      <c r="I82" s="134">
        <v>3.46</v>
      </c>
      <c r="J82" s="134">
        <v>0.27</v>
      </c>
      <c r="K82" s="134">
        <v>271.64999999999998</v>
      </c>
      <c r="L82" s="134">
        <v>25.94</v>
      </c>
      <c r="M82" s="134">
        <v>92.08</v>
      </c>
      <c r="N82" s="134">
        <v>0</v>
      </c>
      <c r="O82" s="134">
        <v>0</v>
      </c>
      <c r="P82" s="134">
        <v>0.35</v>
      </c>
      <c r="Q82" s="134">
        <v>5.34</v>
      </c>
    </row>
    <row r="83" spans="1:17" customFormat="1">
      <c r="A83" s="112" t="s">
        <v>1657</v>
      </c>
      <c r="B83" s="134">
        <v>8.32</v>
      </c>
      <c r="C83" s="134">
        <v>17.02</v>
      </c>
      <c r="D83" s="134">
        <v>16.91</v>
      </c>
      <c r="E83" s="134">
        <v>8.89</v>
      </c>
      <c r="F83" s="134">
        <v>5.18</v>
      </c>
      <c r="G83" s="134">
        <v>7.66</v>
      </c>
      <c r="H83" s="134">
        <v>6.58</v>
      </c>
      <c r="I83" s="134">
        <v>3.27</v>
      </c>
      <c r="J83" s="134">
        <v>0.18</v>
      </c>
      <c r="K83" s="134">
        <v>271.64</v>
      </c>
      <c r="L83" s="134">
        <v>25.98</v>
      </c>
      <c r="M83" s="134">
        <v>91.43</v>
      </c>
      <c r="N83" s="134">
        <v>0</v>
      </c>
      <c r="O83" s="134">
        <v>0</v>
      </c>
      <c r="P83" s="134">
        <v>0.37</v>
      </c>
      <c r="Q83" s="134">
        <v>5.38</v>
      </c>
    </row>
    <row r="84" spans="1:17" customFormat="1">
      <c r="A84" s="112" t="s">
        <v>1658</v>
      </c>
      <c r="B84" s="134">
        <v>8.41</v>
      </c>
      <c r="C84" s="134">
        <v>16.440000000000001</v>
      </c>
      <c r="D84" s="134">
        <v>16.690000000000001</v>
      </c>
      <c r="E84" s="134">
        <v>8.98</v>
      </c>
      <c r="F84" s="134">
        <v>6.23</v>
      </c>
      <c r="G84" s="134">
        <v>7.66</v>
      </c>
      <c r="H84" s="134">
        <v>6.58</v>
      </c>
      <c r="I84" s="134">
        <v>3.32</v>
      </c>
      <c r="J84" s="134">
        <v>0.28999999999999998</v>
      </c>
      <c r="K84" s="134">
        <v>269.93</v>
      </c>
      <c r="L84" s="134">
        <v>26.02</v>
      </c>
      <c r="M84" s="134">
        <v>90.14</v>
      </c>
      <c r="N84" s="134">
        <v>0</v>
      </c>
      <c r="O84" s="134">
        <v>0</v>
      </c>
      <c r="P84" s="134">
        <v>0.37</v>
      </c>
      <c r="Q84" s="134">
        <v>5.43</v>
      </c>
    </row>
    <row r="85" spans="1:17" customFormat="1">
      <c r="A85" s="112" t="s">
        <v>1659</v>
      </c>
      <c r="B85" s="134">
        <v>8.27</v>
      </c>
      <c r="C85" s="134">
        <v>15.65</v>
      </c>
      <c r="D85" s="134">
        <v>16.16</v>
      </c>
      <c r="E85" s="134">
        <v>8.4</v>
      </c>
      <c r="F85" s="134">
        <v>6.72</v>
      </c>
      <c r="G85" s="134">
        <v>7.66</v>
      </c>
      <c r="H85" s="134">
        <v>6.58</v>
      </c>
      <c r="I85" s="134">
        <v>3.44</v>
      </c>
      <c r="J85" s="134">
        <v>0.28000000000000003</v>
      </c>
      <c r="K85" s="134">
        <v>263.77</v>
      </c>
      <c r="L85" s="134">
        <v>25.91</v>
      </c>
      <c r="M85" s="134">
        <v>90.83</v>
      </c>
      <c r="N85" s="134">
        <v>0</v>
      </c>
      <c r="O85" s="134">
        <v>0</v>
      </c>
      <c r="P85" s="134">
        <v>0.35</v>
      </c>
      <c r="Q85" s="134">
        <v>5.4</v>
      </c>
    </row>
    <row r="86" spans="1:17" customFormat="1">
      <c r="A86" s="112" t="s">
        <v>1660</v>
      </c>
      <c r="B86" s="134">
        <v>8.56</v>
      </c>
      <c r="C86" s="134">
        <v>17.600000000000001</v>
      </c>
      <c r="D86" s="134">
        <v>17.41</v>
      </c>
      <c r="E86" s="134">
        <v>9.1199999999999992</v>
      </c>
      <c r="F86" s="134">
        <v>4.91</v>
      </c>
      <c r="G86" s="134">
        <v>6.01</v>
      </c>
      <c r="H86" s="134">
        <v>4.99</v>
      </c>
      <c r="I86" s="134">
        <v>3.34</v>
      </c>
      <c r="J86" s="134">
        <v>0.31</v>
      </c>
      <c r="K86" s="134">
        <v>265.06</v>
      </c>
      <c r="L86" s="134">
        <v>25.84</v>
      </c>
      <c r="M86" s="134">
        <v>91.55</v>
      </c>
      <c r="N86" s="134">
        <v>0</v>
      </c>
      <c r="O86" s="134">
        <v>0</v>
      </c>
      <c r="P86" s="134">
        <v>0.38</v>
      </c>
      <c r="Q86" s="134">
        <v>5.37</v>
      </c>
    </row>
    <row r="87" spans="1:17" customFormat="1">
      <c r="A87" s="112" t="s">
        <v>1661</v>
      </c>
      <c r="B87" s="134">
        <v>8.7100000000000009</v>
      </c>
      <c r="C87" s="134">
        <v>17.07</v>
      </c>
      <c r="D87" s="134">
        <v>17.25</v>
      </c>
      <c r="E87" s="134">
        <v>9</v>
      </c>
      <c r="F87" s="134">
        <v>5.4</v>
      </c>
      <c r="G87" s="134">
        <v>5.73</v>
      </c>
      <c r="H87" s="134">
        <v>4.99</v>
      </c>
      <c r="I87" s="134">
        <v>3.32</v>
      </c>
      <c r="J87" s="134">
        <v>0.26</v>
      </c>
      <c r="K87" s="134">
        <v>252.9</v>
      </c>
      <c r="L87" s="134">
        <v>25.81</v>
      </c>
      <c r="M87" s="134">
        <v>91.38</v>
      </c>
      <c r="N87" s="134">
        <v>0</v>
      </c>
      <c r="O87" s="134">
        <v>0</v>
      </c>
      <c r="P87" s="134">
        <v>0.36</v>
      </c>
      <c r="Q87" s="134">
        <v>5.45</v>
      </c>
    </row>
    <row r="88" spans="1:17" customFormat="1">
      <c r="A88" s="112" t="s">
        <v>1662</v>
      </c>
      <c r="B88" s="134">
        <v>8.6</v>
      </c>
      <c r="C88" s="134">
        <v>16.03</v>
      </c>
      <c r="D88" s="134">
        <v>16.62</v>
      </c>
      <c r="E88" s="134">
        <v>8.5500000000000007</v>
      </c>
      <c r="F88" s="134">
        <v>5.97</v>
      </c>
      <c r="G88" s="134">
        <v>5.73</v>
      </c>
      <c r="H88" s="134">
        <v>4.99</v>
      </c>
      <c r="I88" s="134">
        <v>3.47</v>
      </c>
      <c r="J88" s="134">
        <v>0.32</v>
      </c>
      <c r="K88" s="134">
        <v>262.20999999999998</v>
      </c>
      <c r="L88" s="134">
        <v>25.74</v>
      </c>
      <c r="M88" s="134">
        <v>91.52</v>
      </c>
      <c r="N88" s="134">
        <v>0</v>
      </c>
      <c r="O88" s="134">
        <v>0</v>
      </c>
      <c r="P88" s="134">
        <v>0.36</v>
      </c>
      <c r="Q88" s="134">
        <v>5.4</v>
      </c>
    </row>
    <row r="89" spans="1:17" customFormat="1">
      <c r="A89" s="112" t="s">
        <v>1663</v>
      </c>
      <c r="B89" s="134">
        <v>8.8699999999999992</v>
      </c>
      <c r="C89" s="134">
        <v>17.04</v>
      </c>
      <c r="D89" s="134">
        <v>17.36</v>
      </c>
      <c r="E89" s="134">
        <v>8.76</v>
      </c>
      <c r="F89" s="134">
        <v>4.99</v>
      </c>
      <c r="G89" s="134">
        <v>5.73</v>
      </c>
      <c r="H89" s="134">
        <v>4.99</v>
      </c>
      <c r="I89" s="134">
        <v>3.39</v>
      </c>
      <c r="J89" s="134">
        <v>0.31</v>
      </c>
      <c r="K89" s="134">
        <v>263.39</v>
      </c>
      <c r="L89" s="134">
        <v>25.69</v>
      </c>
      <c r="M89" s="134">
        <v>92.03</v>
      </c>
      <c r="N89" s="134">
        <v>0</v>
      </c>
      <c r="O89" s="134">
        <v>0</v>
      </c>
      <c r="P89" s="134">
        <v>0.37</v>
      </c>
      <c r="Q89" s="134">
        <v>5.39</v>
      </c>
    </row>
    <row r="90" spans="1:17" customFormat="1">
      <c r="A90" s="112" t="s">
        <v>1664</v>
      </c>
      <c r="B90" s="134">
        <v>8.8699999999999992</v>
      </c>
      <c r="C90" s="134">
        <v>16.27</v>
      </c>
      <c r="D90" s="134">
        <v>16.96</v>
      </c>
      <c r="E90" s="134">
        <v>8.49</v>
      </c>
      <c r="F90" s="134">
        <v>6.41</v>
      </c>
      <c r="G90" s="134">
        <v>8.4499999999999993</v>
      </c>
      <c r="H90" s="134">
        <v>5.53</v>
      </c>
      <c r="I90" s="134">
        <v>3.3</v>
      </c>
      <c r="J90" s="134">
        <v>0.25</v>
      </c>
      <c r="K90" s="134">
        <v>268.54000000000002</v>
      </c>
      <c r="L90" s="134">
        <v>25.54</v>
      </c>
      <c r="M90" s="134">
        <v>93.05</v>
      </c>
      <c r="N90" s="134">
        <v>0</v>
      </c>
      <c r="O90" s="134">
        <v>0</v>
      </c>
      <c r="P90" s="134">
        <v>0.37</v>
      </c>
      <c r="Q90" s="134">
        <v>5.41</v>
      </c>
    </row>
    <row r="91" spans="1:17" customFormat="1">
      <c r="A91" s="112" t="s">
        <v>1665</v>
      </c>
      <c r="B91" s="134">
        <v>8.99</v>
      </c>
      <c r="C91" s="134">
        <v>16.05</v>
      </c>
      <c r="D91" s="134">
        <v>16.940000000000001</v>
      </c>
      <c r="E91" s="134">
        <v>8.4700000000000006</v>
      </c>
      <c r="F91" s="134">
        <v>5.65</v>
      </c>
      <c r="G91" s="134">
        <v>8.9</v>
      </c>
      <c r="H91" s="134">
        <v>5.53</v>
      </c>
      <c r="I91" s="134">
        <v>3.42</v>
      </c>
      <c r="J91" s="134">
        <v>0.34</v>
      </c>
      <c r="K91" s="134">
        <v>271.75</v>
      </c>
      <c r="L91" s="134">
        <v>25.46</v>
      </c>
      <c r="M91" s="134">
        <v>93.05</v>
      </c>
      <c r="N91" s="134">
        <v>0</v>
      </c>
      <c r="O91" s="134">
        <v>0</v>
      </c>
      <c r="P91" s="134">
        <v>0.35</v>
      </c>
      <c r="Q91" s="134">
        <v>5.36</v>
      </c>
    </row>
    <row r="92" spans="1:17" customFormat="1">
      <c r="A92" s="112" t="s">
        <v>1666</v>
      </c>
      <c r="B92" s="134">
        <v>9.0500000000000007</v>
      </c>
      <c r="C92" s="134">
        <v>17.309999999999999</v>
      </c>
      <c r="D92" s="134">
        <v>17.649999999999999</v>
      </c>
      <c r="E92" s="134">
        <v>8.68</v>
      </c>
      <c r="F92" s="134">
        <v>4.67</v>
      </c>
      <c r="G92" s="134">
        <v>8.9</v>
      </c>
      <c r="H92" s="134">
        <v>5.53</v>
      </c>
      <c r="I92" s="134">
        <v>3.29</v>
      </c>
      <c r="J92" s="134">
        <v>0.3</v>
      </c>
      <c r="K92" s="134">
        <v>266.32</v>
      </c>
      <c r="L92" s="134">
        <v>25.31</v>
      </c>
      <c r="M92" s="134">
        <v>93.57</v>
      </c>
      <c r="N92" s="134">
        <v>0</v>
      </c>
      <c r="O92" s="134">
        <v>0</v>
      </c>
      <c r="P92" s="134">
        <v>0.37</v>
      </c>
      <c r="Q92" s="134">
        <v>5.35</v>
      </c>
    </row>
    <row r="93" spans="1:17" customFormat="1">
      <c r="A93" s="112" t="s">
        <v>1667</v>
      </c>
      <c r="B93" s="134">
        <v>9.07</v>
      </c>
      <c r="C93" s="134">
        <v>16.43</v>
      </c>
      <c r="D93" s="134">
        <v>17.21</v>
      </c>
      <c r="E93" s="134">
        <v>8.85</v>
      </c>
      <c r="F93" s="134">
        <v>5.35</v>
      </c>
      <c r="G93" s="134">
        <v>8.9</v>
      </c>
      <c r="H93" s="134">
        <v>5.53</v>
      </c>
      <c r="I93" s="134">
        <v>3.39</v>
      </c>
      <c r="J93" s="134">
        <v>0.28999999999999998</v>
      </c>
      <c r="K93" s="134">
        <v>259.49</v>
      </c>
      <c r="L93" s="134">
        <v>25.3</v>
      </c>
      <c r="M93" s="134">
        <v>93.35</v>
      </c>
      <c r="N93" s="134">
        <v>0</v>
      </c>
      <c r="O93" s="134">
        <v>0</v>
      </c>
      <c r="P93" s="134">
        <v>0.36</v>
      </c>
      <c r="Q93" s="134">
        <v>5.36</v>
      </c>
    </row>
    <row r="94" spans="1:17" customFormat="1">
      <c r="A94" s="112" t="s">
        <v>1668</v>
      </c>
      <c r="B94" s="134">
        <v>8.9700000000000006</v>
      </c>
      <c r="C94" s="134">
        <v>15.94</v>
      </c>
      <c r="D94" s="134">
        <v>16.87</v>
      </c>
      <c r="E94" s="134">
        <v>8.18</v>
      </c>
      <c r="F94" s="134">
        <v>6.31</v>
      </c>
      <c r="G94" s="134">
        <v>7.47</v>
      </c>
      <c r="H94" s="134">
        <v>4.0999999999999996</v>
      </c>
      <c r="I94" s="134">
        <v>3.39</v>
      </c>
      <c r="J94" s="134">
        <v>0.27</v>
      </c>
      <c r="K94" s="134">
        <v>255.74</v>
      </c>
      <c r="L94" s="134">
        <v>25.22</v>
      </c>
      <c r="M94" s="134">
        <v>93.97</v>
      </c>
      <c r="N94" s="134">
        <v>0</v>
      </c>
      <c r="O94" s="134">
        <v>0</v>
      </c>
      <c r="P94" s="134">
        <v>0.36</v>
      </c>
      <c r="Q94" s="134">
        <v>5.29</v>
      </c>
    </row>
    <row r="95" spans="1:17" customFormat="1">
      <c r="A95" s="112" t="s">
        <v>1669</v>
      </c>
      <c r="B95" s="134">
        <v>9.2899999999999991</v>
      </c>
      <c r="C95" s="134">
        <v>17.71</v>
      </c>
      <c r="D95" s="134">
        <v>18.059999999999999</v>
      </c>
      <c r="E95" s="134">
        <v>9.01</v>
      </c>
      <c r="F95" s="134">
        <v>4.67</v>
      </c>
      <c r="G95" s="134">
        <v>7.23</v>
      </c>
      <c r="H95" s="134">
        <v>4.0999999999999996</v>
      </c>
      <c r="I95" s="134">
        <v>3.25</v>
      </c>
      <c r="J95" s="134">
        <v>0.21</v>
      </c>
      <c r="K95" s="134">
        <v>251.39</v>
      </c>
      <c r="L95" s="134">
        <v>25.22</v>
      </c>
      <c r="M95" s="134">
        <v>93.97</v>
      </c>
      <c r="N95" s="134">
        <v>0</v>
      </c>
      <c r="O95" s="134">
        <v>0</v>
      </c>
      <c r="P95" s="134">
        <v>0.37</v>
      </c>
      <c r="Q95" s="134">
        <v>5.3</v>
      </c>
    </row>
    <row r="96" spans="1:17" customFormat="1">
      <c r="A96" s="112" t="s">
        <v>1670</v>
      </c>
      <c r="B96" s="134">
        <v>9.3800000000000008</v>
      </c>
      <c r="C96" s="134">
        <v>16.45</v>
      </c>
      <c r="D96" s="134">
        <v>17.47</v>
      </c>
      <c r="E96" s="134">
        <v>9.24</v>
      </c>
      <c r="F96" s="134">
        <v>5.41</v>
      </c>
      <c r="G96" s="134">
        <v>7.23</v>
      </c>
      <c r="H96" s="134">
        <v>4.0999999999999996</v>
      </c>
      <c r="I96" s="134">
        <v>3.31</v>
      </c>
      <c r="J96" s="134">
        <v>0.41</v>
      </c>
      <c r="K96" s="134">
        <v>254.81</v>
      </c>
      <c r="L96" s="134">
        <v>25.29</v>
      </c>
      <c r="M96" s="134">
        <v>93.66</v>
      </c>
      <c r="N96" s="134">
        <v>0</v>
      </c>
      <c r="O96" s="134">
        <v>0</v>
      </c>
      <c r="P96" s="134">
        <v>0.36</v>
      </c>
      <c r="Q96" s="134">
        <v>5.32</v>
      </c>
    </row>
    <row r="97" spans="1:22" customFormat="1">
      <c r="A97" s="112" t="s">
        <v>1671</v>
      </c>
      <c r="B97" s="134">
        <v>9.26</v>
      </c>
      <c r="C97" s="134">
        <v>16.53</v>
      </c>
      <c r="D97" s="134">
        <v>17.41</v>
      </c>
      <c r="E97" s="134">
        <v>8.6999999999999993</v>
      </c>
      <c r="F97" s="134">
        <v>5.32</v>
      </c>
      <c r="G97" s="134">
        <v>7.23</v>
      </c>
      <c r="H97" s="134">
        <v>4.0999999999999996</v>
      </c>
      <c r="I97" s="134">
        <v>3.35</v>
      </c>
      <c r="J97" s="134">
        <v>0.36</v>
      </c>
      <c r="K97" s="134">
        <v>255.68</v>
      </c>
      <c r="L97" s="134">
        <v>25.24</v>
      </c>
      <c r="M97" s="134">
        <v>93.87</v>
      </c>
      <c r="N97" s="134">
        <v>0</v>
      </c>
      <c r="O97" s="134">
        <v>0</v>
      </c>
      <c r="P97" s="134">
        <v>0.36</v>
      </c>
      <c r="Q97" s="134">
        <v>5.29</v>
      </c>
    </row>
    <row r="98" spans="1:22" customFormat="1">
      <c r="A98" s="112" t="s">
        <v>1672</v>
      </c>
      <c r="B98" s="134">
        <v>9.44</v>
      </c>
      <c r="C98" s="134">
        <v>17.61</v>
      </c>
      <c r="D98" s="134">
        <v>18.12</v>
      </c>
      <c r="E98" s="134">
        <v>8.7100000000000009</v>
      </c>
      <c r="F98" s="134">
        <v>4.68</v>
      </c>
      <c r="G98" s="134">
        <v>8.5399999999999991</v>
      </c>
      <c r="H98" s="134">
        <v>4.8600000000000003</v>
      </c>
      <c r="I98" s="134">
        <v>3.27</v>
      </c>
      <c r="J98" s="134">
        <v>0.27</v>
      </c>
      <c r="K98" s="134">
        <v>248.87</v>
      </c>
      <c r="L98" s="134">
        <v>25.28</v>
      </c>
      <c r="M98" s="134">
        <v>93.84</v>
      </c>
      <c r="N98" s="134">
        <v>0</v>
      </c>
      <c r="O98" s="134">
        <v>0</v>
      </c>
      <c r="P98" s="134">
        <v>0.37</v>
      </c>
      <c r="Q98" s="134">
        <v>5.32</v>
      </c>
    </row>
    <row r="99" spans="1:22" customFormat="1">
      <c r="A99" s="112" t="s">
        <v>1673</v>
      </c>
      <c r="B99" s="134">
        <v>9.43</v>
      </c>
      <c r="C99" s="134">
        <v>16.23</v>
      </c>
      <c r="D99" s="134">
        <v>17.399999999999999</v>
      </c>
      <c r="E99" s="134">
        <v>8.73</v>
      </c>
      <c r="F99" s="134">
        <v>5.93</v>
      </c>
      <c r="G99" s="134">
        <v>8.76</v>
      </c>
      <c r="H99" s="134">
        <v>4.8600000000000003</v>
      </c>
      <c r="I99" s="134">
        <v>3.31</v>
      </c>
      <c r="J99" s="134">
        <v>0.26</v>
      </c>
      <c r="K99" s="134">
        <v>260.85000000000002</v>
      </c>
      <c r="L99" s="134">
        <v>25.23</v>
      </c>
      <c r="M99" s="134">
        <v>94.23</v>
      </c>
      <c r="N99" s="134">
        <v>0</v>
      </c>
      <c r="O99" s="134">
        <v>0</v>
      </c>
      <c r="P99" s="134">
        <v>0.36</v>
      </c>
      <c r="Q99" s="134">
        <v>5.35</v>
      </c>
    </row>
    <row r="100" spans="1:22" customFormat="1">
      <c r="A100" s="112" t="s">
        <v>1674</v>
      </c>
      <c r="B100" s="134">
        <v>9.56</v>
      </c>
      <c r="C100" s="134">
        <v>16.38</v>
      </c>
      <c r="D100" s="134">
        <v>17.579999999999998</v>
      </c>
      <c r="E100" s="134">
        <v>8.8699999999999992</v>
      </c>
      <c r="F100" s="134">
        <v>5.35</v>
      </c>
      <c r="G100" s="134">
        <v>8.76</v>
      </c>
      <c r="H100" s="134">
        <v>4.8600000000000003</v>
      </c>
      <c r="I100" s="134">
        <v>3.3</v>
      </c>
      <c r="J100" s="134">
        <v>0.34</v>
      </c>
      <c r="K100" s="134">
        <v>256.60000000000002</v>
      </c>
      <c r="L100" s="134">
        <v>25.31</v>
      </c>
      <c r="M100" s="134">
        <v>93.53</v>
      </c>
      <c r="N100" s="134">
        <v>0</v>
      </c>
      <c r="O100" s="134">
        <v>0</v>
      </c>
      <c r="P100" s="134">
        <v>0.35</v>
      </c>
      <c r="Q100" s="134">
        <v>5.34</v>
      </c>
    </row>
    <row r="101" spans="1:22" customFormat="1">
      <c r="A101" s="112" t="s">
        <v>1675</v>
      </c>
      <c r="B101" s="134">
        <v>9.7100000000000009</v>
      </c>
      <c r="C101" s="134">
        <v>17.86</v>
      </c>
      <c r="D101" s="134">
        <v>18.47</v>
      </c>
      <c r="E101" s="134">
        <v>9.0399999999999991</v>
      </c>
      <c r="F101" s="134">
        <v>4.3600000000000003</v>
      </c>
      <c r="G101" s="134">
        <v>8.76</v>
      </c>
      <c r="H101" s="134">
        <v>4.8600000000000003</v>
      </c>
      <c r="I101" s="134">
        <v>3.21</v>
      </c>
      <c r="J101" s="134">
        <v>0.36</v>
      </c>
      <c r="K101" s="134">
        <v>252.32</v>
      </c>
      <c r="L101" s="134">
        <v>25.29</v>
      </c>
      <c r="M101" s="134">
        <v>93.51</v>
      </c>
      <c r="N101" s="134">
        <v>0</v>
      </c>
      <c r="O101" s="134">
        <v>0</v>
      </c>
      <c r="P101" s="134">
        <v>0.37</v>
      </c>
      <c r="Q101" s="134">
        <v>5.35</v>
      </c>
    </row>
    <row r="102" spans="1:22" customFormat="1">
      <c r="A102" s="112" t="s">
        <v>1676</v>
      </c>
      <c r="B102" s="134">
        <v>9.69</v>
      </c>
      <c r="C102" s="134">
        <v>16.690000000000001</v>
      </c>
      <c r="D102" s="134">
        <v>17.850000000000001</v>
      </c>
      <c r="E102" s="134">
        <v>9.23</v>
      </c>
      <c r="F102" s="134">
        <v>5.32</v>
      </c>
      <c r="G102" s="134">
        <v>7.44</v>
      </c>
      <c r="H102" s="134">
        <v>4.88</v>
      </c>
      <c r="I102" s="134">
        <v>3.3</v>
      </c>
      <c r="J102" s="134">
        <v>0.37</v>
      </c>
      <c r="K102" s="134">
        <v>258.58</v>
      </c>
      <c r="L102" s="134">
        <v>25.3</v>
      </c>
      <c r="M102" s="134">
        <v>93.17</v>
      </c>
      <c r="N102" s="134">
        <v>0</v>
      </c>
      <c r="O102" s="134">
        <v>0</v>
      </c>
      <c r="P102" s="134">
        <v>0.36</v>
      </c>
      <c r="Q102" s="134">
        <v>5.39</v>
      </c>
    </row>
    <row r="103" spans="1:22" customFormat="1">
      <c r="A103" s="112" t="s">
        <v>1677</v>
      </c>
      <c r="B103" s="134">
        <v>9.6999999999999993</v>
      </c>
      <c r="C103" s="134">
        <v>16.34</v>
      </c>
      <c r="D103" s="134">
        <v>17.670000000000002</v>
      </c>
      <c r="E103" s="134">
        <v>8.8000000000000007</v>
      </c>
      <c r="F103" s="134">
        <v>5.33</v>
      </c>
      <c r="G103" s="134">
        <v>7.22</v>
      </c>
      <c r="H103" s="134">
        <v>4.88</v>
      </c>
      <c r="I103" s="134">
        <v>3.3</v>
      </c>
      <c r="J103" s="134">
        <v>0.18</v>
      </c>
      <c r="K103" s="134">
        <v>258.51</v>
      </c>
      <c r="L103" s="134">
        <v>25.22</v>
      </c>
      <c r="M103" s="134">
        <v>94</v>
      </c>
      <c r="N103" s="134">
        <v>0</v>
      </c>
      <c r="O103" s="134">
        <v>0</v>
      </c>
      <c r="P103" s="134">
        <v>0.35</v>
      </c>
      <c r="Q103" s="134">
        <v>5.34</v>
      </c>
    </row>
    <row r="104" spans="1:22" customFormat="1">
      <c r="A104" s="112" t="s">
        <v>1678</v>
      </c>
      <c r="B104" s="134">
        <v>9.99</v>
      </c>
      <c r="C104" s="134">
        <v>17.850000000000001</v>
      </c>
      <c r="D104" s="134">
        <v>18.68</v>
      </c>
      <c r="E104" s="134">
        <v>8.9600000000000009</v>
      </c>
      <c r="F104" s="134">
        <v>4.22</v>
      </c>
      <c r="G104" s="134">
        <v>7.22</v>
      </c>
      <c r="H104" s="134">
        <v>4.88</v>
      </c>
      <c r="I104" s="134">
        <v>3.21</v>
      </c>
      <c r="J104" s="134">
        <v>0.22</v>
      </c>
      <c r="K104" s="134">
        <v>240.01</v>
      </c>
      <c r="L104" s="134">
        <v>25.14</v>
      </c>
      <c r="M104" s="134">
        <v>94.81</v>
      </c>
      <c r="N104" s="134">
        <v>0</v>
      </c>
      <c r="O104" s="134">
        <v>0</v>
      </c>
      <c r="P104" s="134">
        <v>0.36</v>
      </c>
      <c r="Q104" s="134">
        <v>5.34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7.38</v>
      </c>
      <c r="C106" s="183">
        <f>MIN(C9:C104)</f>
        <v>14.7</v>
      </c>
      <c r="D106" s="183">
        <f t="shared" ref="D106:Q106" si="0">MIN(D9:D104)</f>
        <v>15.07</v>
      </c>
      <c r="E106" s="183">
        <f t="shared" si="0"/>
        <v>6.32</v>
      </c>
      <c r="F106" s="183">
        <f t="shared" si="0"/>
        <v>3.92</v>
      </c>
      <c r="G106" s="183">
        <f t="shared" si="0"/>
        <v>0.73</v>
      </c>
      <c r="H106" s="183">
        <f t="shared" si="0"/>
        <v>0.77</v>
      </c>
      <c r="I106" s="183">
        <f t="shared" si="0"/>
        <v>3.21</v>
      </c>
      <c r="J106" s="183">
        <f t="shared" si="0"/>
        <v>0.06</v>
      </c>
      <c r="K106" s="183">
        <f t="shared" si="0"/>
        <v>237.18</v>
      </c>
      <c r="L106" s="183">
        <f t="shared" si="0"/>
        <v>23.52</v>
      </c>
      <c r="M106" s="183">
        <f t="shared" si="0"/>
        <v>82.61</v>
      </c>
      <c r="N106" s="183">
        <f t="shared" si="0"/>
        <v>0</v>
      </c>
      <c r="O106" s="183">
        <f t="shared" si="0"/>
        <v>0</v>
      </c>
      <c r="P106" s="183">
        <f t="shared" si="0"/>
        <v>0.33</v>
      </c>
      <c r="Q106" s="183">
        <f t="shared" si="0"/>
        <v>4.91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10.41</v>
      </c>
      <c r="C107" s="184">
        <f t="shared" ref="C107:Q107" si="1">MAX(C9:C104)</f>
        <v>19.649999999999999</v>
      </c>
      <c r="D107" s="184">
        <f t="shared" si="1"/>
        <v>19.489999999999998</v>
      </c>
      <c r="E107" s="184">
        <f t="shared" si="1"/>
        <v>10.220000000000001</v>
      </c>
      <c r="F107" s="184">
        <f t="shared" si="1"/>
        <v>7.5</v>
      </c>
      <c r="G107" s="184">
        <f t="shared" si="1"/>
        <v>9.7899999999999991</v>
      </c>
      <c r="H107" s="184">
        <f t="shared" si="1"/>
        <v>6.58</v>
      </c>
      <c r="I107" s="184">
        <f t="shared" si="1"/>
        <v>8.93</v>
      </c>
      <c r="J107" s="184">
        <f t="shared" si="1"/>
        <v>0.89</v>
      </c>
      <c r="K107" s="184">
        <f t="shared" si="1"/>
        <v>311.98</v>
      </c>
      <c r="L107" s="184">
        <f t="shared" si="1"/>
        <v>28.44</v>
      </c>
      <c r="M107" s="184">
        <f t="shared" si="1"/>
        <v>99.43</v>
      </c>
      <c r="N107" s="184">
        <f t="shared" si="1"/>
        <v>480.7</v>
      </c>
      <c r="O107" s="184">
        <f t="shared" si="1"/>
        <v>2.2000000000000002</v>
      </c>
      <c r="P107" s="184">
        <f t="shared" si="1"/>
        <v>0.54</v>
      </c>
      <c r="Q107" s="184">
        <f t="shared" si="1"/>
        <v>5.45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9.1600000000000019</v>
      </c>
      <c r="C108" s="183">
        <f t="shared" ref="C108:Q108" si="2">AVERAGE(C9:C104)</f>
        <v>17.070416666666667</v>
      </c>
      <c r="D108" s="183">
        <f t="shared" si="2"/>
        <v>17.615312500000005</v>
      </c>
      <c r="E108" s="183">
        <f t="shared" si="2"/>
        <v>8.621458333333333</v>
      </c>
      <c r="F108" s="183">
        <f t="shared" si="2"/>
        <v>5.2958333333333352</v>
      </c>
      <c r="G108" s="183">
        <f t="shared" si="2"/>
        <v>4.1827083333333324</v>
      </c>
      <c r="H108" s="183">
        <f t="shared" si="2"/>
        <v>2.791250000000002</v>
      </c>
      <c r="I108" s="183">
        <f t="shared" si="2"/>
        <v>4.9543749999999998</v>
      </c>
      <c r="J108" s="183">
        <f t="shared" si="2"/>
        <v>0.40447916666666689</v>
      </c>
      <c r="K108" s="183">
        <f t="shared" si="2"/>
        <v>261.6647916666667</v>
      </c>
      <c r="L108" s="183">
        <f t="shared" si="2"/>
        <v>25.720208333333328</v>
      </c>
      <c r="M108" s="183">
        <f t="shared" si="2"/>
        <v>92.968541666666681</v>
      </c>
      <c r="N108" s="183">
        <f t="shared" si="2"/>
        <v>75.821874999999991</v>
      </c>
      <c r="O108" s="183">
        <f t="shared" si="2"/>
        <v>0.18333333333333326</v>
      </c>
      <c r="P108" s="183">
        <f t="shared" si="2"/>
        <v>0.40812500000000002</v>
      </c>
      <c r="Q108" s="183">
        <f t="shared" si="2"/>
        <v>5.1055208333333342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0.78570116188631134</v>
      </c>
      <c r="C109" s="183">
        <f t="shared" ref="C109:Q109" si="3">STDEV(C9:C104)</f>
        <v>1.2670819494676253</v>
      </c>
      <c r="D109" s="183">
        <f t="shared" si="3"/>
        <v>1.1230456269729248</v>
      </c>
      <c r="E109" s="183">
        <f t="shared" si="3"/>
        <v>0.9176915881041996</v>
      </c>
      <c r="F109" s="183">
        <f t="shared" si="3"/>
        <v>0.89392648545810338</v>
      </c>
      <c r="G109" s="183">
        <f t="shared" si="3"/>
        <v>2.7889603719200378</v>
      </c>
      <c r="H109" s="183">
        <f t="shared" si="3"/>
        <v>1.7318193961994464</v>
      </c>
      <c r="I109" s="183">
        <f t="shared" si="3"/>
        <v>1.6803619989063086</v>
      </c>
      <c r="J109" s="183">
        <f t="shared" si="3"/>
        <v>0.19620542291806287</v>
      </c>
      <c r="K109" s="183">
        <f t="shared" si="3"/>
        <v>13.186489016704318</v>
      </c>
      <c r="L109" s="183">
        <f t="shared" si="3"/>
        <v>1.5148069039123764</v>
      </c>
      <c r="M109" s="183">
        <f t="shared" si="3"/>
        <v>6.1098641520197283</v>
      </c>
      <c r="N109" s="183">
        <f t="shared" si="3"/>
        <v>110.73314361741356</v>
      </c>
      <c r="O109" s="183">
        <f t="shared" si="3"/>
        <v>0.4667167892882243</v>
      </c>
      <c r="P109" s="183">
        <f t="shared" si="3"/>
        <v>5.2901348107388751E-2</v>
      </c>
      <c r="Q109" s="183">
        <f t="shared" si="3"/>
        <v>0.15841896345596851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16/09/2023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1679</v>
      </c>
      <c r="B9" s="134">
        <v>10.35</v>
      </c>
      <c r="C9" s="134">
        <v>17.21</v>
      </c>
      <c r="D9" s="134">
        <v>18.64</v>
      </c>
      <c r="E9" s="134">
        <v>9.34</v>
      </c>
      <c r="F9" s="134">
        <v>5.05</v>
      </c>
      <c r="G9" s="134">
        <v>7.22</v>
      </c>
      <c r="H9" s="134">
        <v>4.88</v>
      </c>
      <c r="I9" s="134">
        <v>3.25</v>
      </c>
      <c r="J9" s="134">
        <v>0.17</v>
      </c>
      <c r="K9" s="134">
        <v>258.25</v>
      </c>
      <c r="L9" s="134">
        <v>25.17</v>
      </c>
      <c r="M9" s="134">
        <v>94.58</v>
      </c>
      <c r="N9" s="134">
        <v>0</v>
      </c>
      <c r="O9" s="134">
        <v>0</v>
      </c>
      <c r="P9" s="134">
        <v>0.36</v>
      </c>
      <c r="Q9" s="134">
        <v>5.37</v>
      </c>
    </row>
    <row r="10" spans="1:21" customFormat="1">
      <c r="A10" s="112" t="s">
        <v>1680</v>
      </c>
      <c r="B10" s="134">
        <v>10.51</v>
      </c>
      <c r="C10" s="134">
        <v>16.61</v>
      </c>
      <c r="D10" s="134">
        <v>18.46</v>
      </c>
      <c r="E10" s="134">
        <v>8.9600000000000009</v>
      </c>
      <c r="F10" s="134">
        <v>5.38</v>
      </c>
      <c r="G10" s="134">
        <v>7.13</v>
      </c>
      <c r="H10" s="134">
        <v>3.79</v>
      </c>
      <c r="I10" s="134">
        <v>3.27</v>
      </c>
      <c r="J10" s="134">
        <v>0.16</v>
      </c>
      <c r="K10" s="134">
        <v>265.75</v>
      </c>
      <c r="L10" s="134">
        <v>25.15</v>
      </c>
      <c r="M10" s="134">
        <v>94.63</v>
      </c>
      <c r="N10" s="134">
        <v>0</v>
      </c>
      <c r="O10" s="134">
        <v>0</v>
      </c>
      <c r="P10" s="134">
        <v>0.35</v>
      </c>
      <c r="Q10" s="134">
        <v>5.33</v>
      </c>
    </row>
    <row r="11" spans="1:21" customFormat="1">
      <c r="A11" s="112" t="s">
        <v>1681</v>
      </c>
      <c r="B11" s="134">
        <v>10.83</v>
      </c>
      <c r="C11" s="134">
        <v>18.420000000000002</v>
      </c>
      <c r="D11" s="134">
        <v>19.66</v>
      </c>
      <c r="E11" s="134">
        <v>9.33</v>
      </c>
      <c r="F11" s="134">
        <v>4.1500000000000004</v>
      </c>
      <c r="G11" s="134">
        <v>7.12</v>
      </c>
      <c r="H11" s="134">
        <v>3.79</v>
      </c>
      <c r="I11" s="134">
        <v>3.19</v>
      </c>
      <c r="J11" s="134">
        <v>0.04</v>
      </c>
      <c r="K11" s="134">
        <v>274.93</v>
      </c>
      <c r="L11" s="134">
        <v>25.22</v>
      </c>
      <c r="M11" s="134">
        <v>94.07</v>
      </c>
      <c r="N11" s="134">
        <v>0</v>
      </c>
      <c r="O11" s="134">
        <v>0</v>
      </c>
      <c r="P11" s="134">
        <v>0.37</v>
      </c>
      <c r="Q11" s="134">
        <v>5.34</v>
      </c>
    </row>
    <row r="12" spans="1:21" customFormat="1">
      <c r="A12" s="112" t="s">
        <v>1682</v>
      </c>
      <c r="B12" s="134">
        <v>10.99</v>
      </c>
      <c r="C12" s="134">
        <v>16.850000000000001</v>
      </c>
      <c r="D12" s="134">
        <v>18.96</v>
      </c>
      <c r="E12" s="134">
        <v>9.06</v>
      </c>
      <c r="F12" s="134">
        <v>5.3</v>
      </c>
      <c r="G12" s="134">
        <v>7.12</v>
      </c>
      <c r="H12" s="134">
        <v>3.79</v>
      </c>
      <c r="I12" s="134">
        <v>3.22</v>
      </c>
      <c r="J12" s="134">
        <v>0.18</v>
      </c>
      <c r="K12" s="134">
        <v>268.89</v>
      </c>
      <c r="L12" s="134">
        <v>25.15</v>
      </c>
      <c r="M12" s="134">
        <v>94.01</v>
      </c>
      <c r="N12" s="134">
        <v>0</v>
      </c>
      <c r="O12" s="134">
        <v>0</v>
      </c>
      <c r="P12" s="134">
        <v>0.35</v>
      </c>
      <c r="Q12" s="134">
        <v>5.37</v>
      </c>
    </row>
    <row r="13" spans="1:21" customFormat="1">
      <c r="A13" s="112" t="s">
        <v>1683</v>
      </c>
      <c r="B13" s="134">
        <v>10.99</v>
      </c>
      <c r="C13" s="134">
        <v>16.600000000000001</v>
      </c>
      <c r="D13" s="134">
        <v>18.84</v>
      </c>
      <c r="E13" s="134">
        <v>8.68</v>
      </c>
      <c r="F13" s="134">
        <v>5.28</v>
      </c>
      <c r="G13" s="134">
        <v>7.12</v>
      </c>
      <c r="H13" s="134">
        <v>3.79</v>
      </c>
      <c r="I13" s="134">
        <v>3.25</v>
      </c>
      <c r="J13" s="134">
        <v>0.12</v>
      </c>
      <c r="K13" s="134">
        <v>270.37</v>
      </c>
      <c r="L13" s="134">
        <v>25.18</v>
      </c>
      <c r="M13" s="134">
        <v>93.89</v>
      </c>
      <c r="N13" s="134">
        <v>0</v>
      </c>
      <c r="O13" s="134">
        <v>0</v>
      </c>
      <c r="P13" s="134">
        <v>0.35</v>
      </c>
      <c r="Q13" s="134">
        <v>5.33</v>
      </c>
    </row>
    <row r="14" spans="1:21" customFormat="1">
      <c r="A14" s="112" t="s">
        <v>1684</v>
      </c>
      <c r="B14" s="134">
        <v>11.12</v>
      </c>
      <c r="C14" s="134">
        <v>19.05</v>
      </c>
      <c r="D14" s="134">
        <v>20.22</v>
      </c>
      <c r="E14" s="134">
        <v>9.5299999999999994</v>
      </c>
      <c r="F14" s="134">
        <v>4.03</v>
      </c>
      <c r="G14" s="134">
        <v>5.47</v>
      </c>
      <c r="H14" s="134">
        <v>3.68</v>
      </c>
      <c r="I14" s="134">
        <v>3.16</v>
      </c>
      <c r="J14" s="134">
        <v>0.15</v>
      </c>
      <c r="K14" s="134">
        <v>281.81</v>
      </c>
      <c r="L14" s="134">
        <v>25.23</v>
      </c>
      <c r="M14" s="134">
        <v>93.82</v>
      </c>
      <c r="N14" s="134">
        <v>0</v>
      </c>
      <c r="O14" s="134">
        <v>0</v>
      </c>
      <c r="P14" s="134">
        <v>0.38</v>
      </c>
      <c r="Q14" s="134">
        <v>5.3</v>
      </c>
    </row>
    <row r="15" spans="1:21" customFormat="1">
      <c r="A15" s="112" t="s">
        <v>1685</v>
      </c>
      <c r="B15" s="134">
        <v>11.37</v>
      </c>
      <c r="C15" s="134">
        <v>19.170000000000002</v>
      </c>
      <c r="D15" s="134">
        <v>20.49</v>
      </c>
      <c r="E15" s="134">
        <v>9.4499999999999993</v>
      </c>
      <c r="F15" s="134">
        <v>4.26</v>
      </c>
      <c r="G15" s="134">
        <v>5.19</v>
      </c>
      <c r="H15" s="134">
        <v>3.68</v>
      </c>
      <c r="I15" s="134">
        <v>3.2</v>
      </c>
      <c r="J15" s="134">
        <v>0.21</v>
      </c>
      <c r="K15" s="134">
        <v>273.56</v>
      </c>
      <c r="L15" s="134">
        <v>25.27</v>
      </c>
      <c r="M15" s="134">
        <v>93.3</v>
      </c>
      <c r="N15" s="134">
        <v>0</v>
      </c>
      <c r="O15" s="134">
        <v>0</v>
      </c>
      <c r="P15" s="134">
        <v>0.38</v>
      </c>
      <c r="Q15" s="134">
        <v>5.35</v>
      </c>
    </row>
    <row r="16" spans="1:21" customFormat="1">
      <c r="A16" s="112" t="s">
        <v>1686</v>
      </c>
      <c r="B16" s="134">
        <v>11.54</v>
      </c>
      <c r="C16" s="134">
        <v>17.649999999999999</v>
      </c>
      <c r="D16" s="134">
        <v>19.82</v>
      </c>
      <c r="E16" s="134">
        <v>9.43</v>
      </c>
      <c r="F16" s="134">
        <v>5.0199999999999996</v>
      </c>
      <c r="G16" s="134">
        <v>5.19</v>
      </c>
      <c r="H16" s="134">
        <v>3.68</v>
      </c>
      <c r="I16" s="134">
        <v>3.3</v>
      </c>
      <c r="J16" s="134">
        <v>0.18</v>
      </c>
      <c r="K16" s="134">
        <v>261.13</v>
      </c>
      <c r="L16" s="134">
        <v>25.23</v>
      </c>
      <c r="M16" s="134">
        <v>93.54</v>
      </c>
      <c r="N16" s="134">
        <v>0</v>
      </c>
      <c r="O16" s="134">
        <v>0</v>
      </c>
      <c r="P16" s="134">
        <v>0.36</v>
      </c>
      <c r="Q16" s="134">
        <v>5.32</v>
      </c>
    </row>
    <row r="17" spans="1:17" customFormat="1">
      <c r="A17" s="112" t="s">
        <v>1687</v>
      </c>
      <c r="B17" s="134">
        <v>11.44</v>
      </c>
      <c r="C17" s="134">
        <v>16.350000000000001</v>
      </c>
      <c r="D17" s="134">
        <v>19.059999999999999</v>
      </c>
      <c r="E17" s="134">
        <v>7.96</v>
      </c>
      <c r="F17" s="134">
        <v>5.28</v>
      </c>
      <c r="G17" s="134">
        <v>5.19</v>
      </c>
      <c r="H17" s="134">
        <v>3.68</v>
      </c>
      <c r="I17" s="134">
        <v>3.24</v>
      </c>
      <c r="J17" s="134">
        <v>0.08</v>
      </c>
      <c r="K17" s="134">
        <v>277.97000000000003</v>
      </c>
      <c r="L17" s="134">
        <v>25.16</v>
      </c>
      <c r="M17" s="134">
        <v>94.11</v>
      </c>
      <c r="N17" s="134">
        <v>0</v>
      </c>
      <c r="O17" s="134">
        <v>0</v>
      </c>
      <c r="P17" s="134">
        <v>0.34</v>
      </c>
      <c r="Q17" s="134">
        <v>5.28</v>
      </c>
    </row>
    <row r="18" spans="1:17" customFormat="1">
      <c r="A18" s="112" t="s">
        <v>1688</v>
      </c>
      <c r="B18" s="134">
        <v>11.53</v>
      </c>
      <c r="C18" s="134">
        <v>18.2</v>
      </c>
      <c r="D18" s="134">
        <v>20.11</v>
      </c>
      <c r="E18" s="134">
        <v>9.31</v>
      </c>
      <c r="F18" s="134">
        <v>4.1500000000000004</v>
      </c>
      <c r="G18" s="134">
        <v>7.25</v>
      </c>
      <c r="H18" s="134">
        <v>2.85</v>
      </c>
      <c r="I18" s="134">
        <v>3.19</v>
      </c>
      <c r="J18" s="134">
        <v>0.03</v>
      </c>
      <c r="K18" s="134">
        <v>155.15</v>
      </c>
      <c r="L18" s="134">
        <v>25.13</v>
      </c>
      <c r="M18" s="134">
        <v>94.54</v>
      </c>
      <c r="N18" s="134">
        <v>0</v>
      </c>
      <c r="O18" s="134">
        <v>0</v>
      </c>
      <c r="P18" s="134">
        <v>0.36</v>
      </c>
      <c r="Q18" s="134">
        <v>5.24</v>
      </c>
    </row>
    <row r="19" spans="1:17" customFormat="1">
      <c r="A19" s="112" t="s">
        <v>1689</v>
      </c>
      <c r="B19" s="134">
        <v>11.68</v>
      </c>
      <c r="C19" s="134">
        <v>17.93</v>
      </c>
      <c r="D19" s="134">
        <v>20.09</v>
      </c>
      <c r="E19" s="134">
        <v>9.59</v>
      </c>
      <c r="F19" s="134">
        <v>4.5999999999999996</v>
      </c>
      <c r="G19" s="134">
        <v>7.63</v>
      </c>
      <c r="H19" s="134">
        <v>2.85</v>
      </c>
      <c r="I19" s="134">
        <v>3.12</v>
      </c>
      <c r="J19" s="134">
        <v>0.05</v>
      </c>
      <c r="K19" s="134">
        <v>133.55000000000001</v>
      </c>
      <c r="L19" s="134">
        <v>25.04</v>
      </c>
      <c r="M19" s="134">
        <v>95.42</v>
      </c>
      <c r="N19" s="134">
        <v>0</v>
      </c>
      <c r="O19" s="134">
        <v>0</v>
      </c>
      <c r="P19" s="134">
        <v>0.36</v>
      </c>
      <c r="Q19" s="134">
        <v>5.27</v>
      </c>
    </row>
    <row r="20" spans="1:17" customFormat="1">
      <c r="A20" s="112" t="s">
        <v>1690</v>
      </c>
      <c r="B20" s="134">
        <v>11.65</v>
      </c>
      <c r="C20" s="134">
        <v>16.91</v>
      </c>
      <c r="D20" s="134">
        <v>19.52</v>
      </c>
      <c r="E20" s="134">
        <v>8.7200000000000006</v>
      </c>
      <c r="F20" s="134">
        <v>5.09</v>
      </c>
      <c r="G20" s="134">
        <v>7.63</v>
      </c>
      <c r="H20" s="134">
        <v>2.85</v>
      </c>
      <c r="I20" s="134">
        <v>3.27</v>
      </c>
      <c r="J20" s="134">
        <v>0.25</v>
      </c>
      <c r="K20" s="134">
        <v>270.95</v>
      </c>
      <c r="L20" s="134">
        <v>25.15</v>
      </c>
      <c r="M20" s="134">
        <v>94.65</v>
      </c>
      <c r="N20" s="134">
        <v>0</v>
      </c>
      <c r="O20" s="134">
        <v>0</v>
      </c>
      <c r="P20" s="134">
        <v>0.34</v>
      </c>
      <c r="Q20" s="134">
        <v>5.27</v>
      </c>
    </row>
    <row r="21" spans="1:17" customFormat="1">
      <c r="A21" s="112" t="s">
        <v>1691</v>
      </c>
      <c r="B21" s="134">
        <v>11.84</v>
      </c>
      <c r="C21" s="134">
        <v>18.260000000000002</v>
      </c>
      <c r="D21" s="134">
        <v>20.39</v>
      </c>
      <c r="E21" s="134">
        <v>9.1999999999999993</v>
      </c>
      <c r="F21" s="134">
        <v>4.16</v>
      </c>
      <c r="G21" s="134">
        <v>7.63</v>
      </c>
      <c r="H21" s="134">
        <v>2.85</v>
      </c>
      <c r="I21" s="134">
        <v>3.14</v>
      </c>
      <c r="J21" s="134">
        <v>0.19</v>
      </c>
      <c r="K21" s="134">
        <v>263.19</v>
      </c>
      <c r="L21" s="134">
        <v>25.03</v>
      </c>
      <c r="M21" s="134">
        <v>94.25</v>
      </c>
      <c r="N21" s="134">
        <v>0</v>
      </c>
      <c r="O21" s="134">
        <v>0</v>
      </c>
      <c r="P21" s="134">
        <v>0.37</v>
      </c>
      <c r="Q21" s="134">
        <v>5.23</v>
      </c>
    </row>
    <row r="22" spans="1:17" customFormat="1">
      <c r="A22" s="112" t="s">
        <v>1692</v>
      </c>
      <c r="B22" s="134">
        <v>11.98</v>
      </c>
      <c r="C22" s="134">
        <v>17.29</v>
      </c>
      <c r="D22" s="134">
        <v>20</v>
      </c>
      <c r="E22" s="134">
        <v>9.35</v>
      </c>
      <c r="F22" s="134">
        <v>4.97</v>
      </c>
      <c r="G22" s="134">
        <v>5.73</v>
      </c>
      <c r="H22" s="134">
        <v>2.2400000000000002</v>
      </c>
      <c r="I22" s="134">
        <v>3.09</v>
      </c>
      <c r="J22" s="134">
        <v>0.15</v>
      </c>
      <c r="K22" s="134">
        <v>271.32</v>
      </c>
      <c r="L22" s="134">
        <v>24.93</v>
      </c>
      <c r="M22" s="134">
        <v>93.35</v>
      </c>
      <c r="N22" s="134">
        <v>0</v>
      </c>
      <c r="O22" s="134">
        <v>0</v>
      </c>
      <c r="P22" s="134">
        <v>0.35</v>
      </c>
      <c r="Q22" s="134">
        <v>5.26</v>
      </c>
    </row>
    <row r="23" spans="1:17" customFormat="1">
      <c r="A23" s="112" t="s">
        <v>1693</v>
      </c>
      <c r="B23" s="134">
        <v>11.94</v>
      </c>
      <c r="C23" s="134">
        <v>16.809999999999999</v>
      </c>
      <c r="D23" s="134">
        <v>19.71</v>
      </c>
      <c r="E23" s="134">
        <v>9.2799999999999994</v>
      </c>
      <c r="F23" s="134">
        <v>5.27</v>
      </c>
      <c r="G23" s="134">
        <v>5.38</v>
      </c>
      <c r="H23" s="134">
        <v>2.2400000000000002</v>
      </c>
      <c r="I23" s="134">
        <v>3.23</v>
      </c>
      <c r="J23" s="134">
        <v>0.08</v>
      </c>
      <c r="K23" s="134">
        <v>273.5</v>
      </c>
      <c r="L23" s="134">
        <v>24.9</v>
      </c>
      <c r="M23" s="134">
        <v>93.37</v>
      </c>
      <c r="N23" s="134">
        <v>0</v>
      </c>
      <c r="O23" s="134">
        <v>0</v>
      </c>
      <c r="P23" s="134">
        <v>0.34</v>
      </c>
      <c r="Q23" s="134">
        <v>5.25</v>
      </c>
    </row>
    <row r="24" spans="1:17" customFormat="1">
      <c r="A24" s="112" t="s">
        <v>1694</v>
      </c>
      <c r="B24" s="134">
        <v>12.13</v>
      </c>
      <c r="C24" s="134">
        <v>18.45</v>
      </c>
      <c r="D24" s="134">
        <v>20.71</v>
      </c>
      <c r="E24" s="134">
        <v>9.3800000000000008</v>
      </c>
      <c r="F24" s="134">
        <v>4.18</v>
      </c>
      <c r="G24" s="134">
        <v>5.38</v>
      </c>
      <c r="H24" s="134">
        <v>2.2400000000000002</v>
      </c>
      <c r="I24" s="134">
        <v>3.11</v>
      </c>
      <c r="J24" s="134">
        <v>0.03</v>
      </c>
      <c r="K24" s="134">
        <v>337.6</v>
      </c>
      <c r="L24" s="134">
        <v>24.79</v>
      </c>
      <c r="M24" s="134">
        <v>94.53</v>
      </c>
      <c r="N24" s="134">
        <v>0</v>
      </c>
      <c r="O24" s="134">
        <v>0</v>
      </c>
      <c r="P24" s="134">
        <v>0.36</v>
      </c>
      <c r="Q24" s="134">
        <v>5.23</v>
      </c>
    </row>
    <row r="25" spans="1:17" customFormat="1">
      <c r="A25" s="112" t="s">
        <v>1695</v>
      </c>
      <c r="B25" s="134">
        <v>12.3</v>
      </c>
      <c r="C25" s="134">
        <v>17.82</v>
      </c>
      <c r="D25" s="134">
        <v>20.53</v>
      </c>
      <c r="E25" s="134">
        <v>9.77</v>
      </c>
      <c r="F25" s="134">
        <v>4.66</v>
      </c>
      <c r="G25" s="134">
        <v>5.38</v>
      </c>
      <c r="H25" s="134">
        <v>2.2400000000000002</v>
      </c>
      <c r="I25" s="134">
        <v>3.11</v>
      </c>
      <c r="J25" s="134">
        <v>0.06</v>
      </c>
      <c r="K25" s="134">
        <v>320.44</v>
      </c>
      <c r="L25" s="134">
        <v>24.95</v>
      </c>
      <c r="M25" s="134">
        <v>93.85</v>
      </c>
      <c r="N25" s="134">
        <v>0</v>
      </c>
      <c r="O25" s="134">
        <v>0</v>
      </c>
      <c r="P25" s="134">
        <v>0.35</v>
      </c>
      <c r="Q25" s="134">
        <v>5.23</v>
      </c>
    </row>
    <row r="26" spans="1:17" customFormat="1">
      <c r="A26" s="112" t="s">
        <v>1696</v>
      </c>
      <c r="B26" s="134">
        <v>12.22</v>
      </c>
      <c r="C26" s="134">
        <v>16.899999999999999</v>
      </c>
      <c r="D26" s="134">
        <v>19.98</v>
      </c>
      <c r="E26" s="134">
        <v>9.16</v>
      </c>
      <c r="F26" s="134">
        <v>5.13</v>
      </c>
      <c r="G26" s="134">
        <v>5.65</v>
      </c>
      <c r="H26" s="134">
        <v>3.62</v>
      </c>
      <c r="I26" s="134">
        <v>3.2</v>
      </c>
      <c r="J26" s="134">
        <v>0.06</v>
      </c>
      <c r="K26" s="134">
        <v>316.94</v>
      </c>
      <c r="L26" s="134">
        <v>25.02</v>
      </c>
      <c r="M26" s="134">
        <v>93.55</v>
      </c>
      <c r="N26" s="134">
        <v>0</v>
      </c>
      <c r="O26" s="134">
        <v>0</v>
      </c>
      <c r="P26" s="134">
        <v>0.35</v>
      </c>
      <c r="Q26" s="134">
        <v>5.22</v>
      </c>
    </row>
    <row r="27" spans="1:17" customFormat="1">
      <c r="A27" s="112" t="s">
        <v>1697</v>
      </c>
      <c r="B27" s="134">
        <v>12.52</v>
      </c>
      <c r="C27" s="134">
        <v>18.739999999999998</v>
      </c>
      <c r="D27" s="134">
        <v>21.19</v>
      </c>
      <c r="E27" s="134">
        <v>9.3800000000000008</v>
      </c>
      <c r="F27" s="134">
        <v>4.1100000000000003</v>
      </c>
      <c r="G27" s="134">
        <v>5.7</v>
      </c>
      <c r="H27" s="134">
        <v>3.62</v>
      </c>
      <c r="I27" s="134">
        <v>3.08</v>
      </c>
      <c r="J27" s="134">
        <v>0.08</v>
      </c>
      <c r="K27" s="134">
        <v>261.69</v>
      </c>
      <c r="L27" s="134">
        <v>25.09</v>
      </c>
      <c r="M27" s="134">
        <v>93.02</v>
      </c>
      <c r="N27" s="134">
        <v>0</v>
      </c>
      <c r="O27" s="134">
        <v>0</v>
      </c>
      <c r="P27" s="134">
        <v>0.36</v>
      </c>
      <c r="Q27" s="134">
        <v>5.2</v>
      </c>
    </row>
    <row r="28" spans="1:17" customFormat="1">
      <c r="A28" s="112" t="s">
        <v>1698</v>
      </c>
      <c r="B28" s="134">
        <v>12.58</v>
      </c>
      <c r="C28" s="134">
        <v>17.600000000000001</v>
      </c>
      <c r="D28" s="134">
        <v>20.64</v>
      </c>
      <c r="E28" s="134">
        <v>9.3000000000000007</v>
      </c>
      <c r="F28" s="134">
        <v>4.87</v>
      </c>
      <c r="G28" s="134">
        <v>5.7</v>
      </c>
      <c r="H28" s="134">
        <v>3.62</v>
      </c>
      <c r="I28" s="134">
        <v>3.11</v>
      </c>
      <c r="J28" s="134">
        <v>0.16</v>
      </c>
      <c r="K28" s="134">
        <v>285.83999999999997</v>
      </c>
      <c r="L28" s="134">
        <v>25.04</v>
      </c>
      <c r="M28" s="134">
        <v>93.54</v>
      </c>
      <c r="N28" s="134">
        <v>0</v>
      </c>
      <c r="O28" s="134">
        <v>0</v>
      </c>
      <c r="P28" s="134">
        <v>0.34</v>
      </c>
      <c r="Q28" s="134">
        <v>5.24</v>
      </c>
    </row>
    <row r="29" spans="1:17" customFormat="1">
      <c r="A29" s="112" t="s">
        <v>1699</v>
      </c>
      <c r="B29" s="134">
        <v>12.51</v>
      </c>
      <c r="C29" s="134">
        <v>17.239999999999998</v>
      </c>
      <c r="D29" s="134">
        <v>20.39</v>
      </c>
      <c r="E29" s="134">
        <v>9.4</v>
      </c>
      <c r="F29" s="134">
        <v>4.75</v>
      </c>
      <c r="G29" s="134">
        <v>5.7</v>
      </c>
      <c r="H29" s="134">
        <v>3.62</v>
      </c>
      <c r="I29" s="134">
        <v>3.17</v>
      </c>
      <c r="J29" s="134">
        <v>0.15</v>
      </c>
      <c r="K29" s="134">
        <v>288.52999999999997</v>
      </c>
      <c r="L29" s="134">
        <v>24.99</v>
      </c>
      <c r="M29" s="134">
        <v>93.29</v>
      </c>
      <c r="N29" s="134">
        <v>0</v>
      </c>
      <c r="O29" s="134">
        <v>0</v>
      </c>
      <c r="P29" s="134">
        <v>0.34</v>
      </c>
      <c r="Q29" s="134">
        <v>5.23</v>
      </c>
    </row>
    <row r="30" spans="1:17" customFormat="1">
      <c r="A30" s="112" t="s">
        <v>1700</v>
      </c>
      <c r="B30" s="134">
        <v>12.63</v>
      </c>
      <c r="C30" s="134">
        <v>18.54</v>
      </c>
      <c r="D30" s="134">
        <v>21.16</v>
      </c>
      <c r="E30" s="134">
        <v>9.2200000000000006</v>
      </c>
      <c r="F30" s="134">
        <v>4.25</v>
      </c>
      <c r="G30" s="134">
        <v>5.41</v>
      </c>
      <c r="H30" s="134">
        <v>3.15</v>
      </c>
      <c r="I30" s="134">
        <v>3.06</v>
      </c>
      <c r="J30" s="134">
        <v>0.12</v>
      </c>
      <c r="K30" s="134">
        <v>277.7</v>
      </c>
      <c r="L30" s="134">
        <v>25.06</v>
      </c>
      <c r="M30" s="134">
        <v>93.42</v>
      </c>
      <c r="N30" s="134">
        <v>0</v>
      </c>
      <c r="O30" s="134">
        <v>0</v>
      </c>
      <c r="P30" s="134">
        <v>0.36</v>
      </c>
      <c r="Q30" s="134">
        <v>5.23</v>
      </c>
    </row>
    <row r="31" spans="1:17" customFormat="1">
      <c r="A31" s="112" t="s">
        <v>1701</v>
      </c>
      <c r="B31" s="134">
        <v>12.67</v>
      </c>
      <c r="C31" s="134">
        <v>17.66</v>
      </c>
      <c r="D31" s="134">
        <v>20.74</v>
      </c>
      <c r="E31" s="134">
        <v>9.41</v>
      </c>
      <c r="F31" s="134">
        <v>4.93</v>
      </c>
      <c r="G31" s="134">
        <v>5.35</v>
      </c>
      <c r="H31" s="134">
        <v>3.15</v>
      </c>
      <c r="I31" s="134">
        <v>3.1</v>
      </c>
      <c r="J31" s="134">
        <v>0.12</v>
      </c>
      <c r="K31" s="134">
        <v>300.85000000000002</v>
      </c>
      <c r="L31" s="134">
        <v>25</v>
      </c>
      <c r="M31" s="134">
        <v>93.46</v>
      </c>
      <c r="N31" s="134">
        <v>0</v>
      </c>
      <c r="O31" s="134">
        <v>0</v>
      </c>
      <c r="P31" s="134">
        <v>0.35</v>
      </c>
      <c r="Q31" s="134">
        <v>5.23</v>
      </c>
    </row>
    <row r="32" spans="1:17" customFormat="1">
      <c r="A32" s="112" t="s">
        <v>1702</v>
      </c>
      <c r="B32" s="134">
        <v>12.6</v>
      </c>
      <c r="C32" s="134">
        <v>17.170000000000002</v>
      </c>
      <c r="D32" s="134">
        <v>20.43</v>
      </c>
      <c r="E32" s="134">
        <v>9.3000000000000007</v>
      </c>
      <c r="F32" s="134">
        <v>4.83</v>
      </c>
      <c r="G32" s="134">
        <v>5.35</v>
      </c>
      <c r="H32" s="134">
        <v>3.15</v>
      </c>
      <c r="I32" s="134">
        <v>3.14</v>
      </c>
      <c r="J32" s="134">
        <v>0.17</v>
      </c>
      <c r="K32" s="134">
        <v>285.98</v>
      </c>
      <c r="L32" s="134">
        <v>25.01</v>
      </c>
      <c r="M32" s="134">
        <v>94.52</v>
      </c>
      <c r="N32" s="134">
        <v>0</v>
      </c>
      <c r="O32" s="134">
        <v>0</v>
      </c>
      <c r="P32" s="134">
        <v>0.34</v>
      </c>
      <c r="Q32" s="134">
        <v>5.21</v>
      </c>
    </row>
    <row r="33" spans="1:17" customFormat="1">
      <c r="A33" s="112" t="s">
        <v>1703</v>
      </c>
      <c r="B33" s="134">
        <v>12.85</v>
      </c>
      <c r="C33" s="134">
        <v>18.89</v>
      </c>
      <c r="D33" s="134">
        <v>21.53</v>
      </c>
      <c r="E33" s="134">
        <v>9.3699999999999992</v>
      </c>
      <c r="F33" s="134">
        <v>3.99</v>
      </c>
      <c r="G33" s="134">
        <v>5.35</v>
      </c>
      <c r="H33" s="134">
        <v>3.15</v>
      </c>
      <c r="I33" s="134">
        <v>3.01</v>
      </c>
      <c r="J33" s="134">
        <v>0.17</v>
      </c>
      <c r="K33" s="134">
        <v>275.44</v>
      </c>
      <c r="L33" s="134">
        <v>25.02</v>
      </c>
      <c r="M33" s="134">
        <v>94.03</v>
      </c>
      <c r="N33" s="134">
        <v>2.8</v>
      </c>
      <c r="O33" s="134">
        <v>0</v>
      </c>
      <c r="P33" s="134">
        <v>0.36</v>
      </c>
      <c r="Q33" s="134">
        <v>5.21</v>
      </c>
    </row>
    <row r="34" spans="1:17" customFormat="1">
      <c r="A34" s="112" t="s">
        <v>1704</v>
      </c>
      <c r="B34" s="134">
        <v>12.91</v>
      </c>
      <c r="C34" s="134">
        <v>19.239999999999998</v>
      </c>
      <c r="D34" s="134">
        <v>21.76</v>
      </c>
      <c r="E34" s="134">
        <v>9.49</v>
      </c>
      <c r="F34" s="134">
        <v>4.43</v>
      </c>
      <c r="G34" s="134">
        <v>9.83</v>
      </c>
      <c r="H34" s="134">
        <v>4.66</v>
      </c>
      <c r="I34" s="134">
        <v>3.07</v>
      </c>
      <c r="J34" s="134">
        <v>0.24</v>
      </c>
      <c r="K34" s="134">
        <v>273.47000000000003</v>
      </c>
      <c r="L34" s="134">
        <v>25.25</v>
      </c>
      <c r="M34" s="134">
        <v>93.15</v>
      </c>
      <c r="N34" s="134">
        <v>17</v>
      </c>
      <c r="O34" s="134">
        <v>0</v>
      </c>
      <c r="P34" s="134">
        <v>0.37</v>
      </c>
      <c r="Q34" s="134">
        <v>5.21</v>
      </c>
    </row>
    <row r="35" spans="1:17" customFormat="1">
      <c r="A35" s="112" t="s">
        <v>1705</v>
      </c>
      <c r="B35" s="134">
        <v>13.01</v>
      </c>
      <c r="C35" s="134">
        <v>17.829999999999998</v>
      </c>
      <c r="D35" s="134">
        <v>21.1</v>
      </c>
      <c r="E35" s="134">
        <v>9.7799999999999994</v>
      </c>
      <c r="F35" s="134">
        <v>5.03</v>
      </c>
      <c r="G35" s="134">
        <v>10.59</v>
      </c>
      <c r="H35" s="134">
        <v>4.66</v>
      </c>
      <c r="I35" s="134">
        <v>3.14</v>
      </c>
      <c r="J35" s="134">
        <v>0.16</v>
      </c>
      <c r="K35" s="134">
        <v>277.63</v>
      </c>
      <c r="L35" s="134">
        <v>25.29</v>
      </c>
      <c r="M35" s="134">
        <v>93.03</v>
      </c>
      <c r="N35" s="134">
        <v>16.600000000000001</v>
      </c>
      <c r="O35" s="134">
        <v>0</v>
      </c>
      <c r="P35" s="134">
        <v>0.34</v>
      </c>
      <c r="Q35" s="134">
        <v>5.25</v>
      </c>
    </row>
    <row r="36" spans="1:17" customFormat="1">
      <c r="A36" s="112" t="s">
        <v>1706</v>
      </c>
      <c r="B36" s="134">
        <v>12.9</v>
      </c>
      <c r="C36" s="134">
        <v>17.38</v>
      </c>
      <c r="D36" s="134">
        <v>20.78</v>
      </c>
      <c r="E36" s="134">
        <v>9.08</v>
      </c>
      <c r="F36" s="134">
        <v>5.04</v>
      </c>
      <c r="G36" s="134">
        <v>10.59</v>
      </c>
      <c r="H36" s="134">
        <v>4.66</v>
      </c>
      <c r="I36" s="134">
        <v>3.1</v>
      </c>
      <c r="J36" s="134">
        <v>0.14000000000000001</v>
      </c>
      <c r="K36" s="134">
        <v>292.12</v>
      </c>
      <c r="L36" s="134">
        <v>25.4</v>
      </c>
      <c r="M36" s="134">
        <v>92.59</v>
      </c>
      <c r="N36" s="134">
        <v>21.5</v>
      </c>
      <c r="O36" s="134">
        <v>0</v>
      </c>
      <c r="P36" s="134">
        <v>0.34</v>
      </c>
      <c r="Q36" s="134">
        <v>5.25</v>
      </c>
    </row>
    <row r="37" spans="1:17" customFormat="1">
      <c r="A37" s="112" t="s">
        <v>1707</v>
      </c>
      <c r="B37" s="134">
        <v>13.1</v>
      </c>
      <c r="C37" s="134">
        <v>18.809999999999999</v>
      </c>
      <c r="D37" s="134">
        <v>21.68</v>
      </c>
      <c r="E37" s="134">
        <v>9.51</v>
      </c>
      <c r="F37" s="134">
        <v>4.08</v>
      </c>
      <c r="G37" s="134">
        <v>10.59</v>
      </c>
      <c r="H37" s="134">
        <v>4.66</v>
      </c>
      <c r="I37" s="134">
        <v>3.06</v>
      </c>
      <c r="J37" s="134">
        <v>0.11</v>
      </c>
      <c r="K37" s="134">
        <v>295.27999999999997</v>
      </c>
      <c r="L37" s="134">
        <v>25.49</v>
      </c>
      <c r="M37" s="134">
        <v>92.18</v>
      </c>
      <c r="N37" s="134">
        <v>36.6</v>
      </c>
      <c r="O37" s="134">
        <v>0</v>
      </c>
      <c r="P37" s="134">
        <v>0.36</v>
      </c>
      <c r="Q37" s="134">
        <v>5.23</v>
      </c>
    </row>
    <row r="38" spans="1:17" customFormat="1">
      <c r="A38" s="112" t="s">
        <v>1708</v>
      </c>
      <c r="B38" s="134">
        <v>13</v>
      </c>
      <c r="C38" s="134">
        <v>17.46</v>
      </c>
      <c r="D38" s="134">
        <v>20.9</v>
      </c>
      <c r="E38" s="134">
        <v>9.4</v>
      </c>
      <c r="F38" s="134">
        <v>4.96</v>
      </c>
      <c r="G38" s="134">
        <v>11.87</v>
      </c>
      <c r="H38" s="134">
        <v>5.35</v>
      </c>
      <c r="I38" s="134">
        <v>3.07</v>
      </c>
      <c r="J38" s="134">
        <v>0.31</v>
      </c>
      <c r="K38" s="134">
        <v>269.58</v>
      </c>
      <c r="L38" s="134">
        <v>25.78</v>
      </c>
      <c r="M38" s="134">
        <v>91.28</v>
      </c>
      <c r="N38" s="134">
        <v>80.3</v>
      </c>
      <c r="O38" s="134">
        <v>0</v>
      </c>
      <c r="P38" s="134">
        <v>0.35</v>
      </c>
      <c r="Q38" s="134">
        <v>5.26</v>
      </c>
    </row>
    <row r="39" spans="1:17" customFormat="1">
      <c r="A39" s="112" t="s">
        <v>1709</v>
      </c>
      <c r="B39" s="134">
        <v>12.97</v>
      </c>
      <c r="C39" s="134">
        <v>17.059999999999999</v>
      </c>
      <c r="D39" s="134">
        <v>20.66</v>
      </c>
      <c r="E39" s="134">
        <v>9.6199999999999992</v>
      </c>
      <c r="F39" s="134">
        <v>4.95</v>
      </c>
      <c r="G39" s="134">
        <v>12.11</v>
      </c>
      <c r="H39" s="134">
        <v>5.35</v>
      </c>
      <c r="I39" s="134">
        <v>3.14</v>
      </c>
      <c r="J39" s="134">
        <v>0.3</v>
      </c>
      <c r="K39" s="134">
        <v>259.68</v>
      </c>
      <c r="L39" s="134">
        <v>26</v>
      </c>
      <c r="M39" s="134">
        <v>90.23</v>
      </c>
      <c r="N39" s="134">
        <v>86</v>
      </c>
      <c r="O39" s="134">
        <v>0</v>
      </c>
      <c r="P39" s="134">
        <v>0.34</v>
      </c>
      <c r="Q39" s="134">
        <v>5.25</v>
      </c>
    </row>
    <row r="40" spans="1:17" customFormat="1">
      <c r="A40" s="112" t="s">
        <v>1710</v>
      </c>
      <c r="B40" s="134">
        <v>13.18</v>
      </c>
      <c r="C40" s="134">
        <v>18.649999999999999</v>
      </c>
      <c r="D40" s="134">
        <v>21.66</v>
      </c>
      <c r="E40" s="134">
        <v>9.24</v>
      </c>
      <c r="F40" s="134">
        <v>4.04</v>
      </c>
      <c r="G40" s="134">
        <v>12.11</v>
      </c>
      <c r="H40" s="134">
        <v>5.35</v>
      </c>
      <c r="I40" s="134">
        <v>3.04</v>
      </c>
      <c r="J40" s="134">
        <v>0.4</v>
      </c>
      <c r="K40" s="134">
        <v>259.2</v>
      </c>
      <c r="L40" s="134">
        <v>26.23</v>
      </c>
      <c r="M40" s="134">
        <v>90.62</v>
      </c>
      <c r="N40" s="134">
        <v>113</v>
      </c>
      <c r="O40" s="134">
        <v>0</v>
      </c>
      <c r="P40" s="134">
        <v>0.35</v>
      </c>
      <c r="Q40" s="134">
        <v>5.25</v>
      </c>
    </row>
    <row r="41" spans="1:17" customFormat="1">
      <c r="A41" s="112" t="s">
        <v>1711</v>
      </c>
      <c r="B41" s="134">
        <v>13.09</v>
      </c>
      <c r="C41" s="134">
        <v>17.55</v>
      </c>
      <c r="D41" s="134">
        <v>21.02</v>
      </c>
      <c r="E41" s="134">
        <v>9.14</v>
      </c>
      <c r="F41" s="134">
        <v>4.97</v>
      </c>
      <c r="G41" s="134">
        <v>12.11</v>
      </c>
      <c r="H41" s="134">
        <v>5.35</v>
      </c>
      <c r="I41" s="134">
        <v>3.09</v>
      </c>
      <c r="J41" s="134">
        <v>0.35</v>
      </c>
      <c r="K41" s="134">
        <v>262.3</v>
      </c>
      <c r="L41" s="134">
        <v>26.39</v>
      </c>
      <c r="M41" s="134">
        <v>88.49</v>
      </c>
      <c r="N41" s="134">
        <v>125.8</v>
      </c>
      <c r="O41" s="134">
        <v>0</v>
      </c>
      <c r="P41" s="134">
        <v>0.35</v>
      </c>
      <c r="Q41" s="134">
        <v>5.24</v>
      </c>
    </row>
    <row r="42" spans="1:17" customFormat="1">
      <c r="A42" s="112" t="s">
        <v>1712</v>
      </c>
      <c r="B42" s="134">
        <v>12.79</v>
      </c>
      <c r="C42" s="134">
        <v>17.239999999999998</v>
      </c>
      <c r="D42" s="134">
        <v>20.62</v>
      </c>
      <c r="E42" s="134">
        <v>9.18</v>
      </c>
      <c r="F42" s="134">
        <v>5.17</v>
      </c>
      <c r="G42" s="134">
        <v>11.66</v>
      </c>
      <c r="H42" s="134">
        <v>3.98</v>
      </c>
      <c r="I42" s="134">
        <v>3.14</v>
      </c>
      <c r="J42" s="134">
        <v>0.3</v>
      </c>
      <c r="K42" s="134">
        <v>253.53</v>
      </c>
      <c r="L42" s="134">
        <v>26.62</v>
      </c>
      <c r="M42" s="134">
        <v>86.91</v>
      </c>
      <c r="N42" s="134">
        <v>149.69999999999999</v>
      </c>
      <c r="O42" s="134">
        <v>0</v>
      </c>
      <c r="P42" s="134">
        <v>0.35</v>
      </c>
      <c r="Q42" s="134">
        <v>5.25</v>
      </c>
    </row>
    <row r="43" spans="1:17" customFormat="1">
      <c r="A43" s="112" t="s">
        <v>1713</v>
      </c>
      <c r="B43" s="134">
        <v>12.98</v>
      </c>
      <c r="C43" s="134">
        <v>18.64</v>
      </c>
      <c r="D43" s="134">
        <v>21.49</v>
      </c>
      <c r="E43" s="134">
        <v>9.15</v>
      </c>
      <c r="F43" s="134">
        <v>4.28</v>
      </c>
      <c r="G43" s="134">
        <v>11.59</v>
      </c>
      <c r="H43" s="134">
        <v>3.98</v>
      </c>
      <c r="I43" s="134">
        <v>3.05</v>
      </c>
      <c r="J43" s="134">
        <v>0.52</v>
      </c>
      <c r="K43" s="134">
        <v>261.5</v>
      </c>
      <c r="L43" s="134">
        <v>26.83</v>
      </c>
      <c r="M43" s="134">
        <v>85.14</v>
      </c>
      <c r="N43" s="134">
        <v>183</v>
      </c>
      <c r="O43" s="134">
        <v>0</v>
      </c>
      <c r="P43" s="134">
        <v>0.36</v>
      </c>
      <c r="Q43" s="134">
        <v>5.22</v>
      </c>
    </row>
    <row r="44" spans="1:17" customFormat="1">
      <c r="A44" s="112" t="s">
        <v>1714</v>
      </c>
      <c r="B44" s="134">
        <v>12.93</v>
      </c>
      <c r="C44" s="134">
        <v>17.79</v>
      </c>
      <c r="D44" s="134">
        <v>21.02</v>
      </c>
      <c r="E44" s="134">
        <v>9.3800000000000008</v>
      </c>
      <c r="F44" s="134">
        <v>4.8499999999999996</v>
      </c>
      <c r="G44" s="134">
        <v>11.59</v>
      </c>
      <c r="H44" s="134">
        <v>3.98</v>
      </c>
      <c r="I44" s="134">
        <v>3.05</v>
      </c>
      <c r="J44" s="134">
        <v>0.3</v>
      </c>
      <c r="K44" s="134">
        <v>251.32</v>
      </c>
      <c r="L44" s="134">
        <v>27.24</v>
      </c>
      <c r="M44" s="134">
        <v>84.82</v>
      </c>
      <c r="N44" s="134">
        <v>203</v>
      </c>
      <c r="O44" s="134">
        <v>0</v>
      </c>
      <c r="P44" s="134">
        <v>0.35</v>
      </c>
      <c r="Q44" s="134">
        <v>5.25</v>
      </c>
    </row>
    <row r="45" spans="1:17" customFormat="1">
      <c r="A45" s="112" t="s">
        <v>1715</v>
      </c>
      <c r="B45" s="134">
        <v>12.69</v>
      </c>
      <c r="C45" s="134">
        <v>16.62</v>
      </c>
      <c r="D45" s="134">
        <v>20.21</v>
      </c>
      <c r="E45" s="134">
        <v>9.1300000000000008</v>
      </c>
      <c r="F45" s="134">
        <v>5.44</v>
      </c>
      <c r="G45" s="134">
        <v>11.59</v>
      </c>
      <c r="H45" s="134">
        <v>3.98</v>
      </c>
      <c r="I45" s="134">
        <v>3.1</v>
      </c>
      <c r="J45" s="134">
        <v>0.15</v>
      </c>
      <c r="K45" s="134">
        <v>228.84</v>
      </c>
      <c r="L45" s="134">
        <v>27.69</v>
      </c>
      <c r="M45" s="134">
        <v>82.96</v>
      </c>
      <c r="N45" s="134">
        <v>203.9</v>
      </c>
      <c r="O45" s="134">
        <v>0</v>
      </c>
      <c r="P45" s="134">
        <v>0.34</v>
      </c>
      <c r="Q45" s="134">
        <v>5.22</v>
      </c>
    </row>
    <row r="46" spans="1:17" customFormat="1">
      <c r="A46" s="112" t="s">
        <v>1716</v>
      </c>
      <c r="B46" s="134">
        <v>12.23</v>
      </c>
      <c r="C46" s="134">
        <v>16.899999999999999</v>
      </c>
      <c r="D46" s="134">
        <v>19.98</v>
      </c>
      <c r="E46" s="134">
        <v>9.1</v>
      </c>
      <c r="F46" s="134">
        <v>5.64</v>
      </c>
      <c r="G46" s="134">
        <v>11.17</v>
      </c>
      <c r="H46" s="134">
        <v>3.86</v>
      </c>
      <c r="I46" s="134">
        <v>3.05</v>
      </c>
      <c r="J46" s="134">
        <v>0.25</v>
      </c>
      <c r="K46" s="134">
        <v>256.62</v>
      </c>
      <c r="L46" s="134">
        <v>27.85</v>
      </c>
      <c r="M46" s="134">
        <v>81.7</v>
      </c>
      <c r="N46" s="134">
        <v>352.9</v>
      </c>
      <c r="O46" s="134">
        <v>0</v>
      </c>
      <c r="P46" s="134">
        <v>0.34</v>
      </c>
      <c r="Q46" s="134">
        <v>5.2</v>
      </c>
    </row>
    <row r="47" spans="1:17" customFormat="1">
      <c r="A47" s="112" t="s">
        <v>1717</v>
      </c>
      <c r="B47" s="134">
        <v>12.24</v>
      </c>
      <c r="C47" s="134">
        <v>18.52</v>
      </c>
      <c r="D47" s="134">
        <v>20.84</v>
      </c>
      <c r="E47" s="134">
        <v>9.15</v>
      </c>
      <c r="F47" s="134">
        <v>4.6399999999999997</v>
      </c>
      <c r="G47" s="134">
        <v>11.1</v>
      </c>
      <c r="H47" s="134">
        <v>3.86</v>
      </c>
      <c r="I47" s="134">
        <v>2.95</v>
      </c>
      <c r="J47" s="134">
        <v>0.42</v>
      </c>
      <c r="K47" s="134">
        <v>254.63</v>
      </c>
      <c r="L47" s="134">
        <v>28.43</v>
      </c>
      <c r="M47" s="134">
        <v>79.5</v>
      </c>
      <c r="N47" s="134">
        <v>379.7</v>
      </c>
      <c r="O47" s="134">
        <v>0</v>
      </c>
      <c r="P47" s="134">
        <v>0.36</v>
      </c>
      <c r="Q47" s="134">
        <v>5.17</v>
      </c>
    </row>
    <row r="48" spans="1:17" customFormat="1">
      <c r="A48" s="112" t="s">
        <v>1718</v>
      </c>
      <c r="B48" s="134">
        <v>12.39</v>
      </c>
      <c r="C48" s="134">
        <v>17.84</v>
      </c>
      <c r="D48" s="134">
        <v>20.61</v>
      </c>
      <c r="E48" s="134">
        <v>8.91</v>
      </c>
      <c r="F48" s="134">
        <v>4.9400000000000004</v>
      </c>
      <c r="G48" s="134">
        <v>11.1</v>
      </c>
      <c r="H48" s="134">
        <v>3.86</v>
      </c>
      <c r="I48" s="134">
        <v>3.01</v>
      </c>
      <c r="J48" s="134">
        <v>0.49</v>
      </c>
      <c r="K48" s="134">
        <v>251.74</v>
      </c>
      <c r="L48" s="134">
        <v>28.77</v>
      </c>
      <c r="M48" s="134">
        <v>78.430000000000007</v>
      </c>
      <c r="N48" s="134">
        <v>319.2</v>
      </c>
      <c r="O48" s="134">
        <v>0</v>
      </c>
      <c r="P48" s="134">
        <v>0.35</v>
      </c>
      <c r="Q48" s="134">
        <v>5.18</v>
      </c>
    </row>
    <row r="49" spans="1:17" customFormat="1">
      <c r="A49" s="112" t="s">
        <v>1719</v>
      </c>
      <c r="B49" s="134">
        <v>12.17</v>
      </c>
      <c r="C49" s="134">
        <v>17.47</v>
      </c>
      <c r="D49" s="134">
        <v>20.239999999999998</v>
      </c>
      <c r="E49" s="134">
        <v>6.77</v>
      </c>
      <c r="F49" s="134">
        <v>4.96</v>
      </c>
      <c r="G49" s="134">
        <v>11.1</v>
      </c>
      <c r="H49" s="134">
        <v>3.86</v>
      </c>
      <c r="I49" s="134">
        <v>3.04</v>
      </c>
      <c r="J49" s="134">
        <v>0.35</v>
      </c>
      <c r="K49" s="134">
        <v>252.87</v>
      </c>
      <c r="L49" s="134">
        <v>28.46</v>
      </c>
      <c r="M49" s="134">
        <v>80.180000000000007</v>
      </c>
      <c r="N49" s="134">
        <v>196.2</v>
      </c>
      <c r="O49" s="134">
        <v>0</v>
      </c>
      <c r="P49" s="134">
        <v>0.35</v>
      </c>
      <c r="Q49" s="134">
        <v>5.17</v>
      </c>
    </row>
    <row r="50" spans="1:17" customFormat="1">
      <c r="A50" s="112" t="s">
        <v>1720</v>
      </c>
      <c r="B50" s="134">
        <v>11.88</v>
      </c>
      <c r="C50" s="134">
        <v>16.739999999999998</v>
      </c>
      <c r="D50" s="134">
        <v>19.62</v>
      </c>
      <c r="E50" s="134">
        <v>7.3</v>
      </c>
      <c r="F50" s="134">
        <v>5.57</v>
      </c>
      <c r="G50" s="134">
        <v>12.89</v>
      </c>
      <c r="H50" s="134">
        <v>4.24</v>
      </c>
      <c r="I50" s="134">
        <v>3.06</v>
      </c>
      <c r="J50" s="134">
        <v>0.61</v>
      </c>
      <c r="K50" s="134">
        <v>258.02999999999997</v>
      </c>
      <c r="L50" s="134">
        <v>28.51</v>
      </c>
      <c r="M50" s="134">
        <v>78.08</v>
      </c>
      <c r="N50" s="134">
        <v>472.1</v>
      </c>
      <c r="O50" s="134">
        <v>0</v>
      </c>
      <c r="P50" s="134">
        <v>0.34</v>
      </c>
      <c r="Q50" s="134">
        <v>5.17</v>
      </c>
    </row>
    <row r="51" spans="1:17" customFormat="1">
      <c r="A51" s="112" t="s">
        <v>1721</v>
      </c>
      <c r="B51" s="134">
        <v>11.56</v>
      </c>
      <c r="C51" s="134">
        <v>16.53</v>
      </c>
      <c r="D51" s="134">
        <v>19.260000000000002</v>
      </c>
      <c r="E51" s="134">
        <v>7.33</v>
      </c>
      <c r="F51" s="134">
        <v>5.64</v>
      </c>
      <c r="G51" s="134">
        <v>13.22</v>
      </c>
      <c r="H51" s="134">
        <v>4.24</v>
      </c>
      <c r="I51" s="134">
        <v>3</v>
      </c>
      <c r="J51" s="134">
        <v>0.78</v>
      </c>
      <c r="K51" s="134">
        <v>264.58999999999997</v>
      </c>
      <c r="L51" s="134">
        <v>29.15</v>
      </c>
      <c r="M51" s="134">
        <v>74.83</v>
      </c>
      <c r="N51" s="134">
        <v>527.9</v>
      </c>
      <c r="O51" s="134">
        <v>0</v>
      </c>
      <c r="P51" s="134">
        <v>0.33</v>
      </c>
      <c r="Q51" s="134">
        <v>5.14</v>
      </c>
    </row>
    <row r="52" spans="1:17" customFormat="1">
      <c r="A52" s="112" t="s">
        <v>1722</v>
      </c>
      <c r="B52" s="134">
        <v>11.35</v>
      </c>
      <c r="C52" s="134">
        <v>16.47</v>
      </c>
      <c r="D52" s="134">
        <v>19.05</v>
      </c>
      <c r="E52" s="134">
        <v>7.14</v>
      </c>
      <c r="F52" s="134">
        <v>5.35</v>
      </c>
      <c r="G52" s="134">
        <v>13.22</v>
      </c>
      <c r="H52" s="134">
        <v>4.24</v>
      </c>
      <c r="I52" s="134">
        <v>2.92</v>
      </c>
      <c r="J52" s="134">
        <v>0.64</v>
      </c>
      <c r="K52" s="134">
        <v>257.08999999999997</v>
      </c>
      <c r="L52" s="134">
        <v>28.44</v>
      </c>
      <c r="M52" s="134">
        <v>77.989999999999995</v>
      </c>
      <c r="N52" s="134">
        <v>214.2</v>
      </c>
      <c r="O52" s="134">
        <v>0</v>
      </c>
      <c r="P52" s="134">
        <v>0.33</v>
      </c>
      <c r="Q52" s="134">
        <v>5.12</v>
      </c>
    </row>
    <row r="53" spans="1:17" customFormat="1">
      <c r="A53" s="112" t="s">
        <v>1723</v>
      </c>
      <c r="B53" s="134">
        <v>11.1</v>
      </c>
      <c r="C53" s="134">
        <v>16.989999999999998</v>
      </c>
      <c r="D53" s="134">
        <v>19.13</v>
      </c>
      <c r="E53" s="134">
        <v>7.3</v>
      </c>
      <c r="F53" s="134">
        <v>4.8099999999999996</v>
      </c>
      <c r="G53" s="134">
        <v>13.22</v>
      </c>
      <c r="H53" s="134">
        <v>4.24</v>
      </c>
      <c r="I53" s="134">
        <v>2.94</v>
      </c>
      <c r="J53" s="134">
        <v>0.72</v>
      </c>
      <c r="K53" s="134">
        <v>261.3</v>
      </c>
      <c r="L53" s="134">
        <v>28.54</v>
      </c>
      <c r="M53" s="134">
        <v>77.040000000000006</v>
      </c>
      <c r="N53" s="134">
        <v>465.8</v>
      </c>
      <c r="O53" s="134">
        <v>0</v>
      </c>
      <c r="P53" s="134">
        <v>0.34</v>
      </c>
      <c r="Q53" s="134">
        <v>5.0599999999999996</v>
      </c>
    </row>
    <row r="54" spans="1:17" customFormat="1">
      <c r="A54" s="112" t="s">
        <v>1724</v>
      </c>
      <c r="B54" s="134">
        <v>10.87</v>
      </c>
      <c r="C54" s="134">
        <v>17.28</v>
      </c>
      <c r="D54" s="134">
        <v>19.100000000000001</v>
      </c>
      <c r="E54" s="134">
        <v>7.36</v>
      </c>
      <c r="F54" s="134">
        <v>4.78</v>
      </c>
      <c r="G54" s="134">
        <v>13.02</v>
      </c>
      <c r="H54" s="134">
        <v>6.13</v>
      </c>
      <c r="I54" s="134">
        <v>2.94</v>
      </c>
      <c r="J54" s="134">
        <v>0.62</v>
      </c>
      <c r="K54" s="134">
        <v>252.4</v>
      </c>
      <c r="L54" s="134">
        <v>28.93</v>
      </c>
      <c r="M54" s="134">
        <v>76.72</v>
      </c>
      <c r="N54" s="134">
        <v>367.7</v>
      </c>
      <c r="O54" s="134">
        <v>0</v>
      </c>
      <c r="P54" s="134">
        <v>0.35</v>
      </c>
      <c r="Q54" s="134">
        <v>5.0599999999999996</v>
      </c>
    </row>
    <row r="55" spans="1:17" customFormat="1">
      <c r="A55" s="112" t="s">
        <v>1725</v>
      </c>
      <c r="B55" s="134">
        <v>10.7</v>
      </c>
      <c r="C55" s="134">
        <v>16.760000000000002</v>
      </c>
      <c r="D55" s="134">
        <v>18.690000000000001</v>
      </c>
      <c r="E55" s="134">
        <v>6.99</v>
      </c>
      <c r="F55" s="134">
        <v>5.08</v>
      </c>
      <c r="G55" s="134">
        <v>12.99</v>
      </c>
      <c r="H55" s="134">
        <v>6.13</v>
      </c>
      <c r="I55" s="134">
        <v>2.97</v>
      </c>
      <c r="J55" s="134">
        <v>0.69</v>
      </c>
      <c r="K55" s="134">
        <v>261.85000000000002</v>
      </c>
      <c r="L55" s="134">
        <v>29.03</v>
      </c>
      <c r="M55" s="134">
        <v>76.75</v>
      </c>
      <c r="N55" s="134">
        <v>427.7</v>
      </c>
      <c r="O55" s="134">
        <v>0</v>
      </c>
      <c r="P55" s="134">
        <v>0.35</v>
      </c>
      <c r="Q55" s="134">
        <v>5.05</v>
      </c>
    </row>
    <row r="56" spans="1:17" customFormat="1">
      <c r="A56" s="112" t="s">
        <v>1726</v>
      </c>
      <c r="B56" s="134">
        <v>10.46</v>
      </c>
      <c r="C56" s="134">
        <v>16.43</v>
      </c>
      <c r="D56" s="134">
        <v>18.32</v>
      </c>
      <c r="E56" s="134">
        <v>7.29</v>
      </c>
      <c r="F56" s="134">
        <v>5.33</v>
      </c>
      <c r="G56" s="134">
        <v>12.99</v>
      </c>
      <c r="H56" s="134">
        <v>6.13</v>
      </c>
      <c r="I56" s="134">
        <v>2.95</v>
      </c>
      <c r="J56" s="134">
        <v>0.52</v>
      </c>
      <c r="K56" s="134">
        <v>257.29000000000002</v>
      </c>
      <c r="L56" s="134">
        <v>29.8</v>
      </c>
      <c r="M56" s="134">
        <v>75.489999999999995</v>
      </c>
      <c r="N56" s="134">
        <v>656</v>
      </c>
      <c r="O56" s="134">
        <v>0</v>
      </c>
      <c r="P56" s="134">
        <v>0.34</v>
      </c>
      <c r="Q56" s="134">
        <v>5.05</v>
      </c>
    </row>
    <row r="57" spans="1:17" customFormat="1">
      <c r="A57" s="112" t="s">
        <v>1727</v>
      </c>
      <c r="B57" s="134">
        <v>10.29</v>
      </c>
      <c r="C57" s="134">
        <v>16.489999999999998</v>
      </c>
      <c r="D57" s="134">
        <v>18.22</v>
      </c>
      <c r="E57" s="134">
        <v>7.1</v>
      </c>
      <c r="F57" s="134">
        <v>5.25</v>
      </c>
      <c r="G57" s="134">
        <v>12.99</v>
      </c>
      <c r="H57" s="134">
        <v>6.13</v>
      </c>
      <c r="I57" s="134">
        <v>2.91</v>
      </c>
      <c r="J57" s="134">
        <v>0.67</v>
      </c>
      <c r="K57" s="134">
        <v>265.2</v>
      </c>
      <c r="L57" s="134">
        <v>30.43</v>
      </c>
      <c r="M57" s="134">
        <v>72.12</v>
      </c>
      <c r="N57" s="134">
        <v>690.4</v>
      </c>
      <c r="O57" s="134">
        <v>0</v>
      </c>
      <c r="P57" s="134">
        <v>0.34</v>
      </c>
      <c r="Q57" s="134">
        <v>5.0199999999999996</v>
      </c>
    </row>
    <row r="58" spans="1:17" customFormat="1">
      <c r="A58" s="112" t="s">
        <v>1728</v>
      </c>
      <c r="B58" s="134">
        <v>10.050000000000001</v>
      </c>
      <c r="C58" s="134">
        <v>16.37</v>
      </c>
      <c r="D58" s="134">
        <v>17.97</v>
      </c>
      <c r="E58" s="134">
        <v>7.12</v>
      </c>
      <c r="F58" s="134">
        <v>5.42</v>
      </c>
      <c r="G58" s="134">
        <v>11.69</v>
      </c>
      <c r="H58" s="134">
        <v>5.31</v>
      </c>
      <c r="I58" s="134">
        <v>2.89</v>
      </c>
      <c r="J58" s="134">
        <v>0.59</v>
      </c>
      <c r="K58" s="134">
        <v>264.23</v>
      </c>
      <c r="L58" s="134">
        <v>29.74</v>
      </c>
      <c r="M58" s="134">
        <v>73.8</v>
      </c>
      <c r="N58" s="134">
        <v>318.8</v>
      </c>
      <c r="O58" s="134">
        <v>0</v>
      </c>
      <c r="P58" s="134">
        <v>0.33</v>
      </c>
      <c r="Q58" s="134">
        <v>5.03</v>
      </c>
    </row>
    <row r="59" spans="1:17" customFormat="1">
      <c r="A59" s="112" t="s">
        <v>1729</v>
      </c>
      <c r="B59" s="134">
        <v>9.75</v>
      </c>
      <c r="C59" s="134">
        <v>16.420000000000002</v>
      </c>
      <c r="D59" s="134">
        <v>17.75</v>
      </c>
      <c r="E59" s="134">
        <v>7.22</v>
      </c>
      <c r="F59" s="134">
        <v>5.26</v>
      </c>
      <c r="G59" s="134">
        <v>11.47</v>
      </c>
      <c r="H59" s="134">
        <v>5.31</v>
      </c>
      <c r="I59" s="134">
        <v>2.9</v>
      </c>
      <c r="J59" s="134">
        <v>0.38</v>
      </c>
      <c r="K59" s="134">
        <v>245.23</v>
      </c>
      <c r="L59" s="134">
        <v>29.78</v>
      </c>
      <c r="M59" s="134">
        <v>73.739999999999995</v>
      </c>
      <c r="N59" s="134">
        <v>387.7</v>
      </c>
      <c r="O59" s="134">
        <v>0</v>
      </c>
      <c r="P59" s="134">
        <v>0.32</v>
      </c>
      <c r="Q59" s="134">
        <v>5</v>
      </c>
    </row>
    <row r="60" spans="1:17" customFormat="1">
      <c r="A60" s="112" t="s">
        <v>1730</v>
      </c>
      <c r="B60" s="134">
        <v>9.6</v>
      </c>
      <c r="C60" s="134">
        <v>16.32</v>
      </c>
      <c r="D60" s="134">
        <v>17.579999999999998</v>
      </c>
      <c r="E60" s="134">
        <v>6.89</v>
      </c>
      <c r="F60" s="134">
        <v>5.16</v>
      </c>
      <c r="G60" s="134">
        <v>11.47</v>
      </c>
      <c r="H60" s="134">
        <v>5.31</v>
      </c>
      <c r="I60" s="134">
        <v>2.87</v>
      </c>
      <c r="J60" s="134">
        <v>0.59</v>
      </c>
      <c r="K60" s="134">
        <v>260.97000000000003</v>
      </c>
      <c r="L60" s="134">
        <v>29.15</v>
      </c>
      <c r="M60" s="134">
        <v>76.36</v>
      </c>
      <c r="N60" s="134">
        <v>189.3</v>
      </c>
      <c r="O60" s="134">
        <v>0</v>
      </c>
      <c r="P60" s="134">
        <v>0.32</v>
      </c>
      <c r="Q60" s="134">
        <v>4.99</v>
      </c>
    </row>
    <row r="61" spans="1:17" customFormat="1">
      <c r="A61" s="112" t="s">
        <v>1731</v>
      </c>
      <c r="B61" s="134">
        <v>9.3800000000000008</v>
      </c>
      <c r="C61" s="134">
        <v>15.78</v>
      </c>
      <c r="D61" s="134">
        <v>17.11</v>
      </c>
      <c r="E61" s="134">
        <v>6.93</v>
      </c>
      <c r="F61" s="134">
        <v>5.37</v>
      </c>
      <c r="G61" s="134">
        <v>11.47</v>
      </c>
      <c r="H61" s="134">
        <v>5.31</v>
      </c>
      <c r="I61" s="134">
        <v>2.86</v>
      </c>
      <c r="J61" s="134">
        <v>0.3</v>
      </c>
      <c r="K61" s="134">
        <v>248.12</v>
      </c>
      <c r="L61" s="134">
        <v>29.31</v>
      </c>
      <c r="M61" s="134">
        <v>78.33</v>
      </c>
      <c r="N61" s="134">
        <v>294.89999999999998</v>
      </c>
      <c r="O61" s="134">
        <v>0</v>
      </c>
      <c r="P61" s="134">
        <v>0.33</v>
      </c>
      <c r="Q61" s="134">
        <v>4.9800000000000004</v>
      </c>
    </row>
    <row r="62" spans="1:17" customFormat="1">
      <c r="A62" s="112" t="s">
        <v>1732</v>
      </c>
      <c r="B62" s="134">
        <v>9.36</v>
      </c>
      <c r="C62" s="134">
        <v>15.77</v>
      </c>
      <c r="D62" s="134">
        <v>17.09</v>
      </c>
      <c r="E62" s="134">
        <v>7.07</v>
      </c>
      <c r="F62" s="134">
        <v>5.57</v>
      </c>
      <c r="G62" s="134">
        <v>9.1</v>
      </c>
      <c r="H62" s="134">
        <v>4.95</v>
      </c>
      <c r="I62" s="134">
        <v>2.87</v>
      </c>
      <c r="J62" s="134">
        <v>0.48</v>
      </c>
      <c r="K62" s="134">
        <v>252.26</v>
      </c>
      <c r="L62" s="134">
        <v>29.65</v>
      </c>
      <c r="M62" s="134">
        <v>75.88</v>
      </c>
      <c r="N62" s="134">
        <v>371.5</v>
      </c>
      <c r="O62" s="134">
        <v>0</v>
      </c>
      <c r="P62" s="134">
        <v>0.33</v>
      </c>
      <c r="Q62" s="134">
        <v>4.9800000000000004</v>
      </c>
    </row>
    <row r="63" spans="1:17" customFormat="1">
      <c r="A63" s="112" t="s">
        <v>1733</v>
      </c>
      <c r="B63" s="134">
        <v>9.4</v>
      </c>
      <c r="C63" s="134">
        <v>17.3</v>
      </c>
      <c r="D63" s="134">
        <v>17.93</v>
      </c>
      <c r="E63" s="134">
        <v>7.47</v>
      </c>
      <c r="F63" s="134">
        <v>4.82</v>
      </c>
      <c r="G63" s="134">
        <v>8.69</v>
      </c>
      <c r="H63" s="134">
        <v>4.95</v>
      </c>
      <c r="I63" s="134">
        <v>2.8</v>
      </c>
      <c r="J63" s="134">
        <v>0.45</v>
      </c>
      <c r="K63" s="134">
        <v>247.47</v>
      </c>
      <c r="L63" s="134">
        <v>29.94</v>
      </c>
      <c r="M63" s="134">
        <v>74.37</v>
      </c>
      <c r="N63" s="134">
        <v>384.5</v>
      </c>
      <c r="O63" s="134">
        <v>0</v>
      </c>
      <c r="P63" s="134">
        <v>0.35</v>
      </c>
      <c r="Q63" s="134">
        <v>5.03</v>
      </c>
    </row>
    <row r="64" spans="1:17" customFormat="1">
      <c r="A64" s="112" t="s">
        <v>1734</v>
      </c>
      <c r="B64" s="134">
        <v>9.4600000000000009</v>
      </c>
      <c r="C64" s="134">
        <v>16.88</v>
      </c>
      <c r="D64" s="134">
        <v>17.760000000000002</v>
      </c>
      <c r="E64" s="134">
        <v>6.93</v>
      </c>
      <c r="F64" s="134">
        <v>5.1100000000000003</v>
      </c>
      <c r="G64" s="134">
        <v>8.69</v>
      </c>
      <c r="H64" s="134">
        <v>4.95</v>
      </c>
      <c r="I64" s="134">
        <v>2.86</v>
      </c>
      <c r="J64" s="134">
        <v>0.62</v>
      </c>
      <c r="K64" s="134">
        <v>264.01</v>
      </c>
      <c r="L64" s="134">
        <v>29.77</v>
      </c>
      <c r="M64" s="134">
        <v>74.81</v>
      </c>
      <c r="N64" s="134">
        <v>413.8</v>
      </c>
      <c r="O64" s="134">
        <v>0</v>
      </c>
      <c r="P64" s="134">
        <v>0.35</v>
      </c>
      <c r="Q64" s="134">
        <v>5.04</v>
      </c>
    </row>
    <row r="65" spans="1:17" customFormat="1">
      <c r="A65" s="112" t="s">
        <v>1735</v>
      </c>
      <c r="B65" s="134">
        <v>9.41</v>
      </c>
      <c r="C65" s="134">
        <v>16.52</v>
      </c>
      <c r="D65" s="134">
        <v>17.53</v>
      </c>
      <c r="E65" s="134">
        <v>6.94</v>
      </c>
      <c r="F65" s="134">
        <v>5.22</v>
      </c>
      <c r="G65" s="134">
        <v>8.69</v>
      </c>
      <c r="H65" s="134">
        <v>4.95</v>
      </c>
      <c r="I65" s="134">
        <v>2.89</v>
      </c>
      <c r="J65" s="134">
        <v>0.45</v>
      </c>
      <c r="K65" s="134">
        <v>246.31</v>
      </c>
      <c r="L65" s="134">
        <v>29.67</v>
      </c>
      <c r="M65" s="134">
        <v>74.290000000000006</v>
      </c>
      <c r="N65" s="134">
        <v>300.89999999999998</v>
      </c>
      <c r="O65" s="134">
        <v>0</v>
      </c>
      <c r="P65" s="134">
        <v>0.32</v>
      </c>
      <c r="Q65" s="134">
        <v>5.0599999999999996</v>
      </c>
    </row>
    <row r="66" spans="1:17" customFormat="1">
      <c r="A66" s="112" t="s">
        <v>1736</v>
      </c>
      <c r="B66" s="134">
        <v>9.2899999999999991</v>
      </c>
      <c r="C66" s="134">
        <v>16.05</v>
      </c>
      <c r="D66" s="134">
        <v>17.190000000000001</v>
      </c>
      <c r="E66" s="134">
        <v>6.78</v>
      </c>
      <c r="F66" s="134">
        <v>5.5</v>
      </c>
      <c r="G66" s="134">
        <v>9.43</v>
      </c>
      <c r="H66" s="134">
        <v>3.63</v>
      </c>
      <c r="I66" s="134">
        <v>2.87</v>
      </c>
      <c r="J66" s="134">
        <v>0.5</v>
      </c>
      <c r="K66" s="134">
        <v>268.27999999999997</v>
      </c>
      <c r="L66" s="134">
        <v>29.39</v>
      </c>
      <c r="M66" s="134">
        <v>76.209999999999994</v>
      </c>
      <c r="N66" s="134">
        <v>324.10000000000002</v>
      </c>
      <c r="O66" s="134">
        <v>0</v>
      </c>
      <c r="P66" s="134">
        <v>0.33</v>
      </c>
      <c r="Q66" s="134">
        <v>5.07</v>
      </c>
    </row>
    <row r="67" spans="1:17" customFormat="1">
      <c r="A67" s="112" t="s">
        <v>1737</v>
      </c>
      <c r="B67" s="134">
        <v>9.26</v>
      </c>
      <c r="C67" s="134">
        <v>15.87</v>
      </c>
      <c r="D67" s="134">
        <v>17.07</v>
      </c>
      <c r="E67" s="134">
        <v>6.86</v>
      </c>
      <c r="F67" s="134">
        <v>5.36</v>
      </c>
      <c r="G67" s="134">
        <v>9.5500000000000007</v>
      </c>
      <c r="H67" s="134">
        <v>3.63</v>
      </c>
      <c r="I67" s="134">
        <v>2.84</v>
      </c>
      <c r="J67" s="134">
        <v>0.71</v>
      </c>
      <c r="K67" s="134">
        <v>270</v>
      </c>
      <c r="L67" s="134">
        <v>29.97</v>
      </c>
      <c r="M67" s="134">
        <v>72.3</v>
      </c>
      <c r="N67" s="134">
        <v>634.70000000000005</v>
      </c>
      <c r="O67" s="134">
        <v>0</v>
      </c>
      <c r="P67" s="134">
        <v>0.33</v>
      </c>
      <c r="Q67" s="134">
        <v>5.1100000000000003</v>
      </c>
    </row>
    <row r="68" spans="1:17" customFormat="1">
      <c r="A68" s="112" t="s">
        <v>1738</v>
      </c>
      <c r="B68" s="134">
        <v>9.18</v>
      </c>
      <c r="C68" s="134">
        <v>16.02</v>
      </c>
      <c r="D68" s="134">
        <v>17.09</v>
      </c>
      <c r="E68" s="134">
        <v>6.63</v>
      </c>
      <c r="F68" s="134">
        <v>5.25</v>
      </c>
      <c r="G68" s="134">
        <v>9.5500000000000007</v>
      </c>
      <c r="H68" s="134">
        <v>3.63</v>
      </c>
      <c r="I68" s="134">
        <v>2.8</v>
      </c>
      <c r="J68" s="134">
        <v>0.64</v>
      </c>
      <c r="K68" s="134">
        <v>269.18</v>
      </c>
      <c r="L68" s="134">
        <v>30.18</v>
      </c>
      <c r="M68" s="134">
        <v>71.42</v>
      </c>
      <c r="N68" s="134">
        <v>504.6</v>
      </c>
      <c r="O68" s="134">
        <v>0</v>
      </c>
      <c r="P68" s="134">
        <v>0.33</v>
      </c>
      <c r="Q68" s="134">
        <v>5.07</v>
      </c>
    </row>
    <row r="69" spans="1:17" customFormat="1">
      <c r="A69" s="112" t="s">
        <v>1739</v>
      </c>
      <c r="B69" s="134">
        <v>8.99</v>
      </c>
      <c r="C69" s="134">
        <v>15.88</v>
      </c>
      <c r="D69" s="134">
        <v>16.86</v>
      </c>
      <c r="E69" s="134">
        <v>6.92</v>
      </c>
      <c r="F69" s="134">
        <v>5.49</v>
      </c>
      <c r="G69" s="134">
        <v>9.5500000000000007</v>
      </c>
      <c r="H69" s="134">
        <v>3.63</v>
      </c>
      <c r="I69" s="134">
        <v>2.77</v>
      </c>
      <c r="J69" s="134">
        <v>0.43</v>
      </c>
      <c r="K69" s="134">
        <v>251.66</v>
      </c>
      <c r="L69" s="134">
        <v>30.75</v>
      </c>
      <c r="M69" s="134">
        <v>70.8</v>
      </c>
      <c r="N69" s="134">
        <v>564.6</v>
      </c>
      <c r="O69" s="134">
        <v>0</v>
      </c>
      <c r="P69" s="134">
        <v>0.33</v>
      </c>
      <c r="Q69" s="134">
        <v>5.07</v>
      </c>
    </row>
    <row r="70" spans="1:17" customFormat="1">
      <c r="A70" s="112" t="s">
        <v>1740</v>
      </c>
      <c r="B70" s="134">
        <v>9.0399999999999991</v>
      </c>
      <c r="C70" s="134">
        <v>15.7</v>
      </c>
      <c r="D70" s="134">
        <v>16.8</v>
      </c>
      <c r="E70" s="134">
        <v>6.23</v>
      </c>
      <c r="F70" s="134">
        <v>5.61</v>
      </c>
      <c r="G70" s="134">
        <v>12.2</v>
      </c>
      <c r="H70" s="134">
        <v>4.58</v>
      </c>
      <c r="I70" s="134">
        <v>2.79</v>
      </c>
      <c r="J70" s="134">
        <v>0.82</v>
      </c>
      <c r="K70" s="134">
        <v>269.91000000000003</v>
      </c>
      <c r="L70" s="134">
        <v>30.35</v>
      </c>
      <c r="M70" s="134">
        <v>69.27</v>
      </c>
      <c r="N70" s="134">
        <v>448.3</v>
      </c>
      <c r="O70" s="134">
        <v>0</v>
      </c>
      <c r="P70" s="134">
        <v>0.32</v>
      </c>
      <c r="Q70" s="134">
        <v>5.1100000000000003</v>
      </c>
    </row>
    <row r="71" spans="1:17" customFormat="1">
      <c r="A71" s="112" t="s">
        <v>1741</v>
      </c>
      <c r="B71" s="134">
        <v>8.9</v>
      </c>
      <c r="C71" s="134">
        <v>15.66</v>
      </c>
      <c r="D71" s="134">
        <v>16.670000000000002</v>
      </c>
      <c r="E71" s="134">
        <v>6.26</v>
      </c>
      <c r="F71" s="134">
        <v>5.67</v>
      </c>
      <c r="G71" s="134">
        <v>12.65</v>
      </c>
      <c r="H71" s="134">
        <v>4.58</v>
      </c>
      <c r="I71" s="134">
        <v>2.75</v>
      </c>
      <c r="J71" s="134">
        <v>0.52</v>
      </c>
      <c r="K71" s="134">
        <v>261.76</v>
      </c>
      <c r="L71" s="134">
        <v>29.84</v>
      </c>
      <c r="M71" s="134">
        <v>71.84</v>
      </c>
      <c r="N71" s="134">
        <v>224.4</v>
      </c>
      <c r="O71" s="134">
        <v>0</v>
      </c>
      <c r="P71" s="134">
        <v>0.32</v>
      </c>
      <c r="Q71" s="134">
        <v>5.12</v>
      </c>
    </row>
    <row r="72" spans="1:17" customFormat="1">
      <c r="A72" s="112" t="s">
        <v>1742</v>
      </c>
      <c r="B72" s="134">
        <v>8.8000000000000007</v>
      </c>
      <c r="C72" s="134">
        <v>15.99</v>
      </c>
      <c r="D72" s="134">
        <v>16.760000000000002</v>
      </c>
      <c r="E72" s="134">
        <v>6.43</v>
      </c>
      <c r="F72" s="134">
        <v>5.31</v>
      </c>
      <c r="G72" s="134">
        <v>12.65</v>
      </c>
      <c r="H72" s="134">
        <v>4.58</v>
      </c>
      <c r="I72" s="134">
        <v>2.76</v>
      </c>
      <c r="J72" s="134">
        <v>0.32</v>
      </c>
      <c r="K72" s="134">
        <v>246.01</v>
      </c>
      <c r="L72" s="134">
        <v>29.66</v>
      </c>
      <c r="M72" s="134">
        <v>73.42</v>
      </c>
      <c r="N72" s="134">
        <v>137.4</v>
      </c>
      <c r="O72" s="134">
        <v>0</v>
      </c>
      <c r="P72" s="134">
        <v>0.33</v>
      </c>
      <c r="Q72" s="134">
        <v>5.1100000000000003</v>
      </c>
    </row>
    <row r="73" spans="1:17" customFormat="1">
      <c r="A73" s="112" t="s">
        <v>1743</v>
      </c>
      <c r="B73" s="134">
        <v>8.76</v>
      </c>
      <c r="C73" s="134">
        <v>16.34</v>
      </c>
      <c r="D73" s="134">
        <v>16.91</v>
      </c>
      <c r="E73" s="134">
        <v>6.51</v>
      </c>
      <c r="F73" s="134">
        <v>5.23</v>
      </c>
      <c r="G73" s="134">
        <v>12.65</v>
      </c>
      <c r="H73" s="134">
        <v>4.58</v>
      </c>
      <c r="I73" s="134">
        <v>2.7</v>
      </c>
      <c r="J73" s="134">
        <v>0.31</v>
      </c>
      <c r="K73" s="134">
        <v>232.88</v>
      </c>
      <c r="L73" s="134">
        <v>29.53</v>
      </c>
      <c r="M73" s="134">
        <v>73.89</v>
      </c>
      <c r="N73" s="134">
        <v>96.1</v>
      </c>
      <c r="O73" s="134">
        <v>0</v>
      </c>
      <c r="P73" s="134">
        <v>0.35</v>
      </c>
      <c r="Q73" s="134">
        <v>5.17</v>
      </c>
    </row>
    <row r="74" spans="1:17" customFormat="1">
      <c r="A74" s="112" t="s">
        <v>1744</v>
      </c>
      <c r="B74" s="134">
        <v>8.5299999999999994</v>
      </c>
      <c r="C74" s="134">
        <v>15.81</v>
      </c>
      <c r="D74" s="134">
        <v>16.45</v>
      </c>
      <c r="E74" s="134">
        <v>6.39</v>
      </c>
      <c r="F74" s="134">
        <v>6.21</v>
      </c>
      <c r="G74" s="134">
        <v>9.84</v>
      </c>
      <c r="H74" s="134">
        <v>3.93</v>
      </c>
      <c r="I74" s="134">
        <v>2.76</v>
      </c>
      <c r="J74" s="134">
        <v>0.32</v>
      </c>
      <c r="K74" s="134">
        <v>237.81</v>
      </c>
      <c r="L74" s="134">
        <v>29.4</v>
      </c>
      <c r="M74" s="134">
        <v>74.599999999999994</v>
      </c>
      <c r="N74" s="134">
        <v>65.7</v>
      </c>
      <c r="O74" s="134">
        <v>0</v>
      </c>
      <c r="P74" s="134">
        <v>0.34</v>
      </c>
      <c r="Q74" s="134">
        <v>5.21</v>
      </c>
    </row>
    <row r="75" spans="1:17" customFormat="1">
      <c r="A75" s="112" t="s">
        <v>1745</v>
      </c>
      <c r="B75" s="134">
        <v>8.6</v>
      </c>
      <c r="C75" s="134">
        <v>15.54</v>
      </c>
      <c r="D75" s="134">
        <v>16.36</v>
      </c>
      <c r="E75" s="134">
        <v>6.46</v>
      </c>
      <c r="F75" s="134">
        <v>6.38</v>
      </c>
      <c r="G75" s="134">
        <v>9.36</v>
      </c>
      <c r="H75" s="134">
        <v>3.93</v>
      </c>
      <c r="I75" s="134">
        <v>2.72</v>
      </c>
      <c r="J75" s="134">
        <v>0.23</v>
      </c>
      <c r="K75" s="134">
        <v>236.62</v>
      </c>
      <c r="L75" s="134">
        <v>29.1</v>
      </c>
      <c r="M75" s="134">
        <v>75.56</v>
      </c>
      <c r="N75" s="134">
        <v>55.1</v>
      </c>
      <c r="O75" s="134">
        <v>0</v>
      </c>
      <c r="P75" s="134">
        <v>0.33</v>
      </c>
      <c r="Q75" s="134">
        <v>5.22</v>
      </c>
    </row>
    <row r="76" spans="1:17" customFormat="1">
      <c r="A76" s="112" t="s">
        <v>1746</v>
      </c>
      <c r="B76" s="134">
        <v>8.51</v>
      </c>
      <c r="C76" s="134">
        <v>14.62</v>
      </c>
      <c r="D76" s="134">
        <v>15.82</v>
      </c>
      <c r="E76" s="134">
        <v>6.34</v>
      </c>
      <c r="F76" s="134">
        <v>7.43</v>
      </c>
      <c r="G76" s="134">
        <v>9.36</v>
      </c>
      <c r="H76" s="134">
        <v>3.93</v>
      </c>
      <c r="I76" s="134">
        <v>2.67</v>
      </c>
      <c r="J76" s="134">
        <v>0.23</v>
      </c>
      <c r="K76" s="134">
        <v>240.25</v>
      </c>
      <c r="L76" s="134">
        <v>28.92</v>
      </c>
      <c r="M76" s="134">
        <v>76.260000000000005</v>
      </c>
      <c r="N76" s="134">
        <v>44</v>
      </c>
      <c r="O76" s="134">
        <v>0</v>
      </c>
      <c r="P76" s="134">
        <v>0.32</v>
      </c>
      <c r="Q76" s="134">
        <v>5.23</v>
      </c>
    </row>
    <row r="77" spans="1:17" customFormat="1">
      <c r="A77" s="112" t="s">
        <v>1747</v>
      </c>
      <c r="B77" s="134">
        <v>8.36</v>
      </c>
      <c r="C77" s="134">
        <v>14.26</v>
      </c>
      <c r="D77" s="134">
        <v>15.5</v>
      </c>
      <c r="E77" s="134">
        <v>6.42</v>
      </c>
      <c r="F77" s="134">
        <v>7.99</v>
      </c>
      <c r="G77" s="134">
        <v>9.36</v>
      </c>
      <c r="H77" s="134">
        <v>3.93</v>
      </c>
      <c r="I77" s="134">
        <v>2.64</v>
      </c>
      <c r="J77" s="134">
        <v>0.17</v>
      </c>
      <c r="K77" s="134">
        <v>220.39</v>
      </c>
      <c r="L77" s="134">
        <v>28.55</v>
      </c>
      <c r="M77" s="134">
        <v>79.16</v>
      </c>
      <c r="N77" s="134">
        <v>28.1</v>
      </c>
      <c r="O77" s="134">
        <v>0</v>
      </c>
      <c r="P77" s="134">
        <v>0.32</v>
      </c>
      <c r="Q77" s="134">
        <v>5.28</v>
      </c>
    </row>
    <row r="78" spans="1:17" customFormat="1">
      <c r="A78" s="112" t="s">
        <v>1748</v>
      </c>
      <c r="B78" s="134">
        <v>8.15</v>
      </c>
      <c r="C78" s="134">
        <v>13.39</v>
      </c>
      <c r="D78" s="134">
        <v>14.88</v>
      </c>
      <c r="E78" s="134">
        <v>6.44</v>
      </c>
      <c r="F78" s="134">
        <v>9.4700000000000006</v>
      </c>
      <c r="G78" s="134">
        <v>10.38</v>
      </c>
      <c r="H78" s="134">
        <v>3.64</v>
      </c>
      <c r="I78" s="134">
        <v>2.57</v>
      </c>
      <c r="J78" s="134">
        <v>-0.24</v>
      </c>
      <c r="K78" s="134">
        <v>-0.12</v>
      </c>
      <c r="L78" s="134">
        <v>28.18</v>
      </c>
      <c r="M78" s="134">
        <v>79.78</v>
      </c>
      <c r="N78" s="134">
        <v>17</v>
      </c>
      <c r="O78" s="134">
        <v>0</v>
      </c>
      <c r="P78" s="134">
        <v>0.31</v>
      </c>
      <c r="Q78" s="134">
        <v>5.29</v>
      </c>
    </row>
    <row r="79" spans="1:17" customFormat="1">
      <c r="A79" s="112" t="s">
        <v>1749</v>
      </c>
      <c r="B79" s="134">
        <v>8.06</v>
      </c>
      <c r="C79" s="134">
        <v>13.45</v>
      </c>
      <c r="D79" s="134">
        <v>14.85</v>
      </c>
      <c r="E79" s="134">
        <v>7.03</v>
      </c>
      <c r="F79" s="134">
        <v>9.18</v>
      </c>
      <c r="G79" s="134">
        <v>10.55</v>
      </c>
      <c r="H79" s="134">
        <v>3.64</v>
      </c>
      <c r="I79" s="134">
        <v>2.5</v>
      </c>
      <c r="J79" s="134">
        <v>0.1</v>
      </c>
      <c r="K79" s="134">
        <v>189.71</v>
      </c>
      <c r="L79" s="134">
        <v>27.84</v>
      </c>
      <c r="M79" s="134">
        <v>81.39</v>
      </c>
      <c r="N79" s="134">
        <v>5.4</v>
      </c>
      <c r="O79" s="134">
        <v>0</v>
      </c>
      <c r="P79" s="134">
        <v>0.31</v>
      </c>
      <c r="Q79" s="134">
        <v>5.3</v>
      </c>
    </row>
    <row r="80" spans="1:17" customFormat="1">
      <c r="A80" s="112" t="s">
        <v>1750</v>
      </c>
      <c r="B80" s="134">
        <v>8.01</v>
      </c>
      <c r="C80" s="134">
        <v>13.36</v>
      </c>
      <c r="D80" s="134">
        <v>14.76</v>
      </c>
      <c r="E80" s="134">
        <v>6.62</v>
      </c>
      <c r="F80" s="134">
        <v>9</v>
      </c>
      <c r="G80" s="134">
        <v>10.55</v>
      </c>
      <c r="H80" s="134">
        <v>3.64</v>
      </c>
      <c r="I80" s="134">
        <v>2.4300000000000002</v>
      </c>
      <c r="J80" s="134">
        <v>0.09</v>
      </c>
      <c r="K80" s="134">
        <v>209.25</v>
      </c>
      <c r="L80" s="134">
        <v>27.44</v>
      </c>
      <c r="M80" s="134">
        <v>82.81</v>
      </c>
      <c r="N80" s="134">
        <v>0.4</v>
      </c>
      <c r="O80" s="134">
        <v>0</v>
      </c>
      <c r="P80" s="134">
        <v>0.31</v>
      </c>
      <c r="Q80" s="134">
        <v>5.32</v>
      </c>
    </row>
    <row r="81" spans="1:17" customFormat="1">
      <c r="A81" s="112" t="s">
        <v>1751</v>
      </c>
      <c r="B81" s="134">
        <v>8.49</v>
      </c>
      <c r="C81" s="134">
        <v>16.13</v>
      </c>
      <c r="D81" s="134">
        <v>16.59</v>
      </c>
      <c r="E81" s="134">
        <v>6.31</v>
      </c>
      <c r="F81" s="134">
        <v>6.2</v>
      </c>
      <c r="G81" s="134">
        <v>10.55</v>
      </c>
      <c r="H81" s="134">
        <v>3.64</v>
      </c>
      <c r="I81" s="134">
        <v>2.5499999999999998</v>
      </c>
      <c r="J81" s="134">
        <v>0.06</v>
      </c>
      <c r="K81" s="134">
        <v>210.34</v>
      </c>
      <c r="L81" s="134">
        <v>27.22</v>
      </c>
      <c r="M81" s="134">
        <v>84.25</v>
      </c>
      <c r="N81" s="134">
        <v>0</v>
      </c>
      <c r="O81" s="134">
        <v>0</v>
      </c>
      <c r="P81" s="134">
        <v>0.34</v>
      </c>
      <c r="Q81" s="134">
        <v>5.44</v>
      </c>
    </row>
    <row r="82" spans="1:17" customFormat="1">
      <c r="A82" s="112" t="s">
        <v>1752</v>
      </c>
      <c r="B82" s="134">
        <v>8.2200000000000006</v>
      </c>
      <c r="C82" s="134">
        <v>14.15</v>
      </c>
      <c r="D82" s="134">
        <v>15.34</v>
      </c>
      <c r="E82" s="134">
        <v>7.98</v>
      </c>
      <c r="F82" s="134">
        <v>9.7799999999999994</v>
      </c>
      <c r="G82" s="134">
        <v>10.64</v>
      </c>
      <c r="H82" s="134">
        <v>4.72</v>
      </c>
      <c r="I82" s="134">
        <v>2.76</v>
      </c>
      <c r="J82" s="134">
        <v>0.16</v>
      </c>
      <c r="K82" s="134">
        <v>175.13</v>
      </c>
      <c r="L82" s="134">
        <v>27.03</v>
      </c>
      <c r="M82" s="134">
        <v>84.98</v>
      </c>
      <c r="N82" s="134">
        <v>0</v>
      </c>
      <c r="O82" s="134">
        <v>0</v>
      </c>
      <c r="P82" s="134">
        <v>0.35</v>
      </c>
      <c r="Q82" s="134">
        <v>5.61</v>
      </c>
    </row>
    <row r="83" spans="1:17" customFormat="1">
      <c r="A83" s="112" t="s">
        <v>1753</v>
      </c>
      <c r="B83" s="134">
        <v>8.25</v>
      </c>
      <c r="C83" s="134">
        <v>13.69</v>
      </c>
      <c r="D83" s="134">
        <v>15.12</v>
      </c>
      <c r="E83" s="134">
        <v>8.42</v>
      </c>
      <c r="F83" s="134">
        <v>9.65</v>
      </c>
      <c r="G83" s="134">
        <v>10.66</v>
      </c>
      <c r="H83" s="134">
        <v>4.72</v>
      </c>
      <c r="I83" s="134">
        <v>2.72</v>
      </c>
      <c r="J83" s="134">
        <v>0.08</v>
      </c>
      <c r="K83" s="134">
        <v>206.23</v>
      </c>
      <c r="L83" s="134">
        <v>26.87</v>
      </c>
      <c r="M83" s="134">
        <v>85.5</v>
      </c>
      <c r="N83" s="134">
        <v>0</v>
      </c>
      <c r="O83" s="134">
        <v>0</v>
      </c>
      <c r="P83" s="134">
        <v>0.33</v>
      </c>
      <c r="Q83" s="134">
        <v>5.57</v>
      </c>
    </row>
    <row r="84" spans="1:17" customFormat="1">
      <c r="A84" s="112" t="s">
        <v>1754</v>
      </c>
      <c r="B84" s="134">
        <v>8.81</v>
      </c>
      <c r="C84" s="134">
        <v>16.100000000000001</v>
      </c>
      <c r="D84" s="134">
        <v>16.82</v>
      </c>
      <c r="E84" s="134">
        <v>8.2899999999999991</v>
      </c>
      <c r="F84" s="134">
        <v>6.39</v>
      </c>
      <c r="G84" s="134">
        <v>10.66</v>
      </c>
      <c r="H84" s="134">
        <v>4.72</v>
      </c>
      <c r="I84" s="134">
        <v>2.4700000000000002</v>
      </c>
      <c r="J84" s="134">
        <v>0.11</v>
      </c>
      <c r="K84" s="134">
        <v>170.79</v>
      </c>
      <c r="L84" s="134">
        <v>26.75</v>
      </c>
      <c r="M84" s="134">
        <v>87.51</v>
      </c>
      <c r="N84" s="134">
        <v>0</v>
      </c>
      <c r="O84" s="134">
        <v>0</v>
      </c>
      <c r="P84" s="134">
        <v>0.34</v>
      </c>
      <c r="Q84" s="134">
        <v>5.53</v>
      </c>
    </row>
    <row r="85" spans="1:17" customFormat="1">
      <c r="A85" s="112" t="s">
        <v>1755</v>
      </c>
      <c r="B85" s="134">
        <v>9.14</v>
      </c>
      <c r="C85" s="134">
        <v>16.82</v>
      </c>
      <c r="D85" s="134">
        <v>17.47</v>
      </c>
      <c r="E85" s="134">
        <v>7.88</v>
      </c>
      <c r="F85" s="134">
        <v>6.02</v>
      </c>
      <c r="G85" s="134">
        <v>10.66</v>
      </c>
      <c r="H85" s="134">
        <v>4.72</v>
      </c>
      <c r="I85" s="134">
        <v>2.98</v>
      </c>
      <c r="J85" s="134">
        <v>0.1</v>
      </c>
      <c r="K85" s="134">
        <v>178.54</v>
      </c>
      <c r="L85" s="134">
        <v>26.59</v>
      </c>
      <c r="M85" s="134">
        <v>89.02</v>
      </c>
      <c r="N85" s="134">
        <v>0</v>
      </c>
      <c r="O85" s="134">
        <v>0</v>
      </c>
      <c r="P85" s="134">
        <v>0.36</v>
      </c>
      <c r="Q85" s="134">
        <v>5.61</v>
      </c>
    </row>
    <row r="86" spans="1:17" customFormat="1">
      <c r="A86" s="112" t="s">
        <v>1756</v>
      </c>
      <c r="B86" s="134">
        <v>8.89</v>
      </c>
      <c r="C86" s="134">
        <v>14.75</v>
      </c>
      <c r="D86" s="134">
        <v>16.190000000000001</v>
      </c>
      <c r="E86" s="134">
        <v>8.1</v>
      </c>
      <c r="F86" s="134">
        <v>7.68</v>
      </c>
      <c r="G86" s="134">
        <v>11.14</v>
      </c>
      <c r="H86" s="134">
        <v>3.3</v>
      </c>
      <c r="I86" s="134">
        <v>3.39</v>
      </c>
      <c r="J86" s="134">
        <v>0.14000000000000001</v>
      </c>
      <c r="K86" s="134">
        <v>182.58</v>
      </c>
      <c r="L86" s="134">
        <v>26.5</v>
      </c>
      <c r="M86" s="134">
        <v>90.09</v>
      </c>
      <c r="N86" s="134">
        <v>0</v>
      </c>
      <c r="O86" s="134">
        <v>0</v>
      </c>
      <c r="P86" s="134">
        <v>0.37</v>
      </c>
      <c r="Q86" s="134">
        <v>5.59</v>
      </c>
    </row>
    <row r="87" spans="1:17" customFormat="1">
      <c r="A87" s="112" t="s">
        <v>1757</v>
      </c>
      <c r="B87" s="134">
        <v>8.98</v>
      </c>
      <c r="C87" s="134">
        <v>14.62</v>
      </c>
      <c r="D87" s="134">
        <v>16.190000000000001</v>
      </c>
      <c r="E87" s="134">
        <v>7.98</v>
      </c>
      <c r="F87" s="134">
        <v>7.56</v>
      </c>
      <c r="G87" s="134">
        <v>11.23</v>
      </c>
      <c r="H87" s="134">
        <v>3.3</v>
      </c>
      <c r="I87" s="134">
        <v>3.99</v>
      </c>
      <c r="J87" s="134">
        <v>0.16</v>
      </c>
      <c r="K87" s="134">
        <v>212.51</v>
      </c>
      <c r="L87" s="134">
        <v>26.36</v>
      </c>
      <c r="M87" s="134">
        <v>90.59</v>
      </c>
      <c r="N87" s="134">
        <v>0</v>
      </c>
      <c r="O87" s="134">
        <v>0</v>
      </c>
      <c r="P87" s="134">
        <v>0.35</v>
      </c>
      <c r="Q87" s="134">
        <v>5.52</v>
      </c>
    </row>
    <row r="88" spans="1:17" customFormat="1">
      <c r="A88" s="112" t="s">
        <v>1758</v>
      </c>
      <c r="B88" s="134">
        <v>9.6199999999999992</v>
      </c>
      <c r="C88" s="134">
        <v>17.39</v>
      </c>
      <c r="D88" s="134">
        <v>18.16</v>
      </c>
      <c r="E88" s="134">
        <v>8.6199999999999992</v>
      </c>
      <c r="F88" s="134">
        <v>5.0199999999999996</v>
      </c>
      <c r="G88" s="134">
        <v>11.23</v>
      </c>
      <c r="H88" s="134">
        <v>3.3</v>
      </c>
      <c r="I88" s="134">
        <v>3.67</v>
      </c>
      <c r="J88" s="134">
        <v>0.15</v>
      </c>
      <c r="K88" s="134">
        <v>171.34</v>
      </c>
      <c r="L88" s="134">
        <v>26.29</v>
      </c>
      <c r="M88" s="134">
        <v>91.69</v>
      </c>
      <c r="N88" s="134">
        <v>0</v>
      </c>
      <c r="O88" s="134">
        <v>0</v>
      </c>
      <c r="P88" s="134">
        <v>0.38</v>
      </c>
      <c r="Q88" s="134">
        <v>5.47</v>
      </c>
    </row>
    <row r="89" spans="1:17" customFormat="1">
      <c r="A89" s="112" t="s">
        <v>1759</v>
      </c>
      <c r="B89" s="134">
        <v>10.38</v>
      </c>
      <c r="C89" s="134">
        <v>18.25</v>
      </c>
      <c r="D89" s="134">
        <v>19.21</v>
      </c>
      <c r="E89" s="134">
        <v>8.7899999999999991</v>
      </c>
      <c r="F89" s="134">
        <v>4.17</v>
      </c>
      <c r="G89" s="134">
        <v>11.23</v>
      </c>
      <c r="H89" s="134">
        <v>3.3</v>
      </c>
      <c r="I89" s="134">
        <v>3.58</v>
      </c>
      <c r="J89" s="134">
        <v>0.15</v>
      </c>
      <c r="K89" s="134">
        <v>203.11</v>
      </c>
      <c r="L89" s="134">
        <v>26.34</v>
      </c>
      <c r="M89" s="134">
        <v>90.57</v>
      </c>
      <c r="N89" s="134">
        <v>0</v>
      </c>
      <c r="O89" s="134">
        <v>0</v>
      </c>
      <c r="P89" s="134">
        <v>0.42</v>
      </c>
      <c r="Q89" s="134">
        <v>5.54</v>
      </c>
    </row>
    <row r="90" spans="1:17" customFormat="1">
      <c r="A90" s="112" t="s">
        <v>1760</v>
      </c>
      <c r="B90" s="134">
        <v>10.56</v>
      </c>
      <c r="C90" s="134">
        <v>18.149999999999999</v>
      </c>
      <c r="D90" s="134">
        <v>19.3</v>
      </c>
      <c r="E90" s="134">
        <v>8.36</v>
      </c>
      <c r="F90" s="134">
        <v>4.0999999999999996</v>
      </c>
      <c r="G90" s="134">
        <v>14.66</v>
      </c>
      <c r="H90" s="134">
        <v>3.79</v>
      </c>
      <c r="I90" s="134">
        <v>3.72</v>
      </c>
      <c r="J90" s="134">
        <v>0.11</v>
      </c>
      <c r="K90" s="134">
        <v>190.49</v>
      </c>
      <c r="L90" s="134">
        <v>26.24</v>
      </c>
      <c r="M90" s="134">
        <v>91.86</v>
      </c>
      <c r="N90" s="134">
        <v>0</v>
      </c>
      <c r="O90" s="134">
        <v>0</v>
      </c>
      <c r="P90" s="134">
        <v>0.42</v>
      </c>
      <c r="Q90" s="134">
        <v>5.52</v>
      </c>
    </row>
    <row r="91" spans="1:17" customFormat="1">
      <c r="A91" s="112" t="s">
        <v>1761</v>
      </c>
      <c r="B91" s="134">
        <v>11.13</v>
      </c>
      <c r="C91" s="134">
        <v>19.5</v>
      </c>
      <c r="D91" s="134">
        <v>20.46</v>
      </c>
      <c r="E91" s="134">
        <v>8.6</v>
      </c>
      <c r="F91" s="134">
        <v>4.01</v>
      </c>
      <c r="G91" s="134">
        <v>15.24</v>
      </c>
      <c r="H91" s="134">
        <v>3.79</v>
      </c>
      <c r="I91" s="134">
        <v>3.81</v>
      </c>
      <c r="J91" s="134">
        <v>0.1</v>
      </c>
      <c r="K91" s="134">
        <v>185.44</v>
      </c>
      <c r="L91" s="134">
        <v>26.17</v>
      </c>
      <c r="M91" s="134">
        <v>94.36</v>
      </c>
      <c r="N91" s="134">
        <v>0</v>
      </c>
      <c r="O91" s="134">
        <v>0</v>
      </c>
      <c r="P91" s="134">
        <v>0.4</v>
      </c>
      <c r="Q91" s="134">
        <v>5.49</v>
      </c>
    </row>
    <row r="92" spans="1:17" customFormat="1">
      <c r="A92" s="112" t="s">
        <v>1762</v>
      </c>
      <c r="B92" s="134">
        <v>11.16</v>
      </c>
      <c r="C92" s="134">
        <v>18.670000000000002</v>
      </c>
      <c r="D92" s="134">
        <v>20.059999999999999</v>
      </c>
      <c r="E92" s="134">
        <v>8.42</v>
      </c>
      <c r="F92" s="134">
        <v>4.09</v>
      </c>
      <c r="G92" s="134">
        <v>15.24</v>
      </c>
      <c r="H92" s="134">
        <v>3.79</v>
      </c>
      <c r="I92" s="134">
        <v>3.87</v>
      </c>
      <c r="J92" s="134">
        <v>0.06</v>
      </c>
      <c r="K92" s="134">
        <v>217.76</v>
      </c>
      <c r="L92" s="134">
        <v>26.25</v>
      </c>
      <c r="M92" s="134">
        <v>95.51</v>
      </c>
      <c r="N92" s="134">
        <v>0</v>
      </c>
      <c r="O92" s="134">
        <v>0</v>
      </c>
      <c r="P92" s="134">
        <v>0.43</v>
      </c>
      <c r="Q92" s="134">
        <v>5.56</v>
      </c>
    </row>
    <row r="93" spans="1:17" customFormat="1">
      <c r="A93" s="112" t="s">
        <v>1763</v>
      </c>
      <c r="B93" s="134">
        <v>10.8</v>
      </c>
      <c r="C93" s="134">
        <v>16.72</v>
      </c>
      <c r="D93" s="134">
        <v>18.75</v>
      </c>
      <c r="E93" s="134">
        <v>8.3800000000000008</v>
      </c>
      <c r="F93" s="134">
        <v>4.74</v>
      </c>
      <c r="G93" s="134">
        <v>15.24</v>
      </c>
      <c r="H93" s="134">
        <v>3.79</v>
      </c>
      <c r="I93" s="134">
        <v>3.93</v>
      </c>
      <c r="J93" s="134">
        <v>0.14000000000000001</v>
      </c>
      <c r="K93" s="134">
        <v>177.33</v>
      </c>
      <c r="L93" s="134">
        <v>26.34</v>
      </c>
      <c r="M93" s="134">
        <v>95.76</v>
      </c>
      <c r="N93" s="134">
        <v>0</v>
      </c>
      <c r="O93" s="134">
        <v>0</v>
      </c>
      <c r="P93" s="134">
        <v>0.44</v>
      </c>
      <c r="Q93" s="134">
        <v>5.54</v>
      </c>
    </row>
    <row r="94" spans="1:17" customFormat="1">
      <c r="A94" s="112" t="s">
        <v>1764</v>
      </c>
      <c r="B94" s="134">
        <v>10.41</v>
      </c>
      <c r="C94" s="134">
        <v>15.55</v>
      </c>
      <c r="D94" s="134">
        <v>17.82</v>
      </c>
      <c r="E94" s="134">
        <v>7.9</v>
      </c>
      <c r="F94" s="134">
        <v>4.82</v>
      </c>
      <c r="G94" s="134">
        <v>17.16</v>
      </c>
      <c r="H94" s="134">
        <v>6.93</v>
      </c>
      <c r="I94" s="134">
        <v>4.07</v>
      </c>
      <c r="J94" s="134">
        <v>0.1</v>
      </c>
      <c r="K94" s="134">
        <v>235.96</v>
      </c>
      <c r="L94" s="134">
        <v>26.22</v>
      </c>
      <c r="M94" s="134">
        <v>95.81</v>
      </c>
      <c r="N94" s="134">
        <v>0</v>
      </c>
      <c r="O94" s="134">
        <v>0</v>
      </c>
      <c r="P94" s="134">
        <v>0.45</v>
      </c>
      <c r="Q94" s="134">
        <v>5.52</v>
      </c>
    </row>
    <row r="95" spans="1:17" customFormat="1">
      <c r="A95" s="112" t="s">
        <v>1765</v>
      </c>
      <c r="B95" s="134">
        <v>11.29</v>
      </c>
      <c r="C95" s="134">
        <v>18.25</v>
      </c>
      <c r="D95" s="134">
        <v>19.940000000000001</v>
      </c>
      <c r="E95" s="134">
        <v>8.59</v>
      </c>
      <c r="F95" s="134">
        <v>4.37</v>
      </c>
      <c r="G95" s="134">
        <v>17.52</v>
      </c>
      <c r="H95" s="134">
        <v>6.93</v>
      </c>
      <c r="I95" s="134">
        <v>4.12</v>
      </c>
      <c r="J95" s="134">
        <v>0.09</v>
      </c>
      <c r="K95" s="134">
        <v>161.76</v>
      </c>
      <c r="L95" s="134">
        <v>26.19</v>
      </c>
      <c r="M95" s="134">
        <v>95.33</v>
      </c>
      <c r="N95" s="134">
        <v>0</v>
      </c>
      <c r="O95" s="134">
        <v>0</v>
      </c>
      <c r="P95" s="134">
        <v>0.44</v>
      </c>
      <c r="Q95" s="134">
        <v>5.49</v>
      </c>
    </row>
    <row r="96" spans="1:17" customFormat="1">
      <c r="A96" s="112" t="s">
        <v>1766</v>
      </c>
      <c r="B96" s="134">
        <v>11.52</v>
      </c>
      <c r="C96" s="134">
        <v>18.39</v>
      </c>
      <c r="D96" s="134">
        <v>20.2</v>
      </c>
      <c r="E96" s="134">
        <v>8.69</v>
      </c>
      <c r="F96" s="134">
        <v>4.57</v>
      </c>
      <c r="G96" s="134">
        <v>17.52</v>
      </c>
      <c r="H96" s="134">
        <v>6.93</v>
      </c>
      <c r="I96" s="134">
        <v>4.1399999999999997</v>
      </c>
      <c r="J96" s="134">
        <v>0.12</v>
      </c>
      <c r="K96" s="134">
        <v>255.43</v>
      </c>
      <c r="L96" s="134">
        <v>26.06</v>
      </c>
      <c r="M96" s="134">
        <v>94.73</v>
      </c>
      <c r="N96" s="134">
        <v>0</v>
      </c>
      <c r="O96" s="134">
        <v>0</v>
      </c>
      <c r="P96" s="134">
        <v>0.47</v>
      </c>
      <c r="Q96" s="134">
        <v>5.52</v>
      </c>
    </row>
    <row r="97" spans="1:22" customFormat="1">
      <c r="A97" s="112" t="s">
        <v>1767</v>
      </c>
      <c r="B97" s="134">
        <v>11.45</v>
      </c>
      <c r="C97" s="134">
        <v>16.96</v>
      </c>
      <c r="D97" s="134">
        <v>19.399999999999999</v>
      </c>
      <c r="E97" s="134">
        <v>8.44</v>
      </c>
      <c r="F97" s="134">
        <v>5.36</v>
      </c>
      <c r="G97" s="134">
        <v>17.52</v>
      </c>
      <c r="H97" s="134">
        <v>6.93</v>
      </c>
      <c r="I97" s="134">
        <v>4.2699999999999996</v>
      </c>
      <c r="J97" s="134">
        <v>0.11</v>
      </c>
      <c r="K97" s="134">
        <v>219.6</v>
      </c>
      <c r="L97" s="134">
        <v>25.97</v>
      </c>
      <c r="M97" s="134">
        <v>93.97</v>
      </c>
      <c r="N97" s="134">
        <v>0</v>
      </c>
      <c r="O97" s="134">
        <v>0</v>
      </c>
      <c r="P97" s="134">
        <v>0.46</v>
      </c>
      <c r="Q97" s="134">
        <v>5.52</v>
      </c>
    </row>
    <row r="98" spans="1:22" customFormat="1">
      <c r="A98" s="112" t="s">
        <v>1768</v>
      </c>
      <c r="B98" s="134">
        <v>11.63</v>
      </c>
      <c r="C98" s="134">
        <v>17.32</v>
      </c>
      <c r="D98" s="134">
        <v>19.73</v>
      </c>
      <c r="E98" s="134">
        <v>8.16</v>
      </c>
      <c r="F98" s="134">
        <v>5.46</v>
      </c>
      <c r="G98" s="134">
        <v>16.11</v>
      </c>
      <c r="H98" s="134">
        <v>5.59</v>
      </c>
      <c r="I98" s="134">
        <v>4.3099999999999996</v>
      </c>
      <c r="J98" s="134">
        <v>0.1</v>
      </c>
      <c r="K98" s="134">
        <v>213.87</v>
      </c>
      <c r="L98" s="134">
        <v>25.84</v>
      </c>
      <c r="M98" s="134">
        <v>93.6</v>
      </c>
      <c r="N98" s="134">
        <v>0</v>
      </c>
      <c r="O98" s="134">
        <v>0</v>
      </c>
      <c r="P98" s="134">
        <v>0.45</v>
      </c>
      <c r="Q98" s="134">
        <v>5.48</v>
      </c>
    </row>
    <row r="99" spans="1:22" customFormat="1">
      <c r="A99" s="112" t="s">
        <v>1769</v>
      </c>
      <c r="B99" s="134">
        <v>12.23</v>
      </c>
      <c r="C99" s="134">
        <v>19.18</v>
      </c>
      <c r="D99" s="134">
        <v>21.18</v>
      </c>
      <c r="E99" s="134">
        <v>8.8800000000000008</v>
      </c>
      <c r="F99" s="134">
        <v>4.66</v>
      </c>
      <c r="G99" s="134">
        <v>15.87</v>
      </c>
      <c r="H99" s="134">
        <v>5.59</v>
      </c>
      <c r="I99" s="134">
        <v>4.12</v>
      </c>
      <c r="J99" s="134">
        <v>0.08</v>
      </c>
      <c r="K99" s="134">
        <v>181.1</v>
      </c>
      <c r="L99" s="134">
        <v>25.79</v>
      </c>
      <c r="M99" s="134">
        <v>92.32</v>
      </c>
      <c r="N99" s="134">
        <v>0</v>
      </c>
      <c r="O99" s="134">
        <v>0</v>
      </c>
      <c r="P99" s="134">
        <v>0.45</v>
      </c>
      <c r="Q99" s="134">
        <v>5.52</v>
      </c>
    </row>
    <row r="100" spans="1:22" customFormat="1">
      <c r="A100" s="112" t="s">
        <v>1770</v>
      </c>
      <c r="B100" s="134">
        <v>12.12</v>
      </c>
      <c r="C100" s="134">
        <v>17.809999999999999</v>
      </c>
      <c r="D100" s="134">
        <v>20.37</v>
      </c>
      <c r="E100" s="134">
        <v>8.61</v>
      </c>
      <c r="F100" s="134">
        <v>5.39</v>
      </c>
      <c r="G100" s="134">
        <v>15.87</v>
      </c>
      <c r="H100" s="134">
        <v>5.59</v>
      </c>
      <c r="I100" s="134">
        <v>4.2699999999999996</v>
      </c>
      <c r="J100" s="134">
        <v>0.1</v>
      </c>
      <c r="K100" s="134">
        <v>153.84</v>
      </c>
      <c r="L100" s="134">
        <v>25.71</v>
      </c>
      <c r="M100" s="134">
        <v>93.78</v>
      </c>
      <c r="N100" s="134">
        <v>0</v>
      </c>
      <c r="O100" s="134">
        <v>0</v>
      </c>
      <c r="P100" s="134">
        <v>0.44</v>
      </c>
      <c r="Q100" s="134">
        <v>5.51</v>
      </c>
    </row>
    <row r="101" spans="1:22" customFormat="1">
      <c r="A101" s="112" t="s">
        <v>1771</v>
      </c>
      <c r="B101" s="134">
        <v>12.28</v>
      </c>
      <c r="C101" s="134">
        <v>17.57</v>
      </c>
      <c r="D101" s="134">
        <v>20.38</v>
      </c>
      <c r="E101" s="134">
        <v>8.59</v>
      </c>
      <c r="F101" s="134">
        <v>5.45</v>
      </c>
      <c r="G101" s="134">
        <v>15.87</v>
      </c>
      <c r="H101" s="134">
        <v>5.59</v>
      </c>
      <c r="I101" s="134">
        <v>4.2300000000000004</v>
      </c>
      <c r="J101" s="134">
        <v>0.06</v>
      </c>
      <c r="K101" s="134">
        <v>158.12</v>
      </c>
      <c r="L101" s="134">
        <v>25.54</v>
      </c>
      <c r="M101" s="134">
        <v>93.62</v>
      </c>
      <c r="N101" s="134">
        <v>0</v>
      </c>
      <c r="O101" s="134">
        <v>0</v>
      </c>
      <c r="P101" s="134">
        <v>0.44</v>
      </c>
      <c r="Q101" s="134">
        <v>5.49</v>
      </c>
    </row>
    <row r="102" spans="1:22" customFormat="1">
      <c r="A102" s="112" t="s">
        <v>1772</v>
      </c>
      <c r="B102" s="134">
        <v>12.69</v>
      </c>
      <c r="C102" s="134">
        <v>19.350000000000001</v>
      </c>
      <c r="D102" s="134">
        <v>21.64</v>
      </c>
      <c r="E102" s="134">
        <v>8.9600000000000009</v>
      </c>
      <c r="F102" s="134">
        <v>4.5199999999999996</v>
      </c>
      <c r="G102" s="134">
        <v>15.65</v>
      </c>
      <c r="H102" s="134">
        <v>4.2300000000000004</v>
      </c>
      <c r="I102" s="134">
        <v>4.1500000000000004</v>
      </c>
      <c r="J102" s="134">
        <v>0.11</v>
      </c>
      <c r="K102" s="134">
        <v>225.28</v>
      </c>
      <c r="L102" s="134">
        <v>25.45</v>
      </c>
      <c r="M102" s="134">
        <v>94.21</v>
      </c>
      <c r="N102" s="134">
        <v>0</v>
      </c>
      <c r="O102" s="134">
        <v>0</v>
      </c>
      <c r="P102" s="134">
        <v>0.46</v>
      </c>
      <c r="Q102" s="134">
        <v>5.5</v>
      </c>
    </row>
    <row r="103" spans="1:22" customFormat="1">
      <c r="A103" s="112" t="s">
        <v>1773</v>
      </c>
      <c r="B103" s="134">
        <v>12.77</v>
      </c>
      <c r="C103" s="134">
        <v>18.34</v>
      </c>
      <c r="D103" s="134">
        <v>21.17</v>
      </c>
      <c r="E103" s="134">
        <v>8.73</v>
      </c>
      <c r="F103" s="134">
        <v>4.96</v>
      </c>
      <c r="G103" s="134">
        <v>15.61</v>
      </c>
      <c r="H103" s="134">
        <v>4.2300000000000004</v>
      </c>
      <c r="I103" s="134">
        <v>4.22</v>
      </c>
      <c r="J103" s="134">
        <v>0.08</v>
      </c>
      <c r="K103" s="134">
        <v>248.13</v>
      </c>
      <c r="L103" s="134">
        <v>25.37</v>
      </c>
      <c r="M103" s="134">
        <v>93.56</v>
      </c>
      <c r="N103" s="134">
        <v>0</v>
      </c>
      <c r="O103" s="134">
        <v>0</v>
      </c>
      <c r="P103" s="134">
        <v>0.44</v>
      </c>
      <c r="Q103" s="134">
        <v>5.54</v>
      </c>
    </row>
    <row r="104" spans="1:22" customFormat="1">
      <c r="A104" s="112" t="s">
        <v>1774</v>
      </c>
      <c r="B104" s="134">
        <v>12.59</v>
      </c>
      <c r="C104" s="134">
        <v>17.77</v>
      </c>
      <c r="D104" s="134">
        <v>20.73</v>
      </c>
      <c r="E104" s="134">
        <v>8.67</v>
      </c>
      <c r="F104" s="134">
        <v>5.22</v>
      </c>
      <c r="G104" s="134">
        <v>15.61</v>
      </c>
      <c r="H104" s="134">
        <v>4.2300000000000004</v>
      </c>
      <c r="I104" s="134">
        <v>4.25</v>
      </c>
      <c r="J104" s="134">
        <v>0.08</v>
      </c>
      <c r="K104" s="134">
        <v>164.79</v>
      </c>
      <c r="L104" s="134">
        <v>25.37</v>
      </c>
      <c r="M104" s="134">
        <v>93.77</v>
      </c>
      <c r="N104" s="134">
        <v>0</v>
      </c>
      <c r="O104" s="134">
        <v>0</v>
      </c>
      <c r="P104" s="134">
        <v>0.44</v>
      </c>
      <c r="Q104" s="134">
        <v>5.46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8.01</v>
      </c>
      <c r="C106" s="183">
        <f>MIN(C9:C104)</f>
        <v>13.36</v>
      </c>
      <c r="D106" s="183">
        <f t="shared" ref="D106:Q106" si="0">MIN(D9:D104)</f>
        <v>14.76</v>
      </c>
      <c r="E106" s="183">
        <f t="shared" si="0"/>
        <v>6.23</v>
      </c>
      <c r="F106" s="183">
        <f t="shared" si="0"/>
        <v>3.99</v>
      </c>
      <c r="G106" s="183">
        <f t="shared" si="0"/>
        <v>5.19</v>
      </c>
      <c r="H106" s="183">
        <f t="shared" si="0"/>
        <v>2.2400000000000002</v>
      </c>
      <c r="I106" s="183">
        <f t="shared" si="0"/>
        <v>2.4300000000000002</v>
      </c>
      <c r="J106" s="183">
        <f t="shared" si="0"/>
        <v>-0.24</v>
      </c>
      <c r="K106" s="183">
        <f t="shared" si="0"/>
        <v>-0.12</v>
      </c>
      <c r="L106" s="183">
        <f t="shared" si="0"/>
        <v>24.79</v>
      </c>
      <c r="M106" s="183">
        <f t="shared" si="0"/>
        <v>69.27</v>
      </c>
      <c r="N106" s="183">
        <f t="shared" si="0"/>
        <v>0</v>
      </c>
      <c r="O106" s="183">
        <f t="shared" si="0"/>
        <v>0</v>
      </c>
      <c r="P106" s="183">
        <f t="shared" si="0"/>
        <v>0.31</v>
      </c>
      <c r="Q106" s="183">
        <f t="shared" si="0"/>
        <v>4.9800000000000004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13.18</v>
      </c>
      <c r="C107" s="184">
        <f t="shared" ref="C107:Q107" si="1">MAX(C9:C104)</f>
        <v>19.5</v>
      </c>
      <c r="D107" s="184">
        <f t="shared" si="1"/>
        <v>21.76</v>
      </c>
      <c r="E107" s="184">
        <f t="shared" si="1"/>
        <v>9.7799999999999994</v>
      </c>
      <c r="F107" s="184">
        <f t="shared" si="1"/>
        <v>9.7799999999999994</v>
      </c>
      <c r="G107" s="184">
        <f t="shared" si="1"/>
        <v>17.52</v>
      </c>
      <c r="H107" s="184">
        <f t="shared" si="1"/>
        <v>6.93</v>
      </c>
      <c r="I107" s="184">
        <f t="shared" si="1"/>
        <v>4.3099999999999996</v>
      </c>
      <c r="J107" s="184">
        <f t="shared" si="1"/>
        <v>0.82</v>
      </c>
      <c r="K107" s="184">
        <f t="shared" si="1"/>
        <v>337.6</v>
      </c>
      <c r="L107" s="184">
        <f t="shared" si="1"/>
        <v>30.75</v>
      </c>
      <c r="M107" s="184">
        <f t="shared" si="1"/>
        <v>95.81</v>
      </c>
      <c r="N107" s="184">
        <f t="shared" si="1"/>
        <v>690.4</v>
      </c>
      <c r="O107" s="184">
        <f t="shared" si="1"/>
        <v>0</v>
      </c>
      <c r="P107" s="184">
        <f t="shared" si="1"/>
        <v>0.47</v>
      </c>
      <c r="Q107" s="184">
        <f t="shared" si="1"/>
        <v>5.61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10.935624999999996</v>
      </c>
      <c r="C108" s="183">
        <f t="shared" ref="C108:Q108" si="2">AVERAGE(C9:C104)</f>
        <v>16.997291666666662</v>
      </c>
      <c r="D108" s="183">
        <f t="shared" si="2"/>
        <v>19.001458333333332</v>
      </c>
      <c r="E108" s="183">
        <f t="shared" si="2"/>
        <v>8.2287499999999998</v>
      </c>
      <c r="F108" s="183">
        <f t="shared" si="2"/>
        <v>5.3345833333333319</v>
      </c>
      <c r="G108" s="183">
        <f t="shared" si="2"/>
        <v>10.581249999999999</v>
      </c>
      <c r="H108" s="183">
        <f t="shared" si="2"/>
        <v>4.2630208333333348</v>
      </c>
      <c r="I108" s="183">
        <f t="shared" si="2"/>
        <v>3.1781249999999992</v>
      </c>
      <c r="J108" s="183">
        <f t="shared" si="2"/>
        <v>0.25791666666666663</v>
      </c>
      <c r="K108" s="183">
        <f t="shared" si="2"/>
        <v>241.26093749999995</v>
      </c>
      <c r="L108" s="183">
        <f t="shared" si="2"/>
        <v>27.000312500000003</v>
      </c>
      <c r="M108" s="183">
        <f t="shared" si="2"/>
        <v>86.308854166666677</v>
      </c>
      <c r="N108" s="183">
        <f t="shared" si="2"/>
        <v>126.253125</v>
      </c>
      <c r="O108" s="183">
        <f t="shared" si="2"/>
        <v>0</v>
      </c>
      <c r="P108" s="183">
        <f t="shared" si="2"/>
        <v>0.36031249999999976</v>
      </c>
      <c r="Q108" s="183">
        <f t="shared" si="2"/>
        <v>5.274375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1.5795527764795327</v>
      </c>
      <c r="C109" s="183">
        <f t="shared" ref="C109:Q109" si="3">STDEV(C9:C104)</f>
        <v>1.3826218261098273</v>
      </c>
      <c r="D109" s="183">
        <f t="shared" si="3"/>
        <v>1.8808760440238192</v>
      </c>
      <c r="E109" s="183">
        <f t="shared" si="3"/>
        <v>1.1091915026151657</v>
      </c>
      <c r="F109" s="183">
        <f t="shared" si="3"/>
        <v>1.2277166797001888</v>
      </c>
      <c r="G109" s="183">
        <f t="shared" si="3"/>
        <v>3.381975831716701</v>
      </c>
      <c r="H109" s="183">
        <f t="shared" si="3"/>
        <v>1.0517345270318292</v>
      </c>
      <c r="I109" s="183">
        <f t="shared" si="3"/>
        <v>0.46709699770301172</v>
      </c>
      <c r="J109" s="183">
        <f t="shared" si="3"/>
        <v>0.21261240577096938</v>
      </c>
      <c r="K109" s="183">
        <f t="shared" si="3"/>
        <v>47.552977040640236</v>
      </c>
      <c r="L109" s="183">
        <f t="shared" si="3"/>
        <v>1.8411412096706383</v>
      </c>
      <c r="M109" s="183">
        <f t="shared" si="3"/>
        <v>8.4854577607860584</v>
      </c>
      <c r="N109" s="183">
        <f t="shared" si="3"/>
        <v>187.65527630997667</v>
      </c>
      <c r="O109" s="183">
        <f t="shared" si="3"/>
        <v>0</v>
      </c>
      <c r="P109" s="183">
        <f t="shared" si="3"/>
        <v>3.9588757707741874E-2</v>
      </c>
      <c r="Q109" s="183">
        <f t="shared" si="3"/>
        <v>0.17034214795059724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17/09/2023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1775</v>
      </c>
      <c r="B9" s="134">
        <v>12.39</v>
      </c>
      <c r="C9" s="134">
        <v>19.5</v>
      </c>
      <c r="D9" s="134">
        <v>21.47</v>
      </c>
      <c r="E9" s="134">
        <v>8.7899999999999991</v>
      </c>
      <c r="F9" s="134">
        <v>4.2699999999999996</v>
      </c>
      <c r="G9" s="134">
        <v>15.61</v>
      </c>
      <c r="H9" s="134">
        <v>4.2300000000000004</v>
      </c>
      <c r="I9" s="134">
        <v>4.08</v>
      </c>
      <c r="J9" s="134">
        <v>7.0000000000000007E-2</v>
      </c>
      <c r="K9" s="134">
        <v>194.58</v>
      </c>
      <c r="L9" s="134">
        <v>25.12</v>
      </c>
      <c r="M9" s="134">
        <v>94.49</v>
      </c>
      <c r="N9" s="134">
        <v>0</v>
      </c>
      <c r="O9" s="134">
        <v>0</v>
      </c>
      <c r="P9" s="134">
        <v>0.45</v>
      </c>
      <c r="Q9" s="134">
        <v>5.48</v>
      </c>
    </row>
    <row r="10" spans="1:21" customFormat="1">
      <c r="A10" s="112" t="s">
        <v>1776</v>
      </c>
      <c r="B10" s="134">
        <v>12.44</v>
      </c>
      <c r="C10" s="134">
        <v>17.46</v>
      </c>
      <c r="D10" s="134">
        <v>20.45</v>
      </c>
      <c r="E10" s="134">
        <v>8.4700000000000006</v>
      </c>
      <c r="F10" s="134">
        <v>5.56</v>
      </c>
      <c r="G10" s="134">
        <v>15.73</v>
      </c>
      <c r="H10" s="134">
        <v>4.71</v>
      </c>
      <c r="I10" s="134">
        <v>4.09</v>
      </c>
      <c r="J10" s="134">
        <v>0.1</v>
      </c>
      <c r="K10" s="134">
        <v>178.29</v>
      </c>
      <c r="L10" s="134">
        <v>25.11</v>
      </c>
      <c r="M10" s="134">
        <v>95.53</v>
      </c>
      <c r="N10" s="134">
        <v>0</v>
      </c>
      <c r="O10" s="134">
        <v>0</v>
      </c>
      <c r="P10" s="134">
        <v>0.44</v>
      </c>
      <c r="Q10" s="134">
        <v>5.52</v>
      </c>
    </row>
    <row r="11" spans="1:21" customFormat="1">
      <c r="A11" s="112" t="s">
        <v>1777</v>
      </c>
      <c r="B11" s="134">
        <v>12.97</v>
      </c>
      <c r="C11" s="134">
        <v>18.100000000000001</v>
      </c>
      <c r="D11" s="134">
        <v>21.21</v>
      </c>
      <c r="E11" s="134">
        <v>8.6</v>
      </c>
      <c r="F11" s="134">
        <v>5.01</v>
      </c>
      <c r="G11" s="134">
        <v>15.75</v>
      </c>
      <c r="H11" s="134">
        <v>4.71</v>
      </c>
      <c r="I11" s="134">
        <v>4.16</v>
      </c>
      <c r="J11" s="134">
        <v>0.15</v>
      </c>
      <c r="K11" s="134">
        <v>253.63</v>
      </c>
      <c r="L11" s="134">
        <v>25.05</v>
      </c>
      <c r="M11" s="134">
        <v>94.48</v>
      </c>
      <c r="N11" s="134">
        <v>0</v>
      </c>
      <c r="O11" s="134">
        <v>0</v>
      </c>
      <c r="P11" s="134">
        <v>0.44</v>
      </c>
      <c r="Q11" s="134">
        <v>5.49</v>
      </c>
    </row>
    <row r="12" spans="1:21" customFormat="1">
      <c r="A12" s="112" t="s">
        <v>1778</v>
      </c>
      <c r="B12" s="134">
        <v>13.5</v>
      </c>
      <c r="C12" s="134">
        <v>20.07</v>
      </c>
      <c r="D12" s="134">
        <v>22.67</v>
      </c>
      <c r="E12" s="134">
        <v>8.86</v>
      </c>
      <c r="F12" s="134">
        <v>4.03</v>
      </c>
      <c r="G12" s="134">
        <v>15.75</v>
      </c>
      <c r="H12" s="134">
        <v>4.71</v>
      </c>
      <c r="I12" s="134">
        <v>3.91</v>
      </c>
      <c r="J12" s="134">
        <v>0.06</v>
      </c>
      <c r="K12" s="134">
        <v>193.51</v>
      </c>
      <c r="L12" s="134">
        <v>25.14</v>
      </c>
      <c r="M12" s="134">
        <v>94.24</v>
      </c>
      <c r="N12" s="134">
        <v>0</v>
      </c>
      <c r="O12" s="134">
        <v>0</v>
      </c>
      <c r="P12" s="134">
        <v>0.45</v>
      </c>
      <c r="Q12" s="134">
        <v>5.47</v>
      </c>
    </row>
    <row r="13" spans="1:21" customFormat="1">
      <c r="A13" s="112" t="s">
        <v>1779</v>
      </c>
      <c r="B13" s="134">
        <v>13.66</v>
      </c>
      <c r="C13" s="134">
        <v>18.77</v>
      </c>
      <c r="D13" s="134">
        <v>22.11</v>
      </c>
      <c r="E13" s="134">
        <v>9.01</v>
      </c>
      <c r="F13" s="134">
        <v>4.8</v>
      </c>
      <c r="G13" s="134">
        <v>15.75</v>
      </c>
      <c r="H13" s="134">
        <v>4.71</v>
      </c>
      <c r="I13" s="134">
        <v>4.17</v>
      </c>
      <c r="J13" s="134">
        <v>0.1</v>
      </c>
      <c r="K13" s="134">
        <v>176.71</v>
      </c>
      <c r="L13" s="134">
        <v>24.89</v>
      </c>
      <c r="M13" s="134">
        <v>94.88</v>
      </c>
      <c r="N13" s="134">
        <v>0</v>
      </c>
      <c r="O13" s="134">
        <v>0</v>
      </c>
      <c r="P13" s="134">
        <v>0.44</v>
      </c>
      <c r="Q13" s="134">
        <v>5.5</v>
      </c>
    </row>
    <row r="14" spans="1:21" customFormat="1">
      <c r="A14" s="112" t="s">
        <v>1780</v>
      </c>
      <c r="B14" s="134">
        <v>13.42</v>
      </c>
      <c r="C14" s="134">
        <v>18.05</v>
      </c>
      <c r="D14" s="134">
        <v>21.55</v>
      </c>
      <c r="E14" s="134">
        <v>8.4499999999999993</v>
      </c>
      <c r="F14" s="134">
        <v>5.07</v>
      </c>
      <c r="G14" s="134">
        <v>15.6</v>
      </c>
      <c r="H14" s="134">
        <v>3.59</v>
      </c>
      <c r="I14" s="134">
        <v>4.18</v>
      </c>
      <c r="J14" s="134">
        <v>0.13</v>
      </c>
      <c r="K14" s="134">
        <v>157.87</v>
      </c>
      <c r="L14" s="134">
        <v>24.93</v>
      </c>
      <c r="M14" s="134">
        <v>94.7</v>
      </c>
      <c r="N14" s="134">
        <v>0</v>
      </c>
      <c r="O14" s="134">
        <v>0</v>
      </c>
      <c r="P14" s="134">
        <v>0.42</v>
      </c>
      <c r="Q14" s="134">
        <v>5.48</v>
      </c>
    </row>
    <row r="15" spans="1:21" customFormat="1">
      <c r="A15" s="112" t="s">
        <v>1781</v>
      </c>
      <c r="B15" s="134">
        <v>13.7</v>
      </c>
      <c r="C15" s="134">
        <v>19.61</v>
      </c>
      <c r="D15" s="134">
        <v>22.58</v>
      </c>
      <c r="E15" s="134">
        <v>8.8000000000000007</v>
      </c>
      <c r="F15" s="134">
        <v>4.37</v>
      </c>
      <c r="G15" s="134">
        <v>15.57</v>
      </c>
      <c r="H15" s="134">
        <v>3.59</v>
      </c>
      <c r="I15" s="134">
        <v>4.0199999999999996</v>
      </c>
      <c r="J15" s="134">
        <v>0.06</v>
      </c>
      <c r="K15" s="134">
        <v>192.22</v>
      </c>
      <c r="L15" s="134">
        <v>24.76</v>
      </c>
      <c r="M15" s="134">
        <v>95.57</v>
      </c>
      <c r="N15" s="134">
        <v>0</v>
      </c>
      <c r="O15" s="134">
        <v>0</v>
      </c>
      <c r="P15" s="134">
        <v>0.45</v>
      </c>
      <c r="Q15" s="134">
        <v>5.45</v>
      </c>
    </row>
    <row r="16" spans="1:21" customFormat="1">
      <c r="A16" s="112" t="s">
        <v>1782</v>
      </c>
      <c r="B16" s="134">
        <v>13.83</v>
      </c>
      <c r="C16" s="134">
        <v>18.649999999999999</v>
      </c>
      <c r="D16" s="134">
        <v>22.19</v>
      </c>
      <c r="E16" s="134">
        <v>8.8800000000000008</v>
      </c>
      <c r="F16" s="134">
        <v>4.67</v>
      </c>
      <c r="G16" s="134">
        <v>15.57</v>
      </c>
      <c r="H16" s="134">
        <v>3.59</v>
      </c>
      <c r="I16" s="134">
        <v>4.03</v>
      </c>
      <c r="J16" s="134">
        <v>7.0000000000000007E-2</v>
      </c>
      <c r="K16" s="134">
        <v>208.92</v>
      </c>
      <c r="L16" s="134">
        <v>24.66</v>
      </c>
      <c r="M16" s="134">
        <v>96.04</v>
      </c>
      <c r="N16" s="134">
        <v>0</v>
      </c>
      <c r="O16" s="134">
        <v>0</v>
      </c>
      <c r="P16" s="134">
        <v>0.44</v>
      </c>
      <c r="Q16" s="134">
        <v>5.48</v>
      </c>
    </row>
    <row r="17" spans="1:17" customFormat="1">
      <c r="A17" s="112" t="s">
        <v>1783</v>
      </c>
      <c r="B17" s="134">
        <v>13.69</v>
      </c>
      <c r="C17" s="134">
        <v>18.45</v>
      </c>
      <c r="D17" s="134">
        <v>21.97</v>
      </c>
      <c r="E17" s="134">
        <v>6.79</v>
      </c>
      <c r="F17" s="134">
        <v>4.6399999999999997</v>
      </c>
      <c r="G17" s="134">
        <v>15.57</v>
      </c>
      <c r="H17" s="134">
        <v>3.59</v>
      </c>
      <c r="I17" s="134">
        <v>4.07</v>
      </c>
      <c r="J17" s="134">
        <v>0.09</v>
      </c>
      <c r="K17" s="134">
        <v>200.09</v>
      </c>
      <c r="L17" s="134">
        <v>24.61</v>
      </c>
      <c r="M17" s="134">
        <v>96.38</v>
      </c>
      <c r="N17" s="134">
        <v>0</v>
      </c>
      <c r="O17" s="134">
        <v>0</v>
      </c>
      <c r="P17" s="134">
        <v>0.43</v>
      </c>
      <c r="Q17" s="134">
        <v>5.45</v>
      </c>
    </row>
    <row r="18" spans="1:17" customFormat="1">
      <c r="A18" s="112" t="s">
        <v>1784</v>
      </c>
      <c r="B18" s="134">
        <v>13.83</v>
      </c>
      <c r="C18" s="134">
        <v>19.71</v>
      </c>
      <c r="D18" s="134">
        <v>22.74</v>
      </c>
      <c r="E18" s="134">
        <v>7.87</v>
      </c>
      <c r="F18" s="134">
        <v>4</v>
      </c>
      <c r="G18" s="134">
        <v>11.85</v>
      </c>
      <c r="H18" s="134">
        <v>2.68</v>
      </c>
      <c r="I18" s="134">
        <v>3.97</v>
      </c>
      <c r="J18" s="134">
        <v>0.04</v>
      </c>
      <c r="K18" s="134">
        <v>163.36000000000001</v>
      </c>
      <c r="L18" s="134">
        <v>24.56</v>
      </c>
      <c r="M18" s="134">
        <v>96.74</v>
      </c>
      <c r="N18" s="134">
        <v>0</v>
      </c>
      <c r="O18" s="134">
        <v>0</v>
      </c>
      <c r="P18" s="134">
        <v>0.45</v>
      </c>
      <c r="Q18" s="134">
        <v>5.46</v>
      </c>
    </row>
    <row r="19" spans="1:17" customFormat="1">
      <c r="A19" s="112" t="s">
        <v>1785</v>
      </c>
      <c r="B19" s="134">
        <v>14.14</v>
      </c>
      <c r="C19" s="134">
        <v>18.899999999999999</v>
      </c>
      <c r="D19" s="134">
        <v>22.56</v>
      </c>
      <c r="E19" s="134">
        <v>8.0500000000000007</v>
      </c>
      <c r="F19" s="134">
        <v>4.47</v>
      </c>
      <c r="G19" s="134">
        <v>11.22</v>
      </c>
      <c r="H19" s="134">
        <v>2.68</v>
      </c>
      <c r="I19" s="134">
        <v>3.99</v>
      </c>
      <c r="J19" s="134">
        <v>0.18</v>
      </c>
      <c r="K19" s="134">
        <v>163.69999999999999</v>
      </c>
      <c r="L19" s="134">
        <v>24.79</v>
      </c>
      <c r="M19" s="134">
        <v>96.93</v>
      </c>
      <c r="N19" s="134">
        <v>0</v>
      </c>
      <c r="O19" s="134">
        <v>0</v>
      </c>
      <c r="P19" s="134">
        <v>0.43</v>
      </c>
      <c r="Q19" s="134">
        <v>5.49</v>
      </c>
    </row>
    <row r="20" spans="1:17" customFormat="1">
      <c r="A20" s="112" t="s">
        <v>1786</v>
      </c>
      <c r="B20" s="134">
        <v>14.29</v>
      </c>
      <c r="C20" s="134">
        <v>19.39</v>
      </c>
      <c r="D20" s="134">
        <v>22.94</v>
      </c>
      <c r="E20" s="134">
        <v>8.08</v>
      </c>
      <c r="F20" s="134">
        <v>4.0199999999999996</v>
      </c>
      <c r="G20" s="134">
        <v>11.22</v>
      </c>
      <c r="H20" s="134">
        <v>2.68</v>
      </c>
      <c r="I20" s="134">
        <v>4.01</v>
      </c>
      <c r="J20" s="134">
        <v>0.05</v>
      </c>
      <c r="K20" s="134">
        <v>236.83</v>
      </c>
      <c r="L20" s="134">
        <v>24.66</v>
      </c>
      <c r="M20" s="134">
        <v>97.1</v>
      </c>
      <c r="N20" s="134">
        <v>0</v>
      </c>
      <c r="O20" s="134">
        <v>0</v>
      </c>
      <c r="P20" s="134">
        <v>0.44</v>
      </c>
      <c r="Q20" s="134">
        <v>5.47</v>
      </c>
    </row>
    <row r="21" spans="1:17" customFormat="1">
      <c r="A21" s="112" t="s">
        <v>1787</v>
      </c>
      <c r="B21" s="134">
        <v>14.51</v>
      </c>
      <c r="C21" s="134">
        <v>19.829999999999998</v>
      </c>
      <c r="D21" s="134">
        <v>23.35</v>
      </c>
      <c r="E21" s="134">
        <v>7.57</v>
      </c>
      <c r="F21" s="134">
        <v>4.08</v>
      </c>
      <c r="G21" s="134">
        <v>11.22</v>
      </c>
      <c r="H21" s="134">
        <v>2.68</v>
      </c>
      <c r="I21" s="134">
        <v>3.95</v>
      </c>
      <c r="J21" s="134">
        <v>7.0000000000000007E-2</v>
      </c>
      <c r="K21" s="134">
        <v>204.18</v>
      </c>
      <c r="L21" s="134">
        <v>24.55</v>
      </c>
      <c r="M21" s="134">
        <v>97.58</v>
      </c>
      <c r="N21" s="134">
        <v>0</v>
      </c>
      <c r="O21" s="134">
        <v>0</v>
      </c>
      <c r="P21" s="134">
        <v>0.44</v>
      </c>
      <c r="Q21" s="134">
        <v>5.53</v>
      </c>
    </row>
    <row r="22" spans="1:17" customFormat="1">
      <c r="A22" s="112" t="s">
        <v>1788</v>
      </c>
      <c r="B22" s="134">
        <v>14.31</v>
      </c>
      <c r="C22" s="134">
        <v>18.12</v>
      </c>
      <c r="D22" s="134">
        <v>22.3</v>
      </c>
      <c r="E22" s="134">
        <v>7.55</v>
      </c>
      <c r="F22" s="134">
        <v>4.8</v>
      </c>
      <c r="G22" s="134">
        <v>11.25</v>
      </c>
      <c r="H22" s="134">
        <v>2.38</v>
      </c>
      <c r="I22" s="134">
        <v>4.0199999999999996</v>
      </c>
      <c r="J22" s="134">
        <v>0.09</v>
      </c>
      <c r="K22" s="134">
        <v>169.42</v>
      </c>
      <c r="L22" s="134">
        <v>24.43</v>
      </c>
      <c r="M22" s="134">
        <v>97.81</v>
      </c>
      <c r="N22" s="134">
        <v>0</v>
      </c>
      <c r="O22" s="134">
        <v>0</v>
      </c>
      <c r="P22" s="134">
        <v>0.42</v>
      </c>
      <c r="Q22" s="134">
        <v>5.53</v>
      </c>
    </row>
    <row r="23" spans="1:17" customFormat="1">
      <c r="A23" s="112" t="s">
        <v>1789</v>
      </c>
      <c r="B23" s="134">
        <v>14.6</v>
      </c>
      <c r="C23" s="134">
        <v>19.809999999999999</v>
      </c>
      <c r="D23" s="134">
        <v>23.41</v>
      </c>
      <c r="E23" s="134">
        <v>7.94</v>
      </c>
      <c r="F23" s="134">
        <v>3.97</v>
      </c>
      <c r="G23" s="134">
        <v>11.26</v>
      </c>
      <c r="H23" s="134">
        <v>2.38</v>
      </c>
      <c r="I23" s="134">
        <v>3.93</v>
      </c>
      <c r="J23" s="134">
        <v>0.05</v>
      </c>
      <c r="K23" s="134">
        <v>224.55</v>
      </c>
      <c r="L23" s="134">
        <v>24.45</v>
      </c>
      <c r="M23" s="134">
        <v>97.99</v>
      </c>
      <c r="N23" s="134">
        <v>0</v>
      </c>
      <c r="O23" s="134">
        <v>0</v>
      </c>
      <c r="P23" s="134">
        <v>0.44</v>
      </c>
      <c r="Q23" s="134">
        <v>5.51</v>
      </c>
    </row>
    <row r="24" spans="1:17" customFormat="1">
      <c r="A24" s="112" t="s">
        <v>1790</v>
      </c>
      <c r="B24" s="134">
        <v>14.93</v>
      </c>
      <c r="C24" s="134">
        <v>19.899999999999999</v>
      </c>
      <c r="D24" s="134">
        <v>23.72</v>
      </c>
      <c r="E24" s="134">
        <v>8.2200000000000006</v>
      </c>
      <c r="F24" s="134">
        <v>4.18</v>
      </c>
      <c r="G24" s="134">
        <v>11.26</v>
      </c>
      <c r="H24" s="134">
        <v>2.38</v>
      </c>
      <c r="I24" s="134">
        <v>3.83</v>
      </c>
      <c r="J24" s="134">
        <v>0.11</v>
      </c>
      <c r="K24" s="134">
        <v>168.39</v>
      </c>
      <c r="L24" s="134">
        <v>24.41</v>
      </c>
      <c r="M24" s="134">
        <v>98.14</v>
      </c>
      <c r="N24" s="134">
        <v>0</v>
      </c>
      <c r="O24" s="134">
        <v>0</v>
      </c>
      <c r="P24" s="134">
        <v>0.44</v>
      </c>
      <c r="Q24" s="134">
        <v>5.52</v>
      </c>
    </row>
    <row r="25" spans="1:17" customFormat="1">
      <c r="A25" s="112" t="s">
        <v>1791</v>
      </c>
      <c r="B25" s="134">
        <v>15.02</v>
      </c>
      <c r="C25" s="134">
        <v>18.46</v>
      </c>
      <c r="D25" s="134">
        <v>23.04</v>
      </c>
      <c r="E25" s="134">
        <v>7.67</v>
      </c>
      <c r="F25" s="134">
        <v>4.72</v>
      </c>
      <c r="G25" s="134">
        <v>11.26</v>
      </c>
      <c r="H25" s="134">
        <v>2.38</v>
      </c>
      <c r="I25" s="134">
        <v>3.98</v>
      </c>
      <c r="J25" s="134">
        <v>7.0000000000000007E-2</v>
      </c>
      <c r="K25" s="134">
        <v>184.91</v>
      </c>
      <c r="L25" s="134">
        <v>24.39</v>
      </c>
      <c r="M25" s="134">
        <v>98.21</v>
      </c>
      <c r="N25" s="134">
        <v>0</v>
      </c>
      <c r="O25" s="134">
        <v>0</v>
      </c>
      <c r="P25" s="134">
        <v>0.43</v>
      </c>
      <c r="Q25" s="134">
        <v>5.55</v>
      </c>
    </row>
    <row r="26" spans="1:17" customFormat="1">
      <c r="A26" s="112" t="s">
        <v>1792</v>
      </c>
      <c r="B26" s="134">
        <v>14.91</v>
      </c>
      <c r="C26" s="134">
        <v>19.64</v>
      </c>
      <c r="D26" s="134">
        <v>23.57</v>
      </c>
      <c r="E26" s="134">
        <v>7.7</v>
      </c>
      <c r="F26" s="134">
        <v>4.13</v>
      </c>
      <c r="G26" s="134">
        <v>10.26</v>
      </c>
      <c r="H26" s="134">
        <v>5.03</v>
      </c>
      <c r="I26" s="134">
        <v>3.91</v>
      </c>
      <c r="J26" s="134">
        <v>7.0000000000000007E-2</v>
      </c>
      <c r="K26" s="134">
        <v>211.99</v>
      </c>
      <c r="L26" s="134">
        <v>24.38</v>
      </c>
      <c r="M26" s="134">
        <v>98.25</v>
      </c>
      <c r="N26" s="134">
        <v>0</v>
      </c>
      <c r="O26" s="134">
        <v>0</v>
      </c>
      <c r="P26" s="134">
        <v>0.44</v>
      </c>
      <c r="Q26" s="134">
        <v>5.5</v>
      </c>
    </row>
    <row r="27" spans="1:17" customFormat="1">
      <c r="A27" s="112" t="s">
        <v>1793</v>
      </c>
      <c r="B27" s="134">
        <v>15.24</v>
      </c>
      <c r="C27" s="134">
        <v>20.27</v>
      </c>
      <c r="D27" s="134">
        <v>24.16</v>
      </c>
      <c r="E27" s="134">
        <v>8.2899999999999991</v>
      </c>
      <c r="F27" s="134">
        <v>3.96</v>
      </c>
      <c r="G27" s="134">
        <v>10.08</v>
      </c>
      <c r="H27" s="134">
        <v>5.03</v>
      </c>
      <c r="I27" s="134">
        <v>3.82</v>
      </c>
      <c r="J27" s="134">
        <v>0.04</v>
      </c>
      <c r="K27" s="134">
        <v>183.91</v>
      </c>
      <c r="L27" s="134">
        <v>24.33</v>
      </c>
      <c r="M27" s="134">
        <v>98.3</v>
      </c>
      <c r="N27" s="134">
        <v>0</v>
      </c>
      <c r="O27" s="134">
        <v>0</v>
      </c>
      <c r="P27" s="134">
        <v>0.45</v>
      </c>
      <c r="Q27" s="134">
        <v>5.54</v>
      </c>
    </row>
    <row r="28" spans="1:17" customFormat="1">
      <c r="A28" s="112" t="s">
        <v>1794</v>
      </c>
      <c r="B28" s="134">
        <v>15.52</v>
      </c>
      <c r="C28" s="134">
        <v>18.8</v>
      </c>
      <c r="D28" s="134">
        <v>23.62</v>
      </c>
      <c r="E28" s="134">
        <v>8.01</v>
      </c>
      <c r="F28" s="134">
        <v>4.6500000000000004</v>
      </c>
      <c r="G28" s="134">
        <v>10.08</v>
      </c>
      <c r="H28" s="134">
        <v>5.03</v>
      </c>
      <c r="I28" s="134">
        <v>3.92</v>
      </c>
      <c r="J28" s="134">
        <v>0.08</v>
      </c>
      <c r="K28" s="134">
        <v>142.84</v>
      </c>
      <c r="L28" s="134">
        <v>24.32</v>
      </c>
      <c r="M28" s="134">
        <v>98.24</v>
      </c>
      <c r="N28" s="134">
        <v>0</v>
      </c>
      <c r="O28" s="134">
        <v>0</v>
      </c>
      <c r="P28" s="134">
        <v>0.42</v>
      </c>
      <c r="Q28" s="134">
        <v>5.55</v>
      </c>
    </row>
    <row r="29" spans="1:17" customFormat="1">
      <c r="A29" s="112" t="s">
        <v>1795</v>
      </c>
      <c r="B29" s="134">
        <v>15.5</v>
      </c>
      <c r="C29" s="134">
        <v>19.36</v>
      </c>
      <c r="D29" s="134">
        <v>23.89</v>
      </c>
      <c r="E29" s="134">
        <v>7.61</v>
      </c>
      <c r="F29" s="134">
        <v>4.25</v>
      </c>
      <c r="G29" s="134">
        <v>10.08</v>
      </c>
      <c r="H29" s="134">
        <v>5.03</v>
      </c>
      <c r="I29" s="134">
        <v>3.9</v>
      </c>
      <c r="J29" s="134">
        <v>0.05</v>
      </c>
      <c r="K29" s="134">
        <v>149.32</v>
      </c>
      <c r="L29" s="134">
        <v>24.25</v>
      </c>
      <c r="M29" s="134">
        <v>98.28</v>
      </c>
      <c r="N29" s="134">
        <v>0</v>
      </c>
      <c r="O29" s="134">
        <v>0</v>
      </c>
      <c r="P29" s="134">
        <v>0.43</v>
      </c>
      <c r="Q29" s="134">
        <v>5.56</v>
      </c>
    </row>
    <row r="30" spans="1:17" customFormat="1">
      <c r="A30" s="112" t="s">
        <v>1796</v>
      </c>
      <c r="B30" s="134">
        <v>15.71</v>
      </c>
      <c r="C30" s="134">
        <v>20.13</v>
      </c>
      <c r="D30" s="134">
        <v>24.47</v>
      </c>
      <c r="E30" s="134">
        <v>8.24</v>
      </c>
      <c r="F30" s="134">
        <v>3.95</v>
      </c>
      <c r="G30" s="134">
        <v>9.76</v>
      </c>
      <c r="H30" s="134">
        <v>4.71</v>
      </c>
      <c r="I30" s="134">
        <v>3.81</v>
      </c>
      <c r="J30" s="134">
        <v>0.05</v>
      </c>
      <c r="K30" s="134">
        <v>215.13</v>
      </c>
      <c r="L30" s="134">
        <v>24.23</v>
      </c>
      <c r="M30" s="134">
        <v>98.37</v>
      </c>
      <c r="N30" s="134">
        <v>0</v>
      </c>
      <c r="O30" s="134">
        <v>0</v>
      </c>
      <c r="P30" s="134">
        <v>0.44</v>
      </c>
      <c r="Q30" s="134">
        <v>5.57</v>
      </c>
    </row>
    <row r="31" spans="1:17" customFormat="1">
      <c r="A31" s="112" t="s">
        <v>1797</v>
      </c>
      <c r="B31" s="134">
        <v>15.98</v>
      </c>
      <c r="C31" s="134">
        <v>19.14</v>
      </c>
      <c r="D31" s="134">
        <v>24.17</v>
      </c>
      <c r="E31" s="134">
        <v>8.42</v>
      </c>
      <c r="F31" s="134">
        <v>4.5</v>
      </c>
      <c r="G31" s="134">
        <v>9.6999999999999993</v>
      </c>
      <c r="H31" s="134">
        <v>4.71</v>
      </c>
      <c r="I31" s="134">
        <v>3.89</v>
      </c>
      <c r="J31" s="134">
        <v>0.04</v>
      </c>
      <c r="K31" s="134">
        <v>181.37</v>
      </c>
      <c r="L31" s="134">
        <v>24.2</v>
      </c>
      <c r="M31" s="134">
        <v>98.47</v>
      </c>
      <c r="N31" s="134">
        <v>0</v>
      </c>
      <c r="O31" s="134">
        <v>0</v>
      </c>
      <c r="P31" s="134">
        <v>0.43</v>
      </c>
      <c r="Q31" s="134">
        <v>5.59</v>
      </c>
    </row>
    <row r="32" spans="1:17" customFormat="1">
      <c r="A32" s="112" t="s">
        <v>1798</v>
      </c>
      <c r="B32" s="134">
        <v>15.85</v>
      </c>
      <c r="C32" s="134">
        <v>20.56</v>
      </c>
      <c r="D32" s="134">
        <v>24.81</v>
      </c>
      <c r="E32" s="134">
        <v>8.73</v>
      </c>
      <c r="F32" s="134">
        <v>3.9</v>
      </c>
      <c r="G32" s="134">
        <v>9.6999999999999993</v>
      </c>
      <c r="H32" s="134">
        <v>4.71</v>
      </c>
      <c r="I32" s="134">
        <v>3.85</v>
      </c>
      <c r="J32" s="134">
        <v>7.0000000000000007E-2</v>
      </c>
      <c r="K32" s="134">
        <v>277.08</v>
      </c>
      <c r="L32" s="134">
        <v>24.22</v>
      </c>
      <c r="M32" s="134">
        <v>98.6</v>
      </c>
      <c r="N32" s="134">
        <v>0.2</v>
      </c>
      <c r="O32" s="134">
        <v>0</v>
      </c>
      <c r="P32" s="134">
        <v>0.44</v>
      </c>
      <c r="Q32" s="134">
        <v>5.56</v>
      </c>
    </row>
    <row r="33" spans="1:17" customFormat="1">
      <c r="A33" s="112" t="s">
        <v>1799</v>
      </c>
      <c r="B33" s="134">
        <v>16.100000000000001</v>
      </c>
      <c r="C33" s="134">
        <v>20.14</v>
      </c>
      <c r="D33" s="134">
        <v>24.78</v>
      </c>
      <c r="E33" s="134">
        <v>8.43</v>
      </c>
      <c r="F33" s="134">
        <v>4.25</v>
      </c>
      <c r="G33" s="134">
        <v>9.6999999999999993</v>
      </c>
      <c r="H33" s="134">
        <v>4.71</v>
      </c>
      <c r="I33" s="134">
        <v>3.81</v>
      </c>
      <c r="J33" s="134">
        <v>7.0000000000000007E-2</v>
      </c>
      <c r="K33" s="134">
        <v>186.66</v>
      </c>
      <c r="L33" s="134">
        <v>24.34</v>
      </c>
      <c r="M33" s="134">
        <v>98.82</v>
      </c>
      <c r="N33" s="134">
        <v>8.1999999999999993</v>
      </c>
      <c r="O33" s="134">
        <v>0</v>
      </c>
      <c r="P33" s="134">
        <v>0.44</v>
      </c>
      <c r="Q33" s="134">
        <v>5.6</v>
      </c>
    </row>
    <row r="34" spans="1:17" customFormat="1">
      <c r="A34" s="112" t="s">
        <v>1800</v>
      </c>
      <c r="B34" s="134">
        <v>16.29</v>
      </c>
      <c r="C34" s="134">
        <v>20.14</v>
      </c>
      <c r="D34" s="134">
        <v>24.94</v>
      </c>
      <c r="E34" s="134">
        <v>7.99</v>
      </c>
      <c r="F34" s="134">
        <v>3.96</v>
      </c>
      <c r="G34" s="134">
        <v>11.66</v>
      </c>
      <c r="H34" s="134">
        <v>3.51</v>
      </c>
      <c r="I34" s="134">
        <v>3.87</v>
      </c>
      <c r="J34" s="134">
        <v>0.06</v>
      </c>
      <c r="K34" s="134">
        <v>195.03</v>
      </c>
      <c r="L34" s="134">
        <v>24.54</v>
      </c>
      <c r="M34" s="134">
        <v>98.41</v>
      </c>
      <c r="N34" s="134">
        <v>16.8</v>
      </c>
      <c r="O34" s="134">
        <v>0</v>
      </c>
      <c r="P34" s="134">
        <v>0.45</v>
      </c>
      <c r="Q34" s="134">
        <v>5.59</v>
      </c>
    </row>
    <row r="35" spans="1:17" customFormat="1">
      <c r="A35" s="112" t="s">
        <v>1801</v>
      </c>
      <c r="B35" s="134">
        <v>16.41</v>
      </c>
      <c r="C35" s="134">
        <v>19.940000000000001</v>
      </c>
      <c r="D35" s="134">
        <v>24.93</v>
      </c>
      <c r="E35" s="134">
        <v>8.17</v>
      </c>
      <c r="F35" s="134">
        <v>4.3899999999999997</v>
      </c>
      <c r="G35" s="134">
        <v>11.99</v>
      </c>
      <c r="H35" s="134">
        <v>3.51</v>
      </c>
      <c r="I35" s="134">
        <v>3.83</v>
      </c>
      <c r="J35" s="134">
        <v>0.25</v>
      </c>
      <c r="K35" s="134">
        <v>256.2</v>
      </c>
      <c r="L35" s="134">
        <v>24.78</v>
      </c>
      <c r="M35" s="134">
        <v>98.1</v>
      </c>
      <c r="N35" s="134">
        <v>28</v>
      </c>
      <c r="O35" s="134">
        <v>0</v>
      </c>
      <c r="P35" s="134">
        <v>0.44</v>
      </c>
      <c r="Q35" s="134">
        <v>5.62</v>
      </c>
    </row>
    <row r="36" spans="1:17" customFormat="1">
      <c r="A36" s="112" t="s">
        <v>1802</v>
      </c>
      <c r="B36" s="134">
        <v>16.39</v>
      </c>
      <c r="C36" s="134">
        <v>19.13</v>
      </c>
      <c r="D36" s="134">
        <v>24.49</v>
      </c>
      <c r="E36" s="134">
        <v>7.72</v>
      </c>
      <c r="F36" s="134">
        <v>4.53</v>
      </c>
      <c r="G36" s="134">
        <v>11.99</v>
      </c>
      <c r="H36" s="134">
        <v>3.51</v>
      </c>
      <c r="I36" s="134">
        <v>3.87</v>
      </c>
      <c r="J36" s="134">
        <v>0.28999999999999998</v>
      </c>
      <c r="K36" s="134">
        <v>255.52</v>
      </c>
      <c r="L36" s="134">
        <v>25.08</v>
      </c>
      <c r="M36" s="134">
        <v>96.88</v>
      </c>
      <c r="N36" s="134">
        <v>33.1</v>
      </c>
      <c r="O36" s="134">
        <v>0</v>
      </c>
      <c r="P36" s="134">
        <v>0.42</v>
      </c>
      <c r="Q36" s="134">
        <v>5.6</v>
      </c>
    </row>
    <row r="37" spans="1:17" customFormat="1">
      <c r="A37" s="112" t="s">
        <v>1803</v>
      </c>
      <c r="B37" s="134">
        <v>16.32</v>
      </c>
      <c r="C37" s="134">
        <v>20.54</v>
      </c>
      <c r="D37" s="134">
        <v>25.17</v>
      </c>
      <c r="E37" s="134">
        <v>8.39</v>
      </c>
      <c r="F37" s="134">
        <v>3.83</v>
      </c>
      <c r="G37" s="134">
        <v>11.99</v>
      </c>
      <c r="H37" s="134">
        <v>3.51</v>
      </c>
      <c r="I37" s="134">
        <v>3.81</v>
      </c>
      <c r="J37" s="134">
        <v>0.27</v>
      </c>
      <c r="K37" s="134">
        <v>258.45999999999998</v>
      </c>
      <c r="L37" s="134">
        <v>25.5</v>
      </c>
      <c r="M37" s="134">
        <v>94.25</v>
      </c>
      <c r="N37" s="134">
        <v>41.7</v>
      </c>
      <c r="O37" s="134">
        <v>0</v>
      </c>
      <c r="P37" s="134">
        <v>0.44</v>
      </c>
      <c r="Q37" s="134">
        <v>5.57</v>
      </c>
    </row>
    <row r="38" spans="1:17" customFormat="1">
      <c r="A38" s="112" t="s">
        <v>1804</v>
      </c>
      <c r="B38" s="134">
        <v>16.329999999999998</v>
      </c>
      <c r="C38" s="134">
        <v>20.07</v>
      </c>
      <c r="D38" s="134">
        <v>24.94</v>
      </c>
      <c r="E38" s="134">
        <v>8.23</v>
      </c>
      <c r="F38" s="134">
        <v>4.26</v>
      </c>
      <c r="G38" s="134">
        <v>10.72</v>
      </c>
      <c r="H38" s="134">
        <v>2.8</v>
      </c>
      <c r="I38" s="134">
        <v>3.75</v>
      </c>
      <c r="J38" s="134">
        <v>0.19</v>
      </c>
      <c r="K38" s="134">
        <v>233.42</v>
      </c>
      <c r="L38" s="134">
        <v>25.95</v>
      </c>
      <c r="M38" s="134">
        <v>91.22</v>
      </c>
      <c r="N38" s="134">
        <v>98.4</v>
      </c>
      <c r="O38" s="134">
        <v>0</v>
      </c>
      <c r="P38" s="134">
        <v>0.44</v>
      </c>
      <c r="Q38" s="134">
        <v>5.62</v>
      </c>
    </row>
    <row r="39" spans="1:17" customFormat="1">
      <c r="A39" s="112" t="s">
        <v>1805</v>
      </c>
      <c r="B39" s="134">
        <v>16.25</v>
      </c>
      <c r="C39" s="134">
        <v>19.09</v>
      </c>
      <c r="D39" s="134">
        <v>24.36</v>
      </c>
      <c r="E39" s="134">
        <v>8.3000000000000007</v>
      </c>
      <c r="F39" s="134">
        <v>4.6900000000000004</v>
      </c>
      <c r="G39" s="134">
        <v>10.5</v>
      </c>
      <c r="H39" s="134">
        <v>2.8</v>
      </c>
      <c r="I39" s="134">
        <v>3.83</v>
      </c>
      <c r="J39" s="134">
        <v>0.33</v>
      </c>
      <c r="K39" s="134">
        <v>257.5</v>
      </c>
      <c r="L39" s="134">
        <v>26.58</v>
      </c>
      <c r="M39" s="134">
        <v>87.26</v>
      </c>
      <c r="N39" s="134">
        <v>238.2</v>
      </c>
      <c r="O39" s="134">
        <v>0</v>
      </c>
      <c r="P39" s="134">
        <v>0.42</v>
      </c>
      <c r="Q39" s="134">
        <v>5.59</v>
      </c>
    </row>
    <row r="40" spans="1:17" customFormat="1">
      <c r="A40" s="112" t="s">
        <v>1806</v>
      </c>
      <c r="B40" s="134">
        <v>15.9</v>
      </c>
      <c r="C40" s="134">
        <v>18.739999999999998</v>
      </c>
      <c r="D40" s="134">
        <v>23.89</v>
      </c>
      <c r="E40" s="134">
        <v>7.48</v>
      </c>
      <c r="F40" s="134">
        <v>4.63</v>
      </c>
      <c r="G40" s="134">
        <v>10.5</v>
      </c>
      <c r="H40" s="134">
        <v>2.8</v>
      </c>
      <c r="I40" s="134">
        <v>3.76</v>
      </c>
      <c r="J40" s="134">
        <v>0.26</v>
      </c>
      <c r="K40" s="134">
        <v>248.92</v>
      </c>
      <c r="L40" s="134">
        <v>27.31</v>
      </c>
      <c r="M40" s="134">
        <v>83.95</v>
      </c>
      <c r="N40" s="134">
        <v>169.8</v>
      </c>
      <c r="O40" s="134">
        <v>0</v>
      </c>
      <c r="P40" s="134">
        <v>0.4</v>
      </c>
      <c r="Q40" s="134">
        <v>5.56</v>
      </c>
    </row>
    <row r="41" spans="1:17" customFormat="1">
      <c r="A41" s="112" t="s">
        <v>1807</v>
      </c>
      <c r="B41" s="134">
        <v>15.46</v>
      </c>
      <c r="C41" s="134">
        <v>18.73</v>
      </c>
      <c r="D41" s="134">
        <v>23.54</v>
      </c>
      <c r="E41" s="134">
        <v>7.5</v>
      </c>
      <c r="F41" s="134">
        <v>4.68</v>
      </c>
      <c r="G41" s="134">
        <v>10.5</v>
      </c>
      <c r="H41" s="134">
        <v>2.8</v>
      </c>
      <c r="I41" s="134">
        <v>3.71</v>
      </c>
      <c r="J41" s="134">
        <v>0.44</v>
      </c>
      <c r="K41" s="134">
        <v>262.39999999999998</v>
      </c>
      <c r="L41" s="134">
        <v>28.05</v>
      </c>
      <c r="M41" s="134">
        <v>81.53</v>
      </c>
      <c r="N41" s="134">
        <v>174.1</v>
      </c>
      <c r="O41" s="134">
        <v>0</v>
      </c>
      <c r="P41" s="134">
        <v>0.4</v>
      </c>
      <c r="Q41" s="134">
        <v>5.54</v>
      </c>
    </row>
    <row r="42" spans="1:17" customFormat="1">
      <c r="A42" s="112" t="s">
        <v>1808</v>
      </c>
      <c r="B42" s="134">
        <v>15.01</v>
      </c>
      <c r="C42" s="134">
        <v>19.059999999999999</v>
      </c>
      <c r="D42" s="134">
        <v>23.35</v>
      </c>
      <c r="E42" s="134">
        <v>7.52</v>
      </c>
      <c r="F42" s="134">
        <v>4.51</v>
      </c>
      <c r="G42" s="134">
        <v>10.26</v>
      </c>
      <c r="H42" s="134">
        <v>3.69</v>
      </c>
      <c r="I42" s="134">
        <v>3.68</v>
      </c>
      <c r="J42" s="134">
        <v>0.44</v>
      </c>
      <c r="K42" s="134">
        <v>261.11</v>
      </c>
      <c r="L42" s="134">
        <v>28.28</v>
      </c>
      <c r="M42" s="134">
        <v>80.28</v>
      </c>
      <c r="N42" s="134">
        <v>146.1</v>
      </c>
      <c r="O42" s="134">
        <v>0</v>
      </c>
      <c r="P42" s="134">
        <v>0.41</v>
      </c>
      <c r="Q42" s="134">
        <v>5.53</v>
      </c>
    </row>
    <row r="43" spans="1:17" customFormat="1">
      <c r="A43" s="112" t="s">
        <v>1809</v>
      </c>
      <c r="B43" s="134">
        <v>14.88</v>
      </c>
      <c r="C43" s="134">
        <v>20.63</v>
      </c>
      <c r="D43" s="134">
        <v>24.06</v>
      </c>
      <c r="E43" s="134">
        <v>7.77</v>
      </c>
      <c r="F43" s="134">
        <v>3.98</v>
      </c>
      <c r="G43" s="134">
        <v>10.220000000000001</v>
      </c>
      <c r="H43" s="134">
        <v>3.69</v>
      </c>
      <c r="I43" s="134">
        <v>3.65</v>
      </c>
      <c r="J43" s="134">
        <v>0.33</v>
      </c>
      <c r="K43" s="134">
        <v>245.15</v>
      </c>
      <c r="L43" s="134">
        <v>28.8</v>
      </c>
      <c r="M43" s="134">
        <v>79.42</v>
      </c>
      <c r="N43" s="134">
        <v>376.3</v>
      </c>
      <c r="O43" s="134">
        <v>0</v>
      </c>
      <c r="P43" s="134">
        <v>0.44</v>
      </c>
      <c r="Q43" s="134">
        <v>5.56</v>
      </c>
    </row>
    <row r="44" spans="1:17" customFormat="1">
      <c r="A44" s="112" t="s">
        <v>1810</v>
      </c>
      <c r="B44" s="134">
        <v>14.75</v>
      </c>
      <c r="C44" s="134">
        <v>20.02</v>
      </c>
      <c r="D44" s="134">
        <v>23.64</v>
      </c>
      <c r="E44" s="134">
        <v>7.68</v>
      </c>
      <c r="F44" s="134">
        <v>4.5199999999999996</v>
      </c>
      <c r="G44" s="134">
        <v>10.220000000000001</v>
      </c>
      <c r="H44" s="134">
        <v>3.69</v>
      </c>
      <c r="I44" s="134">
        <v>3.66</v>
      </c>
      <c r="J44" s="134">
        <v>0.22</v>
      </c>
      <c r="K44" s="134">
        <v>226.87</v>
      </c>
      <c r="L44" s="134">
        <v>29.52</v>
      </c>
      <c r="M44" s="134">
        <v>76.040000000000006</v>
      </c>
      <c r="N44" s="134">
        <v>520.20000000000005</v>
      </c>
      <c r="O44" s="134">
        <v>0</v>
      </c>
      <c r="P44" s="134">
        <v>0.43</v>
      </c>
      <c r="Q44" s="134">
        <v>5.57</v>
      </c>
    </row>
    <row r="45" spans="1:17" customFormat="1">
      <c r="A45" s="112" t="s">
        <v>1811</v>
      </c>
      <c r="B45" s="134">
        <v>14.48</v>
      </c>
      <c r="C45" s="134">
        <v>19.510000000000002</v>
      </c>
      <c r="D45" s="134">
        <v>23.16</v>
      </c>
      <c r="E45" s="134">
        <v>7.7</v>
      </c>
      <c r="F45" s="134">
        <v>4.71</v>
      </c>
      <c r="G45" s="134">
        <v>10.220000000000001</v>
      </c>
      <c r="H45" s="134">
        <v>3.69</v>
      </c>
      <c r="I45" s="134">
        <v>3.69</v>
      </c>
      <c r="J45" s="134">
        <v>0.34</v>
      </c>
      <c r="K45" s="134">
        <v>238.5</v>
      </c>
      <c r="L45" s="134">
        <v>29.72</v>
      </c>
      <c r="M45" s="134">
        <v>74.42</v>
      </c>
      <c r="N45" s="134">
        <v>574.29999999999995</v>
      </c>
      <c r="O45" s="134">
        <v>0</v>
      </c>
      <c r="P45" s="134">
        <v>0.43</v>
      </c>
      <c r="Q45" s="134">
        <v>5.57</v>
      </c>
    </row>
    <row r="46" spans="1:17" customFormat="1">
      <c r="A46" s="112" t="s">
        <v>1812</v>
      </c>
      <c r="B46" s="134">
        <v>14.17</v>
      </c>
      <c r="C46" s="134">
        <v>19.239999999999998</v>
      </c>
      <c r="D46" s="134">
        <v>22.77</v>
      </c>
      <c r="E46" s="134">
        <v>7.65</v>
      </c>
      <c r="F46" s="134">
        <v>4.7699999999999996</v>
      </c>
      <c r="G46" s="134">
        <v>14.11</v>
      </c>
      <c r="H46" s="134">
        <v>4.67</v>
      </c>
      <c r="I46" s="134">
        <v>3.66</v>
      </c>
      <c r="J46" s="134">
        <v>0.33</v>
      </c>
      <c r="K46" s="134">
        <v>264.33999999999997</v>
      </c>
      <c r="L46" s="134">
        <v>30.09</v>
      </c>
      <c r="M46" s="134">
        <v>72.44</v>
      </c>
      <c r="N46" s="134">
        <v>638.20000000000005</v>
      </c>
      <c r="O46" s="134">
        <v>0</v>
      </c>
      <c r="P46" s="134">
        <v>0.43</v>
      </c>
      <c r="Q46" s="134">
        <v>5.56</v>
      </c>
    </row>
    <row r="47" spans="1:17" customFormat="1">
      <c r="A47" s="112" t="s">
        <v>1813</v>
      </c>
      <c r="B47" s="134">
        <v>13.8</v>
      </c>
      <c r="C47" s="134">
        <v>19.16</v>
      </c>
      <c r="D47" s="134">
        <v>22.43</v>
      </c>
      <c r="E47" s="134">
        <v>7.41</v>
      </c>
      <c r="F47" s="134">
        <v>4.9000000000000004</v>
      </c>
      <c r="G47" s="134">
        <v>14.76</v>
      </c>
      <c r="H47" s="134">
        <v>4.67</v>
      </c>
      <c r="I47" s="134">
        <v>3.7</v>
      </c>
      <c r="J47" s="134">
        <v>0.2</v>
      </c>
      <c r="K47" s="134">
        <v>274.26</v>
      </c>
      <c r="L47" s="134">
        <v>30.26</v>
      </c>
      <c r="M47" s="134">
        <v>71.459999999999994</v>
      </c>
      <c r="N47" s="134">
        <v>320.7</v>
      </c>
      <c r="O47" s="134">
        <v>0</v>
      </c>
      <c r="P47" s="134">
        <v>0.45</v>
      </c>
      <c r="Q47" s="134">
        <v>5.53</v>
      </c>
    </row>
    <row r="48" spans="1:17" customFormat="1">
      <c r="A48" s="112" t="s">
        <v>1814</v>
      </c>
      <c r="B48" s="134">
        <v>13.43</v>
      </c>
      <c r="C48" s="134">
        <v>19.350000000000001</v>
      </c>
      <c r="D48" s="134">
        <v>22.23</v>
      </c>
      <c r="E48" s="134">
        <v>7.39</v>
      </c>
      <c r="F48" s="134">
        <v>4.9000000000000004</v>
      </c>
      <c r="G48" s="134">
        <v>14.76</v>
      </c>
      <c r="H48" s="134">
        <v>4.67</v>
      </c>
      <c r="I48" s="134">
        <v>3.75</v>
      </c>
      <c r="J48" s="134">
        <v>0.54</v>
      </c>
      <c r="K48" s="134">
        <v>264.82</v>
      </c>
      <c r="L48" s="134">
        <v>30.18</v>
      </c>
      <c r="M48" s="134">
        <v>70.53</v>
      </c>
      <c r="N48" s="134">
        <v>499.8</v>
      </c>
      <c r="O48" s="134">
        <v>0</v>
      </c>
      <c r="P48" s="134">
        <v>0.46</v>
      </c>
      <c r="Q48" s="134">
        <v>5.49</v>
      </c>
    </row>
    <row r="49" spans="1:17" customFormat="1">
      <c r="A49" s="112" t="s">
        <v>1815</v>
      </c>
      <c r="B49" s="134">
        <v>12.92</v>
      </c>
      <c r="C49" s="134">
        <v>19.63</v>
      </c>
      <c r="D49" s="134">
        <v>21.97</v>
      </c>
      <c r="E49" s="134">
        <v>5.66</v>
      </c>
      <c r="F49" s="134">
        <v>4.96</v>
      </c>
      <c r="G49" s="134">
        <v>14.76</v>
      </c>
      <c r="H49" s="134">
        <v>4.67</v>
      </c>
      <c r="I49" s="134">
        <v>3.84</v>
      </c>
      <c r="J49" s="134">
        <v>0.44</v>
      </c>
      <c r="K49" s="134">
        <v>261.58999999999997</v>
      </c>
      <c r="L49" s="134">
        <v>30.64</v>
      </c>
      <c r="M49" s="134">
        <v>68.180000000000007</v>
      </c>
      <c r="N49" s="134">
        <v>429.9</v>
      </c>
      <c r="O49" s="134">
        <v>0</v>
      </c>
      <c r="P49" s="134">
        <v>0.47</v>
      </c>
      <c r="Q49" s="134">
        <v>5.49</v>
      </c>
    </row>
    <row r="50" spans="1:17" customFormat="1">
      <c r="A50" s="112" t="s">
        <v>1816</v>
      </c>
      <c r="B50" s="134">
        <v>12.39</v>
      </c>
      <c r="C50" s="134">
        <v>19.39</v>
      </c>
      <c r="D50" s="134">
        <v>21.42</v>
      </c>
      <c r="E50" s="134">
        <v>6.47</v>
      </c>
      <c r="F50" s="134">
        <v>5.12</v>
      </c>
      <c r="G50" s="134">
        <v>16.52</v>
      </c>
      <c r="H50" s="134">
        <v>5.66</v>
      </c>
      <c r="I50" s="134">
        <v>3.87</v>
      </c>
      <c r="J50" s="134">
        <v>0.72</v>
      </c>
      <c r="K50" s="134">
        <v>266.25</v>
      </c>
      <c r="L50" s="134">
        <v>30.53</v>
      </c>
      <c r="M50" s="134">
        <v>67.760000000000005</v>
      </c>
      <c r="N50" s="134">
        <v>584.1</v>
      </c>
      <c r="O50" s="134">
        <v>0</v>
      </c>
      <c r="P50" s="134">
        <v>0.47</v>
      </c>
      <c r="Q50" s="134">
        <v>5.52</v>
      </c>
    </row>
    <row r="51" spans="1:17" customFormat="1">
      <c r="A51" s="112" t="s">
        <v>1817</v>
      </c>
      <c r="B51" s="134">
        <v>11.89</v>
      </c>
      <c r="C51" s="134">
        <v>19.579999999999998</v>
      </c>
      <c r="D51" s="134">
        <v>21.12</v>
      </c>
      <c r="E51" s="134">
        <v>6.66</v>
      </c>
      <c r="F51" s="134">
        <v>5.36</v>
      </c>
      <c r="G51" s="134">
        <v>16.82</v>
      </c>
      <c r="H51" s="134">
        <v>5.66</v>
      </c>
      <c r="I51" s="134">
        <v>3.93</v>
      </c>
      <c r="J51" s="134">
        <v>0.56000000000000005</v>
      </c>
      <c r="K51" s="134">
        <v>277.08</v>
      </c>
      <c r="L51" s="134">
        <v>31.02</v>
      </c>
      <c r="M51" s="134">
        <v>65.900000000000006</v>
      </c>
      <c r="N51" s="134">
        <v>815.7</v>
      </c>
      <c r="O51" s="134">
        <v>0</v>
      </c>
      <c r="P51" s="134">
        <v>0.49</v>
      </c>
      <c r="Q51" s="134">
        <v>5.51</v>
      </c>
    </row>
    <row r="52" spans="1:17" customFormat="1">
      <c r="A52" s="112" t="s">
        <v>1818</v>
      </c>
      <c r="B52" s="134">
        <v>11.41</v>
      </c>
      <c r="C52" s="134">
        <v>19.78</v>
      </c>
      <c r="D52" s="134">
        <v>20.84</v>
      </c>
      <c r="E52" s="134">
        <v>6.61</v>
      </c>
      <c r="F52" s="134">
        <v>5.14</v>
      </c>
      <c r="G52" s="134">
        <v>16.82</v>
      </c>
      <c r="H52" s="134">
        <v>5.66</v>
      </c>
      <c r="I52" s="134">
        <v>4.05</v>
      </c>
      <c r="J52" s="134">
        <v>0.69</v>
      </c>
      <c r="K52" s="134">
        <v>258.47000000000003</v>
      </c>
      <c r="L52" s="134">
        <v>31.5</v>
      </c>
      <c r="M52" s="134">
        <v>65.510000000000005</v>
      </c>
      <c r="N52" s="134">
        <v>785.2</v>
      </c>
      <c r="O52" s="134">
        <v>0</v>
      </c>
      <c r="P52" s="134">
        <v>0.49</v>
      </c>
      <c r="Q52" s="134">
        <v>5.49</v>
      </c>
    </row>
    <row r="53" spans="1:17" customFormat="1">
      <c r="A53" s="112" t="s">
        <v>1819</v>
      </c>
      <c r="B53" s="134">
        <v>10.76</v>
      </c>
      <c r="C53" s="134">
        <v>20.43</v>
      </c>
      <c r="D53" s="134">
        <v>20.65</v>
      </c>
      <c r="E53" s="134">
        <v>6.07</v>
      </c>
      <c r="F53" s="134">
        <v>5</v>
      </c>
      <c r="G53" s="134">
        <v>16.82</v>
      </c>
      <c r="H53" s="134">
        <v>5.66</v>
      </c>
      <c r="I53" s="134">
        <v>4.2</v>
      </c>
      <c r="J53" s="134">
        <v>0.69</v>
      </c>
      <c r="K53" s="134">
        <v>262.25</v>
      </c>
      <c r="L53" s="134">
        <v>31.78</v>
      </c>
      <c r="M53" s="134">
        <v>63.29</v>
      </c>
      <c r="N53" s="134">
        <v>862.3</v>
      </c>
      <c r="O53" s="134">
        <v>0</v>
      </c>
      <c r="P53" s="134">
        <v>0.51</v>
      </c>
      <c r="Q53" s="134">
        <v>5.45</v>
      </c>
    </row>
    <row r="54" spans="1:17" customFormat="1">
      <c r="A54" s="112" t="s">
        <v>1820</v>
      </c>
      <c r="B54" s="134">
        <v>10.28</v>
      </c>
      <c r="C54" s="134">
        <v>19.75</v>
      </c>
      <c r="D54" s="134">
        <v>19.920000000000002</v>
      </c>
      <c r="E54" s="134">
        <v>5.89</v>
      </c>
      <c r="F54" s="134">
        <v>5.88</v>
      </c>
      <c r="G54" s="134">
        <v>15.66</v>
      </c>
      <c r="H54" s="134">
        <v>6.9</v>
      </c>
      <c r="I54" s="134">
        <v>4.3</v>
      </c>
      <c r="J54" s="134">
        <v>0.62</v>
      </c>
      <c r="K54" s="134">
        <v>262.33999999999997</v>
      </c>
      <c r="L54" s="134">
        <v>31.72</v>
      </c>
      <c r="M54" s="134">
        <v>63.63</v>
      </c>
      <c r="N54" s="134">
        <v>700.5</v>
      </c>
      <c r="O54" s="134">
        <v>0</v>
      </c>
      <c r="P54" s="134">
        <v>0.49</v>
      </c>
      <c r="Q54" s="134">
        <v>5.44</v>
      </c>
    </row>
    <row r="55" spans="1:17" customFormat="1">
      <c r="A55" s="112" t="s">
        <v>1821</v>
      </c>
      <c r="B55" s="134">
        <v>9.85</v>
      </c>
      <c r="C55" s="134">
        <v>19.34</v>
      </c>
      <c r="D55" s="134">
        <v>19.36</v>
      </c>
      <c r="E55" s="134">
        <v>5.89</v>
      </c>
      <c r="F55" s="134">
        <v>6.33</v>
      </c>
      <c r="G55" s="134">
        <v>15.47</v>
      </c>
      <c r="H55" s="134">
        <v>6.9</v>
      </c>
      <c r="I55" s="134">
        <v>4.33</v>
      </c>
      <c r="J55" s="134">
        <v>0.91</v>
      </c>
      <c r="K55" s="134">
        <v>272.29000000000002</v>
      </c>
      <c r="L55" s="134">
        <v>31.6</v>
      </c>
      <c r="M55" s="134">
        <v>63.28</v>
      </c>
      <c r="N55" s="134">
        <v>803.6</v>
      </c>
      <c r="O55" s="134">
        <v>0</v>
      </c>
      <c r="P55" s="134">
        <v>0.49</v>
      </c>
      <c r="Q55" s="134">
        <v>5.41</v>
      </c>
    </row>
    <row r="56" spans="1:17" customFormat="1">
      <c r="A56" s="112" t="s">
        <v>1822</v>
      </c>
      <c r="B56" s="134">
        <v>9.51</v>
      </c>
      <c r="C56" s="134">
        <v>19.16</v>
      </c>
      <c r="D56" s="134">
        <v>18.98</v>
      </c>
      <c r="E56" s="134">
        <v>5.61</v>
      </c>
      <c r="F56" s="134">
        <v>6.23</v>
      </c>
      <c r="G56" s="134">
        <v>15.47</v>
      </c>
      <c r="H56" s="134">
        <v>6.9</v>
      </c>
      <c r="I56" s="134">
        <v>4.21</v>
      </c>
      <c r="J56" s="134">
        <v>0.76</v>
      </c>
      <c r="K56" s="134">
        <v>263.12</v>
      </c>
      <c r="L56" s="134">
        <v>31.84</v>
      </c>
      <c r="M56" s="134">
        <v>63.4</v>
      </c>
      <c r="N56" s="134">
        <v>888.6</v>
      </c>
      <c r="O56" s="134">
        <v>0</v>
      </c>
      <c r="P56" s="134">
        <v>0.49</v>
      </c>
      <c r="Q56" s="134">
        <v>5.37</v>
      </c>
    </row>
    <row r="57" spans="1:17" customFormat="1">
      <c r="A57" s="112" t="s">
        <v>1823</v>
      </c>
      <c r="B57" s="134">
        <v>9.1</v>
      </c>
      <c r="C57" s="134">
        <v>19.100000000000001</v>
      </c>
      <c r="D57" s="134">
        <v>18.63</v>
      </c>
      <c r="E57" s="134">
        <v>5.62</v>
      </c>
      <c r="F57" s="134">
        <v>5.94</v>
      </c>
      <c r="G57" s="134">
        <v>15.47</v>
      </c>
      <c r="H57" s="134">
        <v>6.9</v>
      </c>
      <c r="I57" s="134">
        <v>4.2</v>
      </c>
      <c r="J57" s="134">
        <v>0.61</v>
      </c>
      <c r="K57" s="134">
        <v>257.38</v>
      </c>
      <c r="L57" s="134">
        <v>31.94</v>
      </c>
      <c r="M57" s="134">
        <v>63.68</v>
      </c>
      <c r="N57" s="134">
        <v>728.2</v>
      </c>
      <c r="O57" s="134">
        <v>0</v>
      </c>
      <c r="P57" s="134">
        <v>0.49</v>
      </c>
      <c r="Q57" s="134">
        <v>5.33</v>
      </c>
    </row>
    <row r="58" spans="1:17" customFormat="1">
      <c r="A58" s="112" t="s">
        <v>1824</v>
      </c>
      <c r="B58" s="134">
        <v>8.74</v>
      </c>
      <c r="C58" s="134">
        <v>18.600000000000001</v>
      </c>
      <c r="D58" s="134">
        <v>18.07</v>
      </c>
      <c r="E58" s="134">
        <v>6.14</v>
      </c>
      <c r="F58" s="134">
        <v>6.7</v>
      </c>
      <c r="G58" s="134">
        <v>14.89</v>
      </c>
      <c r="H58" s="134">
        <v>7.29</v>
      </c>
      <c r="I58" s="134">
        <v>4.1900000000000004</v>
      </c>
      <c r="J58" s="134">
        <v>0.56999999999999995</v>
      </c>
      <c r="K58" s="134">
        <v>258.02999999999997</v>
      </c>
      <c r="L58" s="134">
        <v>32.35</v>
      </c>
      <c r="M58" s="134">
        <v>62.94</v>
      </c>
      <c r="N58" s="134">
        <v>843.6</v>
      </c>
      <c r="O58" s="134">
        <v>0</v>
      </c>
      <c r="P58" s="134">
        <v>0.47</v>
      </c>
      <c r="Q58" s="134">
        <v>5.36</v>
      </c>
    </row>
    <row r="59" spans="1:17" customFormat="1">
      <c r="A59" s="112" t="s">
        <v>1825</v>
      </c>
      <c r="B59" s="134">
        <v>8.5500000000000007</v>
      </c>
      <c r="C59" s="134">
        <v>18.71</v>
      </c>
      <c r="D59" s="134">
        <v>17.98</v>
      </c>
      <c r="E59" s="134">
        <v>5.88</v>
      </c>
      <c r="F59" s="134">
        <v>6.2</v>
      </c>
      <c r="G59" s="134">
        <v>14.79</v>
      </c>
      <c r="H59" s="134">
        <v>7.29</v>
      </c>
      <c r="I59" s="134">
        <v>4.2</v>
      </c>
      <c r="J59" s="134">
        <v>0.5</v>
      </c>
      <c r="K59" s="134">
        <v>246.15</v>
      </c>
      <c r="L59" s="134">
        <v>32.44</v>
      </c>
      <c r="M59" s="134">
        <v>62.47</v>
      </c>
      <c r="N59" s="134">
        <v>799.5</v>
      </c>
      <c r="O59" s="134">
        <v>0</v>
      </c>
      <c r="P59" s="134">
        <v>0.46</v>
      </c>
      <c r="Q59" s="134">
        <v>5.34</v>
      </c>
    </row>
    <row r="60" spans="1:17" customFormat="1">
      <c r="A60" s="112" t="s">
        <v>1826</v>
      </c>
      <c r="B60" s="134">
        <v>8.35</v>
      </c>
      <c r="C60" s="134">
        <v>18.39</v>
      </c>
      <c r="D60" s="134">
        <v>17.66</v>
      </c>
      <c r="E60" s="134">
        <v>5.36</v>
      </c>
      <c r="F60" s="134">
        <v>6.13</v>
      </c>
      <c r="G60" s="134">
        <v>14.79</v>
      </c>
      <c r="H60" s="134">
        <v>7.29</v>
      </c>
      <c r="I60" s="134">
        <v>4.08</v>
      </c>
      <c r="J60" s="134">
        <v>0.77</v>
      </c>
      <c r="K60" s="134">
        <v>264.7</v>
      </c>
      <c r="L60" s="134">
        <v>32.450000000000003</v>
      </c>
      <c r="M60" s="134">
        <v>61.59</v>
      </c>
      <c r="N60" s="134">
        <v>886.1</v>
      </c>
      <c r="O60" s="134">
        <v>0</v>
      </c>
      <c r="P60" s="134">
        <v>0.46</v>
      </c>
      <c r="Q60" s="134">
        <v>5.29</v>
      </c>
    </row>
    <row r="61" spans="1:17" customFormat="1">
      <c r="A61" s="112" t="s">
        <v>1827</v>
      </c>
      <c r="B61" s="134">
        <v>8.14</v>
      </c>
      <c r="C61" s="134">
        <v>18.45</v>
      </c>
      <c r="D61" s="134">
        <v>17.52</v>
      </c>
      <c r="E61" s="134">
        <v>5.79</v>
      </c>
      <c r="F61" s="134">
        <v>5.87</v>
      </c>
      <c r="G61" s="134">
        <v>14.79</v>
      </c>
      <c r="H61" s="134">
        <v>7.29</v>
      </c>
      <c r="I61" s="134">
        <v>4.09</v>
      </c>
      <c r="J61" s="134">
        <v>0.47</v>
      </c>
      <c r="K61" s="134">
        <v>254.4</v>
      </c>
      <c r="L61" s="134">
        <v>32.76</v>
      </c>
      <c r="M61" s="134">
        <v>61.37</v>
      </c>
      <c r="N61" s="134">
        <v>827.6</v>
      </c>
      <c r="O61" s="134">
        <v>0</v>
      </c>
      <c r="P61" s="134">
        <v>0.46</v>
      </c>
      <c r="Q61" s="134">
        <v>5.27</v>
      </c>
    </row>
    <row r="62" spans="1:17" customFormat="1">
      <c r="A62" s="112" t="s">
        <v>1828</v>
      </c>
      <c r="B62" s="134">
        <v>7.88</v>
      </c>
      <c r="C62" s="134">
        <v>18.29</v>
      </c>
      <c r="D62" s="134">
        <v>17.22</v>
      </c>
      <c r="E62" s="134">
        <v>5.91</v>
      </c>
      <c r="F62" s="134">
        <v>5.71</v>
      </c>
      <c r="G62" s="134">
        <v>14.25</v>
      </c>
      <c r="H62" s="134">
        <v>8.1999999999999993</v>
      </c>
      <c r="I62" s="134">
        <v>4.0599999999999996</v>
      </c>
      <c r="J62" s="134">
        <v>0.36</v>
      </c>
      <c r="K62" s="134">
        <v>221.02</v>
      </c>
      <c r="L62" s="134">
        <v>32.92</v>
      </c>
      <c r="M62" s="134">
        <v>60.27</v>
      </c>
      <c r="N62" s="134">
        <v>763.6</v>
      </c>
      <c r="O62" s="134">
        <v>0</v>
      </c>
      <c r="P62" s="134">
        <v>0.46</v>
      </c>
      <c r="Q62" s="134">
        <v>5.26</v>
      </c>
    </row>
    <row r="63" spans="1:17" customFormat="1">
      <c r="A63" s="112" t="s">
        <v>1829</v>
      </c>
      <c r="B63" s="134">
        <v>7.81</v>
      </c>
      <c r="C63" s="134">
        <v>18.05</v>
      </c>
      <c r="D63" s="134">
        <v>17.05</v>
      </c>
      <c r="E63" s="134">
        <v>5.08</v>
      </c>
      <c r="F63" s="134">
        <v>5.48</v>
      </c>
      <c r="G63" s="134">
        <v>14.16</v>
      </c>
      <c r="H63" s="134">
        <v>8.1999999999999993</v>
      </c>
      <c r="I63" s="134">
        <v>4.03</v>
      </c>
      <c r="J63" s="134">
        <v>0.48</v>
      </c>
      <c r="K63" s="134">
        <v>248.46</v>
      </c>
      <c r="L63" s="134">
        <v>32.880000000000003</v>
      </c>
      <c r="M63" s="134">
        <v>61.22</v>
      </c>
      <c r="N63" s="134">
        <v>786.2</v>
      </c>
      <c r="O63" s="134">
        <v>0</v>
      </c>
      <c r="P63" s="134">
        <v>0.45</v>
      </c>
      <c r="Q63" s="134">
        <v>5.23</v>
      </c>
    </row>
    <row r="64" spans="1:17" customFormat="1">
      <c r="A64" s="112" t="s">
        <v>1830</v>
      </c>
      <c r="B64" s="134">
        <v>7.63</v>
      </c>
      <c r="C64" s="134">
        <v>17.84</v>
      </c>
      <c r="D64" s="134">
        <v>16.79</v>
      </c>
      <c r="E64" s="134">
        <v>5.34</v>
      </c>
      <c r="F64" s="134">
        <v>5.65</v>
      </c>
      <c r="G64" s="134">
        <v>14.16</v>
      </c>
      <c r="H64" s="134">
        <v>8.1999999999999993</v>
      </c>
      <c r="I64" s="134">
        <v>3.99</v>
      </c>
      <c r="J64" s="134">
        <v>0.61</v>
      </c>
      <c r="K64" s="134">
        <v>264.45</v>
      </c>
      <c r="L64" s="134">
        <v>32.880000000000003</v>
      </c>
      <c r="M64" s="134">
        <v>60.81</v>
      </c>
      <c r="N64" s="134">
        <v>580.29999999999995</v>
      </c>
      <c r="O64" s="134">
        <v>0</v>
      </c>
      <c r="P64" s="134">
        <v>0.44</v>
      </c>
      <c r="Q64" s="134">
        <v>5.19</v>
      </c>
    </row>
    <row r="65" spans="1:17" customFormat="1">
      <c r="A65" s="112" t="s">
        <v>1831</v>
      </c>
      <c r="B65" s="134">
        <v>7.49</v>
      </c>
      <c r="C65" s="134">
        <v>17.98</v>
      </c>
      <c r="D65" s="134">
        <v>16.760000000000002</v>
      </c>
      <c r="E65" s="134">
        <v>5.88</v>
      </c>
      <c r="F65" s="134">
        <v>5.61</v>
      </c>
      <c r="G65" s="134">
        <v>14.16</v>
      </c>
      <c r="H65" s="134">
        <v>8.1999999999999993</v>
      </c>
      <c r="I65" s="134">
        <v>3.93</v>
      </c>
      <c r="J65" s="134">
        <v>0.42</v>
      </c>
      <c r="K65" s="134">
        <v>252.16</v>
      </c>
      <c r="L65" s="134">
        <v>31.87</v>
      </c>
      <c r="M65" s="134">
        <v>63.22</v>
      </c>
      <c r="N65" s="134">
        <v>532.1</v>
      </c>
      <c r="O65" s="134">
        <v>0</v>
      </c>
      <c r="P65" s="134">
        <v>0.33</v>
      </c>
      <c r="Q65" s="134">
        <v>5.18</v>
      </c>
    </row>
    <row r="66" spans="1:17" customFormat="1">
      <c r="A66" s="112" t="s">
        <v>1832</v>
      </c>
      <c r="B66" s="134">
        <v>7.36</v>
      </c>
      <c r="C66" s="134">
        <v>17.48</v>
      </c>
      <c r="D66" s="134">
        <v>16.39</v>
      </c>
      <c r="E66" s="134">
        <v>5.92</v>
      </c>
      <c r="F66" s="134">
        <v>7.37</v>
      </c>
      <c r="G66" s="134">
        <v>13.75</v>
      </c>
      <c r="H66" s="134">
        <v>6.13</v>
      </c>
      <c r="I66" s="134">
        <v>3.89</v>
      </c>
      <c r="J66" s="134">
        <v>0.51</v>
      </c>
      <c r="K66" s="134">
        <v>254.04</v>
      </c>
      <c r="L66" s="134">
        <v>32.54</v>
      </c>
      <c r="M66" s="134">
        <v>60.67</v>
      </c>
      <c r="N66" s="134">
        <v>707.5</v>
      </c>
      <c r="O66" s="134">
        <v>0</v>
      </c>
      <c r="P66" s="134">
        <v>0.35</v>
      </c>
      <c r="Q66" s="134">
        <v>5.18</v>
      </c>
    </row>
    <row r="67" spans="1:17" customFormat="1">
      <c r="A67" s="112" t="s">
        <v>1833</v>
      </c>
      <c r="B67" s="134">
        <v>7.34</v>
      </c>
      <c r="C67" s="134">
        <v>17.55</v>
      </c>
      <c r="D67" s="134">
        <v>16.399999999999999</v>
      </c>
      <c r="E67" s="134">
        <v>5.61</v>
      </c>
      <c r="F67" s="134">
        <v>6.09</v>
      </c>
      <c r="G67" s="134">
        <v>13.68</v>
      </c>
      <c r="H67" s="134">
        <v>6.13</v>
      </c>
      <c r="I67" s="134">
        <v>3.85</v>
      </c>
      <c r="J67" s="134">
        <v>0.47</v>
      </c>
      <c r="K67" s="134">
        <v>247.96</v>
      </c>
      <c r="L67" s="134">
        <v>32.44</v>
      </c>
      <c r="M67" s="134">
        <v>61.68</v>
      </c>
      <c r="N67" s="134">
        <v>601.20000000000005</v>
      </c>
      <c r="O67" s="134">
        <v>0</v>
      </c>
      <c r="P67" s="134">
        <v>0.34</v>
      </c>
      <c r="Q67" s="134">
        <v>5.15</v>
      </c>
    </row>
    <row r="68" spans="1:17" customFormat="1">
      <c r="A68" s="112" t="s">
        <v>1834</v>
      </c>
      <c r="B68" s="134">
        <v>7.23</v>
      </c>
      <c r="C68" s="134">
        <v>17.47</v>
      </c>
      <c r="D68" s="134">
        <v>16.28</v>
      </c>
      <c r="E68" s="134">
        <v>5.53</v>
      </c>
      <c r="F68" s="134">
        <v>5.97</v>
      </c>
      <c r="G68" s="134">
        <v>13.68</v>
      </c>
      <c r="H68" s="134">
        <v>6.13</v>
      </c>
      <c r="I68" s="134">
        <v>3.77</v>
      </c>
      <c r="J68" s="134">
        <v>0.49</v>
      </c>
      <c r="K68" s="134">
        <v>251.09</v>
      </c>
      <c r="L68" s="134">
        <v>32.380000000000003</v>
      </c>
      <c r="M68" s="134">
        <v>62.79</v>
      </c>
      <c r="N68" s="134">
        <v>538.6</v>
      </c>
      <c r="O68" s="134">
        <v>0</v>
      </c>
      <c r="P68" s="134">
        <v>0.34</v>
      </c>
      <c r="Q68" s="134">
        <v>5.1100000000000003</v>
      </c>
    </row>
    <row r="69" spans="1:17" customFormat="1">
      <c r="A69" s="112" t="s">
        <v>1835</v>
      </c>
      <c r="B69" s="134">
        <v>7.04</v>
      </c>
      <c r="C69" s="134">
        <v>16.940000000000001</v>
      </c>
      <c r="D69" s="134">
        <v>15.85</v>
      </c>
      <c r="E69" s="134">
        <v>4.92</v>
      </c>
      <c r="F69" s="134">
        <v>6.38</v>
      </c>
      <c r="G69" s="134">
        <v>13.68</v>
      </c>
      <c r="H69" s="134">
        <v>6.13</v>
      </c>
      <c r="I69" s="134">
        <v>3.76</v>
      </c>
      <c r="J69" s="134">
        <v>0.5</v>
      </c>
      <c r="K69" s="134">
        <v>266.52999999999997</v>
      </c>
      <c r="L69" s="134">
        <v>31.79</v>
      </c>
      <c r="M69" s="134">
        <v>65.069999999999993</v>
      </c>
      <c r="N69" s="134">
        <v>410.8</v>
      </c>
      <c r="O69" s="134">
        <v>0</v>
      </c>
      <c r="P69" s="134">
        <v>0.33</v>
      </c>
      <c r="Q69" s="134">
        <v>5.1100000000000003</v>
      </c>
    </row>
    <row r="70" spans="1:17" customFormat="1">
      <c r="A70" s="112" t="s">
        <v>1836</v>
      </c>
      <c r="B70" s="134">
        <v>7.03</v>
      </c>
      <c r="C70" s="134">
        <v>16.22</v>
      </c>
      <c r="D70" s="134">
        <v>15.46</v>
      </c>
      <c r="E70" s="134">
        <v>5.08</v>
      </c>
      <c r="F70" s="134">
        <v>7.75</v>
      </c>
      <c r="G70" s="134">
        <v>12.54</v>
      </c>
      <c r="H70" s="134">
        <v>5.09</v>
      </c>
      <c r="I70" s="134">
        <v>3.69</v>
      </c>
      <c r="J70" s="134">
        <v>0.4</v>
      </c>
      <c r="K70" s="134">
        <v>275.94</v>
      </c>
      <c r="L70" s="134">
        <v>31.48</v>
      </c>
      <c r="M70" s="134">
        <v>64.88</v>
      </c>
      <c r="N70" s="134">
        <v>306</v>
      </c>
      <c r="O70" s="134">
        <v>0</v>
      </c>
      <c r="P70" s="134">
        <v>0.33</v>
      </c>
      <c r="Q70" s="134">
        <v>5.12</v>
      </c>
    </row>
    <row r="71" spans="1:17" customFormat="1">
      <c r="A71" s="112" t="s">
        <v>1837</v>
      </c>
      <c r="B71" s="134">
        <v>6.83</v>
      </c>
      <c r="C71" s="134">
        <v>16.170000000000002</v>
      </c>
      <c r="D71" s="134">
        <v>15.28</v>
      </c>
      <c r="E71" s="134">
        <v>5.59</v>
      </c>
      <c r="F71" s="134">
        <v>8.1999999999999993</v>
      </c>
      <c r="G71" s="134">
        <v>12.35</v>
      </c>
      <c r="H71" s="134">
        <v>5.09</v>
      </c>
      <c r="I71" s="134">
        <v>3.58</v>
      </c>
      <c r="J71" s="134">
        <v>0.54</v>
      </c>
      <c r="K71" s="134">
        <v>267.98</v>
      </c>
      <c r="L71" s="134">
        <v>31.64</v>
      </c>
      <c r="M71" s="134">
        <v>64.099999999999994</v>
      </c>
      <c r="N71" s="134">
        <v>239.1</v>
      </c>
      <c r="O71" s="134">
        <v>0</v>
      </c>
      <c r="P71" s="134">
        <v>0.32</v>
      </c>
      <c r="Q71" s="134">
        <v>5.0999999999999996</v>
      </c>
    </row>
    <row r="72" spans="1:17" customFormat="1">
      <c r="A72" s="112" t="s">
        <v>1838</v>
      </c>
      <c r="B72" s="134">
        <v>6.9</v>
      </c>
      <c r="C72" s="134">
        <v>16.87</v>
      </c>
      <c r="D72" s="134">
        <v>15.7</v>
      </c>
      <c r="E72" s="134">
        <v>5.0999999999999996</v>
      </c>
      <c r="F72" s="134">
        <v>7.57</v>
      </c>
      <c r="G72" s="134">
        <v>12.35</v>
      </c>
      <c r="H72" s="134">
        <v>5.09</v>
      </c>
      <c r="I72" s="134">
        <v>3.5</v>
      </c>
      <c r="J72" s="134">
        <v>0.49</v>
      </c>
      <c r="K72" s="134">
        <v>268.23</v>
      </c>
      <c r="L72" s="134">
        <v>31.08</v>
      </c>
      <c r="M72" s="134">
        <v>65.94</v>
      </c>
      <c r="N72" s="134">
        <v>95.8</v>
      </c>
      <c r="O72" s="134">
        <v>0</v>
      </c>
      <c r="P72" s="134">
        <v>0.33</v>
      </c>
      <c r="Q72" s="134">
        <v>5.08</v>
      </c>
    </row>
    <row r="73" spans="1:17" customFormat="1">
      <c r="A73" s="112" t="s">
        <v>1839</v>
      </c>
      <c r="B73" s="134">
        <v>6.85</v>
      </c>
      <c r="C73" s="134">
        <v>17.27</v>
      </c>
      <c r="D73" s="134">
        <v>15.87</v>
      </c>
      <c r="E73" s="134">
        <v>6.1</v>
      </c>
      <c r="F73" s="134">
        <v>7.81</v>
      </c>
      <c r="G73" s="134">
        <v>12.35</v>
      </c>
      <c r="H73" s="134">
        <v>5.09</v>
      </c>
      <c r="I73" s="134">
        <v>3.42</v>
      </c>
      <c r="J73" s="134">
        <v>0.66</v>
      </c>
      <c r="K73" s="134">
        <v>280.10000000000002</v>
      </c>
      <c r="L73" s="134">
        <v>31.01</v>
      </c>
      <c r="M73" s="134">
        <v>63.07</v>
      </c>
      <c r="N73" s="134">
        <v>70.900000000000006</v>
      </c>
      <c r="O73" s="134">
        <v>0</v>
      </c>
      <c r="P73" s="134">
        <v>0.34</v>
      </c>
      <c r="Q73" s="134">
        <v>5.12</v>
      </c>
    </row>
    <row r="74" spans="1:17" customFormat="1">
      <c r="A74" s="112" t="s">
        <v>1840</v>
      </c>
      <c r="B74" s="134">
        <v>6.81</v>
      </c>
      <c r="C74" s="134">
        <v>16.64</v>
      </c>
      <c r="D74" s="134">
        <v>15.51</v>
      </c>
      <c r="E74" s="134">
        <v>6.12</v>
      </c>
      <c r="F74" s="134">
        <v>9.64</v>
      </c>
      <c r="G74" s="134">
        <v>10.85</v>
      </c>
      <c r="H74" s="134">
        <v>4.5999999999999996</v>
      </c>
      <c r="I74" s="134">
        <v>3.47</v>
      </c>
      <c r="J74" s="134">
        <v>0.55000000000000004</v>
      </c>
      <c r="K74" s="134">
        <v>265.02999999999997</v>
      </c>
      <c r="L74" s="134">
        <v>30.76</v>
      </c>
      <c r="M74" s="134">
        <v>65.510000000000005</v>
      </c>
      <c r="N74" s="134">
        <v>57.8</v>
      </c>
      <c r="O74" s="134">
        <v>0</v>
      </c>
      <c r="P74" s="134">
        <v>0.34</v>
      </c>
      <c r="Q74" s="134">
        <v>5.12</v>
      </c>
    </row>
    <row r="75" spans="1:17" customFormat="1">
      <c r="A75" s="112" t="s">
        <v>1841</v>
      </c>
      <c r="B75" s="134">
        <v>6.75</v>
      </c>
      <c r="C75" s="134">
        <v>16.27</v>
      </c>
      <c r="D75" s="134">
        <v>15.26</v>
      </c>
      <c r="E75" s="134">
        <v>6.08</v>
      </c>
      <c r="F75" s="134">
        <v>9.7200000000000006</v>
      </c>
      <c r="G75" s="134">
        <v>10.57</v>
      </c>
      <c r="H75" s="134">
        <v>4.5999999999999996</v>
      </c>
      <c r="I75" s="134">
        <v>3.5</v>
      </c>
      <c r="J75" s="134">
        <v>0.28000000000000003</v>
      </c>
      <c r="K75" s="134">
        <v>247.3</v>
      </c>
      <c r="L75" s="134">
        <v>30.66</v>
      </c>
      <c r="M75" s="134">
        <v>66.900000000000006</v>
      </c>
      <c r="N75" s="134">
        <v>42.7</v>
      </c>
      <c r="O75" s="134">
        <v>0</v>
      </c>
      <c r="P75" s="134">
        <v>0.33</v>
      </c>
      <c r="Q75" s="134">
        <v>5.13</v>
      </c>
    </row>
    <row r="76" spans="1:17" customFormat="1">
      <c r="A76" s="112" t="s">
        <v>1842</v>
      </c>
      <c r="B76" s="134">
        <v>6.68</v>
      </c>
      <c r="C76" s="134">
        <v>15.29</v>
      </c>
      <c r="D76" s="134">
        <v>14.7</v>
      </c>
      <c r="E76" s="134">
        <v>5.71</v>
      </c>
      <c r="F76" s="134">
        <v>11.61</v>
      </c>
      <c r="G76" s="134">
        <v>10.57</v>
      </c>
      <c r="H76" s="134">
        <v>4.5999999999999996</v>
      </c>
      <c r="I76" s="134">
        <v>3.38</v>
      </c>
      <c r="J76" s="134">
        <v>0.14000000000000001</v>
      </c>
      <c r="K76" s="134">
        <v>207.9</v>
      </c>
      <c r="L76" s="134">
        <v>30.25</v>
      </c>
      <c r="M76" s="134">
        <v>69.56</v>
      </c>
      <c r="N76" s="134">
        <v>34.799999999999997</v>
      </c>
      <c r="O76" s="134">
        <v>0</v>
      </c>
      <c r="P76" s="134">
        <v>0.32</v>
      </c>
      <c r="Q76" s="134">
        <v>5.12</v>
      </c>
    </row>
    <row r="77" spans="1:17" customFormat="1">
      <c r="A77" s="112" t="s">
        <v>1843</v>
      </c>
      <c r="B77" s="134">
        <v>6.6</v>
      </c>
      <c r="C77" s="134">
        <v>14.64</v>
      </c>
      <c r="D77" s="134">
        <v>14.29</v>
      </c>
      <c r="E77" s="134">
        <v>6.08</v>
      </c>
      <c r="F77" s="134">
        <v>11.91</v>
      </c>
      <c r="G77" s="134">
        <v>10.57</v>
      </c>
      <c r="H77" s="134">
        <v>4.5999999999999996</v>
      </c>
      <c r="I77" s="134">
        <v>3.31</v>
      </c>
      <c r="J77" s="134">
        <v>0.15</v>
      </c>
      <c r="K77" s="134">
        <v>206.04</v>
      </c>
      <c r="L77" s="134">
        <v>29.9</v>
      </c>
      <c r="M77" s="134">
        <v>72.42</v>
      </c>
      <c r="N77" s="134">
        <v>22.7</v>
      </c>
      <c r="O77" s="134">
        <v>0</v>
      </c>
      <c r="P77" s="134">
        <v>0.32</v>
      </c>
      <c r="Q77" s="134">
        <v>5.09</v>
      </c>
    </row>
    <row r="78" spans="1:17" customFormat="1">
      <c r="A78" s="112" t="s">
        <v>1844</v>
      </c>
      <c r="B78" s="134">
        <v>6.54</v>
      </c>
      <c r="C78" s="134">
        <v>14.31</v>
      </c>
      <c r="D78" s="134">
        <v>14.07</v>
      </c>
      <c r="E78" s="134">
        <v>5.9</v>
      </c>
      <c r="F78" s="134">
        <v>13.4</v>
      </c>
      <c r="G78" s="134">
        <v>13.35</v>
      </c>
      <c r="H78" s="134">
        <v>7.59</v>
      </c>
      <c r="I78" s="134">
        <v>3.07</v>
      </c>
      <c r="J78" s="134">
        <v>0.14000000000000001</v>
      </c>
      <c r="K78" s="134">
        <v>206.38</v>
      </c>
      <c r="L78" s="134">
        <v>29.49</v>
      </c>
      <c r="M78" s="134">
        <v>73.11</v>
      </c>
      <c r="N78" s="134">
        <v>16.3</v>
      </c>
      <c r="O78" s="134">
        <v>0</v>
      </c>
      <c r="P78" s="134">
        <v>0.3</v>
      </c>
      <c r="Q78" s="134">
        <v>5.09</v>
      </c>
    </row>
    <row r="79" spans="1:17" customFormat="1">
      <c r="A79" s="112" t="s">
        <v>1845</v>
      </c>
      <c r="B79" s="134">
        <v>6.46</v>
      </c>
      <c r="C79" s="134">
        <v>14.08</v>
      </c>
      <c r="D79" s="134">
        <v>13.88</v>
      </c>
      <c r="E79" s="134">
        <v>5.61</v>
      </c>
      <c r="F79" s="134">
        <v>12.74</v>
      </c>
      <c r="G79" s="134">
        <v>13.82</v>
      </c>
      <c r="H79" s="134">
        <v>7.59</v>
      </c>
      <c r="I79" s="134">
        <v>3.06</v>
      </c>
      <c r="J79" s="134">
        <v>0.11</v>
      </c>
      <c r="K79" s="134">
        <v>209.97</v>
      </c>
      <c r="L79" s="134">
        <v>29.09</v>
      </c>
      <c r="M79" s="134">
        <v>74.849999999999994</v>
      </c>
      <c r="N79" s="134">
        <v>3.5</v>
      </c>
      <c r="O79" s="134">
        <v>0</v>
      </c>
      <c r="P79" s="134">
        <v>0.28999999999999998</v>
      </c>
      <c r="Q79" s="134">
        <v>5.07</v>
      </c>
    </row>
    <row r="80" spans="1:17" customFormat="1">
      <c r="A80" s="112" t="s">
        <v>1846</v>
      </c>
      <c r="B80" s="134">
        <v>6.53</v>
      </c>
      <c r="C80" s="134">
        <v>13.5</v>
      </c>
      <c r="D80" s="134">
        <v>13.64</v>
      </c>
      <c r="E80" s="134">
        <v>6.13</v>
      </c>
      <c r="F80" s="134">
        <v>13.25</v>
      </c>
      <c r="G80" s="134">
        <v>13.82</v>
      </c>
      <c r="H80" s="134">
        <v>7.59</v>
      </c>
      <c r="I80" s="134">
        <v>2.92</v>
      </c>
      <c r="J80" s="134">
        <v>0.1</v>
      </c>
      <c r="K80" s="134">
        <v>179.85</v>
      </c>
      <c r="L80" s="134">
        <v>28.81</v>
      </c>
      <c r="M80" s="134">
        <v>74.41</v>
      </c>
      <c r="N80" s="134">
        <v>0</v>
      </c>
      <c r="O80" s="134">
        <v>0</v>
      </c>
      <c r="P80" s="134">
        <v>0.3</v>
      </c>
      <c r="Q80" s="134">
        <v>5.07</v>
      </c>
    </row>
    <row r="81" spans="1:17" customFormat="1">
      <c r="A81" s="112" t="s">
        <v>1847</v>
      </c>
      <c r="B81" s="134">
        <v>6.48</v>
      </c>
      <c r="C81" s="134">
        <v>12.78</v>
      </c>
      <c r="D81" s="134">
        <v>13.22</v>
      </c>
      <c r="E81" s="134">
        <v>6.43</v>
      </c>
      <c r="F81" s="134">
        <v>13.74</v>
      </c>
      <c r="G81" s="134">
        <v>13.82</v>
      </c>
      <c r="H81" s="134">
        <v>7.59</v>
      </c>
      <c r="I81" s="134">
        <v>2.84</v>
      </c>
      <c r="J81" s="134">
        <v>7.0000000000000007E-2</v>
      </c>
      <c r="K81" s="134">
        <v>208.77</v>
      </c>
      <c r="L81" s="134">
        <v>28.4</v>
      </c>
      <c r="M81" s="134">
        <v>76.86</v>
      </c>
      <c r="N81" s="134">
        <v>0</v>
      </c>
      <c r="O81" s="134">
        <v>0</v>
      </c>
      <c r="P81" s="134">
        <v>0.28999999999999998</v>
      </c>
      <c r="Q81" s="134">
        <v>5.05</v>
      </c>
    </row>
    <row r="82" spans="1:17" customFormat="1">
      <c r="A82" s="112" t="s">
        <v>1848</v>
      </c>
      <c r="B82" s="134">
        <v>6.19</v>
      </c>
      <c r="C82" s="134">
        <v>12.13</v>
      </c>
      <c r="D82" s="134">
        <v>12.66</v>
      </c>
      <c r="E82" s="134">
        <v>6.81</v>
      </c>
      <c r="F82" s="134">
        <v>14.99</v>
      </c>
      <c r="G82" s="134">
        <v>12.22</v>
      </c>
      <c r="H82" s="134">
        <v>5.43</v>
      </c>
      <c r="I82" s="134">
        <v>2.77</v>
      </c>
      <c r="J82" s="134">
        <v>0.12</v>
      </c>
      <c r="K82" s="134">
        <v>226.81</v>
      </c>
      <c r="L82" s="134">
        <v>28.24</v>
      </c>
      <c r="M82" s="134">
        <v>78.28</v>
      </c>
      <c r="N82" s="134">
        <v>0</v>
      </c>
      <c r="O82" s="134">
        <v>0</v>
      </c>
      <c r="P82" s="134">
        <v>0.28999999999999998</v>
      </c>
      <c r="Q82" s="134">
        <v>5.07</v>
      </c>
    </row>
    <row r="83" spans="1:17" customFormat="1">
      <c r="A83" s="112" t="s">
        <v>1849</v>
      </c>
      <c r="B83" s="134">
        <v>6.11</v>
      </c>
      <c r="C83" s="134">
        <v>12.32</v>
      </c>
      <c r="D83" s="134">
        <v>12.69</v>
      </c>
      <c r="E83" s="134">
        <v>7.48</v>
      </c>
      <c r="F83" s="134">
        <v>14.44</v>
      </c>
      <c r="G83" s="134">
        <v>11.95</v>
      </c>
      <c r="H83" s="134">
        <v>5.43</v>
      </c>
      <c r="I83" s="134">
        <v>2.67</v>
      </c>
      <c r="J83" s="134">
        <v>0.12</v>
      </c>
      <c r="K83" s="134">
        <v>221.19</v>
      </c>
      <c r="L83" s="134">
        <v>28.12</v>
      </c>
      <c r="M83" s="134">
        <v>78.19</v>
      </c>
      <c r="N83" s="134">
        <v>0</v>
      </c>
      <c r="O83" s="134">
        <v>0</v>
      </c>
      <c r="P83" s="134">
        <v>0.28999999999999998</v>
      </c>
      <c r="Q83" s="134">
        <v>5.08</v>
      </c>
    </row>
    <row r="84" spans="1:17" customFormat="1">
      <c r="A84" s="112" t="s">
        <v>1850</v>
      </c>
      <c r="B84" s="134">
        <v>6.18</v>
      </c>
      <c r="C84" s="134">
        <v>12.55</v>
      </c>
      <c r="D84" s="134">
        <v>12.86</v>
      </c>
      <c r="E84" s="134">
        <v>7.3</v>
      </c>
      <c r="F84" s="134">
        <v>13.1</v>
      </c>
      <c r="G84" s="134">
        <v>11.95</v>
      </c>
      <c r="H84" s="134">
        <v>5.43</v>
      </c>
      <c r="I84" s="134">
        <v>2.68</v>
      </c>
      <c r="J84" s="134">
        <v>0.13</v>
      </c>
      <c r="K84" s="134">
        <v>230.27</v>
      </c>
      <c r="L84" s="134">
        <v>28.15</v>
      </c>
      <c r="M84" s="134">
        <v>78.209999999999994</v>
      </c>
      <c r="N84" s="134">
        <v>0</v>
      </c>
      <c r="O84" s="134">
        <v>0</v>
      </c>
      <c r="P84" s="134">
        <v>0.28999999999999998</v>
      </c>
      <c r="Q84" s="134">
        <v>5.05</v>
      </c>
    </row>
    <row r="85" spans="1:17" customFormat="1">
      <c r="A85" s="112" t="s">
        <v>1851</v>
      </c>
      <c r="B85" s="134">
        <v>6.77</v>
      </c>
      <c r="C85" s="134">
        <v>15.75</v>
      </c>
      <c r="D85" s="134">
        <v>15.01</v>
      </c>
      <c r="E85" s="134">
        <v>8.0399999999999991</v>
      </c>
      <c r="F85" s="134">
        <v>8.85</v>
      </c>
      <c r="G85" s="134">
        <v>11.95</v>
      </c>
      <c r="H85" s="134">
        <v>5.43</v>
      </c>
      <c r="I85" s="134">
        <v>2.76</v>
      </c>
      <c r="J85" s="134">
        <v>0.12</v>
      </c>
      <c r="K85" s="134">
        <v>225.12</v>
      </c>
      <c r="L85" s="134">
        <v>27.94</v>
      </c>
      <c r="M85" s="134">
        <v>79.22</v>
      </c>
      <c r="N85" s="134">
        <v>0</v>
      </c>
      <c r="O85" s="134">
        <v>0</v>
      </c>
      <c r="P85" s="134">
        <v>0.32</v>
      </c>
      <c r="Q85" s="134">
        <v>5.0999999999999996</v>
      </c>
    </row>
    <row r="86" spans="1:17" customFormat="1">
      <c r="A86" s="112" t="s">
        <v>1852</v>
      </c>
      <c r="B86" s="134">
        <v>6.88</v>
      </c>
      <c r="C86" s="134">
        <v>15.05</v>
      </c>
      <c r="D86" s="134">
        <v>14.73</v>
      </c>
      <c r="E86" s="134">
        <v>8.14</v>
      </c>
      <c r="F86" s="134">
        <v>11.06</v>
      </c>
      <c r="G86" s="134">
        <v>13.2</v>
      </c>
      <c r="H86" s="134">
        <v>4.37</v>
      </c>
      <c r="I86" s="134">
        <v>2.93</v>
      </c>
      <c r="J86" s="134">
        <v>0.13</v>
      </c>
      <c r="K86" s="134">
        <v>194.9</v>
      </c>
      <c r="L86" s="134">
        <v>28</v>
      </c>
      <c r="M86" s="134">
        <v>78.739999999999995</v>
      </c>
      <c r="N86" s="134">
        <v>0</v>
      </c>
      <c r="O86" s="134">
        <v>0</v>
      </c>
      <c r="P86" s="134">
        <v>0.34</v>
      </c>
      <c r="Q86" s="134">
        <v>5.15</v>
      </c>
    </row>
    <row r="87" spans="1:17" customFormat="1">
      <c r="A87" s="112" t="s">
        <v>1853</v>
      </c>
      <c r="B87" s="134">
        <v>7.06</v>
      </c>
      <c r="C87" s="134">
        <v>15</v>
      </c>
      <c r="D87" s="134">
        <v>14.85</v>
      </c>
      <c r="E87" s="134">
        <v>7.55</v>
      </c>
      <c r="F87" s="134">
        <v>10.68</v>
      </c>
      <c r="G87" s="134">
        <v>13.41</v>
      </c>
      <c r="H87" s="134">
        <v>4.37</v>
      </c>
      <c r="I87" s="134">
        <v>3.22</v>
      </c>
      <c r="J87" s="134">
        <v>0.27</v>
      </c>
      <c r="K87" s="134">
        <v>244.36</v>
      </c>
      <c r="L87" s="134">
        <v>27.99</v>
      </c>
      <c r="M87" s="134">
        <v>78.260000000000005</v>
      </c>
      <c r="N87" s="134">
        <v>0</v>
      </c>
      <c r="O87" s="134">
        <v>0</v>
      </c>
      <c r="P87" s="134">
        <v>0.36</v>
      </c>
      <c r="Q87" s="134">
        <v>5.16</v>
      </c>
    </row>
    <row r="88" spans="1:17" customFormat="1">
      <c r="A88" s="112" t="s">
        <v>1854</v>
      </c>
      <c r="B88" s="134">
        <v>7.03</v>
      </c>
      <c r="C88" s="134">
        <v>14.85</v>
      </c>
      <c r="D88" s="134">
        <v>14.75</v>
      </c>
      <c r="E88" s="134">
        <v>7.99</v>
      </c>
      <c r="F88" s="134">
        <v>10.26</v>
      </c>
      <c r="G88" s="134">
        <v>13.41</v>
      </c>
      <c r="H88" s="134">
        <v>4.37</v>
      </c>
      <c r="I88" s="134">
        <v>3.1</v>
      </c>
      <c r="J88" s="134">
        <v>0.33</v>
      </c>
      <c r="K88" s="134">
        <v>261.42</v>
      </c>
      <c r="L88" s="134">
        <v>28.06</v>
      </c>
      <c r="M88" s="134">
        <v>77.959999999999994</v>
      </c>
      <c r="N88" s="134">
        <v>0</v>
      </c>
      <c r="O88" s="134">
        <v>0</v>
      </c>
      <c r="P88" s="134">
        <v>0.35</v>
      </c>
      <c r="Q88" s="134">
        <v>5.12</v>
      </c>
    </row>
    <row r="89" spans="1:17" customFormat="1">
      <c r="A89" s="112" t="s">
        <v>1855</v>
      </c>
      <c r="B89" s="134">
        <v>6.78</v>
      </c>
      <c r="C89" s="134">
        <v>14.12</v>
      </c>
      <c r="D89" s="134">
        <v>14.17</v>
      </c>
      <c r="E89" s="134">
        <v>7.79</v>
      </c>
      <c r="F89" s="134">
        <v>10.86</v>
      </c>
      <c r="G89" s="134">
        <v>13.41</v>
      </c>
      <c r="H89" s="134">
        <v>4.37</v>
      </c>
      <c r="I89" s="134">
        <v>3.21</v>
      </c>
      <c r="J89" s="134">
        <v>0.21</v>
      </c>
      <c r="K89" s="134">
        <v>238.52</v>
      </c>
      <c r="L89" s="134">
        <v>27.92</v>
      </c>
      <c r="M89" s="134">
        <v>79.22</v>
      </c>
      <c r="N89" s="134">
        <v>0</v>
      </c>
      <c r="O89" s="134">
        <v>0</v>
      </c>
      <c r="P89" s="134">
        <v>0.34</v>
      </c>
      <c r="Q89" s="134">
        <v>5.07</v>
      </c>
    </row>
    <row r="90" spans="1:17" customFormat="1">
      <c r="A90" s="112" t="s">
        <v>1856</v>
      </c>
      <c r="B90" s="134">
        <v>7.31</v>
      </c>
      <c r="C90" s="134">
        <v>16.52</v>
      </c>
      <c r="D90" s="134">
        <v>15.85</v>
      </c>
      <c r="E90" s="134">
        <v>8.49</v>
      </c>
      <c r="F90" s="134">
        <v>7.3</v>
      </c>
      <c r="G90" s="134">
        <v>15.18</v>
      </c>
      <c r="H90" s="134">
        <v>3.24</v>
      </c>
      <c r="I90" s="134">
        <v>3.25</v>
      </c>
      <c r="J90" s="134">
        <v>0.16</v>
      </c>
      <c r="K90" s="134">
        <v>234.21</v>
      </c>
      <c r="L90" s="134">
        <v>27.74</v>
      </c>
      <c r="M90" s="134">
        <v>80.39</v>
      </c>
      <c r="N90" s="134">
        <v>0</v>
      </c>
      <c r="O90" s="134">
        <v>0</v>
      </c>
      <c r="P90" s="134">
        <v>0.36</v>
      </c>
      <c r="Q90" s="134">
        <v>5.08</v>
      </c>
    </row>
    <row r="91" spans="1:17" customFormat="1">
      <c r="A91" s="112" t="s">
        <v>1857</v>
      </c>
      <c r="B91" s="134">
        <v>8.07</v>
      </c>
      <c r="C91" s="134">
        <v>19.05</v>
      </c>
      <c r="D91" s="134">
        <v>17.78</v>
      </c>
      <c r="E91" s="134">
        <v>8.23</v>
      </c>
      <c r="F91" s="134">
        <v>5.61</v>
      </c>
      <c r="G91" s="134">
        <v>15.48</v>
      </c>
      <c r="H91" s="134">
        <v>3.24</v>
      </c>
      <c r="I91" s="134">
        <v>3.27</v>
      </c>
      <c r="J91" s="134">
        <v>0.17</v>
      </c>
      <c r="K91" s="134">
        <v>216.67</v>
      </c>
      <c r="L91" s="134">
        <v>27.62</v>
      </c>
      <c r="M91" s="134">
        <v>81.260000000000005</v>
      </c>
      <c r="N91" s="134">
        <v>0</v>
      </c>
      <c r="O91" s="134">
        <v>0</v>
      </c>
      <c r="P91" s="134">
        <v>0.41</v>
      </c>
      <c r="Q91" s="134">
        <v>5.12</v>
      </c>
    </row>
    <row r="92" spans="1:17" customFormat="1">
      <c r="A92" s="112" t="s">
        <v>1858</v>
      </c>
      <c r="B92" s="134">
        <v>8.32</v>
      </c>
      <c r="C92" s="134">
        <v>18.82</v>
      </c>
      <c r="D92" s="134">
        <v>17.850000000000001</v>
      </c>
      <c r="E92" s="134">
        <v>8.51</v>
      </c>
      <c r="F92" s="134">
        <v>6.08</v>
      </c>
      <c r="G92" s="134">
        <v>15.48</v>
      </c>
      <c r="H92" s="134">
        <v>3.24</v>
      </c>
      <c r="I92" s="134">
        <v>3.53</v>
      </c>
      <c r="J92" s="134">
        <v>0.31</v>
      </c>
      <c r="K92" s="134">
        <v>256.26</v>
      </c>
      <c r="L92" s="134">
        <v>27.7</v>
      </c>
      <c r="M92" s="134">
        <v>81</v>
      </c>
      <c r="N92" s="134">
        <v>0</v>
      </c>
      <c r="O92" s="134">
        <v>0</v>
      </c>
      <c r="P92" s="134">
        <v>0.41</v>
      </c>
      <c r="Q92" s="134">
        <v>5.13</v>
      </c>
    </row>
    <row r="93" spans="1:17" customFormat="1">
      <c r="A93" s="112" t="s">
        <v>1859</v>
      </c>
      <c r="B93" s="134">
        <v>8.17</v>
      </c>
      <c r="C93" s="134">
        <v>17.88</v>
      </c>
      <c r="D93" s="134">
        <v>17.239999999999998</v>
      </c>
      <c r="E93" s="134">
        <v>8.08</v>
      </c>
      <c r="F93" s="134">
        <v>6.59</v>
      </c>
      <c r="G93" s="134">
        <v>15.48</v>
      </c>
      <c r="H93" s="134">
        <v>3.24</v>
      </c>
      <c r="I93" s="134">
        <v>3.73</v>
      </c>
      <c r="J93" s="134">
        <v>0.17</v>
      </c>
      <c r="K93" s="134">
        <v>209.48</v>
      </c>
      <c r="L93" s="134">
        <v>27.61</v>
      </c>
      <c r="M93" s="134">
        <v>82.22</v>
      </c>
      <c r="N93" s="134">
        <v>0</v>
      </c>
      <c r="O93" s="134">
        <v>0</v>
      </c>
      <c r="P93" s="134">
        <v>0.46</v>
      </c>
      <c r="Q93" s="134">
        <v>5.14</v>
      </c>
    </row>
    <row r="94" spans="1:17" customFormat="1">
      <c r="A94" s="112" t="s">
        <v>1860</v>
      </c>
      <c r="B94" s="134">
        <v>8.07</v>
      </c>
      <c r="C94" s="134">
        <v>16.29</v>
      </c>
      <c r="D94" s="134">
        <v>16.329999999999998</v>
      </c>
      <c r="E94" s="134">
        <v>7.91</v>
      </c>
      <c r="F94" s="134">
        <v>7.17</v>
      </c>
      <c r="G94" s="134">
        <v>16.47</v>
      </c>
      <c r="H94" s="134">
        <v>5.92</v>
      </c>
      <c r="I94" s="134">
        <v>3.71</v>
      </c>
      <c r="J94" s="134">
        <v>0.09</v>
      </c>
      <c r="K94" s="134">
        <v>198.04</v>
      </c>
      <c r="L94" s="134">
        <v>27.3</v>
      </c>
      <c r="M94" s="134">
        <v>83.8</v>
      </c>
      <c r="N94" s="134">
        <v>0</v>
      </c>
      <c r="O94" s="134">
        <v>0</v>
      </c>
      <c r="P94" s="134">
        <v>0.46</v>
      </c>
      <c r="Q94" s="134">
        <v>5.13</v>
      </c>
    </row>
    <row r="95" spans="1:17" customFormat="1">
      <c r="A95" s="112" t="s">
        <v>1861</v>
      </c>
      <c r="B95" s="134">
        <v>8.0299999999999994</v>
      </c>
      <c r="C95" s="134">
        <v>16.23</v>
      </c>
      <c r="D95" s="134">
        <v>16.27</v>
      </c>
      <c r="E95" s="134">
        <v>7.92</v>
      </c>
      <c r="F95" s="134">
        <v>7.3</v>
      </c>
      <c r="G95" s="134">
        <v>16.64</v>
      </c>
      <c r="H95" s="134">
        <v>5.92</v>
      </c>
      <c r="I95" s="134">
        <v>3.98</v>
      </c>
      <c r="J95" s="134">
        <v>0.2</v>
      </c>
      <c r="K95" s="134">
        <v>173.29</v>
      </c>
      <c r="L95" s="134">
        <v>27.21</v>
      </c>
      <c r="M95" s="134">
        <v>85.45</v>
      </c>
      <c r="N95" s="134">
        <v>0</v>
      </c>
      <c r="O95" s="134">
        <v>0</v>
      </c>
      <c r="P95" s="134">
        <v>0.42</v>
      </c>
      <c r="Q95" s="134">
        <v>5.1100000000000003</v>
      </c>
    </row>
    <row r="96" spans="1:17" customFormat="1">
      <c r="A96" s="112" t="s">
        <v>1862</v>
      </c>
      <c r="B96" s="134">
        <v>9.17</v>
      </c>
      <c r="C96" s="134">
        <v>18.940000000000001</v>
      </c>
      <c r="D96" s="134">
        <v>18.600000000000001</v>
      </c>
      <c r="E96" s="134">
        <v>8.11</v>
      </c>
      <c r="F96" s="134">
        <v>5.15</v>
      </c>
      <c r="G96" s="134">
        <v>16.64</v>
      </c>
      <c r="H96" s="134">
        <v>5.92</v>
      </c>
      <c r="I96" s="134">
        <v>3.98</v>
      </c>
      <c r="J96" s="134">
        <v>0.12</v>
      </c>
      <c r="K96" s="134">
        <v>235.35</v>
      </c>
      <c r="L96" s="134">
        <v>26.96</v>
      </c>
      <c r="M96" s="134">
        <v>87.23</v>
      </c>
      <c r="N96" s="134">
        <v>0</v>
      </c>
      <c r="O96" s="134">
        <v>0</v>
      </c>
      <c r="P96" s="134">
        <v>0.44</v>
      </c>
      <c r="Q96" s="134">
        <v>5.09</v>
      </c>
    </row>
    <row r="97" spans="1:22" customFormat="1">
      <c r="A97" s="112" t="s">
        <v>1863</v>
      </c>
      <c r="B97" s="134">
        <v>10.36</v>
      </c>
      <c r="C97" s="134">
        <v>19.98</v>
      </c>
      <c r="D97" s="134">
        <v>20.100000000000001</v>
      </c>
      <c r="E97" s="134">
        <v>7.98</v>
      </c>
      <c r="F97" s="134">
        <v>4.28</v>
      </c>
      <c r="G97" s="134">
        <v>16.64</v>
      </c>
      <c r="H97" s="134">
        <v>5.92</v>
      </c>
      <c r="I97" s="134">
        <v>3.98</v>
      </c>
      <c r="J97" s="134">
        <v>0.18</v>
      </c>
      <c r="K97" s="134">
        <v>233.8</v>
      </c>
      <c r="L97" s="134">
        <v>27.07</v>
      </c>
      <c r="M97" s="134">
        <v>85.69</v>
      </c>
      <c r="N97" s="134">
        <v>0</v>
      </c>
      <c r="O97" s="134">
        <v>0</v>
      </c>
      <c r="P97" s="134">
        <v>0.51</v>
      </c>
      <c r="Q97" s="134">
        <v>5.13</v>
      </c>
    </row>
    <row r="98" spans="1:22" customFormat="1">
      <c r="A98" s="112" t="s">
        <v>1864</v>
      </c>
      <c r="B98" s="134">
        <v>10.53</v>
      </c>
      <c r="C98" s="134">
        <v>19.89</v>
      </c>
      <c r="D98" s="134">
        <v>20.190000000000001</v>
      </c>
      <c r="E98" s="134">
        <v>8.36</v>
      </c>
      <c r="F98" s="134">
        <v>4.2</v>
      </c>
      <c r="G98" s="134">
        <v>21.41</v>
      </c>
      <c r="H98" s="134">
        <v>4.41</v>
      </c>
      <c r="I98" s="134">
        <v>4.1399999999999997</v>
      </c>
      <c r="J98" s="134">
        <v>0.19</v>
      </c>
      <c r="K98" s="134">
        <v>235.06</v>
      </c>
      <c r="L98" s="134">
        <v>27.02</v>
      </c>
      <c r="M98" s="134">
        <v>84.82</v>
      </c>
      <c r="N98" s="134">
        <v>0</v>
      </c>
      <c r="O98" s="134">
        <v>0</v>
      </c>
      <c r="P98" s="134">
        <v>0.55000000000000004</v>
      </c>
      <c r="Q98" s="134">
        <v>5.16</v>
      </c>
    </row>
    <row r="99" spans="1:22" customFormat="1">
      <c r="A99" s="112" t="s">
        <v>1865</v>
      </c>
      <c r="B99" s="134">
        <v>11.49</v>
      </c>
      <c r="C99" s="134">
        <v>20.59</v>
      </c>
      <c r="D99" s="134">
        <v>21.33</v>
      </c>
      <c r="E99" s="134">
        <v>8.48</v>
      </c>
      <c r="F99" s="134">
        <v>4.4400000000000004</v>
      </c>
      <c r="G99" s="134">
        <v>22.22</v>
      </c>
      <c r="H99" s="134">
        <v>4.41</v>
      </c>
      <c r="I99" s="134">
        <v>4.32</v>
      </c>
      <c r="J99" s="134">
        <v>0.06</v>
      </c>
      <c r="K99" s="134">
        <v>213.75</v>
      </c>
      <c r="L99" s="134">
        <v>27.23</v>
      </c>
      <c r="M99" s="134">
        <v>82.93</v>
      </c>
      <c r="N99" s="134">
        <v>0</v>
      </c>
      <c r="O99" s="134">
        <v>0</v>
      </c>
      <c r="P99" s="134">
        <v>0.5</v>
      </c>
      <c r="Q99" s="134">
        <v>5.18</v>
      </c>
    </row>
    <row r="100" spans="1:22" customFormat="1">
      <c r="A100" s="112" t="s">
        <v>1866</v>
      </c>
      <c r="B100" s="134">
        <v>11.98</v>
      </c>
      <c r="C100" s="134">
        <v>21.88</v>
      </c>
      <c r="D100" s="134">
        <v>22.39</v>
      </c>
      <c r="E100" s="134">
        <v>8.74</v>
      </c>
      <c r="F100" s="134">
        <v>4.04</v>
      </c>
      <c r="G100" s="134">
        <v>22.22</v>
      </c>
      <c r="H100" s="134">
        <v>4.41</v>
      </c>
      <c r="I100" s="134">
        <v>4.59</v>
      </c>
      <c r="J100" s="134">
        <v>0.18</v>
      </c>
      <c r="K100" s="134">
        <v>189.85</v>
      </c>
      <c r="L100" s="134">
        <v>27.04</v>
      </c>
      <c r="M100" s="134">
        <v>83.85</v>
      </c>
      <c r="N100" s="134">
        <v>0</v>
      </c>
      <c r="O100" s="134">
        <v>0</v>
      </c>
      <c r="P100" s="134">
        <v>0.5</v>
      </c>
      <c r="Q100" s="134">
        <v>5.2</v>
      </c>
    </row>
    <row r="101" spans="1:22" customFormat="1">
      <c r="A101" s="112" t="s">
        <v>1867</v>
      </c>
      <c r="B101" s="134">
        <v>12.08</v>
      </c>
      <c r="C101" s="134">
        <v>20.81</v>
      </c>
      <c r="D101" s="134">
        <v>21.91</v>
      </c>
      <c r="E101" s="134">
        <v>8.56</v>
      </c>
      <c r="F101" s="134">
        <v>4.41</v>
      </c>
      <c r="G101" s="134">
        <v>22.22</v>
      </c>
      <c r="H101" s="134">
        <v>4.41</v>
      </c>
      <c r="I101" s="134">
        <v>4.43</v>
      </c>
      <c r="J101" s="134">
        <v>0.19</v>
      </c>
      <c r="K101" s="134">
        <v>186.19</v>
      </c>
      <c r="L101" s="134">
        <v>26.77</v>
      </c>
      <c r="M101" s="134">
        <v>86.55</v>
      </c>
      <c r="N101" s="134">
        <v>0</v>
      </c>
      <c r="O101" s="134">
        <v>0</v>
      </c>
      <c r="P101" s="134">
        <v>0.5</v>
      </c>
      <c r="Q101" s="134">
        <v>5.31</v>
      </c>
    </row>
    <row r="102" spans="1:22" customFormat="1">
      <c r="A102" s="112" t="s">
        <v>1868</v>
      </c>
      <c r="B102" s="134">
        <v>11.76</v>
      </c>
      <c r="C102" s="134">
        <v>19.670000000000002</v>
      </c>
      <c r="D102" s="134">
        <v>21.06</v>
      </c>
      <c r="E102" s="134">
        <v>7.82</v>
      </c>
      <c r="F102" s="134">
        <v>4.3099999999999996</v>
      </c>
      <c r="G102" s="134">
        <v>25.83</v>
      </c>
      <c r="H102" s="134">
        <v>7.77</v>
      </c>
      <c r="I102" s="134">
        <v>4.45</v>
      </c>
      <c r="J102" s="134">
        <v>0.12</v>
      </c>
      <c r="K102" s="134">
        <v>202.13</v>
      </c>
      <c r="L102" s="134">
        <v>26.35</v>
      </c>
      <c r="M102" s="134">
        <v>90.92</v>
      </c>
      <c r="N102" s="134">
        <v>0</v>
      </c>
      <c r="O102" s="134">
        <v>0</v>
      </c>
      <c r="P102" s="134">
        <v>0.51</v>
      </c>
      <c r="Q102" s="134">
        <v>5.3</v>
      </c>
    </row>
    <row r="103" spans="1:22" customFormat="1">
      <c r="A103" s="112" t="s">
        <v>1869</v>
      </c>
      <c r="B103" s="134">
        <v>12.27</v>
      </c>
      <c r="C103" s="134">
        <v>20.93</v>
      </c>
      <c r="D103" s="134">
        <v>22.13</v>
      </c>
      <c r="E103" s="134">
        <v>8.39</v>
      </c>
      <c r="F103" s="134">
        <v>4.18</v>
      </c>
      <c r="G103" s="134">
        <v>26.44</v>
      </c>
      <c r="H103" s="134">
        <v>7.77</v>
      </c>
      <c r="I103" s="134">
        <v>4.41</v>
      </c>
      <c r="J103" s="134">
        <v>0.17</v>
      </c>
      <c r="K103" s="134">
        <v>220.67</v>
      </c>
      <c r="L103" s="134">
        <v>26.21</v>
      </c>
      <c r="M103" s="134">
        <v>91.33</v>
      </c>
      <c r="N103" s="134">
        <v>0</v>
      </c>
      <c r="O103" s="134">
        <v>0</v>
      </c>
      <c r="P103" s="134">
        <v>0.51</v>
      </c>
      <c r="Q103" s="134">
        <v>5.34</v>
      </c>
    </row>
    <row r="104" spans="1:22" customFormat="1">
      <c r="A104" s="112" t="s">
        <v>1870</v>
      </c>
      <c r="B104" s="134">
        <v>11.91</v>
      </c>
      <c r="C104" s="134">
        <v>19.600000000000001</v>
      </c>
      <c r="D104" s="134">
        <v>21.14</v>
      </c>
      <c r="E104" s="134">
        <v>8.57</v>
      </c>
      <c r="F104" s="134">
        <v>4.63</v>
      </c>
      <c r="G104" s="134">
        <v>26.44</v>
      </c>
      <c r="H104" s="134">
        <v>7.77</v>
      </c>
      <c r="I104" s="134">
        <v>4.4800000000000004</v>
      </c>
      <c r="J104" s="134">
        <v>0.09</v>
      </c>
      <c r="K104" s="134">
        <v>202.69</v>
      </c>
      <c r="L104" s="134">
        <v>26.06</v>
      </c>
      <c r="M104" s="134">
        <v>92.63</v>
      </c>
      <c r="N104" s="134">
        <v>0</v>
      </c>
      <c r="O104" s="134">
        <v>0</v>
      </c>
      <c r="P104" s="134">
        <v>0.53</v>
      </c>
      <c r="Q104" s="134">
        <v>5.36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6.11</v>
      </c>
      <c r="C106" s="183">
        <f>MIN(C9:C104)</f>
        <v>12.13</v>
      </c>
      <c r="D106" s="183">
        <f t="shared" ref="D106:Q106" si="0">MIN(D9:D104)</f>
        <v>12.66</v>
      </c>
      <c r="E106" s="183">
        <f t="shared" si="0"/>
        <v>4.92</v>
      </c>
      <c r="F106" s="183">
        <f t="shared" si="0"/>
        <v>3.83</v>
      </c>
      <c r="G106" s="183">
        <f t="shared" si="0"/>
        <v>9.6999999999999993</v>
      </c>
      <c r="H106" s="183">
        <f t="shared" si="0"/>
        <v>2.38</v>
      </c>
      <c r="I106" s="183">
        <f t="shared" si="0"/>
        <v>2.67</v>
      </c>
      <c r="J106" s="183">
        <f t="shared" si="0"/>
        <v>0.04</v>
      </c>
      <c r="K106" s="183">
        <f t="shared" si="0"/>
        <v>142.84</v>
      </c>
      <c r="L106" s="183">
        <f t="shared" si="0"/>
        <v>24.2</v>
      </c>
      <c r="M106" s="183">
        <f t="shared" si="0"/>
        <v>60.27</v>
      </c>
      <c r="N106" s="183">
        <f t="shared" si="0"/>
        <v>0</v>
      </c>
      <c r="O106" s="183">
        <f t="shared" si="0"/>
        <v>0</v>
      </c>
      <c r="P106" s="183">
        <f t="shared" si="0"/>
        <v>0.28999999999999998</v>
      </c>
      <c r="Q106" s="183">
        <f t="shared" si="0"/>
        <v>5.05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16.41</v>
      </c>
      <c r="C107" s="184">
        <f t="shared" ref="C107:Q107" si="1">MAX(C9:C104)</f>
        <v>21.88</v>
      </c>
      <c r="D107" s="184">
        <f t="shared" si="1"/>
        <v>25.17</v>
      </c>
      <c r="E107" s="184">
        <f t="shared" si="1"/>
        <v>9.01</v>
      </c>
      <c r="F107" s="184">
        <f t="shared" si="1"/>
        <v>14.99</v>
      </c>
      <c r="G107" s="184">
        <f t="shared" si="1"/>
        <v>26.44</v>
      </c>
      <c r="H107" s="184">
        <f t="shared" si="1"/>
        <v>8.1999999999999993</v>
      </c>
      <c r="I107" s="184">
        <f t="shared" si="1"/>
        <v>4.59</v>
      </c>
      <c r="J107" s="184">
        <f t="shared" si="1"/>
        <v>0.91</v>
      </c>
      <c r="K107" s="184">
        <f t="shared" si="1"/>
        <v>280.10000000000002</v>
      </c>
      <c r="L107" s="184">
        <f t="shared" si="1"/>
        <v>32.92</v>
      </c>
      <c r="M107" s="184">
        <f t="shared" si="1"/>
        <v>98.82</v>
      </c>
      <c r="N107" s="184">
        <f t="shared" si="1"/>
        <v>888.6</v>
      </c>
      <c r="O107" s="184">
        <f t="shared" si="1"/>
        <v>0</v>
      </c>
      <c r="P107" s="184">
        <f t="shared" si="1"/>
        <v>0.55000000000000004</v>
      </c>
      <c r="Q107" s="184">
        <f t="shared" si="1"/>
        <v>5.62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11.089166666666662</v>
      </c>
      <c r="C108" s="183">
        <f t="shared" ref="C108:Q108" si="2">AVERAGE(C9:C104)</f>
        <v>18.218437499999997</v>
      </c>
      <c r="D108" s="183">
        <f t="shared" si="2"/>
        <v>19.763124999999999</v>
      </c>
      <c r="E108" s="183">
        <f t="shared" si="2"/>
        <v>7.2807291666666645</v>
      </c>
      <c r="F108" s="183">
        <f t="shared" si="2"/>
        <v>6.2697916666666655</v>
      </c>
      <c r="G108" s="183">
        <f t="shared" si="2"/>
        <v>13.990000000000011</v>
      </c>
      <c r="H108" s="183">
        <f t="shared" si="2"/>
        <v>4.9785416666666658</v>
      </c>
      <c r="I108" s="183">
        <f t="shared" si="2"/>
        <v>3.7877083333333341</v>
      </c>
      <c r="J108" s="183">
        <f t="shared" si="2"/>
        <v>0.27145833333333341</v>
      </c>
      <c r="K108" s="183">
        <f t="shared" si="2"/>
        <v>227.55458333333323</v>
      </c>
      <c r="L108" s="183">
        <f t="shared" si="2"/>
        <v>28.068437499999998</v>
      </c>
      <c r="M108" s="183">
        <f t="shared" si="2"/>
        <v>80.71687500000003</v>
      </c>
      <c r="N108" s="183">
        <f t="shared" si="2"/>
        <v>204.67604166666663</v>
      </c>
      <c r="O108" s="183">
        <f t="shared" si="2"/>
        <v>0</v>
      </c>
      <c r="P108" s="183">
        <f t="shared" si="2"/>
        <v>0.41812499999999969</v>
      </c>
      <c r="Q108" s="183">
        <f t="shared" si="2"/>
        <v>5.3413541666666662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3.5426822032158864</v>
      </c>
      <c r="C109" s="183">
        <f t="shared" ref="C109:Q109" si="3">STDEV(C9:C104)</f>
        <v>2.1335995422241094</v>
      </c>
      <c r="D109" s="183">
        <f t="shared" si="3"/>
        <v>3.7367636750479529</v>
      </c>
      <c r="E109" s="183">
        <f t="shared" si="3"/>
        <v>1.1665173040354364</v>
      </c>
      <c r="F109" s="183">
        <f t="shared" si="3"/>
        <v>2.814856443630056</v>
      </c>
      <c r="G109" s="183">
        <f t="shared" si="3"/>
        <v>3.5511379940282848</v>
      </c>
      <c r="H109" s="183">
        <f t="shared" si="3"/>
        <v>1.6122902828400274</v>
      </c>
      <c r="I109" s="183">
        <f t="shared" si="3"/>
        <v>0.41847210601038903</v>
      </c>
      <c r="J109" s="183">
        <f t="shared" si="3"/>
        <v>0.21489277211849625</v>
      </c>
      <c r="K109" s="183">
        <f t="shared" si="3"/>
        <v>34.927547050752054</v>
      </c>
      <c r="L109" s="183">
        <f t="shared" si="3"/>
        <v>2.8891908640109625</v>
      </c>
      <c r="M109" s="183">
        <f t="shared" si="3"/>
        <v>13.406243189177301</v>
      </c>
      <c r="N109" s="183">
        <f t="shared" si="3"/>
        <v>303.90547136440188</v>
      </c>
      <c r="O109" s="183">
        <f t="shared" si="3"/>
        <v>0</v>
      </c>
      <c r="P109" s="183">
        <f t="shared" si="3"/>
        <v>6.4388827079174912E-2</v>
      </c>
      <c r="Q109" s="183">
        <f t="shared" si="3"/>
        <v>0.19572601576087356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18/09/2023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1871</v>
      </c>
      <c r="B9" s="134">
        <v>11.12</v>
      </c>
      <c r="C9" s="134">
        <v>17.760000000000002</v>
      </c>
      <c r="D9" s="134">
        <v>19.55</v>
      </c>
      <c r="E9" s="134">
        <v>8.2100000000000009</v>
      </c>
      <c r="F9" s="134">
        <v>5.1100000000000003</v>
      </c>
      <c r="G9" s="134">
        <v>26.44</v>
      </c>
      <c r="H9" s="134">
        <v>7.77</v>
      </c>
      <c r="I9" s="134">
        <v>4.5999999999999996</v>
      </c>
      <c r="J9" s="134">
        <v>0.11</v>
      </c>
      <c r="K9" s="134">
        <v>186.91</v>
      </c>
      <c r="L9" s="134">
        <v>26.14</v>
      </c>
      <c r="M9" s="134">
        <v>90.96</v>
      </c>
      <c r="N9" s="134">
        <v>0</v>
      </c>
      <c r="O9" s="134">
        <v>0</v>
      </c>
      <c r="P9" s="134">
        <v>0.51</v>
      </c>
      <c r="Q9" s="134">
        <v>5.36</v>
      </c>
    </row>
    <row r="10" spans="1:21" customFormat="1">
      <c r="A10" s="112" t="s">
        <v>1872</v>
      </c>
      <c r="B10" s="134">
        <v>12.42</v>
      </c>
      <c r="C10" s="134">
        <v>20.66</v>
      </c>
      <c r="D10" s="134">
        <v>22.1</v>
      </c>
      <c r="E10" s="134">
        <v>8.75</v>
      </c>
      <c r="F10" s="134">
        <v>4.3499999999999996</v>
      </c>
      <c r="G10" s="134">
        <v>27.89</v>
      </c>
      <c r="H10" s="134">
        <v>6.76</v>
      </c>
      <c r="I10" s="134">
        <v>4.6100000000000003</v>
      </c>
      <c r="J10" s="134">
        <v>0.19</v>
      </c>
      <c r="K10" s="134">
        <v>164.75</v>
      </c>
      <c r="L10" s="134">
        <v>26.15</v>
      </c>
      <c r="M10" s="134">
        <v>91.65</v>
      </c>
      <c r="N10" s="134">
        <v>0</v>
      </c>
      <c r="O10" s="134">
        <v>0</v>
      </c>
      <c r="P10" s="134">
        <v>0.52</v>
      </c>
      <c r="Q10" s="134">
        <v>5.34</v>
      </c>
    </row>
    <row r="11" spans="1:21" customFormat="1">
      <c r="A11" s="112" t="s">
        <v>1873</v>
      </c>
      <c r="B11" s="134">
        <v>12.71</v>
      </c>
      <c r="C11" s="134">
        <v>20.68</v>
      </c>
      <c r="D11" s="134">
        <v>22.35</v>
      </c>
      <c r="E11" s="134">
        <v>8.3699999999999992</v>
      </c>
      <c r="F11" s="134">
        <v>4.41</v>
      </c>
      <c r="G11" s="134">
        <v>28.13</v>
      </c>
      <c r="H11" s="134">
        <v>6.76</v>
      </c>
      <c r="I11" s="134">
        <v>4.5599999999999996</v>
      </c>
      <c r="J11" s="134">
        <v>0.1</v>
      </c>
      <c r="K11" s="134">
        <v>206.31</v>
      </c>
      <c r="L11" s="134">
        <v>26.05</v>
      </c>
      <c r="M11" s="134">
        <v>92.74</v>
      </c>
      <c r="N11" s="134">
        <v>0</v>
      </c>
      <c r="O11" s="134">
        <v>0</v>
      </c>
      <c r="P11" s="134">
        <v>0.53</v>
      </c>
      <c r="Q11" s="134">
        <v>5.36</v>
      </c>
    </row>
    <row r="12" spans="1:21" customFormat="1">
      <c r="A12" s="112" t="s">
        <v>1874</v>
      </c>
      <c r="B12" s="134">
        <v>12.35</v>
      </c>
      <c r="C12" s="134">
        <v>18.54</v>
      </c>
      <c r="D12" s="134">
        <v>20.94</v>
      </c>
      <c r="E12" s="134">
        <v>8.02</v>
      </c>
      <c r="F12" s="134">
        <v>4.8099999999999996</v>
      </c>
      <c r="G12" s="134">
        <v>28.13</v>
      </c>
      <c r="H12" s="134">
        <v>6.76</v>
      </c>
      <c r="I12" s="134">
        <v>4.72</v>
      </c>
      <c r="J12" s="134">
        <v>0.13</v>
      </c>
      <c r="K12" s="134">
        <v>228.39</v>
      </c>
      <c r="L12" s="134">
        <v>25.83</v>
      </c>
      <c r="M12" s="134">
        <v>94.61</v>
      </c>
      <c r="N12" s="134">
        <v>0</v>
      </c>
      <c r="O12" s="134">
        <v>0</v>
      </c>
      <c r="P12" s="134">
        <v>0.52</v>
      </c>
      <c r="Q12" s="134">
        <v>5.38</v>
      </c>
    </row>
    <row r="13" spans="1:21" customFormat="1">
      <c r="A13" s="112" t="s">
        <v>1875</v>
      </c>
      <c r="B13" s="134">
        <v>13.02</v>
      </c>
      <c r="C13" s="134">
        <v>19.93</v>
      </c>
      <c r="D13" s="134">
        <v>22.21</v>
      </c>
      <c r="E13" s="134">
        <v>8.76</v>
      </c>
      <c r="F13" s="134">
        <v>4.54</v>
      </c>
      <c r="G13" s="134">
        <v>28.13</v>
      </c>
      <c r="H13" s="134">
        <v>6.76</v>
      </c>
      <c r="I13" s="134">
        <v>4.6500000000000004</v>
      </c>
      <c r="J13" s="134">
        <v>0.14000000000000001</v>
      </c>
      <c r="K13" s="134">
        <v>227.01</v>
      </c>
      <c r="L13" s="134">
        <v>25.68</v>
      </c>
      <c r="M13" s="134">
        <v>94.29</v>
      </c>
      <c r="N13" s="134">
        <v>0</v>
      </c>
      <c r="O13" s="134">
        <v>0</v>
      </c>
      <c r="P13" s="134">
        <v>0.53</v>
      </c>
      <c r="Q13" s="134">
        <v>5.37</v>
      </c>
    </row>
    <row r="14" spans="1:21" customFormat="1">
      <c r="A14" s="112" t="s">
        <v>1876</v>
      </c>
      <c r="B14" s="134">
        <v>13.11</v>
      </c>
      <c r="C14" s="134">
        <v>20.149999999999999</v>
      </c>
      <c r="D14" s="134">
        <v>22.39</v>
      </c>
      <c r="E14" s="134">
        <v>8.35</v>
      </c>
      <c r="F14" s="134">
        <v>4.49</v>
      </c>
      <c r="G14" s="134">
        <v>25.03</v>
      </c>
      <c r="H14" s="134">
        <v>5.78</v>
      </c>
      <c r="I14" s="134">
        <v>4.62</v>
      </c>
      <c r="J14" s="134">
        <v>0.09</v>
      </c>
      <c r="K14" s="134">
        <v>198.33</v>
      </c>
      <c r="L14" s="134">
        <v>25.67</v>
      </c>
      <c r="M14" s="134">
        <v>95.4</v>
      </c>
      <c r="N14" s="134">
        <v>0</v>
      </c>
      <c r="O14" s="134">
        <v>0</v>
      </c>
      <c r="P14" s="134">
        <v>0.53</v>
      </c>
      <c r="Q14" s="134">
        <v>5.39</v>
      </c>
    </row>
    <row r="15" spans="1:21" customFormat="1">
      <c r="A15" s="112" t="s">
        <v>1877</v>
      </c>
      <c r="B15" s="134">
        <v>13.53</v>
      </c>
      <c r="C15" s="134">
        <v>20.51</v>
      </c>
      <c r="D15" s="134">
        <v>22.92</v>
      </c>
      <c r="E15" s="134">
        <v>8.2200000000000006</v>
      </c>
      <c r="F15" s="134">
        <v>4.4400000000000004</v>
      </c>
      <c r="G15" s="134">
        <v>24.51</v>
      </c>
      <c r="H15" s="134">
        <v>5.78</v>
      </c>
      <c r="I15" s="134">
        <v>4.7699999999999996</v>
      </c>
      <c r="J15" s="134">
        <v>0.09</v>
      </c>
      <c r="K15" s="134">
        <v>232.13</v>
      </c>
      <c r="L15" s="134">
        <v>25.62</v>
      </c>
      <c r="M15" s="134">
        <v>95.99</v>
      </c>
      <c r="N15" s="134">
        <v>0</v>
      </c>
      <c r="O15" s="134">
        <v>0</v>
      </c>
      <c r="P15" s="134">
        <v>0.54</v>
      </c>
      <c r="Q15" s="134">
        <v>5.39</v>
      </c>
    </row>
    <row r="16" spans="1:21" customFormat="1">
      <c r="A16" s="112" t="s">
        <v>1878</v>
      </c>
      <c r="B16" s="134">
        <v>13.59</v>
      </c>
      <c r="C16" s="134">
        <v>19.11</v>
      </c>
      <c r="D16" s="134">
        <v>22.23</v>
      </c>
      <c r="E16" s="134">
        <v>7.78</v>
      </c>
      <c r="F16" s="134">
        <v>4.34</v>
      </c>
      <c r="G16" s="134">
        <v>24.51</v>
      </c>
      <c r="H16" s="134">
        <v>5.78</v>
      </c>
      <c r="I16" s="134">
        <v>4.76</v>
      </c>
      <c r="J16" s="134">
        <v>0.14000000000000001</v>
      </c>
      <c r="K16" s="134">
        <v>207.49</v>
      </c>
      <c r="L16" s="134">
        <v>25.73</v>
      </c>
      <c r="M16" s="134">
        <v>95.55</v>
      </c>
      <c r="N16" s="134">
        <v>0</v>
      </c>
      <c r="O16" s="134">
        <v>0</v>
      </c>
      <c r="P16" s="134">
        <v>0.54</v>
      </c>
      <c r="Q16" s="134">
        <v>5.39</v>
      </c>
    </row>
    <row r="17" spans="1:17" customFormat="1">
      <c r="A17" s="112" t="s">
        <v>1879</v>
      </c>
      <c r="B17" s="134">
        <v>13.51</v>
      </c>
      <c r="C17" s="134">
        <v>18.22</v>
      </c>
      <c r="D17" s="134">
        <v>21.7</v>
      </c>
      <c r="E17" s="134">
        <v>5.46</v>
      </c>
      <c r="F17" s="134">
        <v>4.16</v>
      </c>
      <c r="G17" s="134">
        <v>24.51</v>
      </c>
      <c r="H17" s="134">
        <v>5.78</v>
      </c>
      <c r="I17" s="134">
        <v>4.8</v>
      </c>
      <c r="J17" s="134">
        <v>0.13</v>
      </c>
      <c r="K17" s="134">
        <v>185.24</v>
      </c>
      <c r="L17" s="134">
        <v>25.73</v>
      </c>
      <c r="M17" s="134">
        <v>93.81</v>
      </c>
      <c r="N17" s="134">
        <v>0</v>
      </c>
      <c r="O17" s="134">
        <v>0</v>
      </c>
      <c r="P17" s="134">
        <v>0.52</v>
      </c>
      <c r="Q17" s="134">
        <v>5.4</v>
      </c>
    </row>
    <row r="18" spans="1:17" customFormat="1">
      <c r="A18" s="112" t="s">
        <v>1880</v>
      </c>
      <c r="B18" s="134">
        <v>14.2</v>
      </c>
      <c r="C18" s="134">
        <v>20.14</v>
      </c>
      <c r="D18" s="134">
        <v>23.26</v>
      </c>
      <c r="E18" s="134">
        <v>6.4</v>
      </c>
      <c r="F18" s="134">
        <v>4.1399999999999997</v>
      </c>
      <c r="G18" s="134">
        <v>24.3</v>
      </c>
      <c r="H18" s="134">
        <v>5.55</v>
      </c>
      <c r="I18" s="134">
        <v>4.72</v>
      </c>
      <c r="J18" s="134">
        <v>0.14000000000000001</v>
      </c>
      <c r="K18" s="134">
        <v>212.56</v>
      </c>
      <c r="L18" s="134">
        <v>25.72</v>
      </c>
      <c r="M18" s="134">
        <v>92.41</v>
      </c>
      <c r="N18" s="134">
        <v>0</v>
      </c>
      <c r="O18" s="134">
        <v>0</v>
      </c>
      <c r="P18" s="134">
        <v>0.53</v>
      </c>
      <c r="Q18" s="134">
        <v>5.39</v>
      </c>
    </row>
    <row r="19" spans="1:17" customFormat="1">
      <c r="A19" s="112" t="s">
        <v>1881</v>
      </c>
      <c r="B19" s="134">
        <v>14.7</v>
      </c>
      <c r="C19" s="134">
        <v>20.93</v>
      </c>
      <c r="D19" s="134">
        <v>24.07</v>
      </c>
      <c r="E19" s="134">
        <v>7.08</v>
      </c>
      <c r="F19" s="134">
        <v>4.12</v>
      </c>
      <c r="G19" s="134">
        <v>24.26</v>
      </c>
      <c r="H19" s="134">
        <v>5.55</v>
      </c>
      <c r="I19" s="134">
        <v>4.72</v>
      </c>
      <c r="J19" s="134">
        <v>0.13</v>
      </c>
      <c r="K19" s="134">
        <v>173.12</v>
      </c>
      <c r="L19" s="134">
        <v>25.71</v>
      </c>
      <c r="M19" s="134">
        <v>91.96</v>
      </c>
      <c r="N19" s="134">
        <v>0</v>
      </c>
      <c r="O19" s="134">
        <v>0</v>
      </c>
      <c r="P19" s="134">
        <v>0.54</v>
      </c>
      <c r="Q19" s="134">
        <v>5.43</v>
      </c>
    </row>
    <row r="20" spans="1:17" customFormat="1">
      <c r="A20" s="112" t="s">
        <v>1882</v>
      </c>
      <c r="B20" s="134">
        <v>14.37</v>
      </c>
      <c r="C20" s="134">
        <v>19.22</v>
      </c>
      <c r="D20" s="134">
        <v>22.92</v>
      </c>
      <c r="E20" s="134">
        <v>6.92</v>
      </c>
      <c r="F20" s="134">
        <v>4.9000000000000004</v>
      </c>
      <c r="G20" s="134">
        <v>24.26</v>
      </c>
      <c r="H20" s="134">
        <v>5.55</v>
      </c>
      <c r="I20" s="134">
        <v>4.9000000000000004</v>
      </c>
      <c r="J20" s="134">
        <v>0.11</v>
      </c>
      <c r="K20" s="134">
        <v>202.68</v>
      </c>
      <c r="L20" s="134">
        <v>25.62</v>
      </c>
      <c r="M20" s="134">
        <v>91.79</v>
      </c>
      <c r="N20" s="134">
        <v>0</v>
      </c>
      <c r="O20" s="134">
        <v>0</v>
      </c>
      <c r="P20" s="134">
        <v>0.52</v>
      </c>
      <c r="Q20" s="134">
        <v>5.46</v>
      </c>
    </row>
    <row r="21" spans="1:17" customFormat="1">
      <c r="A21" s="112" t="s">
        <v>1883</v>
      </c>
      <c r="B21" s="134">
        <v>14.79</v>
      </c>
      <c r="C21" s="134">
        <v>20.3</v>
      </c>
      <c r="D21" s="134">
        <v>23.82</v>
      </c>
      <c r="E21" s="134">
        <v>7.22</v>
      </c>
      <c r="F21" s="134">
        <v>4.5</v>
      </c>
      <c r="G21" s="134">
        <v>24.26</v>
      </c>
      <c r="H21" s="134">
        <v>5.55</v>
      </c>
      <c r="I21" s="134">
        <v>4.83</v>
      </c>
      <c r="J21" s="134">
        <v>0.08</v>
      </c>
      <c r="K21" s="134">
        <v>208.73</v>
      </c>
      <c r="L21" s="134">
        <v>25.44</v>
      </c>
      <c r="M21" s="134">
        <v>93.99</v>
      </c>
      <c r="N21" s="134">
        <v>0</v>
      </c>
      <c r="O21" s="134">
        <v>0</v>
      </c>
      <c r="P21" s="134">
        <v>0.53</v>
      </c>
      <c r="Q21" s="134">
        <v>5.45</v>
      </c>
    </row>
    <row r="22" spans="1:17" customFormat="1">
      <c r="A22" s="112" t="s">
        <v>1884</v>
      </c>
      <c r="B22" s="134">
        <v>14.73</v>
      </c>
      <c r="C22" s="134">
        <v>20.34</v>
      </c>
      <c r="D22" s="134">
        <v>23.79</v>
      </c>
      <c r="E22" s="134">
        <v>7.28</v>
      </c>
      <c r="F22" s="134">
        <v>4.32</v>
      </c>
      <c r="G22" s="134">
        <v>22.28</v>
      </c>
      <c r="H22" s="134">
        <v>6.26</v>
      </c>
      <c r="I22" s="134">
        <v>4.75</v>
      </c>
      <c r="J22" s="134">
        <v>0.09</v>
      </c>
      <c r="K22" s="134">
        <v>215.76</v>
      </c>
      <c r="L22" s="134">
        <v>25.34</v>
      </c>
      <c r="M22" s="134">
        <v>95.33</v>
      </c>
      <c r="N22" s="134">
        <v>0</v>
      </c>
      <c r="O22" s="134">
        <v>0</v>
      </c>
      <c r="P22" s="134">
        <v>0.53</v>
      </c>
      <c r="Q22" s="134">
        <v>5.47</v>
      </c>
    </row>
    <row r="23" spans="1:17" customFormat="1">
      <c r="A23" s="112" t="s">
        <v>1885</v>
      </c>
      <c r="B23" s="134">
        <v>14.56</v>
      </c>
      <c r="C23" s="134">
        <v>18.670000000000002</v>
      </c>
      <c r="D23" s="134">
        <v>22.78</v>
      </c>
      <c r="E23" s="134">
        <v>6.76</v>
      </c>
      <c r="F23" s="134">
        <v>4.79</v>
      </c>
      <c r="G23" s="134">
        <v>21.91</v>
      </c>
      <c r="H23" s="134">
        <v>6.26</v>
      </c>
      <c r="I23" s="134">
        <v>4.95</v>
      </c>
      <c r="J23" s="134">
        <v>0.14000000000000001</v>
      </c>
      <c r="K23" s="134">
        <v>175.71</v>
      </c>
      <c r="L23" s="134">
        <v>25.43</v>
      </c>
      <c r="M23" s="134">
        <v>95.8</v>
      </c>
      <c r="N23" s="134">
        <v>0</v>
      </c>
      <c r="O23" s="134">
        <v>0</v>
      </c>
      <c r="P23" s="134">
        <v>0.52</v>
      </c>
      <c r="Q23" s="134">
        <v>5.52</v>
      </c>
    </row>
    <row r="24" spans="1:17" customFormat="1">
      <c r="A24" s="112" t="s">
        <v>1886</v>
      </c>
      <c r="B24" s="134">
        <v>15.09</v>
      </c>
      <c r="C24" s="134">
        <v>20.3</v>
      </c>
      <c r="D24" s="134">
        <v>24.06</v>
      </c>
      <c r="E24" s="134">
        <v>7.1</v>
      </c>
      <c r="F24" s="134">
        <v>4.37</v>
      </c>
      <c r="G24" s="134">
        <v>21.91</v>
      </c>
      <c r="H24" s="134">
        <v>6.26</v>
      </c>
      <c r="I24" s="134">
        <v>4.84</v>
      </c>
      <c r="J24" s="134">
        <v>7.0000000000000007E-2</v>
      </c>
      <c r="K24" s="134">
        <v>202.47</v>
      </c>
      <c r="L24" s="134">
        <v>25.33</v>
      </c>
      <c r="M24" s="134">
        <v>96.2</v>
      </c>
      <c r="N24" s="134">
        <v>0</v>
      </c>
      <c r="O24" s="134">
        <v>0</v>
      </c>
      <c r="P24" s="134">
        <v>0.53</v>
      </c>
      <c r="Q24" s="134">
        <v>5.49</v>
      </c>
    </row>
    <row r="25" spans="1:17" customFormat="1">
      <c r="A25" s="112" t="s">
        <v>1887</v>
      </c>
      <c r="B25" s="134">
        <v>15.38</v>
      </c>
      <c r="C25" s="134">
        <v>21.04</v>
      </c>
      <c r="D25" s="134">
        <v>24.68</v>
      </c>
      <c r="E25" s="134">
        <v>7.05</v>
      </c>
      <c r="F25" s="134">
        <v>4.34</v>
      </c>
      <c r="G25" s="134">
        <v>21.91</v>
      </c>
      <c r="H25" s="134">
        <v>6.26</v>
      </c>
      <c r="I25" s="134">
        <v>4.8</v>
      </c>
      <c r="J25" s="134">
        <v>0.16</v>
      </c>
      <c r="K25" s="134">
        <v>166.35</v>
      </c>
      <c r="L25" s="134">
        <v>25.37</v>
      </c>
      <c r="M25" s="134">
        <v>97.39</v>
      </c>
      <c r="N25" s="134">
        <v>0</v>
      </c>
      <c r="O25" s="134">
        <v>0</v>
      </c>
      <c r="P25" s="134">
        <v>0.53</v>
      </c>
      <c r="Q25" s="134">
        <v>5.54</v>
      </c>
    </row>
    <row r="26" spans="1:17" customFormat="1">
      <c r="A26" s="112" t="s">
        <v>1888</v>
      </c>
      <c r="B26" s="134">
        <v>14.74</v>
      </c>
      <c r="C26" s="134">
        <v>18.329999999999998</v>
      </c>
      <c r="D26" s="134">
        <v>22.75</v>
      </c>
      <c r="E26" s="134">
        <v>6.42</v>
      </c>
      <c r="F26" s="134">
        <v>4.63</v>
      </c>
      <c r="G26" s="134">
        <v>19.309999999999999</v>
      </c>
      <c r="H26" s="134">
        <v>4.45</v>
      </c>
      <c r="I26" s="134">
        <v>4.97</v>
      </c>
      <c r="J26" s="134">
        <v>7.0000000000000007E-2</v>
      </c>
      <c r="K26" s="134">
        <v>177.52</v>
      </c>
      <c r="L26" s="134">
        <v>25.31</v>
      </c>
      <c r="M26" s="134">
        <v>97.14</v>
      </c>
      <c r="N26" s="134">
        <v>0</v>
      </c>
      <c r="O26" s="134">
        <v>0</v>
      </c>
      <c r="P26" s="134">
        <v>0.49</v>
      </c>
      <c r="Q26" s="134">
        <v>5.57</v>
      </c>
    </row>
    <row r="27" spans="1:17" customFormat="1">
      <c r="A27" s="112" t="s">
        <v>1889</v>
      </c>
      <c r="B27" s="134">
        <v>15.34</v>
      </c>
      <c r="C27" s="134">
        <v>19.87</v>
      </c>
      <c r="D27" s="134">
        <v>24.03</v>
      </c>
      <c r="E27" s="134">
        <v>6.71</v>
      </c>
      <c r="F27" s="134">
        <v>4.26</v>
      </c>
      <c r="G27" s="134">
        <v>18.87</v>
      </c>
      <c r="H27" s="134">
        <v>4.45</v>
      </c>
      <c r="I27" s="134">
        <v>4.92</v>
      </c>
      <c r="J27" s="134">
        <v>0.2</v>
      </c>
      <c r="K27" s="134">
        <v>255.05</v>
      </c>
      <c r="L27" s="134">
        <v>25.46</v>
      </c>
      <c r="M27" s="134">
        <v>96.81</v>
      </c>
      <c r="N27" s="134">
        <v>0</v>
      </c>
      <c r="O27" s="134">
        <v>0</v>
      </c>
      <c r="P27" s="134">
        <v>0.52</v>
      </c>
      <c r="Q27" s="134">
        <v>5.54</v>
      </c>
    </row>
    <row r="28" spans="1:17" customFormat="1">
      <c r="A28" s="112" t="s">
        <v>1890</v>
      </c>
      <c r="B28" s="134">
        <v>15.64</v>
      </c>
      <c r="C28" s="134">
        <v>20.52</v>
      </c>
      <c r="D28" s="134">
        <v>24.61</v>
      </c>
      <c r="E28" s="134">
        <v>7.04</v>
      </c>
      <c r="F28" s="134">
        <v>4.2</v>
      </c>
      <c r="G28" s="134">
        <v>18.87</v>
      </c>
      <c r="H28" s="134">
        <v>4.45</v>
      </c>
      <c r="I28" s="134">
        <v>4.67</v>
      </c>
      <c r="J28" s="134">
        <v>0.11</v>
      </c>
      <c r="K28" s="134">
        <v>222.38</v>
      </c>
      <c r="L28" s="134">
        <v>25.48</v>
      </c>
      <c r="M28" s="134">
        <v>95.66</v>
      </c>
      <c r="N28" s="134">
        <v>0</v>
      </c>
      <c r="O28" s="134">
        <v>0</v>
      </c>
      <c r="P28" s="134">
        <v>0.52</v>
      </c>
      <c r="Q28" s="134">
        <v>5.56</v>
      </c>
    </row>
    <row r="29" spans="1:17" customFormat="1">
      <c r="A29" s="112" t="s">
        <v>1891</v>
      </c>
      <c r="B29" s="134">
        <v>15.35</v>
      </c>
      <c r="C29" s="134">
        <v>19.239999999999998</v>
      </c>
      <c r="D29" s="134">
        <v>23.71</v>
      </c>
      <c r="E29" s="134">
        <v>6.82</v>
      </c>
      <c r="F29" s="134">
        <v>4.6900000000000004</v>
      </c>
      <c r="G29" s="134">
        <v>18.87</v>
      </c>
      <c r="H29" s="134">
        <v>4.45</v>
      </c>
      <c r="I29" s="134">
        <v>4.9400000000000004</v>
      </c>
      <c r="J29" s="134">
        <v>0.11</v>
      </c>
      <c r="K29" s="134">
        <v>191.31</v>
      </c>
      <c r="L29" s="134">
        <v>25.4</v>
      </c>
      <c r="M29" s="134">
        <v>95.1</v>
      </c>
      <c r="N29" s="134">
        <v>0</v>
      </c>
      <c r="O29" s="134">
        <v>0</v>
      </c>
      <c r="P29" s="134">
        <v>0.5</v>
      </c>
      <c r="Q29" s="134">
        <v>5.6</v>
      </c>
    </row>
    <row r="30" spans="1:17" customFormat="1">
      <c r="A30" s="112" t="s">
        <v>1892</v>
      </c>
      <c r="B30" s="134">
        <v>15.62</v>
      </c>
      <c r="C30" s="134">
        <v>20.420000000000002</v>
      </c>
      <c r="D30" s="134">
        <v>24.55</v>
      </c>
      <c r="E30" s="134">
        <v>6.84</v>
      </c>
      <c r="F30" s="134">
        <v>4.25</v>
      </c>
      <c r="G30" s="134">
        <v>21.04</v>
      </c>
      <c r="H30" s="134">
        <v>3.9</v>
      </c>
      <c r="I30" s="134">
        <v>4.91</v>
      </c>
      <c r="J30" s="134">
        <v>0.12</v>
      </c>
      <c r="K30" s="134">
        <v>176.39</v>
      </c>
      <c r="L30" s="134">
        <v>25.32</v>
      </c>
      <c r="M30" s="134">
        <v>95.84</v>
      </c>
      <c r="N30" s="134">
        <v>0</v>
      </c>
      <c r="O30" s="134">
        <v>0</v>
      </c>
      <c r="P30" s="134">
        <v>0.52</v>
      </c>
      <c r="Q30" s="134">
        <v>5.58</v>
      </c>
    </row>
    <row r="31" spans="1:17" customFormat="1">
      <c r="A31" s="112" t="s">
        <v>1893</v>
      </c>
      <c r="B31" s="134">
        <v>15.86</v>
      </c>
      <c r="C31" s="134">
        <v>20.97</v>
      </c>
      <c r="D31" s="134">
        <v>25.03</v>
      </c>
      <c r="E31" s="134">
        <v>7.46</v>
      </c>
      <c r="F31" s="134">
        <v>4.22</v>
      </c>
      <c r="G31" s="134">
        <v>21.44</v>
      </c>
      <c r="H31" s="134">
        <v>3.9</v>
      </c>
      <c r="I31" s="134">
        <v>4.82</v>
      </c>
      <c r="J31" s="134">
        <v>0.1</v>
      </c>
      <c r="K31" s="134">
        <v>194.06</v>
      </c>
      <c r="L31" s="134">
        <v>25.29</v>
      </c>
      <c r="M31" s="134">
        <v>95.41</v>
      </c>
      <c r="N31" s="134">
        <v>0</v>
      </c>
      <c r="O31" s="134">
        <v>0</v>
      </c>
      <c r="P31" s="134">
        <v>0.52</v>
      </c>
      <c r="Q31" s="134">
        <v>5.62</v>
      </c>
    </row>
    <row r="32" spans="1:17" customFormat="1">
      <c r="A32" s="112" t="s">
        <v>1894</v>
      </c>
      <c r="B32" s="134">
        <v>15.72</v>
      </c>
      <c r="C32" s="134">
        <v>19.399999999999999</v>
      </c>
      <c r="D32" s="134">
        <v>24.09</v>
      </c>
      <c r="E32" s="134">
        <v>6.77</v>
      </c>
      <c r="F32" s="134">
        <v>4.66</v>
      </c>
      <c r="G32" s="134">
        <v>21.44</v>
      </c>
      <c r="H32" s="134">
        <v>3.9</v>
      </c>
      <c r="I32" s="134">
        <v>5.01</v>
      </c>
      <c r="J32" s="134">
        <v>0.1</v>
      </c>
      <c r="K32" s="134">
        <v>247.31</v>
      </c>
      <c r="L32" s="134">
        <v>25.38</v>
      </c>
      <c r="M32" s="134">
        <v>95.88</v>
      </c>
      <c r="N32" s="134">
        <v>3.2</v>
      </c>
      <c r="O32" s="134">
        <v>0</v>
      </c>
      <c r="P32" s="134">
        <v>0.52</v>
      </c>
      <c r="Q32" s="134">
        <v>5.64</v>
      </c>
    </row>
    <row r="33" spans="1:17" customFormat="1">
      <c r="A33" s="112" t="s">
        <v>1895</v>
      </c>
      <c r="B33" s="134">
        <v>16.14</v>
      </c>
      <c r="C33" s="134">
        <v>20.55</v>
      </c>
      <c r="D33" s="134">
        <v>25.03</v>
      </c>
      <c r="E33" s="134">
        <v>7.03</v>
      </c>
      <c r="F33" s="134">
        <v>4.28</v>
      </c>
      <c r="G33" s="134">
        <v>21.44</v>
      </c>
      <c r="H33" s="134">
        <v>3.9</v>
      </c>
      <c r="I33" s="134">
        <v>5.07</v>
      </c>
      <c r="J33" s="134">
        <v>0.12</v>
      </c>
      <c r="K33" s="134">
        <v>197.3</v>
      </c>
      <c r="L33" s="134">
        <v>25.55</v>
      </c>
      <c r="M33" s="134">
        <v>94.66</v>
      </c>
      <c r="N33" s="134">
        <v>20.399999999999999</v>
      </c>
      <c r="O33" s="134">
        <v>0</v>
      </c>
      <c r="P33" s="134">
        <v>0.53</v>
      </c>
      <c r="Q33" s="134">
        <v>5.62</v>
      </c>
    </row>
    <row r="34" spans="1:17" customFormat="1">
      <c r="A34" s="112" t="s">
        <v>1896</v>
      </c>
      <c r="B34" s="134">
        <v>16.329999999999998</v>
      </c>
      <c r="C34" s="134">
        <v>21.82</v>
      </c>
      <c r="D34" s="134">
        <v>25.84</v>
      </c>
      <c r="E34" s="134">
        <v>7.57</v>
      </c>
      <c r="F34" s="134">
        <v>3.83</v>
      </c>
      <c r="G34" s="134">
        <v>22.41</v>
      </c>
      <c r="H34" s="134">
        <v>7.18</v>
      </c>
      <c r="I34" s="134">
        <v>5.21</v>
      </c>
      <c r="J34" s="134">
        <v>0.25</v>
      </c>
      <c r="K34" s="134">
        <v>262.5</v>
      </c>
      <c r="L34" s="134">
        <v>25.93</v>
      </c>
      <c r="M34" s="134">
        <v>91.32</v>
      </c>
      <c r="N34" s="134">
        <v>33.9</v>
      </c>
      <c r="O34" s="134">
        <v>0</v>
      </c>
      <c r="P34" s="134">
        <v>0.55000000000000004</v>
      </c>
      <c r="Q34" s="134">
        <v>5.63</v>
      </c>
    </row>
    <row r="35" spans="1:17" customFormat="1">
      <c r="A35" s="112" t="s">
        <v>1897</v>
      </c>
      <c r="B35" s="134">
        <v>16.75</v>
      </c>
      <c r="C35" s="134">
        <v>20.89</v>
      </c>
      <c r="D35" s="134">
        <v>25.7</v>
      </c>
      <c r="E35" s="134">
        <v>7.48</v>
      </c>
      <c r="F35" s="134">
        <v>4.6500000000000004</v>
      </c>
      <c r="G35" s="134">
        <v>22.57</v>
      </c>
      <c r="H35" s="134">
        <v>7.18</v>
      </c>
      <c r="I35" s="134">
        <v>5.23</v>
      </c>
      <c r="J35" s="134">
        <v>0.37</v>
      </c>
      <c r="K35" s="134">
        <v>260.43</v>
      </c>
      <c r="L35" s="134">
        <v>26.26</v>
      </c>
      <c r="M35" s="134">
        <v>89.7</v>
      </c>
      <c r="N35" s="134">
        <v>46.4</v>
      </c>
      <c r="O35" s="134">
        <v>0</v>
      </c>
      <c r="P35" s="134">
        <v>0.52</v>
      </c>
      <c r="Q35" s="134">
        <v>5.71</v>
      </c>
    </row>
    <row r="36" spans="1:17" customFormat="1">
      <c r="A36" s="112" t="s">
        <v>1898</v>
      </c>
      <c r="B36" s="134">
        <v>16.559999999999999</v>
      </c>
      <c r="C36" s="134">
        <v>19.91</v>
      </c>
      <c r="D36" s="134">
        <v>25.03</v>
      </c>
      <c r="E36" s="134">
        <v>7.11</v>
      </c>
      <c r="F36" s="134">
        <v>4.88</v>
      </c>
      <c r="G36" s="134">
        <v>22.57</v>
      </c>
      <c r="H36" s="134">
        <v>7.18</v>
      </c>
      <c r="I36" s="134">
        <v>5.3</v>
      </c>
      <c r="J36" s="134">
        <v>0.22</v>
      </c>
      <c r="K36" s="134">
        <v>271.05</v>
      </c>
      <c r="L36" s="134">
        <v>26.55</v>
      </c>
      <c r="M36" s="134">
        <v>87.86</v>
      </c>
      <c r="N36" s="134">
        <v>52.1</v>
      </c>
      <c r="O36" s="134">
        <v>0</v>
      </c>
      <c r="P36" s="134">
        <v>0.51</v>
      </c>
      <c r="Q36" s="134">
        <v>5.67</v>
      </c>
    </row>
    <row r="37" spans="1:17" customFormat="1">
      <c r="A37" s="112" t="s">
        <v>1899</v>
      </c>
      <c r="B37" s="134">
        <v>16.75</v>
      </c>
      <c r="C37" s="134">
        <v>21.65</v>
      </c>
      <c r="D37" s="134">
        <v>26.09</v>
      </c>
      <c r="E37" s="134">
        <v>7.07</v>
      </c>
      <c r="F37" s="134">
        <v>4.1399999999999997</v>
      </c>
      <c r="G37" s="134">
        <v>22.57</v>
      </c>
      <c r="H37" s="134">
        <v>7.18</v>
      </c>
      <c r="I37" s="134">
        <v>5.31</v>
      </c>
      <c r="J37" s="134">
        <v>0.15</v>
      </c>
      <c r="K37" s="134">
        <v>298.93</v>
      </c>
      <c r="L37" s="134">
        <v>26.88</v>
      </c>
      <c r="M37" s="134">
        <v>86.79</v>
      </c>
      <c r="N37" s="134">
        <v>67.900000000000006</v>
      </c>
      <c r="O37" s="134">
        <v>0</v>
      </c>
      <c r="P37" s="134">
        <v>0.53</v>
      </c>
      <c r="Q37" s="134">
        <v>5.65</v>
      </c>
    </row>
    <row r="38" spans="1:17" customFormat="1">
      <c r="A38" s="112" t="s">
        <v>1900</v>
      </c>
      <c r="B38" s="134">
        <v>17.02</v>
      </c>
      <c r="C38" s="134">
        <v>21.75</v>
      </c>
      <c r="D38" s="134">
        <v>26.36</v>
      </c>
      <c r="E38" s="134">
        <v>7.39</v>
      </c>
      <c r="F38" s="134">
        <v>4.51</v>
      </c>
      <c r="G38" s="134">
        <v>24.43</v>
      </c>
      <c r="H38" s="134">
        <v>5.9</v>
      </c>
      <c r="I38" s="134">
        <v>5.26</v>
      </c>
      <c r="J38" s="134">
        <v>0.23</v>
      </c>
      <c r="K38" s="134">
        <v>317.14999999999998</v>
      </c>
      <c r="L38" s="134">
        <v>27.44</v>
      </c>
      <c r="M38" s="134">
        <v>83.04</v>
      </c>
      <c r="N38" s="134">
        <v>99.9</v>
      </c>
      <c r="O38" s="134">
        <v>0</v>
      </c>
      <c r="P38" s="134">
        <v>0.53</v>
      </c>
      <c r="Q38" s="134">
        <v>5.69</v>
      </c>
    </row>
    <row r="39" spans="1:17" customFormat="1">
      <c r="A39" s="112" t="s">
        <v>1901</v>
      </c>
      <c r="B39" s="134">
        <v>17.25</v>
      </c>
      <c r="C39" s="134">
        <v>21.03</v>
      </c>
      <c r="D39" s="134">
        <v>26.17</v>
      </c>
      <c r="E39" s="134">
        <v>7.24</v>
      </c>
      <c r="F39" s="134">
        <v>5.07</v>
      </c>
      <c r="G39" s="134">
        <v>24.75</v>
      </c>
      <c r="H39" s="134">
        <v>5.9</v>
      </c>
      <c r="I39" s="134">
        <v>5.4</v>
      </c>
      <c r="J39" s="134">
        <v>0.32</v>
      </c>
      <c r="K39" s="134">
        <v>323.08</v>
      </c>
      <c r="L39" s="134">
        <v>28.09</v>
      </c>
      <c r="M39" s="134">
        <v>79.95</v>
      </c>
      <c r="N39" s="134">
        <v>217</v>
      </c>
      <c r="O39" s="134">
        <v>0</v>
      </c>
      <c r="P39" s="134">
        <v>0.52</v>
      </c>
      <c r="Q39" s="134">
        <v>5.72</v>
      </c>
    </row>
    <row r="40" spans="1:17" customFormat="1">
      <c r="A40" s="112" t="s">
        <v>1902</v>
      </c>
      <c r="B40" s="134">
        <v>17.440000000000001</v>
      </c>
      <c r="C40" s="134">
        <v>20.83</v>
      </c>
      <c r="D40" s="134">
        <v>26.22</v>
      </c>
      <c r="E40" s="134">
        <v>7.01</v>
      </c>
      <c r="F40" s="134">
        <v>4.97</v>
      </c>
      <c r="G40" s="134">
        <v>24.75</v>
      </c>
      <c r="H40" s="134">
        <v>5.9</v>
      </c>
      <c r="I40" s="134">
        <v>5.33</v>
      </c>
      <c r="J40" s="134">
        <v>0.41</v>
      </c>
      <c r="K40" s="134">
        <v>292.85000000000002</v>
      </c>
      <c r="L40" s="134">
        <v>28.67</v>
      </c>
      <c r="M40" s="134">
        <v>76.97</v>
      </c>
      <c r="N40" s="134">
        <v>186.3</v>
      </c>
      <c r="O40" s="134">
        <v>0</v>
      </c>
      <c r="P40" s="134">
        <v>0.51</v>
      </c>
      <c r="Q40" s="134">
        <v>5.69</v>
      </c>
    </row>
    <row r="41" spans="1:17" customFormat="1">
      <c r="A41" s="112" t="s">
        <v>1903</v>
      </c>
      <c r="B41" s="134">
        <v>17.34</v>
      </c>
      <c r="C41" s="134">
        <v>21.25</v>
      </c>
      <c r="D41" s="134">
        <v>26.36</v>
      </c>
      <c r="E41" s="134">
        <v>7.14</v>
      </c>
      <c r="F41" s="134">
        <v>4.88</v>
      </c>
      <c r="G41" s="134">
        <v>24.75</v>
      </c>
      <c r="H41" s="134">
        <v>5.9</v>
      </c>
      <c r="I41" s="134">
        <v>5.29</v>
      </c>
      <c r="J41" s="134">
        <v>0.48</v>
      </c>
      <c r="K41" s="134">
        <v>292.83</v>
      </c>
      <c r="L41" s="134">
        <v>29.09</v>
      </c>
      <c r="M41" s="134">
        <v>74.73</v>
      </c>
      <c r="N41" s="134">
        <v>163.1</v>
      </c>
      <c r="O41" s="134">
        <v>0</v>
      </c>
      <c r="P41" s="134">
        <v>0.5</v>
      </c>
      <c r="Q41" s="134">
        <v>5.7</v>
      </c>
    </row>
    <row r="42" spans="1:17" customFormat="1">
      <c r="A42" s="112" t="s">
        <v>1904</v>
      </c>
      <c r="B42" s="134">
        <v>17.260000000000002</v>
      </c>
      <c r="C42" s="134">
        <v>21.27</v>
      </c>
      <c r="D42" s="134">
        <v>26.31</v>
      </c>
      <c r="E42" s="134">
        <v>7.78</v>
      </c>
      <c r="F42" s="134">
        <v>5.25</v>
      </c>
      <c r="G42" s="134">
        <v>25.14</v>
      </c>
      <c r="H42" s="134">
        <v>7.52</v>
      </c>
      <c r="I42" s="134">
        <v>5.25</v>
      </c>
      <c r="J42" s="134">
        <v>0.44</v>
      </c>
      <c r="K42" s="134">
        <v>298.02</v>
      </c>
      <c r="L42" s="134">
        <v>29.73</v>
      </c>
      <c r="M42" s="134">
        <v>72.81</v>
      </c>
      <c r="N42" s="134">
        <v>175.6</v>
      </c>
      <c r="O42" s="134">
        <v>0</v>
      </c>
      <c r="P42" s="134">
        <v>0.5</v>
      </c>
      <c r="Q42" s="134">
        <v>5.71</v>
      </c>
    </row>
    <row r="43" spans="1:17" customFormat="1">
      <c r="A43" s="112" t="s">
        <v>1905</v>
      </c>
      <c r="B43" s="134">
        <v>17.18</v>
      </c>
      <c r="C43" s="134">
        <v>22.91</v>
      </c>
      <c r="D43" s="134">
        <v>27.1</v>
      </c>
      <c r="E43" s="134">
        <v>7.61</v>
      </c>
      <c r="F43" s="134">
        <v>4.2699999999999996</v>
      </c>
      <c r="G43" s="134">
        <v>25.2</v>
      </c>
      <c r="H43" s="134">
        <v>7.52</v>
      </c>
      <c r="I43" s="134">
        <v>5.16</v>
      </c>
      <c r="J43" s="134">
        <v>0.54</v>
      </c>
      <c r="K43" s="134">
        <v>279.87</v>
      </c>
      <c r="L43" s="134">
        <v>30.03</v>
      </c>
      <c r="M43" s="134">
        <v>71.510000000000005</v>
      </c>
      <c r="N43" s="134">
        <v>403.7</v>
      </c>
      <c r="O43" s="134">
        <v>0</v>
      </c>
      <c r="P43" s="134">
        <v>0.53</v>
      </c>
      <c r="Q43" s="134">
        <v>5.72</v>
      </c>
    </row>
    <row r="44" spans="1:17" customFormat="1">
      <c r="A44" s="112" t="s">
        <v>1906</v>
      </c>
      <c r="B44" s="134">
        <v>17.21</v>
      </c>
      <c r="C44" s="134">
        <v>22.79</v>
      </c>
      <c r="D44" s="134">
        <v>27.06</v>
      </c>
      <c r="E44" s="134">
        <v>7.51</v>
      </c>
      <c r="F44" s="134">
        <v>4.7699999999999996</v>
      </c>
      <c r="G44" s="134">
        <v>25.2</v>
      </c>
      <c r="H44" s="134">
        <v>7.52</v>
      </c>
      <c r="I44" s="134">
        <v>5.14</v>
      </c>
      <c r="J44" s="134">
        <v>0.43</v>
      </c>
      <c r="K44" s="134">
        <v>311.60000000000002</v>
      </c>
      <c r="L44" s="134">
        <v>30.64</v>
      </c>
      <c r="M44" s="134">
        <v>70.34</v>
      </c>
      <c r="N44" s="134">
        <v>494.1</v>
      </c>
      <c r="O44" s="134">
        <v>0</v>
      </c>
      <c r="P44" s="134">
        <v>0.52</v>
      </c>
      <c r="Q44" s="134">
        <v>5.75</v>
      </c>
    </row>
    <row r="45" spans="1:17" customFormat="1">
      <c r="A45" s="112" t="s">
        <v>1907</v>
      </c>
      <c r="B45" s="134">
        <v>16.940000000000001</v>
      </c>
      <c r="C45" s="134">
        <v>22.61</v>
      </c>
      <c r="D45" s="134">
        <v>26.75</v>
      </c>
      <c r="E45" s="134">
        <v>7.29</v>
      </c>
      <c r="F45" s="134">
        <v>5.08</v>
      </c>
      <c r="G45" s="134">
        <v>25.2</v>
      </c>
      <c r="H45" s="134">
        <v>7.52</v>
      </c>
      <c r="I45" s="134">
        <v>5.2</v>
      </c>
      <c r="J45" s="134">
        <v>0.64</v>
      </c>
      <c r="K45" s="134">
        <v>275.63</v>
      </c>
      <c r="L45" s="134">
        <v>30.64</v>
      </c>
      <c r="M45" s="134">
        <v>68.84</v>
      </c>
      <c r="N45" s="134">
        <v>535.70000000000005</v>
      </c>
      <c r="O45" s="134">
        <v>0</v>
      </c>
      <c r="P45" s="134">
        <v>0.52</v>
      </c>
      <c r="Q45" s="134">
        <v>5.78</v>
      </c>
    </row>
    <row r="46" spans="1:17" customFormat="1">
      <c r="A46" s="112" t="s">
        <v>1908</v>
      </c>
      <c r="B46" s="134">
        <v>16.46</v>
      </c>
      <c r="C46" s="134">
        <v>22.38</v>
      </c>
      <c r="D46" s="134">
        <v>26.24</v>
      </c>
      <c r="E46" s="134">
        <v>6.49</v>
      </c>
      <c r="F46" s="134">
        <v>5.85</v>
      </c>
      <c r="G46" s="134">
        <v>24.2</v>
      </c>
      <c r="H46" s="134">
        <v>8.4600000000000009</v>
      </c>
      <c r="I46" s="134">
        <v>5.14</v>
      </c>
      <c r="J46" s="134">
        <v>0.5</v>
      </c>
      <c r="K46" s="134">
        <v>323.52</v>
      </c>
      <c r="L46" s="134">
        <v>31</v>
      </c>
      <c r="M46" s="134">
        <v>66.44</v>
      </c>
      <c r="N46" s="134">
        <v>572.20000000000005</v>
      </c>
      <c r="O46" s="134">
        <v>0</v>
      </c>
      <c r="P46" s="134">
        <v>0.52</v>
      </c>
      <c r="Q46" s="134">
        <v>5.75</v>
      </c>
    </row>
    <row r="47" spans="1:17" customFormat="1">
      <c r="A47" s="112" t="s">
        <v>1909</v>
      </c>
      <c r="B47" s="134">
        <v>15.91</v>
      </c>
      <c r="C47" s="134">
        <v>22.18</v>
      </c>
      <c r="D47" s="134">
        <v>25.7</v>
      </c>
      <c r="E47" s="134">
        <v>6.58</v>
      </c>
      <c r="F47" s="134">
        <v>5.62</v>
      </c>
      <c r="G47" s="134">
        <v>24.03</v>
      </c>
      <c r="H47" s="134">
        <v>8.4600000000000009</v>
      </c>
      <c r="I47" s="134">
        <v>5.1100000000000003</v>
      </c>
      <c r="J47" s="134">
        <v>0.35</v>
      </c>
      <c r="K47" s="134">
        <v>309.52999999999997</v>
      </c>
      <c r="L47" s="134">
        <v>31.24</v>
      </c>
      <c r="M47" s="134">
        <v>65.510000000000005</v>
      </c>
      <c r="N47" s="134">
        <v>488.7</v>
      </c>
      <c r="O47" s="134">
        <v>0</v>
      </c>
      <c r="P47" s="134">
        <v>0.52</v>
      </c>
      <c r="Q47" s="134">
        <v>5.75</v>
      </c>
    </row>
    <row r="48" spans="1:17" customFormat="1">
      <c r="A48" s="112" t="s">
        <v>1910</v>
      </c>
      <c r="B48" s="134">
        <v>15.27</v>
      </c>
      <c r="C48" s="134">
        <v>22.43</v>
      </c>
      <c r="D48" s="134">
        <v>25.31</v>
      </c>
      <c r="E48" s="134">
        <v>7.11</v>
      </c>
      <c r="F48" s="134">
        <v>5.41</v>
      </c>
      <c r="G48" s="134">
        <v>24.03</v>
      </c>
      <c r="H48" s="134">
        <v>8.4600000000000009</v>
      </c>
      <c r="I48" s="134">
        <v>5.01</v>
      </c>
      <c r="J48" s="134">
        <v>0.39</v>
      </c>
      <c r="K48" s="134">
        <v>297.79000000000002</v>
      </c>
      <c r="L48" s="134">
        <v>31.75</v>
      </c>
      <c r="M48" s="134">
        <v>63.88</v>
      </c>
      <c r="N48" s="134">
        <v>546.20000000000005</v>
      </c>
      <c r="O48" s="134">
        <v>0</v>
      </c>
      <c r="P48" s="134">
        <v>0.51</v>
      </c>
      <c r="Q48" s="134">
        <v>5.73</v>
      </c>
    </row>
    <row r="49" spans="1:17" customFormat="1">
      <c r="A49" s="112" t="s">
        <v>1911</v>
      </c>
      <c r="B49" s="134">
        <v>14.77</v>
      </c>
      <c r="C49" s="134">
        <v>22.37</v>
      </c>
      <c r="D49" s="134">
        <v>24.88</v>
      </c>
      <c r="E49" s="134">
        <v>7.45</v>
      </c>
      <c r="F49" s="134">
        <v>5.6</v>
      </c>
      <c r="G49" s="134">
        <v>24.03</v>
      </c>
      <c r="H49" s="134">
        <v>8.4600000000000009</v>
      </c>
      <c r="I49" s="134">
        <v>4.9800000000000004</v>
      </c>
      <c r="J49" s="134">
        <v>0.54</v>
      </c>
      <c r="K49" s="134">
        <v>321.10000000000002</v>
      </c>
      <c r="L49" s="134">
        <v>31.84</v>
      </c>
      <c r="M49" s="134">
        <v>62.71</v>
      </c>
      <c r="N49" s="134">
        <v>540.20000000000005</v>
      </c>
      <c r="O49" s="134">
        <v>0</v>
      </c>
      <c r="P49" s="134">
        <v>0.51</v>
      </c>
      <c r="Q49" s="134">
        <v>5.7</v>
      </c>
    </row>
    <row r="50" spans="1:17" customFormat="1">
      <c r="A50" s="112" t="s">
        <v>1912</v>
      </c>
      <c r="B50" s="134">
        <v>14.09</v>
      </c>
      <c r="C50" s="134">
        <v>22</v>
      </c>
      <c r="D50" s="134">
        <v>24.14</v>
      </c>
      <c r="E50" s="134">
        <v>10.29</v>
      </c>
      <c r="F50" s="134">
        <v>6.63</v>
      </c>
      <c r="G50" s="134">
        <v>25.31</v>
      </c>
      <c r="H50" s="134">
        <v>8.6199999999999992</v>
      </c>
      <c r="I50" s="134">
        <v>4.9400000000000004</v>
      </c>
      <c r="J50" s="134">
        <v>0.43</v>
      </c>
      <c r="K50" s="134">
        <v>312.77</v>
      </c>
      <c r="L50" s="134">
        <v>32.15</v>
      </c>
      <c r="M50" s="134">
        <v>61.48</v>
      </c>
      <c r="N50" s="134">
        <v>797.8</v>
      </c>
      <c r="O50" s="134">
        <v>0</v>
      </c>
      <c r="P50" s="134">
        <v>0.5</v>
      </c>
      <c r="Q50" s="134">
        <v>5.68</v>
      </c>
    </row>
    <row r="51" spans="1:17" customFormat="1">
      <c r="A51" s="112" t="s">
        <v>1913</v>
      </c>
      <c r="B51" s="134">
        <v>13.63</v>
      </c>
      <c r="C51" s="134">
        <v>22.09</v>
      </c>
      <c r="D51" s="134">
        <v>23.82</v>
      </c>
      <c r="E51" s="134">
        <v>8.76</v>
      </c>
      <c r="F51" s="134">
        <v>5.91</v>
      </c>
      <c r="G51" s="134">
        <v>25.55</v>
      </c>
      <c r="H51" s="134">
        <v>8.6199999999999992</v>
      </c>
      <c r="I51" s="134">
        <v>4.8499999999999996</v>
      </c>
      <c r="J51" s="134">
        <v>0.28000000000000003</v>
      </c>
      <c r="K51" s="134">
        <v>323.39999999999998</v>
      </c>
      <c r="L51" s="134">
        <v>32.380000000000003</v>
      </c>
      <c r="M51" s="134">
        <v>61.32</v>
      </c>
      <c r="N51" s="134">
        <v>572.29999999999995</v>
      </c>
      <c r="O51" s="134">
        <v>0</v>
      </c>
      <c r="P51" s="134">
        <v>0.49</v>
      </c>
      <c r="Q51" s="134">
        <v>5.65</v>
      </c>
    </row>
    <row r="52" spans="1:17" customFormat="1">
      <c r="A52" s="112" t="s">
        <v>1914</v>
      </c>
      <c r="B52" s="134">
        <v>13.13</v>
      </c>
      <c r="C52" s="134">
        <v>22.14</v>
      </c>
      <c r="D52" s="134">
        <v>23.44</v>
      </c>
      <c r="E52" s="134">
        <v>9.2899999999999991</v>
      </c>
      <c r="F52" s="134">
        <v>6.04</v>
      </c>
      <c r="G52" s="134">
        <v>25.55</v>
      </c>
      <c r="H52" s="134">
        <v>8.6199999999999992</v>
      </c>
      <c r="I52" s="134">
        <v>4.78</v>
      </c>
      <c r="J52" s="134">
        <v>0.38</v>
      </c>
      <c r="K52" s="134">
        <v>327.11</v>
      </c>
      <c r="L52" s="134">
        <v>32.5</v>
      </c>
      <c r="M52" s="134">
        <v>59.92</v>
      </c>
      <c r="N52" s="134">
        <v>782</v>
      </c>
      <c r="O52" s="134">
        <v>0</v>
      </c>
      <c r="P52" s="134">
        <v>0.5</v>
      </c>
      <c r="Q52" s="134">
        <v>5.64</v>
      </c>
    </row>
    <row r="53" spans="1:17" customFormat="1">
      <c r="A53" s="112" t="s">
        <v>1915</v>
      </c>
      <c r="B53" s="134">
        <v>12.46</v>
      </c>
      <c r="C53" s="134">
        <v>22.72</v>
      </c>
      <c r="D53" s="134">
        <v>23.21</v>
      </c>
      <c r="E53" s="134">
        <v>9.84</v>
      </c>
      <c r="F53" s="134">
        <v>7.69</v>
      </c>
      <c r="G53" s="134">
        <v>25.55</v>
      </c>
      <c r="H53" s="134">
        <v>8.6199999999999992</v>
      </c>
      <c r="I53" s="134">
        <v>4.7699999999999996</v>
      </c>
      <c r="J53" s="134">
        <v>0.39</v>
      </c>
      <c r="K53" s="134">
        <v>349.5</v>
      </c>
      <c r="L53" s="134">
        <v>32.07</v>
      </c>
      <c r="M53" s="134">
        <v>62.32</v>
      </c>
      <c r="N53" s="134">
        <v>538.4</v>
      </c>
      <c r="O53" s="134">
        <v>0</v>
      </c>
      <c r="P53" s="134">
        <v>0.5</v>
      </c>
      <c r="Q53" s="134">
        <v>5.61</v>
      </c>
    </row>
    <row r="54" spans="1:17" customFormat="1">
      <c r="A54" s="112" t="s">
        <v>1916</v>
      </c>
      <c r="B54" s="134">
        <v>11.8</v>
      </c>
      <c r="C54" s="134">
        <v>21.69</v>
      </c>
      <c r="D54" s="134">
        <v>22.15</v>
      </c>
      <c r="E54" s="134">
        <v>11.4</v>
      </c>
      <c r="F54" s="134">
        <v>9.51</v>
      </c>
      <c r="G54" s="134">
        <v>25.01</v>
      </c>
      <c r="H54" s="134">
        <v>9.7100000000000009</v>
      </c>
      <c r="I54" s="134">
        <v>4.74</v>
      </c>
      <c r="J54" s="134">
        <v>0.35</v>
      </c>
      <c r="K54" s="134">
        <v>358.75</v>
      </c>
      <c r="L54" s="134">
        <v>32.17</v>
      </c>
      <c r="M54" s="134">
        <v>62</v>
      </c>
      <c r="N54" s="134">
        <v>397</v>
      </c>
      <c r="O54" s="134">
        <v>0</v>
      </c>
      <c r="P54" s="134">
        <v>0.48</v>
      </c>
      <c r="Q54" s="134">
        <v>5.62</v>
      </c>
    </row>
    <row r="55" spans="1:17" customFormat="1">
      <c r="A55" s="112" t="s">
        <v>1917</v>
      </c>
      <c r="B55" s="134">
        <v>11.74</v>
      </c>
      <c r="C55" s="134">
        <v>21.74</v>
      </c>
      <c r="D55" s="134">
        <v>22.12</v>
      </c>
      <c r="E55" s="134">
        <v>10.3</v>
      </c>
      <c r="F55" s="134">
        <v>8.0299999999999994</v>
      </c>
      <c r="G55" s="134">
        <v>24.92</v>
      </c>
      <c r="H55" s="134">
        <v>9.7100000000000009</v>
      </c>
      <c r="I55" s="134">
        <v>4.58</v>
      </c>
      <c r="J55" s="134">
        <v>0.39</v>
      </c>
      <c r="K55" s="134">
        <v>27.37</v>
      </c>
      <c r="L55" s="134">
        <v>31.14</v>
      </c>
      <c r="M55" s="134">
        <v>65.25</v>
      </c>
      <c r="N55" s="134">
        <v>156.6</v>
      </c>
      <c r="O55" s="134">
        <v>0</v>
      </c>
      <c r="P55" s="134">
        <v>0.47</v>
      </c>
      <c r="Q55" s="134">
        <v>5.59</v>
      </c>
    </row>
    <row r="56" spans="1:17" customFormat="1">
      <c r="A56" s="112" t="s">
        <v>1918</v>
      </c>
      <c r="B56" s="134">
        <v>11.38</v>
      </c>
      <c r="C56" s="134">
        <v>20.91</v>
      </c>
      <c r="D56" s="134">
        <v>21.4</v>
      </c>
      <c r="E56" s="134">
        <v>11.1</v>
      </c>
      <c r="F56" s="134">
        <v>10.91</v>
      </c>
      <c r="G56" s="134">
        <v>24.92</v>
      </c>
      <c r="H56" s="134">
        <v>9.7100000000000009</v>
      </c>
      <c r="I56" s="134">
        <v>4.53</v>
      </c>
      <c r="J56" s="134">
        <v>0.26</v>
      </c>
      <c r="K56" s="134">
        <v>353.77</v>
      </c>
      <c r="L56" s="134">
        <v>31.06</v>
      </c>
      <c r="M56" s="134">
        <v>63.8</v>
      </c>
      <c r="N56" s="134">
        <v>369.4</v>
      </c>
      <c r="O56" s="134">
        <v>0</v>
      </c>
      <c r="P56" s="134">
        <v>0.46</v>
      </c>
      <c r="Q56" s="134">
        <v>5.58</v>
      </c>
    </row>
    <row r="57" spans="1:17" customFormat="1">
      <c r="A57" s="112" t="s">
        <v>1919</v>
      </c>
      <c r="B57" s="134">
        <v>10.7</v>
      </c>
      <c r="C57" s="134">
        <v>19.809999999999999</v>
      </c>
      <c r="D57" s="134">
        <v>20.28</v>
      </c>
      <c r="E57" s="134">
        <v>11.09</v>
      </c>
      <c r="F57" s="134">
        <v>11.49</v>
      </c>
      <c r="G57" s="134">
        <v>24.92</v>
      </c>
      <c r="H57" s="134">
        <v>9.7100000000000009</v>
      </c>
      <c r="I57" s="134">
        <v>4.4400000000000004</v>
      </c>
      <c r="J57" s="134">
        <v>0.24</v>
      </c>
      <c r="K57" s="134">
        <v>323.8</v>
      </c>
      <c r="L57" s="134">
        <v>32.08</v>
      </c>
      <c r="M57" s="134">
        <v>59.56</v>
      </c>
      <c r="N57" s="134">
        <v>700.1</v>
      </c>
      <c r="O57" s="134">
        <v>0</v>
      </c>
      <c r="P57" s="134">
        <v>0.44</v>
      </c>
      <c r="Q57" s="134">
        <v>5.61</v>
      </c>
    </row>
    <row r="58" spans="1:17" customFormat="1">
      <c r="A58" s="112" t="s">
        <v>1920</v>
      </c>
      <c r="B58" s="134">
        <v>10.09</v>
      </c>
      <c r="C58" s="134">
        <v>20.03</v>
      </c>
      <c r="D58" s="134">
        <v>19.91</v>
      </c>
      <c r="E58" s="134">
        <v>10.85</v>
      </c>
      <c r="F58" s="134">
        <v>11.59</v>
      </c>
      <c r="G58" s="134">
        <v>27.98</v>
      </c>
      <c r="H58" s="134">
        <v>9.6999999999999993</v>
      </c>
      <c r="I58" s="134">
        <v>4.17</v>
      </c>
      <c r="J58" s="134">
        <v>0.3</v>
      </c>
      <c r="K58" s="134">
        <v>335.27</v>
      </c>
      <c r="L58" s="134">
        <v>32.01</v>
      </c>
      <c r="M58" s="134">
        <v>60.67</v>
      </c>
      <c r="N58" s="134">
        <v>353.9</v>
      </c>
      <c r="O58" s="134">
        <v>0</v>
      </c>
      <c r="P58" s="134">
        <v>0.44</v>
      </c>
      <c r="Q58" s="134">
        <v>5.69</v>
      </c>
    </row>
    <row r="59" spans="1:17" customFormat="1">
      <c r="A59" s="112" t="s">
        <v>1921</v>
      </c>
      <c r="B59" s="134">
        <v>10.02</v>
      </c>
      <c r="C59" s="134">
        <v>21.45</v>
      </c>
      <c r="D59" s="134">
        <v>20.59</v>
      </c>
      <c r="E59" s="134">
        <v>9.65</v>
      </c>
      <c r="F59" s="134">
        <v>8.18</v>
      </c>
      <c r="G59" s="134">
        <v>28.49</v>
      </c>
      <c r="H59" s="134">
        <v>9.6999999999999993</v>
      </c>
      <c r="I59" s="134">
        <v>4.17</v>
      </c>
      <c r="J59" s="134">
        <v>0.3</v>
      </c>
      <c r="K59" s="134">
        <v>344.27</v>
      </c>
      <c r="L59" s="134">
        <v>31.48</v>
      </c>
      <c r="M59" s="134">
        <v>61.37</v>
      </c>
      <c r="N59" s="134">
        <v>403</v>
      </c>
      <c r="O59" s="134">
        <v>0</v>
      </c>
      <c r="P59" s="134">
        <v>0.44</v>
      </c>
      <c r="Q59" s="134">
        <v>5.88</v>
      </c>
    </row>
    <row r="60" spans="1:17" customFormat="1">
      <c r="A60" s="112" t="s">
        <v>1922</v>
      </c>
      <c r="B60" s="134">
        <v>9.93</v>
      </c>
      <c r="C60" s="134">
        <v>21.51</v>
      </c>
      <c r="D60" s="134">
        <v>20.56</v>
      </c>
      <c r="E60" s="134">
        <v>9.8699999999999992</v>
      </c>
      <c r="F60" s="134">
        <v>8.85</v>
      </c>
      <c r="G60" s="134">
        <v>28.49</v>
      </c>
      <c r="H60" s="134">
        <v>9.6999999999999993</v>
      </c>
      <c r="I60" s="134">
        <v>4.21</v>
      </c>
      <c r="J60" s="134">
        <v>0.31</v>
      </c>
      <c r="K60" s="134">
        <v>315.57</v>
      </c>
      <c r="L60" s="134">
        <v>32.200000000000003</v>
      </c>
      <c r="M60" s="134">
        <v>59.46</v>
      </c>
      <c r="N60" s="134">
        <v>564.29999999999995</v>
      </c>
      <c r="O60" s="134">
        <v>0</v>
      </c>
      <c r="P60" s="134">
        <v>0.45</v>
      </c>
      <c r="Q60" s="134">
        <v>6.01</v>
      </c>
    </row>
    <row r="61" spans="1:17" customFormat="1">
      <c r="A61" s="112" t="s">
        <v>1923</v>
      </c>
      <c r="B61" s="134">
        <v>9.66</v>
      </c>
      <c r="C61" s="134">
        <v>21.06</v>
      </c>
      <c r="D61" s="134">
        <v>20.100000000000001</v>
      </c>
      <c r="E61" s="134">
        <v>9.7899999999999991</v>
      </c>
      <c r="F61" s="134">
        <v>8.93</v>
      </c>
      <c r="G61" s="134">
        <v>28.49</v>
      </c>
      <c r="H61" s="134">
        <v>9.6999999999999993</v>
      </c>
      <c r="I61" s="134">
        <v>4.33</v>
      </c>
      <c r="J61" s="134">
        <v>0.31</v>
      </c>
      <c r="K61" s="134">
        <v>336.22</v>
      </c>
      <c r="L61" s="134">
        <v>32.5</v>
      </c>
      <c r="M61" s="134">
        <v>56.71</v>
      </c>
      <c r="N61" s="134">
        <v>637</v>
      </c>
      <c r="O61" s="134">
        <v>0</v>
      </c>
      <c r="P61" s="134">
        <v>0.45</v>
      </c>
      <c r="Q61" s="134">
        <v>6.05</v>
      </c>
    </row>
    <row r="62" spans="1:17" customFormat="1">
      <c r="A62" s="112" t="s">
        <v>1924</v>
      </c>
      <c r="B62" s="134">
        <v>9.34</v>
      </c>
      <c r="C62" s="134">
        <v>20.420000000000002</v>
      </c>
      <c r="D62" s="134">
        <v>19.510000000000002</v>
      </c>
      <c r="E62" s="134">
        <v>10.1</v>
      </c>
      <c r="F62" s="134">
        <v>10</v>
      </c>
      <c r="G62" s="134">
        <v>25.46</v>
      </c>
      <c r="H62" s="134">
        <v>7.83</v>
      </c>
      <c r="I62" s="134">
        <v>4.2699999999999996</v>
      </c>
      <c r="J62" s="134">
        <v>0.33</v>
      </c>
      <c r="K62" s="134">
        <v>283.89999999999998</v>
      </c>
      <c r="L62" s="134">
        <v>33.090000000000003</v>
      </c>
      <c r="M62" s="134">
        <v>55.58</v>
      </c>
      <c r="N62" s="134">
        <v>735.1</v>
      </c>
      <c r="O62" s="134">
        <v>0</v>
      </c>
      <c r="P62" s="134">
        <v>0.44</v>
      </c>
      <c r="Q62" s="134">
        <v>5.97</v>
      </c>
    </row>
    <row r="63" spans="1:17" customFormat="1">
      <c r="A63" s="112" t="s">
        <v>1925</v>
      </c>
      <c r="B63" s="134">
        <v>9.01</v>
      </c>
      <c r="C63" s="134">
        <v>21.31</v>
      </c>
      <c r="D63" s="134">
        <v>19.71</v>
      </c>
      <c r="E63" s="134">
        <v>8.07</v>
      </c>
      <c r="F63" s="134">
        <v>6.98</v>
      </c>
      <c r="G63" s="134">
        <v>24.95</v>
      </c>
      <c r="H63" s="134">
        <v>7.83</v>
      </c>
      <c r="I63" s="134">
        <v>4.2</v>
      </c>
      <c r="J63" s="134">
        <v>0.44</v>
      </c>
      <c r="K63" s="134">
        <v>254.32</v>
      </c>
      <c r="L63" s="134">
        <v>32.200000000000003</v>
      </c>
      <c r="M63" s="134">
        <v>58.63</v>
      </c>
      <c r="N63" s="134">
        <v>163</v>
      </c>
      <c r="O63" s="134">
        <v>0</v>
      </c>
      <c r="P63" s="134">
        <v>0.44</v>
      </c>
      <c r="Q63" s="134">
        <v>5.86</v>
      </c>
    </row>
    <row r="64" spans="1:17" customFormat="1">
      <c r="A64" s="112" t="s">
        <v>1926</v>
      </c>
      <c r="B64" s="134">
        <v>8.66</v>
      </c>
      <c r="C64" s="134">
        <v>20.5</v>
      </c>
      <c r="D64" s="134">
        <v>19.010000000000002</v>
      </c>
      <c r="E64" s="134">
        <v>7.56</v>
      </c>
      <c r="F64" s="134">
        <v>7.42</v>
      </c>
      <c r="G64" s="134">
        <v>24.95</v>
      </c>
      <c r="H64" s="134">
        <v>7.83</v>
      </c>
      <c r="I64" s="134">
        <v>4.2</v>
      </c>
      <c r="J64" s="134">
        <v>0.4</v>
      </c>
      <c r="K64" s="134">
        <v>244</v>
      </c>
      <c r="L64" s="134">
        <v>32</v>
      </c>
      <c r="M64" s="134">
        <v>65.98</v>
      </c>
      <c r="N64" s="134">
        <v>459.4</v>
      </c>
      <c r="O64" s="134">
        <v>0</v>
      </c>
      <c r="P64" s="134">
        <v>0.44</v>
      </c>
      <c r="Q64" s="134">
        <v>5.74</v>
      </c>
    </row>
    <row r="65" spans="1:17" customFormat="1">
      <c r="A65" s="112" t="s">
        <v>1927</v>
      </c>
      <c r="B65" s="134">
        <v>8.27</v>
      </c>
      <c r="C65" s="134">
        <v>19.5</v>
      </c>
      <c r="D65" s="134">
        <v>18.170000000000002</v>
      </c>
      <c r="E65" s="134">
        <v>7.47</v>
      </c>
      <c r="F65" s="134">
        <v>8.07</v>
      </c>
      <c r="G65" s="134">
        <v>24.95</v>
      </c>
      <c r="H65" s="134">
        <v>7.83</v>
      </c>
      <c r="I65" s="134">
        <v>4.3099999999999996</v>
      </c>
      <c r="J65" s="134">
        <v>0.5</v>
      </c>
      <c r="K65" s="134">
        <v>256.54000000000002</v>
      </c>
      <c r="L65" s="134">
        <v>32.44</v>
      </c>
      <c r="M65" s="134">
        <v>64.09</v>
      </c>
      <c r="N65" s="134">
        <v>507</v>
      </c>
      <c r="O65" s="134">
        <v>0</v>
      </c>
      <c r="P65" s="134">
        <v>0.45</v>
      </c>
      <c r="Q65" s="134">
        <v>5.6</v>
      </c>
    </row>
    <row r="66" spans="1:17" customFormat="1">
      <c r="A66" s="112" t="s">
        <v>1928</v>
      </c>
      <c r="B66" s="134">
        <v>7.96</v>
      </c>
      <c r="C66" s="134">
        <v>19.09</v>
      </c>
      <c r="D66" s="134">
        <v>17.7</v>
      </c>
      <c r="E66" s="134">
        <v>7.27</v>
      </c>
      <c r="F66" s="134">
        <v>8.34</v>
      </c>
      <c r="G66" s="134">
        <v>26.44</v>
      </c>
      <c r="H66" s="134">
        <v>8.75</v>
      </c>
      <c r="I66" s="134">
        <v>4.16</v>
      </c>
      <c r="J66" s="134">
        <v>0.22</v>
      </c>
      <c r="K66" s="134">
        <v>237.07</v>
      </c>
      <c r="L66" s="134">
        <v>32.44</v>
      </c>
      <c r="M66" s="134">
        <v>64.790000000000006</v>
      </c>
      <c r="N66" s="134">
        <v>244.5</v>
      </c>
      <c r="O66" s="134">
        <v>0</v>
      </c>
      <c r="P66" s="134">
        <v>0.47</v>
      </c>
      <c r="Q66" s="134">
        <v>5.52</v>
      </c>
    </row>
    <row r="67" spans="1:17" customFormat="1">
      <c r="A67" s="112" t="s">
        <v>1929</v>
      </c>
      <c r="B67" s="134">
        <v>7.67</v>
      </c>
      <c r="C67" s="134">
        <v>19.23</v>
      </c>
      <c r="D67" s="134">
        <v>17.55</v>
      </c>
      <c r="E67" s="134">
        <v>7.53</v>
      </c>
      <c r="F67" s="134">
        <v>8.89</v>
      </c>
      <c r="G67" s="134">
        <v>26.69</v>
      </c>
      <c r="H67" s="134">
        <v>8.75</v>
      </c>
      <c r="I67" s="134">
        <v>4.09</v>
      </c>
      <c r="J67" s="134">
        <v>0.35</v>
      </c>
      <c r="K67" s="134">
        <v>250.37</v>
      </c>
      <c r="L67" s="134">
        <v>31.43</v>
      </c>
      <c r="M67" s="134">
        <v>66.19</v>
      </c>
      <c r="N67" s="134">
        <v>199.9</v>
      </c>
      <c r="O67" s="134">
        <v>0</v>
      </c>
      <c r="P67" s="134">
        <v>0.47</v>
      </c>
      <c r="Q67" s="134">
        <v>5.45</v>
      </c>
    </row>
    <row r="68" spans="1:17" customFormat="1">
      <c r="A68" s="112" t="s">
        <v>1930</v>
      </c>
      <c r="B68" s="134">
        <v>7.44</v>
      </c>
      <c r="C68" s="134">
        <v>18.45</v>
      </c>
      <c r="D68" s="134">
        <v>16.96</v>
      </c>
      <c r="E68" s="134">
        <v>7.74</v>
      </c>
      <c r="F68" s="134">
        <v>10.78</v>
      </c>
      <c r="G68" s="134">
        <v>26.69</v>
      </c>
      <c r="H68" s="134">
        <v>8.75</v>
      </c>
      <c r="I68" s="134">
        <v>4.0999999999999996</v>
      </c>
      <c r="J68" s="134">
        <v>0.48</v>
      </c>
      <c r="K68" s="134">
        <v>259.89999999999998</v>
      </c>
      <c r="L68" s="134">
        <v>30.95</v>
      </c>
      <c r="M68" s="134">
        <v>70.23</v>
      </c>
      <c r="N68" s="134">
        <v>104.7</v>
      </c>
      <c r="O68" s="134">
        <v>0</v>
      </c>
      <c r="P68" s="134">
        <v>0.48</v>
      </c>
      <c r="Q68" s="134">
        <v>5.36</v>
      </c>
    </row>
    <row r="69" spans="1:17" customFormat="1">
      <c r="A69" s="112" t="s">
        <v>1931</v>
      </c>
      <c r="B69" s="134">
        <v>6.96</v>
      </c>
      <c r="C69" s="134">
        <v>17.920000000000002</v>
      </c>
      <c r="D69" s="134">
        <v>16.29</v>
      </c>
      <c r="E69" s="134">
        <v>7.83</v>
      </c>
      <c r="F69" s="134">
        <v>11.93</v>
      </c>
      <c r="G69" s="134">
        <v>26.69</v>
      </c>
      <c r="H69" s="134">
        <v>8.75</v>
      </c>
      <c r="I69" s="134">
        <v>4.13</v>
      </c>
      <c r="J69" s="134">
        <v>0.31</v>
      </c>
      <c r="K69" s="134">
        <v>267.08</v>
      </c>
      <c r="L69" s="134">
        <v>30.15</v>
      </c>
      <c r="M69" s="134">
        <v>73.78</v>
      </c>
      <c r="N69" s="134">
        <v>102.2</v>
      </c>
      <c r="O69" s="134">
        <v>0</v>
      </c>
      <c r="P69" s="134">
        <v>0.52</v>
      </c>
      <c r="Q69" s="134">
        <v>5.27</v>
      </c>
    </row>
    <row r="70" spans="1:17" customFormat="1">
      <c r="A70" s="112" t="s">
        <v>1932</v>
      </c>
      <c r="B70" s="134">
        <v>6.55</v>
      </c>
      <c r="C70" s="134">
        <v>17.32</v>
      </c>
      <c r="D70" s="134">
        <v>15.65</v>
      </c>
      <c r="E70" s="134">
        <v>9.1999999999999993</v>
      </c>
      <c r="F70" s="134">
        <v>12.15</v>
      </c>
      <c r="G70" s="134">
        <v>25.19</v>
      </c>
      <c r="H70" s="134">
        <v>7.74</v>
      </c>
      <c r="I70" s="134">
        <v>4.1500000000000004</v>
      </c>
      <c r="J70" s="134">
        <v>0.25</v>
      </c>
      <c r="K70" s="134">
        <v>249.14</v>
      </c>
      <c r="L70" s="134">
        <v>30.18</v>
      </c>
      <c r="M70" s="134">
        <v>72.42</v>
      </c>
      <c r="N70" s="134">
        <v>93</v>
      </c>
      <c r="O70" s="134">
        <v>0</v>
      </c>
      <c r="P70" s="134">
        <v>0.51</v>
      </c>
      <c r="Q70" s="134">
        <v>5.22</v>
      </c>
    </row>
    <row r="71" spans="1:17" customFormat="1">
      <c r="A71" s="112" t="s">
        <v>1933</v>
      </c>
      <c r="B71" s="134">
        <v>6.56</v>
      </c>
      <c r="C71" s="134">
        <v>17.45</v>
      </c>
      <c r="D71" s="134">
        <v>15.72</v>
      </c>
      <c r="E71" s="134">
        <v>7.87</v>
      </c>
      <c r="F71" s="134">
        <v>10.65</v>
      </c>
      <c r="G71" s="134">
        <v>24.94</v>
      </c>
      <c r="H71" s="134">
        <v>7.74</v>
      </c>
      <c r="I71" s="134">
        <v>4.25</v>
      </c>
      <c r="J71" s="134">
        <v>0.13</v>
      </c>
      <c r="K71" s="134">
        <v>210.1</v>
      </c>
      <c r="L71" s="134">
        <v>30.15</v>
      </c>
      <c r="M71" s="134">
        <v>75.31</v>
      </c>
      <c r="N71" s="134">
        <v>91.3</v>
      </c>
      <c r="O71" s="134">
        <v>0</v>
      </c>
      <c r="P71" s="134">
        <v>0.48</v>
      </c>
      <c r="Q71" s="134">
        <v>5.22</v>
      </c>
    </row>
    <row r="72" spans="1:17" customFormat="1">
      <c r="A72" s="112" t="s">
        <v>1934</v>
      </c>
      <c r="B72" s="134">
        <v>6.73</v>
      </c>
      <c r="C72" s="134">
        <v>17.96</v>
      </c>
      <c r="D72" s="134">
        <v>16.13</v>
      </c>
      <c r="E72" s="134">
        <v>7.26</v>
      </c>
      <c r="F72" s="134">
        <v>8.6999999999999993</v>
      </c>
      <c r="G72" s="134">
        <v>24.94</v>
      </c>
      <c r="H72" s="134">
        <v>7.74</v>
      </c>
      <c r="I72" s="134">
        <v>4.12</v>
      </c>
      <c r="J72" s="134">
        <v>0.18</v>
      </c>
      <c r="K72" s="134">
        <v>177.24</v>
      </c>
      <c r="L72" s="134">
        <v>29.72</v>
      </c>
      <c r="M72" s="134">
        <v>79.040000000000006</v>
      </c>
      <c r="N72" s="134">
        <v>89.8</v>
      </c>
      <c r="O72" s="134">
        <v>0</v>
      </c>
      <c r="P72" s="134">
        <v>0.48</v>
      </c>
      <c r="Q72" s="134">
        <v>5.2</v>
      </c>
    </row>
    <row r="73" spans="1:17" customFormat="1">
      <c r="A73" s="112" t="s">
        <v>1935</v>
      </c>
      <c r="B73" s="134">
        <v>6.76</v>
      </c>
      <c r="C73" s="134">
        <v>17.87</v>
      </c>
      <c r="D73" s="134">
        <v>16.11</v>
      </c>
      <c r="E73" s="134">
        <v>7.24</v>
      </c>
      <c r="F73" s="134">
        <v>9.73</v>
      </c>
      <c r="G73" s="134">
        <v>24.94</v>
      </c>
      <c r="H73" s="134">
        <v>7.74</v>
      </c>
      <c r="I73" s="134">
        <v>3.91</v>
      </c>
      <c r="J73" s="134">
        <v>0.18</v>
      </c>
      <c r="K73" s="134">
        <v>157.52000000000001</v>
      </c>
      <c r="L73" s="134">
        <v>29.83</v>
      </c>
      <c r="M73" s="134">
        <v>77.11</v>
      </c>
      <c r="N73" s="134">
        <v>75.400000000000006</v>
      </c>
      <c r="O73" s="134">
        <v>0</v>
      </c>
      <c r="P73" s="134">
        <v>0.48</v>
      </c>
      <c r="Q73" s="134">
        <v>5.16</v>
      </c>
    </row>
    <row r="74" spans="1:17" customFormat="1">
      <c r="A74" s="112" t="s">
        <v>1936</v>
      </c>
      <c r="B74" s="134">
        <v>6.42</v>
      </c>
      <c r="C74" s="134">
        <v>15.85</v>
      </c>
      <c r="D74" s="134">
        <v>14.78</v>
      </c>
      <c r="E74" s="134">
        <v>7.54</v>
      </c>
      <c r="F74" s="134">
        <v>13.56</v>
      </c>
      <c r="G74" s="134">
        <v>22.22</v>
      </c>
      <c r="H74" s="134">
        <v>7.09</v>
      </c>
      <c r="I74" s="134">
        <v>4.03</v>
      </c>
      <c r="J74" s="134">
        <v>0.23</v>
      </c>
      <c r="K74" s="134">
        <v>153.01</v>
      </c>
      <c r="L74" s="134">
        <v>29.97</v>
      </c>
      <c r="M74" s="134">
        <v>76.2</v>
      </c>
      <c r="N74" s="134">
        <v>80</v>
      </c>
      <c r="O74" s="134">
        <v>0</v>
      </c>
      <c r="P74" s="134">
        <v>0.46</v>
      </c>
      <c r="Q74" s="134">
        <v>5.09</v>
      </c>
    </row>
    <row r="75" spans="1:17" customFormat="1">
      <c r="A75" s="112" t="s">
        <v>1937</v>
      </c>
      <c r="B75" s="134">
        <v>6.29</v>
      </c>
      <c r="C75" s="134">
        <v>14.84</v>
      </c>
      <c r="D75" s="134">
        <v>14.15</v>
      </c>
      <c r="E75" s="134">
        <v>7.74</v>
      </c>
      <c r="F75" s="134">
        <v>15.38</v>
      </c>
      <c r="G75" s="134">
        <v>21.76</v>
      </c>
      <c r="H75" s="134">
        <v>7.09</v>
      </c>
      <c r="I75" s="134">
        <v>3.82</v>
      </c>
      <c r="J75" s="134">
        <v>0.19</v>
      </c>
      <c r="K75" s="134">
        <v>163.46</v>
      </c>
      <c r="L75" s="134">
        <v>30.01</v>
      </c>
      <c r="M75" s="134">
        <v>76.84</v>
      </c>
      <c r="N75" s="134">
        <v>67.2</v>
      </c>
      <c r="O75" s="134">
        <v>0</v>
      </c>
      <c r="P75" s="134">
        <v>0.43</v>
      </c>
      <c r="Q75" s="134">
        <v>5.0599999999999996</v>
      </c>
    </row>
    <row r="76" spans="1:17" customFormat="1">
      <c r="A76" s="112" t="s">
        <v>1938</v>
      </c>
      <c r="B76" s="134">
        <v>6.21</v>
      </c>
      <c r="C76" s="134">
        <v>14.45</v>
      </c>
      <c r="D76" s="134">
        <v>13.88</v>
      </c>
      <c r="E76" s="134">
        <v>7.62</v>
      </c>
      <c r="F76" s="134">
        <v>15.02</v>
      </c>
      <c r="G76" s="134">
        <v>21.76</v>
      </c>
      <c r="H76" s="134">
        <v>7.09</v>
      </c>
      <c r="I76" s="134">
        <v>3.56</v>
      </c>
      <c r="J76" s="134">
        <v>0.16</v>
      </c>
      <c r="K76" s="134">
        <v>157.26</v>
      </c>
      <c r="L76" s="134">
        <v>30.08</v>
      </c>
      <c r="M76" s="134">
        <v>78</v>
      </c>
      <c r="N76" s="134">
        <v>50.3</v>
      </c>
      <c r="O76" s="134">
        <v>0</v>
      </c>
      <c r="P76" s="134">
        <v>0.43</v>
      </c>
      <c r="Q76" s="134">
        <v>5.03</v>
      </c>
    </row>
    <row r="77" spans="1:17" customFormat="1">
      <c r="A77" s="112" t="s">
        <v>1939</v>
      </c>
      <c r="B77" s="134">
        <v>8.44</v>
      </c>
      <c r="C77" s="134">
        <v>17.59</v>
      </c>
      <c r="D77" s="134">
        <v>17.309999999999999</v>
      </c>
      <c r="E77" s="134">
        <v>7.84</v>
      </c>
      <c r="F77" s="134">
        <v>10.93</v>
      </c>
      <c r="G77" s="134">
        <v>21.76</v>
      </c>
      <c r="H77" s="134">
        <v>7.09</v>
      </c>
      <c r="I77" s="134">
        <v>3.31</v>
      </c>
      <c r="J77" s="134">
        <v>0.1</v>
      </c>
      <c r="K77" s="134">
        <v>73.28</v>
      </c>
      <c r="L77" s="134">
        <v>30.04</v>
      </c>
      <c r="M77" s="134">
        <v>76.17</v>
      </c>
      <c r="N77" s="134">
        <v>36</v>
      </c>
      <c r="O77" s="134">
        <v>0</v>
      </c>
      <c r="P77" s="134">
        <v>0.51</v>
      </c>
      <c r="Q77" s="134">
        <v>5.04</v>
      </c>
    </row>
    <row r="78" spans="1:17" customFormat="1">
      <c r="A78" s="112" t="s">
        <v>1940</v>
      </c>
      <c r="B78" s="134">
        <v>7.65</v>
      </c>
      <c r="C78" s="134">
        <v>18.059999999999999</v>
      </c>
      <c r="D78" s="134">
        <v>16.920000000000002</v>
      </c>
      <c r="E78" s="134">
        <v>9.0500000000000007</v>
      </c>
      <c r="F78" s="134">
        <v>11.47</v>
      </c>
      <c r="G78" s="134">
        <v>24.04</v>
      </c>
      <c r="H78" s="134">
        <v>7.8</v>
      </c>
      <c r="I78" s="134">
        <v>3.27</v>
      </c>
      <c r="J78" s="134">
        <v>0.2</v>
      </c>
      <c r="K78" s="134">
        <v>164.4</v>
      </c>
      <c r="L78" s="134">
        <v>29.66</v>
      </c>
      <c r="M78" s="134">
        <v>78.09</v>
      </c>
      <c r="N78" s="134">
        <v>19</v>
      </c>
      <c r="O78" s="134">
        <v>0</v>
      </c>
      <c r="P78" s="134">
        <v>0.49</v>
      </c>
      <c r="Q78" s="134">
        <v>5.07</v>
      </c>
    </row>
    <row r="79" spans="1:17" customFormat="1">
      <c r="A79" s="112" t="s">
        <v>1941</v>
      </c>
      <c r="B79" s="134">
        <v>6.64</v>
      </c>
      <c r="C79" s="134">
        <v>15.97</v>
      </c>
      <c r="D79" s="134">
        <v>15.02</v>
      </c>
      <c r="E79" s="134">
        <v>8.7899999999999991</v>
      </c>
      <c r="F79" s="134">
        <v>13.04</v>
      </c>
      <c r="G79" s="134">
        <v>24.43</v>
      </c>
      <c r="H79" s="134">
        <v>7.8</v>
      </c>
      <c r="I79" s="134">
        <v>3.61</v>
      </c>
      <c r="J79" s="134">
        <v>0.12</v>
      </c>
      <c r="K79" s="134">
        <v>173.18</v>
      </c>
      <c r="L79" s="134">
        <v>29.08</v>
      </c>
      <c r="M79" s="134">
        <v>83.96</v>
      </c>
      <c r="N79" s="134">
        <v>4.7</v>
      </c>
      <c r="O79" s="134">
        <v>0</v>
      </c>
      <c r="P79" s="134">
        <v>0.46</v>
      </c>
      <c r="Q79" s="134">
        <v>5.08</v>
      </c>
    </row>
    <row r="80" spans="1:17" customFormat="1">
      <c r="A80" s="112" t="s">
        <v>1942</v>
      </c>
      <c r="B80" s="134">
        <v>6.26</v>
      </c>
      <c r="C80" s="134">
        <v>15.04</v>
      </c>
      <c r="D80" s="134">
        <v>14.23</v>
      </c>
      <c r="E80" s="134">
        <v>8.58</v>
      </c>
      <c r="F80" s="134">
        <v>13.97</v>
      </c>
      <c r="G80" s="134">
        <v>24.43</v>
      </c>
      <c r="H80" s="134">
        <v>7.8</v>
      </c>
      <c r="I80" s="134">
        <v>3.61</v>
      </c>
      <c r="J80" s="134">
        <v>0.14000000000000001</v>
      </c>
      <c r="K80" s="134">
        <v>177.75</v>
      </c>
      <c r="L80" s="134">
        <v>28.75</v>
      </c>
      <c r="M80" s="134">
        <v>83.75</v>
      </c>
      <c r="N80" s="134">
        <v>0</v>
      </c>
      <c r="O80" s="134">
        <v>0</v>
      </c>
      <c r="P80" s="134">
        <v>0.47</v>
      </c>
      <c r="Q80" s="134">
        <v>5.0999999999999996</v>
      </c>
    </row>
    <row r="81" spans="1:17" customFormat="1">
      <c r="A81" s="112" t="s">
        <v>1943</v>
      </c>
      <c r="B81" s="134">
        <v>6.3</v>
      </c>
      <c r="C81" s="134">
        <v>14.83</v>
      </c>
      <c r="D81" s="134">
        <v>14.15</v>
      </c>
      <c r="E81" s="134">
        <v>7.13</v>
      </c>
      <c r="F81" s="134">
        <v>14.27</v>
      </c>
      <c r="G81" s="134">
        <v>24.43</v>
      </c>
      <c r="H81" s="134">
        <v>7.8</v>
      </c>
      <c r="I81" s="134">
        <v>3.5</v>
      </c>
      <c r="J81" s="134">
        <v>0.15</v>
      </c>
      <c r="K81" s="134">
        <v>184.38</v>
      </c>
      <c r="L81" s="134">
        <v>28.58</v>
      </c>
      <c r="M81" s="134">
        <v>82.43</v>
      </c>
      <c r="N81" s="134">
        <v>0</v>
      </c>
      <c r="O81" s="134">
        <v>0</v>
      </c>
      <c r="P81" s="134">
        <v>0.46</v>
      </c>
      <c r="Q81" s="134">
        <v>5.08</v>
      </c>
    </row>
    <row r="82" spans="1:17" customFormat="1">
      <c r="A82" s="112" t="s">
        <v>1944</v>
      </c>
      <c r="B82" s="134">
        <v>6.29</v>
      </c>
      <c r="C82" s="134">
        <v>14.29</v>
      </c>
      <c r="D82" s="134">
        <v>13.87</v>
      </c>
      <c r="E82" s="134">
        <v>7.97</v>
      </c>
      <c r="F82" s="134">
        <v>13.35</v>
      </c>
      <c r="G82" s="134">
        <v>19.899999999999999</v>
      </c>
      <c r="H82" s="134">
        <v>7.53</v>
      </c>
      <c r="I82" s="134">
        <v>3.49</v>
      </c>
      <c r="J82" s="134">
        <v>0.08</v>
      </c>
      <c r="K82" s="134">
        <v>177.37</v>
      </c>
      <c r="L82" s="134">
        <v>28.21</v>
      </c>
      <c r="M82" s="134">
        <v>85.83</v>
      </c>
      <c r="N82" s="134">
        <v>0</v>
      </c>
      <c r="O82" s="134">
        <v>0</v>
      </c>
      <c r="P82" s="134">
        <v>0.45</v>
      </c>
      <c r="Q82" s="134">
        <v>5.0999999999999996</v>
      </c>
    </row>
    <row r="83" spans="1:17" customFormat="1">
      <c r="A83" s="112" t="s">
        <v>1945</v>
      </c>
      <c r="B83" s="134">
        <v>7</v>
      </c>
      <c r="C83" s="134">
        <v>16.73</v>
      </c>
      <c r="D83" s="134">
        <v>15.7</v>
      </c>
      <c r="E83" s="134">
        <v>8.3699999999999992</v>
      </c>
      <c r="F83" s="134">
        <v>10.06</v>
      </c>
      <c r="G83" s="134">
        <v>19.13</v>
      </c>
      <c r="H83" s="134">
        <v>7.53</v>
      </c>
      <c r="I83" s="134">
        <v>3.46</v>
      </c>
      <c r="J83" s="134">
        <v>0.1</v>
      </c>
      <c r="K83" s="134">
        <v>194.9</v>
      </c>
      <c r="L83" s="134">
        <v>28.27</v>
      </c>
      <c r="M83" s="134">
        <v>84.06</v>
      </c>
      <c r="N83" s="134">
        <v>0</v>
      </c>
      <c r="O83" s="134">
        <v>0</v>
      </c>
      <c r="P83" s="134">
        <v>0.46</v>
      </c>
      <c r="Q83" s="134">
        <v>5.12</v>
      </c>
    </row>
    <row r="84" spans="1:17" customFormat="1">
      <c r="A84" s="112" t="s">
        <v>1946</v>
      </c>
      <c r="B84" s="134">
        <v>6.98</v>
      </c>
      <c r="C84" s="134">
        <v>16.14</v>
      </c>
      <c r="D84" s="134">
        <v>15.38</v>
      </c>
      <c r="E84" s="134">
        <v>8.5399999999999991</v>
      </c>
      <c r="F84" s="134">
        <v>10.9</v>
      </c>
      <c r="G84" s="134">
        <v>19.13</v>
      </c>
      <c r="H84" s="134">
        <v>7.53</v>
      </c>
      <c r="I84" s="134">
        <v>3.44</v>
      </c>
      <c r="J84" s="134">
        <v>0.12</v>
      </c>
      <c r="K84" s="134">
        <v>237.01</v>
      </c>
      <c r="L84" s="134">
        <v>28.32</v>
      </c>
      <c r="M84" s="134">
        <v>82.14</v>
      </c>
      <c r="N84" s="134">
        <v>0</v>
      </c>
      <c r="O84" s="134">
        <v>0</v>
      </c>
      <c r="P84" s="134">
        <v>0.49</v>
      </c>
      <c r="Q84" s="134">
        <v>5.16</v>
      </c>
    </row>
    <row r="85" spans="1:17" customFormat="1">
      <c r="A85" s="112" t="s">
        <v>1947</v>
      </c>
      <c r="B85" s="134">
        <v>11.47</v>
      </c>
      <c r="C85" s="134">
        <v>21.21</v>
      </c>
      <c r="D85" s="134">
        <v>21.63</v>
      </c>
      <c r="E85" s="134">
        <v>8.5399999999999991</v>
      </c>
      <c r="F85" s="134">
        <v>5.96</v>
      </c>
      <c r="G85" s="134">
        <v>19.13</v>
      </c>
      <c r="H85" s="134">
        <v>7.53</v>
      </c>
      <c r="I85" s="134">
        <v>3.89</v>
      </c>
      <c r="J85" s="134">
        <v>0.02</v>
      </c>
      <c r="K85" s="134">
        <v>135.46</v>
      </c>
      <c r="L85" s="134">
        <v>28.46</v>
      </c>
      <c r="M85" s="134">
        <v>81.92</v>
      </c>
      <c r="N85" s="134">
        <v>0</v>
      </c>
      <c r="O85" s="134">
        <v>0</v>
      </c>
      <c r="P85" s="134">
        <v>0.69</v>
      </c>
      <c r="Q85" s="134">
        <v>5.17</v>
      </c>
    </row>
    <row r="86" spans="1:17" customFormat="1">
      <c r="A86" s="112" t="s">
        <v>1948</v>
      </c>
      <c r="B86" s="134">
        <v>13.69</v>
      </c>
      <c r="C86" s="134">
        <v>23.24</v>
      </c>
      <c r="D86" s="134">
        <v>24.47</v>
      </c>
      <c r="E86" s="134">
        <v>8.25</v>
      </c>
      <c r="F86" s="134">
        <v>4.83</v>
      </c>
      <c r="G86" s="134">
        <v>21.26</v>
      </c>
      <c r="H86" s="134">
        <v>6.27</v>
      </c>
      <c r="I86" s="134">
        <v>4.24</v>
      </c>
      <c r="J86" s="134">
        <v>0.1</v>
      </c>
      <c r="K86" s="134">
        <v>195.62</v>
      </c>
      <c r="L86" s="134">
        <v>28.48</v>
      </c>
      <c r="M86" s="134">
        <v>81.37</v>
      </c>
      <c r="N86" s="134">
        <v>0</v>
      </c>
      <c r="O86" s="134">
        <v>0</v>
      </c>
      <c r="P86" s="134">
        <v>0.67</v>
      </c>
      <c r="Q86" s="134">
        <v>5.2</v>
      </c>
    </row>
    <row r="87" spans="1:17" customFormat="1">
      <c r="A87" s="112" t="s">
        <v>1949</v>
      </c>
      <c r="B87" s="134">
        <v>12.5</v>
      </c>
      <c r="C87" s="134">
        <v>23.4</v>
      </c>
      <c r="D87" s="134">
        <v>23.6</v>
      </c>
      <c r="E87" s="134">
        <v>8.1300000000000008</v>
      </c>
      <c r="F87" s="134">
        <v>4.5199999999999996</v>
      </c>
      <c r="G87" s="134">
        <v>21.61</v>
      </c>
      <c r="H87" s="134">
        <v>6.27</v>
      </c>
      <c r="I87" s="134">
        <v>5.09</v>
      </c>
      <c r="J87" s="134">
        <v>0.22</v>
      </c>
      <c r="K87" s="134">
        <v>183.19</v>
      </c>
      <c r="L87" s="134">
        <v>28.43</v>
      </c>
      <c r="M87" s="134">
        <v>81.010000000000005</v>
      </c>
      <c r="N87" s="134">
        <v>0</v>
      </c>
      <c r="O87" s="134">
        <v>0</v>
      </c>
      <c r="P87" s="134">
        <v>0.6</v>
      </c>
      <c r="Q87" s="134">
        <v>5.22</v>
      </c>
    </row>
    <row r="88" spans="1:17" customFormat="1">
      <c r="A88" s="112" t="s">
        <v>1950</v>
      </c>
      <c r="B88" s="134">
        <v>10.39</v>
      </c>
      <c r="C88" s="134">
        <v>22.8</v>
      </c>
      <c r="D88" s="134">
        <v>21.6</v>
      </c>
      <c r="E88" s="134">
        <v>8.18</v>
      </c>
      <c r="F88" s="134">
        <v>4.5199999999999996</v>
      </c>
      <c r="G88" s="134">
        <v>21.61</v>
      </c>
      <c r="H88" s="134">
        <v>6.27</v>
      </c>
      <c r="I88" s="134">
        <v>5.15</v>
      </c>
      <c r="J88" s="134">
        <v>0.23</v>
      </c>
      <c r="K88" s="134">
        <v>174.41</v>
      </c>
      <c r="L88" s="134">
        <v>28.06</v>
      </c>
      <c r="M88" s="134">
        <v>86.6</v>
      </c>
      <c r="N88" s="134">
        <v>0</v>
      </c>
      <c r="O88" s="134">
        <v>0</v>
      </c>
      <c r="P88" s="134">
        <v>0.57999999999999996</v>
      </c>
      <c r="Q88" s="134">
        <v>5.28</v>
      </c>
    </row>
    <row r="89" spans="1:17" customFormat="1">
      <c r="A89" s="112" t="s">
        <v>1951</v>
      </c>
      <c r="B89" s="134">
        <v>9.6</v>
      </c>
      <c r="C89" s="134">
        <v>20.440000000000001</v>
      </c>
      <c r="D89" s="134">
        <v>19.73</v>
      </c>
      <c r="E89" s="134">
        <v>7.52</v>
      </c>
      <c r="F89" s="134">
        <v>5.35</v>
      </c>
      <c r="G89" s="134">
        <v>21.61</v>
      </c>
      <c r="H89" s="134">
        <v>6.27</v>
      </c>
      <c r="I89" s="134">
        <v>5.01</v>
      </c>
      <c r="J89" s="134">
        <v>0.12</v>
      </c>
      <c r="K89" s="134">
        <v>174.04</v>
      </c>
      <c r="L89" s="134">
        <v>27.97</v>
      </c>
      <c r="M89" s="134">
        <v>87.73</v>
      </c>
      <c r="N89" s="134">
        <v>0</v>
      </c>
      <c r="O89" s="134">
        <v>0</v>
      </c>
      <c r="P89" s="134">
        <v>0.6</v>
      </c>
      <c r="Q89" s="134">
        <v>5.32</v>
      </c>
    </row>
    <row r="90" spans="1:17" customFormat="1">
      <c r="A90" s="112" t="s">
        <v>1952</v>
      </c>
      <c r="B90" s="134">
        <v>10.15</v>
      </c>
      <c r="C90" s="134">
        <v>20.329999999999998</v>
      </c>
      <c r="D90" s="134">
        <v>20.11</v>
      </c>
      <c r="E90" s="134">
        <v>8</v>
      </c>
      <c r="F90" s="134">
        <v>6.56</v>
      </c>
      <c r="G90" s="134">
        <v>25.31</v>
      </c>
      <c r="H90" s="134">
        <v>7.35</v>
      </c>
      <c r="I90" s="134">
        <v>4.9000000000000004</v>
      </c>
      <c r="J90" s="134">
        <v>0.39</v>
      </c>
      <c r="K90" s="134">
        <v>285.85000000000002</v>
      </c>
      <c r="L90" s="134">
        <v>28.49</v>
      </c>
      <c r="M90" s="134">
        <v>79.790000000000006</v>
      </c>
      <c r="N90" s="134">
        <v>0</v>
      </c>
      <c r="O90" s="134">
        <v>0</v>
      </c>
      <c r="P90" s="134">
        <v>0.65</v>
      </c>
      <c r="Q90" s="134">
        <v>5.34</v>
      </c>
    </row>
    <row r="91" spans="1:17" customFormat="1">
      <c r="A91" s="112" t="s">
        <v>1953</v>
      </c>
      <c r="B91" s="134">
        <v>10.82</v>
      </c>
      <c r="C91" s="134">
        <v>21.04</v>
      </c>
      <c r="D91" s="134">
        <v>21.02</v>
      </c>
      <c r="E91" s="134">
        <v>8.0500000000000007</v>
      </c>
      <c r="F91" s="134">
        <v>6.72</v>
      </c>
      <c r="G91" s="134">
        <v>25.93</v>
      </c>
      <c r="H91" s="134">
        <v>7.35</v>
      </c>
      <c r="I91" s="134">
        <v>4.75</v>
      </c>
      <c r="J91" s="134">
        <v>0.22</v>
      </c>
      <c r="K91" s="134">
        <v>288.58</v>
      </c>
      <c r="L91" s="134">
        <v>28.77</v>
      </c>
      <c r="M91" s="134">
        <v>76.16</v>
      </c>
      <c r="N91" s="134">
        <v>0</v>
      </c>
      <c r="O91" s="134">
        <v>0</v>
      </c>
      <c r="P91" s="134">
        <v>0.56999999999999995</v>
      </c>
      <c r="Q91" s="134">
        <v>5.33</v>
      </c>
    </row>
    <row r="92" spans="1:17" customFormat="1">
      <c r="A92" s="112" t="s">
        <v>1954</v>
      </c>
      <c r="B92" s="134">
        <v>13.1</v>
      </c>
      <c r="C92" s="134">
        <v>24.77</v>
      </c>
      <c r="D92" s="134">
        <v>24.8</v>
      </c>
      <c r="E92" s="134">
        <v>7.89</v>
      </c>
      <c r="F92" s="134">
        <v>6.35</v>
      </c>
      <c r="G92" s="134">
        <v>25.93</v>
      </c>
      <c r="H92" s="134">
        <v>7.35</v>
      </c>
      <c r="I92" s="134">
        <v>4.97</v>
      </c>
      <c r="J92" s="134">
        <v>0.18</v>
      </c>
      <c r="K92" s="134">
        <v>320.41000000000003</v>
      </c>
      <c r="L92" s="134">
        <v>28.63</v>
      </c>
      <c r="M92" s="134">
        <v>76.48</v>
      </c>
      <c r="N92" s="134">
        <v>0</v>
      </c>
      <c r="O92" s="134">
        <v>0</v>
      </c>
      <c r="P92" s="134">
        <v>0.62</v>
      </c>
      <c r="Q92" s="134">
        <v>5.35</v>
      </c>
    </row>
    <row r="93" spans="1:17" customFormat="1">
      <c r="A93" s="112" t="s">
        <v>1955</v>
      </c>
      <c r="B93" s="134">
        <v>12.23</v>
      </c>
      <c r="C93" s="134">
        <v>23.31</v>
      </c>
      <c r="D93" s="134">
        <v>23.34</v>
      </c>
      <c r="E93" s="134">
        <v>8.65</v>
      </c>
      <c r="F93" s="134">
        <v>7.6</v>
      </c>
      <c r="G93" s="134">
        <v>25.93</v>
      </c>
      <c r="H93" s="134">
        <v>7.35</v>
      </c>
      <c r="I93" s="134">
        <v>4.75</v>
      </c>
      <c r="J93" s="134">
        <v>0.16</v>
      </c>
      <c r="K93" s="134">
        <v>274.35000000000002</v>
      </c>
      <c r="L93" s="134">
        <v>28.54</v>
      </c>
      <c r="M93" s="134">
        <v>76.62</v>
      </c>
      <c r="N93" s="134">
        <v>0</v>
      </c>
      <c r="O93" s="134">
        <v>0</v>
      </c>
      <c r="P93" s="134">
        <v>0.59</v>
      </c>
      <c r="Q93" s="134">
        <v>5.41</v>
      </c>
    </row>
    <row r="94" spans="1:17" customFormat="1">
      <c r="A94" s="112" t="s">
        <v>1956</v>
      </c>
      <c r="B94" s="134">
        <v>10.59</v>
      </c>
      <c r="C94" s="134">
        <v>22.25</v>
      </c>
      <c r="D94" s="134">
        <v>21.46</v>
      </c>
      <c r="E94" s="134">
        <v>8.56</v>
      </c>
      <c r="F94" s="134">
        <v>8.34</v>
      </c>
      <c r="G94" s="134">
        <v>27.13</v>
      </c>
      <c r="H94" s="134">
        <v>6.25</v>
      </c>
      <c r="I94" s="134">
        <v>4.83</v>
      </c>
      <c r="J94" s="134">
        <v>0.14000000000000001</v>
      </c>
      <c r="K94" s="134">
        <v>179.16</v>
      </c>
      <c r="L94" s="134">
        <v>28.21</v>
      </c>
      <c r="M94" s="134">
        <v>80.180000000000007</v>
      </c>
      <c r="N94" s="134">
        <v>0</v>
      </c>
      <c r="O94" s="134">
        <v>0</v>
      </c>
      <c r="P94" s="134">
        <v>0.6</v>
      </c>
      <c r="Q94" s="134">
        <v>5.42</v>
      </c>
    </row>
    <row r="95" spans="1:17" customFormat="1">
      <c r="A95" s="112" t="s">
        <v>1957</v>
      </c>
      <c r="B95" s="134">
        <v>10.91</v>
      </c>
      <c r="C95" s="134">
        <v>21.95</v>
      </c>
      <c r="D95" s="134">
        <v>21.56</v>
      </c>
      <c r="E95" s="134">
        <v>8.0299999999999994</v>
      </c>
      <c r="F95" s="134">
        <v>7.32</v>
      </c>
      <c r="G95" s="134">
        <v>27.33</v>
      </c>
      <c r="H95" s="134">
        <v>6.25</v>
      </c>
      <c r="I95" s="134">
        <v>5.03</v>
      </c>
      <c r="J95" s="134">
        <v>0.16</v>
      </c>
      <c r="K95" s="134">
        <v>122.75</v>
      </c>
      <c r="L95" s="134">
        <v>27.9</v>
      </c>
      <c r="M95" s="134">
        <v>83.78</v>
      </c>
      <c r="N95" s="134">
        <v>0</v>
      </c>
      <c r="O95" s="134">
        <v>0</v>
      </c>
      <c r="P95" s="134">
        <v>0.6</v>
      </c>
      <c r="Q95" s="134">
        <v>5.42</v>
      </c>
    </row>
    <row r="96" spans="1:17" customFormat="1">
      <c r="A96" s="112" t="s">
        <v>1958</v>
      </c>
      <c r="B96" s="134">
        <v>14.74</v>
      </c>
      <c r="C96" s="134">
        <v>24.56</v>
      </c>
      <c r="D96" s="134">
        <v>26</v>
      </c>
      <c r="E96" s="134">
        <v>7.62</v>
      </c>
      <c r="F96" s="134">
        <v>5.0999999999999996</v>
      </c>
      <c r="G96" s="134">
        <v>27.33</v>
      </c>
      <c r="H96" s="134">
        <v>6.25</v>
      </c>
      <c r="I96" s="134">
        <v>5.28</v>
      </c>
      <c r="J96" s="134">
        <v>0.02</v>
      </c>
      <c r="K96" s="134">
        <v>122.99</v>
      </c>
      <c r="L96" s="134">
        <v>27.8</v>
      </c>
      <c r="M96" s="134">
        <v>83.89</v>
      </c>
      <c r="N96" s="134">
        <v>0</v>
      </c>
      <c r="O96" s="134">
        <v>0</v>
      </c>
      <c r="P96" s="134">
        <v>0.63</v>
      </c>
      <c r="Q96" s="134">
        <v>5.46</v>
      </c>
    </row>
    <row r="97" spans="1:22" customFormat="1">
      <c r="A97" s="112" t="s">
        <v>1959</v>
      </c>
      <c r="B97" s="134">
        <v>14.76</v>
      </c>
      <c r="C97" s="134">
        <v>24.68</v>
      </c>
      <c r="D97" s="134">
        <v>26.08</v>
      </c>
      <c r="E97" s="134">
        <v>8</v>
      </c>
      <c r="F97" s="134">
        <v>4.68</v>
      </c>
      <c r="G97" s="134">
        <v>27.33</v>
      </c>
      <c r="H97" s="134">
        <v>6.25</v>
      </c>
      <c r="I97" s="134">
        <v>5.44</v>
      </c>
      <c r="J97" s="134">
        <v>0.22</v>
      </c>
      <c r="K97" s="134">
        <v>275.31</v>
      </c>
      <c r="L97" s="134">
        <v>27.89</v>
      </c>
      <c r="M97" s="134">
        <v>83.86</v>
      </c>
      <c r="N97" s="134">
        <v>0</v>
      </c>
      <c r="O97" s="134">
        <v>0</v>
      </c>
      <c r="P97" s="134">
        <v>0.66</v>
      </c>
      <c r="Q97" s="134">
        <v>5.53</v>
      </c>
    </row>
    <row r="98" spans="1:22" customFormat="1">
      <c r="A98" s="112" t="s">
        <v>1960</v>
      </c>
      <c r="B98" s="134">
        <v>13.77</v>
      </c>
      <c r="C98" s="134">
        <v>23.12</v>
      </c>
      <c r="D98" s="134">
        <v>24.47</v>
      </c>
      <c r="E98" s="134">
        <v>9.6199999999999992</v>
      </c>
      <c r="F98" s="134">
        <v>6.44</v>
      </c>
      <c r="G98" s="134">
        <v>31.45</v>
      </c>
      <c r="H98" s="134">
        <v>11</v>
      </c>
      <c r="I98" s="134">
        <v>5.43</v>
      </c>
      <c r="J98" s="134">
        <v>0.32</v>
      </c>
      <c r="K98" s="134">
        <v>273.81</v>
      </c>
      <c r="L98" s="134">
        <v>27.95</v>
      </c>
      <c r="M98" s="134">
        <v>83.08</v>
      </c>
      <c r="N98" s="134">
        <v>0</v>
      </c>
      <c r="O98" s="134">
        <v>0</v>
      </c>
      <c r="P98" s="134">
        <v>0.63</v>
      </c>
      <c r="Q98" s="134">
        <v>5.6</v>
      </c>
    </row>
    <row r="99" spans="1:22" customFormat="1">
      <c r="A99" s="112" t="s">
        <v>1961</v>
      </c>
      <c r="B99" s="134">
        <v>12.65</v>
      </c>
      <c r="C99" s="134">
        <v>22.16</v>
      </c>
      <c r="D99" s="134">
        <v>23.07</v>
      </c>
      <c r="E99" s="134">
        <v>10.98</v>
      </c>
      <c r="F99" s="134">
        <v>6.99</v>
      </c>
      <c r="G99" s="134">
        <v>32.15</v>
      </c>
      <c r="H99" s="134">
        <v>11</v>
      </c>
      <c r="I99" s="134">
        <v>5.55</v>
      </c>
      <c r="J99" s="134">
        <v>7.0000000000000007E-2</v>
      </c>
      <c r="K99" s="134">
        <v>253.92</v>
      </c>
      <c r="L99" s="134">
        <v>27.86</v>
      </c>
      <c r="M99" s="134">
        <v>83.69</v>
      </c>
      <c r="N99" s="134">
        <v>0</v>
      </c>
      <c r="O99" s="134">
        <v>0</v>
      </c>
      <c r="P99" s="134">
        <v>0.64</v>
      </c>
      <c r="Q99" s="134">
        <v>5.63</v>
      </c>
    </row>
    <row r="100" spans="1:22" customFormat="1">
      <c r="A100" s="112" t="s">
        <v>1962</v>
      </c>
      <c r="B100" s="134">
        <v>12.79</v>
      </c>
      <c r="C100" s="134">
        <v>22.87</v>
      </c>
      <c r="D100" s="134">
        <v>23.56</v>
      </c>
      <c r="E100" s="134">
        <v>11.13</v>
      </c>
      <c r="F100" s="134">
        <v>6.09</v>
      </c>
      <c r="G100" s="134">
        <v>32.15</v>
      </c>
      <c r="H100" s="134">
        <v>11</v>
      </c>
      <c r="I100" s="134">
        <v>5.35</v>
      </c>
      <c r="J100" s="134">
        <v>0.24</v>
      </c>
      <c r="K100" s="134">
        <v>73.34</v>
      </c>
      <c r="L100" s="134">
        <v>27.74</v>
      </c>
      <c r="M100" s="134">
        <v>85.67</v>
      </c>
      <c r="N100" s="134">
        <v>0</v>
      </c>
      <c r="O100" s="134">
        <v>0</v>
      </c>
      <c r="P100" s="134">
        <v>0.62</v>
      </c>
      <c r="Q100" s="134">
        <v>5.63</v>
      </c>
    </row>
    <row r="101" spans="1:22" customFormat="1">
      <c r="A101" s="112" t="s">
        <v>1963</v>
      </c>
      <c r="B101" s="134">
        <v>13.78</v>
      </c>
      <c r="C101" s="134">
        <v>23.68</v>
      </c>
      <c r="D101" s="134">
        <v>24.77</v>
      </c>
      <c r="E101" s="134">
        <v>8.84</v>
      </c>
      <c r="F101" s="134">
        <v>5.45</v>
      </c>
      <c r="G101" s="134">
        <v>32.15</v>
      </c>
      <c r="H101" s="134">
        <v>11</v>
      </c>
      <c r="I101" s="134">
        <v>5.3</v>
      </c>
      <c r="J101" s="134">
        <v>0.09</v>
      </c>
      <c r="K101" s="134">
        <v>102</v>
      </c>
      <c r="L101" s="134">
        <v>27.47</v>
      </c>
      <c r="M101" s="134">
        <v>89.2</v>
      </c>
      <c r="N101" s="134">
        <v>0</v>
      </c>
      <c r="O101" s="134">
        <v>0</v>
      </c>
      <c r="P101" s="134">
        <v>0.61</v>
      </c>
      <c r="Q101" s="134">
        <v>5.62</v>
      </c>
    </row>
    <row r="102" spans="1:22" customFormat="1">
      <c r="A102" s="112" t="s">
        <v>1964</v>
      </c>
      <c r="B102" s="134">
        <v>13.39</v>
      </c>
      <c r="C102" s="134">
        <v>22.03</v>
      </c>
      <c r="D102" s="134">
        <v>23.6</v>
      </c>
      <c r="E102" s="134">
        <v>7.86</v>
      </c>
      <c r="F102" s="134">
        <v>6.08</v>
      </c>
      <c r="G102" s="134">
        <v>39.67</v>
      </c>
      <c r="H102" s="134">
        <v>15.39</v>
      </c>
      <c r="I102" s="134">
        <v>5.28</v>
      </c>
      <c r="J102" s="134">
        <v>0.06</v>
      </c>
      <c r="K102" s="134">
        <v>251</v>
      </c>
      <c r="L102" s="134">
        <v>27.32</v>
      </c>
      <c r="M102" s="134">
        <v>89.53</v>
      </c>
      <c r="N102" s="134">
        <v>0</v>
      </c>
      <c r="O102" s="134">
        <v>0</v>
      </c>
      <c r="P102" s="134">
        <v>0.6</v>
      </c>
      <c r="Q102" s="134">
        <v>5.68</v>
      </c>
    </row>
    <row r="103" spans="1:22" customFormat="1">
      <c r="A103" s="112" t="s">
        <v>1965</v>
      </c>
      <c r="B103" s="134">
        <v>13.21</v>
      </c>
      <c r="C103" s="134">
        <v>20.9</v>
      </c>
      <c r="D103" s="134">
        <v>22.86</v>
      </c>
      <c r="E103" s="134">
        <v>7.9</v>
      </c>
      <c r="F103" s="134">
        <v>5.73</v>
      </c>
      <c r="G103" s="134">
        <v>40.94</v>
      </c>
      <c r="H103" s="134">
        <v>15.39</v>
      </c>
      <c r="I103" s="134">
        <v>5.32</v>
      </c>
      <c r="J103" s="134">
        <v>0.09</v>
      </c>
      <c r="K103" s="134">
        <v>326.72000000000003</v>
      </c>
      <c r="L103" s="134">
        <v>26.94</v>
      </c>
      <c r="M103" s="134">
        <v>91.98</v>
      </c>
      <c r="N103" s="134">
        <v>0</v>
      </c>
      <c r="O103" s="134">
        <v>0</v>
      </c>
      <c r="P103" s="134">
        <v>0.57999999999999996</v>
      </c>
      <c r="Q103" s="134">
        <v>5.71</v>
      </c>
    </row>
    <row r="104" spans="1:22" customFormat="1">
      <c r="A104" s="112" t="s">
        <v>1966</v>
      </c>
      <c r="B104" s="134">
        <v>14.94</v>
      </c>
      <c r="C104" s="134">
        <v>20.260000000000002</v>
      </c>
      <c r="D104" s="134">
        <v>23.91</v>
      </c>
      <c r="E104" s="134">
        <v>7.59</v>
      </c>
      <c r="F104" s="134">
        <v>5.99</v>
      </c>
      <c r="G104" s="134">
        <v>40.94</v>
      </c>
      <c r="H104" s="134">
        <v>15.39</v>
      </c>
      <c r="I104" s="134">
        <v>5.09</v>
      </c>
      <c r="J104" s="134">
        <v>0.16</v>
      </c>
      <c r="K104" s="134">
        <v>54.87</v>
      </c>
      <c r="L104" s="134">
        <v>26.84</v>
      </c>
      <c r="M104" s="134">
        <v>91.98</v>
      </c>
      <c r="N104" s="134">
        <v>0</v>
      </c>
      <c r="O104" s="134">
        <v>0</v>
      </c>
      <c r="P104" s="134">
        <v>0.59</v>
      </c>
      <c r="Q104" s="134">
        <v>5.65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6.21</v>
      </c>
      <c r="C106" s="183">
        <f>MIN(C9:C104)</f>
        <v>14.29</v>
      </c>
      <c r="D106" s="183">
        <f t="shared" ref="D106:Q106" si="0">MIN(D9:D104)</f>
        <v>13.87</v>
      </c>
      <c r="E106" s="183">
        <f t="shared" si="0"/>
        <v>5.46</v>
      </c>
      <c r="F106" s="183">
        <f t="shared" si="0"/>
        <v>3.83</v>
      </c>
      <c r="G106" s="183">
        <f t="shared" si="0"/>
        <v>18.87</v>
      </c>
      <c r="H106" s="183">
        <f t="shared" si="0"/>
        <v>3.9</v>
      </c>
      <c r="I106" s="183">
        <f t="shared" si="0"/>
        <v>3.27</v>
      </c>
      <c r="J106" s="183">
        <f t="shared" si="0"/>
        <v>0.02</v>
      </c>
      <c r="K106" s="183">
        <f t="shared" si="0"/>
        <v>27.37</v>
      </c>
      <c r="L106" s="183">
        <f t="shared" si="0"/>
        <v>25.29</v>
      </c>
      <c r="M106" s="183">
        <f t="shared" si="0"/>
        <v>55.58</v>
      </c>
      <c r="N106" s="183">
        <f t="shared" si="0"/>
        <v>0</v>
      </c>
      <c r="O106" s="183">
        <f t="shared" si="0"/>
        <v>0</v>
      </c>
      <c r="P106" s="183">
        <f t="shared" si="0"/>
        <v>0.43</v>
      </c>
      <c r="Q106" s="183">
        <f t="shared" si="0"/>
        <v>5.03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17.440000000000001</v>
      </c>
      <c r="C107" s="184">
        <f t="shared" ref="C107:Q107" si="1">MAX(C9:C104)</f>
        <v>24.77</v>
      </c>
      <c r="D107" s="184">
        <f t="shared" si="1"/>
        <v>27.1</v>
      </c>
      <c r="E107" s="184">
        <f t="shared" si="1"/>
        <v>11.4</v>
      </c>
      <c r="F107" s="184">
        <f t="shared" si="1"/>
        <v>15.38</v>
      </c>
      <c r="G107" s="184">
        <f t="shared" si="1"/>
        <v>40.94</v>
      </c>
      <c r="H107" s="184">
        <f t="shared" si="1"/>
        <v>15.39</v>
      </c>
      <c r="I107" s="184">
        <f t="shared" si="1"/>
        <v>5.55</v>
      </c>
      <c r="J107" s="184">
        <f t="shared" si="1"/>
        <v>0.64</v>
      </c>
      <c r="K107" s="184">
        <f t="shared" si="1"/>
        <v>358.75</v>
      </c>
      <c r="L107" s="184">
        <f t="shared" si="1"/>
        <v>33.090000000000003</v>
      </c>
      <c r="M107" s="184">
        <f t="shared" si="1"/>
        <v>97.39</v>
      </c>
      <c r="N107" s="184">
        <f t="shared" si="1"/>
        <v>797.8</v>
      </c>
      <c r="O107" s="184">
        <f t="shared" si="1"/>
        <v>0</v>
      </c>
      <c r="P107" s="184">
        <f t="shared" si="1"/>
        <v>0.69</v>
      </c>
      <c r="Q107" s="184">
        <f t="shared" si="1"/>
        <v>6.05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12.276354166666669</v>
      </c>
      <c r="C108" s="183">
        <f t="shared" ref="C108:Q108" si="2">AVERAGE(C9:C104)</f>
        <v>20.321145833333329</v>
      </c>
      <c r="D108" s="183">
        <f t="shared" si="2"/>
        <v>21.811979166666664</v>
      </c>
      <c r="E108" s="183">
        <f t="shared" si="2"/>
        <v>8.0680208333333301</v>
      </c>
      <c r="F108" s="183">
        <f t="shared" si="2"/>
        <v>6.9798958333333365</v>
      </c>
      <c r="G108" s="183">
        <f t="shared" si="2"/>
        <v>25.014270833333352</v>
      </c>
      <c r="H108" s="183">
        <f t="shared" si="2"/>
        <v>7.5368749999999975</v>
      </c>
      <c r="I108" s="183">
        <f t="shared" si="2"/>
        <v>4.6602083333333306</v>
      </c>
      <c r="J108" s="183">
        <f t="shared" si="2"/>
        <v>0.2264583333333334</v>
      </c>
      <c r="K108" s="183">
        <f t="shared" si="2"/>
        <v>231.97812500000001</v>
      </c>
      <c r="L108" s="183">
        <f t="shared" si="2"/>
        <v>28.58927083333333</v>
      </c>
      <c r="M108" s="183">
        <f t="shared" si="2"/>
        <v>80.185104166666648</v>
      </c>
      <c r="N108" s="183">
        <f t="shared" si="2"/>
        <v>146.25937500000001</v>
      </c>
      <c r="O108" s="183">
        <f t="shared" si="2"/>
        <v>0</v>
      </c>
      <c r="P108" s="183">
        <f t="shared" si="2"/>
        <v>0.52197916666666677</v>
      </c>
      <c r="Q108" s="183">
        <f t="shared" si="2"/>
        <v>5.4926041666666672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3.4757306296788326</v>
      </c>
      <c r="C109" s="183">
        <f t="shared" ref="C109:Q109" si="3">STDEV(C9:C104)</f>
        <v>2.310168310018609</v>
      </c>
      <c r="D109" s="183">
        <f t="shared" si="3"/>
        <v>3.6789800130475858</v>
      </c>
      <c r="E109" s="183">
        <f t="shared" si="3"/>
        <v>1.2068293559150327</v>
      </c>
      <c r="F109" s="183">
        <f t="shared" si="3"/>
        <v>3.03080482442732</v>
      </c>
      <c r="G109" s="183">
        <f t="shared" si="3"/>
        <v>4.0055413576671102</v>
      </c>
      <c r="H109" s="183">
        <f t="shared" si="3"/>
        <v>2.1489979611070229</v>
      </c>
      <c r="I109" s="183">
        <f t="shared" si="3"/>
        <v>0.56109663145003974</v>
      </c>
      <c r="J109" s="183">
        <f t="shared" si="3"/>
        <v>0.13772573177508407</v>
      </c>
      <c r="K109" s="183">
        <f t="shared" si="3"/>
        <v>71.99470459053866</v>
      </c>
      <c r="L109" s="183">
        <f t="shared" si="3"/>
        <v>2.4164433388946018</v>
      </c>
      <c r="M109" s="183">
        <f t="shared" si="3"/>
        <v>12.32243977848125</v>
      </c>
      <c r="N109" s="183">
        <f t="shared" si="3"/>
        <v>225.83574822056428</v>
      </c>
      <c r="O109" s="183">
        <f t="shared" si="3"/>
        <v>0</v>
      </c>
      <c r="P109" s="183">
        <f t="shared" si="3"/>
        <v>5.8572847879984666E-2</v>
      </c>
      <c r="Q109" s="183">
        <f t="shared" si="3"/>
        <v>0.23428837287980511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19/09/2023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1967</v>
      </c>
      <c r="B9" s="134">
        <v>16.11</v>
      </c>
      <c r="C9" s="134">
        <v>24.18</v>
      </c>
      <c r="D9" s="134">
        <v>26.9</v>
      </c>
      <c r="E9" s="134">
        <v>7.54</v>
      </c>
      <c r="F9" s="134">
        <v>5.13</v>
      </c>
      <c r="G9" s="134">
        <v>40.94</v>
      </c>
      <c r="H9" s="134">
        <v>15.39</v>
      </c>
      <c r="I9" s="134">
        <v>4.79</v>
      </c>
      <c r="J9" s="134">
        <v>0.12</v>
      </c>
      <c r="K9" s="134">
        <v>29.37</v>
      </c>
      <c r="L9" s="134">
        <v>26.76</v>
      </c>
      <c r="M9" s="134">
        <v>91.95</v>
      </c>
      <c r="N9" s="134">
        <v>0</v>
      </c>
      <c r="O9" s="134">
        <v>0</v>
      </c>
      <c r="P9" s="134">
        <v>0.6</v>
      </c>
      <c r="Q9" s="134">
        <v>5.68</v>
      </c>
    </row>
    <row r="10" spans="1:21" customFormat="1">
      <c r="A10" s="112" t="s">
        <v>1968</v>
      </c>
      <c r="B10" s="134">
        <v>15.56</v>
      </c>
      <c r="C10" s="134">
        <v>22.42</v>
      </c>
      <c r="D10" s="134">
        <v>25.55</v>
      </c>
      <c r="E10" s="134">
        <v>7.44</v>
      </c>
      <c r="F10" s="134">
        <v>4.82</v>
      </c>
      <c r="G10" s="134">
        <v>35.29</v>
      </c>
      <c r="H10" s="134">
        <v>11.26</v>
      </c>
      <c r="I10" s="134">
        <v>4.92</v>
      </c>
      <c r="J10" s="134">
        <v>0.16</v>
      </c>
      <c r="K10" s="134">
        <v>232.79</v>
      </c>
      <c r="L10" s="134">
        <v>26.64</v>
      </c>
      <c r="M10" s="134">
        <v>92</v>
      </c>
      <c r="N10" s="134">
        <v>0</v>
      </c>
      <c r="O10" s="134">
        <v>0</v>
      </c>
      <c r="P10" s="134">
        <v>0.56999999999999995</v>
      </c>
      <c r="Q10" s="134">
        <v>5.72</v>
      </c>
    </row>
    <row r="11" spans="1:21" customFormat="1">
      <c r="A11" s="112" t="s">
        <v>1969</v>
      </c>
      <c r="B11" s="134">
        <v>15.28</v>
      </c>
      <c r="C11" s="134">
        <v>21.46</v>
      </c>
      <c r="D11" s="134">
        <v>24.82</v>
      </c>
      <c r="E11" s="134">
        <v>7.82</v>
      </c>
      <c r="F11" s="134">
        <v>4.88</v>
      </c>
      <c r="G11" s="134">
        <v>34.340000000000003</v>
      </c>
      <c r="H11" s="134">
        <v>11.26</v>
      </c>
      <c r="I11" s="134">
        <v>5.09</v>
      </c>
      <c r="J11" s="134">
        <v>0.06</v>
      </c>
      <c r="K11" s="134">
        <v>249.34</v>
      </c>
      <c r="L11" s="134">
        <v>26.42</v>
      </c>
      <c r="M11" s="134">
        <v>92.64</v>
      </c>
      <c r="N11" s="134">
        <v>0</v>
      </c>
      <c r="O11" s="134">
        <v>0</v>
      </c>
      <c r="P11" s="134">
        <v>0.56000000000000005</v>
      </c>
      <c r="Q11" s="134">
        <v>5.73</v>
      </c>
    </row>
    <row r="12" spans="1:21" customFormat="1">
      <c r="A12" s="112" t="s">
        <v>1970</v>
      </c>
      <c r="B12" s="134">
        <v>16.36</v>
      </c>
      <c r="C12" s="134">
        <v>23.18</v>
      </c>
      <c r="D12" s="134">
        <v>26.58</v>
      </c>
      <c r="E12" s="134">
        <v>8.06</v>
      </c>
      <c r="F12" s="134">
        <v>4.5599999999999996</v>
      </c>
      <c r="G12" s="134">
        <v>34.340000000000003</v>
      </c>
      <c r="H12" s="134">
        <v>11.26</v>
      </c>
      <c r="I12" s="134">
        <v>4.59</v>
      </c>
      <c r="J12" s="134">
        <v>0.09</v>
      </c>
      <c r="K12" s="134">
        <v>232.05</v>
      </c>
      <c r="L12" s="134">
        <v>26.35</v>
      </c>
      <c r="M12" s="134">
        <v>92.78</v>
      </c>
      <c r="N12" s="134">
        <v>0</v>
      </c>
      <c r="O12" s="134">
        <v>0</v>
      </c>
      <c r="P12" s="134">
        <v>0.6</v>
      </c>
      <c r="Q12" s="134">
        <v>5.74</v>
      </c>
    </row>
    <row r="13" spans="1:21" customFormat="1">
      <c r="A13" s="112" t="s">
        <v>1971</v>
      </c>
      <c r="B13" s="134">
        <v>17.010000000000002</v>
      </c>
      <c r="C13" s="134">
        <v>22.85</v>
      </c>
      <c r="D13" s="134">
        <v>26.93</v>
      </c>
      <c r="E13" s="134">
        <v>7.96</v>
      </c>
      <c r="F13" s="134">
        <v>4.6500000000000004</v>
      </c>
      <c r="G13" s="134">
        <v>34.340000000000003</v>
      </c>
      <c r="H13" s="134">
        <v>11.26</v>
      </c>
      <c r="I13" s="134">
        <v>4.75</v>
      </c>
      <c r="J13" s="134">
        <v>0.18</v>
      </c>
      <c r="K13" s="134">
        <v>17.41</v>
      </c>
      <c r="L13" s="134">
        <v>26.3</v>
      </c>
      <c r="M13" s="134">
        <v>91.7</v>
      </c>
      <c r="N13" s="134">
        <v>0</v>
      </c>
      <c r="O13" s="134">
        <v>0</v>
      </c>
      <c r="P13" s="134">
        <v>0.59</v>
      </c>
      <c r="Q13" s="134">
        <v>5.75</v>
      </c>
    </row>
    <row r="14" spans="1:21" customFormat="1">
      <c r="A14" s="112" t="s">
        <v>1972</v>
      </c>
      <c r="B14" s="134">
        <v>16.77</v>
      </c>
      <c r="C14" s="134">
        <v>21.68</v>
      </c>
      <c r="D14" s="134">
        <v>26.13</v>
      </c>
      <c r="E14" s="134">
        <v>7.86</v>
      </c>
      <c r="F14" s="134">
        <v>5.72</v>
      </c>
      <c r="G14" s="134">
        <v>28.53</v>
      </c>
      <c r="H14" s="134">
        <v>8.26</v>
      </c>
      <c r="I14" s="134">
        <v>5.08</v>
      </c>
      <c r="J14" s="134">
        <v>0.55000000000000004</v>
      </c>
      <c r="K14" s="134">
        <v>43.52</v>
      </c>
      <c r="L14" s="134">
        <v>26.35</v>
      </c>
      <c r="M14" s="134">
        <v>91.67</v>
      </c>
      <c r="N14" s="134">
        <v>0</v>
      </c>
      <c r="O14" s="134">
        <v>0</v>
      </c>
      <c r="P14" s="134">
        <v>0.56999999999999995</v>
      </c>
      <c r="Q14" s="134">
        <v>5.73</v>
      </c>
    </row>
    <row r="15" spans="1:21" customFormat="1">
      <c r="A15" s="112" t="s">
        <v>1973</v>
      </c>
      <c r="B15" s="134">
        <v>17.45</v>
      </c>
      <c r="C15" s="134">
        <v>23.2</v>
      </c>
      <c r="D15" s="134">
        <v>27.47</v>
      </c>
      <c r="E15" s="134">
        <v>7.8</v>
      </c>
      <c r="F15" s="134">
        <v>4.8499999999999996</v>
      </c>
      <c r="G15" s="134">
        <v>27.46</v>
      </c>
      <c r="H15" s="134">
        <v>8.26</v>
      </c>
      <c r="I15" s="134">
        <v>4.7300000000000004</v>
      </c>
      <c r="J15" s="134">
        <v>0.47</v>
      </c>
      <c r="K15" s="134">
        <v>43.62</v>
      </c>
      <c r="L15" s="134">
        <v>26.4</v>
      </c>
      <c r="M15" s="134">
        <v>91.56</v>
      </c>
      <c r="N15" s="134">
        <v>0</v>
      </c>
      <c r="O15" s="134">
        <v>0</v>
      </c>
      <c r="P15" s="134">
        <v>0.59</v>
      </c>
      <c r="Q15" s="134">
        <v>5.75</v>
      </c>
    </row>
    <row r="16" spans="1:21" customFormat="1">
      <c r="A16" s="112" t="s">
        <v>1974</v>
      </c>
      <c r="B16" s="134">
        <v>17.559999999999999</v>
      </c>
      <c r="C16" s="134">
        <v>22.2</v>
      </c>
      <c r="D16" s="134">
        <v>27.03</v>
      </c>
      <c r="E16" s="134">
        <v>7.96</v>
      </c>
      <c r="F16" s="134">
        <v>5</v>
      </c>
      <c r="G16" s="134">
        <v>27.46</v>
      </c>
      <c r="H16" s="134">
        <v>8.26</v>
      </c>
      <c r="I16" s="134">
        <v>4.92</v>
      </c>
      <c r="J16" s="134">
        <v>0.32</v>
      </c>
      <c r="K16" s="134">
        <v>48.92</v>
      </c>
      <c r="L16" s="134">
        <v>26.32</v>
      </c>
      <c r="M16" s="134">
        <v>93.12</v>
      </c>
      <c r="N16" s="134">
        <v>0</v>
      </c>
      <c r="O16" s="134">
        <v>0</v>
      </c>
      <c r="P16" s="134">
        <v>0.56999999999999995</v>
      </c>
      <c r="Q16" s="134">
        <v>5.77</v>
      </c>
    </row>
    <row r="17" spans="1:17" customFormat="1">
      <c r="A17" s="112" t="s">
        <v>1975</v>
      </c>
      <c r="B17" s="134">
        <v>17.89</v>
      </c>
      <c r="C17" s="134">
        <v>21.12</v>
      </c>
      <c r="D17" s="134">
        <v>26.73</v>
      </c>
      <c r="E17" s="134">
        <v>6.97</v>
      </c>
      <c r="F17" s="134">
        <v>4.88</v>
      </c>
      <c r="G17" s="134">
        <v>27.46</v>
      </c>
      <c r="H17" s="134">
        <v>8.26</v>
      </c>
      <c r="I17" s="134">
        <v>4.9800000000000004</v>
      </c>
      <c r="J17" s="134">
        <v>0.21</v>
      </c>
      <c r="K17" s="134">
        <v>54.42</v>
      </c>
      <c r="L17" s="134">
        <v>26.31</v>
      </c>
      <c r="M17" s="134">
        <v>94.52</v>
      </c>
      <c r="N17" s="134">
        <v>0</v>
      </c>
      <c r="O17" s="134">
        <v>0</v>
      </c>
      <c r="P17" s="134">
        <v>0.55000000000000004</v>
      </c>
      <c r="Q17" s="134">
        <v>5.76</v>
      </c>
    </row>
    <row r="18" spans="1:17" customFormat="1">
      <c r="A18" s="112" t="s">
        <v>1976</v>
      </c>
      <c r="B18" s="134">
        <v>18.329999999999998</v>
      </c>
      <c r="C18" s="134">
        <v>22.46</v>
      </c>
      <c r="D18" s="134">
        <v>27.79</v>
      </c>
      <c r="E18" s="134">
        <v>8.27</v>
      </c>
      <c r="F18" s="134">
        <v>4.5199999999999996</v>
      </c>
      <c r="G18" s="134">
        <v>29.52</v>
      </c>
      <c r="H18" s="134">
        <v>8.51</v>
      </c>
      <c r="I18" s="134">
        <v>4.7</v>
      </c>
      <c r="J18" s="134">
        <v>0.32</v>
      </c>
      <c r="K18" s="134">
        <v>43.96</v>
      </c>
      <c r="L18" s="134">
        <v>26.33</v>
      </c>
      <c r="M18" s="134">
        <v>94.94</v>
      </c>
      <c r="N18" s="134">
        <v>0</v>
      </c>
      <c r="O18" s="134">
        <v>0</v>
      </c>
      <c r="P18" s="134">
        <v>0.56000000000000005</v>
      </c>
      <c r="Q18" s="134">
        <v>5.77</v>
      </c>
    </row>
    <row r="19" spans="1:17" customFormat="1">
      <c r="A19" s="112" t="s">
        <v>1977</v>
      </c>
      <c r="B19" s="134">
        <v>18.66</v>
      </c>
      <c r="C19" s="134">
        <v>23.82</v>
      </c>
      <c r="D19" s="134">
        <v>28.76</v>
      </c>
      <c r="E19" s="134">
        <v>8.92</v>
      </c>
      <c r="F19" s="134">
        <v>4.43</v>
      </c>
      <c r="G19" s="134">
        <v>29.9</v>
      </c>
      <c r="H19" s="134">
        <v>8.51</v>
      </c>
      <c r="I19" s="134">
        <v>4.59</v>
      </c>
      <c r="J19" s="134">
        <v>0.47</v>
      </c>
      <c r="K19" s="134">
        <v>40.11</v>
      </c>
      <c r="L19" s="134">
        <v>26.3</v>
      </c>
      <c r="M19" s="134">
        <v>95.96</v>
      </c>
      <c r="N19" s="134">
        <v>0</v>
      </c>
      <c r="O19" s="134">
        <v>0</v>
      </c>
      <c r="P19" s="134">
        <v>0.57999999999999996</v>
      </c>
      <c r="Q19" s="134">
        <v>5.8</v>
      </c>
    </row>
    <row r="20" spans="1:17" customFormat="1">
      <c r="A20" s="112" t="s">
        <v>1978</v>
      </c>
      <c r="B20" s="134">
        <v>18.61</v>
      </c>
      <c r="C20" s="134">
        <v>22.12</v>
      </c>
      <c r="D20" s="134">
        <v>27.83</v>
      </c>
      <c r="E20" s="134">
        <v>9.17</v>
      </c>
      <c r="F20" s="134">
        <v>5.15</v>
      </c>
      <c r="G20" s="134">
        <v>29.9</v>
      </c>
      <c r="H20" s="134">
        <v>8.51</v>
      </c>
      <c r="I20" s="134">
        <v>4.9400000000000004</v>
      </c>
      <c r="J20" s="134">
        <v>0.45</v>
      </c>
      <c r="K20" s="134">
        <v>38.15</v>
      </c>
      <c r="L20" s="134">
        <v>26.11</v>
      </c>
      <c r="M20" s="134">
        <v>95.3</v>
      </c>
      <c r="N20" s="134">
        <v>0</v>
      </c>
      <c r="O20" s="134">
        <v>0</v>
      </c>
      <c r="P20" s="134">
        <v>0.55000000000000004</v>
      </c>
      <c r="Q20" s="134">
        <v>5.81</v>
      </c>
    </row>
    <row r="21" spans="1:17" customFormat="1">
      <c r="A21" s="112" t="s">
        <v>1979</v>
      </c>
      <c r="B21" s="134">
        <v>18.600000000000001</v>
      </c>
      <c r="C21" s="134">
        <v>20.64</v>
      </c>
      <c r="D21" s="134">
        <v>27.05</v>
      </c>
      <c r="E21" s="134">
        <v>8.43</v>
      </c>
      <c r="F21" s="134">
        <v>5.48</v>
      </c>
      <c r="G21" s="134">
        <v>29.9</v>
      </c>
      <c r="H21" s="134">
        <v>8.51</v>
      </c>
      <c r="I21" s="134">
        <v>4.87</v>
      </c>
      <c r="J21" s="134">
        <v>0.52</v>
      </c>
      <c r="K21" s="134">
        <v>41.31</v>
      </c>
      <c r="L21" s="134">
        <v>25.96</v>
      </c>
      <c r="M21" s="134">
        <v>95.29</v>
      </c>
      <c r="N21" s="134">
        <v>0</v>
      </c>
      <c r="O21" s="134">
        <v>0</v>
      </c>
      <c r="P21" s="134">
        <v>0.53</v>
      </c>
      <c r="Q21" s="134">
        <v>5.83</v>
      </c>
    </row>
    <row r="22" spans="1:17" customFormat="1">
      <c r="A22" s="112" t="s">
        <v>1980</v>
      </c>
      <c r="B22" s="134">
        <v>18.95</v>
      </c>
      <c r="C22" s="134">
        <v>22.61</v>
      </c>
      <c r="D22" s="134">
        <v>28.36</v>
      </c>
      <c r="E22" s="134">
        <v>8.52</v>
      </c>
      <c r="F22" s="134">
        <v>4.62</v>
      </c>
      <c r="G22" s="134">
        <v>32.4</v>
      </c>
      <c r="H22" s="134">
        <v>7.85</v>
      </c>
      <c r="I22" s="134">
        <v>4.6500000000000004</v>
      </c>
      <c r="J22" s="134">
        <v>0.38</v>
      </c>
      <c r="K22" s="134">
        <v>29.29</v>
      </c>
      <c r="L22" s="134">
        <v>25.89</v>
      </c>
      <c r="M22" s="134">
        <v>95.22</v>
      </c>
      <c r="N22" s="134">
        <v>0</v>
      </c>
      <c r="O22" s="134">
        <v>0</v>
      </c>
      <c r="P22" s="134">
        <v>0.56000000000000005</v>
      </c>
      <c r="Q22" s="134">
        <v>5.83</v>
      </c>
    </row>
    <row r="23" spans="1:17" customFormat="1">
      <c r="A23" s="112" t="s">
        <v>1981</v>
      </c>
      <c r="B23" s="134">
        <v>19.16</v>
      </c>
      <c r="C23" s="134">
        <v>22.91</v>
      </c>
      <c r="D23" s="134">
        <v>28.69</v>
      </c>
      <c r="E23" s="134">
        <v>9.0399999999999991</v>
      </c>
      <c r="F23" s="134">
        <v>4.4400000000000004</v>
      </c>
      <c r="G23" s="134">
        <v>32.82</v>
      </c>
      <c r="H23" s="134">
        <v>7.85</v>
      </c>
      <c r="I23" s="134">
        <v>4.6100000000000003</v>
      </c>
      <c r="J23" s="134">
        <v>0.28000000000000003</v>
      </c>
      <c r="K23" s="134">
        <v>13.97</v>
      </c>
      <c r="L23" s="134">
        <v>25.91</v>
      </c>
      <c r="M23" s="134">
        <v>95.29</v>
      </c>
      <c r="N23" s="134">
        <v>0</v>
      </c>
      <c r="O23" s="134">
        <v>0</v>
      </c>
      <c r="P23" s="134">
        <v>0.54</v>
      </c>
      <c r="Q23" s="134">
        <v>5.88</v>
      </c>
    </row>
    <row r="24" spans="1:17" customFormat="1">
      <c r="A24" s="112" t="s">
        <v>1982</v>
      </c>
      <c r="B24" s="134">
        <v>19.059999999999999</v>
      </c>
      <c r="C24" s="134">
        <v>21.18</v>
      </c>
      <c r="D24" s="134">
        <v>27.7</v>
      </c>
      <c r="E24" s="134">
        <v>8.66</v>
      </c>
      <c r="F24" s="134">
        <v>5.1100000000000003</v>
      </c>
      <c r="G24" s="134">
        <v>32.82</v>
      </c>
      <c r="H24" s="134">
        <v>7.85</v>
      </c>
      <c r="I24" s="134">
        <v>4.83</v>
      </c>
      <c r="J24" s="134">
        <v>0.15</v>
      </c>
      <c r="K24" s="134">
        <v>39.89</v>
      </c>
      <c r="L24" s="134">
        <v>25.92</v>
      </c>
      <c r="M24" s="134">
        <v>95.62</v>
      </c>
      <c r="N24" s="134">
        <v>0</v>
      </c>
      <c r="O24" s="134">
        <v>0</v>
      </c>
      <c r="P24" s="134">
        <v>0.53</v>
      </c>
      <c r="Q24" s="134">
        <v>5.9</v>
      </c>
    </row>
    <row r="25" spans="1:17" customFormat="1">
      <c r="A25" s="112" t="s">
        <v>1983</v>
      </c>
      <c r="B25" s="134">
        <v>19.239999999999998</v>
      </c>
      <c r="C25" s="134">
        <v>20.85</v>
      </c>
      <c r="D25" s="134">
        <v>27.67</v>
      </c>
      <c r="E25" s="134">
        <v>8.3699999999999992</v>
      </c>
      <c r="F25" s="134">
        <v>5</v>
      </c>
      <c r="G25" s="134">
        <v>32.82</v>
      </c>
      <c r="H25" s="134">
        <v>7.85</v>
      </c>
      <c r="I25" s="134">
        <v>4.59</v>
      </c>
      <c r="J25" s="134">
        <v>0.13</v>
      </c>
      <c r="K25" s="134">
        <v>69.86</v>
      </c>
      <c r="L25" s="134">
        <v>25.99</v>
      </c>
      <c r="M25" s="134">
        <v>94.79</v>
      </c>
      <c r="N25" s="134">
        <v>0</v>
      </c>
      <c r="O25" s="134">
        <v>0</v>
      </c>
      <c r="P25" s="134">
        <v>0.52</v>
      </c>
      <c r="Q25" s="134">
        <v>5.91</v>
      </c>
    </row>
    <row r="26" spans="1:17" customFormat="1">
      <c r="A26" s="112" t="s">
        <v>1984</v>
      </c>
      <c r="B26" s="134">
        <v>19.7</v>
      </c>
      <c r="C26" s="134">
        <v>23.21</v>
      </c>
      <c r="D26" s="134">
        <v>29.28</v>
      </c>
      <c r="E26" s="134">
        <v>8.56</v>
      </c>
      <c r="F26" s="134">
        <v>4.1100000000000003</v>
      </c>
      <c r="G26" s="134">
        <v>25.48</v>
      </c>
      <c r="H26" s="134">
        <v>10.029999999999999</v>
      </c>
      <c r="I26" s="134">
        <v>4.47</v>
      </c>
      <c r="J26" s="134">
        <v>0.12</v>
      </c>
      <c r="K26" s="134">
        <v>188.47</v>
      </c>
      <c r="L26" s="134">
        <v>26.08</v>
      </c>
      <c r="M26" s="134">
        <v>94.92</v>
      </c>
      <c r="N26" s="134">
        <v>0</v>
      </c>
      <c r="O26" s="134">
        <v>0</v>
      </c>
      <c r="P26" s="134">
        <v>0.55000000000000004</v>
      </c>
      <c r="Q26" s="134">
        <v>5.92</v>
      </c>
    </row>
    <row r="27" spans="1:17" customFormat="1">
      <c r="A27" s="112" t="s">
        <v>1985</v>
      </c>
      <c r="B27" s="134">
        <v>19.510000000000002</v>
      </c>
      <c r="C27" s="134">
        <v>22.53</v>
      </c>
      <c r="D27" s="134">
        <v>28.77</v>
      </c>
      <c r="E27" s="134">
        <v>8.9499999999999993</v>
      </c>
      <c r="F27" s="134">
        <v>4.55</v>
      </c>
      <c r="G27" s="134">
        <v>24.24</v>
      </c>
      <c r="H27" s="134">
        <v>10.029999999999999</v>
      </c>
      <c r="I27" s="134">
        <v>4.55</v>
      </c>
      <c r="J27" s="134">
        <v>0.16</v>
      </c>
      <c r="K27" s="134">
        <v>273.68</v>
      </c>
      <c r="L27" s="134">
        <v>25.96</v>
      </c>
      <c r="M27" s="134">
        <v>95.54</v>
      </c>
      <c r="N27" s="134">
        <v>0</v>
      </c>
      <c r="O27" s="134">
        <v>0</v>
      </c>
      <c r="P27" s="134">
        <v>0.53</v>
      </c>
      <c r="Q27" s="134">
        <v>5.96</v>
      </c>
    </row>
    <row r="28" spans="1:17" customFormat="1">
      <c r="A28" s="112" t="s">
        <v>1986</v>
      </c>
      <c r="B28" s="134">
        <v>19.100000000000001</v>
      </c>
      <c r="C28" s="134">
        <v>20.69</v>
      </c>
      <c r="D28" s="134">
        <v>27.47</v>
      </c>
      <c r="E28" s="134">
        <v>8.4499999999999993</v>
      </c>
      <c r="F28" s="134">
        <v>5.0999999999999996</v>
      </c>
      <c r="G28" s="134">
        <v>24.24</v>
      </c>
      <c r="H28" s="134">
        <v>10.029999999999999</v>
      </c>
      <c r="I28" s="134">
        <v>4.78</v>
      </c>
      <c r="J28" s="134">
        <v>0.08</v>
      </c>
      <c r="K28" s="134">
        <v>256.70999999999998</v>
      </c>
      <c r="L28" s="134">
        <v>25.88</v>
      </c>
      <c r="M28" s="134">
        <v>95.93</v>
      </c>
      <c r="N28" s="134">
        <v>0</v>
      </c>
      <c r="O28" s="134">
        <v>0</v>
      </c>
      <c r="P28" s="134">
        <v>0.51</v>
      </c>
      <c r="Q28" s="134">
        <v>5.95</v>
      </c>
    </row>
    <row r="29" spans="1:17" customFormat="1">
      <c r="A29" s="112" t="s">
        <v>1987</v>
      </c>
      <c r="B29" s="134">
        <v>18.87</v>
      </c>
      <c r="C29" s="134">
        <v>20.22</v>
      </c>
      <c r="D29" s="134">
        <v>27.05</v>
      </c>
      <c r="E29" s="134">
        <v>8.2899999999999991</v>
      </c>
      <c r="F29" s="134">
        <v>5.01</v>
      </c>
      <c r="G29" s="134">
        <v>24.24</v>
      </c>
      <c r="H29" s="134">
        <v>10.029999999999999</v>
      </c>
      <c r="I29" s="134">
        <v>4.5999999999999996</v>
      </c>
      <c r="J29" s="134">
        <v>0.14000000000000001</v>
      </c>
      <c r="K29" s="134">
        <v>241.56</v>
      </c>
      <c r="L29" s="134">
        <v>25.82</v>
      </c>
      <c r="M29" s="134">
        <v>96.01</v>
      </c>
      <c r="N29" s="134">
        <v>0</v>
      </c>
      <c r="O29" s="134">
        <v>0</v>
      </c>
      <c r="P29" s="134">
        <v>0.5</v>
      </c>
      <c r="Q29" s="134">
        <v>5.92</v>
      </c>
    </row>
    <row r="30" spans="1:17" customFormat="1">
      <c r="A30" s="112" t="s">
        <v>1988</v>
      </c>
      <c r="B30" s="134">
        <v>19.399999999999999</v>
      </c>
      <c r="C30" s="134">
        <v>23.14</v>
      </c>
      <c r="D30" s="134">
        <v>29</v>
      </c>
      <c r="E30" s="134">
        <v>8.58</v>
      </c>
      <c r="F30" s="134">
        <v>3.9</v>
      </c>
      <c r="G30" s="134">
        <v>23.08</v>
      </c>
      <c r="H30" s="134">
        <v>7.16</v>
      </c>
      <c r="I30" s="134">
        <v>4.43</v>
      </c>
      <c r="J30" s="134">
        <v>0.11</v>
      </c>
      <c r="K30" s="134">
        <v>230.45</v>
      </c>
      <c r="L30" s="134">
        <v>25.9</v>
      </c>
      <c r="M30" s="134">
        <v>95.67</v>
      </c>
      <c r="N30" s="134">
        <v>0</v>
      </c>
      <c r="O30" s="134">
        <v>0</v>
      </c>
      <c r="P30" s="134">
        <v>0.54</v>
      </c>
      <c r="Q30" s="134">
        <v>5.94</v>
      </c>
    </row>
    <row r="31" spans="1:17" customFormat="1">
      <c r="A31" s="112" t="s">
        <v>1989</v>
      </c>
      <c r="B31" s="134">
        <v>19.18</v>
      </c>
      <c r="C31" s="134">
        <v>22.09</v>
      </c>
      <c r="D31" s="134">
        <v>28.27</v>
      </c>
      <c r="E31" s="134">
        <v>8.51</v>
      </c>
      <c r="F31" s="134">
        <v>4.18</v>
      </c>
      <c r="G31" s="134">
        <v>22.87</v>
      </c>
      <c r="H31" s="134">
        <v>7.16</v>
      </c>
      <c r="I31" s="134">
        <v>4.58</v>
      </c>
      <c r="J31" s="134">
        <v>0.04</v>
      </c>
      <c r="K31" s="134">
        <v>175.39</v>
      </c>
      <c r="L31" s="134">
        <v>25.96</v>
      </c>
      <c r="M31" s="134">
        <v>96.26</v>
      </c>
      <c r="N31" s="134">
        <v>0</v>
      </c>
      <c r="O31" s="134">
        <v>0</v>
      </c>
      <c r="P31" s="134">
        <v>0.51</v>
      </c>
      <c r="Q31" s="134">
        <v>5.95</v>
      </c>
    </row>
    <row r="32" spans="1:17" customFormat="1">
      <c r="A32" s="112" t="s">
        <v>1990</v>
      </c>
      <c r="B32" s="134">
        <v>20.010000000000002</v>
      </c>
      <c r="C32" s="134">
        <v>20.54</v>
      </c>
      <c r="D32" s="134">
        <v>28.13</v>
      </c>
      <c r="E32" s="134">
        <v>8.58</v>
      </c>
      <c r="F32" s="134">
        <v>4.3499999999999996</v>
      </c>
      <c r="G32" s="134">
        <v>22.87</v>
      </c>
      <c r="H32" s="134">
        <v>7.16</v>
      </c>
      <c r="I32" s="134">
        <v>4.6500000000000004</v>
      </c>
      <c r="J32" s="134">
        <v>0.13</v>
      </c>
      <c r="K32" s="134">
        <v>313.42</v>
      </c>
      <c r="L32" s="134">
        <v>26.08</v>
      </c>
      <c r="M32" s="134">
        <v>95.37</v>
      </c>
      <c r="N32" s="134">
        <v>1.2</v>
      </c>
      <c r="O32" s="134">
        <v>0</v>
      </c>
      <c r="P32" s="134">
        <v>0.5</v>
      </c>
      <c r="Q32" s="134">
        <v>5.99</v>
      </c>
    </row>
    <row r="33" spans="1:17" customFormat="1">
      <c r="A33" s="112" t="s">
        <v>1991</v>
      </c>
      <c r="B33" s="134">
        <v>20.46</v>
      </c>
      <c r="C33" s="134">
        <v>20.48</v>
      </c>
      <c r="D33" s="134">
        <v>28.46</v>
      </c>
      <c r="E33" s="134">
        <v>8.93</v>
      </c>
      <c r="F33" s="134">
        <v>4.4400000000000004</v>
      </c>
      <c r="G33" s="134">
        <v>22.87</v>
      </c>
      <c r="H33" s="134">
        <v>7.16</v>
      </c>
      <c r="I33" s="134">
        <v>4.5199999999999996</v>
      </c>
      <c r="J33" s="134">
        <v>0.1</v>
      </c>
      <c r="K33" s="134">
        <v>174.53</v>
      </c>
      <c r="L33" s="134">
        <v>26.19</v>
      </c>
      <c r="M33" s="134">
        <v>94.73</v>
      </c>
      <c r="N33" s="134">
        <v>13.8</v>
      </c>
      <c r="O33" s="134">
        <v>0</v>
      </c>
      <c r="P33" s="134">
        <v>0.5</v>
      </c>
      <c r="Q33" s="134">
        <v>5.97</v>
      </c>
    </row>
    <row r="34" spans="1:17" customFormat="1">
      <c r="A34" s="112" t="s">
        <v>1992</v>
      </c>
      <c r="B34" s="134">
        <v>20.34</v>
      </c>
      <c r="C34" s="134">
        <v>22.72</v>
      </c>
      <c r="D34" s="134">
        <v>29.53</v>
      </c>
      <c r="E34" s="134">
        <v>9.18</v>
      </c>
      <c r="F34" s="134">
        <v>4.1500000000000004</v>
      </c>
      <c r="G34" s="134">
        <v>22.72</v>
      </c>
      <c r="H34" s="134">
        <v>5.43</v>
      </c>
      <c r="I34" s="134">
        <v>4.45</v>
      </c>
      <c r="J34" s="134">
        <v>0.13</v>
      </c>
      <c r="K34" s="134">
        <v>158.43</v>
      </c>
      <c r="L34" s="134">
        <v>26.4</v>
      </c>
      <c r="M34" s="134">
        <v>93.47</v>
      </c>
      <c r="N34" s="134">
        <v>28.1</v>
      </c>
      <c r="O34" s="134">
        <v>0</v>
      </c>
      <c r="P34" s="134">
        <v>0.52</v>
      </c>
      <c r="Q34" s="134">
        <v>5.97</v>
      </c>
    </row>
    <row r="35" spans="1:17" customFormat="1">
      <c r="A35" s="112" t="s">
        <v>1993</v>
      </c>
      <c r="B35" s="134">
        <v>20.39</v>
      </c>
      <c r="C35" s="134">
        <v>22.55</v>
      </c>
      <c r="D35" s="134">
        <v>29.48</v>
      </c>
      <c r="E35" s="134">
        <v>9.08</v>
      </c>
      <c r="F35" s="134">
        <v>4.2699999999999996</v>
      </c>
      <c r="G35" s="134">
        <v>22.69</v>
      </c>
      <c r="H35" s="134">
        <v>5.43</v>
      </c>
      <c r="I35" s="134">
        <v>4.59</v>
      </c>
      <c r="J35" s="134">
        <v>0.08</v>
      </c>
      <c r="K35" s="134">
        <v>222.28</v>
      </c>
      <c r="L35" s="134">
        <v>26.72</v>
      </c>
      <c r="M35" s="134">
        <v>93.37</v>
      </c>
      <c r="N35" s="134">
        <v>49.8</v>
      </c>
      <c r="O35" s="134">
        <v>0</v>
      </c>
      <c r="P35" s="134">
        <v>0.52</v>
      </c>
      <c r="Q35" s="134">
        <v>6.01</v>
      </c>
    </row>
    <row r="36" spans="1:17" customFormat="1">
      <c r="A36" s="112" t="s">
        <v>1994</v>
      </c>
      <c r="B36" s="134">
        <v>20.36</v>
      </c>
      <c r="C36" s="134">
        <v>21.2</v>
      </c>
      <c r="D36" s="134">
        <v>28.76</v>
      </c>
      <c r="E36" s="134">
        <v>8.74</v>
      </c>
      <c r="F36" s="134">
        <v>4.7699999999999996</v>
      </c>
      <c r="G36" s="134">
        <v>22.69</v>
      </c>
      <c r="H36" s="134">
        <v>5.43</v>
      </c>
      <c r="I36" s="134">
        <v>4.67</v>
      </c>
      <c r="J36" s="134">
        <v>0.15</v>
      </c>
      <c r="K36" s="134">
        <v>243.82</v>
      </c>
      <c r="L36" s="134">
        <v>27.09</v>
      </c>
      <c r="M36" s="134">
        <v>92.71</v>
      </c>
      <c r="N36" s="134">
        <v>63.9</v>
      </c>
      <c r="O36" s="134">
        <v>0</v>
      </c>
      <c r="P36" s="134">
        <v>0.5</v>
      </c>
      <c r="Q36" s="134">
        <v>6.01</v>
      </c>
    </row>
    <row r="37" spans="1:17" customFormat="1">
      <c r="A37" s="112" t="s">
        <v>1995</v>
      </c>
      <c r="B37" s="134">
        <v>20.25</v>
      </c>
      <c r="C37" s="134">
        <v>20.59</v>
      </c>
      <c r="D37" s="134">
        <v>28.35</v>
      </c>
      <c r="E37" s="134">
        <v>9.0500000000000007</v>
      </c>
      <c r="F37" s="134">
        <v>5</v>
      </c>
      <c r="G37" s="134">
        <v>22.69</v>
      </c>
      <c r="H37" s="134">
        <v>5.43</v>
      </c>
      <c r="I37" s="134">
        <v>4.6900000000000004</v>
      </c>
      <c r="J37" s="134">
        <v>0.17</v>
      </c>
      <c r="K37" s="134">
        <v>245.91</v>
      </c>
      <c r="L37" s="134">
        <v>27.53</v>
      </c>
      <c r="M37" s="134">
        <v>90.44</v>
      </c>
      <c r="N37" s="134">
        <v>93.5</v>
      </c>
      <c r="O37" s="134">
        <v>0</v>
      </c>
      <c r="P37" s="134">
        <v>0.5</v>
      </c>
      <c r="Q37" s="134">
        <v>6.01</v>
      </c>
    </row>
    <row r="38" spans="1:17" customFormat="1">
      <c r="A38" s="112" t="s">
        <v>1996</v>
      </c>
      <c r="B38" s="134">
        <v>20.38</v>
      </c>
      <c r="C38" s="134">
        <v>21.64</v>
      </c>
      <c r="D38" s="134">
        <v>29</v>
      </c>
      <c r="E38" s="134">
        <v>9.59</v>
      </c>
      <c r="F38" s="134">
        <v>4.53</v>
      </c>
      <c r="G38" s="134">
        <v>24.88</v>
      </c>
      <c r="H38" s="134">
        <v>8.98</v>
      </c>
      <c r="I38" s="134">
        <v>4.68</v>
      </c>
      <c r="J38" s="134">
        <v>0.27</v>
      </c>
      <c r="K38" s="134">
        <v>283.74</v>
      </c>
      <c r="L38" s="134">
        <v>27.97</v>
      </c>
      <c r="M38" s="134">
        <v>85.67</v>
      </c>
      <c r="N38" s="134">
        <v>127</v>
      </c>
      <c r="O38" s="134">
        <v>0</v>
      </c>
      <c r="P38" s="134">
        <v>0.52</v>
      </c>
      <c r="Q38" s="134">
        <v>5.96</v>
      </c>
    </row>
    <row r="39" spans="1:17" customFormat="1">
      <c r="A39" s="112" t="s">
        <v>1997</v>
      </c>
      <c r="B39" s="134">
        <v>20.49</v>
      </c>
      <c r="C39" s="134">
        <v>23.49</v>
      </c>
      <c r="D39" s="134">
        <v>30.06</v>
      </c>
      <c r="E39" s="134">
        <v>10.39</v>
      </c>
      <c r="F39" s="134">
        <v>4.2</v>
      </c>
      <c r="G39" s="134">
        <v>25.25</v>
      </c>
      <c r="H39" s="134">
        <v>8.98</v>
      </c>
      <c r="I39" s="134">
        <v>4.74</v>
      </c>
      <c r="J39" s="134">
        <v>0.27</v>
      </c>
      <c r="K39" s="134">
        <v>306.60000000000002</v>
      </c>
      <c r="L39" s="134">
        <v>28.46</v>
      </c>
      <c r="M39" s="134">
        <v>80.989999999999995</v>
      </c>
      <c r="N39" s="134">
        <v>184.4</v>
      </c>
      <c r="O39" s="134">
        <v>0</v>
      </c>
      <c r="P39" s="134">
        <v>0.55000000000000004</v>
      </c>
      <c r="Q39" s="134">
        <v>5.98</v>
      </c>
    </row>
    <row r="40" spans="1:17" customFormat="1">
      <c r="A40" s="112" t="s">
        <v>1998</v>
      </c>
      <c r="B40" s="134">
        <v>20.7</v>
      </c>
      <c r="C40" s="134">
        <v>22.75</v>
      </c>
      <c r="D40" s="134">
        <v>29.84</v>
      </c>
      <c r="E40" s="134">
        <v>10.54</v>
      </c>
      <c r="F40" s="134">
        <v>4.95</v>
      </c>
      <c r="G40" s="134">
        <v>25.25</v>
      </c>
      <c r="H40" s="134">
        <v>8.98</v>
      </c>
      <c r="I40" s="134">
        <v>4.8899999999999997</v>
      </c>
      <c r="J40" s="134">
        <v>0.3</v>
      </c>
      <c r="K40" s="134">
        <v>325.94</v>
      </c>
      <c r="L40" s="134">
        <v>29.17</v>
      </c>
      <c r="M40" s="134">
        <v>77.599999999999994</v>
      </c>
      <c r="N40" s="134">
        <v>183.3</v>
      </c>
      <c r="O40" s="134">
        <v>0</v>
      </c>
      <c r="P40" s="134">
        <v>0.56000000000000005</v>
      </c>
      <c r="Q40" s="134">
        <v>6.01</v>
      </c>
    </row>
    <row r="41" spans="1:17" customFormat="1">
      <c r="A41" s="112" t="s">
        <v>1999</v>
      </c>
      <c r="B41" s="134">
        <v>20.73</v>
      </c>
      <c r="C41" s="134">
        <v>22.15</v>
      </c>
      <c r="D41" s="134">
        <v>29.55</v>
      </c>
      <c r="E41" s="134">
        <v>9.2100000000000009</v>
      </c>
      <c r="F41" s="134">
        <v>5.28</v>
      </c>
      <c r="G41" s="134">
        <v>25.25</v>
      </c>
      <c r="H41" s="134">
        <v>8.98</v>
      </c>
      <c r="I41" s="134">
        <v>4.99</v>
      </c>
      <c r="J41" s="134">
        <v>0.5</v>
      </c>
      <c r="K41" s="134">
        <v>277.27999999999997</v>
      </c>
      <c r="L41" s="134">
        <v>29.48</v>
      </c>
      <c r="M41" s="134">
        <v>74.599999999999994</v>
      </c>
      <c r="N41" s="134">
        <v>157.1</v>
      </c>
      <c r="O41" s="134">
        <v>0</v>
      </c>
      <c r="P41" s="134">
        <v>0.55000000000000004</v>
      </c>
      <c r="Q41" s="134">
        <v>6</v>
      </c>
    </row>
    <row r="42" spans="1:17" customFormat="1">
      <c r="A42" s="112" t="s">
        <v>2000</v>
      </c>
      <c r="B42" s="134">
        <v>19.940000000000001</v>
      </c>
      <c r="C42" s="134">
        <v>21.87</v>
      </c>
      <c r="D42" s="134">
        <v>28.77</v>
      </c>
      <c r="E42" s="134">
        <v>9.7899999999999991</v>
      </c>
      <c r="F42" s="134">
        <v>5.87</v>
      </c>
      <c r="G42" s="134">
        <v>37.29</v>
      </c>
      <c r="H42" s="134">
        <v>9.65</v>
      </c>
      <c r="I42" s="134">
        <v>4.99</v>
      </c>
      <c r="J42" s="134">
        <v>0.54</v>
      </c>
      <c r="K42" s="134">
        <v>290.77</v>
      </c>
      <c r="L42" s="134">
        <v>29.65</v>
      </c>
      <c r="M42" s="134">
        <v>71.92</v>
      </c>
      <c r="N42" s="134">
        <v>201.6</v>
      </c>
      <c r="O42" s="134">
        <v>0</v>
      </c>
      <c r="P42" s="134">
        <v>0.55000000000000004</v>
      </c>
      <c r="Q42" s="134">
        <v>5.94</v>
      </c>
    </row>
    <row r="43" spans="1:17" customFormat="1">
      <c r="A43" s="112" t="s">
        <v>2001</v>
      </c>
      <c r="B43" s="134">
        <v>19.670000000000002</v>
      </c>
      <c r="C43" s="134">
        <v>21.94</v>
      </c>
      <c r="D43" s="134">
        <v>28.59</v>
      </c>
      <c r="E43" s="134">
        <v>9.16</v>
      </c>
      <c r="F43" s="134">
        <v>5.57</v>
      </c>
      <c r="G43" s="134">
        <v>39.32</v>
      </c>
      <c r="H43" s="134">
        <v>9.65</v>
      </c>
      <c r="I43" s="134">
        <v>5</v>
      </c>
      <c r="J43" s="134">
        <v>0.38</v>
      </c>
      <c r="K43" s="134">
        <v>285.58999999999997</v>
      </c>
      <c r="L43" s="134">
        <v>30.24</v>
      </c>
      <c r="M43" s="134">
        <v>70.63</v>
      </c>
      <c r="N43" s="134">
        <v>408.1</v>
      </c>
      <c r="O43" s="134">
        <v>0</v>
      </c>
      <c r="P43" s="134">
        <v>0.54</v>
      </c>
      <c r="Q43" s="134">
        <v>5.91</v>
      </c>
    </row>
    <row r="44" spans="1:17" customFormat="1">
      <c r="A44" s="112" t="s">
        <v>2002</v>
      </c>
      <c r="B44" s="134">
        <v>19.100000000000001</v>
      </c>
      <c r="C44" s="134">
        <v>22.39</v>
      </c>
      <c r="D44" s="134">
        <v>28.37</v>
      </c>
      <c r="E44" s="134">
        <v>8.6</v>
      </c>
      <c r="F44" s="134">
        <v>5.42</v>
      </c>
      <c r="G44" s="134">
        <v>39.32</v>
      </c>
      <c r="H44" s="134">
        <v>9.65</v>
      </c>
      <c r="I44" s="134">
        <v>4.8899999999999997</v>
      </c>
      <c r="J44" s="134">
        <v>0.46</v>
      </c>
      <c r="K44" s="134">
        <v>309.11</v>
      </c>
      <c r="L44" s="134">
        <v>30.84</v>
      </c>
      <c r="M44" s="134">
        <v>69.03</v>
      </c>
      <c r="N44" s="134">
        <v>485.4</v>
      </c>
      <c r="O44" s="134">
        <v>0</v>
      </c>
      <c r="P44" s="134">
        <v>0.54</v>
      </c>
      <c r="Q44" s="134">
        <v>5.89</v>
      </c>
    </row>
    <row r="45" spans="1:17" customFormat="1">
      <c r="A45" s="112" t="s">
        <v>2003</v>
      </c>
      <c r="B45" s="134">
        <v>18.18</v>
      </c>
      <c r="C45" s="134">
        <v>22.42</v>
      </c>
      <c r="D45" s="134">
        <v>27.64</v>
      </c>
      <c r="E45" s="134">
        <v>8.68</v>
      </c>
      <c r="F45" s="134">
        <v>5.76</v>
      </c>
      <c r="G45" s="134">
        <v>39.32</v>
      </c>
      <c r="H45" s="134">
        <v>9.65</v>
      </c>
      <c r="I45" s="134">
        <v>4.8899999999999997</v>
      </c>
      <c r="J45" s="134">
        <v>0.53</v>
      </c>
      <c r="K45" s="134">
        <v>291.52999999999997</v>
      </c>
      <c r="L45" s="134">
        <v>30.9</v>
      </c>
      <c r="M45" s="134">
        <v>69.5</v>
      </c>
      <c r="N45" s="134">
        <v>542.1</v>
      </c>
      <c r="O45" s="134">
        <v>0</v>
      </c>
      <c r="P45" s="134">
        <v>0.54</v>
      </c>
      <c r="Q45" s="134">
        <v>5.87</v>
      </c>
    </row>
    <row r="46" spans="1:17" customFormat="1">
      <c r="A46" s="112" t="s">
        <v>2004</v>
      </c>
      <c r="B46" s="134">
        <v>17.38</v>
      </c>
      <c r="C46" s="134">
        <v>22.1</v>
      </c>
      <c r="D46" s="134">
        <v>26.83</v>
      </c>
      <c r="E46" s="134">
        <v>9.3699999999999992</v>
      </c>
      <c r="F46" s="134">
        <v>6.73</v>
      </c>
      <c r="G46" s="134">
        <v>31.37</v>
      </c>
      <c r="H46" s="134">
        <v>13.22</v>
      </c>
      <c r="I46" s="134">
        <v>4.8099999999999996</v>
      </c>
      <c r="J46" s="134">
        <v>0.54</v>
      </c>
      <c r="K46" s="134">
        <v>287.5</v>
      </c>
      <c r="L46" s="134">
        <v>31.28</v>
      </c>
      <c r="M46" s="134">
        <v>68.209999999999994</v>
      </c>
      <c r="N46" s="134">
        <v>569.79999999999995</v>
      </c>
      <c r="O46" s="134">
        <v>0</v>
      </c>
      <c r="P46" s="134">
        <v>0.53</v>
      </c>
      <c r="Q46" s="134">
        <v>5.83</v>
      </c>
    </row>
    <row r="47" spans="1:17" customFormat="1">
      <c r="A47" s="112" t="s">
        <v>2005</v>
      </c>
      <c r="B47" s="134">
        <v>16.77</v>
      </c>
      <c r="C47" s="134">
        <v>22.43</v>
      </c>
      <c r="D47" s="134">
        <v>26.51</v>
      </c>
      <c r="E47" s="134">
        <v>9.18</v>
      </c>
      <c r="F47" s="134">
        <v>6.52</v>
      </c>
      <c r="G47" s="134">
        <v>30.02</v>
      </c>
      <c r="H47" s="134">
        <v>13.22</v>
      </c>
      <c r="I47" s="134">
        <v>4.72</v>
      </c>
      <c r="J47" s="134">
        <v>0.56999999999999995</v>
      </c>
      <c r="K47" s="134">
        <v>305.33999999999997</v>
      </c>
      <c r="L47" s="134">
        <v>31.23</v>
      </c>
      <c r="M47" s="134">
        <v>67.489999999999995</v>
      </c>
      <c r="N47" s="134">
        <v>480</v>
      </c>
      <c r="O47" s="134">
        <v>0</v>
      </c>
      <c r="P47" s="134">
        <v>0.54</v>
      </c>
      <c r="Q47" s="134">
        <v>5.79</v>
      </c>
    </row>
    <row r="48" spans="1:17" customFormat="1">
      <c r="A48" s="112" t="s">
        <v>2006</v>
      </c>
      <c r="B48" s="134">
        <v>16.05</v>
      </c>
      <c r="C48" s="134">
        <v>22.32</v>
      </c>
      <c r="D48" s="134">
        <v>25.88</v>
      </c>
      <c r="E48" s="134">
        <v>8.9600000000000009</v>
      </c>
      <c r="F48" s="134">
        <v>6.41</v>
      </c>
      <c r="G48" s="134">
        <v>30.02</v>
      </c>
      <c r="H48" s="134">
        <v>13.22</v>
      </c>
      <c r="I48" s="134">
        <v>4.6900000000000004</v>
      </c>
      <c r="J48" s="134">
        <v>0.41</v>
      </c>
      <c r="K48" s="134">
        <v>349.18</v>
      </c>
      <c r="L48" s="134">
        <v>31.42</v>
      </c>
      <c r="M48" s="134">
        <v>67.39</v>
      </c>
      <c r="N48" s="134">
        <v>478.8</v>
      </c>
      <c r="O48" s="134">
        <v>0</v>
      </c>
      <c r="P48" s="134">
        <v>0.54</v>
      </c>
      <c r="Q48" s="134">
        <v>5.74</v>
      </c>
    </row>
    <row r="49" spans="1:17" customFormat="1">
      <c r="A49" s="112" t="s">
        <v>2007</v>
      </c>
      <c r="B49" s="134">
        <v>15.5</v>
      </c>
      <c r="C49" s="134">
        <v>21.71</v>
      </c>
      <c r="D49" s="134">
        <v>25.12</v>
      </c>
      <c r="E49" s="134">
        <v>9.61</v>
      </c>
      <c r="F49" s="134">
        <v>7.49</v>
      </c>
      <c r="G49" s="134">
        <v>30.02</v>
      </c>
      <c r="H49" s="134">
        <v>13.22</v>
      </c>
      <c r="I49" s="134">
        <v>4.63</v>
      </c>
      <c r="J49" s="134">
        <v>0.36</v>
      </c>
      <c r="K49" s="134">
        <v>332.15</v>
      </c>
      <c r="L49" s="134">
        <v>31.71</v>
      </c>
      <c r="M49" s="134">
        <v>66.36</v>
      </c>
      <c r="N49" s="134">
        <v>487.9</v>
      </c>
      <c r="O49" s="134">
        <v>0</v>
      </c>
      <c r="P49" s="134">
        <v>0.54</v>
      </c>
      <c r="Q49" s="134">
        <v>5.72</v>
      </c>
    </row>
    <row r="50" spans="1:17" customFormat="1">
      <c r="A50" s="112" t="s">
        <v>2008</v>
      </c>
      <c r="B50" s="134">
        <v>14.71</v>
      </c>
      <c r="C50" s="134">
        <v>21.84</v>
      </c>
      <c r="D50" s="134">
        <v>24.55</v>
      </c>
      <c r="E50" s="134">
        <v>10.89</v>
      </c>
      <c r="F50" s="134">
        <v>8.24</v>
      </c>
      <c r="G50" s="134">
        <v>33.89</v>
      </c>
      <c r="H50" s="134">
        <v>11.46</v>
      </c>
      <c r="I50" s="134">
        <v>4.5599999999999996</v>
      </c>
      <c r="J50" s="134">
        <v>0.47</v>
      </c>
      <c r="K50" s="134">
        <v>319.26</v>
      </c>
      <c r="L50" s="134">
        <v>31.66</v>
      </c>
      <c r="M50" s="134">
        <v>66.52</v>
      </c>
      <c r="N50" s="134">
        <v>425.8</v>
      </c>
      <c r="O50" s="134">
        <v>0</v>
      </c>
      <c r="P50" s="134">
        <v>0.53</v>
      </c>
      <c r="Q50" s="134">
        <v>5.73</v>
      </c>
    </row>
    <row r="51" spans="1:17" customFormat="1">
      <c r="A51" s="112" t="s">
        <v>2009</v>
      </c>
      <c r="B51" s="134">
        <v>14.35</v>
      </c>
      <c r="C51" s="134">
        <v>21.61</v>
      </c>
      <c r="D51" s="134">
        <v>24.15</v>
      </c>
      <c r="E51" s="134">
        <v>10.57</v>
      </c>
      <c r="F51" s="134">
        <v>7.89</v>
      </c>
      <c r="G51" s="134">
        <v>34.54</v>
      </c>
      <c r="H51" s="134">
        <v>11.46</v>
      </c>
      <c r="I51" s="134">
        <v>4.51</v>
      </c>
      <c r="J51" s="134">
        <v>0.36</v>
      </c>
      <c r="K51" s="134">
        <v>358.07</v>
      </c>
      <c r="L51" s="134">
        <v>31.41</v>
      </c>
      <c r="M51" s="134">
        <v>67.099999999999994</v>
      </c>
      <c r="N51" s="134">
        <v>633.1</v>
      </c>
      <c r="O51" s="134">
        <v>0</v>
      </c>
      <c r="P51" s="134">
        <v>0.53</v>
      </c>
      <c r="Q51" s="134">
        <v>5.7</v>
      </c>
    </row>
    <row r="52" spans="1:17" customFormat="1">
      <c r="A52" s="112" t="s">
        <v>2010</v>
      </c>
      <c r="B52" s="134">
        <v>13.51</v>
      </c>
      <c r="C52" s="134">
        <v>21.88</v>
      </c>
      <c r="D52" s="134">
        <v>23.62</v>
      </c>
      <c r="E52" s="134">
        <v>10.5</v>
      </c>
      <c r="F52" s="134">
        <v>7.92</v>
      </c>
      <c r="G52" s="134">
        <v>34.54</v>
      </c>
      <c r="H52" s="134">
        <v>11.46</v>
      </c>
      <c r="I52" s="134">
        <v>4.4400000000000004</v>
      </c>
      <c r="J52" s="134">
        <v>0.45</v>
      </c>
      <c r="K52" s="134">
        <v>324.5</v>
      </c>
      <c r="L52" s="134">
        <v>31.94</v>
      </c>
      <c r="M52" s="134">
        <v>65.739999999999995</v>
      </c>
      <c r="N52" s="134">
        <v>411.2</v>
      </c>
      <c r="O52" s="134">
        <v>0</v>
      </c>
      <c r="P52" s="134">
        <v>0.53</v>
      </c>
      <c r="Q52" s="134">
        <v>5.66</v>
      </c>
    </row>
    <row r="53" spans="1:17" customFormat="1">
      <c r="A53" s="112" t="s">
        <v>2011</v>
      </c>
      <c r="B53" s="134">
        <v>13.28</v>
      </c>
      <c r="C53" s="134">
        <v>23.06</v>
      </c>
      <c r="D53" s="134">
        <v>24.05</v>
      </c>
      <c r="E53" s="134">
        <v>9.83</v>
      </c>
      <c r="F53" s="134">
        <v>6.44</v>
      </c>
      <c r="G53" s="134">
        <v>34.54</v>
      </c>
      <c r="H53" s="134">
        <v>11.46</v>
      </c>
      <c r="I53" s="134">
        <v>4.41</v>
      </c>
      <c r="J53" s="134">
        <v>0.41</v>
      </c>
      <c r="K53" s="134">
        <v>312.95999999999998</v>
      </c>
      <c r="L53" s="134">
        <v>31.54</v>
      </c>
      <c r="M53" s="134">
        <v>66.56</v>
      </c>
      <c r="N53" s="134">
        <v>565.1</v>
      </c>
      <c r="O53" s="134">
        <v>0</v>
      </c>
      <c r="P53" s="134">
        <v>0.54</v>
      </c>
      <c r="Q53" s="134">
        <v>5.63</v>
      </c>
    </row>
    <row r="54" spans="1:17" customFormat="1">
      <c r="A54" s="112" t="s">
        <v>2012</v>
      </c>
      <c r="B54" s="134">
        <v>12.48</v>
      </c>
      <c r="C54" s="134">
        <v>22.26</v>
      </c>
      <c r="D54" s="134">
        <v>22.99</v>
      </c>
      <c r="E54" s="134">
        <v>10.8</v>
      </c>
      <c r="F54" s="134">
        <v>8.4499999999999993</v>
      </c>
      <c r="G54" s="134">
        <v>32.56</v>
      </c>
      <c r="H54" s="134">
        <v>10.43</v>
      </c>
      <c r="I54" s="134">
        <v>4.42</v>
      </c>
      <c r="J54" s="134">
        <v>0.4</v>
      </c>
      <c r="K54" s="134">
        <v>308.77</v>
      </c>
      <c r="L54" s="134">
        <v>32.43</v>
      </c>
      <c r="M54" s="134">
        <v>64.48</v>
      </c>
      <c r="N54" s="134">
        <v>641.29999999999995</v>
      </c>
      <c r="O54" s="134">
        <v>0</v>
      </c>
      <c r="P54" s="134">
        <v>0.54</v>
      </c>
      <c r="Q54" s="134">
        <v>5.66</v>
      </c>
    </row>
    <row r="55" spans="1:17" customFormat="1">
      <c r="A55" s="112" t="s">
        <v>2013</v>
      </c>
      <c r="B55" s="134">
        <v>12.32</v>
      </c>
      <c r="C55" s="134">
        <v>22.39</v>
      </c>
      <c r="D55" s="134">
        <v>22.93</v>
      </c>
      <c r="E55" s="134">
        <v>10.96</v>
      </c>
      <c r="F55" s="134">
        <v>7.46</v>
      </c>
      <c r="G55" s="134">
        <v>32.229999999999997</v>
      </c>
      <c r="H55" s="134">
        <v>10.43</v>
      </c>
      <c r="I55" s="134">
        <v>4.4800000000000004</v>
      </c>
      <c r="J55" s="134">
        <v>0.51</v>
      </c>
      <c r="K55" s="134">
        <v>329.89</v>
      </c>
      <c r="L55" s="134">
        <v>32.39</v>
      </c>
      <c r="M55" s="134">
        <v>64.38</v>
      </c>
      <c r="N55" s="134">
        <v>377.5</v>
      </c>
      <c r="O55" s="134">
        <v>0</v>
      </c>
      <c r="P55" s="134">
        <v>0.54</v>
      </c>
      <c r="Q55" s="134">
        <v>5.66</v>
      </c>
    </row>
    <row r="56" spans="1:17" customFormat="1">
      <c r="A56" s="112" t="s">
        <v>2014</v>
      </c>
      <c r="B56" s="134">
        <v>12.07</v>
      </c>
      <c r="C56" s="134">
        <v>22.27</v>
      </c>
      <c r="D56" s="134">
        <v>22.66</v>
      </c>
      <c r="E56" s="134">
        <v>10.57</v>
      </c>
      <c r="F56" s="134">
        <v>7.44</v>
      </c>
      <c r="G56" s="134">
        <v>32.229999999999997</v>
      </c>
      <c r="H56" s="134">
        <v>10.43</v>
      </c>
      <c r="I56" s="134">
        <v>4.4000000000000004</v>
      </c>
      <c r="J56" s="134">
        <v>0.35</v>
      </c>
      <c r="K56" s="134">
        <v>309.48</v>
      </c>
      <c r="L56" s="134">
        <v>32.17</v>
      </c>
      <c r="M56" s="134">
        <v>64.959999999999994</v>
      </c>
      <c r="N56" s="134">
        <v>687.1</v>
      </c>
      <c r="O56" s="134">
        <v>0</v>
      </c>
      <c r="P56" s="134">
        <v>0.53</v>
      </c>
      <c r="Q56" s="134">
        <v>5.64</v>
      </c>
    </row>
    <row r="57" spans="1:17" customFormat="1">
      <c r="A57" s="112" t="s">
        <v>2015</v>
      </c>
      <c r="B57" s="134">
        <v>11.64</v>
      </c>
      <c r="C57" s="134">
        <v>21.81</v>
      </c>
      <c r="D57" s="134">
        <v>22.08</v>
      </c>
      <c r="E57" s="134">
        <v>10.29</v>
      </c>
      <c r="F57" s="134">
        <v>8.73</v>
      </c>
      <c r="G57" s="134">
        <v>32.229999999999997</v>
      </c>
      <c r="H57" s="134">
        <v>10.43</v>
      </c>
      <c r="I57" s="134">
        <v>4.4000000000000004</v>
      </c>
      <c r="J57" s="134">
        <v>0.53</v>
      </c>
      <c r="K57" s="134">
        <v>23.4</v>
      </c>
      <c r="L57" s="134">
        <v>32.200000000000003</v>
      </c>
      <c r="M57" s="134">
        <v>65.41</v>
      </c>
      <c r="N57" s="134">
        <v>373.9</v>
      </c>
      <c r="O57" s="134">
        <v>0</v>
      </c>
      <c r="P57" s="134">
        <v>0.53</v>
      </c>
      <c r="Q57" s="134">
        <v>5.6</v>
      </c>
    </row>
    <row r="58" spans="1:17" customFormat="1">
      <c r="A58" s="112" t="s">
        <v>2016</v>
      </c>
      <c r="B58" s="134">
        <v>11.21</v>
      </c>
      <c r="C58" s="134">
        <v>21.56</v>
      </c>
      <c r="D58" s="134">
        <v>21.6</v>
      </c>
      <c r="E58" s="134">
        <v>11.28</v>
      </c>
      <c r="F58" s="134">
        <v>9.92</v>
      </c>
      <c r="G58" s="134">
        <v>35.6</v>
      </c>
      <c r="H58" s="134">
        <v>12.29</v>
      </c>
      <c r="I58" s="134">
        <v>4.3600000000000003</v>
      </c>
      <c r="J58" s="134">
        <v>0.49</v>
      </c>
      <c r="K58" s="134">
        <v>10.53</v>
      </c>
      <c r="L58" s="134">
        <v>32.29</v>
      </c>
      <c r="M58" s="134">
        <v>65.760000000000005</v>
      </c>
      <c r="N58" s="134">
        <v>439.1</v>
      </c>
      <c r="O58" s="134">
        <v>0</v>
      </c>
      <c r="P58" s="134">
        <v>0.53</v>
      </c>
      <c r="Q58" s="134">
        <v>5.57</v>
      </c>
    </row>
    <row r="59" spans="1:17" customFormat="1">
      <c r="A59" s="112" t="s">
        <v>2017</v>
      </c>
      <c r="B59" s="134">
        <v>11.14</v>
      </c>
      <c r="C59" s="134">
        <v>21.88</v>
      </c>
      <c r="D59" s="134">
        <v>21.72</v>
      </c>
      <c r="E59" s="134">
        <v>10.74</v>
      </c>
      <c r="F59" s="134">
        <v>9.2799999999999994</v>
      </c>
      <c r="G59" s="134">
        <v>36.17</v>
      </c>
      <c r="H59" s="134">
        <v>12.29</v>
      </c>
      <c r="I59" s="134">
        <v>4.2300000000000004</v>
      </c>
      <c r="J59" s="134">
        <v>0.41</v>
      </c>
      <c r="K59" s="134">
        <v>351.17</v>
      </c>
      <c r="L59" s="134">
        <v>32.22</v>
      </c>
      <c r="M59" s="134">
        <v>65.97</v>
      </c>
      <c r="N59" s="134">
        <v>537.20000000000005</v>
      </c>
      <c r="O59" s="134">
        <v>0</v>
      </c>
      <c r="P59" s="134">
        <v>0.52</v>
      </c>
      <c r="Q59" s="134">
        <v>5.54</v>
      </c>
    </row>
    <row r="60" spans="1:17" customFormat="1">
      <c r="A60" s="112" t="s">
        <v>2018</v>
      </c>
      <c r="B60" s="134">
        <v>10.73</v>
      </c>
      <c r="C60" s="134">
        <v>22.08</v>
      </c>
      <c r="D60" s="134">
        <v>21.49</v>
      </c>
      <c r="E60" s="134">
        <v>10.47</v>
      </c>
      <c r="F60" s="134">
        <v>9.2799999999999994</v>
      </c>
      <c r="G60" s="134">
        <v>36.17</v>
      </c>
      <c r="H60" s="134">
        <v>12.29</v>
      </c>
      <c r="I60" s="134">
        <v>4.1399999999999997</v>
      </c>
      <c r="J60" s="134">
        <v>0.61</v>
      </c>
      <c r="K60" s="134">
        <v>23.07</v>
      </c>
      <c r="L60" s="134">
        <v>32.130000000000003</v>
      </c>
      <c r="M60" s="134">
        <v>66.599999999999994</v>
      </c>
      <c r="N60" s="134">
        <v>612.6</v>
      </c>
      <c r="O60" s="134">
        <v>0</v>
      </c>
      <c r="P60" s="134">
        <v>0.52</v>
      </c>
      <c r="Q60" s="134">
        <v>5.55</v>
      </c>
    </row>
    <row r="61" spans="1:17" customFormat="1">
      <c r="A61" s="112" t="s">
        <v>2019</v>
      </c>
      <c r="B61" s="134">
        <v>10.59</v>
      </c>
      <c r="C61" s="134">
        <v>21.32</v>
      </c>
      <c r="D61" s="134">
        <v>20.98</v>
      </c>
      <c r="E61" s="134">
        <v>10.9</v>
      </c>
      <c r="F61" s="134">
        <v>10.210000000000001</v>
      </c>
      <c r="G61" s="134">
        <v>36.17</v>
      </c>
      <c r="H61" s="134">
        <v>12.29</v>
      </c>
      <c r="I61" s="134">
        <v>4.2300000000000004</v>
      </c>
      <c r="J61" s="134">
        <v>0.65</v>
      </c>
      <c r="K61" s="134">
        <v>21.83</v>
      </c>
      <c r="L61" s="134">
        <v>32.01</v>
      </c>
      <c r="M61" s="134">
        <v>66</v>
      </c>
      <c r="N61" s="134">
        <v>195.4</v>
      </c>
      <c r="O61" s="134">
        <v>0</v>
      </c>
      <c r="P61" s="134">
        <v>0.52</v>
      </c>
      <c r="Q61" s="134">
        <v>5.53</v>
      </c>
    </row>
    <row r="62" spans="1:17" customFormat="1">
      <c r="A62" s="112" t="s">
        <v>2020</v>
      </c>
      <c r="B62" s="134">
        <v>10.37</v>
      </c>
      <c r="C62" s="134">
        <v>20.78</v>
      </c>
      <c r="D62" s="134">
        <v>20.52</v>
      </c>
      <c r="E62" s="134">
        <v>11.12</v>
      </c>
      <c r="F62" s="134">
        <v>12.27</v>
      </c>
      <c r="G62" s="134">
        <v>34.39</v>
      </c>
      <c r="H62" s="134">
        <v>11.08</v>
      </c>
      <c r="I62" s="134">
        <v>4.1100000000000003</v>
      </c>
      <c r="J62" s="134">
        <v>0.4</v>
      </c>
      <c r="K62" s="134">
        <v>19.440000000000001</v>
      </c>
      <c r="L62" s="134">
        <v>31.2</v>
      </c>
      <c r="M62" s="134">
        <v>68.87</v>
      </c>
      <c r="N62" s="134">
        <v>151.4</v>
      </c>
      <c r="O62" s="134">
        <v>0</v>
      </c>
      <c r="P62" s="134">
        <v>0.52</v>
      </c>
      <c r="Q62" s="134">
        <v>5.49</v>
      </c>
    </row>
    <row r="63" spans="1:17" customFormat="1">
      <c r="A63" s="112" t="s">
        <v>2021</v>
      </c>
      <c r="B63" s="134">
        <v>10.47</v>
      </c>
      <c r="C63" s="134">
        <v>21.25</v>
      </c>
      <c r="D63" s="134">
        <v>20.85</v>
      </c>
      <c r="E63" s="134">
        <v>11.1</v>
      </c>
      <c r="F63" s="134">
        <v>10.75</v>
      </c>
      <c r="G63" s="134">
        <v>34.06</v>
      </c>
      <c r="H63" s="134">
        <v>11.08</v>
      </c>
      <c r="I63" s="134">
        <v>4.13</v>
      </c>
      <c r="J63" s="134">
        <v>0.37</v>
      </c>
      <c r="K63" s="134">
        <v>14.94</v>
      </c>
      <c r="L63" s="134">
        <v>31.14</v>
      </c>
      <c r="M63" s="134">
        <v>69.27</v>
      </c>
      <c r="N63" s="134">
        <v>249.7</v>
      </c>
      <c r="O63" s="134">
        <v>0</v>
      </c>
      <c r="P63" s="134">
        <v>0.52</v>
      </c>
      <c r="Q63" s="134">
        <v>5.47</v>
      </c>
    </row>
    <row r="64" spans="1:17" customFormat="1">
      <c r="A64" s="112" t="s">
        <v>2022</v>
      </c>
      <c r="B64" s="134">
        <v>10.199999999999999</v>
      </c>
      <c r="C64" s="134">
        <v>21.51</v>
      </c>
      <c r="D64" s="134">
        <v>20.77</v>
      </c>
      <c r="E64" s="134">
        <v>10.86</v>
      </c>
      <c r="F64" s="134">
        <v>9.75</v>
      </c>
      <c r="G64" s="134">
        <v>34.06</v>
      </c>
      <c r="H64" s="134">
        <v>11.08</v>
      </c>
      <c r="I64" s="134">
        <v>3.98</v>
      </c>
      <c r="J64" s="134">
        <v>0.21</v>
      </c>
      <c r="K64" s="134">
        <v>320</v>
      </c>
      <c r="L64" s="134">
        <v>31.94</v>
      </c>
      <c r="M64" s="134">
        <v>66.38</v>
      </c>
      <c r="N64" s="134">
        <v>580.1</v>
      </c>
      <c r="O64" s="134">
        <v>0</v>
      </c>
      <c r="P64" s="134">
        <v>0.52</v>
      </c>
      <c r="Q64" s="134">
        <v>5.45</v>
      </c>
    </row>
    <row r="65" spans="1:17" customFormat="1">
      <c r="A65" s="112" t="s">
        <v>2023</v>
      </c>
      <c r="B65" s="134">
        <v>9.94</v>
      </c>
      <c r="C65" s="134">
        <v>21.42</v>
      </c>
      <c r="D65" s="134">
        <v>20.51</v>
      </c>
      <c r="E65" s="134">
        <v>11.27</v>
      </c>
      <c r="F65" s="134">
        <v>10.3</v>
      </c>
      <c r="G65" s="134">
        <v>34.06</v>
      </c>
      <c r="H65" s="134">
        <v>11.08</v>
      </c>
      <c r="I65" s="134">
        <v>4.05</v>
      </c>
      <c r="J65" s="134">
        <v>0.4</v>
      </c>
      <c r="K65" s="134">
        <v>22.75</v>
      </c>
      <c r="L65" s="134">
        <v>32.83</v>
      </c>
      <c r="M65" s="134">
        <v>62.66</v>
      </c>
      <c r="N65" s="134">
        <v>604.6</v>
      </c>
      <c r="O65" s="134">
        <v>0</v>
      </c>
      <c r="P65" s="134">
        <v>0.49</v>
      </c>
      <c r="Q65" s="134">
        <v>5.49</v>
      </c>
    </row>
    <row r="66" spans="1:17" customFormat="1">
      <c r="A66" s="112" t="s">
        <v>2024</v>
      </c>
      <c r="B66" s="134">
        <v>9.8699999999999992</v>
      </c>
      <c r="C66" s="134">
        <v>20.99</v>
      </c>
      <c r="D66" s="134">
        <v>20.23</v>
      </c>
      <c r="E66" s="134">
        <v>12.1</v>
      </c>
      <c r="F66" s="134">
        <v>10.43</v>
      </c>
      <c r="G66" s="134">
        <v>33.82</v>
      </c>
      <c r="H66" s="134">
        <v>12.36</v>
      </c>
      <c r="I66" s="134">
        <v>4.04</v>
      </c>
      <c r="J66" s="134">
        <v>0.37</v>
      </c>
      <c r="K66" s="134">
        <v>341.73</v>
      </c>
      <c r="L66" s="134">
        <v>33.14</v>
      </c>
      <c r="M66" s="134">
        <v>60.89</v>
      </c>
      <c r="N66" s="134">
        <v>551.20000000000005</v>
      </c>
      <c r="O66" s="134">
        <v>0</v>
      </c>
      <c r="P66" s="134">
        <v>0.51</v>
      </c>
      <c r="Q66" s="134">
        <v>5.45</v>
      </c>
    </row>
    <row r="67" spans="1:17" customFormat="1">
      <c r="A67" s="112" t="s">
        <v>2025</v>
      </c>
      <c r="B67" s="134">
        <v>9.8699999999999992</v>
      </c>
      <c r="C67" s="134">
        <v>21.84</v>
      </c>
      <c r="D67" s="134">
        <v>20.68</v>
      </c>
      <c r="E67" s="134">
        <v>11.37</v>
      </c>
      <c r="F67" s="134">
        <v>8.99</v>
      </c>
      <c r="G67" s="134">
        <v>33.78</v>
      </c>
      <c r="H67" s="134">
        <v>12.36</v>
      </c>
      <c r="I67" s="134">
        <v>3.98</v>
      </c>
      <c r="J67" s="134">
        <v>0.33</v>
      </c>
      <c r="K67" s="134">
        <v>322.48</v>
      </c>
      <c r="L67" s="134">
        <v>33.409999999999997</v>
      </c>
      <c r="M67" s="134">
        <v>60.07</v>
      </c>
      <c r="N67" s="134">
        <v>466.6</v>
      </c>
      <c r="O67" s="134">
        <v>0</v>
      </c>
      <c r="P67" s="134">
        <v>0.52</v>
      </c>
      <c r="Q67" s="134">
        <v>5.41</v>
      </c>
    </row>
    <row r="68" spans="1:17" customFormat="1">
      <c r="A68" s="112" t="s">
        <v>2026</v>
      </c>
      <c r="B68" s="134">
        <v>9.66</v>
      </c>
      <c r="C68" s="134">
        <v>22.17</v>
      </c>
      <c r="D68" s="134">
        <v>20.68</v>
      </c>
      <c r="E68" s="134">
        <v>11.8</v>
      </c>
      <c r="F68" s="134">
        <v>8.6</v>
      </c>
      <c r="G68" s="134">
        <v>33.78</v>
      </c>
      <c r="H68" s="134">
        <v>12.36</v>
      </c>
      <c r="I68" s="134">
        <v>4.03</v>
      </c>
      <c r="J68" s="134">
        <v>0.43</v>
      </c>
      <c r="K68" s="134">
        <v>284.75</v>
      </c>
      <c r="L68" s="134">
        <v>33.03</v>
      </c>
      <c r="M68" s="134">
        <v>61.2</v>
      </c>
      <c r="N68" s="134">
        <v>439.6</v>
      </c>
      <c r="O68" s="134">
        <v>0</v>
      </c>
      <c r="P68" s="134">
        <v>0.52</v>
      </c>
      <c r="Q68" s="134">
        <v>5.39</v>
      </c>
    </row>
    <row r="69" spans="1:17" customFormat="1">
      <c r="A69" s="112" t="s">
        <v>2027</v>
      </c>
      <c r="B69" s="134">
        <v>9.43</v>
      </c>
      <c r="C69" s="134">
        <v>21.63</v>
      </c>
      <c r="D69" s="134">
        <v>20.21</v>
      </c>
      <c r="E69" s="134">
        <v>12.56</v>
      </c>
      <c r="F69" s="134">
        <v>10.36</v>
      </c>
      <c r="G69" s="134">
        <v>33.78</v>
      </c>
      <c r="H69" s="134">
        <v>12.36</v>
      </c>
      <c r="I69" s="134">
        <v>4.05</v>
      </c>
      <c r="J69" s="134">
        <v>0.3</v>
      </c>
      <c r="K69" s="134">
        <v>332.92</v>
      </c>
      <c r="L69" s="134">
        <v>32.97</v>
      </c>
      <c r="M69" s="134">
        <v>60.11</v>
      </c>
      <c r="N69" s="134">
        <v>389.9</v>
      </c>
      <c r="O69" s="134">
        <v>0</v>
      </c>
      <c r="P69" s="134">
        <v>0.5</v>
      </c>
      <c r="Q69" s="134">
        <v>5.37</v>
      </c>
    </row>
    <row r="70" spans="1:17" customFormat="1">
      <c r="A70" s="112" t="s">
        <v>2028</v>
      </c>
      <c r="B70" s="134">
        <v>9.17</v>
      </c>
      <c r="C70" s="134">
        <v>21.52</v>
      </c>
      <c r="D70" s="134">
        <v>19.95</v>
      </c>
      <c r="E70" s="134">
        <v>12.5</v>
      </c>
      <c r="F70" s="134">
        <v>10.3</v>
      </c>
      <c r="G70" s="134">
        <v>36.42</v>
      </c>
      <c r="H70" s="134">
        <v>14.92</v>
      </c>
      <c r="I70" s="134">
        <v>4.09</v>
      </c>
      <c r="J70" s="134">
        <v>0.37</v>
      </c>
      <c r="K70" s="134">
        <v>296.13</v>
      </c>
      <c r="L70" s="134">
        <v>32.44</v>
      </c>
      <c r="M70" s="134">
        <v>62.4</v>
      </c>
      <c r="N70" s="134">
        <v>154.80000000000001</v>
      </c>
      <c r="O70" s="134">
        <v>0</v>
      </c>
      <c r="P70" s="134">
        <v>0.51</v>
      </c>
      <c r="Q70" s="134">
        <v>5.34</v>
      </c>
    </row>
    <row r="71" spans="1:17" customFormat="1">
      <c r="A71" s="112" t="s">
        <v>2029</v>
      </c>
      <c r="B71" s="134">
        <v>9</v>
      </c>
      <c r="C71" s="134">
        <v>21.83</v>
      </c>
      <c r="D71" s="134">
        <v>19.98</v>
      </c>
      <c r="E71" s="134">
        <v>10.46</v>
      </c>
      <c r="F71" s="134">
        <v>9.5299999999999994</v>
      </c>
      <c r="G71" s="134">
        <v>36.869999999999997</v>
      </c>
      <c r="H71" s="134">
        <v>14.92</v>
      </c>
      <c r="I71" s="134">
        <v>3.93</v>
      </c>
      <c r="J71" s="134">
        <v>0.38</v>
      </c>
      <c r="K71" s="134">
        <v>281.95999999999998</v>
      </c>
      <c r="L71" s="134">
        <v>31.94</v>
      </c>
      <c r="M71" s="134">
        <v>64.25</v>
      </c>
      <c r="N71" s="134">
        <v>108.2</v>
      </c>
      <c r="O71" s="134">
        <v>0</v>
      </c>
      <c r="P71" s="134">
        <v>0.5</v>
      </c>
      <c r="Q71" s="134">
        <v>5.34</v>
      </c>
    </row>
    <row r="72" spans="1:17" customFormat="1">
      <c r="A72" s="112" t="s">
        <v>2030</v>
      </c>
      <c r="B72" s="134">
        <v>9</v>
      </c>
      <c r="C72" s="134">
        <v>22.22</v>
      </c>
      <c r="D72" s="134">
        <v>20.170000000000002</v>
      </c>
      <c r="E72" s="134">
        <v>10.66</v>
      </c>
      <c r="F72" s="134">
        <v>9.26</v>
      </c>
      <c r="G72" s="134">
        <v>36.869999999999997</v>
      </c>
      <c r="H72" s="134">
        <v>14.92</v>
      </c>
      <c r="I72" s="134">
        <v>3.92</v>
      </c>
      <c r="J72" s="134">
        <v>0.4</v>
      </c>
      <c r="K72" s="134">
        <v>325.8</v>
      </c>
      <c r="L72" s="134">
        <v>31.99</v>
      </c>
      <c r="M72" s="134">
        <v>63.7</v>
      </c>
      <c r="N72" s="134">
        <v>121.8</v>
      </c>
      <c r="O72" s="134">
        <v>0</v>
      </c>
      <c r="P72" s="134">
        <v>0.51</v>
      </c>
      <c r="Q72" s="134">
        <v>5.34</v>
      </c>
    </row>
    <row r="73" spans="1:17" customFormat="1">
      <c r="A73" s="112" t="s">
        <v>2031</v>
      </c>
      <c r="B73" s="134">
        <v>8.81</v>
      </c>
      <c r="C73" s="134">
        <v>21.18</v>
      </c>
      <c r="D73" s="134">
        <v>19.489999999999998</v>
      </c>
      <c r="E73" s="134">
        <v>10.34</v>
      </c>
      <c r="F73" s="134">
        <v>10.74</v>
      </c>
      <c r="G73" s="134">
        <v>36.869999999999997</v>
      </c>
      <c r="H73" s="134">
        <v>14.92</v>
      </c>
      <c r="I73" s="134">
        <v>3.87</v>
      </c>
      <c r="J73" s="134">
        <v>0.66</v>
      </c>
      <c r="K73" s="134">
        <v>281.39999999999998</v>
      </c>
      <c r="L73" s="134">
        <v>32.1</v>
      </c>
      <c r="M73" s="134">
        <v>62.51</v>
      </c>
      <c r="N73" s="134">
        <v>115.2</v>
      </c>
      <c r="O73" s="134">
        <v>0</v>
      </c>
      <c r="P73" s="134">
        <v>0.5</v>
      </c>
      <c r="Q73" s="134">
        <v>5.33</v>
      </c>
    </row>
    <row r="74" spans="1:17" customFormat="1">
      <c r="A74" s="112" t="s">
        <v>2032</v>
      </c>
      <c r="B74" s="134">
        <v>8.5299999999999994</v>
      </c>
      <c r="C74" s="134">
        <v>20.010000000000002</v>
      </c>
      <c r="D74" s="134">
        <v>18.649999999999999</v>
      </c>
      <c r="E74" s="134">
        <v>10.4</v>
      </c>
      <c r="F74" s="134">
        <v>12.87</v>
      </c>
      <c r="G74" s="134">
        <v>37.94</v>
      </c>
      <c r="H74" s="134">
        <v>12.42</v>
      </c>
      <c r="I74" s="134">
        <v>3.89</v>
      </c>
      <c r="J74" s="134">
        <v>0.43</v>
      </c>
      <c r="K74" s="134">
        <v>291.86</v>
      </c>
      <c r="L74" s="134">
        <v>31.96</v>
      </c>
      <c r="M74" s="134">
        <v>63.68</v>
      </c>
      <c r="N74" s="134">
        <v>85.1</v>
      </c>
      <c r="O74" s="134">
        <v>0</v>
      </c>
      <c r="P74" s="134">
        <v>0.49</v>
      </c>
      <c r="Q74" s="134">
        <v>5.28</v>
      </c>
    </row>
    <row r="75" spans="1:17" customFormat="1">
      <c r="A75" s="112" t="s">
        <v>2033</v>
      </c>
      <c r="B75" s="134">
        <v>8.5299999999999994</v>
      </c>
      <c r="C75" s="134">
        <v>20.47</v>
      </c>
      <c r="D75" s="134">
        <v>18.89</v>
      </c>
      <c r="E75" s="134">
        <v>10.02</v>
      </c>
      <c r="F75" s="134">
        <v>10.79</v>
      </c>
      <c r="G75" s="134">
        <v>38.119999999999997</v>
      </c>
      <c r="H75" s="134">
        <v>12.42</v>
      </c>
      <c r="I75" s="134">
        <v>3.67</v>
      </c>
      <c r="J75" s="134">
        <v>0.54</v>
      </c>
      <c r="K75" s="134">
        <v>283.60000000000002</v>
      </c>
      <c r="L75" s="134">
        <v>31.88</v>
      </c>
      <c r="M75" s="134">
        <v>63.48</v>
      </c>
      <c r="N75" s="134">
        <v>83.3</v>
      </c>
      <c r="O75" s="134">
        <v>0</v>
      </c>
      <c r="P75" s="134">
        <v>0.49</v>
      </c>
      <c r="Q75" s="134">
        <v>5.26</v>
      </c>
    </row>
    <row r="76" spans="1:17" customFormat="1">
      <c r="A76" s="112" t="s">
        <v>2034</v>
      </c>
      <c r="B76" s="134">
        <v>8.43</v>
      </c>
      <c r="C76" s="134">
        <v>20.399999999999999</v>
      </c>
      <c r="D76" s="134">
        <v>18.77</v>
      </c>
      <c r="E76" s="134">
        <v>10.27</v>
      </c>
      <c r="F76" s="134">
        <v>12.07</v>
      </c>
      <c r="G76" s="134">
        <v>38.119999999999997</v>
      </c>
      <c r="H76" s="134">
        <v>12.42</v>
      </c>
      <c r="I76" s="134">
        <v>3.45</v>
      </c>
      <c r="J76" s="134">
        <v>0.36</v>
      </c>
      <c r="K76" s="134">
        <v>299.86</v>
      </c>
      <c r="L76" s="134">
        <v>31.71</v>
      </c>
      <c r="M76" s="134">
        <v>63.5</v>
      </c>
      <c r="N76" s="134">
        <v>45.3</v>
      </c>
      <c r="O76" s="134">
        <v>0</v>
      </c>
      <c r="P76" s="134">
        <v>0.48</v>
      </c>
      <c r="Q76" s="134">
        <v>5.26</v>
      </c>
    </row>
    <row r="77" spans="1:17" customFormat="1">
      <c r="A77" s="112" t="s">
        <v>2035</v>
      </c>
      <c r="B77" s="134">
        <v>8.77</v>
      </c>
      <c r="C77" s="134">
        <v>20.45</v>
      </c>
      <c r="D77" s="134">
        <v>19.07</v>
      </c>
      <c r="E77" s="134">
        <v>11.09</v>
      </c>
      <c r="F77" s="134">
        <v>11.53</v>
      </c>
      <c r="G77" s="134">
        <v>38.119999999999997</v>
      </c>
      <c r="H77" s="134">
        <v>12.42</v>
      </c>
      <c r="I77" s="134">
        <v>3.6</v>
      </c>
      <c r="J77" s="134">
        <v>0.37</v>
      </c>
      <c r="K77" s="134">
        <v>301.63</v>
      </c>
      <c r="L77" s="134">
        <v>31.46</v>
      </c>
      <c r="M77" s="134">
        <v>64.150000000000006</v>
      </c>
      <c r="N77" s="134">
        <v>24.6</v>
      </c>
      <c r="O77" s="134">
        <v>0</v>
      </c>
      <c r="P77" s="134">
        <v>0.49</v>
      </c>
      <c r="Q77" s="134">
        <v>5.24</v>
      </c>
    </row>
    <row r="78" spans="1:17" customFormat="1">
      <c r="A78" s="112" t="s">
        <v>2036</v>
      </c>
      <c r="B78" s="134">
        <v>8.6999999999999993</v>
      </c>
      <c r="C78" s="134">
        <v>20.079999999999998</v>
      </c>
      <c r="D78" s="134">
        <v>18.82</v>
      </c>
      <c r="E78" s="134">
        <v>10.98</v>
      </c>
      <c r="F78" s="134">
        <v>12.72</v>
      </c>
      <c r="G78" s="134">
        <v>33.89</v>
      </c>
      <c r="H78" s="134">
        <v>12.75</v>
      </c>
      <c r="I78" s="134">
        <v>3.42</v>
      </c>
      <c r="J78" s="134">
        <v>0.25</v>
      </c>
      <c r="K78" s="134">
        <v>306.85000000000002</v>
      </c>
      <c r="L78" s="134">
        <v>31.26</v>
      </c>
      <c r="M78" s="134">
        <v>64.78</v>
      </c>
      <c r="N78" s="134">
        <v>17.399999999999999</v>
      </c>
      <c r="O78" s="134">
        <v>0</v>
      </c>
      <c r="P78" s="134">
        <v>0.51</v>
      </c>
      <c r="Q78" s="134">
        <v>5.25</v>
      </c>
    </row>
    <row r="79" spans="1:17" customFormat="1">
      <c r="A79" s="112" t="s">
        <v>2037</v>
      </c>
      <c r="B79" s="134">
        <v>8.68</v>
      </c>
      <c r="C79" s="134">
        <v>20.41</v>
      </c>
      <c r="D79" s="134">
        <v>18.98</v>
      </c>
      <c r="E79" s="134">
        <v>10.07</v>
      </c>
      <c r="F79" s="134">
        <v>11.23</v>
      </c>
      <c r="G79" s="134">
        <v>33.18</v>
      </c>
      <c r="H79" s="134">
        <v>12.75</v>
      </c>
      <c r="I79" s="134">
        <v>3.44</v>
      </c>
      <c r="J79" s="134">
        <v>0.37</v>
      </c>
      <c r="K79" s="134">
        <v>299.82</v>
      </c>
      <c r="L79" s="134">
        <v>31.06</v>
      </c>
      <c r="M79" s="134">
        <v>65.34</v>
      </c>
      <c r="N79" s="134">
        <v>5.2</v>
      </c>
      <c r="O79" s="134">
        <v>0</v>
      </c>
      <c r="P79" s="134">
        <v>0.5</v>
      </c>
      <c r="Q79" s="134">
        <v>5.27</v>
      </c>
    </row>
    <row r="80" spans="1:17" customFormat="1">
      <c r="A80" s="112" t="s">
        <v>2038</v>
      </c>
      <c r="B80" s="134">
        <v>8.5299999999999994</v>
      </c>
      <c r="C80" s="134">
        <v>20.34</v>
      </c>
      <c r="D80" s="134">
        <v>18.82</v>
      </c>
      <c r="E80" s="134">
        <v>10.029999999999999</v>
      </c>
      <c r="F80" s="134">
        <v>10.51</v>
      </c>
      <c r="G80" s="134">
        <v>33.18</v>
      </c>
      <c r="H80" s="134">
        <v>12.75</v>
      </c>
      <c r="I80" s="134">
        <v>3.31</v>
      </c>
      <c r="J80" s="134">
        <v>0.4</v>
      </c>
      <c r="K80" s="134">
        <v>287.58</v>
      </c>
      <c r="L80" s="134">
        <v>30.79</v>
      </c>
      <c r="M80" s="134">
        <v>67.64</v>
      </c>
      <c r="N80" s="134">
        <v>0</v>
      </c>
      <c r="O80" s="134">
        <v>0</v>
      </c>
      <c r="P80" s="134">
        <v>0.51</v>
      </c>
      <c r="Q80" s="134">
        <v>5.31</v>
      </c>
    </row>
    <row r="81" spans="1:17" customFormat="1">
      <c r="A81" s="112" t="s">
        <v>2039</v>
      </c>
      <c r="B81" s="134">
        <v>9.18</v>
      </c>
      <c r="C81" s="134">
        <v>21.05</v>
      </c>
      <c r="D81" s="134">
        <v>19.71</v>
      </c>
      <c r="E81" s="134">
        <v>8.39</v>
      </c>
      <c r="F81" s="134">
        <v>10.19</v>
      </c>
      <c r="G81" s="134">
        <v>33.18</v>
      </c>
      <c r="H81" s="134">
        <v>12.75</v>
      </c>
      <c r="I81" s="134">
        <v>3.37</v>
      </c>
      <c r="J81" s="134">
        <v>0.48</v>
      </c>
      <c r="K81" s="134">
        <v>300.42</v>
      </c>
      <c r="L81" s="134">
        <v>30.63</v>
      </c>
      <c r="M81" s="134">
        <v>68.48</v>
      </c>
      <c r="N81" s="134">
        <v>0</v>
      </c>
      <c r="O81" s="134">
        <v>0</v>
      </c>
      <c r="P81" s="134">
        <v>0.55000000000000004</v>
      </c>
      <c r="Q81" s="134">
        <v>5.36</v>
      </c>
    </row>
    <row r="82" spans="1:17" customFormat="1">
      <c r="A82" s="112" t="s">
        <v>2040</v>
      </c>
      <c r="B82" s="134">
        <v>9.36</v>
      </c>
      <c r="C82" s="134">
        <v>20.82</v>
      </c>
      <c r="D82" s="134">
        <v>19.73</v>
      </c>
      <c r="E82" s="134">
        <v>9.66</v>
      </c>
      <c r="F82" s="134">
        <v>10.97</v>
      </c>
      <c r="G82" s="134">
        <v>33.020000000000003</v>
      </c>
      <c r="H82" s="134">
        <v>10.91</v>
      </c>
      <c r="I82" s="134">
        <v>3.62</v>
      </c>
      <c r="J82" s="134">
        <v>0.43</v>
      </c>
      <c r="K82" s="134">
        <v>293.35000000000002</v>
      </c>
      <c r="L82" s="134">
        <v>30.4</v>
      </c>
      <c r="M82" s="134">
        <v>70.16</v>
      </c>
      <c r="N82" s="134">
        <v>0</v>
      </c>
      <c r="O82" s="134">
        <v>0</v>
      </c>
      <c r="P82" s="134">
        <v>0.53</v>
      </c>
      <c r="Q82" s="134">
        <v>5.38</v>
      </c>
    </row>
    <row r="83" spans="1:17" customFormat="1">
      <c r="A83" s="112" t="s">
        <v>2041</v>
      </c>
      <c r="B83" s="134">
        <v>9.3800000000000008</v>
      </c>
      <c r="C83" s="134">
        <v>20.420000000000002</v>
      </c>
      <c r="D83" s="134">
        <v>19.54</v>
      </c>
      <c r="E83" s="134">
        <v>11.2</v>
      </c>
      <c r="F83" s="134">
        <v>9.83</v>
      </c>
      <c r="G83" s="134">
        <v>32.99</v>
      </c>
      <c r="H83" s="134">
        <v>10.91</v>
      </c>
      <c r="I83" s="134">
        <v>3.67</v>
      </c>
      <c r="J83" s="134">
        <v>0.35</v>
      </c>
      <c r="K83" s="134">
        <v>311.98</v>
      </c>
      <c r="L83" s="134">
        <v>30.1</v>
      </c>
      <c r="M83" s="134">
        <v>71.56</v>
      </c>
      <c r="N83" s="134">
        <v>0</v>
      </c>
      <c r="O83" s="134">
        <v>0</v>
      </c>
      <c r="P83" s="134">
        <v>0.54</v>
      </c>
      <c r="Q83" s="134">
        <v>5.38</v>
      </c>
    </row>
    <row r="84" spans="1:17" customFormat="1">
      <c r="A84" s="112" t="s">
        <v>2042</v>
      </c>
      <c r="B84" s="134">
        <v>9.66</v>
      </c>
      <c r="C84" s="134">
        <v>20.49</v>
      </c>
      <c r="D84" s="134">
        <v>19.809999999999999</v>
      </c>
      <c r="E84" s="134">
        <v>12.12</v>
      </c>
      <c r="F84" s="134">
        <v>9.07</v>
      </c>
      <c r="G84" s="134">
        <v>32.99</v>
      </c>
      <c r="H84" s="134">
        <v>10.91</v>
      </c>
      <c r="I84" s="134">
        <v>3.52</v>
      </c>
      <c r="J84" s="134">
        <v>0.2</v>
      </c>
      <c r="K84" s="134">
        <v>321.81</v>
      </c>
      <c r="L84" s="134">
        <v>29.83</v>
      </c>
      <c r="M84" s="134">
        <v>71.83</v>
      </c>
      <c r="N84" s="134">
        <v>0</v>
      </c>
      <c r="O84" s="134">
        <v>0</v>
      </c>
      <c r="P84" s="134">
        <v>0.53</v>
      </c>
      <c r="Q84" s="134">
        <v>5.41</v>
      </c>
    </row>
    <row r="85" spans="1:17" customFormat="1">
      <c r="A85" s="112" t="s">
        <v>2043</v>
      </c>
      <c r="B85" s="134">
        <v>9.7200000000000006</v>
      </c>
      <c r="C85" s="134">
        <v>20.67</v>
      </c>
      <c r="D85" s="134">
        <v>19.940000000000001</v>
      </c>
      <c r="E85" s="134">
        <v>13.07</v>
      </c>
      <c r="F85" s="134">
        <v>8.9600000000000009</v>
      </c>
      <c r="G85" s="134">
        <v>32.99</v>
      </c>
      <c r="H85" s="134">
        <v>10.91</v>
      </c>
      <c r="I85" s="134">
        <v>3.65</v>
      </c>
      <c r="J85" s="134">
        <v>0.28999999999999998</v>
      </c>
      <c r="K85" s="134">
        <v>312.47000000000003</v>
      </c>
      <c r="L85" s="134">
        <v>29.65</v>
      </c>
      <c r="M85" s="134">
        <v>70.56</v>
      </c>
      <c r="N85" s="134">
        <v>0</v>
      </c>
      <c r="O85" s="134">
        <v>0</v>
      </c>
      <c r="P85" s="134">
        <v>0.55000000000000004</v>
      </c>
      <c r="Q85" s="134">
        <v>5.4</v>
      </c>
    </row>
    <row r="86" spans="1:17" customFormat="1">
      <c r="A86" s="112" t="s">
        <v>2044</v>
      </c>
      <c r="B86" s="134">
        <v>9.7899999999999991</v>
      </c>
      <c r="C86" s="134">
        <v>21.36</v>
      </c>
      <c r="D86" s="134">
        <v>20.36</v>
      </c>
      <c r="E86" s="134">
        <v>16.52</v>
      </c>
      <c r="F86" s="134">
        <v>8.86</v>
      </c>
      <c r="G86" s="134">
        <v>32.89</v>
      </c>
      <c r="H86" s="134">
        <v>9.89</v>
      </c>
      <c r="I86" s="134">
        <v>3.77</v>
      </c>
      <c r="J86" s="134">
        <v>0.12</v>
      </c>
      <c r="K86" s="134">
        <v>290.2</v>
      </c>
      <c r="L86" s="134">
        <v>29.46</v>
      </c>
      <c r="M86" s="134">
        <v>71.55</v>
      </c>
      <c r="N86" s="134">
        <v>0</v>
      </c>
      <c r="O86" s="134">
        <v>0</v>
      </c>
      <c r="P86" s="134">
        <v>0.56000000000000005</v>
      </c>
      <c r="Q86" s="134">
        <v>5.41</v>
      </c>
    </row>
    <row r="87" spans="1:17" customFormat="1">
      <c r="A87" s="112" t="s">
        <v>2045</v>
      </c>
      <c r="B87" s="134">
        <v>13.25</v>
      </c>
      <c r="C87" s="134">
        <v>26</v>
      </c>
      <c r="D87" s="134">
        <v>25.56</v>
      </c>
      <c r="E87" s="134">
        <v>17.260000000000002</v>
      </c>
      <c r="F87" s="134">
        <v>5.53</v>
      </c>
      <c r="G87" s="134">
        <v>32.869999999999997</v>
      </c>
      <c r="H87" s="134">
        <v>9.89</v>
      </c>
      <c r="I87" s="134">
        <v>3.81</v>
      </c>
      <c r="J87" s="134">
        <v>0.24</v>
      </c>
      <c r="K87" s="134">
        <v>49.8</v>
      </c>
      <c r="L87" s="134">
        <v>29.23</v>
      </c>
      <c r="M87" s="134">
        <v>74.239999999999995</v>
      </c>
      <c r="N87" s="134">
        <v>0</v>
      </c>
      <c r="O87" s="134">
        <v>0</v>
      </c>
      <c r="P87" s="134">
        <v>0.63</v>
      </c>
      <c r="Q87" s="134">
        <v>5.47</v>
      </c>
    </row>
    <row r="88" spans="1:17" customFormat="1">
      <c r="A88" s="112" t="s">
        <v>2046</v>
      </c>
      <c r="B88" s="134">
        <v>13.86</v>
      </c>
      <c r="C88" s="134">
        <v>25.28</v>
      </c>
      <c r="D88" s="134">
        <v>25.67</v>
      </c>
      <c r="E88" s="134">
        <v>15.05</v>
      </c>
      <c r="F88" s="134">
        <v>5.89</v>
      </c>
      <c r="G88" s="134">
        <v>32.869999999999997</v>
      </c>
      <c r="H88" s="134">
        <v>9.89</v>
      </c>
      <c r="I88" s="134">
        <v>3.94</v>
      </c>
      <c r="J88" s="134">
        <v>0.23</v>
      </c>
      <c r="K88" s="134">
        <v>43.61</v>
      </c>
      <c r="L88" s="134">
        <v>28.94</v>
      </c>
      <c r="M88" s="134">
        <v>75.819999999999993</v>
      </c>
      <c r="N88" s="134">
        <v>0</v>
      </c>
      <c r="O88" s="134">
        <v>0</v>
      </c>
      <c r="P88" s="134">
        <v>0.65</v>
      </c>
      <c r="Q88" s="134">
        <v>5.55</v>
      </c>
    </row>
    <row r="89" spans="1:17" customFormat="1">
      <c r="A89" s="112" t="s">
        <v>2047</v>
      </c>
      <c r="B89" s="134">
        <v>12.51</v>
      </c>
      <c r="C89" s="134">
        <v>23.15</v>
      </c>
      <c r="D89" s="134">
        <v>23.48</v>
      </c>
      <c r="E89" s="134">
        <v>12.78</v>
      </c>
      <c r="F89" s="134">
        <v>6.56</v>
      </c>
      <c r="G89" s="134">
        <v>32.869999999999997</v>
      </c>
      <c r="H89" s="134">
        <v>9.89</v>
      </c>
      <c r="I89" s="134">
        <v>4.54</v>
      </c>
      <c r="J89" s="134">
        <v>0.13</v>
      </c>
      <c r="K89" s="134">
        <v>296.64999999999998</v>
      </c>
      <c r="L89" s="134">
        <v>28.76</v>
      </c>
      <c r="M89" s="134">
        <v>77.319999999999993</v>
      </c>
      <c r="N89" s="134">
        <v>0</v>
      </c>
      <c r="O89" s="134">
        <v>0</v>
      </c>
      <c r="P89" s="134">
        <v>0.6</v>
      </c>
      <c r="Q89" s="134">
        <v>5.54</v>
      </c>
    </row>
    <row r="90" spans="1:17" customFormat="1">
      <c r="A90" s="112" t="s">
        <v>2048</v>
      </c>
      <c r="B90" s="134">
        <v>12.66</v>
      </c>
      <c r="C90" s="134">
        <v>22.92</v>
      </c>
      <c r="D90" s="134">
        <v>23.48</v>
      </c>
      <c r="E90" s="134">
        <v>13.37</v>
      </c>
      <c r="F90" s="134">
        <v>6.55</v>
      </c>
      <c r="G90" s="134">
        <v>41.12</v>
      </c>
      <c r="H90" s="134">
        <v>13.09</v>
      </c>
      <c r="I90" s="134">
        <v>4.66</v>
      </c>
      <c r="J90" s="134">
        <v>0.14000000000000001</v>
      </c>
      <c r="K90" s="134">
        <v>345.57</v>
      </c>
      <c r="L90" s="134">
        <v>28.66</v>
      </c>
      <c r="M90" s="134">
        <v>78.209999999999994</v>
      </c>
      <c r="N90" s="134">
        <v>0</v>
      </c>
      <c r="O90" s="134">
        <v>0</v>
      </c>
      <c r="P90" s="134">
        <v>0.66</v>
      </c>
      <c r="Q90" s="134">
        <v>5.55</v>
      </c>
    </row>
    <row r="91" spans="1:17" customFormat="1">
      <c r="A91" s="112" t="s">
        <v>2049</v>
      </c>
      <c r="B91" s="134">
        <v>12.79</v>
      </c>
      <c r="C91" s="134">
        <v>23.25</v>
      </c>
      <c r="D91" s="134">
        <v>23.76</v>
      </c>
      <c r="E91" s="134">
        <v>10.91</v>
      </c>
      <c r="F91" s="134">
        <v>6.15</v>
      </c>
      <c r="G91" s="134">
        <v>42.51</v>
      </c>
      <c r="H91" s="134">
        <v>13.09</v>
      </c>
      <c r="I91" s="134">
        <v>4.57</v>
      </c>
      <c r="J91" s="134">
        <v>0.11</v>
      </c>
      <c r="K91" s="134">
        <v>13.96</v>
      </c>
      <c r="L91" s="134">
        <v>28.59</v>
      </c>
      <c r="M91" s="134">
        <v>79.08</v>
      </c>
      <c r="N91" s="134">
        <v>0</v>
      </c>
      <c r="O91" s="134">
        <v>0</v>
      </c>
      <c r="P91" s="134">
        <v>0.62</v>
      </c>
      <c r="Q91" s="134">
        <v>5.52</v>
      </c>
    </row>
    <row r="92" spans="1:17" customFormat="1">
      <c r="A92" s="112" t="s">
        <v>2050</v>
      </c>
      <c r="B92" s="134">
        <v>13.26</v>
      </c>
      <c r="C92" s="134">
        <v>24.12</v>
      </c>
      <c r="D92" s="134">
        <v>24.59</v>
      </c>
      <c r="E92" s="134">
        <v>11.53</v>
      </c>
      <c r="F92" s="134">
        <v>5.63</v>
      </c>
      <c r="G92" s="134">
        <v>42.51</v>
      </c>
      <c r="H92" s="134">
        <v>13.09</v>
      </c>
      <c r="I92" s="134">
        <v>5.03</v>
      </c>
      <c r="J92" s="134">
        <v>0.19</v>
      </c>
      <c r="K92" s="134">
        <v>34.51</v>
      </c>
      <c r="L92" s="134">
        <v>28.45</v>
      </c>
      <c r="M92" s="134">
        <v>80.22</v>
      </c>
      <c r="N92" s="134">
        <v>0</v>
      </c>
      <c r="O92" s="134">
        <v>0</v>
      </c>
      <c r="P92" s="134">
        <v>0.69</v>
      </c>
      <c r="Q92" s="134">
        <v>5.59</v>
      </c>
    </row>
    <row r="93" spans="1:17" customFormat="1">
      <c r="A93" s="112" t="s">
        <v>2051</v>
      </c>
      <c r="B93" s="134">
        <v>12.93</v>
      </c>
      <c r="C93" s="134">
        <v>23.02</v>
      </c>
      <c r="D93" s="134">
        <v>23.75</v>
      </c>
      <c r="E93" s="134">
        <v>10.88</v>
      </c>
      <c r="F93" s="134">
        <v>6.3</v>
      </c>
      <c r="G93" s="134">
        <v>42.51</v>
      </c>
      <c r="H93" s="134">
        <v>13.09</v>
      </c>
      <c r="I93" s="134">
        <v>4.8499999999999996</v>
      </c>
      <c r="J93" s="134">
        <v>0.02</v>
      </c>
      <c r="K93" s="134">
        <v>10.86</v>
      </c>
      <c r="L93" s="134">
        <v>28.4</v>
      </c>
      <c r="M93" s="134">
        <v>81.459999999999994</v>
      </c>
      <c r="N93" s="134">
        <v>0</v>
      </c>
      <c r="O93" s="134">
        <v>0</v>
      </c>
      <c r="P93" s="134">
        <v>0.64</v>
      </c>
      <c r="Q93" s="134">
        <v>5.61</v>
      </c>
    </row>
    <row r="94" spans="1:17" customFormat="1">
      <c r="A94" s="112" t="s">
        <v>2052</v>
      </c>
      <c r="B94" s="134">
        <v>16.13</v>
      </c>
      <c r="C94" s="134">
        <v>22.7</v>
      </c>
      <c r="D94" s="134">
        <v>26.14</v>
      </c>
      <c r="E94" s="134">
        <v>11.05</v>
      </c>
      <c r="F94" s="134">
        <v>6.58</v>
      </c>
      <c r="G94" s="134">
        <v>43.85</v>
      </c>
      <c r="H94" s="134">
        <v>14.3</v>
      </c>
      <c r="I94" s="134">
        <v>5.34</v>
      </c>
      <c r="J94" s="134">
        <v>0.2</v>
      </c>
      <c r="K94" s="134">
        <v>40.92</v>
      </c>
      <c r="L94" s="134">
        <v>28.24</v>
      </c>
      <c r="M94" s="134">
        <v>82.89</v>
      </c>
      <c r="N94" s="134">
        <v>0</v>
      </c>
      <c r="O94" s="134">
        <v>0</v>
      </c>
      <c r="P94" s="134">
        <v>0.64</v>
      </c>
      <c r="Q94" s="134">
        <v>5.61</v>
      </c>
    </row>
    <row r="95" spans="1:17" customFormat="1">
      <c r="A95" s="112" t="s">
        <v>2053</v>
      </c>
      <c r="B95" s="134">
        <v>15.92</v>
      </c>
      <c r="C95" s="134">
        <v>22.21</v>
      </c>
      <c r="D95" s="134">
        <v>25.72</v>
      </c>
      <c r="E95" s="134">
        <v>10.19</v>
      </c>
      <c r="F95" s="134">
        <v>6.5</v>
      </c>
      <c r="G95" s="134">
        <v>44.07</v>
      </c>
      <c r="H95" s="134">
        <v>14.3</v>
      </c>
      <c r="I95" s="134">
        <v>4.8099999999999996</v>
      </c>
      <c r="J95" s="134">
        <v>0.13</v>
      </c>
      <c r="K95" s="134">
        <v>35.979999999999997</v>
      </c>
      <c r="L95" s="134">
        <v>28.27</v>
      </c>
      <c r="M95" s="134">
        <v>83.11</v>
      </c>
      <c r="N95" s="134">
        <v>0</v>
      </c>
      <c r="O95" s="134">
        <v>0</v>
      </c>
      <c r="P95" s="134">
        <v>0.64</v>
      </c>
      <c r="Q95" s="134">
        <v>5.63</v>
      </c>
    </row>
    <row r="96" spans="1:17" customFormat="1">
      <c r="A96" s="112" t="s">
        <v>2054</v>
      </c>
      <c r="B96" s="134">
        <v>20.37</v>
      </c>
      <c r="C96" s="134">
        <v>22.83</v>
      </c>
      <c r="D96" s="134">
        <v>29.61</v>
      </c>
      <c r="E96" s="134">
        <v>10.98</v>
      </c>
      <c r="F96" s="134">
        <v>5.86</v>
      </c>
      <c r="G96" s="134">
        <v>44.07</v>
      </c>
      <c r="H96" s="134">
        <v>14.3</v>
      </c>
      <c r="I96" s="134">
        <v>4.8099999999999996</v>
      </c>
      <c r="J96" s="134">
        <v>0.28000000000000003</v>
      </c>
      <c r="K96" s="134">
        <v>30.24</v>
      </c>
      <c r="L96" s="134">
        <v>28.23</v>
      </c>
      <c r="M96" s="134">
        <v>83.81</v>
      </c>
      <c r="N96" s="134">
        <v>0</v>
      </c>
      <c r="O96" s="134">
        <v>0</v>
      </c>
      <c r="P96" s="134">
        <v>0.62</v>
      </c>
      <c r="Q96" s="134">
        <v>5.62</v>
      </c>
    </row>
    <row r="97" spans="1:22" customFormat="1">
      <c r="A97" s="112" t="s">
        <v>2055</v>
      </c>
      <c r="B97" s="134">
        <v>19.690000000000001</v>
      </c>
      <c r="C97" s="134">
        <v>22.18</v>
      </c>
      <c r="D97" s="134">
        <v>28.73</v>
      </c>
      <c r="E97" s="134">
        <v>10.67</v>
      </c>
      <c r="F97" s="134">
        <v>6.1</v>
      </c>
      <c r="G97" s="134">
        <v>44.07</v>
      </c>
      <c r="H97" s="134">
        <v>14.3</v>
      </c>
      <c r="I97" s="134">
        <v>4.6500000000000004</v>
      </c>
      <c r="J97" s="134">
        <v>0.32</v>
      </c>
      <c r="K97" s="134">
        <v>37.619999999999997</v>
      </c>
      <c r="L97" s="134">
        <v>28.17</v>
      </c>
      <c r="M97" s="134">
        <v>85.17</v>
      </c>
      <c r="N97" s="134">
        <v>0</v>
      </c>
      <c r="O97" s="134">
        <v>0</v>
      </c>
      <c r="P97" s="134">
        <v>0.61</v>
      </c>
      <c r="Q97" s="134">
        <v>5.69</v>
      </c>
    </row>
    <row r="98" spans="1:22" customFormat="1">
      <c r="A98" s="112" t="s">
        <v>2056</v>
      </c>
      <c r="B98" s="134">
        <v>16.96</v>
      </c>
      <c r="C98" s="134">
        <v>22.99</v>
      </c>
      <c r="D98" s="134">
        <v>26.96</v>
      </c>
      <c r="E98" s="134">
        <v>10.58</v>
      </c>
      <c r="F98" s="134">
        <v>6.34</v>
      </c>
      <c r="G98" s="134">
        <v>47.19</v>
      </c>
      <c r="H98" s="134">
        <v>12.76</v>
      </c>
      <c r="I98" s="134">
        <v>4.46</v>
      </c>
      <c r="J98" s="134">
        <v>0.43</v>
      </c>
      <c r="K98" s="134">
        <v>28.43</v>
      </c>
      <c r="L98" s="134">
        <v>28.06</v>
      </c>
      <c r="M98" s="134">
        <v>83.9</v>
      </c>
      <c r="N98" s="134">
        <v>0</v>
      </c>
      <c r="O98" s="134">
        <v>0</v>
      </c>
      <c r="P98" s="134">
        <v>0.6</v>
      </c>
      <c r="Q98" s="134">
        <v>5.71</v>
      </c>
    </row>
    <row r="99" spans="1:22" customFormat="1">
      <c r="A99" s="112" t="s">
        <v>2057</v>
      </c>
      <c r="B99" s="134">
        <v>16.13</v>
      </c>
      <c r="C99" s="134">
        <v>23.97</v>
      </c>
      <c r="D99" s="134">
        <v>26.81</v>
      </c>
      <c r="E99" s="134">
        <v>10.050000000000001</v>
      </c>
      <c r="F99" s="134">
        <v>6.72</v>
      </c>
      <c r="G99" s="134">
        <v>47.72</v>
      </c>
      <c r="H99" s="134">
        <v>12.76</v>
      </c>
      <c r="I99" s="134">
        <v>4.3499999999999996</v>
      </c>
      <c r="J99" s="134">
        <v>0.06</v>
      </c>
      <c r="K99" s="134">
        <v>30.54</v>
      </c>
      <c r="L99" s="134">
        <v>27.95</v>
      </c>
      <c r="M99" s="134">
        <v>82.54</v>
      </c>
      <c r="N99" s="134">
        <v>0</v>
      </c>
      <c r="O99" s="134">
        <v>0</v>
      </c>
      <c r="P99" s="134">
        <v>0.6</v>
      </c>
      <c r="Q99" s="134">
        <v>5.82</v>
      </c>
    </row>
    <row r="100" spans="1:22" customFormat="1">
      <c r="A100" s="112" t="s">
        <v>2058</v>
      </c>
      <c r="B100" s="134">
        <v>15.55</v>
      </c>
      <c r="C100" s="134">
        <v>22.46</v>
      </c>
      <c r="D100" s="134">
        <v>25.56</v>
      </c>
      <c r="E100" s="134">
        <v>10.67</v>
      </c>
      <c r="F100" s="134">
        <v>7.47</v>
      </c>
      <c r="G100" s="134">
        <v>47.72</v>
      </c>
      <c r="H100" s="134">
        <v>12.76</v>
      </c>
      <c r="I100" s="134">
        <v>4.68</v>
      </c>
      <c r="J100" s="134">
        <v>0.08</v>
      </c>
      <c r="K100" s="134">
        <v>30.71</v>
      </c>
      <c r="L100" s="134">
        <v>27.78</v>
      </c>
      <c r="M100" s="134">
        <v>83.77</v>
      </c>
      <c r="N100" s="134">
        <v>0</v>
      </c>
      <c r="O100" s="134">
        <v>0</v>
      </c>
      <c r="P100" s="134">
        <v>0.57999999999999996</v>
      </c>
      <c r="Q100" s="134">
        <v>5.83</v>
      </c>
    </row>
    <row r="101" spans="1:22" customFormat="1">
      <c r="A101" s="112" t="s">
        <v>2059</v>
      </c>
      <c r="B101" s="134">
        <v>15.9</v>
      </c>
      <c r="C101" s="134">
        <v>21.65</v>
      </c>
      <c r="D101" s="134">
        <v>25.42</v>
      </c>
      <c r="E101" s="134">
        <v>12.01</v>
      </c>
      <c r="F101" s="134">
        <v>7.77</v>
      </c>
      <c r="G101" s="134">
        <v>47.72</v>
      </c>
      <c r="H101" s="134">
        <v>12.76</v>
      </c>
      <c r="I101" s="134">
        <v>4.32</v>
      </c>
      <c r="J101" s="134">
        <v>0.34</v>
      </c>
      <c r="K101" s="134">
        <v>35</v>
      </c>
      <c r="L101" s="134">
        <v>27.72</v>
      </c>
      <c r="M101" s="134">
        <v>83.64</v>
      </c>
      <c r="N101" s="134">
        <v>0</v>
      </c>
      <c r="O101" s="134">
        <v>0</v>
      </c>
      <c r="P101" s="134">
        <v>0.56999999999999995</v>
      </c>
      <c r="Q101" s="134">
        <v>5.8</v>
      </c>
    </row>
    <row r="102" spans="1:22" customFormat="1">
      <c r="A102" s="112" t="s">
        <v>2060</v>
      </c>
      <c r="B102" s="134">
        <v>15.68</v>
      </c>
      <c r="C102" s="134">
        <v>21.16</v>
      </c>
      <c r="D102" s="134">
        <v>24.98</v>
      </c>
      <c r="E102" s="134">
        <v>11.33</v>
      </c>
      <c r="F102" s="134">
        <v>7.73</v>
      </c>
      <c r="G102" s="134">
        <v>42.64</v>
      </c>
      <c r="H102" s="134">
        <v>12.2</v>
      </c>
      <c r="I102" s="134">
        <v>4.17</v>
      </c>
      <c r="J102" s="134">
        <v>0.09</v>
      </c>
      <c r="K102" s="134">
        <v>278.27999999999997</v>
      </c>
      <c r="L102" s="134">
        <v>27.66</v>
      </c>
      <c r="M102" s="134">
        <v>85.17</v>
      </c>
      <c r="N102" s="134">
        <v>0</v>
      </c>
      <c r="O102" s="134">
        <v>0</v>
      </c>
      <c r="P102" s="134">
        <v>0.56000000000000005</v>
      </c>
      <c r="Q102" s="134">
        <v>5.75</v>
      </c>
    </row>
    <row r="103" spans="1:22" customFormat="1">
      <c r="A103" s="112" t="s">
        <v>2061</v>
      </c>
      <c r="B103" s="134">
        <v>16.47</v>
      </c>
      <c r="C103" s="134">
        <v>23.07</v>
      </c>
      <c r="D103" s="134">
        <v>26.62</v>
      </c>
      <c r="E103" s="134">
        <v>10.26</v>
      </c>
      <c r="F103" s="134">
        <v>6.08</v>
      </c>
      <c r="G103" s="134">
        <v>41.78</v>
      </c>
      <c r="H103" s="134">
        <v>12.2</v>
      </c>
      <c r="I103" s="134">
        <v>4.0599999999999996</v>
      </c>
      <c r="J103" s="134">
        <v>0.11</v>
      </c>
      <c r="K103" s="134">
        <v>51.25</v>
      </c>
      <c r="L103" s="134">
        <v>27.55</v>
      </c>
      <c r="M103" s="134">
        <v>86.24</v>
      </c>
      <c r="N103" s="134">
        <v>0</v>
      </c>
      <c r="O103" s="134">
        <v>0</v>
      </c>
      <c r="P103" s="134">
        <v>0.57999999999999996</v>
      </c>
      <c r="Q103" s="134">
        <v>5.73</v>
      </c>
    </row>
    <row r="104" spans="1:22" customFormat="1">
      <c r="A104" s="112" t="s">
        <v>2062</v>
      </c>
      <c r="B104" s="134">
        <v>15.93</v>
      </c>
      <c r="C104" s="134">
        <v>23.44</v>
      </c>
      <c r="D104" s="134">
        <v>26.38</v>
      </c>
      <c r="E104" s="134">
        <v>11.12</v>
      </c>
      <c r="F104" s="134">
        <v>5.89</v>
      </c>
      <c r="G104" s="134">
        <v>41.78</v>
      </c>
      <c r="H104" s="134">
        <v>12.2</v>
      </c>
      <c r="I104" s="134">
        <v>4.07</v>
      </c>
      <c r="J104" s="134">
        <v>0.12</v>
      </c>
      <c r="K104" s="134">
        <v>190.98</v>
      </c>
      <c r="L104" s="134">
        <v>27.45</v>
      </c>
      <c r="M104" s="134">
        <v>87.45</v>
      </c>
      <c r="N104" s="134">
        <v>0</v>
      </c>
      <c r="O104" s="134">
        <v>0</v>
      </c>
      <c r="P104" s="134">
        <v>0.59</v>
      </c>
      <c r="Q104" s="134">
        <v>5.78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8.43</v>
      </c>
      <c r="C106" s="183">
        <f>MIN(C9:C104)</f>
        <v>20.010000000000002</v>
      </c>
      <c r="D106" s="183">
        <f t="shared" ref="D106:Q106" si="0">MIN(D9:D104)</f>
        <v>18.649999999999999</v>
      </c>
      <c r="E106" s="183">
        <f t="shared" si="0"/>
        <v>6.97</v>
      </c>
      <c r="F106" s="183">
        <f t="shared" si="0"/>
        <v>3.9</v>
      </c>
      <c r="G106" s="183">
        <f t="shared" si="0"/>
        <v>22.69</v>
      </c>
      <c r="H106" s="183">
        <f t="shared" si="0"/>
        <v>5.43</v>
      </c>
      <c r="I106" s="183">
        <f t="shared" si="0"/>
        <v>3.31</v>
      </c>
      <c r="J106" s="183">
        <f t="shared" si="0"/>
        <v>0.02</v>
      </c>
      <c r="K106" s="183">
        <f t="shared" si="0"/>
        <v>10.53</v>
      </c>
      <c r="L106" s="183">
        <f t="shared" si="0"/>
        <v>25.82</v>
      </c>
      <c r="M106" s="183">
        <f t="shared" si="0"/>
        <v>60.07</v>
      </c>
      <c r="N106" s="183">
        <f t="shared" si="0"/>
        <v>0</v>
      </c>
      <c r="O106" s="183">
        <f t="shared" si="0"/>
        <v>0</v>
      </c>
      <c r="P106" s="183">
        <f t="shared" si="0"/>
        <v>0.48</v>
      </c>
      <c r="Q106" s="183">
        <f t="shared" si="0"/>
        <v>5.24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20.73</v>
      </c>
      <c r="C107" s="184">
        <f t="shared" ref="C107:Q107" si="1">MAX(C9:C104)</f>
        <v>26</v>
      </c>
      <c r="D107" s="184">
        <f t="shared" si="1"/>
        <v>30.06</v>
      </c>
      <c r="E107" s="184">
        <f t="shared" si="1"/>
        <v>17.260000000000002</v>
      </c>
      <c r="F107" s="184">
        <f t="shared" si="1"/>
        <v>12.87</v>
      </c>
      <c r="G107" s="184">
        <f t="shared" si="1"/>
        <v>47.72</v>
      </c>
      <c r="H107" s="184">
        <f t="shared" si="1"/>
        <v>15.39</v>
      </c>
      <c r="I107" s="184">
        <f t="shared" si="1"/>
        <v>5.34</v>
      </c>
      <c r="J107" s="184">
        <f t="shared" si="1"/>
        <v>0.66</v>
      </c>
      <c r="K107" s="184">
        <f t="shared" si="1"/>
        <v>358.07</v>
      </c>
      <c r="L107" s="184">
        <f t="shared" si="1"/>
        <v>33.409999999999997</v>
      </c>
      <c r="M107" s="184">
        <f t="shared" si="1"/>
        <v>96.26</v>
      </c>
      <c r="N107" s="184">
        <f t="shared" si="1"/>
        <v>687.1</v>
      </c>
      <c r="O107" s="184">
        <f t="shared" si="1"/>
        <v>0</v>
      </c>
      <c r="P107" s="184">
        <f t="shared" si="1"/>
        <v>0.69</v>
      </c>
      <c r="Q107" s="184">
        <f t="shared" si="1"/>
        <v>6.01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14.793020833333342</v>
      </c>
      <c r="C108" s="183">
        <f t="shared" ref="C108:Q108" si="2">AVERAGE(C9:C104)</f>
        <v>21.99708333333334</v>
      </c>
      <c r="D108" s="183">
        <f t="shared" si="2"/>
        <v>24.706979166666667</v>
      </c>
      <c r="E108" s="183">
        <f t="shared" si="2"/>
        <v>10.158541666666666</v>
      </c>
      <c r="F108" s="183">
        <f t="shared" si="2"/>
        <v>7.1207291666666679</v>
      </c>
      <c r="G108" s="183">
        <f t="shared" si="2"/>
        <v>33.732708333333314</v>
      </c>
      <c r="H108" s="183">
        <f t="shared" si="2"/>
        <v>10.916979166666664</v>
      </c>
      <c r="I108" s="183">
        <f t="shared" si="2"/>
        <v>4.4040625000000002</v>
      </c>
      <c r="J108" s="183">
        <f t="shared" si="2"/>
        <v>0.30697916666666658</v>
      </c>
      <c r="K108" s="183">
        <f t="shared" si="2"/>
        <v>194.38468749999993</v>
      </c>
      <c r="L108" s="183">
        <f t="shared" si="2"/>
        <v>29.21916666666668</v>
      </c>
      <c r="M108" s="183">
        <f t="shared" si="2"/>
        <v>78.13229166666666</v>
      </c>
      <c r="N108" s="183">
        <f t="shared" si="2"/>
        <v>152.59479166666671</v>
      </c>
      <c r="O108" s="183">
        <f t="shared" si="2"/>
        <v>0</v>
      </c>
      <c r="P108" s="183">
        <f t="shared" si="2"/>
        <v>0.54729166666666662</v>
      </c>
      <c r="Q108" s="183">
        <f t="shared" si="2"/>
        <v>5.6661458333333323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4.161004716675154</v>
      </c>
      <c r="C109" s="183">
        <f t="shared" ref="C109:Q109" si="3">STDEV(C9:C104)</f>
        <v>1.1275991417880709</v>
      </c>
      <c r="D109" s="183">
        <f t="shared" si="3"/>
        <v>3.5629402759642099</v>
      </c>
      <c r="E109" s="183">
        <f t="shared" si="3"/>
        <v>1.7698468439040878</v>
      </c>
      <c r="F109" s="183">
        <f t="shared" si="3"/>
        <v>2.4368764497077735</v>
      </c>
      <c r="G109" s="183">
        <f t="shared" si="3"/>
        <v>6.3603625317342045</v>
      </c>
      <c r="H109" s="183">
        <f t="shared" si="3"/>
        <v>2.3492073107827363</v>
      </c>
      <c r="I109" s="183">
        <f t="shared" si="3"/>
        <v>0.46323480035846765</v>
      </c>
      <c r="J109" s="183">
        <f t="shared" si="3"/>
        <v>0.16152640189384529</v>
      </c>
      <c r="K109" s="183">
        <f t="shared" si="3"/>
        <v>128.13871828651898</v>
      </c>
      <c r="L109" s="183">
        <f t="shared" si="3"/>
        <v>2.4418865298290262</v>
      </c>
      <c r="M109" s="183">
        <f t="shared" si="3"/>
        <v>12.515248255768263</v>
      </c>
      <c r="N109" s="183">
        <f t="shared" si="3"/>
        <v>217.99376252292973</v>
      </c>
      <c r="O109" s="183">
        <f t="shared" si="3"/>
        <v>0</v>
      </c>
      <c r="P109" s="183">
        <f t="shared" si="3"/>
        <v>4.317599641776531E-2</v>
      </c>
      <c r="Q109" s="183">
        <f t="shared" si="3"/>
        <v>0.22513326949852028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36" activePane="bottomRight" state="frozen"/>
      <selection pane="topRight"/>
      <selection pane="bottomLeft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20/09/2023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2063</v>
      </c>
      <c r="B9" s="134">
        <v>15.63</v>
      </c>
      <c r="C9" s="134">
        <v>22.4</v>
      </c>
      <c r="D9" s="134">
        <v>25.59</v>
      </c>
      <c r="E9" s="134">
        <v>11.68</v>
      </c>
      <c r="F9" s="134">
        <v>5.68</v>
      </c>
      <c r="G9" s="134">
        <v>41.78</v>
      </c>
      <c r="H9" s="134">
        <v>12.2</v>
      </c>
      <c r="I9" s="134">
        <v>4.5599999999999996</v>
      </c>
      <c r="J9" s="134">
        <v>0.06</v>
      </c>
      <c r="K9" s="134">
        <v>215.74</v>
      </c>
      <c r="L9" s="134">
        <v>27.35</v>
      </c>
      <c r="M9" s="134">
        <v>87.65</v>
      </c>
      <c r="N9" s="134">
        <v>0</v>
      </c>
      <c r="O9" s="134">
        <v>0</v>
      </c>
      <c r="P9" s="134">
        <v>0.6</v>
      </c>
      <c r="Q9" s="134">
        <v>5.77</v>
      </c>
    </row>
    <row r="10" spans="1:21" customFormat="1">
      <c r="A10" s="112" t="s">
        <v>2064</v>
      </c>
      <c r="B10" s="134">
        <v>15.59</v>
      </c>
      <c r="C10" s="134">
        <v>22.16</v>
      </c>
      <c r="D10" s="134">
        <v>25.43</v>
      </c>
      <c r="E10" s="134">
        <v>11.55</v>
      </c>
      <c r="F10" s="134">
        <v>5.49</v>
      </c>
      <c r="G10" s="134">
        <v>43.08</v>
      </c>
      <c r="H10" s="134">
        <v>14.99</v>
      </c>
      <c r="I10" s="134">
        <v>4.42</v>
      </c>
      <c r="J10" s="134">
        <v>0.12</v>
      </c>
      <c r="K10" s="134">
        <v>242.12</v>
      </c>
      <c r="L10" s="134">
        <v>27.26</v>
      </c>
      <c r="M10" s="134">
        <v>88.26</v>
      </c>
      <c r="N10" s="134">
        <v>0</v>
      </c>
      <c r="O10" s="134">
        <v>0</v>
      </c>
      <c r="P10" s="134">
        <v>0.57999999999999996</v>
      </c>
      <c r="Q10" s="134">
        <v>5.76</v>
      </c>
    </row>
    <row r="11" spans="1:21" customFormat="1">
      <c r="A11" s="112" t="s">
        <v>2065</v>
      </c>
      <c r="B11" s="134">
        <v>17</v>
      </c>
      <c r="C11" s="134">
        <v>24.17</v>
      </c>
      <c r="D11" s="134">
        <v>27.61</v>
      </c>
      <c r="E11" s="134">
        <v>10.61</v>
      </c>
      <c r="F11" s="134">
        <v>4.99</v>
      </c>
      <c r="G11" s="134">
        <v>43.3</v>
      </c>
      <c r="H11" s="134">
        <v>14.99</v>
      </c>
      <c r="I11" s="134">
        <v>4.32</v>
      </c>
      <c r="J11" s="134">
        <v>0.1</v>
      </c>
      <c r="K11" s="134">
        <v>288.14</v>
      </c>
      <c r="L11" s="134">
        <v>27.33</v>
      </c>
      <c r="M11" s="134">
        <v>87.52</v>
      </c>
      <c r="N11" s="134">
        <v>0</v>
      </c>
      <c r="O11" s="134">
        <v>0</v>
      </c>
      <c r="P11" s="134">
        <v>0.61</v>
      </c>
      <c r="Q11" s="134">
        <v>5.74</v>
      </c>
    </row>
    <row r="12" spans="1:21" customFormat="1">
      <c r="A12" s="112" t="s">
        <v>2066</v>
      </c>
      <c r="B12" s="134">
        <v>17.309999999999999</v>
      </c>
      <c r="C12" s="134">
        <v>23.83</v>
      </c>
      <c r="D12" s="134">
        <v>27.69</v>
      </c>
      <c r="E12" s="134">
        <v>11.46</v>
      </c>
      <c r="F12" s="134">
        <v>4.92</v>
      </c>
      <c r="G12" s="134">
        <v>43.3</v>
      </c>
      <c r="H12" s="134">
        <v>14.99</v>
      </c>
      <c r="I12" s="134">
        <v>4.38</v>
      </c>
      <c r="J12" s="134">
        <v>0.21</v>
      </c>
      <c r="K12" s="134">
        <v>280.7</v>
      </c>
      <c r="L12" s="134">
        <v>27.44</v>
      </c>
      <c r="M12" s="134">
        <v>87.03</v>
      </c>
      <c r="N12" s="134">
        <v>0</v>
      </c>
      <c r="O12" s="134">
        <v>0</v>
      </c>
      <c r="P12" s="134">
        <v>0.62</v>
      </c>
      <c r="Q12" s="134">
        <v>5.78</v>
      </c>
    </row>
    <row r="13" spans="1:21" customFormat="1">
      <c r="A13" s="112" t="s">
        <v>2067</v>
      </c>
      <c r="B13" s="134">
        <v>18.12</v>
      </c>
      <c r="C13" s="134">
        <v>23.5</v>
      </c>
      <c r="D13" s="134">
        <v>28.16</v>
      </c>
      <c r="E13" s="134">
        <v>13.53</v>
      </c>
      <c r="F13" s="134">
        <v>4.79</v>
      </c>
      <c r="G13" s="134">
        <v>43.3</v>
      </c>
      <c r="H13" s="134">
        <v>14.99</v>
      </c>
      <c r="I13" s="134">
        <v>4.78</v>
      </c>
      <c r="J13" s="134">
        <v>0.22</v>
      </c>
      <c r="K13" s="134">
        <v>317.70999999999998</v>
      </c>
      <c r="L13" s="134">
        <v>27.46</v>
      </c>
      <c r="M13" s="134">
        <v>86.78</v>
      </c>
      <c r="N13" s="134">
        <v>0</v>
      </c>
      <c r="O13" s="134">
        <v>0</v>
      </c>
      <c r="P13" s="134">
        <v>0.64</v>
      </c>
      <c r="Q13" s="134">
        <v>5.81</v>
      </c>
    </row>
    <row r="14" spans="1:21" customFormat="1">
      <c r="A14" s="112" t="s">
        <v>2068</v>
      </c>
      <c r="B14" s="134">
        <v>17.66</v>
      </c>
      <c r="C14" s="134">
        <v>22.82</v>
      </c>
      <c r="D14" s="134">
        <v>27.43</v>
      </c>
      <c r="E14" s="134">
        <v>14.58</v>
      </c>
      <c r="F14" s="134">
        <v>5.07</v>
      </c>
      <c r="G14" s="134">
        <v>45.53</v>
      </c>
      <c r="H14" s="134">
        <v>17.59</v>
      </c>
      <c r="I14" s="134">
        <v>5.0199999999999996</v>
      </c>
      <c r="J14" s="134">
        <v>0.16</v>
      </c>
      <c r="K14" s="134">
        <v>341.03</v>
      </c>
      <c r="L14" s="134">
        <v>27.47</v>
      </c>
      <c r="M14" s="134">
        <v>86.36</v>
      </c>
      <c r="N14" s="134">
        <v>0</v>
      </c>
      <c r="O14" s="134">
        <v>0</v>
      </c>
      <c r="P14" s="134">
        <v>0.6</v>
      </c>
      <c r="Q14" s="134">
        <v>5.84</v>
      </c>
    </row>
    <row r="15" spans="1:21" customFormat="1">
      <c r="A15" s="112" t="s">
        <v>2069</v>
      </c>
      <c r="B15" s="134">
        <v>17.73</v>
      </c>
      <c r="C15" s="134">
        <v>23.33</v>
      </c>
      <c r="D15" s="134">
        <v>27.76</v>
      </c>
      <c r="E15" s="134">
        <v>12.6</v>
      </c>
      <c r="F15" s="134">
        <v>5.61</v>
      </c>
      <c r="G15" s="134">
        <v>45.94</v>
      </c>
      <c r="H15" s="134">
        <v>17.59</v>
      </c>
      <c r="I15" s="134">
        <v>5.18</v>
      </c>
      <c r="J15" s="134">
        <v>0.18</v>
      </c>
      <c r="K15" s="134">
        <v>324.25</v>
      </c>
      <c r="L15" s="134">
        <v>27.4</v>
      </c>
      <c r="M15" s="134">
        <v>86.73</v>
      </c>
      <c r="N15" s="134">
        <v>0</v>
      </c>
      <c r="O15" s="134">
        <v>0</v>
      </c>
      <c r="P15" s="134">
        <v>0.63</v>
      </c>
      <c r="Q15" s="134">
        <v>5.8</v>
      </c>
    </row>
    <row r="16" spans="1:21" customFormat="1">
      <c r="A16" s="112" t="s">
        <v>2070</v>
      </c>
      <c r="B16" s="134">
        <v>17.54</v>
      </c>
      <c r="C16" s="134">
        <v>21.76</v>
      </c>
      <c r="D16" s="134">
        <v>26.79</v>
      </c>
      <c r="E16" s="134">
        <v>11.64</v>
      </c>
      <c r="F16" s="134">
        <v>6.36</v>
      </c>
      <c r="G16" s="134">
        <v>45.94</v>
      </c>
      <c r="H16" s="134">
        <v>17.59</v>
      </c>
      <c r="I16" s="134">
        <v>5.19</v>
      </c>
      <c r="J16" s="134">
        <v>0.24</v>
      </c>
      <c r="K16" s="134">
        <v>309.98</v>
      </c>
      <c r="L16" s="134">
        <v>27.45</v>
      </c>
      <c r="M16" s="134">
        <v>87.18</v>
      </c>
      <c r="N16" s="134">
        <v>0</v>
      </c>
      <c r="O16" s="134">
        <v>0</v>
      </c>
      <c r="P16" s="134">
        <v>0.63</v>
      </c>
      <c r="Q16" s="134">
        <v>5.8</v>
      </c>
    </row>
    <row r="17" spans="1:17" customFormat="1">
      <c r="A17" s="112" t="s">
        <v>2071</v>
      </c>
      <c r="B17" s="134">
        <v>17.53</v>
      </c>
      <c r="C17" s="134">
        <v>20.77</v>
      </c>
      <c r="D17" s="134">
        <v>26.26</v>
      </c>
      <c r="E17" s="134">
        <v>9.7899999999999991</v>
      </c>
      <c r="F17" s="134">
        <v>6.09</v>
      </c>
      <c r="G17" s="134">
        <v>45.94</v>
      </c>
      <c r="H17" s="134">
        <v>17.59</v>
      </c>
      <c r="I17" s="134">
        <v>5.26</v>
      </c>
      <c r="J17" s="134">
        <v>0.2</v>
      </c>
      <c r="K17" s="134">
        <v>320.29000000000002</v>
      </c>
      <c r="L17" s="134">
        <v>27.45</v>
      </c>
      <c r="M17" s="134">
        <v>87.46</v>
      </c>
      <c r="N17" s="134">
        <v>0</v>
      </c>
      <c r="O17" s="134">
        <v>0</v>
      </c>
      <c r="P17" s="134">
        <v>0.61</v>
      </c>
      <c r="Q17" s="134">
        <v>5.82</v>
      </c>
    </row>
    <row r="18" spans="1:17" customFormat="1">
      <c r="A18" s="112" t="s">
        <v>2072</v>
      </c>
      <c r="B18" s="134">
        <v>17.559999999999999</v>
      </c>
      <c r="C18" s="134">
        <v>21.68</v>
      </c>
      <c r="D18" s="134">
        <v>26.76</v>
      </c>
      <c r="E18" s="134">
        <v>11.46</v>
      </c>
      <c r="F18" s="134">
        <v>5.64</v>
      </c>
      <c r="G18" s="134">
        <v>42.38</v>
      </c>
      <c r="H18" s="134">
        <v>13.32</v>
      </c>
      <c r="I18" s="134">
        <v>4.8899999999999997</v>
      </c>
      <c r="J18" s="134">
        <v>0.2</v>
      </c>
      <c r="K18" s="134">
        <v>301.43</v>
      </c>
      <c r="L18" s="134">
        <v>27.41</v>
      </c>
      <c r="M18" s="134">
        <v>87.42</v>
      </c>
      <c r="N18" s="134">
        <v>0</v>
      </c>
      <c r="O18" s="134">
        <v>0</v>
      </c>
      <c r="P18" s="134">
        <v>0.59</v>
      </c>
      <c r="Q18" s="134">
        <v>5.8</v>
      </c>
    </row>
    <row r="19" spans="1:17" customFormat="1">
      <c r="A19" s="112" t="s">
        <v>2073</v>
      </c>
      <c r="B19" s="134">
        <v>18.59</v>
      </c>
      <c r="C19" s="134">
        <v>23.88</v>
      </c>
      <c r="D19" s="134">
        <v>28.74</v>
      </c>
      <c r="E19" s="134">
        <v>10.7</v>
      </c>
      <c r="F19" s="134">
        <v>4.45</v>
      </c>
      <c r="G19" s="134">
        <v>41.78</v>
      </c>
      <c r="H19" s="134">
        <v>13.32</v>
      </c>
      <c r="I19" s="134">
        <v>4.59</v>
      </c>
      <c r="J19" s="134">
        <v>0.2</v>
      </c>
      <c r="K19" s="134">
        <v>288.27999999999997</v>
      </c>
      <c r="L19" s="134">
        <v>27.28</v>
      </c>
      <c r="M19" s="134">
        <v>88.01</v>
      </c>
      <c r="N19" s="134">
        <v>0</v>
      </c>
      <c r="O19" s="134">
        <v>0</v>
      </c>
      <c r="P19" s="134">
        <v>0.6</v>
      </c>
      <c r="Q19" s="134">
        <v>5.84</v>
      </c>
    </row>
    <row r="20" spans="1:17" customFormat="1">
      <c r="A20" s="112" t="s">
        <v>2074</v>
      </c>
      <c r="B20" s="134">
        <v>18.170000000000002</v>
      </c>
      <c r="C20" s="134">
        <v>21.94</v>
      </c>
      <c r="D20" s="134">
        <v>27.39</v>
      </c>
      <c r="E20" s="134">
        <v>11.32</v>
      </c>
      <c r="F20" s="134">
        <v>5.54</v>
      </c>
      <c r="G20" s="134">
        <v>41.78</v>
      </c>
      <c r="H20" s="134">
        <v>13.32</v>
      </c>
      <c r="I20" s="134">
        <v>4.87</v>
      </c>
      <c r="J20" s="134">
        <v>0.21</v>
      </c>
      <c r="K20" s="134">
        <v>314.99</v>
      </c>
      <c r="L20" s="134">
        <v>27.33</v>
      </c>
      <c r="M20" s="134">
        <v>86.31</v>
      </c>
      <c r="N20" s="134">
        <v>0</v>
      </c>
      <c r="O20" s="134">
        <v>0</v>
      </c>
      <c r="P20" s="134">
        <v>0.57999999999999996</v>
      </c>
      <c r="Q20" s="134">
        <v>5.89</v>
      </c>
    </row>
    <row r="21" spans="1:17" customFormat="1">
      <c r="A21" s="112" t="s">
        <v>2075</v>
      </c>
      <c r="B21" s="134">
        <v>17.12</v>
      </c>
      <c r="C21" s="134">
        <v>20.25</v>
      </c>
      <c r="D21" s="134">
        <v>25.66</v>
      </c>
      <c r="E21" s="134">
        <v>10.93</v>
      </c>
      <c r="F21" s="134">
        <v>6.24</v>
      </c>
      <c r="G21" s="134">
        <v>41.78</v>
      </c>
      <c r="H21" s="134">
        <v>13.32</v>
      </c>
      <c r="I21" s="134">
        <v>4.75</v>
      </c>
      <c r="J21" s="134">
        <v>0.15</v>
      </c>
      <c r="K21" s="134">
        <v>313.20999999999998</v>
      </c>
      <c r="L21" s="134">
        <v>27.2</v>
      </c>
      <c r="M21" s="134">
        <v>86.91</v>
      </c>
      <c r="N21" s="134">
        <v>0</v>
      </c>
      <c r="O21" s="134">
        <v>0</v>
      </c>
      <c r="P21" s="134">
        <v>0.55000000000000004</v>
      </c>
      <c r="Q21" s="134">
        <v>5.89</v>
      </c>
    </row>
    <row r="22" spans="1:17" customFormat="1">
      <c r="A22" s="112" t="s">
        <v>2076</v>
      </c>
      <c r="B22" s="134">
        <v>17.8</v>
      </c>
      <c r="C22" s="134">
        <v>21.06</v>
      </c>
      <c r="D22" s="134">
        <v>26.63</v>
      </c>
      <c r="E22" s="134">
        <v>9.58</v>
      </c>
      <c r="F22" s="134">
        <v>5.86</v>
      </c>
      <c r="G22" s="134">
        <v>41.37</v>
      </c>
      <c r="H22" s="134">
        <v>14.29</v>
      </c>
      <c r="I22" s="134">
        <v>4.5</v>
      </c>
      <c r="J22" s="134">
        <v>0.14000000000000001</v>
      </c>
      <c r="K22" s="134">
        <v>325.25</v>
      </c>
      <c r="L22" s="134">
        <v>27.12</v>
      </c>
      <c r="M22" s="134">
        <v>87.06</v>
      </c>
      <c r="N22" s="134">
        <v>0</v>
      </c>
      <c r="O22" s="134">
        <v>0</v>
      </c>
      <c r="P22" s="134">
        <v>0.56999999999999995</v>
      </c>
      <c r="Q22" s="134">
        <v>5.87</v>
      </c>
    </row>
    <row r="23" spans="1:17" customFormat="1">
      <c r="A23" s="112" t="s">
        <v>2077</v>
      </c>
      <c r="B23" s="134">
        <v>18.579999999999998</v>
      </c>
      <c r="C23" s="134">
        <v>23.01</v>
      </c>
      <c r="D23" s="134">
        <v>28.27</v>
      </c>
      <c r="E23" s="134">
        <v>9.93</v>
      </c>
      <c r="F23" s="134">
        <v>4.82</v>
      </c>
      <c r="G23" s="134">
        <v>41.3</v>
      </c>
      <c r="H23" s="134">
        <v>14.29</v>
      </c>
      <c r="I23" s="134">
        <v>4.29</v>
      </c>
      <c r="J23" s="134">
        <v>0.12</v>
      </c>
      <c r="K23" s="134">
        <v>15.45</v>
      </c>
      <c r="L23" s="134">
        <v>27.04</v>
      </c>
      <c r="M23" s="134">
        <v>87.52</v>
      </c>
      <c r="N23" s="134">
        <v>0</v>
      </c>
      <c r="O23" s="134">
        <v>0</v>
      </c>
      <c r="P23" s="134">
        <v>0.57999999999999996</v>
      </c>
      <c r="Q23" s="134">
        <v>5.93</v>
      </c>
    </row>
    <row r="24" spans="1:17" customFormat="1">
      <c r="A24" s="112" t="s">
        <v>2078</v>
      </c>
      <c r="B24" s="134">
        <v>18.2</v>
      </c>
      <c r="C24" s="134">
        <v>22.14</v>
      </c>
      <c r="D24" s="134">
        <v>27.52</v>
      </c>
      <c r="E24" s="134">
        <v>11.85</v>
      </c>
      <c r="F24" s="134">
        <v>5</v>
      </c>
      <c r="G24" s="134">
        <v>41.3</v>
      </c>
      <c r="H24" s="134">
        <v>14.29</v>
      </c>
      <c r="I24" s="134">
        <v>4.7300000000000004</v>
      </c>
      <c r="J24" s="134">
        <v>0.05</v>
      </c>
      <c r="K24" s="134">
        <v>315.06</v>
      </c>
      <c r="L24" s="134">
        <v>27.01</v>
      </c>
      <c r="M24" s="134">
        <v>88.6</v>
      </c>
      <c r="N24" s="134">
        <v>0</v>
      </c>
      <c r="O24" s="134">
        <v>0</v>
      </c>
      <c r="P24" s="134">
        <v>0.56000000000000005</v>
      </c>
      <c r="Q24" s="134">
        <v>5.95</v>
      </c>
    </row>
    <row r="25" spans="1:17" customFormat="1">
      <c r="A25" s="112" t="s">
        <v>2079</v>
      </c>
      <c r="B25" s="134">
        <v>18.84</v>
      </c>
      <c r="C25" s="134">
        <v>21.72</v>
      </c>
      <c r="D25" s="134">
        <v>27.81</v>
      </c>
      <c r="E25" s="134">
        <v>12.07</v>
      </c>
      <c r="F25" s="134">
        <v>4.28</v>
      </c>
      <c r="G25" s="134">
        <v>41.3</v>
      </c>
      <c r="H25" s="134">
        <v>14.29</v>
      </c>
      <c r="I25" s="134">
        <v>4.47</v>
      </c>
      <c r="J25" s="134">
        <v>0.09</v>
      </c>
      <c r="K25" s="134">
        <v>343.05</v>
      </c>
      <c r="L25" s="134">
        <v>26.97</v>
      </c>
      <c r="M25" s="134">
        <v>88.75</v>
      </c>
      <c r="N25" s="134">
        <v>0</v>
      </c>
      <c r="O25" s="134">
        <v>0</v>
      </c>
      <c r="P25" s="134">
        <v>0.55000000000000004</v>
      </c>
      <c r="Q25" s="134">
        <v>5.96</v>
      </c>
    </row>
    <row r="26" spans="1:17" customFormat="1">
      <c r="A26" s="112" t="s">
        <v>2080</v>
      </c>
      <c r="B26" s="134">
        <v>19.89</v>
      </c>
      <c r="C26" s="134">
        <v>22.31</v>
      </c>
      <c r="D26" s="134">
        <v>28.96</v>
      </c>
      <c r="E26" s="134">
        <v>11.1</v>
      </c>
      <c r="F26" s="134">
        <v>4.3499999999999996</v>
      </c>
      <c r="G26" s="134">
        <v>38.630000000000003</v>
      </c>
      <c r="H26" s="134">
        <v>16.89</v>
      </c>
      <c r="I26" s="134">
        <v>4.43</v>
      </c>
      <c r="J26" s="134">
        <v>0.14000000000000001</v>
      </c>
      <c r="K26" s="134">
        <v>46.97</v>
      </c>
      <c r="L26" s="134">
        <v>26.84</v>
      </c>
      <c r="M26" s="134">
        <v>89.44</v>
      </c>
      <c r="N26" s="134">
        <v>0</v>
      </c>
      <c r="O26" s="134">
        <v>0</v>
      </c>
      <c r="P26" s="134">
        <v>0.56000000000000005</v>
      </c>
      <c r="Q26" s="134">
        <v>5.95</v>
      </c>
    </row>
    <row r="27" spans="1:17" customFormat="1">
      <c r="A27" s="112" t="s">
        <v>2081</v>
      </c>
      <c r="B27" s="134">
        <v>20.55</v>
      </c>
      <c r="C27" s="134">
        <v>24.32</v>
      </c>
      <c r="D27" s="134">
        <v>30.54</v>
      </c>
      <c r="E27" s="134">
        <v>10.3</v>
      </c>
      <c r="F27" s="134">
        <v>4.2300000000000004</v>
      </c>
      <c r="G27" s="134">
        <v>38.130000000000003</v>
      </c>
      <c r="H27" s="134">
        <v>16.89</v>
      </c>
      <c r="I27" s="134">
        <v>4.3499999999999996</v>
      </c>
      <c r="J27" s="134">
        <v>0.22</v>
      </c>
      <c r="K27" s="134">
        <v>36.71</v>
      </c>
      <c r="L27" s="134">
        <v>26.81</v>
      </c>
      <c r="M27" s="134">
        <v>89.39</v>
      </c>
      <c r="N27" s="134">
        <v>0</v>
      </c>
      <c r="O27" s="134">
        <v>0</v>
      </c>
      <c r="P27" s="134">
        <v>0.59</v>
      </c>
      <c r="Q27" s="134">
        <v>6.01</v>
      </c>
    </row>
    <row r="28" spans="1:17" customFormat="1">
      <c r="A28" s="112" t="s">
        <v>2082</v>
      </c>
      <c r="B28" s="134">
        <v>20.83</v>
      </c>
      <c r="C28" s="134">
        <v>23.29</v>
      </c>
      <c r="D28" s="134">
        <v>30.22</v>
      </c>
      <c r="E28" s="134">
        <v>9.7100000000000009</v>
      </c>
      <c r="F28" s="134">
        <v>5.21</v>
      </c>
      <c r="G28" s="134">
        <v>38.130000000000003</v>
      </c>
      <c r="H28" s="134">
        <v>16.89</v>
      </c>
      <c r="I28" s="134">
        <v>4.6399999999999997</v>
      </c>
      <c r="J28" s="134">
        <v>0.28999999999999998</v>
      </c>
      <c r="K28" s="134">
        <v>41.29</v>
      </c>
      <c r="L28" s="134">
        <v>26.7</v>
      </c>
      <c r="M28" s="134">
        <v>88.27</v>
      </c>
      <c r="N28" s="134">
        <v>0</v>
      </c>
      <c r="O28" s="134">
        <v>0</v>
      </c>
      <c r="P28" s="134">
        <v>0.57999999999999996</v>
      </c>
      <c r="Q28" s="134">
        <v>6.05</v>
      </c>
    </row>
    <row r="29" spans="1:17" customFormat="1">
      <c r="A29" s="112" t="s">
        <v>2083</v>
      </c>
      <c r="B29" s="134">
        <v>20.239999999999998</v>
      </c>
      <c r="C29" s="134">
        <v>21.41</v>
      </c>
      <c r="D29" s="134">
        <v>28.76</v>
      </c>
      <c r="E29" s="134">
        <v>9.14</v>
      </c>
      <c r="F29" s="134">
        <v>5.89</v>
      </c>
      <c r="G29" s="134">
        <v>38.130000000000003</v>
      </c>
      <c r="H29" s="134">
        <v>16.89</v>
      </c>
      <c r="I29" s="134">
        <v>4.82</v>
      </c>
      <c r="J29" s="134">
        <v>0.2</v>
      </c>
      <c r="K29" s="134">
        <v>43.47</v>
      </c>
      <c r="L29" s="134">
        <v>26.63</v>
      </c>
      <c r="M29" s="134">
        <v>88.67</v>
      </c>
      <c r="N29" s="134">
        <v>0</v>
      </c>
      <c r="O29" s="134">
        <v>0</v>
      </c>
      <c r="P29" s="134">
        <v>0.54</v>
      </c>
      <c r="Q29" s="134">
        <v>6.03</v>
      </c>
    </row>
    <row r="30" spans="1:17" customFormat="1">
      <c r="A30" s="112" t="s">
        <v>2084</v>
      </c>
      <c r="B30" s="134">
        <v>20.74</v>
      </c>
      <c r="C30" s="134">
        <v>22.65</v>
      </c>
      <c r="D30" s="134">
        <v>29.81</v>
      </c>
      <c r="E30" s="134">
        <v>9.0299999999999994</v>
      </c>
      <c r="F30" s="134">
        <v>5.38</v>
      </c>
      <c r="G30" s="134">
        <v>41.5</v>
      </c>
      <c r="H30" s="134">
        <v>16.12</v>
      </c>
      <c r="I30" s="134">
        <v>4.8899999999999997</v>
      </c>
      <c r="J30" s="134">
        <v>0.1</v>
      </c>
      <c r="K30" s="134">
        <v>16.16</v>
      </c>
      <c r="L30" s="134">
        <v>26.59</v>
      </c>
      <c r="M30" s="134">
        <v>89.47</v>
      </c>
      <c r="N30" s="134">
        <v>0</v>
      </c>
      <c r="O30" s="134">
        <v>0</v>
      </c>
      <c r="P30" s="134">
        <v>0.56000000000000005</v>
      </c>
      <c r="Q30" s="134">
        <v>6.03</v>
      </c>
    </row>
    <row r="31" spans="1:17" customFormat="1">
      <c r="A31" s="112" t="s">
        <v>2085</v>
      </c>
      <c r="B31" s="134">
        <v>21.9</v>
      </c>
      <c r="C31" s="134">
        <v>24.48</v>
      </c>
      <c r="D31" s="134">
        <v>31.71</v>
      </c>
      <c r="E31" s="134">
        <v>9.15</v>
      </c>
      <c r="F31" s="134">
        <v>4.3499999999999996</v>
      </c>
      <c r="G31" s="134">
        <v>42.07</v>
      </c>
      <c r="H31" s="134">
        <v>16.12</v>
      </c>
      <c r="I31" s="134">
        <v>4.5999999999999996</v>
      </c>
      <c r="J31" s="134">
        <v>0.02</v>
      </c>
      <c r="K31" s="134">
        <v>320.8</v>
      </c>
      <c r="L31" s="134">
        <v>26.54</v>
      </c>
      <c r="M31" s="134">
        <v>90.19</v>
      </c>
      <c r="N31" s="134">
        <v>0</v>
      </c>
      <c r="O31" s="134">
        <v>0</v>
      </c>
      <c r="P31" s="134">
        <v>0.56999999999999995</v>
      </c>
      <c r="Q31" s="134">
        <v>6.08</v>
      </c>
    </row>
    <row r="32" spans="1:17" customFormat="1">
      <c r="A32" s="112" t="s">
        <v>2086</v>
      </c>
      <c r="B32" s="134">
        <v>21.24</v>
      </c>
      <c r="C32" s="134">
        <v>22.77</v>
      </c>
      <c r="D32" s="134">
        <v>30.28</v>
      </c>
      <c r="E32" s="134">
        <v>10</v>
      </c>
      <c r="F32" s="134">
        <v>4.83</v>
      </c>
      <c r="G32" s="134">
        <v>42.07</v>
      </c>
      <c r="H32" s="134">
        <v>16.12</v>
      </c>
      <c r="I32" s="134">
        <v>4.8499999999999996</v>
      </c>
      <c r="J32" s="134">
        <v>0.08</v>
      </c>
      <c r="K32" s="134">
        <v>28.32</v>
      </c>
      <c r="L32" s="134">
        <v>26.46</v>
      </c>
      <c r="M32" s="134">
        <v>91.12</v>
      </c>
      <c r="N32" s="134">
        <v>0</v>
      </c>
      <c r="O32" s="134">
        <v>0</v>
      </c>
      <c r="P32" s="134">
        <v>0.56000000000000005</v>
      </c>
      <c r="Q32" s="134">
        <v>6.14</v>
      </c>
    </row>
    <row r="33" spans="1:17" customFormat="1">
      <c r="A33" s="112" t="s">
        <v>2087</v>
      </c>
      <c r="B33" s="134">
        <v>21.26</v>
      </c>
      <c r="C33" s="134">
        <v>22.12</v>
      </c>
      <c r="D33" s="134">
        <v>29.96</v>
      </c>
      <c r="E33" s="134">
        <v>9.65</v>
      </c>
      <c r="F33" s="134">
        <v>4.96</v>
      </c>
      <c r="G33" s="134">
        <v>42.07</v>
      </c>
      <c r="H33" s="134">
        <v>16.12</v>
      </c>
      <c r="I33" s="134">
        <v>4.7</v>
      </c>
      <c r="J33" s="134">
        <v>0.08</v>
      </c>
      <c r="K33" s="134">
        <v>250.49</v>
      </c>
      <c r="L33" s="134">
        <v>26.57</v>
      </c>
      <c r="M33" s="134">
        <v>91.25</v>
      </c>
      <c r="N33" s="134">
        <v>0.4</v>
      </c>
      <c r="O33" s="134">
        <v>0</v>
      </c>
      <c r="P33" s="134">
        <v>0.56000000000000005</v>
      </c>
      <c r="Q33" s="134">
        <v>6.12</v>
      </c>
    </row>
    <row r="34" spans="1:17" customFormat="1">
      <c r="A34" s="112" t="s">
        <v>2088</v>
      </c>
      <c r="B34" s="134">
        <v>21.94</v>
      </c>
      <c r="C34" s="134">
        <v>23.74</v>
      </c>
      <c r="D34" s="134">
        <v>31.35</v>
      </c>
      <c r="E34" s="134">
        <v>8.9499999999999993</v>
      </c>
      <c r="F34" s="134">
        <v>4.34</v>
      </c>
      <c r="G34" s="134">
        <v>39.520000000000003</v>
      </c>
      <c r="H34" s="134">
        <v>15.14</v>
      </c>
      <c r="I34" s="134">
        <v>4.53</v>
      </c>
      <c r="J34" s="134">
        <v>0.11</v>
      </c>
      <c r="K34" s="134">
        <v>45.46</v>
      </c>
      <c r="L34" s="134">
        <v>26.64</v>
      </c>
      <c r="M34" s="134">
        <v>90.99</v>
      </c>
      <c r="N34" s="134">
        <v>0.7</v>
      </c>
      <c r="O34" s="134">
        <v>0</v>
      </c>
      <c r="P34" s="134">
        <v>0.6</v>
      </c>
      <c r="Q34" s="134">
        <v>6.11</v>
      </c>
    </row>
    <row r="35" spans="1:17" customFormat="1">
      <c r="A35" s="112" t="s">
        <v>2089</v>
      </c>
      <c r="B35" s="134">
        <v>22.63</v>
      </c>
      <c r="C35" s="134">
        <v>23.96</v>
      </c>
      <c r="D35" s="134">
        <v>32.020000000000003</v>
      </c>
      <c r="E35" s="134">
        <v>9.6999999999999993</v>
      </c>
      <c r="F35" s="134">
        <v>4.5</v>
      </c>
      <c r="G35" s="134">
        <v>39.090000000000003</v>
      </c>
      <c r="H35" s="134">
        <v>15.14</v>
      </c>
      <c r="I35" s="134">
        <v>4.71</v>
      </c>
      <c r="J35" s="134">
        <v>0.19</v>
      </c>
      <c r="K35" s="134">
        <v>286.95999999999998</v>
      </c>
      <c r="L35" s="134">
        <v>26.78</v>
      </c>
      <c r="M35" s="134">
        <v>90.7</v>
      </c>
      <c r="N35" s="134">
        <v>10.199999999999999</v>
      </c>
      <c r="O35" s="134">
        <v>0</v>
      </c>
      <c r="P35" s="134">
        <v>0.6</v>
      </c>
      <c r="Q35" s="134">
        <v>6.14</v>
      </c>
    </row>
    <row r="36" spans="1:17" customFormat="1">
      <c r="A36" s="112" t="s">
        <v>2090</v>
      </c>
      <c r="B36" s="134">
        <v>22.34</v>
      </c>
      <c r="C36" s="134">
        <v>22.85</v>
      </c>
      <c r="D36" s="134">
        <v>31.21</v>
      </c>
      <c r="E36" s="134">
        <v>10.74</v>
      </c>
      <c r="F36" s="134">
        <v>5.37</v>
      </c>
      <c r="G36" s="134">
        <v>39.090000000000003</v>
      </c>
      <c r="H36" s="134">
        <v>15.14</v>
      </c>
      <c r="I36" s="134">
        <v>5.21</v>
      </c>
      <c r="J36" s="134">
        <v>0.28999999999999998</v>
      </c>
      <c r="K36" s="134">
        <v>39.42</v>
      </c>
      <c r="L36" s="134">
        <v>26.9</v>
      </c>
      <c r="M36" s="134">
        <v>89.7</v>
      </c>
      <c r="N36" s="134">
        <v>19.399999999999999</v>
      </c>
      <c r="O36" s="134">
        <v>0</v>
      </c>
      <c r="P36" s="134">
        <v>0.6</v>
      </c>
      <c r="Q36" s="134">
        <v>6.16</v>
      </c>
    </row>
    <row r="37" spans="1:17" customFormat="1">
      <c r="A37" s="112" t="s">
        <v>2091</v>
      </c>
      <c r="B37" s="134">
        <v>22.41</v>
      </c>
      <c r="C37" s="134">
        <v>21.97</v>
      </c>
      <c r="D37" s="134">
        <v>30.8</v>
      </c>
      <c r="E37" s="134">
        <v>11.85</v>
      </c>
      <c r="F37" s="134">
        <v>5.58</v>
      </c>
      <c r="G37" s="134">
        <v>39.090000000000003</v>
      </c>
      <c r="H37" s="134">
        <v>15.14</v>
      </c>
      <c r="I37" s="134">
        <v>5.2</v>
      </c>
      <c r="J37" s="134">
        <v>0.42</v>
      </c>
      <c r="K37" s="134">
        <v>35.29</v>
      </c>
      <c r="L37" s="134">
        <v>27.09</v>
      </c>
      <c r="M37" s="134">
        <v>89.34</v>
      </c>
      <c r="N37" s="134">
        <v>40.200000000000003</v>
      </c>
      <c r="O37" s="134">
        <v>0</v>
      </c>
      <c r="P37" s="134">
        <v>0.62</v>
      </c>
      <c r="Q37" s="134">
        <v>6.15</v>
      </c>
    </row>
    <row r="38" spans="1:17" customFormat="1">
      <c r="A38" s="112" t="s">
        <v>2092</v>
      </c>
      <c r="B38" s="134">
        <v>22.98</v>
      </c>
      <c r="C38" s="134">
        <v>23.26</v>
      </c>
      <c r="D38" s="134">
        <v>31.93</v>
      </c>
      <c r="E38" s="134">
        <v>10.49</v>
      </c>
      <c r="F38" s="134">
        <v>5.05</v>
      </c>
      <c r="G38" s="134">
        <v>40.03</v>
      </c>
      <c r="H38" s="134">
        <v>14.1</v>
      </c>
      <c r="I38" s="134">
        <v>5.17</v>
      </c>
      <c r="J38" s="134">
        <v>0.49</v>
      </c>
      <c r="K38" s="134">
        <v>26.05</v>
      </c>
      <c r="L38" s="134">
        <v>27.21</v>
      </c>
      <c r="M38" s="134">
        <v>89.61</v>
      </c>
      <c r="N38" s="134">
        <v>60.3</v>
      </c>
      <c r="O38" s="134">
        <v>0</v>
      </c>
      <c r="P38" s="134">
        <v>0.61</v>
      </c>
      <c r="Q38" s="134">
        <v>6.15</v>
      </c>
    </row>
    <row r="39" spans="1:17" customFormat="1">
      <c r="A39" s="112" t="s">
        <v>2093</v>
      </c>
      <c r="B39" s="134">
        <v>22.98</v>
      </c>
      <c r="C39" s="134">
        <v>24.4</v>
      </c>
      <c r="D39" s="134">
        <v>32.520000000000003</v>
      </c>
      <c r="E39" s="134">
        <v>10.49</v>
      </c>
      <c r="F39" s="134">
        <v>5.08</v>
      </c>
      <c r="G39" s="134">
        <v>40.18</v>
      </c>
      <c r="H39" s="134">
        <v>14.1</v>
      </c>
      <c r="I39" s="134">
        <v>5.16</v>
      </c>
      <c r="J39" s="134">
        <v>0.43</v>
      </c>
      <c r="K39" s="134">
        <v>32.43</v>
      </c>
      <c r="L39" s="134">
        <v>27.42</v>
      </c>
      <c r="M39" s="134">
        <v>88.08</v>
      </c>
      <c r="N39" s="134">
        <v>87</v>
      </c>
      <c r="O39" s="134">
        <v>0</v>
      </c>
      <c r="P39" s="134">
        <v>0.64</v>
      </c>
      <c r="Q39" s="134">
        <v>6.19</v>
      </c>
    </row>
    <row r="40" spans="1:17" customFormat="1">
      <c r="A40" s="112" t="s">
        <v>2094</v>
      </c>
      <c r="B40" s="134">
        <v>22.94</v>
      </c>
      <c r="C40" s="134">
        <v>23.44</v>
      </c>
      <c r="D40" s="134">
        <v>31.99</v>
      </c>
      <c r="E40" s="134">
        <v>10.76</v>
      </c>
      <c r="F40" s="134">
        <v>6.09</v>
      </c>
      <c r="G40" s="134">
        <v>40.18</v>
      </c>
      <c r="H40" s="134">
        <v>14.1</v>
      </c>
      <c r="I40" s="134">
        <v>5.25</v>
      </c>
      <c r="J40" s="134">
        <v>0.54</v>
      </c>
      <c r="K40" s="134">
        <v>32.89</v>
      </c>
      <c r="L40" s="134">
        <v>27.69</v>
      </c>
      <c r="M40" s="134">
        <v>86</v>
      </c>
      <c r="N40" s="134">
        <v>110.7</v>
      </c>
      <c r="O40" s="134">
        <v>0</v>
      </c>
      <c r="P40" s="134">
        <v>0.62</v>
      </c>
      <c r="Q40" s="134">
        <v>6.21</v>
      </c>
    </row>
    <row r="41" spans="1:17" customFormat="1">
      <c r="A41" s="112" t="s">
        <v>2095</v>
      </c>
      <c r="B41" s="134">
        <v>23.4</v>
      </c>
      <c r="C41" s="134">
        <v>22.62</v>
      </c>
      <c r="D41" s="134">
        <v>31.93</v>
      </c>
      <c r="E41" s="134">
        <v>10.61</v>
      </c>
      <c r="F41" s="134">
        <v>6.57</v>
      </c>
      <c r="G41" s="134">
        <v>40.18</v>
      </c>
      <c r="H41" s="134">
        <v>14.1</v>
      </c>
      <c r="I41" s="134">
        <v>5.21</v>
      </c>
      <c r="J41" s="134">
        <v>0.54</v>
      </c>
      <c r="K41" s="134">
        <v>40.35</v>
      </c>
      <c r="L41" s="134">
        <v>27.92</v>
      </c>
      <c r="M41" s="134">
        <v>84.72</v>
      </c>
      <c r="N41" s="134">
        <v>126.1</v>
      </c>
      <c r="O41" s="134">
        <v>0</v>
      </c>
      <c r="P41" s="134">
        <v>0.61</v>
      </c>
      <c r="Q41" s="134">
        <v>6.18</v>
      </c>
    </row>
    <row r="42" spans="1:17" customFormat="1">
      <c r="A42" s="112" t="s">
        <v>2096</v>
      </c>
      <c r="B42" s="134">
        <v>23.66</v>
      </c>
      <c r="C42" s="134">
        <v>22.66</v>
      </c>
      <c r="D42" s="134">
        <v>32.17</v>
      </c>
      <c r="E42" s="134">
        <v>12.08</v>
      </c>
      <c r="F42" s="134">
        <v>6.66</v>
      </c>
      <c r="G42" s="134">
        <v>41.87</v>
      </c>
      <c r="H42" s="134">
        <v>15.03</v>
      </c>
      <c r="I42" s="134">
        <v>5.17</v>
      </c>
      <c r="J42" s="134">
        <v>0.56000000000000005</v>
      </c>
      <c r="K42" s="134">
        <v>24.8</v>
      </c>
      <c r="L42" s="134">
        <v>28.23</v>
      </c>
      <c r="M42" s="134">
        <v>84.25</v>
      </c>
      <c r="N42" s="134">
        <v>158.69999999999999</v>
      </c>
      <c r="O42" s="134">
        <v>0</v>
      </c>
      <c r="P42" s="134">
        <v>0.61</v>
      </c>
      <c r="Q42" s="134">
        <v>6.19</v>
      </c>
    </row>
    <row r="43" spans="1:17" customFormat="1">
      <c r="A43" s="112" t="s">
        <v>2097</v>
      </c>
      <c r="B43" s="134">
        <v>23.57</v>
      </c>
      <c r="C43" s="134">
        <v>23.76</v>
      </c>
      <c r="D43" s="134">
        <v>32.67</v>
      </c>
      <c r="E43" s="134">
        <v>10.58</v>
      </c>
      <c r="F43" s="134">
        <v>5.63</v>
      </c>
      <c r="G43" s="134">
        <v>42.15</v>
      </c>
      <c r="H43" s="134">
        <v>15.08</v>
      </c>
      <c r="I43" s="134">
        <v>5.01</v>
      </c>
      <c r="J43" s="134">
        <v>0.67</v>
      </c>
      <c r="K43" s="134">
        <v>39.42</v>
      </c>
      <c r="L43" s="134">
        <v>28.52</v>
      </c>
      <c r="M43" s="134">
        <v>82.49</v>
      </c>
      <c r="N43" s="134">
        <v>184.5</v>
      </c>
      <c r="O43" s="134">
        <v>0</v>
      </c>
      <c r="P43" s="134">
        <v>0.61</v>
      </c>
      <c r="Q43" s="134">
        <v>6.19</v>
      </c>
    </row>
    <row r="44" spans="1:17" customFormat="1">
      <c r="A44" s="112" t="s">
        <v>2098</v>
      </c>
      <c r="B44" s="134">
        <v>23.63</v>
      </c>
      <c r="C44" s="134">
        <v>25.32</v>
      </c>
      <c r="D44" s="134">
        <v>33.53</v>
      </c>
      <c r="E44" s="134">
        <v>10.74</v>
      </c>
      <c r="F44" s="134">
        <v>5.14</v>
      </c>
      <c r="G44" s="134">
        <v>42.15</v>
      </c>
      <c r="H44" s="134">
        <v>15.08</v>
      </c>
      <c r="I44" s="134">
        <v>4.8899999999999997</v>
      </c>
      <c r="J44" s="134">
        <v>0.66</v>
      </c>
      <c r="K44" s="134">
        <v>28.49</v>
      </c>
      <c r="L44" s="134">
        <v>28.7</v>
      </c>
      <c r="M44" s="134">
        <v>81.91</v>
      </c>
      <c r="N44" s="134">
        <v>203.1</v>
      </c>
      <c r="O44" s="134">
        <v>0</v>
      </c>
      <c r="P44" s="134">
        <v>0.64</v>
      </c>
      <c r="Q44" s="134">
        <v>6.25</v>
      </c>
    </row>
    <row r="45" spans="1:17" customFormat="1">
      <c r="A45" s="112" t="s">
        <v>2099</v>
      </c>
      <c r="B45" s="134">
        <v>23.88</v>
      </c>
      <c r="C45" s="134">
        <v>24.39</v>
      </c>
      <c r="D45" s="134">
        <v>33.25</v>
      </c>
      <c r="E45" s="134">
        <v>11.1</v>
      </c>
      <c r="F45" s="134">
        <v>5.83</v>
      </c>
      <c r="G45" s="134">
        <v>42.15</v>
      </c>
      <c r="H45" s="134">
        <v>15.08</v>
      </c>
      <c r="I45" s="134">
        <v>5.17</v>
      </c>
      <c r="J45" s="134">
        <v>0.71</v>
      </c>
      <c r="K45" s="134">
        <v>41.19</v>
      </c>
      <c r="L45" s="134">
        <v>28.94</v>
      </c>
      <c r="M45" s="134">
        <v>80.09</v>
      </c>
      <c r="N45" s="134">
        <v>241.1</v>
      </c>
      <c r="O45" s="134">
        <v>0</v>
      </c>
      <c r="P45" s="134">
        <v>0.64</v>
      </c>
      <c r="Q45" s="134">
        <v>6.27</v>
      </c>
    </row>
    <row r="46" spans="1:17" customFormat="1">
      <c r="A46" s="112" t="s">
        <v>2100</v>
      </c>
      <c r="B46" s="134">
        <v>23.78</v>
      </c>
      <c r="C46" s="134">
        <v>23.16</v>
      </c>
      <c r="D46" s="134">
        <v>32.53</v>
      </c>
      <c r="E46" s="134">
        <v>11.56</v>
      </c>
      <c r="F46" s="134">
        <v>6.76</v>
      </c>
      <c r="G46" s="134">
        <v>42.43</v>
      </c>
      <c r="H46" s="134">
        <v>18.32</v>
      </c>
      <c r="I46" s="134">
        <v>5.09</v>
      </c>
      <c r="J46" s="134">
        <v>0.81</v>
      </c>
      <c r="K46" s="134">
        <v>40.81</v>
      </c>
      <c r="L46" s="134">
        <v>29.14</v>
      </c>
      <c r="M46" s="134">
        <v>79.17</v>
      </c>
      <c r="N46" s="134">
        <v>285.10000000000002</v>
      </c>
      <c r="O46" s="134">
        <v>0</v>
      </c>
      <c r="P46" s="134">
        <v>0.62</v>
      </c>
      <c r="Q46" s="134">
        <v>6.26</v>
      </c>
    </row>
    <row r="47" spans="1:17" customFormat="1">
      <c r="A47" s="112" t="s">
        <v>2101</v>
      </c>
      <c r="B47" s="134">
        <v>23.36</v>
      </c>
      <c r="C47" s="134">
        <v>23.36</v>
      </c>
      <c r="D47" s="134">
        <v>32.29</v>
      </c>
      <c r="E47" s="134">
        <v>12.07</v>
      </c>
      <c r="F47" s="134">
        <v>7.35</v>
      </c>
      <c r="G47" s="134">
        <v>42.48</v>
      </c>
      <c r="H47" s="134">
        <v>18.32</v>
      </c>
      <c r="I47" s="134">
        <v>5.04</v>
      </c>
      <c r="J47" s="134">
        <v>0.61</v>
      </c>
      <c r="K47" s="134">
        <v>26.61</v>
      </c>
      <c r="L47" s="134">
        <v>29.45</v>
      </c>
      <c r="M47" s="134">
        <v>79.13</v>
      </c>
      <c r="N47" s="134">
        <v>245.7</v>
      </c>
      <c r="O47" s="134">
        <v>0</v>
      </c>
      <c r="P47" s="134">
        <v>0.64</v>
      </c>
      <c r="Q47" s="134">
        <v>6.21</v>
      </c>
    </row>
    <row r="48" spans="1:17" customFormat="1">
      <c r="A48" s="112" t="s">
        <v>2102</v>
      </c>
      <c r="B48" s="134">
        <v>22.79</v>
      </c>
      <c r="C48" s="134">
        <v>23.53</v>
      </c>
      <c r="D48" s="134">
        <v>31.92</v>
      </c>
      <c r="E48" s="134">
        <v>12.37</v>
      </c>
      <c r="F48" s="134">
        <v>8.65</v>
      </c>
      <c r="G48" s="134">
        <v>42.48</v>
      </c>
      <c r="H48" s="134">
        <v>18.32</v>
      </c>
      <c r="I48" s="134">
        <v>4.9800000000000004</v>
      </c>
      <c r="J48" s="134">
        <v>0.67</v>
      </c>
      <c r="K48" s="134">
        <v>35.99</v>
      </c>
      <c r="L48" s="134">
        <v>30.1</v>
      </c>
      <c r="M48" s="134">
        <v>76.58</v>
      </c>
      <c r="N48" s="134">
        <v>427.4</v>
      </c>
      <c r="O48" s="134">
        <v>0</v>
      </c>
      <c r="P48" s="134">
        <v>0.64</v>
      </c>
      <c r="Q48" s="134">
        <v>6.22</v>
      </c>
    </row>
    <row r="49" spans="1:17" customFormat="1">
      <c r="A49" s="112" t="s">
        <v>2103</v>
      </c>
      <c r="B49" s="134">
        <v>21.81</v>
      </c>
      <c r="C49" s="134">
        <v>23.19</v>
      </c>
      <c r="D49" s="134">
        <v>30.96</v>
      </c>
      <c r="E49" s="134">
        <v>10.48</v>
      </c>
      <c r="F49" s="134">
        <v>9.35</v>
      </c>
      <c r="G49" s="134">
        <v>42.48</v>
      </c>
      <c r="H49" s="134">
        <v>18.32</v>
      </c>
      <c r="I49" s="134">
        <v>5.04</v>
      </c>
      <c r="J49" s="134">
        <v>0.87</v>
      </c>
      <c r="K49" s="134">
        <v>26.57</v>
      </c>
      <c r="L49" s="134">
        <v>30.53</v>
      </c>
      <c r="M49" s="134">
        <v>75.16</v>
      </c>
      <c r="N49" s="134">
        <v>441.6</v>
      </c>
      <c r="O49" s="134">
        <v>0</v>
      </c>
      <c r="P49" s="134">
        <v>0.63</v>
      </c>
      <c r="Q49" s="134">
        <v>6.18</v>
      </c>
    </row>
    <row r="50" spans="1:17" customFormat="1">
      <c r="A50" s="112" t="s">
        <v>2104</v>
      </c>
      <c r="B50" s="134">
        <v>21.33</v>
      </c>
      <c r="C50" s="134">
        <v>23.76</v>
      </c>
      <c r="D50" s="134">
        <v>30.87</v>
      </c>
      <c r="E50" s="134">
        <v>11.91</v>
      </c>
      <c r="F50" s="134">
        <v>8.4700000000000006</v>
      </c>
      <c r="G50" s="134">
        <v>46.08</v>
      </c>
      <c r="H50" s="134">
        <v>17.48</v>
      </c>
      <c r="I50" s="134">
        <v>4.9800000000000004</v>
      </c>
      <c r="J50" s="134">
        <v>0.72</v>
      </c>
      <c r="K50" s="134">
        <v>20.64</v>
      </c>
      <c r="L50" s="134">
        <v>31.15</v>
      </c>
      <c r="M50" s="134">
        <v>73.56</v>
      </c>
      <c r="N50" s="134">
        <v>501.8</v>
      </c>
      <c r="O50" s="134">
        <v>0</v>
      </c>
      <c r="P50" s="134">
        <v>0.64</v>
      </c>
      <c r="Q50" s="134">
        <v>6.13</v>
      </c>
    </row>
    <row r="51" spans="1:17" customFormat="1">
      <c r="A51" s="112" t="s">
        <v>2105</v>
      </c>
      <c r="B51" s="134">
        <v>20.95</v>
      </c>
      <c r="C51" s="134">
        <v>24.82</v>
      </c>
      <c r="D51" s="134">
        <v>31.11</v>
      </c>
      <c r="E51" s="134">
        <v>11.57</v>
      </c>
      <c r="F51" s="134">
        <v>8.19</v>
      </c>
      <c r="G51" s="134">
        <v>46.68</v>
      </c>
      <c r="H51" s="134">
        <v>17.420000000000002</v>
      </c>
      <c r="I51" s="134">
        <v>5.13</v>
      </c>
      <c r="J51" s="134">
        <v>0.59</v>
      </c>
      <c r="K51" s="134">
        <v>35.159999999999997</v>
      </c>
      <c r="L51" s="134">
        <v>30.93</v>
      </c>
      <c r="M51" s="134">
        <v>73.599999999999994</v>
      </c>
      <c r="N51" s="134">
        <v>356</v>
      </c>
      <c r="O51" s="134">
        <v>0</v>
      </c>
      <c r="P51" s="134">
        <v>0.65</v>
      </c>
      <c r="Q51" s="134">
        <v>6.15</v>
      </c>
    </row>
    <row r="52" spans="1:17" customFormat="1">
      <c r="A52" s="112" t="s">
        <v>2106</v>
      </c>
      <c r="B52" s="134">
        <v>20.190000000000001</v>
      </c>
      <c r="C52" s="134">
        <v>23.82</v>
      </c>
      <c r="D52" s="134">
        <v>29.99</v>
      </c>
      <c r="E52" s="134">
        <v>11.41</v>
      </c>
      <c r="F52" s="134">
        <v>8.64</v>
      </c>
      <c r="G52" s="134">
        <v>46.68</v>
      </c>
      <c r="H52" s="134">
        <v>17.420000000000002</v>
      </c>
      <c r="I52" s="134">
        <v>5.07</v>
      </c>
      <c r="J52" s="134">
        <v>0.73</v>
      </c>
      <c r="K52" s="134">
        <v>31.04</v>
      </c>
      <c r="L52" s="134">
        <v>31.02</v>
      </c>
      <c r="M52" s="134">
        <v>73.86</v>
      </c>
      <c r="N52" s="134">
        <v>406.5</v>
      </c>
      <c r="O52" s="134">
        <v>0</v>
      </c>
      <c r="P52" s="134">
        <v>0.65</v>
      </c>
      <c r="Q52" s="134">
        <v>6.1</v>
      </c>
    </row>
    <row r="53" spans="1:17" customFormat="1">
      <c r="A53" s="112" t="s">
        <v>2107</v>
      </c>
      <c r="B53" s="134">
        <v>19.12</v>
      </c>
      <c r="C53" s="134">
        <v>25.09</v>
      </c>
      <c r="D53" s="134">
        <v>29.8</v>
      </c>
      <c r="E53" s="134">
        <v>11.14</v>
      </c>
      <c r="F53" s="134">
        <v>10.63</v>
      </c>
      <c r="G53" s="134">
        <v>46.68</v>
      </c>
      <c r="H53" s="134">
        <v>17.420000000000002</v>
      </c>
      <c r="I53" s="134">
        <v>5.09</v>
      </c>
      <c r="J53" s="134">
        <v>0.57999999999999996</v>
      </c>
      <c r="K53" s="134">
        <v>21.24</v>
      </c>
      <c r="L53" s="134">
        <v>30.81</v>
      </c>
      <c r="M53" s="134">
        <v>73.28</v>
      </c>
      <c r="N53" s="134">
        <v>353.1</v>
      </c>
      <c r="O53" s="134">
        <v>0</v>
      </c>
      <c r="P53" s="134">
        <v>0.65</v>
      </c>
      <c r="Q53" s="134">
        <v>6.08</v>
      </c>
    </row>
    <row r="54" spans="1:17" customFormat="1">
      <c r="A54" s="112" t="s">
        <v>2108</v>
      </c>
      <c r="B54" s="134">
        <v>17.97</v>
      </c>
      <c r="C54" s="134">
        <v>24.53</v>
      </c>
      <c r="D54" s="134">
        <v>28.58</v>
      </c>
      <c r="E54" s="134">
        <v>12.43</v>
      </c>
      <c r="F54" s="134">
        <v>12.15</v>
      </c>
      <c r="G54" s="134">
        <v>43.83</v>
      </c>
      <c r="H54" s="134">
        <v>18.32</v>
      </c>
      <c r="I54" s="134">
        <v>5.03</v>
      </c>
      <c r="J54" s="134">
        <v>0.37</v>
      </c>
      <c r="K54" s="134">
        <v>33.119999999999997</v>
      </c>
      <c r="L54" s="134">
        <v>31.11</v>
      </c>
      <c r="M54" s="134">
        <v>71.52</v>
      </c>
      <c r="N54" s="134">
        <v>421.2</v>
      </c>
      <c r="O54" s="134">
        <v>0</v>
      </c>
      <c r="P54" s="134">
        <v>0.65</v>
      </c>
      <c r="Q54" s="134">
        <v>6.01</v>
      </c>
    </row>
    <row r="55" spans="1:17" customFormat="1">
      <c r="A55" s="112" t="s">
        <v>2109</v>
      </c>
      <c r="B55" s="134">
        <v>17.14</v>
      </c>
      <c r="C55" s="134">
        <v>24.36</v>
      </c>
      <c r="D55" s="134">
        <v>27.82</v>
      </c>
      <c r="E55" s="134">
        <v>11.89</v>
      </c>
      <c r="F55" s="134">
        <v>11.26</v>
      </c>
      <c r="G55" s="134">
        <v>43.35</v>
      </c>
      <c r="H55" s="134">
        <v>18.32</v>
      </c>
      <c r="I55" s="134">
        <v>4.9400000000000004</v>
      </c>
      <c r="J55" s="134">
        <v>0.22</v>
      </c>
      <c r="K55" s="134">
        <v>324.67</v>
      </c>
      <c r="L55" s="134">
        <v>31.45</v>
      </c>
      <c r="M55" s="134">
        <v>71.05</v>
      </c>
      <c r="N55" s="134">
        <v>504.6</v>
      </c>
      <c r="O55" s="134">
        <v>0</v>
      </c>
      <c r="P55" s="134">
        <v>0.63</v>
      </c>
      <c r="Q55" s="134">
        <v>5.92</v>
      </c>
    </row>
    <row r="56" spans="1:17" customFormat="1">
      <c r="A56" s="112" t="s">
        <v>2110</v>
      </c>
      <c r="B56" s="134">
        <v>16.23</v>
      </c>
      <c r="C56" s="134">
        <v>24.66</v>
      </c>
      <c r="D56" s="134">
        <v>27.25</v>
      </c>
      <c r="E56" s="134">
        <v>13.81</v>
      </c>
      <c r="F56" s="134">
        <v>11.68</v>
      </c>
      <c r="G56" s="134">
        <v>43.35</v>
      </c>
      <c r="H56" s="134">
        <v>18.32</v>
      </c>
      <c r="I56" s="134">
        <v>4.82</v>
      </c>
      <c r="J56" s="134">
        <v>0.53</v>
      </c>
      <c r="K56" s="134">
        <v>45.67</v>
      </c>
      <c r="L56" s="134">
        <v>31.41</v>
      </c>
      <c r="M56" s="134">
        <v>70.39</v>
      </c>
      <c r="N56" s="134">
        <v>362.9</v>
      </c>
      <c r="O56" s="134">
        <v>0</v>
      </c>
      <c r="P56" s="134">
        <v>0.65</v>
      </c>
      <c r="Q56" s="134">
        <v>5.87</v>
      </c>
    </row>
    <row r="57" spans="1:17" customFormat="1">
      <c r="A57" s="112" t="s">
        <v>2111</v>
      </c>
      <c r="B57" s="134">
        <v>15.25</v>
      </c>
      <c r="C57" s="134">
        <v>24.19</v>
      </c>
      <c r="D57" s="134">
        <v>26.22</v>
      </c>
      <c r="E57" s="134">
        <v>20.86</v>
      </c>
      <c r="F57" s="134">
        <v>13.82</v>
      </c>
      <c r="G57" s="134">
        <v>43.35</v>
      </c>
      <c r="H57" s="134">
        <v>18.32</v>
      </c>
      <c r="I57" s="134">
        <v>4.79</v>
      </c>
      <c r="J57" s="134">
        <v>0.37</v>
      </c>
      <c r="K57" s="134">
        <v>38.659999999999997</v>
      </c>
      <c r="L57" s="134">
        <v>31.55</v>
      </c>
      <c r="M57" s="134">
        <v>70.11</v>
      </c>
      <c r="N57" s="134">
        <v>504.3</v>
      </c>
      <c r="O57" s="134">
        <v>0</v>
      </c>
      <c r="P57" s="134">
        <v>0.64</v>
      </c>
      <c r="Q57" s="134">
        <v>5.83</v>
      </c>
    </row>
    <row r="58" spans="1:17" customFormat="1">
      <c r="A58" s="112" t="s">
        <v>2112</v>
      </c>
      <c r="B58" s="134">
        <v>14.36</v>
      </c>
      <c r="C58" s="134">
        <v>24.24</v>
      </c>
      <c r="D58" s="134">
        <v>25.53</v>
      </c>
      <c r="E58" s="134">
        <v>22.08</v>
      </c>
      <c r="F58" s="134">
        <v>14.09</v>
      </c>
      <c r="G58" s="134">
        <v>45.52</v>
      </c>
      <c r="H58" s="134">
        <v>18.88</v>
      </c>
      <c r="I58" s="134">
        <v>5.01</v>
      </c>
      <c r="J58" s="134">
        <v>0</v>
      </c>
      <c r="K58" s="134">
        <v>0.14000000000000001</v>
      </c>
      <c r="L58" s="134">
        <v>32.020000000000003</v>
      </c>
      <c r="M58" s="134">
        <v>69.73</v>
      </c>
      <c r="N58" s="134">
        <v>501.9</v>
      </c>
      <c r="O58" s="134">
        <v>0</v>
      </c>
      <c r="P58" s="134">
        <v>0.64</v>
      </c>
      <c r="Q58" s="134">
        <v>5.78</v>
      </c>
    </row>
    <row r="59" spans="1:17" customFormat="1">
      <c r="A59" s="80">
        <v>45189.53125</v>
      </c>
      <c r="B59" s="149" t="s">
        <v>4</v>
      </c>
      <c r="C59" s="149" t="s">
        <v>4</v>
      </c>
      <c r="D59" s="149" t="s">
        <v>4</v>
      </c>
      <c r="E59" s="149" t="s">
        <v>4</v>
      </c>
      <c r="F59" s="149" t="s">
        <v>4</v>
      </c>
      <c r="G59" s="149" t="s">
        <v>4</v>
      </c>
      <c r="H59" s="149" t="s">
        <v>4</v>
      </c>
      <c r="I59" s="149" t="s">
        <v>4</v>
      </c>
      <c r="J59" s="149" t="s">
        <v>4</v>
      </c>
      <c r="K59" s="149" t="s">
        <v>4</v>
      </c>
      <c r="L59" s="149" t="s">
        <v>4</v>
      </c>
      <c r="M59" s="149" t="s">
        <v>4</v>
      </c>
      <c r="N59" s="149" t="s">
        <v>4</v>
      </c>
      <c r="O59" s="149" t="s">
        <v>4</v>
      </c>
      <c r="P59" s="149" t="s">
        <v>4</v>
      </c>
      <c r="Q59" s="149" t="s">
        <v>4</v>
      </c>
    </row>
    <row r="60" spans="1:17" customFormat="1">
      <c r="A60" s="80">
        <v>45189.541666666664</v>
      </c>
      <c r="B60" s="149" t="s">
        <v>4</v>
      </c>
      <c r="C60" s="149" t="s">
        <v>4</v>
      </c>
      <c r="D60" s="149" t="s">
        <v>4</v>
      </c>
      <c r="E60" s="149" t="s">
        <v>4</v>
      </c>
      <c r="F60" s="149" t="s">
        <v>4</v>
      </c>
      <c r="G60" s="149" t="s">
        <v>4</v>
      </c>
      <c r="H60" s="149" t="s">
        <v>4</v>
      </c>
      <c r="I60" s="149" t="s">
        <v>4</v>
      </c>
      <c r="J60" s="149" t="s">
        <v>4</v>
      </c>
      <c r="K60" s="149" t="s">
        <v>4</v>
      </c>
      <c r="L60" s="149" t="s">
        <v>4</v>
      </c>
      <c r="M60" s="149" t="s">
        <v>4</v>
      </c>
      <c r="N60" s="149" t="s">
        <v>4</v>
      </c>
      <c r="O60" s="149" t="s">
        <v>4</v>
      </c>
      <c r="P60" s="149" t="s">
        <v>4</v>
      </c>
      <c r="Q60" s="149" t="s">
        <v>4</v>
      </c>
    </row>
    <row r="61" spans="1:17" customFormat="1">
      <c r="A61" s="112" t="s">
        <v>2113</v>
      </c>
      <c r="B61" s="170" t="s">
        <v>21</v>
      </c>
      <c r="C61" s="170" t="s">
        <v>21</v>
      </c>
      <c r="D61" s="170" t="s">
        <v>21</v>
      </c>
      <c r="E61" s="170" t="s">
        <v>21</v>
      </c>
      <c r="F61" s="170" t="s">
        <v>21</v>
      </c>
      <c r="G61" s="134">
        <v>45.88</v>
      </c>
      <c r="H61" s="134">
        <v>18.88</v>
      </c>
      <c r="I61" s="170" t="s">
        <v>21</v>
      </c>
      <c r="J61" s="134">
        <v>0.43</v>
      </c>
      <c r="K61" s="134">
        <v>287.02999999999997</v>
      </c>
      <c r="L61" s="134">
        <v>31.49</v>
      </c>
      <c r="M61" s="134">
        <v>70.739999999999995</v>
      </c>
      <c r="N61" s="134">
        <v>308.2</v>
      </c>
      <c r="O61" s="134">
        <v>0</v>
      </c>
      <c r="P61" s="134">
        <v>0.31</v>
      </c>
      <c r="Q61" s="170" t="s">
        <v>21</v>
      </c>
    </row>
    <row r="62" spans="1:17" customFormat="1">
      <c r="A62" s="112" t="s">
        <v>2114</v>
      </c>
      <c r="B62" s="134">
        <v>11.67</v>
      </c>
      <c r="C62" s="134">
        <v>22.28</v>
      </c>
      <c r="D62" s="134">
        <v>22.35</v>
      </c>
      <c r="E62" s="134">
        <v>9.86</v>
      </c>
      <c r="F62" s="134">
        <v>3.49</v>
      </c>
      <c r="G62" s="134">
        <v>32.14</v>
      </c>
      <c r="H62" s="134">
        <v>12.27</v>
      </c>
      <c r="I62" s="170" t="s">
        <v>21</v>
      </c>
      <c r="J62" s="134">
        <v>0.28999999999999998</v>
      </c>
      <c r="K62" s="134">
        <v>300.93</v>
      </c>
      <c r="L62" s="134">
        <v>31.72</v>
      </c>
      <c r="M62" s="134">
        <v>69.069999999999993</v>
      </c>
      <c r="N62" s="134">
        <v>358.3</v>
      </c>
      <c r="O62" s="134">
        <v>0</v>
      </c>
      <c r="P62" s="134">
        <v>0.68</v>
      </c>
      <c r="Q62" s="170" t="s">
        <v>21</v>
      </c>
    </row>
    <row r="63" spans="1:17" customFormat="1">
      <c r="A63" s="112" t="s">
        <v>2115</v>
      </c>
      <c r="B63" s="134">
        <v>11.75</v>
      </c>
      <c r="C63" s="134">
        <v>26.09</v>
      </c>
      <c r="D63" s="134">
        <v>24.4</v>
      </c>
      <c r="E63" s="134">
        <v>1.28</v>
      </c>
      <c r="F63" s="134">
        <v>5.45</v>
      </c>
      <c r="G63" s="134">
        <v>29.82</v>
      </c>
      <c r="H63" s="134">
        <v>12.27</v>
      </c>
      <c r="I63" s="134">
        <v>2.08</v>
      </c>
      <c r="J63" s="134">
        <v>0.18</v>
      </c>
      <c r="K63" s="134">
        <v>317.3</v>
      </c>
      <c r="L63" s="134">
        <v>31.99</v>
      </c>
      <c r="M63" s="134">
        <v>67.739999999999995</v>
      </c>
      <c r="N63" s="134">
        <v>437.4</v>
      </c>
      <c r="O63" s="134">
        <v>0</v>
      </c>
      <c r="P63" s="134">
        <v>0.67</v>
      </c>
      <c r="Q63" s="134">
        <v>4.71</v>
      </c>
    </row>
    <row r="64" spans="1:17" customFormat="1">
      <c r="A64" s="112" t="s">
        <v>2116</v>
      </c>
      <c r="B64" s="134">
        <v>10.29</v>
      </c>
      <c r="C64" s="134">
        <v>25.13</v>
      </c>
      <c r="D64" s="134">
        <v>22.73</v>
      </c>
      <c r="E64" s="134">
        <v>0.02</v>
      </c>
      <c r="F64" s="134">
        <v>12.13</v>
      </c>
      <c r="G64" s="134">
        <v>29.82</v>
      </c>
      <c r="H64" s="134">
        <v>12.27</v>
      </c>
      <c r="I64" s="134">
        <v>4.88</v>
      </c>
      <c r="J64" s="134">
        <v>0.33</v>
      </c>
      <c r="K64" s="134">
        <v>12.97</v>
      </c>
      <c r="L64" s="134">
        <v>32.78</v>
      </c>
      <c r="M64" s="134">
        <v>66.040000000000006</v>
      </c>
      <c r="N64" s="134">
        <v>552</v>
      </c>
      <c r="O64" s="134">
        <v>0</v>
      </c>
      <c r="P64" s="134">
        <v>0.66</v>
      </c>
      <c r="Q64" s="134">
        <v>4.33</v>
      </c>
    </row>
    <row r="65" spans="1:17" customFormat="1">
      <c r="A65" s="112" t="s">
        <v>2117</v>
      </c>
      <c r="B65" s="134">
        <v>9.52</v>
      </c>
      <c r="C65" s="134">
        <v>24.67</v>
      </c>
      <c r="D65" s="134">
        <v>21.88</v>
      </c>
      <c r="E65" s="172" t="s">
        <v>8</v>
      </c>
      <c r="F65" s="134">
        <v>10.9</v>
      </c>
      <c r="G65" s="134">
        <v>29.82</v>
      </c>
      <c r="H65" s="134">
        <v>12.27</v>
      </c>
      <c r="I65" s="134">
        <v>4.97</v>
      </c>
      <c r="J65" s="134">
        <v>0.36</v>
      </c>
      <c r="K65" s="134">
        <v>284.14</v>
      </c>
      <c r="L65" s="134">
        <v>33.15</v>
      </c>
      <c r="M65" s="134">
        <v>65.150000000000006</v>
      </c>
      <c r="N65" s="134">
        <v>551.29999999999995</v>
      </c>
      <c r="O65" s="134">
        <v>0</v>
      </c>
      <c r="P65" s="134">
        <v>0.57999999999999996</v>
      </c>
      <c r="Q65" s="134">
        <v>4.1900000000000004</v>
      </c>
    </row>
    <row r="66" spans="1:17" customFormat="1">
      <c r="A66" s="112" t="s">
        <v>2118</v>
      </c>
      <c r="B66" s="134">
        <v>8.59</v>
      </c>
      <c r="C66" s="134">
        <v>24.38</v>
      </c>
      <c r="D66" s="134">
        <v>20.98</v>
      </c>
      <c r="E66" s="172" t="s">
        <v>8</v>
      </c>
      <c r="F66" s="134">
        <v>11.69</v>
      </c>
      <c r="G66" s="134">
        <v>42.65</v>
      </c>
      <c r="H66" s="134">
        <v>19.559999999999999</v>
      </c>
      <c r="I66" s="134">
        <v>4.8600000000000003</v>
      </c>
      <c r="J66" s="134">
        <v>0.27</v>
      </c>
      <c r="K66" s="134">
        <v>349.88</v>
      </c>
      <c r="L66" s="134">
        <v>32.68</v>
      </c>
      <c r="M66" s="134">
        <v>66.34</v>
      </c>
      <c r="N66" s="134">
        <v>199.5</v>
      </c>
      <c r="O66" s="134">
        <v>0</v>
      </c>
      <c r="P66" s="134">
        <v>0.63</v>
      </c>
      <c r="Q66" s="134">
        <v>4.13</v>
      </c>
    </row>
    <row r="67" spans="1:17" customFormat="1">
      <c r="A67" s="112" t="s">
        <v>2119</v>
      </c>
      <c r="B67" s="134">
        <v>8.31</v>
      </c>
      <c r="C67" s="134">
        <v>25.58</v>
      </c>
      <c r="D67" s="134">
        <v>21.38</v>
      </c>
      <c r="E67" s="172" t="s">
        <v>8</v>
      </c>
      <c r="F67" s="134">
        <v>9.89</v>
      </c>
      <c r="G67" s="134">
        <v>44.81</v>
      </c>
      <c r="H67" s="134">
        <v>19.559999999999999</v>
      </c>
      <c r="I67" s="134">
        <v>4.8499999999999996</v>
      </c>
      <c r="J67" s="134">
        <v>0.33</v>
      </c>
      <c r="K67" s="134">
        <v>299.67</v>
      </c>
      <c r="L67" s="134">
        <v>31.88</v>
      </c>
      <c r="M67" s="134">
        <v>67.650000000000006</v>
      </c>
      <c r="N67" s="134">
        <v>128.19999999999999</v>
      </c>
      <c r="O67" s="134">
        <v>0</v>
      </c>
      <c r="P67" s="134">
        <v>0.62</v>
      </c>
      <c r="Q67" s="134">
        <v>4.1500000000000004</v>
      </c>
    </row>
    <row r="68" spans="1:17" customFormat="1">
      <c r="A68" s="112" t="s">
        <v>2120</v>
      </c>
      <c r="B68" s="134">
        <v>7.75</v>
      </c>
      <c r="C68" s="134">
        <v>25.45</v>
      </c>
      <c r="D68" s="134">
        <v>20.86</v>
      </c>
      <c r="E68" s="172" t="s">
        <v>8</v>
      </c>
      <c r="F68" s="134">
        <v>10.27</v>
      </c>
      <c r="G68" s="134">
        <v>44.81</v>
      </c>
      <c r="H68" s="134">
        <v>19.559999999999999</v>
      </c>
      <c r="I68" s="134">
        <v>4.76</v>
      </c>
      <c r="J68" s="134">
        <v>0.36</v>
      </c>
      <c r="K68" s="134">
        <v>304.68</v>
      </c>
      <c r="L68" s="134">
        <v>31.8</v>
      </c>
      <c r="M68" s="134">
        <v>66.459999999999994</v>
      </c>
      <c r="N68" s="134">
        <v>157.9</v>
      </c>
      <c r="O68" s="134">
        <v>0</v>
      </c>
      <c r="P68" s="134">
        <v>0.62</v>
      </c>
      <c r="Q68" s="134">
        <v>4.18</v>
      </c>
    </row>
    <row r="69" spans="1:17" customFormat="1">
      <c r="A69" s="112" t="s">
        <v>2121</v>
      </c>
      <c r="B69" s="134">
        <v>7.66</v>
      </c>
      <c r="C69" s="134">
        <v>25.79</v>
      </c>
      <c r="D69" s="134">
        <v>20.97</v>
      </c>
      <c r="E69" s="172" t="s">
        <v>8</v>
      </c>
      <c r="F69" s="134">
        <v>9.64</v>
      </c>
      <c r="G69" s="134">
        <v>44.81</v>
      </c>
      <c r="H69" s="134">
        <v>19.559999999999999</v>
      </c>
      <c r="I69" s="134">
        <v>4.75</v>
      </c>
      <c r="J69" s="134">
        <v>0.33</v>
      </c>
      <c r="K69" s="134">
        <v>303.26</v>
      </c>
      <c r="L69" s="134">
        <v>31.6</v>
      </c>
      <c r="M69" s="134">
        <v>66.81</v>
      </c>
      <c r="N69" s="134">
        <v>86.3</v>
      </c>
      <c r="O69" s="134">
        <v>0</v>
      </c>
      <c r="P69" s="134">
        <v>0.61</v>
      </c>
      <c r="Q69" s="134">
        <v>4.1500000000000004</v>
      </c>
    </row>
    <row r="70" spans="1:17" customFormat="1">
      <c r="A70" s="112" t="s">
        <v>2122</v>
      </c>
      <c r="B70" s="134">
        <v>7.65</v>
      </c>
      <c r="C70" s="134">
        <v>25.34</v>
      </c>
      <c r="D70" s="134">
        <v>20.72</v>
      </c>
      <c r="E70" s="172" t="s">
        <v>8</v>
      </c>
      <c r="F70" s="134">
        <v>14.06</v>
      </c>
      <c r="G70" s="134">
        <v>46.23</v>
      </c>
      <c r="H70" s="134">
        <v>17.04</v>
      </c>
      <c r="I70" s="134">
        <v>4.7699999999999996</v>
      </c>
      <c r="J70" s="134">
        <v>0.3</v>
      </c>
      <c r="K70" s="134">
        <v>340.73</v>
      </c>
      <c r="L70" s="134">
        <v>31.21</v>
      </c>
      <c r="M70" s="134">
        <v>68.02</v>
      </c>
      <c r="N70" s="134">
        <v>61.9</v>
      </c>
      <c r="O70" s="134">
        <v>0</v>
      </c>
      <c r="P70" s="134">
        <v>0.62</v>
      </c>
      <c r="Q70" s="134">
        <v>4.16</v>
      </c>
    </row>
    <row r="71" spans="1:17" customFormat="1">
      <c r="A71" s="112" t="s">
        <v>2123</v>
      </c>
      <c r="B71" s="134">
        <v>6.48</v>
      </c>
      <c r="C71" s="134">
        <v>24.11</v>
      </c>
      <c r="D71" s="134">
        <v>19.149999999999999</v>
      </c>
      <c r="E71" s="172" t="s">
        <v>8</v>
      </c>
      <c r="F71" s="134">
        <v>14.51</v>
      </c>
      <c r="G71" s="134">
        <v>46.49</v>
      </c>
      <c r="H71" s="134">
        <v>17.04</v>
      </c>
      <c r="I71" s="134">
        <v>4.7</v>
      </c>
      <c r="J71" s="134">
        <v>0.2</v>
      </c>
      <c r="K71" s="134">
        <v>260.33</v>
      </c>
      <c r="L71" s="134">
        <v>31.06</v>
      </c>
      <c r="M71" s="134">
        <v>69.67</v>
      </c>
      <c r="N71" s="134">
        <v>53.2</v>
      </c>
      <c r="O71" s="134">
        <v>0</v>
      </c>
      <c r="P71" s="134">
        <v>0.6</v>
      </c>
      <c r="Q71" s="134">
        <v>4.17</v>
      </c>
    </row>
    <row r="72" spans="1:17" customFormat="1">
      <c r="A72" s="112" t="s">
        <v>2124</v>
      </c>
      <c r="B72" s="134">
        <v>6.38</v>
      </c>
      <c r="C72" s="134">
        <v>24.7</v>
      </c>
      <c r="D72" s="134">
        <v>19.37</v>
      </c>
      <c r="E72" s="172" t="s">
        <v>8</v>
      </c>
      <c r="F72" s="134">
        <v>11.72</v>
      </c>
      <c r="G72" s="134">
        <v>46.49</v>
      </c>
      <c r="H72" s="134">
        <v>17.04</v>
      </c>
      <c r="I72" s="134">
        <v>4.54</v>
      </c>
      <c r="J72" s="134">
        <v>0.19</v>
      </c>
      <c r="K72" s="134">
        <v>168.15</v>
      </c>
      <c r="L72" s="134">
        <v>30.8</v>
      </c>
      <c r="M72" s="134">
        <v>71.67</v>
      </c>
      <c r="N72" s="134">
        <v>49.2</v>
      </c>
      <c r="O72" s="134">
        <v>0</v>
      </c>
      <c r="P72" s="134">
        <v>0.6</v>
      </c>
      <c r="Q72" s="134">
        <v>4.1500000000000004</v>
      </c>
    </row>
    <row r="73" spans="1:17" customFormat="1">
      <c r="A73" s="112" t="s">
        <v>2125</v>
      </c>
      <c r="B73" s="134">
        <v>6.05</v>
      </c>
      <c r="C73" s="134">
        <v>22.69</v>
      </c>
      <c r="D73" s="134">
        <v>18.05</v>
      </c>
      <c r="E73" s="172" t="s">
        <v>8</v>
      </c>
      <c r="F73" s="134">
        <v>14.24</v>
      </c>
      <c r="G73" s="134">
        <v>46.49</v>
      </c>
      <c r="H73" s="134">
        <v>17.04</v>
      </c>
      <c r="I73" s="134">
        <v>4.37</v>
      </c>
      <c r="J73" s="134">
        <v>0.22</v>
      </c>
      <c r="K73" s="134">
        <v>148.05000000000001</v>
      </c>
      <c r="L73" s="134">
        <v>29.58</v>
      </c>
      <c r="M73" s="134">
        <v>77.38</v>
      </c>
      <c r="N73" s="134">
        <v>21.3</v>
      </c>
      <c r="O73" s="134">
        <v>0</v>
      </c>
      <c r="P73" s="134">
        <v>0.56000000000000005</v>
      </c>
      <c r="Q73" s="134">
        <v>4.12</v>
      </c>
    </row>
    <row r="74" spans="1:17" customFormat="1">
      <c r="A74" s="112" t="s">
        <v>2126</v>
      </c>
      <c r="B74" s="134">
        <v>5.49</v>
      </c>
      <c r="C74" s="134">
        <v>22.03</v>
      </c>
      <c r="D74" s="134">
        <v>17.260000000000002</v>
      </c>
      <c r="E74" s="172" t="s">
        <v>8</v>
      </c>
      <c r="F74" s="134">
        <v>12.97</v>
      </c>
      <c r="G74" s="134">
        <v>44.37</v>
      </c>
      <c r="H74" s="134">
        <v>19.68</v>
      </c>
      <c r="I74" s="134">
        <v>4.51</v>
      </c>
      <c r="J74" s="134">
        <v>0.22</v>
      </c>
      <c r="K74" s="134">
        <v>246.45</v>
      </c>
      <c r="L74" s="134">
        <v>29.08</v>
      </c>
      <c r="M74" s="134">
        <v>79.48</v>
      </c>
      <c r="N74" s="134">
        <v>14.6</v>
      </c>
      <c r="O74" s="134">
        <v>0</v>
      </c>
      <c r="P74" s="134">
        <v>0.55000000000000004</v>
      </c>
      <c r="Q74" s="134">
        <v>4.0999999999999996</v>
      </c>
    </row>
    <row r="75" spans="1:17" customFormat="1">
      <c r="A75" s="112" t="s">
        <v>2127</v>
      </c>
      <c r="B75" s="134">
        <v>5.82</v>
      </c>
      <c r="C75" s="134">
        <v>22.53</v>
      </c>
      <c r="D75" s="134">
        <v>17.79</v>
      </c>
      <c r="E75" s="172" t="s">
        <v>8</v>
      </c>
      <c r="F75" s="134">
        <v>10.1</v>
      </c>
      <c r="G75" s="134">
        <v>43.98</v>
      </c>
      <c r="H75" s="134">
        <v>19.68</v>
      </c>
      <c r="I75" s="134">
        <v>4.29</v>
      </c>
      <c r="J75" s="134">
        <v>0.19</v>
      </c>
      <c r="K75" s="134">
        <v>261.87</v>
      </c>
      <c r="L75" s="134">
        <v>27.78</v>
      </c>
      <c r="M75" s="134">
        <v>83.16</v>
      </c>
      <c r="N75" s="134">
        <v>5.3</v>
      </c>
      <c r="O75" s="134">
        <v>0.2</v>
      </c>
      <c r="P75" s="134">
        <v>0.56000000000000005</v>
      </c>
      <c r="Q75" s="134">
        <v>4.08</v>
      </c>
    </row>
    <row r="76" spans="1:17" customFormat="1">
      <c r="A76" s="112" t="s">
        <v>2128</v>
      </c>
      <c r="B76" s="134">
        <v>5.88</v>
      </c>
      <c r="C76" s="134">
        <v>22.86</v>
      </c>
      <c r="D76" s="134">
        <v>18.010000000000002</v>
      </c>
      <c r="E76" s="172" t="s">
        <v>8</v>
      </c>
      <c r="F76" s="134">
        <v>7.67</v>
      </c>
      <c r="G76" s="134">
        <v>43.98</v>
      </c>
      <c r="H76" s="134">
        <v>19.68</v>
      </c>
      <c r="I76" s="134">
        <v>4.3899999999999997</v>
      </c>
      <c r="J76" s="134">
        <v>0.17</v>
      </c>
      <c r="K76" s="134">
        <v>245.06</v>
      </c>
      <c r="L76" s="134">
        <v>26.48</v>
      </c>
      <c r="M76" s="134">
        <v>87.71</v>
      </c>
      <c r="N76" s="134">
        <v>0.4</v>
      </c>
      <c r="O76" s="134">
        <v>0.2</v>
      </c>
      <c r="P76" s="134">
        <v>0.56000000000000005</v>
      </c>
      <c r="Q76" s="134">
        <v>4.05</v>
      </c>
    </row>
    <row r="77" spans="1:17" customFormat="1">
      <c r="A77" s="112" t="s">
        <v>2129</v>
      </c>
      <c r="B77" s="134">
        <v>5.67</v>
      </c>
      <c r="C77" s="134">
        <v>22.75</v>
      </c>
      <c r="D77" s="134">
        <v>17.78</v>
      </c>
      <c r="E77" s="172" t="s">
        <v>8</v>
      </c>
      <c r="F77" s="134">
        <v>8.07</v>
      </c>
      <c r="G77" s="134">
        <v>43.98</v>
      </c>
      <c r="H77" s="134">
        <v>19.68</v>
      </c>
      <c r="I77" s="134">
        <v>4.47</v>
      </c>
      <c r="J77" s="134">
        <v>0.23</v>
      </c>
      <c r="K77" s="134">
        <v>224.1</v>
      </c>
      <c r="L77" s="134">
        <v>26.24</v>
      </c>
      <c r="M77" s="134">
        <v>91.15</v>
      </c>
      <c r="N77" s="134">
        <v>0.4</v>
      </c>
      <c r="O77" s="134">
        <v>0.4</v>
      </c>
      <c r="P77" s="134">
        <v>0.54</v>
      </c>
      <c r="Q77" s="134">
        <v>3.98</v>
      </c>
    </row>
    <row r="78" spans="1:17" customFormat="1">
      <c r="A78" s="112" t="s">
        <v>2130</v>
      </c>
      <c r="B78" s="134">
        <v>5.76</v>
      </c>
      <c r="C78" s="134">
        <v>24.42</v>
      </c>
      <c r="D78" s="134">
        <v>18.73</v>
      </c>
      <c r="E78" s="172" t="s">
        <v>8</v>
      </c>
      <c r="F78" s="134">
        <v>5.4</v>
      </c>
      <c r="G78" s="134">
        <v>34.07</v>
      </c>
      <c r="H78" s="134">
        <v>12.79</v>
      </c>
      <c r="I78" s="134">
        <v>4.4800000000000004</v>
      </c>
      <c r="J78" s="134">
        <v>0.16</v>
      </c>
      <c r="K78" s="134">
        <v>222.84</v>
      </c>
      <c r="L78" s="134">
        <v>26.01</v>
      </c>
      <c r="M78" s="134">
        <v>94.23</v>
      </c>
      <c r="N78" s="134">
        <v>0</v>
      </c>
      <c r="O78" s="134">
        <v>1.4</v>
      </c>
      <c r="P78" s="134">
        <v>0.56999999999999995</v>
      </c>
      <c r="Q78" s="134">
        <v>4.03</v>
      </c>
    </row>
    <row r="79" spans="1:17" customFormat="1">
      <c r="A79" s="112" t="s">
        <v>2131</v>
      </c>
      <c r="B79" s="134">
        <v>5.96</v>
      </c>
      <c r="C79" s="134">
        <v>24.21</v>
      </c>
      <c r="D79" s="134">
        <v>18.78</v>
      </c>
      <c r="E79" s="172" t="s">
        <v>8</v>
      </c>
      <c r="F79" s="134">
        <v>5.69</v>
      </c>
      <c r="G79" s="134">
        <v>32.4</v>
      </c>
      <c r="H79" s="134">
        <v>12.79</v>
      </c>
      <c r="I79" s="134">
        <v>4.4400000000000004</v>
      </c>
      <c r="J79" s="134">
        <v>0.28000000000000003</v>
      </c>
      <c r="K79" s="134">
        <v>260.75</v>
      </c>
      <c r="L79" s="134">
        <v>25.51</v>
      </c>
      <c r="M79" s="134">
        <v>97.26</v>
      </c>
      <c r="N79" s="134">
        <v>0</v>
      </c>
      <c r="O79" s="134">
        <v>4.8</v>
      </c>
      <c r="P79" s="134">
        <v>0.56000000000000005</v>
      </c>
      <c r="Q79" s="134">
        <v>4.0199999999999996</v>
      </c>
    </row>
    <row r="80" spans="1:17" customFormat="1">
      <c r="A80" s="112" t="s">
        <v>2132</v>
      </c>
      <c r="B80" s="134">
        <v>8.01</v>
      </c>
      <c r="C80" s="134">
        <v>23.58</v>
      </c>
      <c r="D80" s="134">
        <v>20.100000000000001</v>
      </c>
      <c r="E80" s="172" t="s">
        <v>8</v>
      </c>
      <c r="F80" s="134">
        <v>7.6</v>
      </c>
      <c r="G80" s="134">
        <v>32.4</v>
      </c>
      <c r="H80" s="134">
        <v>12.79</v>
      </c>
      <c r="I80" s="134">
        <v>4.5599999999999996</v>
      </c>
      <c r="J80" s="134">
        <v>1.23</v>
      </c>
      <c r="K80" s="134">
        <v>16.510000000000002</v>
      </c>
      <c r="L80" s="134">
        <v>24.31</v>
      </c>
      <c r="M80" s="134">
        <v>98.77</v>
      </c>
      <c r="N80" s="134">
        <v>0.4</v>
      </c>
      <c r="O80" s="134">
        <v>13</v>
      </c>
      <c r="P80" s="134">
        <v>0.53</v>
      </c>
      <c r="Q80" s="134">
        <v>3.96</v>
      </c>
    </row>
    <row r="81" spans="1:17" customFormat="1">
      <c r="A81" s="112" t="s">
        <v>2133</v>
      </c>
      <c r="B81" s="134">
        <v>6.54</v>
      </c>
      <c r="C81" s="134">
        <v>23.6</v>
      </c>
      <c r="D81" s="134">
        <v>18.93</v>
      </c>
      <c r="E81" s="134">
        <v>7.13</v>
      </c>
      <c r="F81" s="134">
        <v>7.11</v>
      </c>
      <c r="G81" s="134">
        <v>32.4</v>
      </c>
      <c r="H81" s="134">
        <v>12.79</v>
      </c>
      <c r="I81" s="134">
        <v>4.43</v>
      </c>
      <c r="J81" s="134">
        <v>1.68</v>
      </c>
      <c r="K81" s="134">
        <v>32.26</v>
      </c>
      <c r="L81" s="134">
        <v>23.03</v>
      </c>
      <c r="M81" s="134">
        <v>99.51</v>
      </c>
      <c r="N81" s="134">
        <v>0</v>
      </c>
      <c r="O81" s="134">
        <v>15.2</v>
      </c>
      <c r="P81" s="134">
        <v>0.53</v>
      </c>
      <c r="Q81" s="134">
        <v>3.88</v>
      </c>
    </row>
    <row r="82" spans="1:17" customFormat="1">
      <c r="A82" s="112" t="s">
        <v>2134</v>
      </c>
      <c r="B82" s="134">
        <v>5.62</v>
      </c>
      <c r="C82" s="134">
        <v>23.57</v>
      </c>
      <c r="D82" s="134">
        <v>18.170000000000002</v>
      </c>
      <c r="E82" s="134">
        <v>8.43</v>
      </c>
      <c r="F82" s="134">
        <v>7.62</v>
      </c>
      <c r="G82" s="134">
        <v>23.76</v>
      </c>
      <c r="H82" s="134">
        <v>8.8800000000000008</v>
      </c>
      <c r="I82" s="134">
        <v>4.24</v>
      </c>
      <c r="J82" s="134">
        <v>0.57999999999999996</v>
      </c>
      <c r="K82" s="134">
        <v>46.27</v>
      </c>
      <c r="L82" s="134">
        <v>23.39</v>
      </c>
      <c r="M82" s="134">
        <v>99.51</v>
      </c>
      <c r="N82" s="134">
        <v>0</v>
      </c>
      <c r="O82" s="134">
        <v>2.2000000000000002</v>
      </c>
      <c r="P82" s="134">
        <v>0.53</v>
      </c>
      <c r="Q82" s="134">
        <v>3.86</v>
      </c>
    </row>
    <row r="83" spans="1:17" customFormat="1">
      <c r="A83" s="112" t="s">
        <v>2135</v>
      </c>
      <c r="B83" s="134">
        <v>5.57</v>
      </c>
      <c r="C83" s="134">
        <v>23.8</v>
      </c>
      <c r="D83" s="134">
        <v>18.25</v>
      </c>
      <c r="E83" s="134">
        <v>8.1</v>
      </c>
      <c r="F83" s="134">
        <v>6.13</v>
      </c>
      <c r="G83" s="134">
        <v>22.3</v>
      </c>
      <c r="H83" s="134">
        <v>8.8800000000000008</v>
      </c>
      <c r="I83" s="134">
        <v>4.28</v>
      </c>
      <c r="J83" s="134">
        <v>0.2</v>
      </c>
      <c r="K83" s="134">
        <v>310.5</v>
      </c>
      <c r="L83" s="134">
        <v>23.73</v>
      </c>
      <c r="M83" s="134">
        <v>99.58</v>
      </c>
      <c r="N83" s="134">
        <v>0</v>
      </c>
      <c r="O83" s="134">
        <v>0.4</v>
      </c>
      <c r="P83" s="134">
        <v>0.52</v>
      </c>
      <c r="Q83" s="134">
        <v>3.84</v>
      </c>
    </row>
    <row r="84" spans="1:17" customFormat="1">
      <c r="A84" s="112" t="s">
        <v>2136</v>
      </c>
      <c r="B84" s="134">
        <v>5.74</v>
      </c>
      <c r="C84" s="134">
        <v>25.52</v>
      </c>
      <c r="D84" s="134">
        <v>19.29</v>
      </c>
      <c r="E84" s="134">
        <v>8.24</v>
      </c>
      <c r="F84" s="134">
        <v>4.24</v>
      </c>
      <c r="G84" s="134">
        <v>22.3</v>
      </c>
      <c r="H84" s="134">
        <v>8.8800000000000008</v>
      </c>
      <c r="I84" s="134">
        <v>4.16</v>
      </c>
      <c r="J84" s="134">
        <v>0.53</v>
      </c>
      <c r="K84" s="134">
        <v>259.5</v>
      </c>
      <c r="L84" s="134">
        <v>23.86</v>
      </c>
      <c r="M84" s="134">
        <v>99.69</v>
      </c>
      <c r="N84" s="134">
        <v>0</v>
      </c>
      <c r="O84" s="134">
        <v>0.2</v>
      </c>
      <c r="P84" s="134">
        <v>0.54</v>
      </c>
      <c r="Q84" s="134">
        <v>3.83</v>
      </c>
    </row>
    <row r="85" spans="1:17" customFormat="1">
      <c r="A85" s="112" t="s">
        <v>2137</v>
      </c>
      <c r="B85" s="134">
        <v>5.8</v>
      </c>
      <c r="C85" s="134">
        <v>24.96</v>
      </c>
      <c r="D85" s="134">
        <v>19.04</v>
      </c>
      <c r="E85" s="134">
        <v>8.15</v>
      </c>
      <c r="F85" s="134">
        <v>4.74</v>
      </c>
      <c r="G85" s="134">
        <v>22.3</v>
      </c>
      <c r="H85" s="134">
        <v>8.8800000000000008</v>
      </c>
      <c r="I85" s="134">
        <v>4.28</v>
      </c>
      <c r="J85" s="134">
        <v>0.25</v>
      </c>
      <c r="K85" s="134">
        <v>269.14999999999998</v>
      </c>
      <c r="L85" s="134">
        <v>24.05</v>
      </c>
      <c r="M85" s="134">
        <v>99.86</v>
      </c>
      <c r="N85" s="134">
        <v>0</v>
      </c>
      <c r="O85" s="134">
        <v>0</v>
      </c>
      <c r="P85" s="134">
        <v>0.53</v>
      </c>
      <c r="Q85" s="134">
        <v>3.86</v>
      </c>
    </row>
    <row r="86" spans="1:17" customFormat="1">
      <c r="A86" s="112" t="s">
        <v>2138</v>
      </c>
      <c r="B86" s="134">
        <v>5.85</v>
      </c>
      <c r="C86" s="134">
        <v>24.08</v>
      </c>
      <c r="D86" s="134">
        <v>18.63</v>
      </c>
      <c r="E86" s="134">
        <v>7.78</v>
      </c>
      <c r="F86" s="134">
        <v>5.2</v>
      </c>
      <c r="G86" s="134">
        <v>15.67</v>
      </c>
      <c r="H86" s="134">
        <v>6.13</v>
      </c>
      <c r="I86" s="134">
        <v>4.3499999999999996</v>
      </c>
      <c r="J86" s="134">
        <v>0.56000000000000005</v>
      </c>
      <c r="K86" s="134">
        <v>265.26</v>
      </c>
      <c r="L86" s="134">
        <v>24.2</v>
      </c>
      <c r="M86" s="134">
        <v>99.95</v>
      </c>
      <c r="N86" s="134">
        <v>0</v>
      </c>
      <c r="O86" s="134">
        <v>0.2</v>
      </c>
      <c r="P86" s="134">
        <v>0.52</v>
      </c>
      <c r="Q86" s="134">
        <v>3.82</v>
      </c>
    </row>
    <row r="87" spans="1:17" customFormat="1">
      <c r="A87" s="112" t="s">
        <v>2139</v>
      </c>
      <c r="B87" s="134">
        <v>5.99</v>
      </c>
      <c r="C87" s="134">
        <v>25.37</v>
      </c>
      <c r="D87" s="134">
        <v>19.41</v>
      </c>
      <c r="E87" s="134">
        <v>8.01</v>
      </c>
      <c r="F87" s="134">
        <v>4.07</v>
      </c>
      <c r="G87" s="134">
        <v>14.55</v>
      </c>
      <c r="H87" s="134">
        <v>6.13</v>
      </c>
      <c r="I87" s="134">
        <v>4.2699999999999996</v>
      </c>
      <c r="J87" s="134">
        <v>0.15</v>
      </c>
      <c r="K87" s="134">
        <v>238.68</v>
      </c>
      <c r="L87" s="134">
        <v>24.57</v>
      </c>
      <c r="M87" s="134">
        <v>100.11</v>
      </c>
      <c r="N87" s="134">
        <v>0</v>
      </c>
      <c r="O87" s="134">
        <v>0.2</v>
      </c>
      <c r="P87" s="134">
        <v>0.54</v>
      </c>
      <c r="Q87" s="134">
        <v>3.8</v>
      </c>
    </row>
    <row r="88" spans="1:17" customFormat="1">
      <c r="A88" s="112" t="s">
        <v>2140</v>
      </c>
      <c r="B88" s="134">
        <v>6.13</v>
      </c>
      <c r="C88" s="134">
        <v>24.51</v>
      </c>
      <c r="D88" s="134">
        <v>19.07</v>
      </c>
      <c r="E88" s="134">
        <v>8.11</v>
      </c>
      <c r="F88" s="134">
        <v>4.8499999999999996</v>
      </c>
      <c r="G88" s="134">
        <v>14.55</v>
      </c>
      <c r="H88" s="134">
        <v>6.13</v>
      </c>
      <c r="I88" s="134">
        <v>4.25</v>
      </c>
      <c r="J88" s="134">
        <v>0.52</v>
      </c>
      <c r="K88" s="134">
        <v>267.98</v>
      </c>
      <c r="L88" s="134">
        <v>24.49</v>
      </c>
      <c r="M88" s="134">
        <v>100.12</v>
      </c>
      <c r="N88" s="134">
        <v>0</v>
      </c>
      <c r="O88" s="134">
        <v>0.6</v>
      </c>
      <c r="P88" s="134">
        <v>0.53</v>
      </c>
      <c r="Q88" s="134">
        <v>3.8</v>
      </c>
    </row>
    <row r="89" spans="1:17" customFormat="1">
      <c r="A89" s="112" t="s">
        <v>2141</v>
      </c>
      <c r="B89" s="134">
        <v>6.02</v>
      </c>
      <c r="C89" s="134">
        <v>23.49</v>
      </c>
      <c r="D89" s="134">
        <v>18.45</v>
      </c>
      <c r="E89" s="134">
        <v>8.07</v>
      </c>
      <c r="F89" s="134">
        <v>5.6</v>
      </c>
      <c r="G89" s="134">
        <v>14.55</v>
      </c>
      <c r="H89" s="134">
        <v>6.13</v>
      </c>
      <c r="I89" s="134">
        <v>4.3600000000000003</v>
      </c>
      <c r="J89" s="134">
        <v>0.2</v>
      </c>
      <c r="K89" s="134">
        <v>240.09</v>
      </c>
      <c r="L89" s="134">
        <v>24.57</v>
      </c>
      <c r="M89" s="134">
        <v>99.97</v>
      </c>
      <c r="N89" s="134">
        <v>0</v>
      </c>
      <c r="O89" s="134">
        <v>0.2</v>
      </c>
      <c r="P89" s="134">
        <v>0.52</v>
      </c>
      <c r="Q89" s="134">
        <v>3.77</v>
      </c>
    </row>
    <row r="90" spans="1:17" customFormat="1">
      <c r="A90" s="112" t="s">
        <v>2142</v>
      </c>
      <c r="B90" s="134">
        <v>6.14</v>
      </c>
      <c r="C90" s="134">
        <v>25.01</v>
      </c>
      <c r="D90" s="134">
        <v>19.34</v>
      </c>
      <c r="E90" s="134">
        <v>8.51</v>
      </c>
      <c r="F90" s="134">
        <v>4.16</v>
      </c>
      <c r="G90" s="134">
        <v>12.95</v>
      </c>
      <c r="H90" s="134">
        <v>4.29</v>
      </c>
      <c r="I90" s="134">
        <v>4.3099999999999996</v>
      </c>
      <c r="J90" s="134">
        <v>0.08</v>
      </c>
      <c r="K90" s="134">
        <v>196.07</v>
      </c>
      <c r="L90" s="134">
        <v>24.54</v>
      </c>
      <c r="M90" s="134">
        <v>99.96</v>
      </c>
      <c r="N90" s="134">
        <v>0</v>
      </c>
      <c r="O90" s="134">
        <v>0.6</v>
      </c>
      <c r="P90" s="134">
        <v>0.54</v>
      </c>
      <c r="Q90" s="134">
        <v>3.76</v>
      </c>
    </row>
    <row r="91" spans="1:17" customFormat="1">
      <c r="A91" s="112" t="s">
        <v>2143</v>
      </c>
      <c r="B91" s="134">
        <v>6.36</v>
      </c>
      <c r="C91" s="134">
        <v>24.23</v>
      </c>
      <c r="D91" s="134">
        <v>19.12</v>
      </c>
      <c r="E91" s="134">
        <v>8.56</v>
      </c>
      <c r="F91" s="134">
        <v>4.67</v>
      </c>
      <c r="G91" s="134">
        <v>12.68</v>
      </c>
      <c r="H91" s="134">
        <v>4.29</v>
      </c>
      <c r="I91" s="134">
        <v>4.24</v>
      </c>
      <c r="J91" s="134">
        <v>0.09</v>
      </c>
      <c r="K91" s="134">
        <v>260.24</v>
      </c>
      <c r="L91" s="134">
        <v>24.54</v>
      </c>
      <c r="M91" s="134">
        <v>99.82</v>
      </c>
      <c r="N91" s="134">
        <v>0</v>
      </c>
      <c r="O91" s="134">
        <v>0.6</v>
      </c>
      <c r="P91" s="134">
        <v>0.52</v>
      </c>
      <c r="Q91" s="134">
        <v>3.79</v>
      </c>
    </row>
    <row r="92" spans="1:17" customFormat="1">
      <c r="A92" s="112" t="s">
        <v>2144</v>
      </c>
      <c r="B92" s="134">
        <v>6.38</v>
      </c>
      <c r="C92" s="134">
        <v>22.97</v>
      </c>
      <c r="D92" s="134">
        <v>18.47</v>
      </c>
      <c r="E92" s="134">
        <v>8.24</v>
      </c>
      <c r="F92" s="134">
        <v>5.2</v>
      </c>
      <c r="G92" s="134">
        <v>12.68</v>
      </c>
      <c r="H92" s="134">
        <v>4.29</v>
      </c>
      <c r="I92" s="134">
        <v>4.3499999999999996</v>
      </c>
      <c r="J92" s="134">
        <v>0.15</v>
      </c>
      <c r="K92" s="134">
        <v>231.15</v>
      </c>
      <c r="L92" s="134">
        <v>24.56</v>
      </c>
      <c r="M92" s="134">
        <v>99.8</v>
      </c>
      <c r="N92" s="134">
        <v>0</v>
      </c>
      <c r="O92" s="134">
        <v>1</v>
      </c>
      <c r="P92" s="134">
        <v>0.51</v>
      </c>
      <c r="Q92" s="134">
        <v>3.75</v>
      </c>
    </row>
    <row r="93" spans="1:17" customFormat="1">
      <c r="A93" s="112" t="s">
        <v>2145</v>
      </c>
      <c r="B93" s="134">
        <v>6.49</v>
      </c>
      <c r="C93" s="134">
        <v>24.18</v>
      </c>
      <c r="D93" s="134">
        <v>19.190000000000001</v>
      </c>
      <c r="E93" s="134">
        <v>7.8</v>
      </c>
      <c r="F93" s="134">
        <v>4.1399999999999997</v>
      </c>
      <c r="G93" s="134">
        <v>12.68</v>
      </c>
      <c r="H93" s="134">
        <v>4.29</v>
      </c>
      <c r="I93" s="134">
        <v>4.2300000000000004</v>
      </c>
      <c r="J93" s="134">
        <v>0.11</v>
      </c>
      <c r="K93" s="134">
        <v>188.13</v>
      </c>
      <c r="L93" s="134">
        <v>24.51</v>
      </c>
      <c r="M93" s="134">
        <v>99.83</v>
      </c>
      <c r="N93" s="134">
        <v>0</v>
      </c>
      <c r="O93" s="134">
        <v>1.2</v>
      </c>
      <c r="P93" s="134">
        <v>0.52</v>
      </c>
      <c r="Q93" s="134">
        <v>3.73</v>
      </c>
    </row>
    <row r="94" spans="1:17" customFormat="1">
      <c r="A94" s="112" t="s">
        <v>2146</v>
      </c>
      <c r="B94" s="134">
        <v>6.59</v>
      </c>
      <c r="C94" s="134">
        <v>23.15</v>
      </c>
      <c r="D94" s="134">
        <v>18.73</v>
      </c>
      <c r="E94" s="134">
        <v>7.73</v>
      </c>
      <c r="F94" s="134">
        <v>5</v>
      </c>
      <c r="G94" s="134">
        <v>9.4499999999999993</v>
      </c>
      <c r="H94" s="134">
        <v>3</v>
      </c>
      <c r="I94" s="134">
        <v>4.17</v>
      </c>
      <c r="J94" s="134">
        <v>0.3</v>
      </c>
      <c r="K94" s="134">
        <v>263.69</v>
      </c>
      <c r="L94" s="134">
        <v>24.45</v>
      </c>
      <c r="M94" s="134">
        <v>99.87</v>
      </c>
      <c r="N94" s="134">
        <v>0</v>
      </c>
      <c r="O94" s="134">
        <v>1</v>
      </c>
      <c r="P94" s="134">
        <v>0.5</v>
      </c>
      <c r="Q94" s="134">
        <v>3.75</v>
      </c>
    </row>
    <row r="95" spans="1:17" customFormat="1">
      <c r="A95" s="112" t="s">
        <v>2147</v>
      </c>
      <c r="B95" s="134">
        <v>6.6</v>
      </c>
      <c r="C95" s="134">
        <v>22.63</v>
      </c>
      <c r="D95" s="134">
        <v>18.47</v>
      </c>
      <c r="E95" s="134">
        <v>7.99</v>
      </c>
      <c r="F95" s="134">
        <v>4.88</v>
      </c>
      <c r="G95" s="134">
        <v>8.9</v>
      </c>
      <c r="H95" s="134">
        <v>3</v>
      </c>
      <c r="I95" s="134">
        <v>4.25</v>
      </c>
      <c r="J95" s="134">
        <v>0.3</v>
      </c>
      <c r="K95" s="134">
        <v>259.48</v>
      </c>
      <c r="L95" s="134">
        <v>24.45</v>
      </c>
      <c r="M95" s="134">
        <v>99.93</v>
      </c>
      <c r="N95" s="134">
        <v>0</v>
      </c>
      <c r="O95" s="134">
        <v>1</v>
      </c>
      <c r="P95" s="134">
        <v>0.49</v>
      </c>
      <c r="Q95" s="134">
        <v>3.74</v>
      </c>
    </row>
    <row r="96" spans="1:17" customFormat="1">
      <c r="A96" s="112" t="s">
        <v>2148</v>
      </c>
      <c r="B96" s="134">
        <v>6.63</v>
      </c>
      <c r="C96" s="134">
        <v>24.19</v>
      </c>
      <c r="D96" s="134">
        <v>19.3</v>
      </c>
      <c r="E96" s="134">
        <v>8.1199999999999992</v>
      </c>
      <c r="F96" s="134">
        <v>3.94</v>
      </c>
      <c r="G96" s="134">
        <v>8.9</v>
      </c>
      <c r="H96" s="134">
        <v>3</v>
      </c>
      <c r="I96" s="134">
        <v>4.1500000000000004</v>
      </c>
      <c r="J96" s="134">
        <v>0.28000000000000003</v>
      </c>
      <c r="K96" s="134">
        <v>268.44</v>
      </c>
      <c r="L96" s="134">
        <v>24.5</v>
      </c>
      <c r="M96" s="134">
        <v>99.95</v>
      </c>
      <c r="N96" s="134">
        <v>0</v>
      </c>
      <c r="O96" s="134">
        <v>1</v>
      </c>
      <c r="P96" s="134">
        <v>0.5</v>
      </c>
      <c r="Q96" s="134">
        <v>3.75</v>
      </c>
    </row>
    <row r="97" spans="1:22" customFormat="1">
      <c r="A97" s="112" t="s">
        <v>2149</v>
      </c>
      <c r="B97" s="134">
        <v>6.67</v>
      </c>
      <c r="C97" s="134">
        <v>23.21</v>
      </c>
      <c r="D97" s="134">
        <v>18.829999999999998</v>
      </c>
      <c r="E97" s="134">
        <v>8.0299999999999994</v>
      </c>
      <c r="F97" s="134">
        <v>4.88</v>
      </c>
      <c r="G97" s="134">
        <v>8.9</v>
      </c>
      <c r="H97" s="134">
        <v>3</v>
      </c>
      <c r="I97" s="134">
        <v>4.1500000000000004</v>
      </c>
      <c r="J97" s="134">
        <v>0.08</v>
      </c>
      <c r="K97" s="134">
        <v>206.58</v>
      </c>
      <c r="L97" s="134">
        <v>24.55</v>
      </c>
      <c r="M97" s="134">
        <v>99.95</v>
      </c>
      <c r="N97" s="134">
        <v>0</v>
      </c>
      <c r="O97" s="134">
        <v>0.8</v>
      </c>
      <c r="P97" s="134">
        <v>0.49</v>
      </c>
      <c r="Q97" s="134">
        <v>3.76</v>
      </c>
    </row>
    <row r="98" spans="1:22" customFormat="1">
      <c r="A98" s="112" t="s">
        <v>2150</v>
      </c>
      <c r="B98" s="134">
        <v>6.73</v>
      </c>
      <c r="C98" s="134">
        <v>22.56</v>
      </c>
      <c r="D98" s="134">
        <v>18.54</v>
      </c>
      <c r="E98" s="134">
        <v>7.73</v>
      </c>
      <c r="F98" s="134">
        <v>5.19</v>
      </c>
      <c r="G98" s="134">
        <v>8.4</v>
      </c>
      <c r="H98" s="134">
        <v>2.23</v>
      </c>
      <c r="I98" s="134">
        <v>4.16</v>
      </c>
      <c r="J98" s="134">
        <v>0.14000000000000001</v>
      </c>
      <c r="K98" s="134">
        <v>215.86</v>
      </c>
      <c r="L98" s="134">
        <v>24.6</v>
      </c>
      <c r="M98" s="134">
        <v>99.95</v>
      </c>
      <c r="N98" s="134">
        <v>0</v>
      </c>
      <c r="O98" s="134">
        <v>0.6</v>
      </c>
      <c r="P98" s="134">
        <v>0.48</v>
      </c>
      <c r="Q98" s="134">
        <v>3.75</v>
      </c>
    </row>
    <row r="99" spans="1:22" customFormat="1">
      <c r="A99" s="112" t="s">
        <v>2151</v>
      </c>
      <c r="B99" s="134">
        <v>6.95</v>
      </c>
      <c r="C99" s="134">
        <v>24.1</v>
      </c>
      <c r="D99" s="134">
        <v>19.510000000000002</v>
      </c>
      <c r="E99" s="134">
        <v>8.15</v>
      </c>
      <c r="F99" s="134">
        <v>4.0199999999999996</v>
      </c>
      <c r="G99" s="134">
        <v>8.32</v>
      </c>
      <c r="H99" s="134">
        <v>2.23</v>
      </c>
      <c r="I99" s="134">
        <v>4.05</v>
      </c>
      <c r="J99" s="134">
        <v>0.23</v>
      </c>
      <c r="K99" s="134">
        <v>252.96</v>
      </c>
      <c r="L99" s="134">
        <v>24.64</v>
      </c>
      <c r="M99" s="134">
        <v>99.97</v>
      </c>
      <c r="N99" s="134">
        <v>0</v>
      </c>
      <c r="O99" s="134">
        <v>0.6</v>
      </c>
      <c r="P99" s="134">
        <v>0.5</v>
      </c>
      <c r="Q99" s="134">
        <v>3.76</v>
      </c>
    </row>
    <row r="100" spans="1:22" customFormat="1">
      <c r="A100" s="112" t="s">
        <v>2152</v>
      </c>
      <c r="B100" s="134">
        <v>7.16</v>
      </c>
      <c r="C100" s="134">
        <v>23.81</v>
      </c>
      <c r="D100" s="134">
        <v>19.54</v>
      </c>
      <c r="E100" s="134">
        <v>8.24</v>
      </c>
      <c r="F100" s="134">
        <v>4.17</v>
      </c>
      <c r="G100" s="134">
        <v>8.32</v>
      </c>
      <c r="H100" s="134">
        <v>2.23</v>
      </c>
      <c r="I100" s="134">
        <v>4.09</v>
      </c>
      <c r="J100" s="134">
        <v>7.0000000000000007E-2</v>
      </c>
      <c r="K100" s="134">
        <v>182.62</v>
      </c>
      <c r="L100" s="134">
        <v>24.58</v>
      </c>
      <c r="M100" s="134">
        <v>100.01</v>
      </c>
      <c r="N100" s="134">
        <v>0</v>
      </c>
      <c r="O100" s="134">
        <v>0.4</v>
      </c>
      <c r="P100" s="134">
        <v>0.49</v>
      </c>
      <c r="Q100" s="134">
        <v>3.77</v>
      </c>
    </row>
    <row r="101" spans="1:22" customFormat="1">
      <c r="A101" s="112" t="s">
        <v>2153</v>
      </c>
      <c r="B101" s="134">
        <v>7.26</v>
      </c>
      <c r="C101" s="134">
        <v>23.2</v>
      </c>
      <c r="D101" s="134">
        <v>19.29</v>
      </c>
      <c r="E101" s="134">
        <v>8.07</v>
      </c>
      <c r="F101" s="134">
        <v>4.78</v>
      </c>
      <c r="G101" s="134">
        <v>8.32</v>
      </c>
      <c r="H101" s="134">
        <v>2.23</v>
      </c>
      <c r="I101" s="134">
        <v>4.09</v>
      </c>
      <c r="J101" s="134">
        <v>0.11</v>
      </c>
      <c r="K101" s="134">
        <v>257.70999999999998</v>
      </c>
      <c r="L101" s="134">
        <v>24.55</v>
      </c>
      <c r="M101" s="134">
        <v>100.04</v>
      </c>
      <c r="N101" s="134">
        <v>0</v>
      </c>
      <c r="O101" s="134">
        <v>1.4</v>
      </c>
      <c r="P101" s="134">
        <v>0.49</v>
      </c>
      <c r="Q101" s="134">
        <v>3.8</v>
      </c>
    </row>
    <row r="102" spans="1:22" customFormat="1">
      <c r="A102" s="112" t="s">
        <v>2154</v>
      </c>
      <c r="B102" s="134">
        <v>7.02</v>
      </c>
      <c r="C102" s="134">
        <v>21.51</v>
      </c>
      <c r="D102" s="134">
        <v>18.21</v>
      </c>
      <c r="E102" s="134">
        <v>7.77</v>
      </c>
      <c r="F102" s="134">
        <v>5.92</v>
      </c>
      <c r="G102" s="134">
        <v>8.32</v>
      </c>
      <c r="H102" s="134">
        <v>1.73</v>
      </c>
      <c r="I102" s="134">
        <v>4.0999999999999996</v>
      </c>
      <c r="J102" s="134">
        <v>7.0000000000000007E-2</v>
      </c>
      <c r="K102" s="134">
        <v>334.51</v>
      </c>
      <c r="L102" s="134">
        <v>24.59</v>
      </c>
      <c r="M102" s="134">
        <v>100.03</v>
      </c>
      <c r="N102" s="134">
        <v>0</v>
      </c>
      <c r="O102" s="134">
        <v>0</v>
      </c>
      <c r="P102" s="134">
        <v>0.46</v>
      </c>
      <c r="Q102" s="134">
        <v>3.82</v>
      </c>
    </row>
    <row r="103" spans="1:22" customFormat="1">
      <c r="A103" s="112" t="s">
        <v>2155</v>
      </c>
      <c r="B103" s="134">
        <v>7.5</v>
      </c>
      <c r="C103" s="134">
        <v>23.52</v>
      </c>
      <c r="D103" s="134">
        <v>19.66</v>
      </c>
      <c r="E103" s="134">
        <v>8.01</v>
      </c>
      <c r="F103" s="134">
        <v>4.3600000000000003</v>
      </c>
      <c r="G103" s="134">
        <v>8.33</v>
      </c>
      <c r="H103" s="134">
        <v>1.73</v>
      </c>
      <c r="I103" s="134">
        <v>4.0199999999999996</v>
      </c>
      <c r="J103" s="134">
        <v>0.09</v>
      </c>
      <c r="K103" s="134">
        <v>219.12</v>
      </c>
      <c r="L103" s="134">
        <v>24.59</v>
      </c>
      <c r="M103" s="134">
        <v>100.02</v>
      </c>
      <c r="N103" s="134">
        <v>0</v>
      </c>
      <c r="O103" s="134">
        <v>0.2</v>
      </c>
      <c r="P103" s="134">
        <v>0.48</v>
      </c>
      <c r="Q103" s="134">
        <v>3.8</v>
      </c>
    </row>
    <row r="104" spans="1:22" customFormat="1">
      <c r="A104" s="112" t="s">
        <v>2156</v>
      </c>
      <c r="B104" s="134">
        <v>7.96</v>
      </c>
      <c r="C104" s="134">
        <v>23.57</v>
      </c>
      <c r="D104" s="134">
        <v>20.04</v>
      </c>
      <c r="E104" s="134">
        <v>7.95</v>
      </c>
      <c r="F104" s="134">
        <v>4.5199999999999996</v>
      </c>
      <c r="G104" s="134">
        <v>8.33</v>
      </c>
      <c r="H104" s="134">
        <v>1.73</v>
      </c>
      <c r="I104" s="134">
        <v>3.83</v>
      </c>
      <c r="J104" s="134">
        <v>0.18</v>
      </c>
      <c r="K104" s="134">
        <v>247.02</v>
      </c>
      <c r="L104" s="134">
        <v>24.71</v>
      </c>
      <c r="M104" s="134">
        <v>99.99</v>
      </c>
      <c r="N104" s="134">
        <v>0</v>
      </c>
      <c r="O104" s="134">
        <v>0</v>
      </c>
      <c r="P104" s="134">
        <v>0.48</v>
      </c>
      <c r="Q104" s="134">
        <v>3.86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5.49</v>
      </c>
      <c r="C106" s="183">
        <f>MIN(C9:C104)</f>
        <v>20.25</v>
      </c>
      <c r="D106" s="183">
        <f t="shared" ref="D106:Q106" si="0">MIN(D9:D104)</f>
        <v>17.260000000000002</v>
      </c>
      <c r="E106" s="183">
        <f t="shared" si="0"/>
        <v>0.02</v>
      </c>
      <c r="F106" s="183">
        <f t="shared" si="0"/>
        <v>3.49</v>
      </c>
      <c r="G106" s="183">
        <f t="shared" si="0"/>
        <v>8.32</v>
      </c>
      <c r="H106" s="183">
        <f t="shared" si="0"/>
        <v>1.73</v>
      </c>
      <c r="I106" s="183">
        <f t="shared" si="0"/>
        <v>2.08</v>
      </c>
      <c r="J106" s="183">
        <f t="shared" si="0"/>
        <v>0</v>
      </c>
      <c r="K106" s="183">
        <f t="shared" si="0"/>
        <v>0.14000000000000001</v>
      </c>
      <c r="L106" s="183">
        <f t="shared" si="0"/>
        <v>23.03</v>
      </c>
      <c r="M106" s="183">
        <f t="shared" si="0"/>
        <v>65.150000000000006</v>
      </c>
      <c r="N106" s="183">
        <f t="shared" si="0"/>
        <v>0</v>
      </c>
      <c r="O106" s="183">
        <f t="shared" si="0"/>
        <v>0</v>
      </c>
      <c r="P106" s="183">
        <f t="shared" si="0"/>
        <v>0.31</v>
      </c>
      <c r="Q106" s="183">
        <f t="shared" si="0"/>
        <v>3.73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23.88</v>
      </c>
      <c r="C107" s="184">
        <f t="shared" ref="C107:Q107" si="1">MAX(C9:C104)</f>
        <v>26.09</v>
      </c>
      <c r="D107" s="184">
        <f t="shared" si="1"/>
        <v>33.53</v>
      </c>
      <c r="E107" s="184">
        <f t="shared" si="1"/>
        <v>22.08</v>
      </c>
      <c r="F107" s="184">
        <f t="shared" si="1"/>
        <v>14.51</v>
      </c>
      <c r="G107" s="184">
        <f t="shared" si="1"/>
        <v>46.68</v>
      </c>
      <c r="H107" s="184">
        <f t="shared" si="1"/>
        <v>19.68</v>
      </c>
      <c r="I107" s="184">
        <f t="shared" si="1"/>
        <v>5.26</v>
      </c>
      <c r="J107" s="184">
        <f t="shared" si="1"/>
        <v>1.68</v>
      </c>
      <c r="K107" s="184">
        <f t="shared" si="1"/>
        <v>349.88</v>
      </c>
      <c r="L107" s="184">
        <f t="shared" si="1"/>
        <v>33.15</v>
      </c>
      <c r="M107" s="184">
        <f t="shared" si="1"/>
        <v>100.12</v>
      </c>
      <c r="N107" s="184">
        <f t="shared" si="1"/>
        <v>552</v>
      </c>
      <c r="O107" s="184">
        <f t="shared" si="1"/>
        <v>15.2</v>
      </c>
      <c r="P107" s="184">
        <f t="shared" si="1"/>
        <v>0.68</v>
      </c>
      <c r="Q107" s="184">
        <f t="shared" si="1"/>
        <v>6.27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13.942473118279572</v>
      </c>
      <c r="C108" s="183">
        <f t="shared" ref="C108:Q108" si="2">AVERAGE(C9:C104)</f>
        <v>23.528817204301077</v>
      </c>
      <c r="D108" s="183">
        <f t="shared" si="2"/>
        <v>24.825268817204293</v>
      </c>
      <c r="E108" s="183">
        <f t="shared" si="2"/>
        <v>10.118311688311689</v>
      </c>
      <c r="F108" s="183">
        <f t="shared" si="2"/>
        <v>6.7934408602150542</v>
      </c>
      <c r="G108" s="183">
        <f t="shared" si="2"/>
        <v>34.534042553191505</v>
      </c>
      <c r="H108" s="183">
        <f t="shared" si="2"/>
        <v>13.244255319148946</v>
      </c>
      <c r="I108" s="183">
        <f t="shared" si="2"/>
        <v>4.6157608695652161</v>
      </c>
      <c r="J108" s="183">
        <f t="shared" si="2"/>
        <v>0.31574468085106372</v>
      </c>
      <c r="K108" s="183">
        <f t="shared" si="2"/>
        <v>184.70138297872342</v>
      </c>
      <c r="L108" s="183">
        <f t="shared" si="2"/>
        <v>27.566170212765961</v>
      </c>
      <c r="M108" s="183">
        <f t="shared" si="2"/>
        <v>86.386063829787204</v>
      </c>
      <c r="N108" s="183">
        <f t="shared" si="2"/>
        <v>101.49255319148934</v>
      </c>
      <c r="O108" s="183">
        <f t="shared" si="2"/>
        <v>0.52765957446808531</v>
      </c>
      <c r="P108" s="183">
        <f t="shared" si="2"/>
        <v>0.57648936170212783</v>
      </c>
      <c r="Q108" s="183">
        <f t="shared" si="2"/>
        <v>5.068478260869564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6.8526298753477528</v>
      </c>
      <c r="C109" s="183">
        <f t="shared" ref="C109:Q109" si="3">STDEV(C9:C104)</f>
        <v>1.1903487335763889</v>
      </c>
      <c r="D109" s="183">
        <f t="shared" si="3"/>
        <v>5.3797437290260914</v>
      </c>
      <c r="E109" s="183">
        <f t="shared" si="3"/>
        <v>2.9457736909705421</v>
      </c>
      <c r="F109" s="183">
        <f t="shared" si="3"/>
        <v>2.8864701229912293</v>
      </c>
      <c r="G109" s="183">
        <f t="shared" si="3"/>
        <v>13.200074072710709</v>
      </c>
      <c r="H109" s="183">
        <f t="shared" si="3"/>
        <v>5.5256519080901176</v>
      </c>
      <c r="I109" s="183">
        <f t="shared" si="3"/>
        <v>0.45277225115836778</v>
      </c>
      <c r="J109" s="183">
        <f t="shared" si="3"/>
        <v>0.26434536452450996</v>
      </c>
      <c r="K109" s="183">
        <f t="shared" si="3"/>
        <v>121.83194592800537</v>
      </c>
      <c r="L109" s="183">
        <f t="shared" si="3"/>
        <v>2.6782774541211167</v>
      </c>
      <c r="M109" s="183">
        <f t="shared" si="3"/>
        <v>11.127159664057819</v>
      </c>
      <c r="N109" s="183">
        <f t="shared" si="3"/>
        <v>167.5647634317811</v>
      </c>
      <c r="O109" s="183">
        <f t="shared" si="3"/>
        <v>2.1106694782237208</v>
      </c>
      <c r="P109" s="183">
        <f t="shared" si="3"/>
        <v>5.9797282040011196E-2</v>
      </c>
      <c r="Q109" s="183">
        <f t="shared" si="3"/>
        <v>1.0513538470040191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21/09/2023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2157</v>
      </c>
      <c r="B9" s="134">
        <v>11.55</v>
      </c>
      <c r="C9" s="134">
        <v>21.91</v>
      </c>
      <c r="D9" s="134">
        <v>22.06</v>
      </c>
      <c r="E9" s="134">
        <v>7.3</v>
      </c>
      <c r="F9" s="134">
        <v>5.0199999999999996</v>
      </c>
      <c r="G9" s="134">
        <v>8.33</v>
      </c>
      <c r="H9" s="134">
        <v>1.73</v>
      </c>
      <c r="I9" s="134">
        <v>4.04</v>
      </c>
      <c r="J9" s="134">
        <v>0.28000000000000003</v>
      </c>
      <c r="K9" s="134">
        <v>260.27999999999997</v>
      </c>
      <c r="L9" s="134">
        <v>24.69</v>
      </c>
      <c r="M9" s="134">
        <v>99.99</v>
      </c>
      <c r="N9" s="134">
        <v>0</v>
      </c>
      <c r="O9" s="134">
        <v>0</v>
      </c>
      <c r="P9" s="134">
        <v>0.46</v>
      </c>
      <c r="Q9" s="134">
        <v>3.87</v>
      </c>
    </row>
    <row r="10" spans="1:21" customFormat="1">
      <c r="A10" s="112" t="s">
        <v>2158</v>
      </c>
      <c r="B10" s="134">
        <v>11.92</v>
      </c>
      <c r="C10" s="134">
        <v>23.97</v>
      </c>
      <c r="D10" s="134">
        <v>23.43</v>
      </c>
      <c r="E10" s="134">
        <v>8.1199999999999992</v>
      </c>
      <c r="F10" s="134">
        <v>3.95</v>
      </c>
      <c r="G10" s="134">
        <v>6.74</v>
      </c>
      <c r="H10" s="134">
        <v>3.22</v>
      </c>
      <c r="I10" s="134">
        <v>4.01</v>
      </c>
      <c r="J10" s="134">
        <v>0.23</v>
      </c>
      <c r="K10" s="134">
        <v>259.79000000000002</v>
      </c>
      <c r="L10" s="134">
        <v>24.71</v>
      </c>
      <c r="M10" s="134">
        <v>100.03</v>
      </c>
      <c r="N10" s="134">
        <v>0</v>
      </c>
      <c r="O10" s="134">
        <v>0.2</v>
      </c>
      <c r="P10" s="134">
        <v>0.49</v>
      </c>
      <c r="Q10" s="134">
        <v>3.83</v>
      </c>
    </row>
    <row r="11" spans="1:21" customFormat="1">
      <c r="A11" s="112" t="s">
        <v>2159</v>
      </c>
      <c r="B11" s="134">
        <v>12.17</v>
      </c>
      <c r="C11" s="134">
        <v>24.79</v>
      </c>
      <c r="D11" s="134">
        <v>24.07</v>
      </c>
      <c r="E11" s="134">
        <v>8.44</v>
      </c>
      <c r="F11" s="134">
        <v>4.07</v>
      </c>
      <c r="G11" s="134">
        <v>6.47</v>
      </c>
      <c r="H11" s="134">
        <v>3.22</v>
      </c>
      <c r="I11" s="134">
        <v>3.95</v>
      </c>
      <c r="J11" s="134">
        <v>0.13</v>
      </c>
      <c r="K11" s="134">
        <v>227.94</v>
      </c>
      <c r="L11" s="134">
        <v>24.79</v>
      </c>
      <c r="M11" s="134">
        <v>100.28</v>
      </c>
      <c r="N11" s="134">
        <v>0</v>
      </c>
      <c r="O11" s="134">
        <v>0</v>
      </c>
      <c r="P11" s="134">
        <v>0.49</v>
      </c>
      <c r="Q11" s="134">
        <v>3.9</v>
      </c>
    </row>
    <row r="12" spans="1:21" customFormat="1">
      <c r="A12" s="112" t="s">
        <v>2160</v>
      </c>
      <c r="B12" s="134">
        <v>12.38</v>
      </c>
      <c r="C12" s="134">
        <v>23.2</v>
      </c>
      <c r="D12" s="134">
        <v>23.4</v>
      </c>
      <c r="E12" s="134">
        <v>8.35</v>
      </c>
      <c r="F12" s="134">
        <v>4.8600000000000003</v>
      </c>
      <c r="G12" s="134">
        <v>6.47</v>
      </c>
      <c r="H12" s="134">
        <v>3.22</v>
      </c>
      <c r="I12" s="134">
        <v>4.1100000000000003</v>
      </c>
      <c r="J12" s="134">
        <v>0.09</v>
      </c>
      <c r="K12" s="134">
        <v>167.67</v>
      </c>
      <c r="L12" s="134">
        <v>24.81</v>
      </c>
      <c r="M12" s="134">
        <v>100.27</v>
      </c>
      <c r="N12" s="134">
        <v>0</v>
      </c>
      <c r="O12" s="134">
        <v>0</v>
      </c>
      <c r="P12" s="134">
        <v>0.47</v>
      </c>
      <c r="Q12" s="134">
        <v>3.93</v>
      </c>
    </row>
    <row r="13" spans="1:21" customFormat="1">
      <c r="A13" s="112" t="s">
        <v>2161</v>
      </c>
      <c r="B13" s="134">
        <v>12.41</v>
      </c>
      <c r="C13" s="134">
        <v>22.71</v>
      </c>
      <c r="D13" s="134">
        <v>23.17</v>
      </c>
      <c r="E13" s="134">
        <v>7.89</v>
      </c>
      <c r="F13" s="134">
        <v>4.82</v>
      </c>
      <c r="G13" s="134">
        <v>6.47</v>
      </c>
      <c r="H13" s="134">
        <v>3.22</v>
      </c>
      <c r="I13" s="134">
        <v>4.12</v>
      </c>
      <c r="J13" s="134">
        <v>0.16</v>
      </c>
      <c r="K13" s="134">
        <v>166.72</v>
      </c>
      <c r="L13" s="134">
        <v>24.81</v>
      </c>
      <c r="M13" s="134">
        <v>100.25</v>
      </c>
      <c r="N13" s="134">
        <v>0</v>
      </c>
      <c r="O13" s="134">
        <v>0</v>
      </c>
      <c r="P13" s="134">
        <v>0.47</v>
      </c>
      <c r="Q13" s="134">
        <v>3.9</v>
      </c>
    </row>
    <row r="14" spans="1:21" customFormat="1">
      <c r="A14" s="112" t="s">
        <v>2162</v>
      </c>
      <c r="B14" s="134">
        <v>12.53</v>
      </c>
      <c r="C14" s="134">
        <v>24.05</v>
      </c>
      <c r="D14" s="134">
        <v>23.96</v>
      </c>
      <c r="E14" s="134">
        <v>8.69</v>
      </c>
      <c r="F14" s="134">
        <v>4.07</v>
      </c>
      <c r="G14" s="134">
        <v>6.55</v>
      </c>
      <c r="H14" s="134">
        <v>2.29</v>
      </c>
      <c r="I14" s="134">
        <v>4.04</v>
      </c>
      <c r="J14" s="134">
        <v>0.1</v>
      </c>
      <c r="K14" s="134">
        <v>210.29</v>
      </c>
      <c r="L14" s="134">
        <v>24.74</v>
      </c>
      <c r="M14" s="134">
        <v>100.24</v>
      </c>
      <c r="N14" s="134">
        <v>0</v>
      </c>
      <c r="O14" s="134">
        <v>0.6</v>
      </c>
      <c r="P14" s="134">
        <v>0.49</v>
      </c>
      <c r="Q14" s="134">
        <v>3.89</v>
      </c>
    </row>
    <row r="15" spans="1:21" customFormat="1">
      <c r="A15" s="112" t="s">
        <v>2163</v>
      </c>
      <c r="B15" s="134">
        <v>12.75</v>
      </c>
      <c r="C15" s="134">
        <v>23.34</v>
      </c>
      <c r="D15" s="134">
        <v>23.77</v>
      </c>
      <c r="E15" s="134">
        <v>8.5</v>
      </c>
      <c r="F15" s="134">
        <v>4.54</v>
      </c>
      <c r="G15" s="134">
        <v>6.56</v>
      </c>
      <c r="H15" s="134">
        <v>2.29</v>
      </c>
      <c r="I15" s="134">
        <v>4.0999999999999996</v>
      </c>
      <c r="J15" s="134">
        <v>0.15</v>
      </c>
      <c r="K15" s="134">
        <v>241.65</v>
      </c>
      <c r="L15" s="134">
        <v>24.76</v>
      </c>
      <c r="M15" s="134">
        <v>100.25</v>
      </c>
      <c r="N15" s="134">
        <v>0</v>
      </c>
      <c r="O15" s="134">
        <v>0.6</v>
      </c>
      <c r="P15" s="134">
        <v>0.48</v>
      </c>
      <c r="Q15" s="134">
        <v>3.94</v>
      </c>
    </row>
    <row r="16" spans="1:21" customFormat="1">
      <c r="A16" s="112" t="s">
        <v>2164</v>
      </c>
      <c r="B16" s="134">
        <v>12.65</v>
      </c>
      <c r="C16" s="134">
        <v>22.54</v>
      </c>
      <c r="D16" s="134">
        <v>23.27</v>
      </c>
      <c r="E16" s="134">
        <v>7.65</v>
      </c>
      <c r="F16" s="134">
        <v>4.91</v>
      </c>
      <c r="G16" s="134">
        <v>6.56</v>
      </c>
      <c r="H16" s="134">
        <v>2.29</v>
      </c>
      <c r="I16" s="134">
        <v>4.1500000000000004</v>
      </c>
      <c r="J16" s="134">
        <v>0.12</v>
      </c>
      <c r="K16" s="134">
        <v>213.08</v>
      </c>
      <c r="L16" s="134">
        <v>24.83</v>
      </c>
      <c r="M16" s="134">
        <v>100.25</v>
      </c>
      <c r="N16" s="134">
        <v>0</v>
      </c>
      <c r="O16" s="134">
        <v>1</v>
      </c>
      <c r="P16" s="134">
        <v>0.47</v>
      </c>
      <c r="Q16" s="134">
        <v>3.94</v>
      </c>
    </row>
    <row r="17" spans="1:17" customFormat="1">
      <c r="A17" s="112" t="s">
        <v>2165</v>
      </c>
      <c r="B17" s="134">
        <v>12.95</v>
      </c>
      <c r="C17" s="134">
        <v>23.95</v>
      </c>
      <c r="D17" s="134">
        <v>24.25</v>
      </c>
      <c r="E17" s="134">
        <v>7.06</v>
      </c>
      <c r="F17" s="134">
        <v>4.1399999999999997</v>
      </c>
      <c r="G17" s="134">
        <v>6.56</v>
      </c>
      <c r="H17" s="134">
        <v>2.29</v>
      </c>
      <c r="I17" s="134">
        <v>4.0999999999999996</v>
      </c>
      <c r="J17" s="134">
        <v>0.3</v>
      </c>
      <c r="K17" s="134">
        <v>264.8</v>
      </c>
      <c r="L17" s="134">
        <v>24.68</v>
      </c>
      <c r="M17" s="134">
        <v>100.25</v>
      </c>
      <c r="N17" s="134">
        <v>0</v>
      </c>
      <c r="O17" s="134">
        <v>0.6</v>
      </c>
      <c r="P17" s="134">
        <v>0.48</v>
      </c>
      <c r="Q17" s="134">
        <v>3.95</v>
      </c>
    </row>
    <row r="18" spans="1:17" customFormat="1">
      <c r="A18" s="112" t="s">
        <v>2166</v>
      </c>
      <c r="B18" s="134">
        <v>12.84</v>
      </c>
      <c r="C18" s="134">
        <v>22.62</v>
      </c>
      <c r="D18" s="134">
        <v>23.46</v>
      </c>
      <c r="E18" s="134">
        <v>8.3000000000000007</v>
      </c>
      <c r="F18" s="134">
        <v>4.91</v>
      </c>
      <c r="G18" s="134">
        <v>5.85</v>
      </c>
      <c r="H18" s="134">
        <v>3.99</v>
      </c>
      <c r="I18" s="134">
        <v>4.07</v>
      </c>
      <c r="J18" s="134">
        <v>0.18</v>
      </c>
      <c r="K18" s="134">
        <v>259.3</v>
      </c>
      <c r="L18" s="134">
        <v>24.74</v>
      </c>
      <c r="M18" s="134">
        <v>100.27</v>
      </c>
      <c r="N18" s="134">
        <v>0</v>
      </c>
      <c r="O18" s="134">
        <v>0.4</v>
      </c>
      <c r="P18" s="134">
        <v>0.47</v>
      </c>
      <c r="Q18" s="134">
        <v>3.97</v>
      </c>
    </row>
    <row r="19" spans="1:17" customFormat="1">
      <c r="A19" s="112" t="s">
        <v>2167</v>
      </c>
      <c r="B19" s="134">
        <v>12.92</v>
      </c>
      <c r="C19" s="134">
        <v>22.29</v>
      </c>
      <c r="D19" s="134">
        <v>23.36</v>
      </c>
      <c r="E19" s="134">
        <v>8.1999999999999993</v>
      </c>
      <c r="F19" s="134">
        <v>4.8600000000000003</v>
      </c>
      <c r="G19" s="134">
        <v>5.73</v>
      </c>
      <c r="H19" s="134">
        <v>3.99</v>
      </c>
      <c r="I19" s="134">
        <v>4.17</v>
      </c>
      <c r="J19" s="134">
        <v>0.34</v>
      </c>
      <c r="K19" s="134">
        <v>305.92</v>
      </c>
      <c r="L19" s="134">
        <v>24.71</v>
      </c>
      <c r="M19" s="134">
        <v>100.31</v>
      </c>
      <c r="N19" s="134">
        <v>0</v>
      </c>
      <c r="O19" s="134">
        <v>0.2</v>
      </c>
      <c r="P19" s="134">
        <v>0.47</v>
      </c>
      <c r="Q19" s="134">
        <v>3.97</v>
      </c>
    </row>
    <row r="20" spans="1:17" customFormat="1">
      <c r="A20" s="112" t="s">
        <v>2168</v>
      </c>
      <c r="B20" s="134">
        <v>13.3</v>
      </c>
      <c r="C20" s="134">
        <v>23.88</v>
      </c>
      <c r="D20" s="134">
        <v>24.49</v>
      </c>
      <c r="E20" s="134">
        <v>7.95</v>
      </c>
      <c r="F20" s="134">
        <v>4.01</v>
      </c>
      <c r="G20" s="134">
        <v>5.73</v>
      </c>
      <c r="H20" s="134">
        <v>3.99</v>
      </c>
      <c r="I20" s="134">
        <v>4.07</v>
      </c>
      <c r="J20" s="134">
        <v>0.43</v>
      </c>
      <c r="K20" s="134">
        <v>292.56</v>
      </c>
      <c r="L20" s="134">
        <v>24.64</v>
      </c>
      <c r="M20" s="134">
        <v>100.33</v>
      </c>
      <c r="N20" s="134">
        <v>0</v>
      </c>
      <c r="O20" s="134">
        <v>0</v>
      </c>
      <c r="P20" s="134">
        <v>0.48</v>
      </c>
      <c r="Q20" s="134">
        <v>3.98</v>
      </c>
    </row>
    <row r="21" spans="1:17" customFormat="1">
      <c r="A21" s="112" t="s">
        <v>2169</v>
      </c>
      <c r="B21" s="134">
        <v>13.52</v>
      </c>
      <c r="C21" s="134">
        <v>23.18</v>
      </c>
      <c r="D21" s="134">
        <v>24.3</v>
      </c>
      <c r="E21" s="134">
        <v>7.94</v>
      </c>
      <c r="F21" s="134">
        <v>4.67</v>
      </c>
      <c r="G21" s="134">
        <v>5.73</v>
      </c>
      <c r="H21" s="134">
        <v>3.99</v>
      </c>
      <c r="I21" s="134">
        <v>4.0999999999999996</v>
      </c>
      <c r="J21" s="134">
        <v>0.45</v>
      </c>
      <c r="K21" s="134">
        <v>264.08999999999997</v>
      </c>
      <c r="L21" s="134">
        <v>24.66</v>
      </c>
      <c r="M21" s="134">
        <v>100.34</v>
      </c>
      <c r="N21" s="134">
        <v>0</v>
      </c>
      <c r="O21" s="134">
        <v>0.4</v>
      </c>
      <c r="P21" s="134">
        <v>0.47</v>
      </c>
      <c r="Q21" s="134">
        <v>3.99</v>
      </c>
    </row>
    <row r="22" spans="1:17" customFormat="1">
      <c r="A22" s="112" t="s">
        <v>2170</v>
      </c>
      <c r="B22" s="134">
        <v>13.12</v>
      </c>
      <c r="C22" s="134">
        <v>22.21</v>
      </c>
      <c r="D22" s="134">
        <v>23.47</v>
      </c>
      <c r="E22" s="134">
        <v>7.48</v>
      </c>
      <c r="F22" s="134">
        <v>5.15</v>
      </c>
      <c r="G22" s="134">
        <v>7.73</v>
      </c>
      <c r="H22" s="134">
        <v>3.35</v>
      </c>
      <c r="I22" s="134">
        <v>4.16</v>
      </c>
      <c r="J22" s="134">
        <v>0.39</v>
      </c>
      <c r="K22" s="134">
        <v>266.17</v>
      </c>
      <c r="L22" s="134">
        <v>24.67</v>
      </c>
      <c r="M22" s="134">
        <v>100.34</v>
      </c>
      <c r="N22" s="134">
        <v>0</v>
      </c>
      <c r="O22" s="134">
        <v>0</v>
      </c>
      <c r="P22" s="134">
        <v>0.45</v>
      </c>
      <c r="Q22" s="134">
        <v>4</v>
      </c>
    </row>
    <row r="23" spans="1:17" customFormat="1">
      <c r="A23" s="112" t="s">
        <v>2171</v>
      </c>
      <c r="B23" s="134">
        <v>13.41</v>
      </c>
      <c r="C23" s="134">
        <v>24.51</v>
      </c>
      <c r="D23" s="134">
        <v>24.91</v>
      </c>
      <c r="E23" s="134">
        <v>8.5</v>
      </c>
      <c r="F23" s="134">
        <v>3.74</v>
      </c>
      <c r="G23" s="134">
        <v>8.07</v>
      </c>
      <c r="H23" s="134">
        <v>3.35</v>
      </c>
      <c r="I23" s="134">
        <v>4.08</v>
      </c>
      <c r="J23" s="134">
        <v>0.31</v>
      </c>
      <c r="K23" s="134">
        <v>264.08</v>
      </c>
      <c r="L23" s="134">
        <v>24.75</v>
      </c>
      <c r="M23" s="134">
        <v>100.36</v>
      </c>
      <c r="N23" s="134">
        <v>0</v>
      </c>
      <c r="O23" s="134">
        <v>0</v>
      </c>
      <c r="P23" s="134">
        <v>0.47</v>
      </c>
      <c r="Q23" s="134">
        <v>3.99</v>
      </c>
    </row>
    <row r="24" spans="1:17" customFormat="1">
      <c r="A24" s="112" t="s">
        <v>2172</v>
      </c>
      <c r="B24" s="134">
        <v>13.64</v>
      </c>
      <c r="C24" s="134">
        <v>24.15</v>
      </c>
      <c r="D24" s="134">
        <v>24.91</v>
      </c>
      <c r="E24" s="134">
        <v>8.24</v>
      </c>
      <c r="F24" s="134">
        <v>4.24</v>
      </c>
      <c r="G24" s="134">
        <v>8.07</v>
      </c>
      <c r="H24" s="134">
        <v>3.35</v>
      </c>
      <c r="I24" s="134">
        <v>4.0199999999999996</v>
      </c>
      <c r="J24" s="134">
        <v>0.5</v>
      </c>
      <c r="K24" s="134">
        <v>265.64</v>
      </c>
      <c r="L24" s="134">
        <v>24.77</v>
      </c>
      <c r="M24" s="134">
        <v>100.39</v>
      </c>
      <c r="N24" s="134">
        <v>0</v>
      </c>
      <c r="O24" s="134">
        <v>0.2</v>
      </c>
      <c r="P24" s="134">
        <v>0.47</v>
      </c>
      <c r="Q24" s="134">
        <v>4.05</v>
      </c>
    </row>
    <row r="25" spans="1:17" customFormat="1">
      <c r="A25" s="112" t="s">
        <v>2173</v>
      </c>
      <c r="B25" s="134">
        <v>13.46</v>
      </c>
      <c r="C25" s="134">
        <v>22.73</v>
      </c>
      <c r="D25" s="134">
        <v>24.02</v>
      </c>
      <c r="E25" s="134">
        <v>8.11</v>
      </c>
      <c r="F25" s="134">
        <v>4.8499999999999996</v>
      </c>
      <c r="G25" s="134">
        <v>8.07</v>
      </c>
      <c r="H25" s="134">
        <v>3.35</v>
      </c>
      <c r="I25" s="134">
        <v>4.1399999999999997</v>
      </c>
      <c r="J25" s="134">
        <v>0.51</v>
      </c>
      <c r="K25" s="134">
        <v>268.63</v>
      </c>
      <c r="L25" s="134">
        <v>24.81</v>
      </c>
      <c r="M25" s="134">
        <v>100.41</v>
      </c>
      <c r="N25" s="134">
        <v>0</v>
      </c>
      <c r="O25" s="134">
        <v>0</v>
      </c>
      <c r="P25" s="134">
        <v>0.45</v>
      </c>
      <c r="Q25" s="134">
        <v>4.04</v>
      </c>
    </row>
    <row r="26" spans="1:17" customFormat="1">
      <c r="A26" s="112" t="s">
        <v>2174</v>
      </c>
      <c r="B26" s="134">
        <v>13.14</v>
      </c>
      <c r="C26" s="134">
        <v>21.99</v>
      </c>
      <c r="D26" s="134">
        <v>23.38</v>
      </c>
      <c r="E26" s="134">
        <v>8.07</v>
      </c>
      <c r="F26" s="134">
        <v>5</v>
      </c>
      <c r="G26" s="134">
        <v>7.53</v>
      </c>
      <c r="H26" s="134">
        <v>2.56</v>
      </c>
      <c r="I26" s="134">
        <v>4.07</v>
      </c>
      <c r="J26" s="134">
        <v>0.34</v>
      </c>
      <c r="K26" s="134">
        <v>263.69</v>
      </c>
      <c r="L26" s="134">
        <v>24.8</v>
      </c>
      <c r="M26" s="134">
        <v>100.35</v>
      </c>
      <c r="N26" s="134">
        <v>0</v>
      </c>
      <c r="O26" s="134">
        <v>0</v>
      </c>
      <c r="P26" s="134">
        <v>0.44</v>
      </c>
      <c r="Q26" s="134">
        <v>4.03</v>
      </c>
    </row>
    <row r="27" spans="1:17" customFormat="1">
      <c r="A27" s="112" t="s">
        <v>2175</v>
      </c>
      <c r="B27" s="134">
        <v>13.49</v>
      </c>
      <c r="C27" s="134">
        <v>23.78</v>
      </c>
      <c r="D27" s="134">
        <v>24.59</v>
      </c>
      <c r="E27" s="134">
        <v>8.59</v>
      </c>
      <c r="F27" s="134">
        <v>3.91</v>
      </c>
      <c r="G27" s="134">
        <v>7.43</v>
      </c>
      <c r="H27" s="134">
        <v>2.56</v>
      </c>
      <c r="I27" s="134">
        <v>4</v>
      </c>
      <c r="J27" s="134">
        <v>0.28999999999999998</v>
      </c>
      <c r="K27" s="134">
        <v>260.72000000000003</v>
      </c>
      <c r="L27" s="134">
        <v>24.83</v>
      </c>
      <c r="M27" s="134">
        <v>100.31</v>
      </c>
      <c r="N27" s="134">
        <v>0</v>
      </c>
      <c r="O27" s="134">
        <v>0</v>
      </c>
      <c r="P27" s="134">
        <v>0.46</v>
      </c>
      <c r="Q27" s="134">
        <v>4.03</v>
      </c>
    </row>
    <row r="28" spans="1:17" customFormat="1">
      <c r="A28" s="112" t="s">
        <v>2176</v>
      </c>
      <c r="B28" s="134">
        <v>13.64</v>
      </c>
      <c r="C28" s="134">
        <v>22.87</v>
      </c>
      <c r="D28" s="134">
        <v>24.24</v>
      </c>
      <c r="E28" s="134">
        <v>8.3000000000000007</v>
      </c>
      <c r="F28" s="134">
        <v>4.6100000000000003</v>
      </c>
      <c r="G28" s="134">
        <v>7.43</v>
      </c>
      <c r="H28" s="134">
        <v>2.56</v>
      </c>
      <c r="I28" s="134">
        <v>4.0199999999999996</v>
      </c>
      <c r="J28" s="134">
        <v>0.19</v>
      </c>
      <c r="K28" s="134">
        <v>256.94</v>
      </c>
      <c r="L28" s="134">
        <v>24.86</v>
      </c>
      <c r="M28" s="134">
        <v>100.35</v>
      </c>
      <c r="N28" s="134">
        <v>0</v>
      </c>
      <c r="O28" s="134">
        <v>0.2</v>
      </c>
      <c r="P28" s="134">
        <v>0.45</v>
      </c>
      <c r="Q28" s="134">
        <v>4.0199999999999996</v>
      </c>
    </row>
    <row r="29" spans="1:17" customFormat="1">
      <c r="A29" s="112" t="s">
        <v>2177</v>
      </c>
      <c r="B29" s="134">
        <v>13.45</v>
      </c>
      <c r="C29" s="134">
        <v>22.58</v>
      </c>
      <c r="D29" s="134">
        <v>23.93</v>
      </c>
      <c r="E29" s="134">
        <v>8.0500000000000007</v>
      </c>
      <c r="F29" s="134">
        <v>4.6100000000000003</v>
      </c>
      <c r="G29" s="134">
        <v>7.43</v>
      </c>
      <c r="H29" s="134">
        <v>2.56</v>
      </c>
      <c r="I29" s="134">
        <v>4.0599999999999996</v>
      </c>
      <c r="J29" s="134">
        <v>0.24</v>
      </c>
      <c r="K29" s="134">
        <v>256.75</v>
      </c>
      <c r="L29" s="134">
        <v>24.83</v>
      </c>
      <c r="M29" s="134">
        <v>100.38</v>
      </c>
      <c r="N29" s="134">
        <v>0</v>
      </c>
      <c r="O29" s="134">
        <v>0</v>
      </c>
      <c r="P29" s="134">
        <v>0.46</v>
      </c>
      <c r="Q29" s="134">
        <v>4</v>
      </c>
    </row>
    <row r="30" spans="1:17" customFormat="1">
      <c r="A30" s="112" t="s">
        <v>2178</v>
      </c>
      <c r="B30" s="134">
        <v>13.69</v>
      </c>
      <c r="C30" s="134">
        <v>23.7</v>
      </c>
      <c r="D30" s="134">
        <v>24.71</v>
      </c>
      <c r="E30" s="134">
        <v>8.43</v>
      </c>
      <c r="F30" s="134">
        <v>4.01</v>
      </c>
      <c r="G30" s="134">
        <v>7.74</v>
      </c>
      <c r="H30" s="134">
        <v>4.91</v>
      </c>
      <c r="I30" s="134">
        <v>4.03</v>
      </c>
      <c r="J30" s="134">
        <v>0.32</v>
      </c>
      <c r="K30" s="134">
        <v>263.14999999999998</v>
      </c>
      <c r="L30" s="134">
        <v>24.87</v>
      </c>
      <c r="M30" s="134">
        <v>100.42</v>
      </c>
      <c r="N30" s="134">
        <v>0</v>
      </c>
      <c r="O30" s="134">
        <v>0.2</v>
      </c>
      <c r="P30" s="134">
        <v>0.47</v>
      </c>
      <c r="Q30" s="134">
        <v>4.01</v>
      </c>
    </row>
    <row r="31" spans="1:17" customFormat="1">
      <c r="A31" s="112" t="s">
        <v>2179</v>
      </c>
      <c r="B31" s="134">
        <v>13.95</v>
      </c>
      <c r="C31" s="134">
        <v>22.79</v>
      </c>
      <c r="D31" s="134">
        <v>24.44</v>
      </c>
      <c r="E31" s="134">
        <v>8.33</v>
      </c>
      <c r="F31" s="134">
        <v>4.5199999999999996</v>
      </c>
      <c r="G31" s="134">
        <v>7.8</v>
      </c>
      <c r="H31" s="134">
        <v>4.91</v>
      </c>
      <c r="I31" s="134">
        <v>4.04</v>
      </c>
      <c r="J31" s="134">
        <v>0.38</v>
      </c>
      <c r="K31" s="134">
        <v>265.93</v>
      </c>
      <c r="L31" s="134">
        <v>24.87</v>
      </c>
      <c r="M31" s="134">
        <v>100.29</v>
      </c>
      <c r="N31" s="134">
        <v>0</v>
      </c>
      <c r="O31" s="134">
        <v>0</v>
      </c>
      <c r="P31" s="134">
        <v>0.45</v>
      </c>
      <c r="Q31" s="134">
        <v>4.01</v>
      </c>
    </row>
    <row r="32" spans="1:17" customFormat="1">
      <c r="A32" s="112" t="s">
        <v>2180</v>
      </c>
      <c r="B32" s="134">
        <v>13.97</v>
      </c>
      <c r="C32" s="134">
        <v>22.43</v>
      </c>
      <c r="D32" s="134">
        <v>24.28</v>
      </c>
      <c r="E32" s="134">
        <v>8.0500000000000007</v>
      </c>
      <c r="F32" s="134">
        <v>4.62</v>
      </c>
      <c r="G32" s="134">
        <v>7.8</v>
      </c>
      <c r="H32" s="134">
        <v>4.91</v>
      </c>
      <c r="I32" s="134">
        <v>4.0999999999999996</v>
      </c>
      <c r="J32" s="134">
        <v>0.31</v>
      </c>
      <c r="K32" s="134">
        <v>273.17</v>
      </c>
      <c r="L32" s="134">
        <v>24.86</v>
      </c>
      <c r="M32" s="134">
        <v>100.21</v>
      </c>
      <c r="N32" s="134">
        <v>0</v>
      </c>
      <c r="O32" s="134">
        <v>0.4</v>
      </c>
      <c r="P32" s="134">
        <v>0.45</v>
      </c>
      <c r="Q32" s="134">
        <v>4.03</v>
      </c>
    </row>
    <row r="33" spans="1:17" customFormat="1">
      <c r="A33" s="112" t="s">
        <v>2181</v>
      </c>
      <c r="B33" s="134">
        <v>14.57</v>
      </c>
      <c r="C33" s="134">
        <v>24.06</v>
      </c>
      <c r="D33" s="134">
        <v>25.61</v>
      </c>
      <c r="E33" s="134">
        <v>8.1300000000000008</v>
      </c>
      <c r="F33" s="134">
        <v>3.87</v>
      </c>
      <c r="G33" s="134">
        <v>7.8</v>
      </c>
      <c r="H33" s="134">
        <v>4.91</v>
      </c>
      <c r="I33" s="134">
        <v>4.03</v>
      </c>
      <c r="J33" s="134">
        <v>0.16</v>
      </c>
      <c r="K33" s="134">
        <v>304.06</v>
      </c>
      <c r="L33" s="134">
        <v>24.9</v>
      </c>
      <c r="M33" s="134">
        <v>100.27</v>
      </c>
      <c r="N33" s="134">
        <v>0</v>
      </c>
      <c r="O33" s="134">
        <v>1.8</v>
      </c>
      <c r="P33" s="134">
        <v>0.47</v>
      </c>
      <c r="Q33" s="134">
        <v>4.03</v>
      </c>
    </row>
    <row r="34" spans="1:17" customFormat="1">
      <c r="A34" s="112" t="s">
        <v>2182</v>
      </c>
      <c r="B34" s="134">
        <v>15.38</v>
      </c>
      <c r="C34" s="134">
        <v>23.38</v>
      </c>
      <c r="D34" s="134">
        <v>25.9</v>
      </c>
      <c r="E34" s="134">
        <v>8.31</v>
      </c>
      <c r="F34" s="134">
        <v>4.4400000000000004</v>
      </c>
      <c r="G34" s="134">
        <v>8.1300000000000008</v>
      </c>
      <c r="H34" s="134">
        <v>4.92</v>
      </c>
      <c r="I34" s="134">
        <v>4.07</v>
      </c>
      <c r="J34" s="134">
        <v>0.51</v>
      </c>
      <c r="K34" s="134">
        <v>273.39999999999998</v>
      </c>
      <c r="L34" s="134">
        <v>24.77</v>
      </c>
      <c r="M34" s="134">
        <v>100.16</v>
      </c>
      <c r="N34" s="134">
        <v>0</v>
      </c>
      <c r="O34" s="134">
        <v>8</v>
      </c>
      <c r="P34" s="134">
        <v>0.46</v>
      </c>
      <c r="Q34" s="134">
        <v>4.0999999999999996</v>
      </c>
    </row>
    <row r="35" spans="1:17" customFormat="1">
      <c r="A35" s="112" t="s">
        <v>2183</v>
      </c>
      <c r="B35" s="134">
        <v>15.7</v>
      </c>
      <c r="C35" s="134">
        <v>24.64</v>
      </c>
      <c r="D35" s="134">
        <v>26.81</v>
      </c>
      <c r="E35" s="134">
        <v>8.32</v>
      </c>
      <c r="F35" s="134">
        <v>3.87</v>
      </c>
      <c r="G35" s="134">
        <v>8.18</v>
      </c>
      <c r="H35" s="134">
        <v>4.92</v>
      </c>
      <c r="I35" s="134">
        <v>4.12</v>
      </c>
      <c r="J35" s="134">
        <v>0.48</v>
      </c>
      <c r="K35" s="134">
        <v>309.74</v>
      </c>
      <c r="L35" s="134">
        <v>24.71</v>
      </c>
      <c r="M35" s="134">
        <v>100.13</v>
      </c>
      <c r="N35" s="134">
        <v>0.5</v>
      </c>
      <c r="O35" s="134">
        <v>2</v>
      </c>
      <c r="P35" s="134">
        <v>0.46</v>
      </c>
      <c r="Q35" s="134">
        <v>4.1100000000000003</v>
      </c>
    </row>
    <row r="36" spans="1:17" customFormat="1">
      <c r="A36" s="112" t="s">
        <v>2184</v>
      </c>
      <c r="B36" s="134">
        <v>16.72</v>
      </c>
      <c r="C36" s="134">
        <v>24.05</v>
      </c>
      <c r="D36" s="134">
        <v>27.33</v>
      </c>
      <c r="E36" s="134">
        <v>8.2200000000000006</v>
      </c>
      <c r="F36" s="134">
        <v>4.1500000000000004</v>
      </c>
      <c r="G36" s="134">
        <v>8.18</v>
      </c>
      <c r="H36" s="134">
        <v>4.92</v>
      </c>
      <c r="I36" s="134">
        <v>4.07</v>
      </c>
      <c r="J36" s="134">
        <v>0.63</v>
      </c>
      <c r="K36" s="134">
        <v>311.16000000000003</v>
      </c>
      <c r="L36" s="134">
        <v>23.81</v>
      </c>
      <c r="M36" s="134">
        <v>100.16</v>
      </c>
      <c r="N36" s="134">
        <v>8.1</v>
      </c>
      <c r="O36" s="134">
        <v>0.6</v>
      </c>
      <c r="P36" s="134">
        <v>0.47</v>
      </c>
      <c r="Q36" s="134">
        <v>4.1900000000000004</v>
      </c>
    </row>
    <row r="37" spans="1:17" customFormat="1">
      <c r="A37" s="112" t="s">
        <v>2185</v>
      </c>
      <c r="B37" s="134">
        <v>16.8</v>
      </c>
      <c r="C37" s="134">
        <v>23.49</v>
      </c>
      <c r="D37" s="134">
        <v>27.09</v>
      </c>
      <c r="E37" s="134">
        <v>8.49</v>
      </c>
      <c r="F37" s="134">
        <v>4.8099999999999996</v>
      </c>
      <c r="G37" s="134">
        <v>8.18</v>
      </c>
      <c r="H37" s="134">
        <v>4.92</v>
      </c>
      <c r="I37" s="134">
        <v>4.21</v>
      </c>
      <c r="J37" s="134">
        <v>0.26</v>
      </c>
      <c r="K37" s="134">
        <v>336.79</v>
      </c>
      <c r="L37" s="134">
        <v>23.07</v>
      </c>
      <c r="M37" s="134">
        <v>100.18</v>
      </c>
      <c r="N37" s="134">
        <v>5.3</v>
      </c>
      <c r="O37" s="134">
        <v>1.2</v>
      </c>
      <c r="P37" s="134">
        <v>0.45</v>
      </c>
      <c r="Q37" s="134">
        <v>4.21</v>
      </c>
    </row>
    <row r="38" spans="1:17" customFormat="1">
      <c r="A38" s="112" t="s">
        <v>2186</v>
      </c>
      <c r="B38" s="134">
        <v>16.739999999999998</v>
      </c>
      <c r="C38" s="134">
        <v>25.22</v>
      </c>
      <c r="D38" s="134">
        <v>27.95</v>
      </c>
      <c r="E38" s="134">
        <v>8.42</v>
      </c>
      <c r="F38" s="134">
        <v>4.01</v>
      </c>
      <c r="G38" s="134">
        <v>6.18</v>
      </c>
      <c r="H38" s="134">
        <v>3.82</v>
      </c>
      <c r="I38" s="134">
        <v>4.0999999999999996</v>
      </c>
      <c r="J38" s="134">
        <v>0.31</v>
      </c>
      <c r="K38" s="134">
        <v>317.75</v>
      </c>
      <c r="L38" s="134">
        <v>23.38</v>
      </c>
      <c r="M38" s="134">
        <v>100.22</v>
      </c>
      <c r="N38" s="134">
        <v>8.5</v>
      </c>
      <c r="O38" s="134">
        <v>0.6</v>
      </c>
      <c r="P38" s="134">
        <v>0.45</v>
      </c>
      <c r="Q38" s="134">
        <v>4.2</v>
      </c>
    </row>
    <row r="39" spans="1:17" customFormat="1">
      <c r="A39" s="112" t="s">
        <v>2187</v>
      </c>
      <c r="B39" s="134">
        <v>16.920000000000002</v>
      </c>
      <c r="C39" s="134">
        <v>25.78</v>
      </c>
      <c r="D39" s="134">
        <v>28.39</v>
      </c>
      <c r="E39" s="134">
        <v>8.68</v>
      </c>
      <c r="F39" s="134">
        <v>4.1100000000000003</v>
      </c>
      <c r="G39" s="134">
        <v>5.85</v>
      </c>
      <c r="H39" s="134">
        <v>3.82</v>
      </c>
      <c r="I39" s="134">
        <v>4.07</v>
      </c>
      <c r="J39" s="134">
        <v>0.22</v>
      </c>
      <c r="K39" s="134">
        <v>293.24</v>
      </c>
      <c r="L39" s="134">
        <v>23.63</v>
      </c>
      <c r="M39" s="134">
        <v>100.28</v>
      </c>
      <c r="N39" s="134">
        <v>7.3</v>
      </c>
      <c r="O39" s="134">
        <v>1</v>
      </c>
      <c r="P39" s="134">
        <v>0.46</v>
      </c>
      <c r="Q39" s="134">
        <v>4.2300000000000004</v>
      </c>
    </row>
    <row r="40" spans="1:17" customFormat="1">
      <c r="A40" s="112" t="s">
        <v>2188</v>
      </c>
      <c r="B40" s="134">
        <v>17.38</v>
      </c>
      <c r="C40" s="134">
        <v>24.91</v>
      </c>
      <c r="D40" s="134">
        <v>28.31</v>
      </c>
      <c r="E40" s="134">
        <v>8.51</v>
      </c>
      <c r="F40" s="134">
        <v>4.63</v>
      </c>
      <c r="G40" s="134">
        <v>5.85</v>
      </c>
      <c r="H40" s="134">
        <v>3.82</v>
      </c>
      <c r="I40" s="134">
        <v>4.16</v>
      </c>
      <c r="J40" s="134">
        <v>0.3</v>
      </c>
      <c r="K40" s="134">
        <v>265.04000000000002</v>
      </c>
      <c r="L40" s="134">
        <v>23.83</v>
      </c>
      <c r="M40" s="134">
        <v>100.29</v>
      </c>
      <c r="N40" s="134">
        <v>5.0999999999999996</v>
      </c>
      <c r="O40" s="134">
        <v>1.2</v>
      </c>
      <c r="P40" s="134">
        <v>0.45</v>
      </c>
      <c r="Q40" s="134">
        <v>4.2300000000000004</v>
      </c>
    </row>
    <row r="41" spans="1:17" customFormat="1">
      <c r="A41" s="112" t="s">
        <v>2189</v>
      </c>
      <c r="B41" s="134">
        <v>17.47</v>
      </c>
      <c r="C41" s="134">
        <v>26.07</v>
      </c>
      <c r="D41" s="134">
        <v>28.98</v>
      </c>
      <c r="E41" s="134">
        <v>8.74</v>
      </c>
      <c r="F41" s="134">
        <v>3.91</v>
      </c>
      <c r="G41" s="134">
        <v>5.85</v>
      </c>
      <c r="H41" s="134">
        <v>3.82</v>
      </c>
      <c r="I41" s="134">
        <v>4.13</v>
      </c>
      <c r="J41" s="134">
        <v>0.1</v>
      </c>
      <c r="K41" s="134">
        <v>228.77</v>
      </c>
      <c r="L41" s="134">
        <v>24.03</v>
      </c>
      <c r="M41" s="134">
        <v>100.28</v>
      </c>
      <c r="N41" s="134">
        <v>1.2</v>
      </c>
      <c r="O41" s="134">
        <v>1.2</v>
      </c>
      <c r="P41" s="134">
        <v>0.47</v>
      </c>
      <c r="Q41" s="134">
        <v>4.22</v>
      </c>
    </row>
    <row r="42" spans="1:17" customFormat="1">
      <c r="A42" s="112" t="s">
        <v>2190</v>
      </c>
      <c r="B42" s="134">
        <v>17.63</v>
      </c>
      <c r="C42" s="134">
        <v>26.45</v>
      </c>
      <c r="D42" s="134">
        <v>29.31</v>
      </c>
      <c r="E42" s="134">
        <v>8.98</v>
      </c>
      <c r="F42" s="134">
        <v>4.09</v>
      </c>
      <c r="G42" s="134">
        <v>4.49</v>
      </c>
      <c r="H42" s="134">
        <v>2.92</v>
      </c>
      <c r="I42" s="134">
        <v>4.0999999999999996</v>
      </c>
      <c r="J42" s="134">
        <v>0.14000000000000001</v>
      </c>
      <c r="K42" s="134">
        <v>249.03</v>
      </c>
      <c r="L42" s="134">
        <v>24.1</v>
      </c>
      <c r="M42" s="134">
        <v>100.29</v>
      </c>
      <c r="N42" s="134">
        <v>4.5</v>
      </c>
      <c r="O42" s="134">
        <v>1.8</v>
      </c>
      <c r="P42" s="134">
        <v>0.48</v>
      </c>
      <c r="Q42" s="134">
        <v>4.2699999999999996</v>
      </c>
    </row>
    <row r="43" spans="1:17" customFormat="1">
      <c r="A43" s="112" t="s">
        <v>2191</v>
      </c>
      <c r="B43" s="134">
        <v>17.989999999999998</v>
      </c>
      <c r="C43" s="134">
        <v>26.8</v>
      </c>
      <c r="D43" s="134">
        <v>29.78</v>
      </c>
      <c r="E43" s="134">
        <v>8.56</v>
      </c>
      <c r="F43" s="134">
        <v>4.07</v>
      </c>
      <c r="G43" s="134">
        <v>4.26</v>
      </c>
      <c r="H43" s="134">
        <v>2.92</v>
      </c>
      <c r="I43" s="134">
        <v>4.18</v>
      </c>
      <c r="J43" s="134">
        <v>0.2</v>
      </c>
      <c r="K43" s="134">
        <v>255.09</v>
      </c>
      <c r="L43" s="134">
        <v>24.2</v>
      </c>
      <c r="M43" s="134">
        <v>100.31</v>
      </c>
      <c r="N43" s="134">
        <v>10.6</v>
      </c>
      <c r="O43" s="134">
        <v>1.2</v>
      </c>
      <c r="P43" s="134">
        <v>0.49</v>
      </c>
      <c r="Q43" s="134">
        <v>4.3</v>
      </c>
    </row>
    <row r="44" spans="1:17" customFormat="1">
      <c r="A44" s="112" t="s">
        <v>2192</v>
      </c>
      <c r="B44" s="134">
        <v>18.239999999999998</v>
      </c>
      <c r="C44" s="134">
        <v>25.58</v>
      </c>
      <c r="D44" s="134">
        <v>29.34</v>
      </c>
      <c r="E44" s="134">
        <v>8.01</v>
      </c>
      <c r="F44" s="134">
        <v>4.59</v>
      </c>
      <c r="G44" s="134">
        <v>4.26</v>
      </c>
      <c r="H44" s="134">
        <v>2.92</v>
      </c>
      <c r="I44" s="134">
        <v>4.1500000000000004</v>
      </c>
      <c r="J44" s="134">
        <v>0.18</v>
      </c>
      <c r="K44" s="134">
        <v>254.8</v>
      </c>
      <c r="L44" s="134">
        <v>24.36</v>
      </c>
      <c r="M44" s="134">
        <v>100.33</v>
      </c>
      <c r="N44" s="134">
        <v>10.199999999999999</v>
      </c>
      <c r="O44" s="134">
        <v>1</v>
      </c>
      <c r="P44" s="134">
        <v>0.47</v>
      </c>
      <c r="Q44" s="134">
        <v>4.3</v>
      </c>
    </row>
    <row r="45" spans="1:17" customFormat="1">
      <c r="A45" s="112" t="s">
        <v>2193</v>
      </c>
      <c r="B45" s="134">
        <v>18.13</v>
      </c>
      <c r="C45" s="134">
        <v>25.68</v>
      </c>
      <c r="D45" s="134">
        <v>29.31</v>
      </c>
      <c r="E45" s="134">
        <v>7.91</v>
      </c>
      <c r="F45" s="134">
        <v>4.24</v>
      </c>
      <c r="G45" s="134">
        <v>4.26</v>
      </c>
      <c r="H45" s="134">
        <v>2.92</v>
      </c>
      <c r="I45" s="134">
        <v>4.2</v>
      </c>
      <c r="J45" s="134">
        <v>0.32</v>
      </c>
      <c r="K45" s="134">
        <v>259.68</v>
      </c>
      <c r="L45" s="134">
        <v>24.61</v>
      </c>
      <c r="M45" s="134">
        <v>100.35</v>
      </c>
      <c r="N45" s="134">
        <v>17.600000000000001</v>
      </c>
      <c r="O45" s="134">
        <v>0.8</v>
      </c>
      <c r="P45" s="134">
        <v>0.47</v>
      </c>
      <c r="Q45" s="134">
        <v>4.3</v>
      </c>
    </row>
    <row r="46" spans="1:17" customFormat="1">
      <c r="A46" s="112" t="s">
        <v>2194</v>
      </c>
      <c r="B46" s="134">
        <v>18.09</v>
      </c>
      <c r="C46" s="134">
        <v>26.18</v>
      </c>
      <c r="D46" s="134">
        <v>29.54</v>
      </c>
      <c r="E46" s="134">
        <v>8.49</v>
      </c>
      <c r="F46" s="134">
        <v>4.1100000000000003</v>
      </c>
      <c r="G46" s="134">
        <v>9.43</v>
      </c>
      <c r="H46" s="134">
        <v>6.32</v>
      </c>
      <c r="I46" s="134">
        <v>4.13</v>
      </c>
      <c r="J46" s="134">
        <v>0.21</v>
      </c>
      <c r="K46" s="134">
        <v>316.77</v>
      </c>
      <c r="L46" s="134">
        <v>24.74</v>
      </c>
      <c r="M46" s="134">
        <v>100.34</v>
      </c>
      <c r="N46" s="134">
        <v>27.2</v>
      </c>
      <c r="O46" s="134">
        <v>1.2</v>
      </c>
      <c r="P46" s="134">
        <v>0.49</v>
      </c>
      <c r="Q46" s="134">
        <v>4.3099999999999996</v>
      </c>
    </row>
    <row r="47" spans="1:17" customFormat="1">
      <c r="A47" s="112" t="s">
        <v>2195</v>
      </c>
      <c r="B47" s="134">
        <v>19.09</v>
      </c>
      <c r="C47" s="134">
        <v>25.61</v>
      </c>
      <c r="D47" s="134">
        <v>30.04</v>
      </c>
      <c r="E47" s="134">
        <v>8.1300000000000008</v>
      </c>
      <c r="F47" s="134">
        <v>4.43</v>
      </c>
      <c r="G47" s="134">
        <v>10.3</v>
      </c>
      <c r="H47" s="134">
        <v>6.32</v>
      </c>
      <c r="I47" s="134">
        <v>4.2300000000000004</v>
      </c>
      <c r="J47" s="134">
        <v>0.18</v>
      </c>
      <c r="K47" s="134">
        <v>6.62</v>
      </c>
      <c r="L47" s="134">
        <v>24.88</v>
      </c>
      <c r="M47" s="134">
        <v>100.33</v>
      </c>
      <c r="N47" s="134">
        <v>23</v>
      </c>
      <c r="O47" s="134">
        <v>0.8</v>
      </c>
      <c r="P47" s="134">
        <v>0.5</v>
      </c>
      <c r="Q47" s="134">
        <v>4.33</v>
      </c>
    </row>
    <row r="48" spans="1:17" customFormat="1">
      <c r="A48" s="112" t="s">
        <v>2196</v>
      </c>
      <c r="B48" s="134">
        <v>19.41</v>
      </c>
      <c r="C48" s="134">
        <v>26.87</v>
      </c>
      <c r="D48" s="134">
        <v>30.96</v>
      </c>
      <c r="E48" s="134">
        <v>8.41</v>
      </c>
      <c r="F48" s="134">
        <v>3.91</v>
      </c>
      <c r="G48" s="134">
        <v>10.3</v>
      </c>
      <c r="H48" s="134">
        <v>6.32</v>
      </c>
      <c r="I48" s="134">
        <v>4.2</v>
      </c>
      <c r="J48" s="134">
        <v>0.28000000000000003</v>
      </c>
      <c r="K48" s="134">
        <v>305.18</v>
      </c>
      <c r="L48" s="134">
        <v>24.86</v>
      </c>
      <c r="M48" s="134">
        <v>100.35</v>
      </c>
      <c r="N48" s="134">
        <v>35.1</v>
      </c>
      <c r="O48" s="134">
        <v>0.8</v>
      </c>
      <c r="P48" s="134">
        <v>0.5</v>
      </c>
      <c r="Q48" s="134">
        <v>4.3600000000000003</v>
      </c>
    </row>
    <row r="49" spans="1:17" customFormat="1">
      <c r="A49" s="112" t="s">
        <v>2197</v>
      </c>
      <c r="B49" s="134">
        <v>20.25</v>
      </c>
      <c r="C49" s="134">
        <v>26.54</v>
      </c>
      <c r="D49" s="134">
        <v>31.46</v>
      </c>
      <c r="E49" s="134">
        <v>6.24</v>
      </c>
      <c r="F49" s="134">
        <v>4.17</v>
      </c>
      <c r="G49" s="134">
        <v>10.3</v>
      </c>
      <c r="H49" s="134">
        <v>6.32</v>
      </c>
      <c r="I49" s="134">
        <v>4.2300000000000004</v>
      </c>
      <c r="J49" s="134">
        <v>0.2</v>
      </c>
      <c r="K49" s="134">
        <v>343.13</v>
      </c>
      <c r="L49" s="134">
        <v>24.87</v>
      </c>
      <c r="M49" s="134">
        <v>100.36</v>
      </c>
      <c r="N49" s="134">
        <v>42.4</v>
      </c>
      <c r="O49" s="134">
        <v>0.6</v>
      </c>
      <c r="P49" s="134">
        <v>0.52</v>
      </c>
      <c r="Q49" s="134">
        <v>4.4400000000000004</v>
      </c>
    </row>
    <row r="50" spans="1:17" customFormat="1">
      <c r="A50" s="112" t="s">
        <v>2198</v>
      </c>
      <c r="B50" s="134">
        <v>20.93</v>
      </c>
      <c r="C50" s="134">
        <v>25.95</v>
      </c>
      <c r="D50" s="134">
        <v>31.69</v>
      </c>
      <c r="E50" s="134">
        <v>7.13</v>
      </c>
      <c r="F50" s="134">
        <v>4.42</v>
      </c>
      <c r="G50" s="134">
        <v>11.27</v>
      </c>
      <c r="H50" s="134">
        <v>7.51</v>
      </c>
      <c r="I50" s="134">
        <v>4.3499999999999996</v>
      </c>
      <c r="J50" s="134">
        <v>0.14000000000000001</v>
      </c>
      <c r="K50" s="134">
        <v>357.25</v>
      </c>
      <c r="L50" s="134">
        <v>25.11</v>
      </c>
      <c r="M50" s="134">
        <v>100.38</v>
      </c>
      <c r="N50" s="134">
        <v>76</v>
      </c>
      <c r="O50" s="134">
        <v>0.4</v>
      </c>
      <c r="P50" s="134">
        <v>0.54</v>
      </c>
      <c r="Q50" s="134">
        <v>4.5</v>
      </c>
    </row>
    <row r="51" spans="1:17" customFormat="1">
      <c r="A51" s="112" t="s">
        <v>2199</v>
      </c>
      <c r="B51" s="134">
        <v>21.01</v>
      </c>
      <c r="C51" s="134">
        <v>27.51</v>
      </c>
      <c r="D51" s="134">
        <v>32.58</v>
      </c>
      <c r="E51" s="134">
        <v>7.39</v>
      </c>
      <c r="F51" s="134">
        <v>4.01</v>
      </c>
      <c r="G51" s="134">
        <v>11.43</v>
      </c>
      <c r="H51" s="134">
        <v>7.51</v>
      </c>
      <c r="I51" s="134">
        <v>4.3899999999999997</v>
      </c>
      <c r="J51" s="134">
        <v>0.18</v>
      </c>
      <c r="K51" s="134">
        <v>314.19</v>
      </c>
      <c r="L51" s="134">
        <v>25.09</v>
      </c>
      <c r="M51" s="134">
        <v>100.37</v>
      </c>
      <c r="N51" s="134">
        <v>98.2</v>
      </c>
      <c r="O51" s="134">
        <v>0.2</v>
      </c>
      <c r="P51" s="134">
        <v>0.54</v>
      </c>
      <c r="Q51" s="134">
        <v>4.54</v>
      </c>
    </row>
    <row r="52" spans="1:17" customFormat="1">
      <c r="A52" s="112" t="s">
        <v>2200</v>
      </c>
      <c r="B52" s="134">
        <v>21.53</v>
      </c>
      <c r="C52" s="134">
        <v>26.67</v>
      </c>
      <c r="D52" s="134">
        <v>32.549999999999997</v>
      </c>
      <c r="E52" s="134">
        <v>7.73</v>
      </c>
      <c r="F52" s="134">
        <v>4.63</v>
      </c>
      <c r="G52" s="134">
        <v>11.43</v>
      </c>
      <c r="H52" s="134">
        <v>7.51</v>
      </c>
      <c r="I52" s="134">
        <v>4.4400000000000004</v>
      </c>
      <c r="J52" s="134">
        <v>0.26</v>
      </c>
      <c r="K52" s="134">
        <v>303.23</v>
      </c>
      <c r="L52" s="134">
        <v>25.13</v>
      </c>
      <c r="M52" s="134">
        <v>100.18</v>
      </c>
      <c r="N52" s="134">
        <v>132.4</v>
      </c>
      <c r="O52" s="134">
        <v>0.2</v>
      </c>
      <c r="P52" s="134">
        <v>0.55000000000000004</v>
      </c>
      <c r="Q52" s="134">
        <v>4.58</v>
      </c>
    </row>
    <row r="53" spans="1:17" customFormat="1">
      <c r="A53" s="112" t="s">
        <v>2201</v>
      </c>
      <c r="B53" s="134">
        <v>21.69</v>
      </c>
      <c r="C53" s="134">
        <v>26.09</v>
      </c>
      <c r="D53" s="134">
        <v>32.369999999999997</v>
      </c>
      <c r="E53" s="134">
        <v>7.09</v>
      </c>
      <c r="F53" s="134">
        <v>4.8099999999999996</v>
      </c>
      <c r="G53" s="134">
        <v>11.43</v>
      </c>
      <c r="H53" s="134">
        <v>7.51</v>
      </c>
      <c r="I53" s="134">
        <v>4.54</v>
      </c>
      <c r="J53" s="134">
        <v>0.18</v>
      </c>
      <c r="K53" s="134">
        <v>297.10000000000002</v>
      </c>
      <c r="L53" s="134">
        <v>25.41</v>
      </c>
      <c r="M53" s="134">
        <v>100.15</v>
      </c>
      <c r="N53" s="134">
        <v>131.5</v>
      </c>
      <c r="O53" s="134">
        <v>0.2</v>
      </c>
      <c r="P53" s="134">
        <v>0.55000000000000004</v>
      </c>
      <c r="Q53" s="134">
        <v>4.59</v>
      </c>
    </row>
    <row r="54" spans="1:17" customFormat="1">
      <c r="A54" s="112" t="s">
        <v>2202</v>
      </c>
      <c r="B54" s="134">
        <v>21.91</v>
      </c>
      <c r="C54" s="134">
        <v>28.03</v>
      </c>
      <c r="D54" s="134">
        <v>33.56</v>
      </c>
      <c r="E54" s="134">
        <v>7.19</v>
      </c>
      <c r="F54" s="134">
        <v>3.87</v>
      </c>
      <c r="G54" s="134">
        <v>16.04</v>
      </c>
      <c r="H54" s="134">
        <v>10.58</v>
      </c>
      <c r="I54" s="134">
        <v>4.6100000000000003</v>
      </c>
      <c r="J54" s="134">
        <v>0.32</v>
      </c>
      <c r="K54" s="134">
        <v>282.68</v>
      </c>
      <c r="L54" s="134">
        <v>25.5</v>
      </c>
      <c r="M54" s="134">
        <v>100.12</v>
      </c>
      <c r="N54" s="134">
        <v>138</v>
      </c>
      <c r="O54" s="134">
        <v>0</v>
      </c>
      <c r="P54" s="134">
        <v>0.56999999999999995</v>
      </c>
      <c r="Q54" s="134">
        <v>4.62</v>
      </c>
    </row>
    <row r="55" spans="1:17" customFormat="1">
      <c r="A55" s="112" t="s">
        <v>2203</v>
      </c>
      <c r="B55" s="134">
        <v>22.41</v>
      </c>
      <c r="C55" s="134">
        <v>27.45</v>
      </c>
      <c r="D55" s="134">
        <v>33.659999999999997</v>
      </c>
      <c r="E55" s="134">
        <v>7.51</v>
      </c>
      <c r="F55" s="134">
        <v>4.47</v>
      </c>
      <c r="G55" s="134">
        <v>16.89</v>
      </c>
      <c r="H55" s="134">
        <v>10.58</v>
      </c>
      <c r="I55" s="134">
        <v>4.74</v>
      </c>
      <c r="J55" s="134">
        <v>0.24</v>
      </c>
      <c r="K55" s="134">
        <v>345.48</v>
      </c>
      <c r="L55" s="134">
        <v>25.8</v>
      </c>
      <c r="M55" s="134">
        <v>100.11</v>
      </c>
      <c r="N55" s="134">
        <v>178.4</v>
      </c>
      <c r="O55" s="134">
        <v>0.2</v>
      </c>
      <c r="P55" s="134">
        <v>0.57999999999999996</v>
      </c>
      <c r="Q55" s="134">
        <v>4.66</v>
      </c>
    </row>
    <row r="56" spans="1:17" customFormat="1">
      <c r="A56" s="112" t="s">
        <v>2204</v>
      </c>
      <c r="B56" s="134">
        <v>22.77</v>
      </c>
      <c r="C56" s="134">
        <v>26.33</v>
      </c>
      <c r="D56" s="134">
        <v>33.369999999999997</v>
      </c>
      <c r="E56" s="134">
        <v>7.91</v>
      </c>
      <c r="F56" s="134">
        <v>4.99</v>
      </c>
      <c r="G56" s="134">
        <v>16.89</v>
      </c>
      <c r="H56" s="134">
        <v>10.58</v>
      </c>
      <c r="I56" s="134">
        <v>4.83</v>
      </c>
      <c r="J56" s="134">
        <v>0.35</v>
      </c>
      <c r="K56" s="134">
        <v>323.31</v>
      </c>
      <c r="L56" s="134">
        <v>25.67</v>
      </c>
      <c r="M56" s="134">
        <v>100.1</v>
      </c>
      <c r="N56" s="134">
        <v>196.9</v>
      </c>
      <c r="O56" s="134">
        <v>0</v>
      </c>
      <c r="P56" s="134">
        <v>0.56999999999999995</v>
      </c>
      <c r="Q56" s="134">
        <v>4.67</v>
      </c>
    </row>
    <row r="57" spans="1:17" customFormat="1">
      <c r="A57" s="112" t="s">
        <v>2205</v>
      </c>
      <c r="B57" s="134">
        <v>22.82</v>
      </c>
      <c r="C57" s="134">
        <v>26.31</v>
      </c>
      <c r="D57" s="134">
        <v>33.4</v>
      </c>
      <c r="E57" s="134">
        <v>7.14</v>
      </c>
      <c r="F57" s="134">
        <v>4.8899999999999997</v>
      </c>
      <c r="G57" s="134">
        <v>16.89</v>
      </c>
      <c r="H57" s="134">
        <v>10.58</v>
      </c>
      <c r="I57" s="134">
        <v>4.8099999999999996</v>
      </c>
      <c r="J57" s="134">
        <v>0.32</v>
      </c>
      <c r="K57" s="134">
        <v>320.77</v>
      </c>
      <c r="L57" s="134">
        <v>25.76</v>
      </c>
      <c r="M57" s="134">
        <v>100.1</v>
      </c>
      <c r="N57" s="134">
        <v>209.2</v>
      </c>
      <c r="O57" s="134">
        <v>0.2</v>
      </c>
      <c r="P57" s="134">
        <v>0.56999999999999995</v>
      </c>
      <c r="Q57" s="134">
        <v>4.6500000000000004</v>
      </c>
    </row>
    <row r="58" spans="1:17" customFormat="1">
      <c r="A58" s="112" t="s">
        <v>2206</v>
      </c>
      <c r="B58" s="134">
        <v>22.6</v>
      </c>
      <c r="C58" s="134">
        <v>28.18</v>
      </c>
      <c r="D58" s="134">
        <v>34.19</v>
      </c>
      <c r="E58" s="134">
        <v>7.41</v>
      </c>
      <c r="F58" s="134">
        <v>4.1500000000000004</v>
      </c>
      <c r="G58" s="134">
        <v>20.83</v>
      </c>
      <c r="H58" s="134">
        <v>11.56</v>
      </c>
      <c r="I58" s="134">
        <v>4.82</v>
      </c>
      <c r="J58" s="134">
        <v>0.28000000000000003</v>
      </c>
      <c r="K58" s="134">
        <v>302.74</v>
      </c>
      <c r="L58" s="134">
        <v>26.22</v>
      </c>
      <c r="M58" s="134">
        <v>100.13</v>
      </c>
      <c r="N58" s="134">
        <v>231.5</v>
      </c>
      <c r="O58" s="134">
        <v>0</v>
      </c>
      <c r="P58" s="134">
        <v>0.61</v>
      </c>
      <c r="Q58" s="134">
        <v>4.66</v>
      </c>
    </row>
    <row r="59" spans="1:17" customFormat="1">
      <c r="A59" s="112" t="s">
        <v>2207</v>
      </c>
      <c r="B59" s="134">
        <v>22.87</v>
      </c>
      <c r="C59" s="134">
        <v>27.22</v>
      </c>
      <c r="D59" s="134">
        <v>33.909999999999997</v>
      </c>
      <c r="E59" s="134">
        <v>8.33</v>
      </c>
      <c r="F59" s="134">
        <v>4.59</v>
      </c>
      <c r="G59" s="134">
        <v>21.5</v>
      </c>
      <c r="H59" s="134">
        <v>11.56</v>
      </c>
      <c r="I59" s="134">
        <v>4.8499999999999996</v>
      </c>
      <c r="J59" s="134">
        <v>0.31</v>
      </c>
      <c r="K59" s="134">
        <v>325.85000000000002</v>
      </c>
      <c r="L59" s="134">
        <v>26.64</v>
      </c>
      <c r="M59" s="134">
        <v>100.15</v>
      </c>
      <c r="N59" s="134">
        <v>235.9</v>
      </c>
      <c r="O59" s="134">
        <v>0</v>
      </c>
      <c r="P59" s="134">
        <v>0.6</v>
      </c>
      <c r="Q59" s="134">
        <v>4.6900000000000004</v>
      </c>
    </row>
    <row r="60" spans="1:17" customFormat="1">
      <c r="A60" s="112" t="s">
        <v>2208</v>
      </c>
      <c r="B60" s="134">
        <v>22.62</v>
      </c>
      <c r="C60" s="134">
        <v>26.26</v>
      </c>
      <c r="D60" s="134">
        <v>33.21</v>
      </c>
      <c r="E60" s="134">
        <v>7.28</v>
      </c>
      <c r="F60" s="134">
        <v>5.29</v>
      </c>
      <c r="G60" s="134">
        <v>21.5</v>
      </c>
      <c r="H60" s="134">
        <v>11.56</v>
      </c>
      <c r="I60" s="134">
        <v>4.91</v>
      </c>
      <c r="J60" s="134">
        <v>0.36</v>
      </c>
      <c r="K60" s="134">
        <v>291.27</v>
      </c>
      <c r="L60" s="134">
        <v>26.99</v>
      </c>
      <c r="M60" s="134">
        <v>100.16</v>
      </c>
      <c r="N60" s="134">
        <v>270.60000000000002</v>
      </c>
      <c r="O60" s="134">
        <v>0</v>
      </c>
      <c r="P60" s="134">
        <v>0.57999999999999996</v>
      </c>
      <c r="Q60" s="134">
        <v>4.7</v>
      </c>
    </row>
    <row r="61" spans="1:17" customFormat="1">
      <c r="A61" s="112" t="s">
        <v>2209</v>
      </c>
      <c r="B61" s="134">
        <v>22.08</v>
      </c>
      <c r="C61" s="134">
        <v>25.91</v>
      </c>
      <c r="D61" s="134">
        <v>32.590000000000003</v>
      </c>
      <c r="E61" s="134">
        <v>7.39</v>
      </c>
      <c r="F61" s="134">
        <v>5.4</v>
      </c>
      <c r="G61" s="134">
        <v>21.5</v>
      </c>
      <c r="H61" s="134">
        <v>11.56</v>
      </c>
      <c r="I61" s="134">
        <v>4.9000000000000004</v>
      </c>
      <c r="J61" s="134">
        <v>0.43</v>
      </c>
      <c r="K61" s="134">
        <v>300.89</v>
      </c>
      <c r="L61" s="134">
        <v>27.16</v>
      </c>
      <c r="M61" s="134">
        <v>100.15</v>
      </c>
      <c r="N61" s="134">
        <v>282.3</v>
      </c>
      <c r="O61" s="134">
        <v>0</v>
      </c>
      <c r="P61" s="134">
        <v>0.56999999999999995</v>
      </c>
      <c r="Q61" s="134">
        <v>4.63</v>
      </c>
    </row>
    <row r="62" spans="1:17" customFormat="1">
      <c r="A62" s="112" t="s">
        <v>2210</v>
      </c>
      <c r="B62" s="134">
        <v>21.57</v>
      </c>
      <c r="C62" s="134">
        <v>27.38</v>
      </c>
      <c r="D62" s="134">
        <v>32.950000000000003</v>
      </c>
      <c r="E62" s="134">
        <v>7.62</v>
      </c>
      <c r="F62" s="134">
        <v>4.47</v>
      </c>
      <c r="G62" s="134">
        <v>20.94</v>
      </c>
      <c r="H62" s="134">
        <v>9.41</v>
      </c>
      <c r="I62" s="134">
        <v>4.82</v>
      </c>
      <c r="J62" s="134">
        <v>0.39</v>
      </c>
      <c r="K62" s="134">
        <v>293.64999999999998</v>
      </c>
      <c r="L62" s="134">
        <v>27.59</v>
      </c>
      <c r="M62" s="134">
        <v>97.59</v>
      </c>
      <c r="N62" s="134">
        <v>268.3</v>
      </c>
      <c r="O62" s="134">
        <v>0</v>
      </c>
      <c r="P62" s="134">
        <v>0.6</v>
      </c>
      <c r="Q62" s="134">
        <v>4.5999999999999996</v>
      </c>
    </row>
    <row r="63" spans="1:17" customFormat="1">
      <c r="A63" s="112" t="s">
        <v>2211</v>
      </c>
      <c r="B63" s="134">
        <v>21.17</v>
      </c>
      <c r="C63" s="134">
        <v>27.2</v>
      </c>
      <c r="D63" s="134">
        <v>32.54</v>
      </c>
      <c r="E63" s="134">
        <v>6.5</v>
      </c>
      <c r="F63" s="134">
        <v>4.9000000000000004</v>
      </c>
      <c r="G63" s="134">
        <v>20.85</v>
      </c>
      <c r="H63" s="134">
        <v>9.41</v>
      </c>
      <c r="I63" s="134">
        <v>4.8</v>
      </c>
      <c r="J63" s="134">
        <v>0.37</v>
      </c>
      <c r="K63" s="134">
        <v>315.16000000000003</v>
      </c>
      <c r="L63" s="134">
        <v>27.83</v>
      </c>
      <c r="M63" s="134">
        <v>87.08</v>
      </c>
      <c r="N63" s="134">
        <v>244.8</v>
      </c>
      <c r="O63" s="134">
        <v>0</v>
      </c>
      <c r="P63" s="134">
        <v>0.6</v>
      </c>
      <c r="Q63" s="134">
        <v>4.63</v>
      </c>
    </row>
    <row r="64" spans="1:17" customFormat="1">
      <c r="A64" s="112" t="s">
        <v>2212</v>
      </c>
      <c r="B64" s="134">
        <v>20.79</v>
      </c>
      <c r="C64" s="134">
        <v>26.33</v>
      </c>
      <c r="D64" s="134">
        <v>31.77</v>
      </c>
      <c r="E64" s="134">
        <v>6.94</v>
      </c>
      <c r="F64" s="134">
        <v>5.21</v>
      </c>
      <c r="G64" s="134">
        <v>20.85</v>
      </c>
      <c r="H64" s="134">
        <v>9.41</v>
      </c>
      <c r="I64" s="134">
        <v>4.88</v>
      </c>
      <c r="J64" s="134">
        <v>0.42</v>
      </c>
      <c r="K64" s="134">
        <v>276.14999999999998</v>
      </c>
      <c r="L64" s="134">
        <v>28.05</v>
      </c>
      <c r="M64" s="134">
        <v>84.82</v>
      </c>
      <c r="N64" s="134">
        <v>250.1</v>
      </c>
      <c r="O64" s="134">
        <v>0</v>
      </c>
      <c r="P64" s="134">
        <v>0.59</v>
      </c>
      <c r="Q64" s="134">
        <v>4.6100000000000003</v>
      </c>
    </row>
    <row r="65" spans="1:17" customFormat="1">
      <c r="A65" s="112" t="s">
        <v>2213</v>
      </c>
      <c r="B65" s="134">
        <v>20.350000000000001</v>
      </c>
      <c r="C65" s="134">
        <v>25.99</v>
      </c>
      <c r="D65" s="134">
        <v>31.25</v>
      </c>
      <c r="E65" s="134">
        <v>6.31</v>
      </c>
      <c r="F65" s="134">
        <v>5.45</v>
      </c>
      <c r="G65" s="134">
        <v>20.85</v>
      </c>
      <c r="H65" s="134">
        <v>9.41</v>
      </c>
      <c r="I65" s="134">
        <v>4.76</v>
      </c>
      <c r="J65" s="134">
        <v>0.39</v>
      </c>
      <c r="K65" s="134">
        <v>277.36</v>
      </c>
      <c r="L65" s="134">
        <v>28.18</v>
      </c>
      <c r="M65" s="134">
        <v>83.85</v>
      </c>
      <c r="N65" s="134">
        <v>220.6</v>
      </c>
      <c r="O65" s="134">
        <v>0</v>
      </c>
      <c r="P65" s="134">
        <v>0.56999999999999995</v>
      </c>
      <c r="Q65" s="134">
        <v>4.59</v>
      </c>
    </row>
    <row r="66" spans="1:17" customFormat="1">
      <c r="A66" s="112" t="s">
        <v>2214</v>
      </c>
      <c r="B66" s="134">
        <v>18.89</v>
      </c>
      <c r="C66" s="134">
        <v>24.48</v>
      </c>
      <c r="D66" s="134">
        <v>29.29</v>
      </c>
      <c r="E66" s="134">
        <v>6.84</v>
      </c>
      <c r="F66" s="134">
        <v>6.88</v>
      </c>
      <c r="G66" s="134">
        <v>24.16</v>
      </c>
      <c r="H66" s="134">
        <v>9.2200000000000006</v>
      </c>
      <c r="I66" s="134">
        <v>4.68</v>
      </c>
      <c r="J66" s="134">
        <v>0.4</v>
      </c>
      <c r="K66" s="134">
        <v>267.27</v>
      </c>
      <c r="L66" s="134">
        <v>28.23</v>
      </c>
      <c r="M66" s="134">
        <v>83.86</v>
      </c>
      <c r="N66" s="134">
        <v>205.3</v>
      </c>
      <c r="O66" s="134">
        <v>0</v>
      </c>
      <c r="P66" s="134">
        <v>0.56000000000000005</v>
      </c>
      <c r="Q66" s="134">
        <v>4.5599999999999996</v>
      </c>
    </row>
    <row r="67" spans="1:17" customFormat="1">
      <c r="A67" s="112" t="s">
        <v>2215</v>
      </c>
      <c r="B67" s="134">
        <v>18.54</v>
      </c>
      <c r="C67" s="134">
        <v>24.68</v>
      </c>
      <c r="D67" s="134">
        <v>29.11</v>
      </c>
      <c r="E67" s="134">
        <v>6.44</v>
      </c>
      <c r="F67" s="134">
        <v>6.1</v>
      </c>
      <c r="G67" s="134">
        <v>24.72</v>
      </c>
      <c r="H67" s="134">
        <v>9.2200000000000006</v>
      </c>
      <c r="I67" s="134">
        <v>4.6399999999999997</v>
      </c>
      <c r="J67" s="134">
        <v>0.48</v>
      </c>
      <c r="K67" s="134">
        <v>267.92</v>
      </c>
      <c r="L67" s="134">
        <v>28.17</v>
      </c>
      <c r="M67" s="134">
        <v>83.31</v>
      </c>
      <c r="N67" s="134">
        <v>199.6</v>
      </c>
      <c r="O67" s="134">
        <v>0</v>
      </c>
      <c r="P67" s="134">
        <v>0.55000000000000004</v>
      </c>
      <c r="Q67" s="134">
        <v>4.53</v>
      </c>
    </row>
    <row r="68" spans="1:17" customFormat="1">
      <c r="A68" s="112" t="s">
        <v>2216</v>
      </c>
      <c r="B68" s="134">
        <v>17.87</v>
      </c>
      <c r="C68" s="134">
        <v>25.26</v>
      </c>
      <c r="D68" s="134">
        <v>28.88</v>
      </c>
      <c r="E68" s="134">
        <v>6.11</v>
      </c>
      <c r="F68" s="134">
        <v>5.46</v>
      </c>
      <c r="G68" s="134">
        <v>24.72</v>
      </c>
      <c r="H68" s="134">
        <v>9.2200000000000006</v>
      </c>
      <c r="I68" s="134">
        <v>4.47</v>
      </c>
      <c r="J68" s="134">
        <v>0.46</v>
      </c>
      <c r="K68" s="134">
        <v>260.25</v>
      </c>
      <c r="L68" s="134">
        <v>28.2</v>
      </c>
      <c r="M68" s="134">
        <v>83</v>
      </c>
      <c r="N68" s="134">
        <v>181.1</v>
      </c>
      <c r="O68" s="134">
        <v>0</v>
      </c>
      <c r="P68" s="134">
        <v>0.55000000000000004</v>
      </c>
      <c r="Q68" s="134">
        <v>4.46</v>
      </c>
    </row>
    <row r="69" spans="1:17" customFormat="1">
      <c r="A69" s="112" t="s">
        <v>2217</v>
      </c>
      <c r="B69" s="134">
        <v>17.47</v>
      </c>
      <c r="C69" s="134">
        <v>26.68</v>
      </c>
      <c r="D69" s="134">
        <v>29.3</v>
      </c>
      <c r="E69" s="134">
        <v>6.67</v>
      </c>
      <c r="F69" s="134">
        <v>4.42</v>
      </c>
      <c r="G69" s="134">
        <v>24.72</v>
      </c>
      <c r="H69" s="134">
        <v>9.2200000000000006</v>
      </c>
      <c r="I69" s="134">
        <v>4.53</v>
      </c>
      <c r="J69" s="134">
        <v>0.36</v>
      </c>
      <c r="K69" s="134">
        <v>262.72000000000003</v>
      </c>
      <c r="L69" s="134">
        <v>28.21</v>
      </c>
      <c r="M69" s="134">
        <v>83.08</v>
      </c>
      <c r="N69" s="134">
        <v>148.69999999999999</v>
      </c>
      <c r="O69" s="134">
        <v>0</v>
      </c>
      <c r="P69" s="134">
        <v>0.56999999999999995</v>
      </c>
      <c r="Q69" s="134">
        <v>4.5</v>
      </c>
    </row>
    <row r="70" spans="1:17" customFormat="1">
      <c r="A70" s="112" t="s">
        <v>2218</v>
      </c>
      <c r="B70" s="134">
        <v>16.43</v>
      </c>
      <c r="C70" s="134">
        <v>24.56</v>
      </c>
      <c r="D70" s="134">
        <v>27.36</v>
      </c>
      <c r="E70" s="134">
        <v>7.05</v>
      </c>
      <c r="F70" s="134">
        <v>6.98</v>
      </c>
      <c r="G70" s="134">
        <v>21.46</v>
      </c>
      <c r="H70" s="134">
        <v>7.23</v>
      </c>
      <c r="I70" s="134">
        <v>4.5199999999999996</v>
      </c>
      <c r="J70" s="134">
        <v>0.37</v>
      </c>
      <c r="K70" s="134">
        <v>262.77</v>
      </c>
      <c r="L70" s="134">
        <v>28.22</v>
      </c>
      <c r="M70" s="134">
        <v>83.9</v>
      </c>
      <c r="N70" s="134">
        <v>129.30000000000001</v>
      </c>
      <c r="O70" s="134">
        <v>0</v>
      </c>
      <c r="P70" s="134">
        <v>0.55000000000000004</v>
      </c>
      <c r="Q70" s="134">
        <v>4.5599999999999996</v>
      </c>
    </row>
    <row r="71" spans="1:17" customFormat="1">
      <c r="A71" s="112" t="s">
        <v>2219</v>
      </c>
      <c r="B71" s="134">
        <v>16.170000000000002</v>
      </c>
      <c r="C71" s="134">
        <v>24.21</v>
      </c>
      <c r="D71" s="134">
        <v>26.97</v>
      </c>
      <c r="E71" s="134">
        <v>6.96</v>
      </c>
      <c r="F71" s="134">
        <v>6.24</v>
      </c>
      <c r="G71" s="134">
        <v>20.85</v>
      </c>
      <c r="H71" s="134">
        <v>7.23</v>
      </c>
      <c r="I71" s="134">
        <v>4.5199999999999996</v>
      </c>
      <c r="J71" s="134">
        <v>0.31</v>
      </c>
      <c r="K71" s="134">
        <v>261.05</v>
      </c>
      <c r="L71" s="134">
        <v>28.08</v>
      </c>
      <c r="M71" s="134">
        <v>83.98</v>
      </c>
      <c r="N71" s="134">
        <v>116</v>
      </c>
      <c r="O71" s="134">
        <v>0</v>
      </c>
      <c r="P71" s="134">
        <v>0.53</v>
      </c>
      <c r="Q71" s="134">
        <v>4.51</v>
      </c>
    </row>
    <row r="72" spans="1:17" customFormat="1">
      <c r="A72" s="112" t="s">
        <v>2220</v>
      </c>
      <c r="B72" s="134">
        <v>15.51</v>
      </c>
      <c r="C72" s="134">
        <v>23.05</v>
      </c>
      <c r="D72" s="134">
        <v>25.83</v>
      </c>
      <c r="E72" s="134">
        <v>6.11</v>
      </c>
      <c r="F72" s="134">
        <v>6.69</v>
      </c>
      <c r="G72" s="134">
        <v>20.85</v>
      </c>
      <c r="H72" s="134">
        <v>7.23</v>
      </c>
      <c r="I72" s="134">
        <v>4.3499999999999996</v>
      </c>
      <c r="J72" s="134">
        <v>0.28000000000000003</v>
      </c>
      <c r="K72" s="134">
        <v>254.02</v>
      </c>
      <c r="L72" s="134">
        <v>28.16</v>
      </c>
      <c r="M72" s="134">
        <v>83.61</v>
      </c>
      <c r="N72" s="134">
        <v>138.9</v>
      </c>
      <c r="O72" s="134">
        <v>0</v>
      </c>
      <c r="P72" s="134">
        <v>0.52</v>
      </c>
      <c r="Q72" s="134">
        <v>4.45</v>
      </c>
    </row>
    <row r="73" spans="1:17" customFormat="1">
      <c r="A73" s="112" t="s">
        <v>2221</v>
      </c>
      <c r="B73" s="134">
        <v>14.75</v>
      </c>
      <c r="C73" s="134">
        <v>22.09</v>
      </c>
      <c r="D73" s="134">
        <v>24.72</v>
      </c>
      <c r="E73" s="134">
        <v>6.36</v>
      </c>
      <c r="F73" s="134">
        <v>7.54</v>
      </c>
      <c r="G73" s="134">
        <v>20.85</v>
      </c>
      <c r="H73" s="134">
        <v>7.23</v>
      </c>
      <c r="I73" s="134">
        <v>4.33</v>
      </c>
      <c r="J73" s="134">
        <v>0.18</v>
      </c>
      <c r="K73" s="134">
        <v>251.64</v>
      </c>
      <c r="L73" s="134">
        <v>28.4</v>
      </c>
      <c r="M73" s="134">
        <v>83.11</v>
      </c>
      <c r="N73" s="134">
        <v>133.30000000000001</v>
      </c>
      <c r="O73" s="134">
        <v>0</v>
      </c>
      <c r="P73" s="134">
        <v>0.5</v>
      </c>
      <c r="Q73" s="134">
        <v>4.4000000000000004</v>
      </c>
    </row>
    <row r="74" spans="1:17" customFormat="1">
      <c r="A74" s="112" t="s">
        <v>2222</v>
      </c>
      <c r="B74" s="134">
        <v>13.65</v>
      </c>
      <c r="C74" s="134">
        <v>20.87</v>
      </c>
      <c r="D74" s="134">
        <v>23.2</v>
      </c>
      <c r="E74" s="134">
        <v>6.63</v>
      </c>
      <c r="F74" s="134">
        <v>8.5</v>
      </c>
      <c r="G74" s="134">
        <v>16.11</v>
      </c>
      <c r="H74" s="134">
        <v>6.69</v>
      </c>
      <c r="I74" s="134">
        <v>4.24</v>
      </c>
      <c r="J74" s="134">
        <v>0.15</v>
      </c>
      <c r="K74" s="134">
        <v>226.28</v>
      </c>
      <c r="L74" s="134">
        <v>28.35</v>
      </c>
      <c r="M74" s="134">
        <v>84.84</v>
      </c>
      <c r="N74" s="134">
        <v>84.7</v>
      </c>
      <c r="O74" s="134">
        <v>0</v>
      </c>
      <c r="P74" s="134">
        <v>0.49</v>
      </c>
      <c r="Q74" s="134">
        <v>4.3499999999999996</v>
      </c>
    </row>
    <row r="75" spans="1:17" customFormat="1">
      <c r="A75" s="112" t="s">
        <v>2223</v>
      </c>
      <c r="B75" s="134">
        <v>14.31</v>
      </c>
      <c r="C75" s="134">
        <v>23.83</v>
      </c>
      <c r="D75" s="134">
        <v>25.28</v>
      </c>
      <c r="E75" s="134">
        <v>6.71</v>
      </c>
      <c r="F75" s="134">
        <v>5.3</v>
      </c>
      <c r="G75" s="134">
        <v>15.31</v>
      </c>
      <c r="H75" s="134">
        <v>6.69</v>
      </c>
      <c r="I75" s="134">
        <v>4.08</v>
      </c>
      <c r="J75" s="134">
        <v>0.12</v>
      </c>
      <c r="K75" s="134">
        <v>211.27</v>
      </c>
      <c r="L75" s="134">
        <v>28.01</v>
      </c>
      <c r="M75" s="134">
        <v>87.65</v>
      </c>
      <c r="N75" s="134">
        <v>34.5</v>
      </c>
      <c r="O75" s="134">
        <v>0</v>
      </c>
      <c r="P75" s="134">
        <v>0.52</v>
      </c>
      <c r="Q75" s="134">
        <v>4.3499999999999996</v>
      </c>
    </row>
    <row r="76" spans="1:17" customFormat="1">
      <c r="A76" s="112" t="s">
        <v>2224</v>
      </c>
      <c r="B76" s="134">
        <v>14.13</v>
      </c>
      <c r="C76" s="134">
        <v>23.63</v>
      </c>
      <c r="D76" s="134">
        <v>25.03</v>
      </c>
      <c r="E76" s="134">
        <v>6.71</v>
      </c>
      <c r="F76" s="134">
        <v>5.61</v>
      </c>
      <c r="G76" s="134">
        <v>15.31</v>
      </c>
      <c r="H76" s="134">
        <v>6.69</v>
      </c>
      <c r="I76" s="134">
        <v>4.0999999999999996</v>
      </c>
      <c r="J76" s="134">
        <v>0.11</v>
      </c>
      <c r="K76" s="134">
        <v>179.56</v>
      </c>
      <c r="L76" s="134">
        <v>27.74</v>
      </c>
      <c r="M76" s="134">
        <v>88.96</v>
      </c>
      <c r="N76" s="134">
        <v>5.0999999999999996</v>
      </c>
      <c r="O76" s="134">
        <v>0</v>
      </c>
      <c r="P76" s="134">
        <v>0.54</v>
      </c>
      <c r="Q76" s="134">
        <v>4.42</v>
      </c>
    </row>
    <row r="77" spans="1:17" customFormat="1">
      <c r="A77" s="112" t="s">
        <v>2225</v>
      </c>
      <c r="B77" s="134">
        <v>13.36</v>
      </c>
      <c r="C77" s="134">
        <v>21.1</v>
      </c>
      <c r="D77" s="134">
        <v>23.09</v>
      </c>
      <c r="E77" s="134">
        <v>6.69</v>
      </c>
      <c r="F77" s="134">
        <v>8.0500000000000007</v>
      </c>
      <c r="G77" s="134">
        <v>15.31</v>
      </c>
      <c r="H77" s="134">
        <v>6.69</v>
      </c>
      <c r="I77" s="134">
        <v>4.37</v>
      </c>
      <c r="J77" s="134">
        <v>0.13</v>
      </c>
      <c r="K77" s="134">
        <v>234.65</v>
      </c>
      <c r="L77" s="134">
        <v>27.45</v>
      </c>
      <c r="M77" s="134">
        <v>90.28</v>
      </c>
      <c r="N77" s="134">
        <v>0.8</v>
      </c>
      <c r="O77" s="134">
        <v>0</v>
      </c>
      <c r="P77" s="134">
        <v>0.56000000000000005</v>
      </c>
      <c r="Q77" s="134">
        <v>4.38</v>
      </c>
    </row>
    <row r="78" spans="1:17" customFormat="1">
      <c r="A78" s="112" t="s">
        <v>2226</v>
      </c>
      <c r="B78" s="134">
        <v>12.32</v>
      </c>
      <c r="C78" s="134">
        <v>19.37</v>
      </c>
      <c r="D78" s="134">
        <v>21.35</v>
      </c>
      <c r="E78" s="134">
        <v>7</v>
      </c>
      <c r="F78" s="134">
        <v>10.039999999999999</v>
      </c>
      <c r="G78" s="134">
        <v>18.579999999999998</v>
      </c>
      <c r="H78" s="134">
        <v>7.11</v>
      </c>
      <c r="I78" s="134">
        <v>4.42</v>
      </c>
      <c r="J78" s="134">
        <v>0.14000000000000001</v>
      </c>
      <c r="K78" s="134">
        <v>225.88</v>
      </c>
      <c r="L78" s="134">
        <v>27.32</v>
      </c>
      <c r="M78" s="134">
        <v>91</v>
      </c>
      <c r="N78" s="134">
        <v>0</v>
      </c>
      <c r="O78" s="134">
        <v>0</v>
      </c>
      <c r="P78" s="134">
        <v>0.56999999999999995</v>
      </c>
      <c r="Q78" s="134">
        <v>4.3</v>
      </c>
    </row>
    <row r="79" spans="1:17" customFormat="1">
      <c r="A79" s="112" t="s">
        <v>2227</v>
      </c>
      <c r="B79" s="134">
        <v>13.03</v>
      </c>
      <c r="C79" s="134">
        <v>20.97</v>
      </c>
      <c r="D79" s="134">
        <v>22.76</v>
      </c>
      <c r="E79" s="134">
        <v>6.59</v>
      </c>
      <c r="F79" s="134">
        <v>7.6</v>
      </c>
      <c r="G79" s="134">
        <v>19.13</v>
      </c>
      <c r="H79" s="134">
        <v>7.11</v>
      </c>
      <c r="I79" s="134">
        <v>4.5999999999999996</v>
      </c>
      <c r="J79" s="134">
        <v>0.74</v>
      </c>
      <c r="K79" s="134">
        <v>258.92</v>
      </c>
      <c r="L79" s="134">
        <v>26.98</v>
      </c>
      <c r="M79" s="134">
        <v>89.41</v>
      </c>
      <c r="N79" s="134">
        <v>0</v>
      </c>
      <c r="O79" s="134">
        <v>0</v>
      </c>
      <c r="P79" s="134">
        <v>0.52</v>
      </c>
      <c r="Q79" s="134">
        <v>4.26</v>
      </c>
    </row>
    <row r="80" spans="1:17" customFormat="1">
      <c r="A80" s="112" t="s">
        <v>2228</v>
      </c>
      <c r="B80" s="134">
        <v>13.41</v>
      </c>
      <c r="C80" s="134">
        <v>23.99</v>
      </c>
      <c r="D80" s="134">
        <v>24.64</v>
      </c>
      <c r="E80" s="134">
        <v>6.63</v>
      </c>
      <c r="F80" s="134">
        <v>5.16</v>
      </c>
      <c r="G80" s="134">
        <v>19.13</v>
      </c>
      <c r="H80" s="134">
        <v>7.11</v>
      </c>
      <c r="I80" s="134">
        <v>4.41</v>
      </c>
      <c r="J80" s="134">
        <v>0.77</v>
      </c>
      <c r="K80" s="134">
        <v>262.95</v>
      </c>
      <c r="L80" s="134">
        <v>26.32</v>
      </c>
      <c r="M80" s="134">
        <v>90.59</v>
      </c>
      <c r="N80" s="134">
        <v>0</v>
      </c>
      <c r="O80" s="134">
        <v>0</v>
      </c>
      <c r="P80" s="134">
        <v>0.53</v>
      </c>
      <c r="Q80" s="134">
        <v>4.24</v>
      </c>
    </row>
    <row r="81" spans="1:17" customFormat="1">
      <c r="A81" s="112" t="s">
        <v>2229</v>
      </c>
      <c r="B81" s="134">
        <v>13.39</v>
      </c>
      <c r="C81" s="134">
        <v>24.14</v>
      </c>
      <c r="D81" s="134">
        <v>24.7</v>
      </c>
      <c r="E81" s="134">
        <v>6.3</v>
      </c>
      <c r="F81" s="134">
        <v>5.0199999999999996</v>
      </c>
      <c r="G81" s="134">
        <v>19.13</v>
      </c>
      <c r="H81" s="134">
        <v>7.11</v>
      </c>
      <c r="I81" s="134">
        <v>4.41</v>
      </c>
      <c r="J81" s="134">
        <v>0.92</v>
      </c>
      <c r="K81" s="134">
        <v>263.44</v>
      </c>
      <c r="L81" s="134">
        <v>26.02</v>
      </c>
      <c r="M81" s="134">
        <v>92.11</v>
      </c>
      <c r="N81" s="134">
        <v>0</v>
      </c>
      <c r="O81" s="134">
        <v>0</v>
      </c>
      <c r="P81" s="134">
        <v>0.54</v>
      </c>
      <c r="Q81" s="134">
        <v>4.2300000000000004</v>
      </c>
    </row>
    <row r="82" spans="1:17" customFormat="1">
      <c r="A82" s="112" t="s">
        <v>2230</v>
      </c>
      <c r="B82" s="134">
        <v>13</v>
      </c>
      <c r="C82" s="134">
        <v>23.09</v>
      </c>
      <c r="D82" s="134">
        <v>23.84</v>
      </c>
      <c r="E82" s="134">
        <v>7.92</v>
      </c>
      <c r="F82" s="134">
        <v>5.92</v>
      </c>
      <c r="G82" s="134">
        <v>17.98</v>
      </c>
      <c r="H82" s="134">
        <v>5.52</v>
      </c>
      <c r="I82" s="134">
        <v>4.45</v>
      </c>
      <c r="J82" s="134">
        <v>0.59</v>
      </c>
      <c r="K82" s="134">
        <v>257.77999999999997</v>
      </c>
      <c r="L82" s="134">
        <v>25.99</v>
      </c>
      <c r="M82" s="134">
        <v>93.32</v>
      </c>
      <c r="N82" s="134">
        <v>0</v>
      </c>
      <c r="O82" s="134">
        <v>0</v>
      </c>
      <c r="P82" s="134">
        <v>0.53</v>
      </c>
      <c r="Q82" s="134">
        <v>4.2300000000000004</v>
      </c>
    </row>
    <row r="83" spans="1:17" customFormat="1">
      <c r="A83" s="112" t="s">
        <v>2231</v>
      </c>
      <c r="B83" s="134">
        <v>12.86</v>
      </c>
      <c r="C83" s="134">
        <v>21.53</v>
      </c>
      <c r="D83" s="134">
        <v>22.91</v>
      </c>
      <c r="E83" s="134">
        <v>7.59</v>
      </c>
      <c r="F83" s="134">
        <v>5.94</v>
      </c>
      <c r="G83" s="134">
        <v>17.760000000000002</v>
      </c>
      <c r="H83" s="134">
        <v>5.52</v>
      </c>
      <c r="I83" s="134">
        <v>4.37</v>
      </c>
      <c r="J83" s="134">
        <v>0.52</v>
      </c>
      <c r="K83" s="134">
        <v>256.79000000000002</v>
      </c>
      <c r="L83" s="134">
        <v>26.05</v>
      </c>
      <c r="M83" s="134">
        <v>92.74</v>
      </c>
      <c r="N83" s="134">
        <v>0</v>
      </c>
      <c r="O83" s="134">
        <v>0</v>
      </c>
      <c r="P83" s="134">
        <v>0.49</v>
      </c>
      <c r="Q83" s="134">
        <v>4.1399999999999997</v>
      </c>
    </row>
    <row r="84" spans="1:17" customFormat="1">
      <c r="A84" s="112" t="s">
        <v>2232</v>
      </c>
      <c r="B84" s="134">
        <v>12.53</v>
      </c>
      <c r="C84" s="134">
        <v>21.42</v>
      </c>
      <c r="D84" s="134">
        <v>22.59</v>
      </c>
      <c r="E84" s="134">
        <v>7.4</v>
      </c>
      <c r="F84" s="134">
        <v>5.7</v>
      </c>
      <c r="G84" s="134">
        <v>17.760000000000002</v>
      </c>
      <c r="H84" s="134">
        <v>5.52</v>
      </c>
      <c r="I84" s="134">
        <v>4.24</v>
      </c>
      <c r="J84" s="134">
        <v>0.74</v>
      </c>
      <c r="K84" s="134">
        <v>263.31</v>
      </c>
      <c r="L84" s="134">
        <v>25.92</v>
      </c>
      <c r="M84" s="134">
        <v>91.3</v>
      </c>
      <c r="N84" s="134">
        <v>0</v>
      </c>
      <c r="O84" s="134">
        <v>0</v>
      </c>
      <c r="P84" s="134">
        <v>0.49</v>
      </c>
      <c r="Q84" s="134">
        <v>4.05</v>
      </c>
    </row>
    <row r="85" spans="1:17" customFormat="1">
      <c r="A85" s="112" t="s">
        <v>2233</v>
      </c>
      <c r="B85" s="134">
        <v>12.48</v>
      </c>
      <c r="C85" s="134">
        <v>23.36</v>
      </c>
      <c r="D85" s="134">
        <v>23.57</v>
      </c>
      <c r="E85" s="134">
        <v>7.94</v>
      </c>
      <c r="F85" s="134">
        <v>4.33</v>
      </c>
      <c r="G85" s="134">
        <v>17.760000000000002</v>
      </c>
      <c r="H85" s="134">
        <v>5.52</v>
      </c>
      <c r="I85" s="134">
        <v>4.1500000000000004</v>
      </c>
      <c r="J85" s="134">
        <v>0.69</v>
      </c>
      <c r="K85" s="134">
        <v>261.97000000000003</v>
      </c>
      <c r="L85" s="134">
        <v>25.6</v>
      </c>
      <c r="M85" s="134">
        <v>91.53</v>
      </c>
      <c r="N85" s="134">
        <v>0</v>
      </c>
      <c r="O85" s="134">
        <v>0</v>
      </c>
      <c r="P85" s="134">
        <v>0.5</v>
      </c>
      <c r="Q85" s="134">
        <v>4.03</v>
      </c>
    </row>
    <row r="86" spans="1:17" customFormat="1">
      <c r="A86" s="112" t="s">
        <v>2234</v>
      </c>
      <c r="B86" s="134">
        <v>12.26</v>
      </c>
      <c r="C86" s="134">
        <v>22.57</v>
      </c>
      <c r="D86" s="134">
        <v>22.98</v>
      </c>
      <c r="E86" s="134">
        <v>7.63</v>
      </c>
      <c r="F86" s="134">
        <v>4.93</v>
      </c>
      <c r="G86" s="134">
        <v>13.95</v>
      </c>
      <c r="H86" s="134">
        <v>4.59</v>
      </c>
      <c r="I86" s="134">
        <v>4.12</v>
      </c>
      <c r="J86" s="134">
        <v>0.78</v>
      </c>
      <c r="K86" s="134">
        <v>264.64999999999998</v>
      </c>
      <c r="L86" s="134">
        <v>25.27</v>
      </c>
      <c r="M86" s="134">
        <v>93.59</v>
      </c>
      <c r="N86" s="134">
        <v>0</v>
      </c>
      <c r="O86" s="134">
        <v>0.2</v>
      </c>
      <c r="P86" s="134">
        <v>0.49</v>
      </c>
      <c r="Q86" s="134">
        <v>4.09</v>
      </c>
    </row>
    <row r="87" spans="1:17" customFormat="1">
      <c r="A87" s="112" t="s">
        <v>2235</v>
      </c>
      <c r="B87" s="134">
        <v>12.14</v>
      </c>
      <c r="C87" s="134">
        <v>21.94</v>
      </c>
      <c r="D87" s="134">
        <v>22.55</v>
      </c>
      <c r="E87" s="134">
        <v>7.44</v>
      </c>
      <c r="F87" s="134">
        <v>5.09</v>
      </c>
      <c r="G87" s="134">
        <v>13.31</v>
      </c>
      <c r="H87" s="134">
        <v>4.59</v>
      </c>
      <c r="I87" s="134">
        <v>4.1900000000000004</v>
      </c>
      <c r="J87" s="134">
        <v>0.79</v>
      </c>
      <c r="K87" s="134">
        <v>269.12</v>
      </c>
      <c r="L87" s="134">
        <v>25.15</v>
      </c>
      <c r="M87" s="134">
        <v>94.15</v>
      </c>
      <c r="N87" s="134">
        <v>0</v>
      </c>
      <c r="O87" s="134">
        <v>0</v>
      </c>
      <c r="P87" s="134">
        <v>0.47</v>
      </c>
      <c r="Q87" s="134">
        <v>4.03</v>
      </c>
    </row>
    <row r="88" spans="1:17" customFormat="1">
      <c r="A88" s="112" t="s">
        <v>2236</v>
      </c>
      <c r="B88" s="134">
        <v>12.07</v>
      </c>
      <c r="C88" s="134">
        <v>23.33</v>
      </c>
      <c r="D88" s="134">
        <v>23.22</v>
      </c>
      <c r="E88" s="134">
        <v>7.52</v>
      </c>
      <c r="F88" s="134">
        <v>4.0199999999999996</v>
      </c>
      <c r="G88" s="134">
        <v>13.31</v>
      </c>
      <c r="H88" s="134">
        <v>4.59</v>
      </c>
      <c r="I88" s="134">
        <v>4.04</v>
      </c>
      <c r="J88" s="134">
        <v>0.65</v>
      </c>
      <c r="K88" s="134">
        <v>283.19</v>
      </c>
      <c r="L88" s="134">
        <v>25.06</v>
      </c>
      <c r="M88" s="134">
        <v>94.81</v>
      </c>
      <c r="N88" s="134">
        <v>0</v>
      </c>
      <c r="O88" s="134">
        <v>0.2</v>
      </c>
      <c r="P88" s="134">
        <v>0.49</v>
      </c>
      <c r="Q88" s="134">
        <v>4.01</v>
      </c>
    </row>
    <row r="89" spans="1:17" customFormat="1">
      <c r="A89" s="112" t="s">
        <v>2237</v>
      </c>
      <c r="B89" s="134">
        <v>12.22</v>
      </c>
      <c r="C89" s="134">
        <v>22.72</v>
      </c>
      <c r="D89" s="134">
        <v>23.02</v>
      </c>
      <c r="E89" s="134">
        <v>7.66</v>
      </c>
      <c r="F89" s="134">
        <v>4.47</v>
      </c>
      <c r="G89" s="134">
        <v>13.31</v>
      </c>
      <c r="H89" s="134">
        <v>4.59</v>
      </c>
      <c r="I89" s="134">
        <v>4.01</v>
      </c>
      <c r="J89" s="134">
        <v>0.5</v>
      </c>
      <c r="K89" s="134">
        <v>290.37</v>
      </c>
      <c r="L89" s="134">
        <v>25</v>
      </c>
      <c r="M89" s="134">
        <v>96.08</v>
      </c>
      <c r="N89" s="134">
        <v>0</v>
      </c>
      <c r="O89" s="134">
        <v>0.2</v>
      </c>
      <c r="P89" s="134">
        <v>0.49</v>
      </c>
      <c r="Q89" s="134">
        <v>4.0199999999999996</v>
      </c>
    </row>
    <row r="90" spans="1:17" customFormat="1">
      <c r="A90" s="112" t="s">
        <v>2238</v>
      </c>
      <c r="B90" s="134">
        <v>12.31</v>
      </c>
      <c r="C90" s="134">
        <v>22.71</v>
      </c>
      <c r="D90" s="134">
        <v>23.09</v>
      </c>
      <c r="E90" s="134">
        <v>7.49</v>
      </c>
      <c r="F90" s="134">
        <v>4.5999999999999996</v>
      </c>
      <c r="G90" s="134">
        <v>9.9600000000000009</v>
      </c>
      <c r="H90" s="134">
        <v>4.83</v>
      </c>
      <c r="I90" s="134">
        <v>4.03</v>
      </c>
      <c r="J90" s="134">
        <v>0.54</v>
      </c>
      <c r="K90" s="134">
        <v>282.66000000000003</v>
      </c>
      <c r="L90" s="134">
        <v>24.9</v>
      </c>
      <c r="M90" s="134">
        <v>96.68</v>
      </c>
      <c r="N90" s="134">
        <v>0</v>
      </c>
      <c r="O90" s="134">
        <v>0.4</v>
      </c>
      <c r="P90" s="134">
        <v>0.5</v>
      </c>
      <c r="Q90" s="134">
        <v>4.01</v>
      </c>
    </row>
    <row r="91" spans="1:17" customFormat="1">
      <c r="A91" s="112" t="s">
        <v>2239</v>
      </c>
      <c r="B91" s="134">
        <v>12.64</v>
      </c>
      <c r="C91" s="134">
        <v>24.36</v>
      </c>
      <c r="D91" s="134">
        <v>24.22</v>
      </c>
      <c r="E91" s="134">
        <v>7.63</v>
      </c>
      <c r="F91" s="134">
        <v>3.85</v>
      </c>
      <c r="G91" s="134">
        <v>9.39</v>
      </c>
      <c r="H91" s="134">
        <v>4.83</v>
      </c>
      <c r="I91" s="134">
        <v>4.03</v>
      </c>
      <c r="J91" s="134">
        <v>0.28000000000000003</v>
      </c>
      <c r="K91" s="134">
        <v>305.39</v>
      </c>
      <c r="L91" s="134">
        <v>24.81</v>
      </c>
      <c r="M91" s="134">
        <v>97.59</v>
      </c>
      <c r="N91" s="134">
        <v>0</v>
      </c>
      <c r="O91" s="134">
        <v>0.2</v>
      </c>
      <c r="P91" s="134">
        <v>0.51</v>
      </c>
      <c r="Q91" s="134">
        <v>4.01</v>
      </c>
    </row>
    <row r="92" spans="1:17" customFormat="1">
      <c r="A92" s="112" t="s">
        <v>2240</v>
      </c>
      <c r="B92" s="134">
        <v>13.2</v>
      </c>
      <c r="C92" s="134">
        <v>23.59</v>
      </c>
      <c r="D92" s="134">
        <v>24.27</v>
      </c>
      <c r="E92" s="134">
        <v>7.42</v>
      </c>
      <c r="F92" s="134">
        <v>4.82</v>
      </c>
      <c r="G92" s="134">
        <v>9.39</v>
      </c>
      <c r="H92" s="134">
        <v>4.83</v>
      </c>
      <c r="I92" s="134">
        <v>4.1100000000000003</v>
      </c>
      <c r="J92" s="134">
        <v>0.61</v>
      </c>
      <c r="K92" s="134">
        <v>21.89</v>
      </c>
      <c r="L92" s="134">
        <v>24.42</v>
      </c>
      <c r="M92" s="134">
        <v>97.74</v>
      </c>
      <c r="N92" s="134">
        <v>0</v>
      </c>
      <c r="O92" s="134">
        <v>0.2</v>
      </c>
      <c r="P92" s="134">
        <v>0.49</v>
      </c>
      <c r="Q92" s="134">
        <v>4.08</v>
      </c>
    </row>
    <row r="93" spans="1:17" customFormat="1">
      <c r="A93" s="112" t="s">
        <v>2241</v>
      </c>
      <c r="B93" s="134">
        <v>13.51</v>
      </c>
      <c r="C93" s="134">
        <v>23.44</v>
      </c>
      <c r="D93" s="134">
        <v>24.43</v>
      </c>
      <c r="E93" s="134">
        <v>7.94</v>
      </c>
      <c r="F93" s="134">
        <v>4.7300000000000004</v>
      </c>
      <c r="G93" s="134">
        <v>9.39</v>
      </c>
      <c r="H93" s="134">
        <v>4.83</v>
      </c>
      <c r="I93" s="134">
        <v>4.17</v>
      </c>
      <c r="J93" s="134">
        <v>0.4</v>
      </c>
      <c r="K93" s="134">
        <v>314.01</v>
      </c>
      <c r="L93" s="134">
        <v>23.85</v>
      </c>
      <c r="M93" s="134">
        <v>97.17</v>
      </c>
      <c r="N93" s="134">
        <v>0</v>
      </c>
      <c r="O93" s="134">
        <v>0</v>
      </c>
      <c r="P93" s="134">
        <v>0.49</v>
      </c>
      <c r="Q93" s="134">
        <v>4.05</v>
      </c>
    </row>
    <row r="94" spans="1:17" customFormat="1">
      <c r="A94" s="112" t="s">
        <v>2242</v>
      </c>
      <c r="B94" s="134">
        <v>13.79</v>
      </c>
      <c r="C94" s="134">
        <v>25.36</v>
      </c>
      <c r="D94" s="134">
        <v>25.66</v>
      </c>
      <c r="E94" s="134">
        <v>7.46</v>
      </c>
      <c r="F94" s="134">
        <v>3.8</v>
      </c>
      <c r="G94" s="134">
        <v>11.58</v>
      </c>
      <c r="H94" s="134">
        <v>3.49</v>
      </c>
      <c r="I94" s="134">
        <v>4.08</v>
      </c>
      <c r="J94" s="134">
        <v>0.31</v>
      </c>
      <c r="K94" s="134">
        <v>309.88</v>
      </c>
      <c r="L94" s="134">
        <v>23.76</v>
      </c>
      <c r="M94" s="134">
        <v>97.32</v>
      </c>
      <c r="N94" s="134">
        <v>0</v>
      </c>
      <c r="O94" s="134">
        <v>0.2</v>
      </c>
      <c r="P94" s="134">
        <v>0.51</v>
      </c>
      <c r="Q94" s="134">
        <v>4.07</v>
      </c>
    </row>
    <row r="95" spans="1:17" customFormat="1">
      <c r="A95" s="112" t="s">
        <v>2243</v>
      </c>
      <c r="B95" s="134">
        <v>14.2</v>
      </c>
      <c r="C95" s="134">
        <v>24.86</v>
      </c>
      <c r="D95" s="134">
        <v>25.73</v>
      </c>
      <c r="E95" s="134">
        <v>8.2200000000000006</v>
      </c>
      <c r="F95" s="134">
        <v>4.45</v>
      </c>
      <c r="G95" s="134">
        <v>11.95</v>
      </c>
      <c r="H95" s="134">
        <v>3.49</v>
      </c>
      <c r="I95" s="134">
        <v>4.12</v>
      </c>
      <c r="J95" s="134">
        <v>0.18</v>
      </c>
      <c r="K95" s="134">
        <v>324.82</v>
      </c>
      <c r="L95" s="134">
        <v>23.86</v>
      </c>
      <c r="M95" s="134">
        <v>97.75</v>
      </c>
      <c r="N95" s="134">
        <v>0</v>
      </c>
      <c r="O95" s="134">
        <v>0</v>
      </c>
      <c r="P95" s="134">
        <v>0.5</v>
      </c>
      <c r="Q95" s="134">
        <v>4.12</v>
      </c>
    </row>
    <row r="96" spans="1:17" customFormat="1">
      <c r="A96" s="112" t="s">
        <v>2244</v>
      </c>
      <c r="B96" s="134">
        <v>14.9</v>
      </c>
      <c r="C96" s="134">
        <v>24.43</v>
      </c>
      <c r="D96" s="134">
        <v>26.06</v>
      </c>
      <c r="E96" s="134">
        <v>7.46</v>
      </c>
      <c r="F96" s="134">
        <v>4.43</v>
      </c>
      <c r="G96" s="134">
        <v>11.95</v>
      </c>
      <c r="H96" s="134">
        <v>3.49</v>
      </c>
      <c r="I96" s="134">
        <v>4.2</v>
      </c>
      <c r="J96" s="134">
        <v>0.19</v>
      </c>
      <c r="K96" s="134">
        <v>19.86</v>
      </c>
      <c r="L96" s="134">
        <v>23.9</v>
      </c>
      <c r="M96" s="134">
        <v>98.11</v>
      </c>
      <c r="N96" s="134">
        <v>0</v>
      </c>
      <c r="O96" s="134">
        <v>0</v>
      </c>
      <c r="P96" s="134">
        <v>0.51</v>
      </c>
      <c r="Q96" s="134">
        <v>4.1100000000000003</v>
      </c>
    </row>
    <row r="97" spans="1:22" customFormat="1">
      <c r="A97" s="112" t="s">
        <v>2245</v>
      </c>
      <c r="B97" s="134">
        <v>15.55</v>
      </c>
      <c r="C97" s="134">
        <v>25.9</v>
      </c>
      <c r="D97" s="134">
        <v>27.36</v>
      </c>
      <c r="E97" s="134">
        <v>7.55</v>
      </c>
      <c r="F97" s="134">
        <v>3.66</v>
      </c>
      <c r="G97" s="134">
        <v>11.95</v>
      </c>
      <c r="H97" s="134">
        <v>3.49</v>
      </c>
      <c r="I97" s="134">
        <v>4.21</v>
      </c>
      <c r="J97" s="134">
        <v>0.18</v>
      </c>
      <c r="K97" s="134">
        <v>19.62</v>
      </c>
      <c r="L97" s="134">
        <v>23.93</v>
      </c>
      <c r="M97" s="134">
        <v>98.2</v>
      </c>
      <c r="N97" s="134">
        <v>0</v>
      </c>
      <c r="O97" s="134">
        <v>0</v>
      </c>
      <c r="P97" s="134">
        <v>0.52</v>
      </c>
      <c r="Q97" s="134">
        <v>4.13</v>
      </c>
    </row>
    <row r="98" spans="1:22" customFormat="1">
      <c r="A98" s="112" t="s">
        <v>2246</v>
      </c>
      <c r="B98" s="134">
        <v>16.14</v>
      </c>
      <c r="C98" s="134">
        <v>25.42</v>
      </c>
      <c r="D98" s="134">
        <v>27.57</v>
      </c>
      <c r="E98" s="134">
        <v>7.63</v>
      </c>
      <c r="F98" s="134">
        <v>4.3899999999999997</v>
      </c>
      <c r="G98" s="134">
        <v>24.31</v>
      </c>
      <c r="H98" s="134">
        <v>8.83</v>
      </c>
      <c r="I98" s="134">
        <v>4.29</v>
      </c>
      <c r="J98" s="134">
        <v>0.28000000000000003</v>
      </c>
      <c r="K98" s="134">
        <v>288.55</v>
      </c>
      <c r="L98" s="134">
        <v>24.07</v>
      </c>
      <c r="M98" s="134">
        <v>98.38</v>
      </c>
      <c r="N98" s="134">
        <v>0</v>
      </c>
      <c r="O98" s="134">
        <v>0</v>
      </c>
      <c r="P98" s="134">
        <v>0.52</v>
      </c>
      <c r="Q98" s="134">
        <v>4.21</v>
      </c>
    </row>
    <row r="99" spans="1:22" customFormat="1">
      <c r="A99" s="112" t="s">
        <v>2247</v>
      </c>
      <c r="B99" s="134">
        <v>16.36</v>
      </c>
      <c r="C99" s="134">
        <v>25.5</v>
      </c>
      <c r="D99" s="134">
        <v>27.8</v>
      </c>
      <c r="E99" s="134">
        <v>7.65</v>
      </c>
      <c r="F99" s="134">
        <v>4.2300000000000004</v>
      </c>
      <c r="G99" s="134">
        <v>26.4</v>
      </c>
      <c r="H99" s="134">
        <v>8.83</v>
      </c>
      <c r="I99" s="134">
        <v>4.4400000000000004</v>
      </c>
      <c r="J99" s="134">
        <v>0.08</v>
      </c>
      <c r="K99" s="134">
        <v>273.12</v>
      </c>
      <c r="L99" s="134">
        <v>24.21</v>
      </c>
      <c r="M99" s="134">
        <v>98.41</v>
      </c>
      <c r="N99" s="134">
        <v>0</v>
      </c>
      <c r="O99" s="134">
        <v>0</v>
      </c>
      <c r="P99" s="134">
        <v>0.52</v>
      </c>
      <c r="Q99" s="134">
        <v>4.21</v>
      </c>
    </row>
    <row r="100" spans="1:22" customFormat="1">
      <c r="A100" s="112" t="s">
        <v>2248</v>
      </c>
      <c r="B100" s="134">
        <v>16.809999999999999</v>
      </c>
      <c r="C100" s="134">
        <v>27.35</v>
      </c>
      <c r="D100" s="134">
        <v>29.13</v>
      </c>
      <c r="E100" s="134">
        <v>8.01</v>
      </c>
      <c r="F100" s="134">
        <v>3.38</v>
      </c>
      <c r="G100" s="134">
        <v>26.4</v>
      </c>
      <c r="H100" s="134">
        <v>8.83</v>
      </c>
      <c r="I100" s="134">
        <v>4.4800000000000004</v>
      </c>
      <c r="J100" s="134">
        <v>0.17</v>
      </c>
      <c r="K100" s="134">
        <v>227.08</v>
      </c>
      <c r="L100" s="134">
        <v>24.31</v>
      </c>
      <c r="M100" s="134">
        <v>98.41</v>
      </c>
      <c r="N100" s="134">
        <v>0</v>
      </c>
      <c r="O100" s="134">
        <v>0</v>
      </c>
      <c r="P100" s="134">
        <v>0.56000000000000005</v>
      </c>
      <c r="Q100" s="134">
        <v>4.2300000000000004</v>
      </c>
    </row>
    <row r="101" spans="1:22" customFormat="1">
      <c r="A101" s="112" t="s">
        <v>2249</v>
      </c>
      <c r="B101" s="134">
        <v>17.22</v>
      </c>
      <c r="C101" s="134">
        <v>26.44</v>
      </c>
      <c r="D101" s="134">
        <v>28.97</v>
      </c>
      <c r="E101" s="134">
        <v>7.89</v>
      </c>
      <c r="F101" s="134">
        <v>4.4000000000000004</v>
      </c>
      <c r="G101" s="134">
        <v>26.4</v>
      </c>
      <c r="H101" s="134">
        <v>8.83</v>
      </c>
      <c r="I101" s="134">
        <v>4.59</v>
      </c>
      <c r="J101" s="134">
        <v>0.19</v>
      </c>
      <c r="K101" s="134">
        <v>262.67</v>
      </c>
      <c r="L101" s="134">
        <v>24.35</v>
      </c>
      <c r="M101" s="134">
        <v>98.47</v>
      </c>
      <c r="N101" s="134">
        <v>0</v>
      </c>
      <c r="O101" s="134">
        <v>0</v>
      </c>
      <c r="P101" s="134">
        <v>0.55000000000000004</v>
      </c>
      <c r="Q101" s="134">
        <v>4.25</v>
      </c>
    </row>
    <row r="102" spans="1:22" customFormat="1">
      <c r="A102" s="112" t="s">
        <v>2250</v>
      </c>
      <c r="B102" s="134">
        <v>17.38</v>
      </c>
      <c r="C102" s="134">
        <v>25.48</v>
      </c>
      <c r="D102" s="134">
        <v>28.6</v>
      </c>
      <c r="E102" s="134">
        <v>7.89</v>
      </c>
      <c r="F102" s="134">
        <v>4.74</v>
      </c>
      <c r="G102" s="134">
        <v>32.479999999999997</v>
      </c>
      <c r="H102" s="134">
        <v>16.739999999999998</v>
      </c>
      <c r="I102" s="134">
        <v>4.8899999999999997</v>
      </c>
      <c r="J102" s="134">
        <v>0.22</v>
      </c>
      <c r="K102" s="134">
        <v>267.39999999999998</v>
      </c>
      <c r="L102" s="134">
        <v>24.43</v>
      </c>
      <c r="M102" s="134">
        <v>98.28</v>
      </c>
      <c r="N102" s="134">
        <v>0</v>
      </c>
      <c r="O102" s="134">
        <v>0</v>
      </c>
      <c r="P102" s="134">
        <v>0.54</v>
      </c>
      <c r="Q102" s="134">
        <v>4.25</v>
      </c>
    </row>
    <row r="103" spans="1:22" customFormat="1">
      <c r="A103" s="112" t="s">
        <v>2251</v>
      </c>
      <c r="B103" s="134">
        <v>17.53</v>
      </c>
      <c r="C103" s="134">
        <v>26.82</v>
      </c>
      <c r="D103" s="134">
        <v>29.42</v>
      </c>
      <c r="E103" s="134">
        <v>7.92</v>
      </c>
      <c r="F103" s="134">
        <v>4.03</v>
      </c>
      <c r="G103" s="134">
        <v>33.5</v>
      </c>
      <c r="H103" s="134">
        <v>16.739999999999998</v>
      </c>
      <c r="I103" s="134">
        <v>5.0999999999999996</v>
      </c>
      <c r="J103" s="134">
        <v>0.27</v>
      </c>
      <c r="K103" s="134">
        <v>263.52</v>
      </c>
      <c r="L103" s="134">
        <v>24.43</v>
      </c>
      <c r="M103" s="134">
        <v>98.09</v>
      </c>
      <c r="N103" s="134">
        <v>0</v>
      </c>
      <c r="O103" s="134">
        <v>0</v>
      </c>
      <c r="P103" s="134">
        <v>0.55000000000000004</v>
      </c>
      <c r="Q103" s="134">
        <v>4.24</v>
      </c>
    </row>
    <row r="104" spans="1:22" customFormat="1">
      <c r="A104" s="112" t="s">
        <v>2252</v>
      </c>
      <c r="B104" s="134">
        <v>17.91</v>
      </c>
      <c r="C104" s="134">
        <v>25.91</v>
      </c>
      <c r="D104" s="134">
        <v>29.25</v>
      </c>
      <c r="E104" s="134">
        <v>8.31</v>
      </c>
      <c r="F104" s="134">
        <v>4.51</v>
      </c>
      <c r="G104" s="134">
        <v>33.5</v>
      </c>
      <c r="H104" s="134">
        <v>16.739999999999998</v>
      </c>
      <c r="I104" s="134">
        <v>5.0999999999999996</v>
      </c>
      <c r="J104" s="134">
        <v>0.28000000000000003</v>
      </c>
      <c r="K104" s="134">
        <v>281.95</v>
      </c>
      <c r="L104" s="134">
        <v>24.43</v>
      </c>
      <c r="M104" s="134">
        <v>97.91</v>
      </c>
      <c r="N104" s="134">
        <v>0</v>
      </c>
      <c r="O104" s="134">
        <v>0</v>
      </c>
      <c r="P104" s="134">
        <v>0.54</v>
      </c>
      <c r="Q104" s="134">
        <v>4.2699999999999996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11.55</v>
      </c>
      <c r="C106" s="183">
        <f>MIN(C9:C104)</f>
        <v>19.37</v>
      </c>
      <c r="D106" s="183">
        <f t="shared" ref="D106:Q106" si="0">MIN(D9:D104)</f>
        <v>21.35</v>
      </c>
      <c r="E106" s="183">
        <f t="shared" si="0"/>
        <v>6.11</v>
      </c>
      <c r="F106" s="183">
        <f t="shared" si="0"/>
        <v>3.38</v>
      </c>
      <c r="G106" s="183">
        <f t="shared" si="0"/>
        <v>4.26</v>
      </c>
      <c r="H106" s="183">
        <f t="shared" si="0"/>
        <v>1.73</v>
      </c>
      <c r="I106" s="183">
        <f t="shared" si="0"/>
        <v>3.95</v>
      </c>
      <c r="J106" s="183">
        <f t="shared" si="0"/>
        <v>0.08</v>
      </c>
      <c r="K106" s="183">
        <f t="shared" si="0"/>
        <v>6.62</v>
      </c>
      <c r="L106" s="183">
        <f t="shared" si="0"/>
        <v>23.07</v>
      </c>
      <c r="M106" s="183">
        <f t="shared" si="0"/>
        <v>83</v>
      </c>
      <c r="N106" s="183">
        <f t="shared" si="0"/>
        <v>0</v>
      </c>
      <c r="O106" s="183">
        <f t="shared" si="0"/>
        <v>0</v>
      </c>
      <c r="P106" s="183">
        <f t="shared" si="0"/>
        <v>0.44</v>
      </c>
      <c r="Q106" s="183">
        <f t="shared" si="0"/>
        <v>3.83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22.87</v>
      </c>
      <c r="C107" s="184">
        <f t="shared" ref="C107:Q107" si="1">MAX(C9:C104)</f>
        <v>28.18</v>
      </c>
      <c r="D107" s="184">
        <f t="shared" si="1"/>
        <v>34.19</v>
      </c>
      <c r="E107" s="184">
        <f t="shared" si="1"/>
        <v>8.98</v>
      </c>
      <c r="F107" s="184">
        <f t="shared" si="1"/>
        <v>10.039999999999999</v>
      </c>
      <c r="G107" s="184">
        <f t="shared" si="1"/>
        <v>33.5</v>
      </c>
      <c r="H107" s="184">
        <f t="shared" si="1"/>
        <v>16.739999999999998</v>
      </c>
      <c r="I107" s="184">
        <f t="shared" si="1"/>
        <v>5.0999999999999996</v>
      </c>
      <c r="J107" s="184">
        <f t="shared" si="1"/>
        <v>0.92</v>
      </c>
      <c r="K107" s="184">
        <f t="shared" si="1"/>
        <v>357.25</v>
      </c>
      <c r="L107" s="184">
        <f t="shared" si="1"/>
        <v>28.4</v>
      </c>
      <c r="M107" s="184">
        <f t="shared" si="1"/>
        <v>100.42</v>
      </c>
      <c r="N107" s="184">
        <f t="shared" si="1"/>
        <v>282.3</v>
      </c>
      <c r="O107" s="184">
        <f t="shared" si="1"/>
        <v>8</v>
      </c>
      <c r="P107" s="184">
        <f t="shared" si="1"/>
        <v>0.61</v>
      </c>
      <c r="Q107" s="184">
        <f t="shared" si="1"/>
        <v>4.7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15.945000000000006</v>
      </c>
      <c r="C108" s="183">
        <f t="shared" ref="C108:Q108" si="2">AVERAGE(C9:C104)</f>
        <v>24.445104166666663</v>
      </c>
      <c r="D108" s="183">
        <f t="shared" si="2"/>
        <v>26.90958333333333</v>
      </c>
      <c r="E108" s="183">
        <f t="shared" si="2"/>
        <v>7.6596875000000013</v>
      </c>
      <c r="F108" s="183">
        <f t="shared" si="2"/>
        <v>4.8443750000000021</v>
      </c>
      <c r="G108" s="183">
        <f t="shared" si="2"/>
        <v>13.60177083333334</v>
      </c>
      <c r="H108" s="183">
        <f t="shared" si="2"/>
        <v>6.1607291666666697</v>
      </c>
      <c r="I108" s="183">
        <f t="shared" si="2"/>
        <v>4.308958333333333</v>
      </c>
      <c r="J108" s="183">
        <f t="shared" si="2"/>
        <v>0.33041666666666664</v>
      </c>
      <c r="K108" s="183">
        <f t="shared" si="2"/>
        <v>262.04666666666668</v>
      </c>
      <c r="L108" s="183">
        <f t="shared" si="2"/>
        <v>25.42635416666667</v>
      </c>
      <c r="M108" s="183">
        <f t="shared" si="2"/>
        <v>96.517291666666623</v>
      </c>
      <c r="N108" s="183">
        <f t="shared" si="2"/>
        <v>49.464583333333344</v>
      </c>
      <c r="O108" s="183">
        <f t="shared" si="2"/>
        <v>0.35208333333333353</v>
      </c>
      <c r="P108" s="183">
        <f t="shared" si="2"/>
        <v>0.50854166666666689</v>
      </c>
      <c r="Q108" s="183">
        <f t="shared" si="2"/>
        <v>4.236041666666666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3.3696634222051207</v>
      </c>
      <c r="C109" s="183">
        <f t="shared" ref="C109:Q109" si="3">STDEV(C9:C104)</f>
        <v>1.8601443038486514</v>
      </c>
      <c r="D109" s="183">
        <f t="shared" si="3"/>
        <v>3.5452289412129505</v>
      </c>
      <c r="E109" s="183">
        <f t="shared" si="3"/>
        <v>0.69886894054079063</v>
      </c>
      <c r="F109" s="183">
        <f t="shared" si="3"/>
        <v>1.0926210037770228</v>
      </c>
      <c r="G109" s="183">
        <f t="shared" si="3"/>
        <v>7.31229476470123</v>
      </c>
      <c r="H109" s="183">
        <f t="shared" si="3"/>
        <v>3.2367456836480062</v>
      </c>
      <c r="I109" s="183">
        <f t="shared" si="3"/>
        <v>0.29139403297965122</v>
      </c>
      <c r="J109" s="183">
        <f t="shared" si="3"/>
        <v>0.18265248376236615</v>
      </c>
      <c r="K109" s="183">
        <f t="shared" si="3"/>
        <v>62.144950367188727</v>
      </c>
      <c r="L109" s="183">
        <f t="shared" si="3"/>
        <v>1.4111176009716027</v>
      </c>
      <c r="M109" s="183">
        <f t="shared" si="3"/>
        <v>5.6779702598672639</v>
      </c>
      <c r="N109" s="183">
        <f t="shared" si="3"/>
        <v>84.083932978231445</v>
      </c>
      <c r="O109" s="183">
        <f t="shared" si="3"/>
        <v>0.90785799569694681</v>
      </c>
      <c r="P109" s="183">
        <f t="shared" si="3"/>
        <v>4.3961206981812287E-2</v>
      </c>
      <c r="Q109" s="183">
        <f t="shared" si="3"/>
        <v>0.24019500484163306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22/09/2023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2253</v>
      </c>
      <c r="B9" s="134">
        <v>17.399999999999999</v>
      </c>
      <c r="C9" s="134">
        <v>25.35</v>
      </c>
      <c r="D9" s="134">
        <v>28.55</v>
      </c>
      <c r="E9" s="134">
        <v>8.0399999999999991</v>
      </c>
      <c r="F9" s="134">
        <v>4.58</v>
      </c>
      <c r="G9" s="134">
        <v>33.5</v>
      </c>
      <c r="H9" s="134">
        <v>16.739999999999998</v>
      </c>
      <c r="I9" s="134">
        <v>5.16</v>
      </c>
      <c r="J9" s="134">
        <v>0.31</v>
      </c>
      <c r="K9" s="134">
        <v>265.33999999999997</v>
      </c>
      <c r="L9" s="134">
        <v>24.45</v>
      </c>
      <c r="M9" s="134">
        <v>97.92</v>
      </c>
      <c r="N9" s="134">
        <v>0</v>
      </c>
      <c r="O9" s="134">
        <v>0</v>
      </c>
      <c r="P9" s="134">
        <v>0.53</v>
      </c>
      <c r="Q9" s="134">
        <v>4.22</v>
      </c>
    </row>
    <row r="10" spans="1:21" customFormat="1">
      <c r="A10" s="112" t="s">
        <v>2254</v>
      </c>
      <c r="B10" s="134">
        <v>17.34</v>
      </c>
      <c r="C10" s="134">
        <v>26.97</v>
      </c>
      <c r="D10" s="134">
        <v>29.35</v>
      </c>
      <c r="E10" s="134">
        <v>8.0399999999999991</v>
      </c>
      <c r="F10" s="134">
        <v>3.64</v>
      </c>
      <c r="G10" s="134">
        <v>33.03</v>
      </c>
      <c r="H10" s="134">
        <v>11.52</v>
      </c>
      <c r="I10" s="134">
        <v>5.09</v>
      </c>
      <c r="J10" s="134">
        <v>0.4</v>
      </c>
      <c r="K10" s="134">
        <v>265.47000000000003</v>
      </c>
      <c r="L10" s="134">
        <v>24.47</v>
      </c>
      <c r="M10" s="134">
        <v>97.84</v>
      </c>
      <c r="N10" s="134">
        <v>0</v>
      </c>
      <c r="O10" s="134">
        <v>0</v>
      </c>
      <c r="P10" s="134">
        <v>0.54</v>
      </c>
      <c r="Q10" s="134">
        <v>4.21</v>
      </c>
    </row>
    <row r="11" spans="1:21" customFormat="1">
      <c r="A11" s="112" t="s">
        <v>2255</v>
      </c>
      <c r="B11" s="134">
        <v>17.649999999999999</v>
      </c>
      <c r="C11" s="134">
        <v>26.42</v>
      </c>
      <c r="D11" s="134">
        <v>29.31</v>
      </c>
      <c r="E11" s="134">
        <v>8.32</v>
      </c>
      <c r="F11" s="134">
        <v>4.1500000000000004</v>
      </c>
      <c r="G11" s="134">
        <v>32.950000000000003</v>
      </c>
      <c r="H11" s="134">
        <v>11.52</v>
      </c>
      <c r="I11" s="134">
        <v>5</v>
      </c>
      <c r="J11" s="134">
        <v>0.35</v>
      </c>
      <c r="K11" s="134">
        <v>257.05</v>
      </c>
      <c r="L11" s="134">
        <v>24.52</v>
      </c>
      <c r="M11" s="134">
        <v>97.66</v>
      </c>
      <c r="N11" s="134">
        <v>0</v>
      </c>
      <c r="O11" s="134">
        <v>0</v>
      </c>
      <c r="P11" s="134">
        <v>0.54</v>
      </c>
      <c r="Q11" s="134">
        <v>4.25</v>
      </c>
    </row>
    <row r="12" spans="1:21" customFormat="1">
      <c r="A12" s="112" t="s">
        <v>2256</v>
      </c>
      <c r="B12" s="134">
        <v>17.59</v>
      </c>
      <c r="C12" s="134">
        <v>24.91</v>
      </c>
      <c r="D12" s="134">
        <v>28.47</v>
      </c>
      <c r="E12" s="134">
        <v>8.06</v>
      </c>
      <c r="F12" s="134">
        <v>4.63</v>
      </c>
      <c r="G12" s="134">
        <v>32.950000000000003</v>
      </c>
      <c r="H12" s="134">
        <v>11.52</v>
      </c>
      <c r="I12" s="134">
        <v>5.04</v>
      </c>
      <c r="J12" s="134">
        <v>0.32</v>
      </c>
      <c r="K12" s="134">
        <v>257.91000000000003</v>
      </c>
      <c r="L12" s="134">
        <v>24.53</v>
      </c>
      <c r="M12" s="134">
        <v>97.69</v>
      </c>
      <c r="N12" s="134">
        <v>0</v>
      </c>
      <c r="O12" s="134">
        <v>0</v>
      </c>
      <c r="P12" s="134">
        <v>0.53</v>
      </c>
      <c r="Q12" s="134">
        <v>4.2699999999999996</v>
      </c>
    </row>
    <row r="13" spans="1:21" customFormat="1">
      <c r="A13" s="112" t="s">
        <v>2257</v>
      </c>
      <c r="B13" s="134">
        <v>17.46</v>
      </c>
      <c r="C13" s="134">
        <v>25.81</v>
      </c>
      <c r="D13" s="134">
        <v>28.84</v>
      </c>
      <c r="E13" s="134">
        <v>7.79</v>
      </c>
      <c r="F13" s="134">
        <v>3.95</v>
      </c>
      <c r="G13" s="134">
        <v>32.950000000000003</v>
      </c>
      <c r="H13" s="134">
        <v>11.52</v>
      </c>
      <c r="I13" s="134">
        <v>4.99</v>
      </c>
      <c r="J13" s="134">
        <v>0.25</v>
      </c>
      <c r="K13" s="134">
        <v>255.76</v>
      </c>
      <c r="L13" s="134">
        <v>24.58</v>
      </c>
      <c r="M13" s="134">
        <v>97.66</v>
      </c>
      <c r="N13" s="134">
        <v>0</v>
      </c>
      <c r="O13" s="134">
        <v>0</v>
      </c>
      <c r="P13" s="134">
        <v>0.53</v>
      </c>
      <c r="Q13" s="134">
        <v>4.25</v>
      </c>
    </row>
    <row r="14" spans="1:21" customFormat="1">
      <c r="A14" s="112" t="s">
        <v>2258</v>
      </c>
      <c r="B14" s="134">
        <v>17.510000000000002</v>
      </c>
      <c r="C14" s="134">
        <v>25.41</v>
      </c>
      <c r="D14" s="134">
        <v>28.67</v>
      </c>
      <c r="E14" s="134">
        <v>8.14</v>
      </c>
      <c r="F14" s="134">
        <v>4.33</v>
      </c>
      <c r="G14" s="134">
        <v>28.35</v>
      </c>
      <c r="H14" s="134">
        <v>8.01</v>
      </c>
      <c r="I14" s="134">
        <v>4.8499999999999996</v>
      </c>
      <c r="J14" s="134">
        <v>0.16</v>
      </c>
      <c r="K14" s="134">
        <v>239.29</v>
      </c>
      <c r="L14" s="134">
        <v>24.57</v>
      </c>
      <c r="M14" s="134">
        <v>97.73</v>
      </c>
      <c r="N14" s="134">
        <v>0</v>
      </c>
      <c r="O14" s="134">
        <v>0</v>
      </c>
      <c r="P14" s="134">
        <v>0.52</v>
      </c>
      <c r="Q14" s="134">
        <v>4.2699999999999996</v>
      </c>
    </row>
    <row r="15" spans="1:21" customFormat="1">
      <c r="A15" s="112" t="s">
        <v>2259</v>
      </c>
      <c r="B15" s="134">
        <v>17.46</v>
      </c>
      <c r="C15" s="134">
        <v>24.04</v>
      </c>
      <c r="D15" s="134">
        <v>27.92</v>
      </c>
      <c r="E15" s="134">
        <v>7.74</v>
      </c>
      <c r="F15" s="134">
        <v>4.6399999999999997</v>
      </c>
      <c r="G15" s="134">
        <v>27.51</v>
      </c>
      <c r="H15" s="134">
        <v>8.01</v>
      </c>
      <c r="I15" s="134">
        <v>4.9400000000000004</v>
      </c>
      <c r="J15" s="134">
        <v>0.08</v>
      </c>
      <c r="K15" s="134">
        <v>231.03</v>
      </c>
      <c r="L15" s="134">
        <v>24.58</v>
      </c>
      <c r="M15" s="134">
        <v>97.85</v>
      </c>
      <c r="N15" s="134">
        <v>0</v>
      </c>
      <c r="O15" s="134">
        <v>0</v>
      </c>
      <c r="P15" s="134">
        <v>0.49</v>
      </c>
      <c r="Q15" s="134">
        <v>4.25</v>
      </c>
    </row>
    <row r="16" spans="1:21" customFormat="1">
      <c r="A16" s="112" t="s">
        <v>2260</v>
      </c>
      <c r="B16" s="134">
        <v>17.399999999999999</v>
      </c>
      <c r="C16" s="134">
        <v>25.03</v>
      </c>
      <c r="D16" s="134">
        <v>28.38</v>
      </c>
      <c r="E16" s="134">
        <v>8.6300000000000008</v>
      </c>
      <c r="F16" s="134">
        <v>3.83</v>
      </c>
      <c r="G16" s="134">
        <v>27.51</v>
      </c>
      <c r="H16" s="134">
        <v>8.01</v>
      </c>
      <c r="I16" s="134">
        <v>4.82</v>
      </c>
      <c r="J16" s="134">
        <v>0.2</v>
      </c>
      <c r="K16" s="134">
        <v>248.74</v>
      </c>
      <c r="L16" s="134">
        <v>24.6</v>
      </c>
      <c r="M16" s="134">
        <v>97.61</v>
      </c>
      <c r="N16" s="134">
        <v>0</v>
      </c>
      <c r="O16" s="134">
        <v>0</v>
      </c>
      <c r="P16" s="134">
        <v>0.51</v>
      </c>
      <c r="Q16" s="134">
        <v>4.22</v>
      </c>
    </row>
    <row r="17" spans="1:17" customFormat="1">
      <c r="A17" s="112" t="s">
        <v>2261</v>
      </c>
      <c r="B17" s="134">
        <v>17.48</v>
      </c>
      <c r="C17" s="134">
        <v>25.07</v>
      </c>
      <c r="D17" s="134">
        <v>28.47</v>
      </c>
      <c r="E17" s="134">
        <v>7.51</v>
      </c>
      <c r="F17" s="134">
        <v>4.08</v>
      </c>
      <c r="G17" s="134">
        <v>27.51</v>
      </c>
      <c r="H17" s="134">
        <v>8.01</v>
      </c>
      <c r="I17" s="134">
        <v>4.7300000000000004</v>
      </c>
      <c r="J17" s="134">
        <v>0.17</v>
      </c>
      <c r="K17" s="134">
        <v>257.5</v>
      </c>
      <c r="L17" s="134">
        <v>24.55</v>
      </c>
      <c r="M17" s="134">
        <v>97.68</v>
      </c>
      <c r="N17" s="134">
        <v>0</v>
      </c>
      <c r="O17" s="134">
        <v>0</v>
      </c>
      <c r="P17" s="134">
        <v>0.51</v>
      </c>
      <c r="Q17" s="134">
        <v>4.2699999999999996</v>
      </c>
    </row>
    <row r="18" spans="1:17" customFormat="1">
      <c r="A18" s="112" t="s">
        <v>2262</v>
      </c>
      <c r="B18" s="134">
        <v>17.23</v>
      </c>
      <c r="C18" s="134">
        <v>23.73</v>
      </c>
      <c r="D18" s="134">
        <v>27.57</v>
      </c>
      <c r="E18" s="134">
        <v>8.81</v>
      </c>
      <c r="F18" s="134">
        <v>4.63</v>
      </c>
      <c r="G18" s="134">
        <v>19.66</v>
      </c>
      <c r="H18" s="134">
        <v>5.94</v>
      </c>
      <c r="I18" s="134">
        <v>4.8499999999999996</v>
      </c>
      <c r="J18" s="134">
        <v>0.13</v>
      </c>
      <c r="K18" s="134">
        <v>196.21</v>
      </c>
      <c r="L18" s="134">
        <v>24.64</v>
      </c>
      <c r="M18" s="134">
        <v>97.88</v>
      </c>
      <c r="N18" s="134">
        <v>0</v>
      </c>
      <c r="O18" s="134">
        <v>0</v>
      </c>
      <c r="P18" s="134">
        <v>0.49</v>
      </c>
      <c r="Q18" s="134">
        <v>4.29</v>
      </c>
    </row>
    <row r="19" spans="1:17" customFormat="1">
      <c r="A19" s="112" t="s">
        <v>2263</v>
      </c>
      <c r="B19" s="134">
        <v>17.53</v>
      </c>
      <c r="C19" s="134">
        <v>25.06</v>
      </c>
      <c r="D19" s="134">
        <v>28.5</v>
      </c>
      <c r="E19" s="134">
        <v>8.58</v>
      </c>
      <c r="F19" s="134">
        <v>3.91</v>
      </c>
      <c r="G19" s="134">
        <v>18.21</v>
      </c>
      <c r="H19" s="134">
        <v>5.94</v>
      </c>
      <c r="I19" s="134">
        <v>4.7699999999999996</v>
      </c>
      <c r="J19" s="134">
        <v>0.31</v>
      </c>
      <c r="K19" s="134">
        <v>257.29000000000002</v>
      </c>
      <c r="L19" s="134">
        <v>24.62</v>
      </c>
      <c r="M19" s="134">
        <v>97.48</v>
      </c>
      <c r="N19" s="134">
        <v>0</v>
      </c>
      <c r="O19" s="134">
        <v>0</v>
      </c>
      <c r="P19" s="134">
        <v>0.52</v>
      </c>
      <c r="Q19" s="134">
        <v>4.29</v>
      </c>
    </row>
    <row r="20" spans="1:17" customFormat="1">
      <c r="A20" s="112" t="s">
        <v>2264</v>
      </c>
      <c r="B20" s="134">
        <v>17.690000000000001</v>
      </c>
      <c r="C20" s="134">
        <v>24.71</v>
      </c>
      <c r="D20" s="134">
        <v>28.45</v>
      </c>
      <c r="E20" s="134">
        <v>8.9600000000000009</v>
      </c>
      <c r="F20" s="134">
        <v>4.24</v>
      </c>
      <c r="G20" s="134">
        <v>18.21</v>
      </c>
      <c r="H20" s="134">
        <v>5.94</v>
      </c>
      <c r="I20" s="134">
        <v>4.7</v>
      </c>
      <c r="J20" s="134">
        <v>0.4</v>
      </c>
      <c r="K20" s="134">
        <v>257.76</v>
      </c>
      <c r="L20" s="134">
        <v>24.68</v>
      </c>
      <c r="M20" s="134">
        <v>97.35</v>
      </c>
      <c r="N20" s="134">
        <v>0</v>
      </c>
      <c r="O20" s="134">
        <v>0</v>
      </c>
      <c r="P20" s="134">
        <v>0.52</v>
      </c>
      <c r="Q20" s="134">
        <v>4.29</v>
      </c>
    </row>
    <row r="21" spans="1:17" customFormat="1">
      <c r="A21" s="112" t="s">
        <v>2265</v>
      </c>
      <c r="B21" s="134">
        <v>17.350000000000001</v>
      </c>
      <c r="C21" s="134">
        <v>23.5</v>
      </c>
      <c r="D21" s="134">
        <v>27.54</v>
      </c>
      <c r="E21" s="134">
        <v>8.7799999999999994</v>
      </c>
      <c r="F21" s="134">
        <v>4.8499999999999996</v>
      </c>
      <c r="G21" s="134">
        <v>18.21</v>
      </c>
      <c r="H21" s="134">
        <v>5.94</v>
      </c>
      <c r="I21" s="134">
        <v>4.82</v>
      </c>
      <c r="J21" s="134">
        <v>0.52</v>
      </c>
      <c r="K21" s="134">
        <v>263.20999999999998</v>
      </c>
      <c r="L21" s="134">
        <v>24.61</v>
      </c>
      <c r="M21" s="134">
        <v>97.23</v>
      </c>
      <c r="N21" s="134">
        <v>0</v>
      </c>
      <c r="O21" s="134">
        <v>0</v>
      </c>
      <c r="P21" s="134">
        <v>0.5</v>
      </c>
      <c r="Q21" s="134">
        <v>4.29</v>
      </c>
    </row>
    <row r="22" spans="1:17" customFormat="1">
      <c r="A22" s="112" t="s">
        <v>2266</v>
      </c>
      <c r="B22" s="134">
        <v>17.29</v>
      </c>
      <c r="C22" s="134">
        <v>24.82</v>
      </c>
      <c r="D22" s="134">
        <v>28.19</v>
      </c>
      <c r="E22" s="134">
        <v>8.5</v>
      </c>
      <c r="F22" s="134">
        <v>3.99</v>
      </c>
      <c r="G22" s="134">
        <v>17.93</v>
      </c>
      <c r="H22" s="134">
        <v>4.99</v>
      </c>
      <c r="I22" s="134">
        <v>4.78</v>
      </c>
      <c r="J22" s="134">
        <v>0.38</v>
      </c>
      <c r="K22" s="134">
        <v>264.25</v>
      </c>
      <c r="L22" s="134">
        <v>24.55</v>
      </c>
      <c r="M22" s="134">
        <v>96.85</v>
      </c>
      <c r="N22" s="134">
        <v>0</v>
      </c>
      <c r="O22" s="134">
        <v>0</v>
      </c>
      <c r="P22" s="134">
        <v>0.52</v>
      </c>
      <c r="Q22" s="134">
        <v>4.25</v>
      </c>
    </row>
    <row r="23" spans="1:17" customFormat="1">
      <c r="A23" s="112" t="s">
        <v>2267</v>
      </c>
      <c r="B23" s="134">
        <v>17.170000000000002</v>
      </c>
      <c r="C23" s="134">
        <v>25.51</v>
      </c>
      <c r="D23" s="134">
        <v>28.45</v>
      </c>
      <c r="E23" s="134">
        <v>8.83</v>
      </c>
      <c r="F23" s="134">
        <v>3.78</v>
      </c>
      <c r="G23" s="134">
        <v>17.88</v>
      </c>
      <c r="H23" s="134">
        <v>4.99</v>
      </c>
      <c r="I23" s="134">
        <v>4.66</v>
      </c>
      <c r="J23" s="134">
        <v>0.49</v>
      </c>
      <c r="K23" s="134">
        <v>263.89999999999998</v>
      </c>
      <c r="L23" s="134">
        <v>24.52</v>
      </c>
      <c r="M23" s="134">
        <v>96.47</v>
      </c>
      <c r="N23" s="134">
        <v>0</v>
      </c>
      <c r="O23" s="134">
        <v>0</v>
      </c>
      <c r="P23" s="134">
        <v>0.51</v>
      </c>
      <c r="Q23" s="134">
        <v>4.29</v>
      </c>
    </row>
    <row r="24" spans="1:17" customFormat="1">
      <c r="A24" s="112" t="s">
        <v>2268</v>
      </c>
      <c r="B24" s="134">
        <v>17.149999999999999</v>
      </c>
      <c r="C24" s="134">
        <v>24.79</v>
      </c>
      <c r="D24" s="134">
        <v>28.05</v>
      </c>
      <c r="E24" s="134">
        <v>8.98</v>
      </c>
      <c r="F24" s="134">
        <v>4.42</v>
      </c>
      <c r="G24" s="134">
        <v>17.88</v>
      </c>
      <c r="H24" s="134">
        <v>4.99</v>
      </c>
      <c r="I24" s="134">
        <v>4.74</v>
      </c>
      <c r="J24" s="134">
        <v>0.28999999999999998</v>
      </c>
      <c r="K24" s="134">
        <v>260.51</v>
      </c>
      <c r="L24" s="134">
        <v>24.53</v>
      </c>
      <c r="M24" s="134">
        <v>96.62</v>
      </c>
      <c r="N24" s="134">
        <v>0</v>
      </c>
      <c r="O24" s="134">
        <v>0</v>
      </c>
      <c r="P24" s="134">
        <v>0.51</v>
      </c>
      <c r="Q24" s="134">
        <v>4.3</v>
      </c>
    </row>
    <row r="25" spans="1:17" customFormat="1">
      <c r="A25" s="112" t="s">
        <v>2269</v>
      </c>
      <c r="B25" s="134">
        <v>17.079999999999998</v>
      </c>
      <c r="C25" s="134">
        <v>23.29</v>
      </c>
      <c r="D25" s="134">
        <v>27.22</v>
      </c>
      <c r="E25" s="134">
        <v>8.73</v>
      </c>
      <c r="F25" s="134">
        <v>4.9000000000000004</v>
      </c>
      <c r="G25" s="134">
        <v>17.88</v>
      </c>
      <c r="H25" s="134">
        <v>4.99</v>
      </c>
      <c r="I25" s="134">
        <v>4.6399999999999997</v>
      </c>
      <c r="J25" s="134">
        <v>0.53</v>
      </c>
      <c r="K25" s="134">
        <v>261.45999999999998</v>
      </c>
      <c r="L25" s="134">
        <v>24.49</v>
      </c>
      <c r="M25" s="134">
        <v>96.8</v>
      </c>
      <c r="N25" s="134">
        <v>0</v>
      </c>
      <c r="O25" s="134">
        <v>0</v>
      </c>
      <c r="P25" s="134">
        <v>0.48</v>
      </c>
      <c r="Q25" s="134">
        <v>4.29</v>
      </c>
    </row>
    <row r="26" spans="1:17" customFormat="1">
      <c r="A26" s="112" t="s">
        <v>2270</v>
      </c>
      <c r="B26" s="134">
        <v>16.68</v>
      </c>
      <c r="C26" s="134">
        <v>23.15</v>
      </c>
      <c r="D26" s="134">
        <v>26.82</v>
      </c>
      <c r="E26" s="134">
        <v>8.3000000000000007</v>
      </c>
      <c r="F26" s="134">
        <v>4.6100000000000003</v>
      </c>
      <c r="G26" s="134">
        <v>13.45</v>
      </c>
      <c r="H26" s="134">
        <v>3.88</v>
      </c>
      <c r="I26" s="134">
        <v>4.54</v>
      </c>
      <c r="J26" s="134">
        <v>0.54</v>
      </c>
      <c r="K26" s="134">
        <v>261.8</v>
      </c>
      <c r="L26" s="134">
        <v>24.41</v>
      </c>
      <c r="M26" s="134">
        <v>96.45</v>
      </c>
      <c r="N26" s="134">
        <v>0</v>
      </c>
      <c r="O26" s="134">
        <v>0</v>
      </c>
      <c r="P26" s="134">
        <v>0.47</v>
      </c>
      <c r="Q26" s="134">
        <v>4.25</v>
      </c>
    </row>
    <row r="27" spans="1:17" customFormat="1">
      <c r="A27" s="112" t="s">
        <v>2271</v>
      </c>
      <c r="B27" s="134">
        <v>16.59</v>
      </c>
      <c r="C27" s="134">
        <v>24.41</v>
      </c>
      <c r="D27" s="134">
        <v>27.41</v>
      </c>
      <c r="E27" s="134">
        <v>8.86</v>
      </c>
      <c r="F27" s="134">
        <v>3.84</v>
      </c>
      <c r="G27" s="134">
        <v>12.63</v>
      </c>
      <c r="H27" s="134">
        <v>3.88</v>
      </c>
      <c r="I27" s="134">
        <v>4.4400000000000004</v>
      </c>
      <c r="J27" s="134">
        <v>0.6</v>
      </c>
      <c r="K27" s="134">
        <v>261.88</v>
      </c>
      <c r="L27" s="134">
        <v>24.42</v>
      </c>
      <c r="M27" s="134">
        <v>96.24</v>
      </c>
      <c r="N27" s="134">
        <v>0</v>
      </c>
      <c r="O27" s="134">
        <v>0</v>
      </c>
      <c r="P27" s="134">
        <v>0.47</v>
      </c>
      <c r="Q27" s="134">
        <v>4.25</v>
      </c>
    </row>
    <row r="28" spans="1:17" customFormat="1">
      <c r="A28" s="112" t="s">
        <v>2272</v>
      </c>
      <c r="B28" s="134">
        <v>16.510000000000002</v>
      </c>
      <c r="C28" s="134">
        <v>23.26</v>
      </c>
      <c r="D28" s="134">
        <v>26.74</v>
      </c>
      <c r="E28" s="134">
        <v>8.67</v>
      </c>
      <c r="F28" s="134">
        <v>4.53</v>
      </c>
      <c r="G28" s="134">
        <v>12.63</v>
      </c>
      <c r="H28" s="134">
        <v>3.88</v>
      </c>
      <c r="I28" s="134">
        <v>4.4400000000000004</v>
      </c>
      <c r="J28" s="134">
        <v>0.65</v>
      </c>
      <c r="K28" s="134">
        <v>266.51</v>
      </c>
      <c r="L28" s="134">
        <v>24.43</v>
      </c>
      <c r="M28" s="134">
        <v>96.09</v>
      </c>
      <c r="N28" s="134">
        <v>0</v>
      </c>
      <c r="O28" s="134">
        <v>0</v>
      </c>
      <c r="P28" s="134">
        <v>0.46</v>
      </c>
      <c r="Q28" s="134">
        <v>4.25</v>
      </c>
    </row>
    <row r="29" spans="1:17" customFormat="1">
      <c r="A29" s="112" t="s">
        <v>2273</v>
      </c>
      <c r="B29" s="134">
        <v>16.260000000000002</v>
      </c>
      <c r="C29" s="134">
        <v>22.87</v>
      </c>
      <c r="D29" s="134">
        <v>26.34</v>
      </c>
      <c r="E29" s="134">
        <v>8.14</v>
      </c>
      <c r="F29" s="134">
        <v>4.3600000000000003</v>
      </c>
      <c r="G29" s="134">
        <v>12.63</v>
      </c>
      <c r="H29" s="134">
        <v>3.88</v>
      </c>
      <c r="I29" s="134">
        <v>4.38</v>
      </c>
      <c r="J29" s="134">
        <v>0.64</v>
      </c>
      <c r="K29" s="134">
        <v>266.08999999999997</v>
      </c>
      <c r="L29" s="134">
        <v>24.39</v>
      </c>
      <c r="M29" s="134">
        <v>96.47</v>
      </c>
      <c r="N29" s="134">
        <v>0</v>
      </c>
      <c r="O29" s="134">
        <v>0</v>
      </c>
      <c r="P29" s="134">
        <v>0.45</v>
      </c>
      <c r="Q29" s="134">
        <v>4.21</v>
      </c>
    </row>
    <row r="30" spans="1:17" customFormat="1">
      <c r="A30" s="112" t="s">
        <v>2274</v>
      </c>
      <c r="B30" s="134">
        <v>16.010000000000002</v>
      </c>
      <c r="C30" s="134">
        <v>24.26</v>
      </c>
      <c r="D30" s="134">
        <v>26.86</v>
      </c>
      <c r="E30" s="134">
        <v>9.1199999999999992</v>
      </c>
      <c r="F30" s="134">
        <v>3.87</v>
      </c>
      <c r="G30" s="134">
        <v>10.42</v>
      </c>
      <c r="H30" s="134">
        <v>3.67</v>
      </c>
      <c r="I30" s="134">
        <v>4.24</v>
      </c>
      <c r="J30" s="134">
        <v>0.6</v>
      </c>
      <c r="K30" s="134">
        <v>267.27</v>
      </c>
      <c r="L30" s="134">
        <v>24.41</v>
      </c>
      <c r="M30" s="134">
        <v>95.9</v>
      </c>
      <c r="N30" s="134">
        <v>0</v>
      </c>
      <c r="O30" s="134">
        <v>0</v>
      </c>
      <c r="P30" s="134">
        <v>0.46</v>
      </c>
      <c r="Q30" s="134">
        <v>4.21</v>
      </c>
    </row>
    <row r="31" spans="1:17" customFormat="1">
      <c r="A31" s="112" t="s">
        <v>2275</v>
      </c>
      <c r="B31" s="134">
        <v>16.010000000000002</v>
      </c>
      <c r="C31" s="134">
        <v>23.15</v>
      </c>
      <c r="D31" s="134">
        <v>26.29</v>
      </c>
      <c r="E31" s="134">
        <v>8.69</v>
      </c>
      <c r="F31" s="134">
        <v>4.54</v>
      </c>
      <c r="G31" s="134">
        <v>10.050000000000001</v>
      </c>
      <c r="H31" s="134">
        <v>3.67</v>
      </c>
      <c r="I31" s="134">
        <v>4.25</v>
      </c>
      <c r="J31" s="134">
        <v>0.6</v>
      </c>
      <c r="K31" s="134">
        <v>269.99</v>
      </c>
      <c r="L31" s="134">
        <v>24.5</v>
      </c>
      <c r="M31" s="134">
        <v>95.46</v>
      </c>
      <c r="N31" s="134">
        <v>0</v>
      </c>
      <c r="O31" s="134">
        <v>0</v>
      </c>
      <c r="P31" s="134">
        <v>0.44</v>
      </c>
      <c r="Q31" s="134">
        <v>4.25</v>
      </c>
    </row>
    <row r="32" spans="1:17" customFormat="1">
      <c r="A32" s="112" t="s">
        <v>2276</v>
      </c>
      <c r="B32" s="134">
        <v>15.7</v>
      </c>
      <c r="C32" s="134">
        <v>22.88</v>
      </c>
      <c r="D32" s="134">
        <v>25.9</v>
      </c>
      <c r="E32" s="134">
        <v>8.57</v>
      </c>
      <c r="F32" s="134">
        <v>4.54</v>
      </c>
      <c r="G32" s="134">
        <v>10.050000000000001</v>
      </c>
      <c r="H32" s="134">
        <v>3.67</v>
      </c>
      <c r="I32" s="134">
        <v>4.22</v>
      </c>
      <c r="J32" s="134">
        <v>0.6</v>
      </c>
      <c r="K32" s="134">
        <v>266.52999999999997</v>
      </c>
      <c r="L32" s="134">
        <v>24.53</v>
      </c>
      <c r="M32" s="134">
        <v>95.08</v>
      </c>
      <c r="N32" s="134">
        <v>0</v>
      </c>
      <c r="O32" s="134">
        <v>0</v>
      </c>
      <c r="P32" s="134">
        <v>0.43</v>
      </c>
      <c r="Q32" s="134">
        <v>4.21</v>
      </c>
    </row>
    <row r="33" spans="1:17" customFormat="1">
      <c r="A33" s="112" t="s">
        <v>2277</v>
      </c>
      <c r="B33" s="134">
        <v>15.53</v>
      </c>
      <c r="C33" s="134">
        <v>24.23</v>
      </c>
      <c r="D33" s="134">
        <v>26.46</v>
      </c>
      <c r="E33" s="134">
        <v>8.42</v>
      </c>
      <c r="F33" s="134">
        <v>3.87</v>
      </c>
      <c r="G33" s="134">
        <v>10.050000000000001</v>
      </c>
      <c r="H33" s="134">
        <v>3.67</v>
      </c>
      <c r="I33" s="134">
        <v>4.0999999999999996</v>
      </c>
      <c r="J33" s="134">
        <v>0.62</v>
      </c>
      <c r="K33" s="134">
        <v>268.24</v>
      </c>
      <c r="L33" s="134">
        <v>24.54</v>
      </c>
      <c r="M33" s="134">
        <v>95.39</v>
      </c>
      <c r="N33" s="134">
        <v>1.7</v>
      </c>
      <c r="O33" s="134">
        <v>0</v>
      </c>
      <c r="P33" s="134">
        <v>0.45</v>
      </c>
      <c r="Q33" s="134">
        <v>4.21</v>
      </c>
    </row>
    <row r="34" spans="1:17" customFormat="1">
      <c r="A34" s="112" t="s">
        <v>2278</v>
      </c>
      <c r="B34" s="134">
        <v>15.43</v>
      </c>
      <c r="C34" s="134">
        <v>22.82</v>
      </c>
      <c r="D34" s="134">
        <v>25.65</v>
      </c>
      <c r="E34" s="134">
        <v>8.8000000000000007</v>
      </c>
      <c r="F34" s="134">
        <v>4.6399999999999997</v>
      </c>
      <c r="G34" s="134">
        <v>7.86</v>
      </c>
      <c r="H34" s="134">
        <v>5.46</v>
      </c>
      <c r="I34" s="134">
        <v>4.0599999999999996</v>
      </c>
      <c r="J34" s="134">
        <v>0.6</v>
      </c>
      <c r="K34" s="134">
        <v>263.33</v>
      </c>
      <c r="L34" s="134">
        <v>24.63</v>
      </c>
      <c r="M34" s="134">
        <v>94.82</v>
      </c>
      <c r="N34" s="134">
        <v>9.6999999999999993</v>
      </c>
      <c r="O34" s="134">
        <v>0</v>
      </c>
      <c r="P34" s="134">
        <v>0.43</v>
      </c>
      <c r="Q34" s="134">
        <v>4.21</v>
      </c>
    </row>
    <row r="35" spans="1:17" customFormat="1">
      <c r="A35" s="112" t="s">
        <v>2279</v>
      </c>
      <c r="B35" s="134">
        <v>15.4</v>
      </c>
      <c r="C35" s="134">
        <v>24.31</v>
      </c>
      <c r="D35" s="134">
        <v>26.4</v>
      </c>
      <c r="E35" s="134">
        <v>8.85</v>
      </c>
      <c r="F35" s="134">
        <v>3.94</v>
      </c>
      <c r="G35" s="134">
        <v>7.5</v>
      </c>
      <c r="H35" s="134">
        <v>5.46</v>
      </c>
      <c r="I35" s="134">
        <v>4.08</v>
      </c>
      <c r="J35" s="134">
        <v>0.46</v>
      </c>
      <c r="K35" s="134">
        <v>263.01</v>
      </c>
      <c r="L35" s="134">
        <v>24.77</v>
      </c>
      <c r="M35" s="134">
        <v>95.13</v>
      </c>
      <c r="N35" s="134">
        <v>23.5</v>
      </c>
      <c r="O35" s="134">
        <v>0</v>
      </c>
      <c r="P35" s="134">
        <v>0.44</v>
      </c>
      <c r="Q35" s="134">
        <v>4.24</v>
      </c>
    </row>
    <row r="36" spans="1:17" customFormat="1">
      <c r="A36" s="112" t="s">
        <v>2280</v>
      </c>
      <c r="B36" s="134">
        <v>15.39</v>
      </c>
      <c r="C36" s="134">
        <v>23.67</v>
      </c>
      <c r="D36" s="134">
        <v>26.06</v>
      </c>
      <c r="E36" s="134">
        <v>8.84</v>
      </c>
      <c r="F36" s="134">
        <v>4.37</v>
      </c>
      <c r="G36" s="134">
        <v>7.5</v>
      </c>
      <c r="H36" s="134">
        <v>5.46</v>
      </c>
      <c r="I36" s="134">
        <v>3.97</v>
      </c>
      <c r="J36" s="134">
        <v>0.6</v>
      </c>
      <c r="K36" s="134">
        <v>270.14</v>
      </c>
      <c r="L36" s="134">
        <v>24.87</v>
      </c>
      <c r="M36" s="134">
        <v>94.63</v>
      </c>
      <c r="N36" s="134">
        <v>31.9</v>
      </c>
      <c r="O36" s="134">
        <v>0</v>
      </c>
      <c r="P36" s="134">
        <v>0.43</v>
      </c>
      <c r="Q36" s="134">
        <v>4.28</v>
      </c>
    </row>
    <row r="37" spans="1:17" customFormat="1">
      <c r="A37" s="112" t="s">
        <v>2281</v>
      </c>
      <c r="B37" s="134">
        <v>15.09</v>
      </c>
      <c r="C37" s="134">
        <v>22.47</v>
      </c>
      <c r="D37" s="134">
        <v>25.19</v>
      </c>
      <c r="E37" s="134">
        <v>8.6300000000000008</v>
      </c>
      <c r="F37" s="134">
        <v>4.83</v>
      </c>
      <c r="G37" s="134">
        <v>7.5</v>
      </c>
      <c r="H37" s="134">
        <v>5.46</v>
      </c>
      <c r="I37" s="134">
        <v>4.04</v>
      </c>
      <c r="J37" s="134">
        <v>0.56999999999999995</v>
      </c>
      <c r="K37" s="134">
        <v>267</v>
      </c>
      <c r="L37" s="134">
        <v>24.97</v>
      </c>
      <c r="M37" s="134">
        <v>94.25</v>
      </c>
      <c r="N37" s="134">
        <v>38.799999999999997</v>
      </c>
      <c r="O37" s="134">
        <v>0</v>
      </c>
      <c r="P37" s="134">
        <v>0.41</v>
      </c>
      <c r="Q37" s="134">
        <v>4.24</v>
      </c>
    </row>
    <row r="38" spans="1:17" customFormat="1">
      <c r="A38" s="112" t="s">
        <v>2282</v>
      </c>
      <c r="B38" s="134">
        <v>14.97</v>
      </c>
      <c r="C38" s="134">
        <v>23.88</v>
      </c>
      <c r="D38" s="134">
        <v>25.84</v>
      </c>
      <c r="E38" s="134">
        <v>8.5500000000000007</v>
      </c>
      <c r="F38" s="134">
        <v>4.0199999999999996</v>
      </c>
      <c r="G38" s="134">
        <v>6.01</v>
      </c>
      <c r="H38" s="134">
        <v>3.84</v>
      </c>
      <c r="I38" s="134">
        <v>3.93</v>
      </c>
      <c r="J38" s="134">
        <v>0.51</v>
      </c>
      <c r="K38" s="134">
        <v>263.44</v>
      </c>
      <c r="L38" s="134">
        <v>25.11</v>
      </c>
      <c r="M38" s="134">
        <v>94.24</v>
      </c>
      <c r="N38" s="134">
        <v>49.5</v>
      </c>
      <c r="O38" s="134">
        <v>0</v>
      </c>
      <c r="P38" s="134">
        <v>0.43</v>
      </c>
      <c r="Q38" s="134">
        <v>4.2</v>
      </c>
    </row>
    <row r="39" spans="1:17" customFormat="1">
      <c r="A39" s="112" t="s">
        <v>2283</v>
      </c>
      <c r="B39" s="134">
        <v>15.15</v>
      </c>
      <c r="C39" s="134">
        <v>23.67</v>
      </c>
      <c r="D39" s="134">
        <v>25.86</v>
      </c>
      <c r="E39" s="134">
        <v>8.99</v>
      </c>
      <c r="F39" s="134">
        <v>4.2</v>
      </c>
      <c r="G39" s="134">
        <v>5.76</v>
      </c>
      <c r="H39" s="134">
        <v>3.84</v>
      </c>
      <c r="I39" s="134">
        <v>3.88</v>
      </c>
      <c r="J39" s="134">
        <v>0.44</v>
      </c>
      <c r="K39" s="134">
        <v>268.99</v>
      </c>
      <c r="L39" s="134">
        <v>25.17</v>
      </c>
      <c r="M39" s="134">
        <v>94.2</v>
      </c>
      <c r="N39" s="134">
        <v>18.5</v>
      </c>
      <c r="O39" s="134">
        <v>0</v>
      </c>
      <c r="P39" s="134">
        <v>0.44</v>
      </c>
      <c r="Q39" s="134">
        <v>4.21</v>
      </c>
    </row>
    <row r="40" spans="1:17" customFormat="1">
      <c r="A40" s="112" t="s">
        <v>2284</v>
      </c>
      <c r="B40" s="134">
        <v>15.09</v>
      </c>
      <c r="C40" s="134">
        <v>22.18</v>
      </c>
      <c r="D40" s="134">
        <v>25.04</v>
      </c>
      <c r="E40" s="134">
        <v>8.61</v>
      </c>
      <c r="F40" s="134">
        <v>4.57</v>
      </c>
      <c r="G40" s="134">
        <v>5.76</v>
      </c>
      <c r="H40" s="134">
        <v>3.84</v>
      </c>
      <c r="I40" s="134">
        <v>3.99</v>
      </c>
      <c r="J40" s="134">
        <v>0.41</v>
      </c>
      <c r="K40" s="134">
        <v>268.25</v>
      </c>
      <c r="L40" s="134">
        <v>25.07</v>
      </c>
      <c r="M40" s="134">
        <v>94.44</v>
      </c>
      <c r="N40" s="134">
        <v>9.8000000000000007</v>
      </c>
      <c r="O40" s="134">
        <v>0</v>
      </c>
      <c r="P40" s="134">
        <v>0.41</v>
      </c>
      <c r="Q40" s="134">
        <v>4.21</v>
      </c>
    </row>
    <row r="41" spans="1:17" customFormat="1">
      <c r="A41" s="112" t="s">
        <v>2285</v>
      </c>
      <c r="B41" s="134">
        <v>14.95</v>
      </c>
      <c r="C41" s="134">
        <v>23.44</v>
      </c>
      <c r="D41" s="134">
        <v>25.58</v>
      </c>
      <c r="E41" s="134">
        <v>8.33</v>
      </c>
      <c r="F41" s="134">
        <v>3.92</v>
      </c>
      <c r="G41" s="134">
        <v>5.76</v>
      </c>
      <c r="H41" s="134">
        <v>3.84</v>
      </c>
      <c r="I41" s="134">
        <v>3.92</v>
      </c>
      <c r="J41" s="134">
        <v>0.57999999999999996</v>
      </c>
      <c r="K41" s="134">
        <v>264.49</v>
      </c>
      <c r="L41" s="134">
        <v>25.15</v>
      </c>
      <c r="M41" s="134">
        <v>94.15</v>
      </c>
      <c r="N41" s="134">
        <v>28.2</v>
      </c>
      <c r="O41" s="134">
        <v>0</v>
      </c>
      <c r="P41" s="134">
        <v>0.43</v>
      </c>
      <c r="Q41" s="134">
        <v>4.1399999999999997</v>
      </c>
    </row>
    <row r="42" spans="1:17" customFormat="1">
      <c r="A42" s="112" t="s">
        <v>2286</v>
      </c>
      <c r="B42" s="134">
        <v>14.8</v>
      </c>
      <c r="C42" s="134">
        <v>24</v>
      </c>
      <c r="D42" s="134">
        <v>25.76</v>
      </c>
      <c r="E42" s="134">
        <v>8.7100000000000009</v>
      </c>
      <c r="F42" s="134">
        <v>4.1399999999999997</v>
      </c>
      <c r="G42" s="134">
        <v>7.4</v>
      </c>
      <c r="H42" s="134">
        <v>3</v>
      </c>
      <c r="I42" s="134">
        <v>3.83</v>
      </c>
      <c r="J42" s="134">
        <v>0.47</v>
      </c>
      <c r="K42" s="134">
        <v>261.86</v>
      </c>
      <c r="L42" s="134">
        <v>25.31</v>
      </c>
      <c r="M42" s="134">
        <v>93.82</v>
      </c>
      <c r="N42" s="134">
        <v>51.4</v>
      </c>
      <c r="O42" s="134">
        <v>0</v>
      </c>
      <c r="P42" s="134">
        <v>0.44</v>
      </c>
      <c r="Q42" s="134">
        <v>4.1399999999999997</v>
      </c>
    </row>
    <row r="43" spans="1:17" customFormat="1">
      <c r="A43" s="112" t="s">
        <v>2287</v>
      </c>
      <c r="B43" s="134">
        <v>14.91</v>
      </c>
      <c r="C43" s="134">
        <v>24.03</v>
      </c>
      <c r="D43" s="134">
        <v>25.86</v>
      </c>
      <c r="E43" s="134">
        <v>8.89</v>
      </c>
      <c r="F43" s="134">
        <v>4.1500000000000004</v>
      </c>
      <c r="G43" s="134">
        <v>7.68</v>
      </c>
      <c r="H43" s="134">
        <v>3</v>
      </c>
      <c r="I43" s="134">
        <v>3.93</v>
      </c>
      <c r="J43" s="134">
        <v>0.52</v>
      </c>
      <c r="K43" s="134">
        <v>270.83</v>
      </c>
      <c r="L43" s="134">
        <v>25.43</v>
      </c>
      <c r="M43" s="134">
        <v>93.14</v>
      </c>
      <c r="N43" s="134">
        <v>39.299999999999997</v>
      </c>
      <c r="O43" s="134">
        <v>0</v>
      </c>
      <c r="P43" s="134">
        <v>0.44</v>
      </c>
      <c r="Q43" s="134">
        <v>4.1399999999999997</v>
      </c>
    </row>
    <row r="44" spans="1:17" customFormat="1">
      <c r="A44" s="112" t="s">
        <v>2288</v>
      </c>
      <c r="B44" s="134">
        <v>14.98</v>
      </c>
      <c r="C44" s="134">
        <v>22.53</v>
      </c>
      <c r="D44" s="134">
        <v>25.14</v>
      </c>
      <c r="E44" s="134">
        <v>8.32</v>
      </c>
      <c r="F44" s="134">
        <v>4.8</v>
      </c>
      <c r="G44" s="134">
        <v>7.68</v>
      </c>
      <c r="H44" s="134">
        <v>3</v>
      </c>
      <c r="I44" s="134">
        <v>3.87</v>
      </c>
      <c r="J44" s="134">
        <v>0.38</v>
      </c>
      <c r="K44" s="134">
        <v>264.63</v>
      </c>
      <c r="L44" s="134">
        <v>25.26</v>
      </c>
      <c r="M44" s="134">
        <v>94.66</v>
      </c>
      <c r="N44" s="134">
        <v>41.4</v>
      </c>
      <c r="O44" s="134">
        <v>0</v>
      </c>
      <c r="P44" s="134">
        <v>0.43</v>
      </c>
      <c r="Q44" s="134">
        <v>4.1100000000000003</v>
      </c>
    </row>
    <row r="45" spans="1:17" customFormat="1">
      <c r="A45" s="112" t="s">
        <v>2289</v>
      </c>
      <c r="B45" s="134">
        <v>14.61</v>
      </c>
      <c r="C45" s="134">
        <v>21.41</v>
      </c>
      <c r="D45" s="134">
        <v>24.25</v>
      </c>
      <c r="E45" s="134">
        <v>8.2200000000000006</v>
      </c>
      <c r="F45" s="134">
        <v>5.16</v>
      </c>
      <c r="G45" s="134">
        <v>7.68</v>
      </c>
      <c r="H45" s="134">
        <v>3</v>
      </c>
      <c r="I45" s="134">
        <v>3.87</v>
      </c>
      <c r="J45" s="134">
        <v>0.84</v>
      </c>
      <c r="K45" s="134">
        <v>269.07</v>
      </c>
      <c r="L45" s="134">
        <v>25.35</v>
      </c>
      <c r="M45" s="134">
        <v>94.68</v>
      </c>
      <c r="N45" s="134">
        <v>123.2</v>
      </c>
      <c r="O45" s="134">
        <v>0</v>
      </c>
      <c r="P45" s="134">
        <v>0.41</v>
      </c>
      <c r="Q45" s="134">
        <v>4.0999999999999996</v>
      </c>
    </row>
    <row r="46" spans="1:17" customFormat="1">
      <c r="A46" s="112" t="s">
        <v>2290</v>
      </c>
      <c r="B46" s="134">
        <v>14.36</v>
      </c>
      <c r="C46" s="134">
        <v>22.84</v>
      </c>
      <c r="D46" s="134">
        <v>24.8</v>
      </c>
      <c r="E46" s="134">
        <v>8.58</v>
      </c>
      <c r="F46" s="134">
        <v>4.32</v>
      </c>
      <c r="G46" s="134">
        <v>6.1</v>
      </c>
      <c r="H46" s="134">
        <v>4.7</v>
      </c>
      <c r="I46" s="134">
        <v>3.79</v>
      </c>
      <c r="J46" s="134">
        <v>0.56000000000000005</v>
      </c>
      <c r="K46" s="134">
        <v>269.07</v>
      </c>
      <c r="L46" s="134">
        <v>25.52</v>
      </c>
      <c r="M46" s="134">
        <v>94.32</v>
      </c>
      <c r="N46" s="134">
        <v>105.7</v>
      </c>
      <c r="O46" s="134">
        <v>0.2</v>
      </c>
      <c r="P46" s="134">
        <v>0.42</v>
      </c>
      <c r="Q46" s="134">
        <v>4.04</v>
      </c>
    </row>
    <row r="47" spans="1:17" customFormat="1">
      <c r="A47" s="112" t="s">
        <v>2291</v>
      </c>
      <c r="B47" s="134">
        <v>14.28</v>
      </c>
      <c r="C47" s="134">
        <v>23.4</v>
      </c>
      <c r="D47" s="134">
        <v>25.03</v>
      </c>
      <c r="E47" s="134">
        <v>8.56</v>
      </c>
      <c r="F47" s="134">
        <v>4.17</v>
      </c>
      <c r="G47" s="134">
        <v>5.83</v>
      </c>
      <c r="H47" s="134">
        <v>4.7</v>
      </c>
      <c r="I47" s="134">
        <v>3.69</v>
      </c>
      <c r="J47" s="134">
        <v>0.61</v>
      </c>
      <c r="K47" s="134">
        <v>268.76</v>
      </c>
      <c r="L47" s="134">
        <v>25.49</v>
      </c>
      <c r="M47" s="134">
        <v>94.94</v>
      </c>
      <c r="N47" s="134">
        <v>104.5</v>
      </c>
      <c r="O47" s="134">
        <v>0</v>
      </c>
      <c r="P47" s="134">
        <v>0.43</v>
      </c>
      <c r="Q47" s="134">
        <v>4.07</v>
      </c>
    </row>
    <row r="48" spans="1:17" customFormat="1">
      <c r="A48" s="112" t="s">
        <v>2292</v>
      </c>
      <c r="B48" s="134">
        <v>14.16</v>
      </c>
      <c r="C48" s="134">
        <v>22.23</v>
      </c>
      <c r="D48" s="134">
        <v>24.32</v>
      </c>
      <c r="E48" s="134">
        <v>8.6300000000000008</v>
      </c>
      <c r="F48" s="134">
        <v>4.7300000000000004</v>
      </c>
      <c r="G48" s="134">
        <v>5.83</v>
      </c>
      <c r="H48" s="134">
        <v>4.7</v>
      </c>
      <c r="I48" s="134">
        <v>3.81</v>
      </c>
      <c r="J48" s="134">
        <v>0.49</v>
      </c>
      <c r="K48" s="134">
        <v>269.88</v>
      </c>
      <c r="L48" s="134">
        <v>25.5</v>
      </c>
      <c r="M48" s="134">
        <v>95.68</v>
      </c>
      <c r="N48" s="134">
        <v>95.5</v>
      </c>
      <c r="O48" s="134">
        <v>0.4</v>
      </c>
      <c r="P48" s="134">
        <v>0.42</v>
      </c>
      <c r="Q48" s="134">
        <v>4.08</v>
      </c>
    </row>
    <row r="49" spans="1:17" customFormat="1">
      <c r="A49" s="112" t="s">
        <v>2293</v>
      </c>
      <c r="B49" s="134">
        <v>14.05</v>
      </c>
      <c r="C49" s="134">
        <v>22.6</v>
      </c>
      <c r="D49" s="134">
        <v>24.43</v>
      </c>
      <c r="E49" s="134">
        <v>7.54</v>
      </c>
      <c r="F49" s="134">
        <v>4.2300000000000004</v>
      </c>
      <c r="G49" s="134">
        <v>5.83</v>
      </c>
      <c r="H49" s="134">
        <v>4.7</v>
      </c>
      <c r="I49" s="134">
        <v>3.73</v>
      </c>
      <c r="J49" s="134">
        <v>0.61</v>
      </c>
      <c r="K49" s="134">
        <v>268.52999999999997</v>
      </c>
      <c r="L49" s="134">
        <v>25.43</v>
      </c>
      <c r="M49" s="134">
        <v>96.38</v>
      </c>
      <c r="N49" s="134">
        <v>119.8</v>
      </c>
      <c r="O49" s="134">
        <v>1.2</v>
      </c>
      <c r="P49" s="134">
        <v>0.42</v>
      </c>
      <c r="Q49" s="134">
        <v>4.05</v>
      </c>
    </row>
    <row r="50" spans="1:17" customFormat="1">
      <c r="A50" s="112" t="s">
        <v>2294</v>
      </c>
      <c r="B50" s="134">
        <v>13.87</v>
      </c>
      <c r="C50" s="134">
        <v>22.86</v>
      </c>
      <c r="D50" s="134">
        <v>24.42</v>
      </c>
      <c r="E50" s="134">
        <v>9.33</v>
      </c>
      <c r="F50" s="134">
        <v>4.3899999999999997</v>
      </c>
      <c r="G50" s="134">
        <v>8.32</v>
      </c>
      <c r="H50" s="134">
        <v>3.42</v>
      </c>
      <c r="I50" s="134">
        <v>3.65</v>
      </c>
      <c r="J50" s="134">
        <v>0.55000000000000004</v>
      </c>
      <c r="K50" s="134">
        <v>271.22000000000003</v>
      </c>
      <c r="L50" s="134">
        <v>25.29</v>
      </c>
      <c r="M50" s="134">
        <v>97.13</v>
      </c>
      <c r="N50" s="134">
        <v>112.3</v>
      </c>
      <c r="O50" s="134">
        <v>0.6</v>
      </c>
      <c r="P50" s="134">
        <v>0.42</v>
      </c>
      <c r="Q50" s="134">
        <v>4.07</v>
      </c>
    </row>
    <row r="51" spans="1:17" customFormat="1">
      <c r="A51" s="112" t="s">
        <v>2295</v>
      </c>
      <c r="B51" s="134">
        <v>13.73</v>
      </c>
      <c r="C51" s="134">
        <v>21.7</v>
      </c>
      <c r="D51" s="134">
        <v>23.7</v>
      </c>
      <c r="E51" s="134">
        <v>8.64</v>
      </c>
      <c r="F51" s="134">
        <v>4.92</v>
      </c>
      <c r="G51" s="134">
        <v>8.74</v>
      </c>
      <c r="H51" s="134">
        <v>3.42</v>
      </c>
      <c r="I51" s="134">
        <v>3.74</v>
      </c>
      <c r="J51" s="134">
        <v>0.44</v>
      </c>
      <c r="K51" s="134">
        <v>265.32</v>
      </c>
      <c r="L51" s="134">
        <v>25.38</v>
      </c>
      <c r="M51" s="134">
        <v>97.07</v>
      </c>
      <c r="N51" s="134">
        <v>42.3</v>
      </c>
      <c r="O51" s="134">
        <v>0.2</v>
      </c>
      <c r="P51" s="134">
        <v>0.4</v>
      </c>
      <c r="Q51" s="134">
        <v>4.07</v>
      </c>
    </row>
    <row r="52" spans="1:17" customFormat="1">
      <c r="A52" s="112" t="s">
        <v>2296</v>
      </c>
      <c r="B52" s="134">
        <v>13.5</v>
      </c>
      <c r="C52" s="134">
        <v>23</v>
      </c>
      <c r="D52" s="134">
        <v>24.19</v>
      </c>
      <c r="E52" s="134">
        <v>9.2899999999999991</v>
      </c>
      <c r="F52" s="134">
        <v>4.24</v>
      </c>
      <c r="G52" s="134">
        <v>8.74</v>
      </c>
      <c r="H52" s="134">
        <v>3.42</v>
      </c>
      <c r="I52" s="134">
        <v>3.63</v>
      </c>
      <c r="J52" s="134">
        <v>0.66</v>
      </c>
      <c r="K52" s="134">
        <v>270.95999999999998</v>
      </c>
      <c r="L52" s="134">
        <v>25.2</v>
      </c>
      <c r="M52" s="134">
        <v>96.74</v>
      </c>
      <c r="N52" s="134">
        <v>73.400000000000006</v>
      </c>
      <c r="O52" s="134">
        <v>0.2</v>
      </c>
      <c r="P52" s="134">
        <v>0.41</v>
      </c>
      <c r="Q52" s="134">
        <v>4.0199999999999996</v>
      </c>
    </row>
    <row r="53" spans="1:17" customFormat="1">
      <c r="A53" s="112" t="s">
        <v>2297</v>
      </c>
      <c r="B53" s="134">
        <v>13.59</v>
      </c>
      <c r="C53" s="134">
        <v>23.11</v>
      </c>
      <c r="D53" s="134">
        <v>24.32</v>
      </c>
      <c r="E53" s="134">
        <v>8.91</v>
      </c>
      <c r="F53" s="134">
        <v>4.37</v>
      </c>
      <c r="G53" s="134">
        <v>8.74</v>
      </c>
      <c r="H53" s="134">
        <v>3.42</v>
      </c>
      <c r="I53" s="134">
        <v>3.61</v>
      </c>
      <c r="J53" s="134">
        <v>0.56000000000000005</v>
      </c>
      <c r="K53" s="134">
        <v>264.52999999999997</v>
      </c>
      <c r="L53" s="134">
        <v>25.2</v>
      </c>
      <c r="M53" s="134">
        <v>96.06</v>
      </c>
      <c r="N53" s="134">
        <v>48</v>
      </c>
      <c r="O53" s="134">
        <v>0</v>
      </c>
      <c r="P53" s="134">
        <v>0.42</v>
      </c>
      <c r="Q53" s="134">
        <v>4.07</v>
      </c>
    </row>
    <row r="54" spans="1:17" customFormat="1">
      <c r="A54" s="112" t="s">
        <v>2298</v>
      </c>
      <c r="B54" s="134">
        <v>13.5</v>
      </c>
      <c r="C54" s="134">
        <v>21.41</v>
      </c>
      <c r="D54" s="134">
        <v>23.36</v>
      </c>
      <c r="E54" s="134">
        <v>9.1199999999999992</v>
      </c>
      <c r="F54" s="134">
        <v>5.05</v>
      </c>
      <c r="G54" s="134">
        <v>7.61</v>
      </c>
      <c r="H54" s="134">
        <v>5.23</v>
      </c>
      <c r="I54" s="134">
        <v>3.69</v>
      </c>
      <c r="J54" s="134">
        <v>0.59</v>
      </c>
      <c r="K54" s="134">
        <v>270.42</v>
      </c>
      <c r="L54" s="134">
        <v>25.17</v>
      </c>
      <c r="M54" s="134">
        <v>96.61</v>
      </c>
      <c r="N54" s="134">
        <v>84</v>
      </c>
      <c r="O54" s="134">
        <v>0</v>
      </c>
      <c r="P54" s="134">
        <v>0.4</v>
      </c>
      <c r="Q54" s="134">
        <v>4.08</v>
      </c>
    </row>
    <row r="55" spans="1:17" customFormat="1">
      <c r="A55" s="112" t="s">
        <v>2299</v>
      </c>
      <c r="B55" s="134">
        <v>13.45</v>
      </c>
      <c r="C55" s="134">
        <v>22.53</v>
      </c>
      <c r="D55" s="134">
        <v>23.91</v>
      </c>
      <c r="E55" s="134">
        <v>8.7200000000000006</v>
      </c>
      <c r="F55" s="134">
        <v>3.99</v>
      </c>
      <c r="G55" s="134">
        <v>7.42</v>
      </c>
      <c r="H55" s="134">
        <v>5.23</v>
      </c>
      <c r="I55" s="134">
        <v>3.61</v>
      </c>
      <c r="J55" s="134">
        <v>0.68</v>
      </c>
      <c r="K55" s="134">
        <v>266.86</v>
      </c>
      <c r="L55" s="134">
        <v>25.34</v>
      </c>
      <c r="M55" s="134">
        <v>96.7</v>
      </c>
      <c r="N55" s="134">
        <v>109.3</v>
      </c>
      <c r="O55" s="134">
        <v>0.2</v>
      </c>
      <c r="P55" s="134">
        <v>0.42</v>
      </c>
      <c r="Q55" s="134">
        <v>4.05</v>
      </c>
    </row>
    <row r="56" spans="1:17" customFormat="1">
      <c r="A56" s="112" t="s">
        <v>2300</v>
      </c>
      <c r="B56" s="134">
        <v>13.31</v>
      </c>
      <c r="C56" s="134">
        <v>22.77</v>
      </c>
      <c r="D56" s="134">
        <v>23.92</v>
      </c>
      <c r="E56" s="134">
        <v>8.99</v>
      </c>
      <c r="F56" s="134">
        <v>4.2699999999999996</v>
      </c>
      <c r="G56" s="134">
        <v>7.42</v>
      </c>
      <c r="H56" s="134">
        <v>5.23</v>
      </c>
      <c r="I56" s="134">
        <v>3.58</v>
      </c>
      <c r="J56" s="134">
        <v>0.69</v>
      </c>
      <c r="K56" s="134">
        <v>272.35000000000002</v>
      </c>
      <c r="L56" s="134">
        <v>25.32</v>
      </c>
      <c r="M56" s="134">
        <v>96.82</v>
      </c>
      <c r="N56" s="134">
        <v>92.1</v>
      </c>
      <c r="O56" s="134">
        <v>0.2</v>
      </c>
      <c r="P56" s="134">
        <v>0.42</v>
      </c>
      <c r="Q56" s="134">
        <v>4.1100000000000003</v>
      </c>
    </row>
    <row r="57" spans="1:17" customFormat="1">
      <c r="A57" s="112" t="s">
        <v>2301</v>
      </c>
      <c r="B57" s="134">
        <v>13.06</v>
      </c>
      <c r="C57" s="134">
        <v>21.79</v>
      </c>
      <c r="D57" s="134">
        <v>23.21</v>
      </c>
      <c r="E57" s="134">
        <v>9.34</v>
      </c>
      <c r="F57" s="134">
        <v>4.9800000000000004</v>
      </c>
      <c r="G57" s="134">
        <v>7.42</v>
      </c>
      <c r="H57" s="134">
        <v>5.23</v>
      </c>
      <c r="I57" s="134">
        <v>3.68</v>
      </c>
      <c r="J57" s="134">
        <v>0.79</v>
      </c>
      <c r="K57" s="134">
        <v>270.82</v>
      </c>
      <c r="L57" s="134">
        <v>25.11</v>
      </c>
      <c r="M57" s="134">
        <v>96.62</v>
      </c>
      <c r="N57" s="134">
        <v>93.3</v>
      </c>
      <c r="O57" s="134">
        <v>0.4</v>
      </c>
      <c r="P57" s="134">
        <v>0.4</v>
      </c>
      <c r="Q57" s="134">
        <v>4.08</v>
      </c>
    </row>
    <row r="58" spans="1:17" customFormat="1">
      <c r="A58" s="112" t="s">
        <v>2302</v>
      </c>
      <c r="B58" s="134">
        <v>12.85</v>
      </c>
      <c r="C58" s="134">
        <v>21.81</v>
      </c>
      <c r="D58" s="134">
        <v>23.06</v>
      </c>
      <c r="E58" s="134">
        <v>8.5500000000000007</v>
      </c>
      <c r="F58" s="134">
        <v>4.75</v>
      </c>
      <c r="G58" s="134">
        <v>7.09</v>
      </c>
      <c r="H58" s="134">
        <v>3.79</v>
      </c>
      <c r="I58" s="134">
        <v>3.61</v>
      </c>
      <c r="J58" s="134">
        <v>0.64</v>
      </c>
      <c r="K58" s="134">
        <v>269.7</v>
      </c>
      <c r="L58" s="134">
        <v>25.15</v>
      </c>
      <c r="M58" s="134">
        <v>96.92</v>
      </c>
      <c r="N58" s="134">
        <v>103.3</v>
      </c>
      <c r="O58" s="134">
        <v>0.2</v>
      </c>
      <c r="P58" s="134">
        <v>0.4</v>
      </c>
      <c r="Q58" s="134">
        <v>4.04</v>
      </c>
    </row>
    <row r="59" spans="1:17" customFormat="1">
      <c r="A59" s="112" t="s">
        <v>2303</v>
      </c>
      <c r="B59" s="134">
        <v>12.74</v>
      </c>
      <c r="C59" s="134">
        <v>23.63</v>
      </c>
      <c r="D59" s="134">
        <v>23.91</v>
      </c>
      <c r="E59" s="134">
        <v>9.6199999999999992</v>
      </c>
      <c r="F59" s="134">
        <v>4.01</v>
      </c>
      <c r="G59" s="134">
        <v>7.04</v>
      </c>
      <c r="H59" s="134">
        <v>3.79</v>
      </c>
      <c r="I59" s="134">
        <v>3.57</v>
      </c>
      <c r="J59" s="134">
        <v>0.63</v>
      </c>
      <c r="K59" s="134">
        <v>271.8</v>
      </c>
      <c r="L59" s="134">
        <v>25.05</v>
      </c>
      <c r="M59" s="134">
        <v>96.81</v>
      </c>
      <c r="N59" s="134">
        <v>101.2</v>
      </c>
      <c r="O59" s="134">
        <v>0</v>
      </c>
      <c r="P59" s="134">
        <v>0.41</v>
      </c>
      <c r="Q59" s="134">
        <v>4.0599999999999996</v>
      </c>
    </row>
    <row r="60" spans="1:17" customFormat="1">
      <c r="A60" s="112" t="s">
        <v>2304</v>
      </c>
      <c r="B60" s="134">
        <v>12.74</v>
      </c>
      <c r="C60" s="134">
        <v>22.73</v>
      </c>
      <c r="D60" s="134">
        <v>23.45</v>
      </c>
      <c r="E60" s="134">
        <v>9.4499999999999993</v>
      </c>
      <c r="F60" s="134">
        <v>4.59</v>
      </c>
      <c r="G60" s="134">
        <v>7.04</v>
      </c>
      <c r="H60" s="134">
        <v>3.79</v>
      </c>
      <c r="I60" s="134">
        <v>3.58</v>
      </c>
      <c r="J60" s="134">
        <v>0.43</v>
      </c>
      <c r="K60" s="134">
        <v>271.67</v>
      </c>
      <c r="L60" s="134">
        <v>24.88</v>
      </c>
      <c r="M60" s="134">
        <v>96.14</v>
      </c>
      <c r="N60" s="134">
        <v>63.2</v>
      </c>
      <c r="O60" s="134">
        <v>0</v>
      </c>
      <c r="P60" s="134">
        <v>0.41</v>
      </c>
      <c r="Q60" s="134">
        <v>4.07</v>
      </c>
    </row>
    <row r="61" spans="1:17" customFormat="1">
      <c r="A61" s="112" t="s">
        <v>2305</v>
      </c>
      <c r="B61" s="134">
        <v>12.66</v>
      </c>
      <c r="C61" s="134">
        <v>21.7</v>
      </c>
      <c r="D61" s="134">
        <v>22.84</v>
      </c>
      <c r="E61" s="134">
        <v>9.17</v>
      </c>
      <c r="F61" s="134">
        <v>4.8600000000000003</v>
      </c>
      <c r="G61" s="134">
        <v>7.04</v>
      </c>
      <c r="H61" s="134">
        <v>3.79</v>
      </c>
      <c r="I61" s="134">
        <v>3.6</v>
      </c>
      <c r="J61" s="134">
        <v>0.2</v>
      </c>
      <c r="K61" s="134">
        <v>290.14999999999998</v>
      </c>
      <c r="L61" s="134">
        <v>25.02</v>
      </c>
      <c r="M61" s="134">
        <v>96.75</v>
      </c>
      <c r="N61" s="134">
        <v>63.8</v>
      </c>
      <c r="O61" s="134">
        <v>0</v>
      </c>
      <c r="P61" s="134">
        <v>0.39</v>
      </c>
      <c r="Q61" s="134">
        <v>4.04</v>
      </c>
    </row>
    <row r="62" spans="1:17" customFormat="1">
      <c r="A62" s="112" t="s">
        <v>2306</v>
      </c>
      <c r="B62" s="134">
        <v>12.57</v>
      </c>
      <c r="C62" s="134">
        <v>23.51</v>
      </c>
      <c r="D62" s="134">
        <v>23.72</v>
      </c>
      <c r="E62" s="134">
        <v>8.6</v>
      </c>
      <c r="F62" s="134">
        <v>3.84</v>
      </c>
      <c r="G62" s="134">
        <v>5.32</v>
      </c>
      <c r="H62" s="134">
        <v>2.83</v>
      </c>
      <c r="I62" s="134">
        <v>3.53</v>
      </c>
      <c r="J62" s="134">
        <v>0.33</v>
      </c>
      <c r="K62" s="134">
        <v>272.04000000000002</v>
      </c>
      <c r="L62" s="134">
        <v>25.15</v>
      </c>
      <c r="M62" s="134">
        <v>96.91</v>
      </c>
      <c r="N62" s="134">
        <v>56.9</v>
      </c>
      <c r="O62" s="134">
        <v>0.2</v>
      </c>
      <c r="P62" s="134">
        <v>0.42</v>
      </c>
      <c r="Q62" s="134">
        <v>4.04</v>
      </c>
    </row>
    <row r="63" spans="1:17" customFormat="1">
      <c r="A63" s="112" t="s">
        <v>2307</v>
      </c>
      <c r="B63" s="134">
        <v>12.86</v>
      </c>
      <c r="C63" s="134">
        <v>22.9</v>
      </c>
      <c r="D63" s="134">
        <v>23.63</v>
      </c>
      <c r="E63" s="134">
        <v>9.1</v>
      </c>
      <c r="F63" s="134">
        <v>4.4000000000000004</v>
      </c>
      <c r="G63" s="134">
        <v>5.03</v>
      </c>
      <c r="H63" s="134">
        <v>2.83</v>
      </c>
      <c r="I63" s="134">
        <v>3.56</v>
      </c>
      <c r="J63" s="134">
        <v>0.41</v>
      </c>
      <c r="K63" s="134">
        <v>264.35000000000002</v>
      </c>
      <c r="L63" s="134">
        <v>25.29</v>
      </c>
      <c r="M63" s="134">
        <v>96.53</v>
      </c>
      <c r="N63" s="134">
        <v>98</v>
      </c>
      <c r="O63" s="134">
        <v>0</v>
      </c>
      <c r="P63" s="134">
        <v>0.43</v>
      </c>
      <c r="Q63" s="134">
        <v>4.1100000000000003</v>
      </c>
    </row>
    <row r="64" spans="1:17" customFormat="1">
      <c r="A64" s="112" t="s">
        <v>2308</v>
      </c>
      <c r="B64" s="134">
        <v>12.79</v>
      </c>
      <c r="C64" s="134">
        <v>22.2</v>
      </c>
      <c r="D64" s="134">
        <v>23.21</v>
      </c>
      <c r="E64" s="134">
        <v>9.1199999999999992</v>
      </c>
      <c r="F64" s="134">
        <v>4.83</v>
      </c>
      <c r="G64" s="134">
        <v>5.03</v>
      </c>
      <c r="H64" s="134">
        <v>2.83</v>
      </c>
      <c r="I64" s="134">
        <v>3.64</v>
      </c>
      <c r="J64" s="134">
        <v>0.23</v>
      </c>
      <c r="K64" s="134">
        <v>283</v>
      </c>
      <c r="L64" s="134">
        <v>25.3</v>
      </c>
      <c r="M64" s="134">
        <v>96.42</v>
      </c>
      <c r="N64" s="134">
        <v>35.799999999999997</v>
      </c>
      <c r="O64" s="134">
        <v>0</v>
      </c>
      <c r="P64" s="134">
        <v>0.44</v>
      </c>
      <c r="Q64" s="134">
        <v>4.08</v>
      </c>
    </row>
    <row r="65" spans="1:17" customFormat="1">
      <c r="A65" s="112" t="s">
        <v>2309</v>
      </c>
      <c r="B65" s="134">
        <v>12.87</v>
      </c>
      <c r="C65" s="134">
        <v>23.5</v>
      </c>
      <c r="D65" s="134">
        <v>23.96</v>
      </c>
      <c r="E65" s="134">
        <v>8.84</v>
      </c>
      <c r="F65" s="134">
        <v>4.17</v>
      </c>
      <c r="G65" s="134">
        <v>5.03</v>
      </c>
      <c r="H65" s="134">
        <v>2.83</v>
      </c>
      <c r="I65" s="134">
        <v>3.78</v>
      </c>
      <c r="J65" s="134">
        <v>0.11</v>
      </c>
      <c r="K65" s="134">
        <v>1.68</v>
      </c>
      <c r="L65" s="134">
        <v>25.24</v>
      </c>
      <c r="M65" s="134">
        <v>96.79</v>
      </c>
      <c r="N65" s="134">
        <v>12.3</v>
      </c>
      <c r="O65" s="134">
        <v>0</v>
      </c>
      <c r="P65" s="134">
        <v>0.46</v>
      </c>
      <c r="Q65" s="134">
        <v>4.08</v>
      </c>
    </row>
    <row r="66" spans="1:17" customFormat="1">
      <c r="A66" s="112" t="s">
        <v>2310</v>
      </c>
      <c r="B66" s="134">
        <v>13.51</v>
      </c>
      <c r="C66" s="134">
        <v>23.88</v>
      </c>
      <c r="D66" s="134">
        <v>24.66</v>
      </c>
      <c r="E66" s="134">
        <v>9.06</v>
      </c>
      <c r="F66" s="134">
        <v>4.3099999999999996</v>
      </c>
      <c r="G66" s="134">
        <v>3.99</v>
      </c>
      <c r="H66" s="134">
        <v>3.84</v>
      </c>
      <c r="I66" s="134">
        <v>4.17</v>
      </c>
      <c r="J66" s="134">
        <v>0.39</v>
      </c>
      <c r="K66" s="134">
        <v>26.83</v>
      </c>
      <c r="L66" s="134">
        <v>25.06</v>
      </c>
      <c r="M66" s="134">
        <v>96.98</v>
      </c>
      <c r="N66" s="134">
        <v>0.4</v>
      </c>
      <c r="O66" s="134">
        <v>0.6</v>
      </c>
      <c r="P66" s="134">
        <v>0.51</v>
      </c>
      <c r="Q66" s="134">
        <v>4.16</v>
      </c>
    </row>
    <row r="67" spans="1:17" customFormat="1">
      <c r="A67" s="112" t="s">
        <v>2311</v>
      </c>
      <c r="B67" s="134">
        <v>14.13</v>
      </c>
      <c r="C67" s="134">
        <v>23.44</v>
      </c>
      <c r="D67" s="134">
        <v>24.92</v>
      </c>
      <c r="E67" s="134">
        <v>8.6300000000000008</v>
      </c>
      <c r="F67" s="134">
        <v>4.71</v>
      </c>
      <c r="G67" s="134">
        <v>3.82</v>
      </c>
      <c r="H67" s="134">
        <v>3.84</v>
      </c>
      <c r="I67" s="134">
        <v>4.4000000000000004</v>
      </c>
      <c r="J67" s="134">
        <v>0.39</v>
      </c>
      <c r="K67" s="134">
        <v>273.55</v>
      </c>
      <c r="L67" s="134">
        <v>24.87</v>
      </c>
      <c r="M67" s="134">
        <v>97.26</v>
      </c>
      <c r="N67" s="134">
        <v>30.4</v>
      </c>
      <c r="O67" s="134">
        <v>0.2</v>
      </c>
      <c r="P67" s="134">
        <v>0.49</v>
      </c>
      <c r="Q67" s="134">
        <v>4.18</v>
      </c>
    </row>
    <row r="68" spans="1:17" customFormat="1">
      <c r="A68" s="112" t="s">
        <v>2312</v>
      </c>
      <c r="B68" s="134">
        <v>14.34</v>
      </c>
      <c r="C68" s="134">
        <v>24.37</v>
      </c>
      <c r="D68" s="134">
        <v>25.59</v>
      </c>
      <c r="E68" s="134">
        <v>8.6300000000000008</v>
      </c>
      <c r="F68" s="134">
        <v>3.97</v>
      </c>
      <c r="G68" s="134">
        <v>3.82</v>
      </c>
      <c r="H68" s="134">
        <v>3.84</v>
      </c>
      <c r="I68" s="134">
        <v>4.58</v>
      </c>
      <c r="J68" s="134">
        <v>0.45</v>
      </c>
      <c r="K68" s="134">
        <v>267.69</v>
      </c>
      <c r="L68" s="134">
        <v>25.18</v>
      </c>
      <c r="M68" s="134">
        <v>97.41</v>
      </c>
      <c r="N68" s="134">
        <v>80.7</v>
      </c>
      <c r="O68" s="134">
        <v>0</v>
      </c>
      <c r="P68" s="134">
        <v>0.51</v>
      </c>
      <c r="Q68" s="134">
        <v>4.2</v>
      </c>
    </row>
    <row r="69" spans="1:17" customFormat="1">
      <c r="A69" s="112" t="s">
        <v>2313</v>
      </c>
      <c r="B69" s="134">
        <v>14.49</v>
      </c>
      <c r="C69" s="134">
        <v>24.63</v>
      </c>
      <c r="D69" s="134">
        <v>25.84</v>
      </c>
      <c r="E69" s="134">
        <v>9.4600000000000009</v>
      </c>
      <c r="F69" s="134">
        <v>4.2300000000000004</v>
      </c>
      <c r="G69" s="134">
        <v>3.82</v>
      </c>
      <c r="H69" s="134">
        <v>3.84</v>
      </c>
      <c r="I69" s="134">
        <v>4.54</v>
      </c>
      <c r="J69" s="134">
        <v>0.48</v>
      </c>
      <c r="K69" s="134">
        <v>271.77</v>
      </c>
      <c r="L69" s="134">
        <v>25.4</v>
      </c>
      <c r="M69" s="134">
        <v>96.51</v>
      </c>
      <c r="N69" s="134">
        <v>102</v>
      </c>
      <c r="O69" s="134">
        <v>0</v>
      </c>
      <c r="P69" s="134">
        <v>0.56000000000000005</v>
      </c>
      <c r="Q69" s="134">
        <v>4.28</v>
      </c>
    </row>
    <row r="70" spans="1:17" customFormat="1">
      <c r="A70" s="112" t="s">
        <v>2314</v>
      </c>
      <c r="B70" s="134">
        <v>14.35</v>
      </c>
      <c r="C70" s="134">
        <v>23.52</v>
      </c>
      <c r="D70" s="134">
        <v>25.14</v>
      </c>
      <c r="E70" s="134">
        <v>9.0399999999999991</v>
      </c>
      <c r="F70" s="134">
        <v>5.24</v>
      </c>
      <c r="G70" s="134">
        <v>7.31</v>
      </c>
      <c r="H70" s="134">
        <v>5.79</v>
      </c>
      <c r="I70" s="134">
        <v>4.6900000000000004</v>
      </c>
      <c r="J70" s="134">
        <v>0.32</v>
      </c>
      <c r="K70" s="134">
        <v>269.91000000000003</v>
      </c>
      <c r="L70" s="134">
        <v>25.59</v>
      </c>
      <c r="M70" s="134">
        <v>96.11</v>
      </c>
      <c r="N70" s="134">
        <v>58.8</v>
      </c>
      <c r="O70" s="134">
        <v>0</v>
      </c>
      <c r="P70" s="134">
        <v>0.6</v>
      </c>
      <c r="Q70" s="134">
        <v>4.26</v>
      </c>
    </row>
    <row r="71" spans="1:17" customFormat="1">
      <c r="A71" s="112" t="s">
        <v>2315</v>
      </c>
      <c r="B71" s="134">
        <v>14.44</v>
      </c>
      <c r="C71" s="134">
        <v>24.51</v>
      </c>
      <c r="D71" s="134">
        <v>25.73</v>
      </c>
      <c r="E71" s="134">
        <v>9.07</v>
      </c>
      <c r="F71" s="134">
        <v>4.26</v>
      </c>
      <c r="G71" s="134">
        <v>7.9</v>
      </c>
      <c r="H71" s="134">
        <v>5.79</v>
      </c>
      <c r="I71" s="134">
        <v>4.9400000000000004</v>
      </c>
      <c r="J71" s="134">
        <v>0.36</v>
      </c>
      <c r="K71" s="134">
        <v>271.57</v>
      </c>
      <c r="L71" s="134">
        <v>25.6</v>
      </c>
      <c r="M71" s="134">
        <v>96.11</v>
      </c>
      <c r="N71" s="134">
        <v>66.7</v>
      </c>
      <c r="O71" s="134">
        <v>0</v>
      </c>
      <c r="P71" s="134">
        <v>0.61</v>
      </c>
      <c r="Q71" s="134">
        <v>4.24</v>
      </c>
    </row>
    <row r="72" spans="1:17" customFormat="1">
      <c r="A72" s="112" t="s">
        <v>2316</v>
      </c>
      <c r="B72" s="134">
        <v>14.72</v>
      </c>
      <c r="C72" s="134">
        <v>25</v>
      </c>
      <c r="D72" s="134">
        <v>26.22</v>
      </c>
      <c r="E72" s="134">
        <v>9.19</v>
      </c>
      <c r="F72" s="134">
        <v>4.17</v>
      </c>
      <c r="G72" s="134">
        <v>7.9</v>
      </c>
      <c r="H72" s="134">
        <v>5.79</v>
      </c>
      <c r="I72" s="134">
        <v>5.2</v>
      </c>
      <c r="J72" s="134">
        <v>0.47</v>
      </c>
      <c r="K72" s="134">
        <v>274.98</v>
      </c>
      <c r="L72" s="134">
        <v>25.68</v>
      </c>
      <c r="M72" s="134">
        <v>94.69</v>
      </c>
      <c r="N72" s="134">
        <v>57.9</v>
      </c>
      <c r="O72" s="134">
        <v>0</v>
      </c>
      <c r="P72" s="134">
        <v>0.63</v>
      </c>
      <c r="Q72" s="134">
        <v>4.3</v>
      </c>
    </row>
    <row r="73" spans="1:17" customFormat="1">
      <c r="A73" s="112" t="s">
        <v>2317</v>
      </c>
      <c r="B73" s="134">
        <v>14.66</v>
      </c>
      <c r="C73" s="134">
        <v>24.02</v>
      </c>
      <c r="D73" s="134">
        <v>25.66</v>
      </c>
      <c r="E73" s="134">
        <v>8.9700000000000006</v>
      </c>
      <c r="F73" s="134">
        <v>4.82</v>
      </c>
      <c r="G73" s="134">
        <v>7.9</v>
      </c>
      <c r="H73" s="134">
        <v>5.79</v>
      </c>
      <c r="I73" s="134">
        <v>5.29</v>
      </c>
      <c r="J73" s="134">
        <v>0.46</v>
      </c>
      <c r="K73" s="134">
        <v>273.81</v>
      </c>
      <c r="L73" s="134">
        <v>25.59</v>
      </c>
      <c r="M73" s="134">
        <v>94.62</v>
      </c>
      <c r="N73" s="134">
        <v>47.1</v>
      </c>
      <c r="O73" s="134">
        <v>0</v>
      </c>
      <c r="P73" s="134">
        <v>0.61</v>
      </c>
      <c r="Q73" s="134">
        <v>4.3</v>
      </c>
    </row>
    <row r="74" spans="1:17" customFormat="1">
      <c r="A74" s="112" t="s">
        <v>2318</v>
      </c>
      <c r="B74" s="134">
        <v>14.49</v>
      </c>
      <c r="C74" s="134">
        <v>23.95</v>
      </c>
      <c r="D74" s="134">
        <v>25.49</v>
      </c>
      <c r="E74" s="134">
        <v>8.67</v>
      </c>
      <c r="F74" s="134">
        <v>4.71</v>
      </c>
      <c r="G74" s="134">
        <v>13.3</v>
      </c>
      <c r="H74" s="134">
        <v>7.46</v>
      </c>
      <c r="I74" s="134">
        <v>5.35</v>
      </c>
      <c r="J74" s="134">
        <v>0.47</v>
      </c>
      <c r="K74" s="134">
        <v>270.16000000000003</v>
      </c>
      <c r="L74" s="134">
        <v>25.6</v>
      </c>
      <c r="M74" s="134">
        <v>94.2</v>
      </c>
      <c r="N74" s="134">
        <v>40.1</v>
      </c>
      <c r="O74" s="134">
        <v>0</v>
      </c>
      <c r="P74" s="134">
        <v>0.61</v>
      </c>
      <c r="Q74" s="134">
        <v>4.24</v>
      </c>
    </row>
    <row r="75" spans="1:17" customFormat="1">
      <c r="A75" s="112" t="s">
        <v>2319</v>
      </c>
      <c r="B75" s="134">
        <v>14.56</v>
      </c>
      <c r="C75" s="134">
        <v>25.46</v>
      </c>
      <c r="D75" s="134">
        <v>26.33</v>
      </c>
      <c r="E75" s="134">
        <v>9.02</v>
      </c>
      <c r="F75" s="134">
        <v>3.92</v>
      </c>
      <c r="G75" s="134">
        <v>14.21</v>
      </c>
      <c r="H75" s="134">
        <v>7.46</v>
      </c>
      <c r="I75" s="134">
        <v>5.25</v>
      </c>
      <c r="J75" s="134">
        <v>0.43</v>
      </c>
      <c r="K75" s="134">
        <v>264.27999999999997</v>
      </c>
      <c r="L75" s="134">
        <v>25.51</v>
      </c>
      <c r="M75" s="134">
        <v>94.64</v>
      </c>
      <c r="N75" s="134">
        <v>17.7</v>
      </c>
      <c r="O75" s="134">
        <v>0</v>
      </c>
      <c r="P75" s="134">
        <v>0.64</v>
      </c>
      <c r="Q75" s="134">
        <v>4.24</v>
      </c>
    </row>
    <row r="76" spans="1:17" customFormat="1">
      <c r="A76" s="112" t="s">
        <v>2320</v>
      </c>
      <c r="B76" s="134">
        <v>14.55</v>
      </c>
      <c r="C76" s="134">
        <v>24.39</v>
      </c>
      <c r="D76" s="134">
        <v>25.77</v>
      </c>
      <c r="E76" s="134">
        <v>9</v>
      </c>
      <c r="F76" s="134">
        <v>4.59</v>
      </c>
      <c r="G76" s="134">
        <v>14.21</v>
      </c>
      <c r="H76" s="134">
        <v>7.46</v>
      </c>
      <c r="I76" s="134">
        <v>5.3</v>
      </c>
      <c r="J76" s="134">
        <v>0.38</v>
      </c>
      <c r="K76" s="134">
        <v>266.27</v>
      </c>
      <c r="L76" s="134">
        <v>25.35</v>
      </c>
      <c r="M76" s="134">
        <v>94.9</v>
      </c>
      <c r="N76" s="134">
        <v>15.1</v>
      </c>
      <c r="O76" s="134">
        <v>0</v>
      </c>
      <c r="P76" s="134">
        <v>0.63</v>
      </c>
      <c r="Q76" s="134">
        <v>4.28</v>
      </c>
    </row>
    <row r="77" spans="1:17" customFormat="1">
      <c r="A77" s="112" t="s">
        <v>2321</v>
      </c>
      <c r="B77" s="134">
        <v>14.37</v>
      </c>
      <c r="C77" s="134">
        <v>23.74</v>
      </c>
      <c r="D77" s="134">
        <v>25.28</v>
      </c>
      <c r="E77" s="134">
        <v>9.4</v>
      </c>
      <c r="F77" s="134">
        <v>4.59</v>
      </c>
      <c r="G77" s="134">
        <v>14.21</v>
      </c>
      <c r="H77" s="134">
        <v>7.46</v>
      </c>
      <c r="I77" s="134">
        <v>5.33</v>
      </c>
      <c r="J77" s="134">
        <v>0.47</v>
      </c>
      <c r="K77" s="134">
        <v>265.41000000000003</v>
      </c>
      <c r="L77" s="134">
        <v>25.32</v>
      </c>
      <c r="M77" s="134">
        <v>94.95</v>
      </c>
      <c r="N77" s="134">
        <v>14.5</v>
      </c>
      <c r="O77" s="134">
        <v>0</v>
      </c>
      <c r="P77" s="134">
        <v>0.63</v>
      </c>
      <c r="Q77" s="134">
        <v>4.2300000000000004</v>
      </c>
    </row>
    <row r="78" spans="1:17" customFormat="1">
      <c r="A78" s="112" t="s">
        <v>2322</v>
      </c>
      <c r="B78" s="134">
        <v>14.25</v>
      </c>
      <c r="C78" s="134">
        <v>24.91</v>
      </c>
      <c r="D78" s="134">
        <v>25.79</v>
      </c>
      <c r="E78" s="134">
        <v>9.5</v>
      </c>
      <c r="F78" s="134">
        <v>4.07</v>
      </c>
      <c r="G78" s="134">
        <v>14.21</v>
      </c>
      <c r="H78" s="134">
        <v>5.59</v>
      </c>
      <c r="I78" s="134">
        <v>5.33</v>
      </c>
      <c r="J78" s="134">
        <v>0.44</v>
      </c>
      <c r="K78" s="134">
        <v>264.58</v>
      </c>
      <c r="L78" s="134">
        <v>25.23</v>
      </c>
      <c r="M78" s="134">
        <v>94.95</v>
      </c>
      <c r="N78" s="134">
        <v>7.5</v>
      </c>
      <c r="O78" s="134">
        <v>0</v>
      </c>
      <c r="P78" s="134">
        <v>0.64</v>
      </c>
      <c r="Q78" s="134">
        <v>4.21</v>
      </c>
    </row>
    <row r="79" spans="1:17" customFormat="1">
      <c r="A79" s="112" t="s">
        <v>2323</v>
      </c>
      <c r="B79" s="134">
        <v>14.46</v>
      </c>
      <c r="C79" s="134">
        <v>24</v>
      </c>
      <c r="D79" s="134">
        <v>25.48</v>
      </c>
      <c r="E79" s="134">
        <v>9.1999999999999993</v>
      </c>
      <c r="F79" s="134">
        <v>4.57</v>
      </c>
      <c r="G79" s="134">
        <v>14.21</v>
      </c>
      <c r="H79" s="134">
        <v>5.59</v>
      </c>
      <c r="I79" s="134">
        <v>5.32</v>
      </c>
      <c r="J79" s="134">
        <v>0.32</v>
      </c>
      <c r="K79" s="134">
        <v>265.93</v>
      </c>
      <c r="L79" s="134">
        <v>25.18</v>
      </c>
      <c r="M79" s="134">
        <v>95.36</v>
      </c>
      <c r="N79" s="134">
        <v>0.4</v>
      </c>
      <c r="O79" s="134">
        <v>0</v>
      </c>
      <c r="P79" s="134">
        <v>0.64</v>
      </c>
      <c r="Q79" s="134">
        <v>4.22</v>
      </c>
    </row>
    <row r="80" spans="1:17" customFormat="1">
      <c r="A80" s="112" t="s">
        <v>2324</v>
      </c>
      <c r="B80" s="134">
        <v>14.41</v>
      </c>
      <c r="C80" s="134">
        <v>23.34</v>
      </c>
      <c r="D80" s="134">
        <v>25.1</v>
      </c>
      <c r="E80" s="134">
        <v>8.67</v>
      </c>
      <c r="F80" s="134">
        <v>4.74</v>
      </c>
      <c r="G80" s="134">
        <v>14.21</v>
      </c>
      <c r="H80" s="134">
        <v>5.59</v>
      </c>
      <c r="I80" s="134">
        <v>5.39</v>
      </c>
      <c r="J80" s="134">
        <v>0.28000000000000003</v>
      </c>
      <c r="K80" s="134">
        <v>257.58</v>
      </c>
      <c r="L80" s="134">
        <v>25.04</v>
      </c>
      <c r="M80" s="134">
        <v>95.86</v>
      </c>
      <c r="N80" s="134">
        <v>0</v>
      </c>
      <c r="O80" s="134">
        <v>0</v>
      </c>
      <c r="P80" s="134">
        <v>0.62</v>
      </c>
      <c r="Q80" s="134">
        <v>4.1900000000000004</v>
      </c>
    </row>
    <row r="81" spans="1:17" customFormat="1">
      <c r="A81" s="112" t="s">
        <v>2325</v>
      </c>
      <c r="B81" s="134">
        <v>14.42</v>
      </c>
      <c r="C81" s="134">
        <v>24.35</v>
      </c>
      <c r="D81" s="134">
        <v>25.64</v>
      </c>
      <c r="E81" s="134">
        <v>6.76</v>
      </c>
      <c r="F81" s="134">
        <v>4.0199999999999996</v>
      </c>
      <c r="G81" s="134">
        <v>14.21</v>
      </c>
      <c r="H81" s="134">
        <v>5.59</v>
      </c>
      <c r="I81" s="134">
        <v>5.37</v>
      </c>
      <c r="J81" s="134">
        <v>0.25</v>
      </c>
      <c r="K81" s="134">
        <v>270.88</v>
      </c>
      <c r="L81" s="134">
        <v>24.98</v>
      </c>
      <c r="M81" s="134">
        <v>96.27</v>
      </c>
      <c r="N81" s="134">
        <v>0</v>
      </c>
      <c r="O81" s="134">
        <v>0</v>
      </c>
      <c r="P81" s="134">
        <v>0.65</v>
      </c>
      <c r="Q81" s="134">
        <v>4.18</v>
      </c>
    </row>
    <row r="82" spans="1:17" customFormat="1">
      <c r="A82" s="112" t="s">
        <v>2326</v>
      </c>
      <c r="B82" s="134">
        <v>14.03</v>
      </c>
      <c r="C82" s="134">
        <v>23.03</v>
      </c>
      <c r="D82" s="134">
        <v>24.63</v>
      </c>
      <c r="E82" s="134">
        <v>7.72</v>
      </c>
      <c r="F82" s="134">
        <v>4.8099999999999996</v>
      </c>
      <c r="G82" s="134">
        <v>16.16</v>
      </c>
      <c r="H82" s="134">
        <v>4.28</v>
      </c>
      <c r="I82" s="134">
        <v>5.37</v>
      </c>
      <c r="J82" s="134">
        <v>0.09</v>
      </c>
      <c r="K82" s="134">
        <v>292.91000000000003</v>
      </c>
      <c r="L82" s="134">
        <v>24.95</v>
      </c>
      <c r="M82" s="134">
        <v>96.45</v>
      </c>
      <c r="N82" s="134">
        <v>0</v>
      </c>
      <c r="O82" s="134">
        <v>0</v>
      </c>
      <c r="P82" s="134">
        <v>0.67</v>
      </c>
      <c r="Q82" s="134">
        <v>4.24</v>
      </c>
    </row>
    <row r="83" spans="1:17" customFormat="1">
      <c r="A83" s="112" t="s">
        <v>2327</v>
      </c>
      <c r="B83" s="134">
        <v>14.87</v>
      </c>
      <c r="C83" s="134">
        <v>24.1</v>
      </c>
      <c r="D83" s="134">
        <v>25.86</v>
      </c>
      <c r="E83" s="134">
        <v>8.15</v>
      </c>
      <c r="F83" s="134">
        <v>4.32</v>
      </c>
      <c r="G83" s="134">
        <v>16.489999999999998</v>
      </c>
      <c r="H83" s="134">
        <v>4.28</v>
      </c>
      <c r="I83" s="134">
        <v>5.47</v>
      </c>
      <c r="J83" s="134">
        <v>0.22</v>
      </c>
      <c r="K83" s="134">
        <v>307.43</v>
      </c>
      <c r="L83" s="134">
        <v>24.96</v>
      </c>
      <c r="M83" s="134">
        <v>96.26</v>
      </c>
      <c r="N83" s="134">
        <v>0</v>
      </c>
      <c r="O83" s="134">
        <v>0</v>
      </c>
      <c r="P83" s="134">
        <v>0.67</v>
      </c>
      <c r="Q83" s="134">
        <v>4.22</v>
      </c>
    </row>
    <row r="84" spans="1:17" customFormat="1">
      <c r="A84" s="112" t="s">
        <v>2328</v>
      </c>
      <c r="B84" s="134">
        <v>15.65</v>
      </c>
      <c r="C84" s="134">
        <v>25.84</v>
      </c>
      <c r="D84" s="134">
        <v>27.41</v>
      </c>
      <c r="E84" s="134">
        <v>8.61</v>
      </c>
      <c r="F84" s="134">
        <v>3.85</v>
      </c>
      <c r="G84" s="134">
        <v>16.489999999999998</v>
      </c>
      <c r="H84" s="134">
        <v>4.28</v>
      </c>
      <c r="I84" s="134">
        <v>5.6</v>
      </c>
      <c r="J84" s="134">
        <v>0.32</v>
      </c>
      <c r="K84" s="134">
        <v>252.63</v>
      </c>
      <c r="L84" s="134">
        <v>24.91</v>
      </c>
      <c r="M84" s="134">
        <v>95.95</v>
      </c>
      <c r="N84" s="134">
        <v>0</v>
      </c>
      <c r="O84" s="134">
        <v>0</v>
      </c>
      <c r="P84" s="134">
        <v>0.72</v>
      </c>
      <c r="Q84" s="134">
        <v>4.28</v>
      </c>
    </row>
    <row r="85" spans="1:17" customFormat="1">
      <c r="A85" s="112" t="s">
        <v>2329</v>
      </c>
      <c r="B85" s="134">
        <v>16.11</v>
      </c>
      <c r="C85" s="134">
        <v>24.9</v>
      </c>
      <c r="D85" s="134">
        <v>27.28</v>
      </c>
      <c r="E85" s="134">
        <v>8.26</v>
      </c>
      <c r="F85" s="134">
        <v>4.4400000000000004</v>
      </c>
      <c r="G85" s="134">
        <v>16.489999999999998</v>
      </c>
      <c r="H85" s="134">
        <v>4.28</v>
      </c>
      <c r="I85" s="134">
        <v>5.69</v>
      </c>
      <c r="J85" s="134">
        <v>0.15</v>
      </c>
      <c r="K85" s="134">
        <v>232.66</v>
      </c>
      <c r="L85" s="134">
        <v>24.8</v>
      </c>
      <c r="M85" s="134">
        <v>96.2</v>
      </c>
      <c r="N85" s="134">
        <v>0</v>
      </c>
      <c r="O85" s="134">
        <v>0</v>
      </c>
      <c r="P85" s="134">
        <v>0.74</v>
      </c>
      <c r="Q85" s="134">
        <v>4.34</v>
      </c>
    </row>
    <row r="86" spans="1:17" customFormat="1">
      <c r="A86" s="112" t="s">
        <v>2330</v>
      </c>
      <c r="B86" s="134">
        <v>16.03</v>
      </c>
      <c r="C86" s="134">
        <v>24.63</v>
      </c>
      <c r="D86" s="134">
        <v>27.07</v>
      </c>
      <c r="E86" s="134">
        <v>8.1199999999999992</v>
      </c>
      <c r="F86" s="134">
        <v>4.38</v>
      </c>
      <c r="G86" s="134">
        <v>23.67</v>
      </c>
      <c r="H86" s="134">
        <v>4.67</v>
      </c>
      <c r="I86" s="134">
        <v>5.83</v>
      </c>
      <c r="J86" s="134">
        <v>0.12</v>
      </c>
      <c r="K86" s="134">
        <v>183.17</v>
      </c>
      <c r="L86" s="134">
        <v>24.87</v>
      </c>
      <c r="M86" s="134">
        <v>96.6</v>
      </c>
      <c r="N86" s="134">
        <v>0</v>
      </c>
      <c r="O86" s="134">
        <v>0</v>
      </c>
      <c r="P86" s="134">
        <v>0.74</v>
      </c>
      <c r="Q86" s="134">
        <v>4.34</v>
      </c>
    </row>
    <row r="87" spans="1:17" customFormat="1">
      <c r="A87" s="112" t="s">
        <v>2331</v>
      </c>
      <c r="B87" s="134">
        <v>16.34</v>
      </c>
      <c r="C87" s="134">
        <v>26.1</v>
      </c>
      <c r="D87" s="134">
        <v>28.09</v>
      </c>
      <c r="E87" s="134">
        <v>8</v>
      </c>
      <c r="F87" s="134">
        <v>3.77</v>
      </c>
      <c r="G87" s="134">
        <v>24.88</v>
      </c>
      <c r="H87" s="134">
        <v>4.67</v>
      </c>
      <c r="I87" s="134">
        <v>5.87</v>
      </c>
      <c r="J87" s="134">
        <v>7.0000000000000007E-2</v>
      </c>
      <c r="K87" s="134">
        <v>191.99</v>
      </c>
      <c r="L87" s="134">
        <v>24.7</v>
      </c>
      <c r="M87" s="134">
        <v>97.18</v>
      </c>
      <c r="N87" s="134">
        <v>0</v>
      </c>
      <c r="O87" s="134">
        <v>0</v>
      </c>
      <c r="P87" s="134">
        <v>0.75</v>
      </c>
      <c r="Q87" s="134">
        <v>4.38</v>
      </c>
    </row>
    <row r="88" spans="1:17" customFormat="1">
      <c r="A88" s="112" t="s">
        <v>2332</v>
      </c>
      <c r="B88" s="134">
        <v>16.53</v>
      </c>
      <c r="C88" s="134">
        <v>24.85</v>
      </c>
      <c r="D88" s="134">
        <v>27.59</v>
      </c>
      <c r="E88" s="134">
        <v>8.7200000000000006</v>
      </c>
      <c r="F88" s="134">
        <v>4.55</v>
      </c>
      <c r="G88" s="134">
        <v>24.88</v>
      </c>
      <c r="H88" s="134">
        <v>4.67</v>
      </c>
      <c r="I88" s="134">
        <v>5.97</v>
      </c>
      <c r="J88" s="134">
        <v>0.06</v>
      </c>
      <c r="K88" s="134">
        <v>259.61</v>
      </c>
      <c r="L88" s="134">
        <v>24.7</v>
      </c>
      <c r="M88" s="134">
        <v>97.6</v>
      </c>
      <c r="N88" s="134">
        <v>0</v>
      </c>
      <c r="O88" s="134">
        <v>0</v>
      </c>
      <c r="P88" s="134">
        <v>0.75</v>
      </c>
      <c r="Q88" s="134">
        <v>4.3899999999999997</v>
      </c>
    </row>
    <row r="89" spans="1:17" customFormat="1">
      <c r="A89" s="112" t="s">
        <v>2333</v>
      </c>
      <c r="B89" s="134">
        <v>16.399999999999999</v>
      </c>
      <c r="C89" s="134">
        <v>24.36</v>
      </c>
      <c r="D89" s="134">
        <v>27.23</v>
      </c>
      <c r="E89" s="134">
        <v>8.57</v>
      </c>
      <c r="F89" s="134">
        <v>4.46</v>
      </c>
      <c r="G89" s="134">
        <v>24.88</v>
      </c>
      <c r="H89" s="134">
        <v>4.67</v>
      </c>
      <c r="I89" s="134">
        <v>6.02</v>
      </c>
      <c r="J89" s="134">
        <v>0.18</v>
      </c>
      <c r="K89" s="134">
        <v>245.62</v>
      </c>
      <c r="L89" s="134">
        <v>24.69</v>
      </c>
      <c r="M89" s="134">
        <v>97.89</v>
      </c>
      <c r="N89" s="134">
        <v>0</v>
      </c>
      <c r="O89" s="134">
        <v>0</v>
      </c>
      <c r="P89" s="134">
        <v>0.74</v>
      </c>
      <c r="Q89" s="134">
        <v>4.3499999999999996</v>
      </c>
    </row>
    <row r="90" spans="1:17" customFormat="1">
      <c r="A90" s="112" t="s">
        <v>2334</v>
      </c>
      <c r="B90" s="134">
        <v>16.41</v>
      </c>
      <c r="C90" s="134">
        <v>25.44</v>
      </c>
      <c r="D90" s="134">
        <v>27.8</v>
      </c>
      <c r="E90" s="134">
        <v>8.51</v>
      </c>
      <c r="F90" s="134">
        <v>4.08</v>
      </c>
      <c r="G90" s="134">
        <v>20.010000000000002</v>
      </c>
      <c r="H90" s="134">
        <v>5.46</v>
      </c>
      <c r="I90" s="134">
        <v>6.02</v>
      </c>
      <c r="J90" s="134">
        <v>0.24</v>
      </c>
      <c r="K90" s="134">
        <v>254.24</v>
      </c>
      <c r="L90" s="134">
        <v>24.65</v>
      </c>
      <c r="M90" s="134">
        <v>97.78</v>
      </c>
      <c r="N90" s="134">
        <v>0</v>
      </c>
      <c r="O90" s="134">
        <v>0</v>
      </c>
      <c r="P90" s="134">
        <v>0.73</v>
      </c>
      <c r="Q90" s="134">
        <v>4.37</v>
      </c>
    </row>
    <row r="91" spans="1:17" customFormat="1">
      <c r="A91" s="112" t="s">
        <v>2335</v>
      </c>
      <c r="B91" s="134">
        <v>16.510000000000002</v>
      </c>
      <c r="C91" s="134">
        <v>24.37</v>
      </c>
      <c r="D91" s="134">
        <v>27.32</v>
      </c>
      <c r="E91" s="134">
        <v>8.18</v>
      </c>
      <c r="F91" s="134">
        <v>4.66</v>
      </c>
      <c r="G91" s="134">
        <v>19.18</v>
      </c>
      <c r="H91" s="134">
        <v>5.46</v>
      </c>
      <c r="I91" s="134">
        <v>6.05</v>
      </c>
      <c r="J91" s="134">
        <v>0.24</v>
      </c>
      <c r="K91" s="134">
        <v>254.15</v>
      </c>
      <c r="L91" s="134">
        <v>24.66</v>
      </c>
      <c r="M91" s="134">
        <v>97.59</v>
      </c>
      <c r="N91" s="134">
        <v>0</v>
      </c>
      <c r="O91" s="134">
        <v>0</v>
      </c>
      <c r="P91" s="134">
        <v>0.72</v>
      </c>
      <c r="Q91" s="134">
        <v>4.3499999999999996</v>
      </c>
    </row>
    <row r="92" spans="1:17" customFormat="1">
      <c r="A92" s="112" t="s">
        <v>2336</v>
      </c>
      <c r="B92" s="134">
        <v>16.399999999999999</v>
      </c>
      <c r="C92" s="134">
        <v>24.15</v>
      </c>
      <c r="D92" s="134">
        <v>27.12</v>
      </c>
      <c r="E92" s="134">
        <v>7.92</v>
      </c>
      <c r="F92" s="134">
        <v>4.42</v>
      </c>
      <c r="G92" s="134">
        <v>19.18</v>
      </c>
      <c r="H92" s="134">
        <v>5.46</v>
      </c>
      <c r="I92" s="134">
        <v>5.97</v>
      </c>
      <c r="J92" s="134">
        <v>0.3</v>
      </c>
      <c r="K92" s="134">
        <v>265.44</v>
      </c>
      <c r="L92" s="134">
        <v>24.59</v>
      </c>
      <c r="M92" s="134">
        <v>97.39</v>
      </c>
      <c r="N92" s="134">
        <v>0</v>
      </c>
      <c r="O92" s="134">
        <v>0</v>
      </c>
      <c r="P92" s="134">
        <v>0.71</v>
      </c>
      <c r="Q92" s="134">
        <v>4.3099999999999996</v>
      </c>
    </row>
    <row r="93" spans="1:17" customFormat="1">
      <c r="A93" s="112" t="s">
        <v>2337</v>
      </c>
      <c r="B93" s="134">
        <v>16.47</v>
      </c>
      <c r="C93" s="134">
        <v>25.22</v>
      </c>
      <c r="D93" s="134">
        <v>27.74</v>
      </c>
      <c r="E93" s="134">
        <v>8.84</v>
      </c>
      <c r="F93" s="134">
        <v>3.88</v>
      </c>
      <c r="G93" s="134">
        <v>19.18</v>
      </c>
      <c r="H93" s="134">
        <v>5.46</v>
      </c>
      <c r="I93" s="134">
        <v>5.87</v>
      </c>
      <c r="J93" s="134">
        <v>0.35</v>
      </c>
      <c r="K93" s="134">
        <v>266.51</v>
      </c>
      <c r="L93" s="134">
        <v>24.58</v>
      </c>
      <c r="M93" s="134">
        <v>97.34</v>
      </c>
      <c r="N93" s="134">
        <v>0</v>
      </c>
      <c r="O93" s="134">
        <v>0</v>
      </c>
      <c r="P93" s="134">
        <v>0.72</v>
      </c>
      <c r="Q93" s="134">
        <v>4.3499999999999996</v>
      </c>
    </row>
    <row r="94" spans="1:17" customFormat="1">
      <c r="A94" s="112" t="s">
        <v>2338</v>
      </c>
      <c r="B94" s="134">
        <v>16.420000000000002</v>
      </c>
      <c r="C94" s="134">
        <v>23.75</v>
      </c>
      <c r="D94" s="134">
        <v>26.93</v>
      </c>
      <c r="E94" s="134">
        <v>8.52</v>
      </c>
      <c r="F94" s="134">
        <v>4.63</v>
      </c>
      <c r="G94" s="134">
        <v>16.2</v>
      </c>
      <c r="H94" s="134">
        <v>4.08</v>
      </c>
      <c r="I94" s="134">
        <v>5.81</v>
      </c>
      <c r="J94" s="134">
        <v>0.18</v>
      </c>
      <c r="K94" s="134">
        <v>251.96</v>
      </c>
      <c r="L94" s="134">
        <v>24.51</v>
      </c>
      <c r="M94" s="134">
        <v>97.4</v>
      </c>
      <c r="N94" s="134">
        <v>0</v>
      </c>
      <c r="O94" s="134">
        <v>0</v>
      </c>
      <c r="P94" s="134">
        <v>0.7</v>
      </c>
      <c r="Q94" s="134">
        <v>4.37</v>
      </c>
    </row>
    <row r="95" spans="1:17" customFormat="1">
      <c r="A95" s="112" t="s">
        <v>2339</v>
      </c>
      <c r="B95" s="134">
        <v>16.420000000000002</v>
      </c>
      <c r="C95" s="134">
        <v>23.52</v>
      </c>
      <c r="D95" s="134">
        <v>26.8</v>
      </c>
      <c r="E95" s="134">
        <v>7.72</v>
      </c>
      <c r="F95" s="134">
        <v>4.45</v>
      </c>
      <c r="G95" s="134">
        <v>15.69</v>
      </c>
      <c r="H95" s="134">
        <v>4.08</v>
      </c>
      <c r="I95" s="134">
        <v>5.79</v>
      </c>
      <c r="J95" s="134">
        <v>0.23</v>
      </c>
      <c r="K95" s="134">
        <v>258.13</v>
      </c>
      <c r="L95" s="134">
        <v>24.52</v>
      </c>
      <c r="M95" s="134">
        <v>97.61</v>
      </c>
      <c r="N95" s="134">
        <v>0</v>
      </c>
      <c r="O95" s="134">
        <v>0</v>
      </c>
      <c r="P95" s="134">
        <v>0.69</v>
      </c>
      <c r="Q95" s="134">
        <v>4.34</v>
      </c>
    </row>
    <row r="96" spans="1:17" customFormat="1">
      <c r="A96" s="112" t="s">
        <v>2340</v>
      </c>
      <c r="B96" s="134">
        <v>16.36</v>
      </c>
      <c r="C96" s="134">
        <v>25.02</v>
      </c>
      <c r="D96" s="134">
        <v>27.54</v>
      </c>
      <c r="E96" s="134">
        <v>8.74</v>
      </c>
      <c r="F96" s="134">
        <v>3.63</v>
      </c>
      <c r="G96" s="134">
        <v>15.69</v>
      </c>
      <c r="H96" s="134">
        <v>4.08</v>
      </c>
      <c r="I96" s="134">
        <v>5.64</v>
      </c>
      <c r="J96" s="134">
        <v>0.28999999999999998</v>
      </c>
      <c r="K96" s="134">
        <v>261.27999999999997</v>
      </c>
      <c r="L96" s="134">
        <v>24.52</v>
      </c>
      <c r="M96" s="134">
        <v>97.78</v>
      </c>
      <c r="N96" s="134">
        <v>0</v>
      </c>
      <c r="O96" s="134">
        <v>0</v>
      </c>
      <c r="P96" s="134">
        <v>0.7</v>
      </c>
      <c r="Q96" s="134">
        <v>4.33</v>
      </c>
    </row>
    <row r="97" spans="1:22" customFormat="1">
      <c r="A97" s="112" t="s">
        <v>2341</v>
      </c>
      <c r="B97" s="134">
        <v>16.510000000000002</v>
      </c>
      <c r="C97" s="134">
        <v>23.59</v>
      </c>
      <c r="D97" s="134">
        <v>26.91</v>
      </c>
      <c r="E97" s="134">
        <v>8.4700000000000006</v>
      </c>
      <c r="F97" s="134">
        <v>4.37</v>
      </c>
      <c r="G97" s="134">
        <v>15.69</v>
      </c>
      <c r="H97" s="134">
        <v>4.08</v>
      </c>
      <c r="I97" s="134">
        <v>5.62</v>
      </c>
      <c r="J97" s="134">
        <v>0.38</v>
      </c>
      <c r="K97" s="134">
        <v>260.23</v>
      </c>
      <c r="L97" s="134">
        <v>24.5</v>
      </c>
      <c r="M97" s="134">
        <v>97.62</v>
      </c>
      <c r="N97" s="134">
        <v>0</v>
      </c>
      <c r="O97" s="134">
        <v>0</v>
      </c>
      <c r="P97" s="134">
        <v>0.67</v>
      </c>
      <c r="Q97" s="134">
        <v>4.3600000000000003</v>
      </c>
    </row>
    <row r="98" spans="1:22" customFormat="1">
      <c r="A98" s="112" t="s">
        <v>2342</v>
      </c>
      <c r="B98" s="134">
        <v>16.09</v>
      </c>
      <c r="C98" s="134">
        <v>22.78</v>
      </c>
      <c r="D98" s="134">
        <v>26.15</v>
      </c>
      <c r="E98" s="134">
        <v>8.5299999999999994</v>
      </c>
      <c r="F98" s="134">
        <v>4.6399999999999997</v>
      </c>
      <c r="G98" s="134">
        <v>11.83</v>
      </c>
      <c r="H98" s="134">
        <v>3.08</v>
      </c>
      <c r="I98" s="134">
        <v>5.58</v>
      </c>
      <c r="J98" s="134">
        <v>0.21</v>
      </c>
      <c r="K98" s="134">
        <v>251.68</v>
      </c>
      <c r="L98" s="134">
        <v>24.53</v>
      </c>
      <c r="M98" s="134">
        <v>97.56</v>
      </c>
      <c r="N98" s="134">
        <v>0</v>
      </c>
      <c r="O98" s="134">
        <v>0</v>
      </c>
      <c r="P98" s="134">
        <v>0.66</v>
      </c>
      <c r="Q98" s="134">
        <v>4.32</v>
      </c>
    </row>
    <row r="99" spans="1:22" customFormat="1">
      <c r="A99" s="112" t="s">
        <v>2343</v>
      </c>
      <c r="B99" s="134">
        <v>16.2</v>
      </c>
      <c r="C99" s="134">
        <v>24.62</v>
      </c>
      <c r="D99" s="134">
        <v>27.21</v>
      </c>
      <c r="E99" s="134">
        <v>8.64</v>
      </c>
      <c r="F99" s="134">
        <v>3.84</v>
      </c>
      <c r="G99" s="134">
        <v>11.18</v>
      </c>
      <c r="H99" s="134">
        <v>3.08</v>
      </c>
      <c r="I99" s="134">
        <v>5.47</v>
      </c>
      <c r="J99" s="134">
        <v>0.44</v>
      </c>
      <c r="K99" s="134">
        <v>260.23</v>
      </c>
      <c r="L99" s="134">
        <v>24.39</v>
      </c>
      <c r="M99" s="134">
        <v>97.5</v>
      </c>
      <c r="N99" s="134">
        <v>0</v>
      </c>
      <c r="O99" s="134">
        <v>0</v>
      </c>
      <c r="P99" s="134">
        <v>0.67</v>
      </c>
      <c r="Q99" s="134">
        <v>4.32</v>
      </c>
    </row>
    <row r="100" spans="1:22" customFormat="1">
      <c r="A100" s="112" t="s">
        <v>2344</v>
      </c>
      <c r="B100" s="134">
        <v>16.28</v>
      </c>
      <c r="C100" s="134">
        <v>24.7</v>
      </c>
      <c r="D100" s="134">
        <v>27.31</v>
      </c>
      <c r="E100" s="134">
        <v>8.64</v>
      </c>
      <c r="F100" s="134">
        <v>4.08</v>
      </c>
      <c r="G100" s="134">
        <v>11.18</v>
      </c>
      <c r="H100" s="134">
        <v>3.08</v>
      </c>
      <c r="I100" s="134">
        <v>5.39</v>
      </c>
      <c r="J100" s="134">
        <v>0.38</v>
      </c>
      <c r="K100" s="134">
        <v>265.58999999999997</v>
      </c>
      <c r="L100" s="134">
        <v>24.41</v>
      </c>
      <c r="M100" s="134">
        <v>97.72</v>
      </c>
      <c r="N100" s="134">
        <v>0</v>
      </c>
      <c r="O100" s="134">
        <v>0</v>
      </c>
      <c r="P100" s="134">
        <v>0.66</v>
      </c>
      <c r="Q100" s="134">
        <v>4.33</v>
      </c>
    </row>
    <row r="101" spans="1:22" customFormat="1">
      <c r="A101" s="112" t="s">
        <v>2345</v>
      </c>
      <c r="B101" s="134">
        <v>16.32</v>
      </c>
      <c r="C101" s="134">
        <v>23.94</v>
      </c>
      <c r="D101" s="134">
        <v>26.95</v>
      </c>
      <c r="E101" s="134">
        <v>8.6999999999999993</v>
      </c>
      <c r="F101" s="134">
        <v>4.32</v>
      </c>
      <c r="G101" s="134">
        <v>11.18</v>
      </c>
      <c r="H101" s="134">
        <v>3.08</v>
      </c>
      <c r="I101" s="134">
        <v>5.41</v>
      </c>
      <c r="J101" s="134">
        <v>0.53</v>
      </c>
      <c r="K101" s="134">
        <v>262.49</v>
      </c>
      <c r="L101" s="134">
        <v>24.46</v>
      </c>
      <c r="M101" s="134">
        <v>97.72</v>
      </c>
      <c r="N101" s="134">
        <v>0</v>
      </c>
      <c r="O101" s="134">
        <v>0</v>
      </c>
      <c r="P101" s="134">
        <v>0.65</v>
      </c>
      <c r="Q101" s="134">
        <v>4.3499999999999996</v>
      </c>
    </row>
    <row r="102" spans="1:22" customFormat="1">
      <c r="A102" s="112" t="s">
        <v>2346</v>
      </c>
      <c r="B102" s="134">
        <v>16.11</v>
      </c>
      <c r="C102" s="134">
        <v>22.57</v>
      </c>
      <c r="D102" s="134">
        <v>26.06</v>
      </c>
      <c r="E102" s="134">
        <v>8.07</v>
      </c>
      <c r="F102" s="134">
        <v>4.7699999999999996</v>
      </c>
      <c r="G102" s="134">
        <v>10.06</v>
      </c>
      <c r="H102" s="134">
        <v>3.11</v>
      </c>
      <c r="I102" s="134">
        <v>5.36</v>
      </c>
      <c r="J102" s="134">
        <v>0.61</v>
      </c>
      <c r="K102" s="134">
        <v>264.92</v>
      </c>
      <c r="L102" s="134">
        <v>24.5</v>
      </c>
      <c r="M102" s="134">
        <v>96.9</v>
      </c>
      <c r="N102" s="134">
        <v>0</v>
      </c>
      <c r="O102" s="134">
        <v>0</v>
      </c>
      <c r="P102" s="134">
        <v>0.62</v>
      </c>
      <c r="Q102" s="134">
        <v>4.29</v>
      </c>
    </row>
    <row r="103" spans="1:22" customFormat="1">
      <c r="A103" s="112" t="s">
        <v>2347</v>
      </c>
      <c r="B103" s="134">
        <v>15.93</v>
      </c>
      <c r="C103" s="134">
        <v>23.78</v>
      </c>
      <c r="D103" s="134">
        <v>26.55</v>
      </c>
      <c r="E103" s="134">
        <v>7.91</v>
      </c>
      <c r="F103" s="134">
        <v>3.99</v>
      </c>
      <c r="G103" s="134">
        <v>9.8699999999999992</v>
      </c>
      <c r="H103" s="134">
        <v>3.11</v>
      </c>
      <c r="I103" s="134">
        <v>5.24</v>
      </c>
      <c r="J103" s="134">
        <v>0.47</v>
      </c>
      <c r="K103" s="134">
        <v>259.94</v>
      </c>
      <c r="L103" s="134">
        <v>24.49</v>
      </c>
      <c r="M103" s="134">
        <v>96.62</v>
      </c>
      <c r="N103" s="134">
        <v>0</v>
      </c>
      <c r="O103" s="134">
        <v>0</v>
      </c>
      <c r="P103" s="134">
        <v>0.63</v>
      </c>
      <c r="Q103" s="134">
        <v>4.2300000000000004</v>
      </c>
    </row>
    <row r="104" spans="1:22" customFormat="1">
      <c r="A104" s="112" t="s">
        <v>2348</v>
      </c>
      <c r="B104" s="134">
        <v>15.81</v>
      </c>
      <c r="C104" s="134">
        <v>23.79</v>
      </c>
      <c r="D104" s="134">
        <v>26.46</v>
      </c>
      <c r="E104" s="134">
        <v>8.24</v>
      </c>
      <c r="F104" s="134">
        <v>4.3099999999999996</v>
      </c>
      <c r="G104" s="134">
        <v>9.8699999999999992</v>
      </c>
      <c r="H104" s="134">
        <v>3.11</v>
      </c>
      <c r="I104" s="134">
        <v>5.1100000000000003</v>
      </c>
      <c r="J104" s="134">
        <v>0.55000000000000004</v>
      </c>
      <c r="K104" s="134">
        <v>263.35000000000002</v>
      </c>
      <c r="L104" s="134">
        <v>24.49</v>
      </c>
      <c r="M104" s="134">
        <v>96.33</v>
      </c>
      <c r="N104" s="134">
        <v>0</v>
      </c>
      <c r="O104" s="134">
        <v>0</v>
      </c>
      <c r="P104" s="134">
        <v>0.63</v>
      </c>
      <c r="Q104" s="134">
        <v>4.26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12.57</v>
      </c>
      <c r="C106" s="183">
        <f>MIN(C9:C104)</f>
        <v>21.41</v>
      </c>
      <c r="D106" s="183">
        <f t="shared" ref="D106:Q106" si="0">MIN(D9:D104)</f>
        <v>22.84</v>
      </c>
      <c r="E106" s="183">
        <f t="shared" si="0"/>
        <v>6.76</v>
      </c>
      <c r="F106" s="183">
        <f t="shared" si="0"/>
        <v>3.63</v>
      </c>
      <c r="G106" s="183">
        <f t="shared" si="0"/>
        <v>3.82</v>
      </c>
      <c r="H106" s="183">
        <f t="shared" si="0"/>
        <v>2.83</v>
      </c>
      <c r="I106" s="183">
        <f t="shared" si="0"/>
        <v>3.53</v>
      </c>
      <c r="J106" s="183">
        <f t="shared" si="0"/>
        <v>0.06</v>
      </c>
      <c r="K106" s="183">
        <f t="shared" si="0"/>
        <v>1.68</v>
      </c>
      <c r="L106" s="183">
        <f t="shared" si="0"/>
        <v>24.39</v>
      </c>
      <c r="M106" s="183">
        <f t="shared" si="0"/>
        <v>93.14</v>
      </c>
      <c r="N106" s="183">
        <f t="shared" si="0"/>
        <v>0</v>
      </c>
      <c r="O106" s="183">
        <f t="shared" si="0"/>
        <v>0</v>
      </c>
      <c r="P106" s="183">
        <f t="shared" si="0"/>
        <v>0.39</v>
      </c>
      <c r="Q106" s="183">
        <f t="shared" si="0"/>
        <v>4.0199999999999996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17.690000000000001</v>
      </c>
      <c r="C107" s="184">
        <f t="shared" ref="C107:Q107" si="1">MAX(C9:C104)</f>
        <v>26.97</v>
      </c>
      <c r="D107" s="184">
        <f t="shared" si="1"/>
        <v>29.35</v>
      </c>
      <c r="E107" s="184">
        <f t="shared" si="1"/>
        <v>9.6199999999999992</v>
      </c>
      <c r="F107" s="184">
        <f t="shared" si="1"/>
        <v>5.24</v>
      </c>
      <c r="G107" s="184">
        <f t="shared" si="1"/>
        <v>33.5</v>
      </c>
      <c r="H107" s="184">
        <f t="shared" si="1"/>
        <v>16.739999999999998</v>
      </c>
      <c r="I107" s="184">
        <f t="shared" si="1"/>
        <v>6.05</v>
      </c>
      <c r="J107" s="184">
        <f t="shared" si="1"/>
        <v>0.84</v>
      </c>
      <c r="K107" s="184">
        <f t="shared" si="1"/>
        <v>307.43</v>
      </c>
      <c r="L107" s="184">
        <f t="shared" si="1"/>
        <v>25.68</v>
      </c>
      <c r="M107" s="184">
        <f t="shared" si="1"/>
        <v>97.92</v>
      </c>
      <c r="N107" s="184">
        <f t="shared" si="1"/>
        <v>123.2</v>
      </c>
      <c r="O107" s="184">
        <f t="shared" si="1"/>
        <v>1.2</v>
      </c>
      <c r="P107" s="184">
        <f t="shared" si="1"/>
        <v>0.75</v>
      </c>
      <c r="Q107" s="184">
        <f t="shared" si="1"/>
        <v>4.3899999999999997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15.345104166666664</v>
      </c>
      <c r="C108" s="183">
        <f t="shared" ref="C108:Q108" si="2">AVERAGE(C9:C104)</f>
        <v>23.852291666666673</v>
      </c>
      <c r="D108" s="183">
        <f t="shared" si="2"/>
        <v>26.118958333333339</v>
      </c>
      <c r="E108" s="183">
        <f t="shared" si="2"/>
        <v>8.6156250000000032</v>
      </c>
      <c r="F108" s="183">
        <f t="shared" si="2"/>
        <v>4.3555208333333324</v>
      </c>
      <c r="G108" s="183">
        <f t="shared" si="2"/>
        <v>13.26979166666667</v>
      </c>
      <c r="H108" s="183">
        <f t="shared" si="2"/>
        <v>5.0436458333333283</v>
      </c>
      <c r="I108" s="183">
        <f t="shared" si="2"/>
        <v>4.6691666666666682</v>
      </c>
      <c r="J108" s="183">
        <f t="shared" si="2"/>
        <v>0.41354166666666653</v>
      </c>
      <c r="K108" s="183">
        <f t="shared" si="2"/>
        <v>257.29687500000006</v>
      </c>
      <c r="L108" s="183">
        <f t="shared" si="2"/>
        <v>24.904166666666665</v>
      </c>
      <c r="M108" s="183">
        <f t="shared" si="2"/>
        <v>96.35114583333332</v>
      </c>
      <c r="N108" s="183">
        <f t="shared" si="2"/>
        <v>27.301041666666666</v>
      </c>
      <c r="O108" s="183">
        <f t="shared" si="2"/>
        <v>5.000000000000001E-2</v>
      </c>
      <c r="P108" s="183">
        <f t="shared" si="2"/>
        <v>0.53520833333333351</v>
      </c>
      <c r="Q108" s="183">
        <f t="shared" si="2"/>
        <v>4.2187500000000009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1.4620922246033796</v>
      </c>
      <c r="C109" s="183">
        <f t="shared" ref="C109:Q109" si="3">STDEV(C9:C104)</f>
        <v>1.142265965126869</v>
      </c>
      <c r="D109" s="183">
        <f t="shared" si="3"/>
        <v>1.6066948612579597</v>
      </c>
      <c r="E109" s="183">
        <f t="shared" si="3"/>
        <v>0.49203511320994997</v>
      </c>
      <c r="F109" s="183">
        <f t="shared" si="3"/>
        <v>0.36506919255243242</v>
      </c>
      <c r="G109" s="183">
        <f t="shared" si="3"/>
        <v>7.7020754522355741</v>
      </c>
      <c r="H109" s="183">
        <f t="shared" si="3"/>
        <v>2.2541503801662297</v>
      </c>
      <c r="I109" s="183">
        <f t="shared" si="3"/>
        <v>0.78058637428492073</v>
      </c>
      <c r="J109" s="183">
        <f t="shared" si="3"/>
        <v>0.17463935269226125</v>
      </c>
      <c r="K109" s="183">
        <f t="shared" si="3"/>
        <v>39.280598835409471</v>
      </c>
      <c r="L109" s="183">
        <f t="shared" si="3"/>
        <v>0.38398373503584149</v>
      </c>
      <c r="M109" s="183">
        <f t="shared" si="3"/>
        <v>1.1903912402341612</v>
      </c>
      <c r="N109" s="183">
        <f t="shared" si="3"/>
        <v>38.004688062040231</v>
      </c>
      <c r="O109" s="183">
        <f t="shared" si="3"/>
        <v>0.16415653633362465</v>
      </c>
      <c r="P109" s="183">
        <f t="shared" si="3"/>
        <v>0.11257726391628539</v>
      </c>
      <c r="Q109" s="183">
        <f t="shared" si="3"/>
        <v>9.8046712819593901E-2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23/09/2023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2349</v>
      </c>
      <c r="B9" s="134">
        <v>16.98</v>
      </c>
      <c r="C9" s="134">
        <v>22.82</v>
      </c>
      <c r="D9" s="134">
        <v>26.89</v>
      </c>
      <c r="E9" s="134">
        <v>8.27</v>
      </c>
      <c r="F9" s="134">
        <v>4.53</v>
      </c>
      <c r="G9" s="134">
        <v>9.8699999999999992</v>
      </c>
      <c r="H9" s="134">
        <v>3.11</v>
      </c>
      <c r="I9" s="134">
        <v>5.14</v>
      </c>
      <c r="J9" s="134">
        <v>0.47</v>
      </c>
      <c r="K9" s="134">
        <v>258.97000000000003</v>
      </c>
      <c r="L9" s="134">
        <v>24.47</v>
      </c>
      <c r="M9" s="134">
        <v>96.27</v>
      </c>
      <c r="N9" s="134">
        <v>0</v>
      </c>
      <c r="O9" s="134">
        <v>0</v>
      </c>
      <c r="P9" s="134">
        <v>0.59</v>
      </c>
      <c r="Q9" s="134">
        <v>4.22</v>
      </c>
    </row>
    <row r="10" spans="1:21" customFormat="1">
      <c r="A10" s="112" t="s">
        <v>2350</v>
      </c>
      <c r="B10" s="134">
        <v>16.91</v>
      </c>
      <c r="C10" s="134">
        <v>24.21</v>
      </c>
      <c r="D10" s="134">
        <v>27.56</v>
      </c>
      <c r="E10" s="134">
        <v>8.57</v>
      </c>
      <c r="F10" s="134">
        <v>3.72</v>
      </c>
      <c r="G10" s="134">
        <v>11.8</v>
      </c>
      <c r="H10" s="134">
        <v>4.37</v>
      </c>
      <c r="I10" s="134">
        <v>5.0199999999999996</v>
      </c>
      <c r="J10" s="134">
        <v>0.52</v>
      </c>
      <c r="K10" s="134">
        <v>258.44</v>
      </c>
      <c r="L10" s="134">
        <v>24.42</v>
      </c>
      <c r="M10" s="134">
        <v>96.35</v>
      </c>
      <c r="N10" s="134">
        <v>0</v>
      </c>
      <c r="O10" s="134">
        <v>0</v>
      </c>
      <c r="P10" s="134">
        <v>0.6</v>
      </c>
      <c r="Q10" s="134">
        <v>4.2</v>
      </c>
    </row>
    <row r="11" spans="1:21" customFormat="1">
      <c r="A11" s="112" t="s">
        <v>2351</v>
      </c>
      <c r="B11" s="134">
        <v>16.899999999999999</v>
      </c>
      <c r="C11" s="134">
        <v>24.76</v>
      </c>
      <c r="D11" s="134">
        <v>27.84</v>
      </c>
      <c r="E11" s="134">
        <v>8.43</v>
      </c>
      <c r="F11" s="134">
        <v>3.9</v>
      </c>
      <c r="G11" s="134">
        <v>12.12</v>
      </c>
      <c r="H11" s="134">
        <v>4.37</v>
      </c>
      <c r="I11" s="134">
        <v>4.9000000000000004</v>
      </c>
      <c r="J11" s="134">
        <v>0.72</v>
      </c>
      <c r="K11" s="134">
        <v>263.22000000000003</v>
      </c>
      <c r="L11" s="134">
        <v>24.41</v>
      </c>
      <c r="M11" s="134">
        <v>96.28</v>
      </c>
      <c r="N11" s="134">
        <v>0</v>
      </c>
      <c r="O11" s="134">
        <v>0</v>
      </c>
      <c r="P11" s="134">
        <v>0.6</v>
      </c>
      <c r="Q11" s="134">
        <v>4.2300000000000004</v>
      </c>
    </row>
    <row r="12" spans="1:21" customFormat="1">
      <c r="A12" s="112" t="s">
        <v>2352</v>
      </c>
      <c r="B12" s="134">
        <v>16.71</v>
      </c>
      <c r="C12" s="134">
        <v>23.43</v>
      </c>
      <c r="D12" s="134">
        <v>27</v>
      </c>
      <c r="E12" s="134">
        <v>8.14</v>
      </c>
      <c r="F12" s="134">
        <v>4.7699999999999996</v>
      </c>
      <c r="G12" s="134">
        <v>12.12</v>
      </c>
      <c r="H12" s="134">
        <v>4.37</v>
      </c>
      <c r="I12" s="134">
        <v>4.9400000000000004</v>
      </c>
      <c r="J12" s="134">
        <v>0.48</v>
      </c>
      <c r="K12" s="134">
        <v>262.10000000000002</v>
      </c>
      <c r="L12" s="134">
        <v>24.39</v>
      </c>
      <c r="M12" s="134">
        <v>96.36</v>
      </c>
      <c r="N12" s="134">
        <v>0</v>
      </c>
      <c r="O12" s="134">
        <v>0</v>
      </c>
      <c r="P12" s="134">
        <v>0.56999999999999995</v>
      </c>
      <c r="Q12" s="134">
        <v>4.22</v>
      </c>
    </row>
    <row r="13" spans="1:21" customFormat="1">
      <c r="A13" s="112" t="s">
        <v>2353</v>
      </c>
      <c r="B13" s="134">
        <v>16.579999999999998</v>
      </c>
      <c r="C13" s="134">
        <v>23.53</v>
      </c>
      <c r="D13" s="134">
        <v>26.94</v>
      </c>
      <c r="E13" s="134">
        <v>8.74</v>
      </c>
      <c r="F13" s="134">
        <v>4.4000000000000004</v>
      </c>
      <c r="G13" s="134">
        <v>12.12</v>
      </c>
      <c r="H13" s="134">
        <v>4.37</v>
      </c>
      <c r="I13" s="134">
        <v>4.84</v>
      </c>
      <c r="J13" s="134">
        <v>0.57999999999999996</v>
      </c>
      <c r="K13" s="134">
        <v>264.04000000000002</v>
      </c>
      <c r="L13" s="134">
        <v>24.45</v>
      </c>
      <c r="M13" s="134">
        <v>96.29</v>
      </c>
      <c r="N13" s="134">
        <v>0</v>
      </c>
      <c r="O13" s="134">
        <v>0</v>
      </c>
      <c r="P13" s="134">
        <v>0.57999999999999996</v>
      </c>
      <c r="Q13" s="134">
        <v>4.18</v>
      </c>
    </row>
    <row r="14" spans="1:21" customFormat="1">
      <c r="A14" s="112" t="s">
        <v>2354</v>
      </c>
      <c r="B14" s="134">
        <v>16.39</v>
      </c>
      <c r="C14" s="134">
        <v>24.25</v>
      </c>
      <c r="D14" s="134">
        <v>27.16</v>
      </c>
      <c r="E14" s="134">
        <v>8.11</v>
      </c>
      <c r="F14" s="134">
        <v>4.07</v>
      </c>
      <c r="G14" s="134">
        <v>9.19</v>
      </c>
      <c r="H14" s="134">
        <v>3.19</v>
      </c>
      <c r="I14" s="134">
        <v>4.7300000000000004</v>
      </c>
      <c r="J14" s="134">
        <v>0.61</v>
      </c>
      <c r="K14" s="134">
        <v>268.14999999999998</v>
      </c>
      <c r="L14" s="134">
        <v>24.46</v>
      </c>
      <c r="M14" s="134">
        <v>96.24</v>
      </c>
      <c r="N14" s="134">
        <v>0</v>
      </c>
      <c r="O14" s="134">
        <v>0</v>
      </c>
      <c r="P14" s="134">
        <v>0.57999999999999996</v>
      </c>
      <c r="Q14" s="134">
        <v>4.1900000000000004</v>
      </c>
    </row>
    <row r="15" spans="1:21" customFormat="1">
      <c r="A15" s="112" t="s">
        <v>2355</v>
      </c>
      <c r="B15" s="134">
        <v>16.38</v>
      </c>
      <c r="C15" s="134">
        <v>22.94</v>
      </c>
      <c r="D15" s="134">
        <v>26.48</v>
      </c>
      <c r="E15" s="134">
        <v>8.2100000000000009</v>
      </c>
      <c r="F15" s="134">
        <v>4.51</v>
      </c>
      <c r="G15" s="134">
        <v>8.65</v>
      </c>
      <c r="H15" s="134">
        <v>3.19</v>
      </c>
      <c r="I15" s="134">
        <v>4.74</v>
      </c>
      <c r="J15" s="134">
        <v>0.43</v>
      </c>
      <c r="K15" s="134">
        <v>260.79000000000002</v>
      </c>
      <c r="L15" s="134">
        <v>24.48</v>
      </c>
      <c r="M15" s="134">
        <v>96.14</v>
      </c>
      <c r="N15" s="134">
        <v>0</v>
      </c>
      <c r="O15" s="134">
        <v>0</v>
      </c>
      <c r="P15" s="134">
        <v>0.55000000000000004</v>
      </c>
      <c r="Q15" s="134">
        <v>4.17</v>
      </c>
    </row>
    <row r="16" spans="1:21" customFormat="1">
      <c r="A16" s="112" t="s">
        <v>2356</v>
      </c>
      <c r="B16" s="134">
        <v>16.28</v>
      </c>
      <c r="C16" s="134">
        <v>23.89</v>
      </c>
      <c r="D16" s="134">
        <v>26.89</v>
      </c>
      <c r="E16" s="134">
        <v>8.43</v>
      </c>
      <c r="F16" s="134">
        <v>3.99</v>
      </c>
      <c r="G16" s="134">
        <v>8.65</v>
      </c>
      <c r="H16" s="134">
        <v>3.19</v>
      </c>
      <c r="I16" s="134">
        <v>4.6399999999999997</v>
      </c>
      <c r="J16" s="134">
        <v>0.5</v>
      </c>
      <c r="K16" s="134">
        <v>264.52999999999997</v>
      </c>
      <c r="L16" s="134">
        <v>24.53</v>
      </c>
      <c r="M16" s="134">
        <v>96.21</v>
      </c>
      <c r="N16" s="134">
        <v>0</v>
      </c>
      <c r="O16" s="134">
        <v>0</v>
      </c>
      <c r="P16" s="134">
        <v>0.56000000000000005</v>
      </c>
      <c r="Q16" s="134">
        <v>4.1399999999999997</v>
      </c>
    </row>
    <row r="17" spans="1:17" customFormat="1">
      <c r="A17" s="112" t="s">
        <v>2357</v>
      </c>
      <c r="B17" s="134">
        <v>16.309999999999999</v>
      </c>
      <c r="C17" s="134">
        <v>23.7</v>
      </c>
      <c r="D17" s="134">
        <v>26.82</v>
      </c>
      <c r="E17" s="134">
        <v>8.34</v>
      </c>
      <c r="F17" s="134">
        <v>4.3099999999999996</v>
      </c>
      <c r="G17" s="134">
        <v>8.65</v>
      </c>
      <c r="H17" s="134">
        <v>3.19</v>
      </c>
      <c r="I17" s="134">
        <v>4.5599999999999996</v>
      </c>
      <c r="J17" s="134">
        <v>0.51</v>
      </c>
      <c r="K17" s="134">
        <v>262.37</v>
      </c>
      <c r="L17" s="134">
        <v>24.5</v>
      </c>
      <c r="M17" s="134">
        <v>95.82</v>
      </c>
      <c r="N17" s="134">
        <v>0</v>
      </c>
      <c r="O17" s="134">
        <v>0</v>
      </c>
      <c r="P17" s="134">
        <v>0.55000000000000004</v>
      </c>
      <c r="Q17" s="134">
        <v>4.17</v>
      </c>
    </row>
    <row r="18" spans="1:17" customFormat="1">
      <c r="A18" s="112" t="s">
        <v>2358</v>
      </c>
      <c r="B18" s="134">
        <v>16.14</v>
      </c>
      <c r="C18" s="134">
        <v>22.48</v>
      </c>
      <c r="D18" s="134">
        <v>26.04</v>
      </c>
      <c r="E18" s="134">
        <v>9.4</v>
      </c>
      <c r="F18" s="134">
        <v>4.78</v>
      </c>
      <c r="G18" s="134">
        <v>6.81</v>
      </c>
      <c r="H18" s="134">
        <v>2.34</v>
      </c>
      <c r="I18" s="134">
        <v>4.59</v>
      </c>
      <c r="J18" s="134">
        <v>0.48</v>
      </c>
      <c r="K18" s="134">
        <v>261.25</v>
      </c>
      <c r="L18" s="134">
        <v>24.49</v>
      </c>
      <c r="M18" s="134">
        <v>95.6</v>
      </c>
      <c r="N18" s="134">
        <v>0</v>
      </c>
      <c r="O18" s="134">
        <v>0</v>
      </c>
      <c r="P18" s="134">
        <v>0.53</v>
      </c>
      <c r="Q18" s="134">
        <v>4.17</v>
      </c>
    </row>
    <row r="19" spans="1:17" customFormat="1">
      <c r="A19" s="112" t="s">
        <v>2359</v>
      </c>
      <c r="B19" s="134">
        <v>16.09</v>
      </c>
      <c r="C19" s="134">
        <v>24.07</v>
      </c>
      <c r="D19" s="134">
        <v>26.83</v>
      </c>
      <c r="E19" s="134">
        <v>9.61</v>
      </c>
      <c r="F19" s="134">
        <v>3.89</v>
      </c>
      <c r="G19" s="134">
        <v>6.5</v>
      </c>
      <c r="H19" s="134">
        <v>2.34</v>
      </c>
      <c r="I19" s="134">
        <v>4.47</v>
      </c>
      <c r="J19" s="134">
        <v>0.46</v>
      </c>
      <c r="K19" s="134">
        <v>264.27</v>
      </c>
      <c r="L19" s="134">
        <v>24.42</v>
      </c>
      <c r="M19" s="134">
        <v>95.68</v>
      </c>
      <c r="N19" s="134">
        <v>0</v>
      </c>
      <c r="O19" s="134">
        <v>0</v>
      </c>
      <c r="P19" s="134">
        <v>0.54</v>
      </c>
      <c r="Q19" s="134">
        <v>4.1399999999999997</v>
      </c>
    </row>
    <row r="20" spans="1:17" customFormat="1">
      <c r="A20" s="112" t="s">
        <v>2360</v>
      </c>
      <c r="B20" s="134">
        <v>16.16</v>
      </c>
      <c r="C20" s="134">
        <v>23.4</v>
      </c>
      <c r="D20" s="134">
        <v>26.54</v>
      </c>
      <c r="E20" s="134">
        <v>9.5500000000000007</v>
      </c>
      <c r="F20" s="134">
        <v>4.38</v>
      </c>
      <c r="G20" s="134">
        <v>6.5</v>
      </c>
      <c r="H20" s="134">
        <v>2.34</v>
      </c>
      <c r="I20" s="134">
        <v>4.38</v>
      </c>
      <c r="J20" s="134">
        <v>0.62</v>
      </c>
      <c r="K20" s="134">
        <v>267.06</v>
      </c>
      <c r="L20" s="134">
        <v>24.41</v>
      </c>
      <c r="M20" s="134">
        <v>95.61</v>
      </c>
      <c r="N20" s="134">
        <v>0</v>
      </c>
      <c r="O20" s="134">
        <v>0</v>
      </c>
      <c r="P20" s="134">
        <v>0.53</v>
      </c>
      <c r="Q20" s="134">
        <v>4.16</v>
      </c>
    </row>
    <row r="21" spans="1:17" customFormat="1">
      <c r="A21" s="112" t="s">
        <v>2361</v>
      </c>
      <c r="B21" s="134">
        <v>15.94</v>
      </c>
      <c r="C21" s="134">
        <v>22.4</v>
      </c>
      <c r="D21" s="134">
        <v>25.84</v>
      </c>
      <c r="E21" s="134">
        <v>8.99</v>
      </c>
      <c r="F21" s="134">
        <v>4.7300000000000004</v>
      </c>
      <c r="G21" s="134">
        <v>6.5</v>
      </c>
      <c r="H21" s="134">
        <v>2.34</v>
      </c>
      <c r="I21" s="134">
        <v>4.4400000000000004</v>
      </c>
      <c r="J21" s="134">
        <v>0.69</v>
      </c>
      <c r="K21" s="134">
        <v>267.44</v>
      </c>
      <c r="L21" s="134">
        <v>24.28</v>
      </c>
      <c r="M21" s="134">
        <v>95.99</v>
      </c>
      <c r="N21" s="134">
        <v>0</v>
      </c>
      <c r="O21" s="134">
        <v>0.2</v>
      </c>
      <c r="P21" s="134">
        <v>0.51</v>
      </c>
      <c r="Q21" s="134">
        <v>4.1399999999999997</v>
      </c>
    </row>
    <row r="22" spans="1:17" customFormat="1">
      <c r="A22" s="112" t="s">
        <v>2362</v>
      </c>
      <c r="B22" s="134">
        <v>15.86</v>
      </c>
      <c r="C22" s="134">
        <v>23.99</v>
      </c>
      <c r="D22" s="134">
        <v>26.6</v>
      </c>
      <c r="E22" s="134">
        <v>9.3800000000000008</v>
      </c>
      <c r="F22" s="134">
        <v>3.79</v>
      </c>
      <c r="G22" s="134">
        <v>7.98</v>
      </c>
      <c r="H22" s="134">
        <v>1.66</v>
      </c>
      <c r="I22" s="134">
        <v>4.33</v>
      </c>
      <c r="J22" s="134">
        <v>0.69</v>
      </c>
      <c r="K22" s="134">
        <v>266.43</v>
      </c>
      <c r="L22" s="134">
        <v>24.23</v>
      </c>
      <c r="M22" s="134">
        <v>96.45</v>
      </c>
      <c r="N22" s="134">
        <v>0</v>
      </c>
      <c r="O22" s="134">
        <v>0</v>
      </c>
      <c r="P22" s="134">
        <v>0.52</v>
      </c>
      <c r="Q22" s="134">
        <v>4.09</v>
      </c>
    </row>
    <row r="23" spans="1:17" customFormat="1">
      <c r="A23" s="112" t="s">
        <v>2363</v>
      </c>
      <c r="B23" s="134">
        <v>15.78</v>
      </c>
      <c r="C23" s="134">
        <v>24.43</v>
      </c>
      <c r="D23" s="134">
        <v>26.78</v>
      </c>
      <c r="E23" s="134">
        <v>9.64</v>
      </c>
      <c r="F23" s="134">
        <v>3.93</v>
      </c>
      <c r="G23" s="134">
        <v>8.25</v>
      </c>
      <c r="H23" s="134">
        <v>1.66</v>
      </c>
      <c r="I23" s="134">
        <v>4.24</v>
      </c>
      <c r="J23" s="134">
        <v>0.73</v>
      </c>
      <c r="K23" s="134">
        <v>266.43</v>
      </c>
      <c r="L23" s="134">
        <v>24.25</v>
      </c>
      <c r="M23" s="134">
        <v>96.49</v>
      </c>
      <c r="N23" s="134">
        <v>0</v>
      </c>
      <c r="O23" s="134">
        <v>0</v>
      </c>
      <c r="P23" s="134">
        <v>0.52</v>
      </c>
      <c r="Q23" s="134">
        <v>4.1100000000000003</v>
      </c>
    </row>
    <row r="24" spans="1:17" customFormat="1">
      <c r="A24" s="112" t="s">
        <v>2364</v>
      </c>
      <c r="B24" s="134">
        <v>15.74</v>
      </c>
      <c r="C24" s="134">
        <v>23.62</v>
      </c>
      <c r="D24" s="134">
        <v>26.31</v>
      </c>
      <c r="E24" s="134">
        <v>9.5</v>
      </c>
      <c r="F24" s="134">
        <v>4.49</v>
      </c>
      <c r="G24" s="134">
        <v>8.25</v>
      </c>
      <c r="H24" s="134">
        <v>1.66</v>
      </c>
      <c r="I24" s="134">
        <v>4.29</v>
      </c>
      <c r="J24" s="134">
        <v>0.47</v>
      </c>
      <c r="K24" s="134">
        <v>265.47000000000003</v>
      </c>
      <c r="L24" s="134">
        <v>24.25</v>
      </c>
      <c r="M24" s="134">
        <v>96.48</v>
      </c>
      <c r="N24" s="134">
        <v>0</v>
      </c>
      <c r="O24" s="134">
        <v>0</v>
      </c>
      <c r="P24" s="134">
        <v>0.51</v>
      </c>
      <c r="Q24" s="134">
        <v>4.0999999999999996</v>
      </c>
    </row>
    <row r="25" spans="1:17" customFormat="1">
      <c r="A25" s="112" t="s">
        <v>2365</v>
      </c>
      <c r="B25" s="134">
        <v>15.67</v>
      </c>
      <c r="C25" s="134">
        <v>22.24</v>
      </c>
      <c r="D25" s="134">
        <v>25.53</v>
      </c>
      <c r="E25" s="134">
        <v>9.52</v>
      </c>
      <c r="F25" s="134">
        <v>4.8499999999999996</v>
      </c>
      <c r="G25" s="134">
        <v>8.25</v>
      </c>
      <c r="H25" s="134">
        <v>1.66</v>
      </c>
      <c r="I25" s="134">
        <v>4.22</v>
      </c>
      <c r="J25" s="134">
        <v>0.47</v>
      </c>
      <c r="K25" s="134">
        <v>275.74</v>
      </c>
      <c r="L25" s="134">
        <v>24.29</v>
      </c>
      <c r="M25" s="134">
        <v>96.52</v>
      </c>
      <c r="N25" s="134">
        <v>0</v>
      </c>
      <c r="O25" s="134">
        <v>0</v>
      </c>
      <c r="P25" s="134">
        <v>0.49</v>
      </c>
      <c r="Q25" s="134">
        <v>4.12</v>
      </c>
    </row>
    <row r="26" spans="1:17" customFormat="1">
      <c r="A26" s="112" t="s">
        <v>2366</v>
      </c>
      <c r="B26" s="134">
        <v>15.44</v>
      </c>
      <c r="C26" s="134">
        <v>23.24</v>
      </c>
      <c r="D26" s="134">
        <v>25.88</v>
      </c>
      <c r="E26" s="134">
        <v>9.27</v>
      </c>
      <c r="F26" s="134">
        <v>3.99</v>
      </c>
      <c r="G26" s="134">
        <v>8.74</v>
      </c>
      <c r="H26" s="134">
        <v>4.3600000000000003</v>
      </c>
      <c r="I26" s="134">
        <v>4.17</v>
      </c>
      <c r="J26" s="134">
        <v>0.63</v>
      </c>
      <c r="K26" s="134">
        <v>268.88</v>
      </c>
      <c r="L26" s="134">
        <v>24.28</v>
      </c>
      <c r="M26" s="134">
        <v>96.29</v>
      </c>
      <c r="N26" s="134">
        <v>0</v>
      </c>
      <c r="O26" s="134">
        <v>0</v>
      </c>
      <c r="P26" s="134">
        <v>0.5</v>
      </c>
      <c r="Q26" s="134">
        <v>4.07</v>
      </c>
    </row>
    <row r="27" spans="1:17" customFormat="1">
      <c r="A27" s="112" t="s">
        <v>2367</v>
      </c>
      <c r="B27" s="134">
        <v>15.37</v>
      </c>
      <c r="C27" s="134">
        <v>23.47</v>
      </c>
      <c r="D27" s="134">
        <v>25.94</v>
      </c>
      <c r="E27" s="134">
        <v>9.68</v>
      </c>
      <c r="F27" s="134">
        <v>4.1900000000000004</v>
      </c>
      <c r="G27" s="134">
        <v>8.83</v>
      </c>
      <c r="H27" s="134">
        <v>4.3600000000000003</v>
      </c>
      <c r="I27" s="134">
        <v>4.04</v>
      </c>
      <c r="J27" s="134">
        <v>0.76</v>
      </c>
      <c r="K27" s="134">
        <v>265.13</v>
      </c>
      <c r="L27" s="134">
        <v>24.27</v>
      </c>
      <c r="M27" s="134">
        <v>96.12</v>
      </c>
      <c r="N27" s="134">
        <v>0</v>
      </c>
      <c r="O27" s="134">
        <v>0</v>
      </c>
      <c r="P27" s="134">
        <v>0.49</v>
      </c>
      <c r="Q27" s="134">
        <v>4.09</v>
      </c>
    </row>
    <row r="28" spans="1:17" customFormat="1">
      <c r="A28" s="112" t="s">
        <v>2368</v>
      </c>
      <c r="B28" s="134">
        <v>15.16</v>
      </c>
      <c r="C28" s="134">
        <v>22.11</v>
      </c>
      <c r="D28" s="134">
        <v>25.06</v>
      </c>
      <c r="E28" s="134">
        <v>8.94</v>
      </c>
      <c r="F28" s="134">
        <v>4.84</v>
      </c>
      <c r="G28" s="134">
        <v>8.83</v>
      </c>
      <c r="H28" s="134">
        <v>4.3600000000000003</v>
      </c>
      <c r="I28" s="134">
        <v>4.09</v>
      </c>
      <c r="J28" s="134">
        <v>0.55000000000000004</v>
      </c>
      <c r="K28" s="134">
        <v>261.23</v>
      </c>
      <c r="L28" s="134">
        <v>24.28</v>
      </c>
      <c r="M28" s="134">
        <v>96.09</v>
      </c>
      <c r="N28" s="134">
        <v>0</v>
      </c>
      <c r="O28" s="134">
        <v>0</v>
      </c>
      <c r="P28" s="134">
        <v>0.47</v>
      </c>
      <c r="Q28" s="134">
        <v>4.07</v>
      </c>
    </row>
    <row r="29" spans="1:17" customFormat="1">
      <c r="A29" s="112" t="s">
        <v>2369</v>
      </c>
      <c r="B29" s="134">
        <v>14.91</v>
      </c>
      <c r="C29" s="134">
        <v>23.02</v>
      </c>
      <c r="D29" s="134">
        <v>25.33</v>
      </c>
      <c r="E29" s="134">
        <v>9.14</v>
      </c>
      <c r="F29" s="134">
        <v>4.01</v>
      </c>
      <c r="G29" s="134">
        <v>8.83</v>
      </c>
      <c r="H29" s="134">
        <v>4.3600000000000003</v>
      </c>
      <c r="I29" s="134">
        <v>3.99</v>
      </c>
      <c r="J29" s="134">
        <v>0.53</v>
      </c>
      <c r="K29" s="134">
        <v>261.72000000000003</v>
      </c>
      <c r="L29" s="134">
        <v>24.23</v>
      </c>
      <c r="M29" s="134">
        <v>96.35</v>
      </c>
      <c r="N29" s="134">
        <v>0</v>
      </c>
      <c r="O29" s="134">
        <v>0</v>
      </c>
      <c r="P29" s="134">
        <v>0.48</v>
      </c>
      <c r="Q29" s="134">
        <v>4.01</v>
      </c>
    </row>
    <row r="30" spans="1:17" customFormat="1">
      <c r="A30" s="112" t="s">
        <v>2370</v>
      </c>
      <c r="B30" s="134">
        <v>14.9</v>
      </c>
      <c r="C30" s="134">
        <v>23.28</v>
      </c>
      <c r="D30" s="134">
        <v>25.46</v>
      </c>
      <c r="E30" s="134">
        <v>9.3699999999999992</v>
      </c>
      <c r="F30" s="134">
        <v>4.18</v>
      </c>
      <c r="G30" s="134">
        <v>6.58</v>
      </c>
      <c r="H30" s="134">
        <v>3.34</v>
      </c>
      <c r="I30" s="134">
        <v>3.9</v>
      </c>
      <c r="J30" s="134">
        <v>0.5</v>
      </c>
      <c r="K30" s="134">
        <v>267.85000000000002</v>
      </c>
      <c r="L30" s="134">
        <v>24.2</v>
      </c>
      <c r="M30" s="134">
        <v>96.63</v>
      </c>
      <c r="N30" s="134">
        <v>0</v>
      </c>
      <c r="O30" s="134">
        <v>0</v>
      </c>
      <c r="P30" s="134">
        <v>0.47</v>
      </c>
      <c r="Q30" s="134">
        <v>4.04</v>
      </c>
    </row>
    <row r="31" spans="1:17" customFormat="1">
      <c r="A31" s="112" t="s">
        <v>2371</v>
      </c>
      <c r="B31" s="134">
        <v>14.83</v>
      </c>
      <c r="C31" s="134">
        <v>22.22</v>
      </c>
      <c r="D31" s="134">
        <v>24.85</v>
      </c>
      <c r="E31" s="134">
        <v>9.39</v>
      </c>
      <c r="F31" s="134">
        <v>4.6100000000000003</v>
      </c>
      <c r="G31" s="134">
        <v>6.2</v>
      </c>
      <c r="H31" s="134">
        <v>3.34</v>
      </c>
      <c r="I31" s="134">
        <v>3.95</v>
      </c>
      <c r="J31" s="134">
        <v>0.56999999999999995</v>
      </c>
      <c r="K31" s="134">
        <v>264.64</v>
      </c>
      <c r="L31" s="134">
        <v>24.17</v>
      </c>
      <c r="M31" s="134">
        <v>96.98</v>
      </c>
      <c r="N31" s="134">
        <v>0</v>
      </c>
      <c r="O31" s="134">
        <v>0</v>
      </c>
      <c r="P31" s="134">
        <v>0.45</v>
      </c>
      <c r="Q31" s="134">
        <v>4.04</v>
      </c>
    </row>
    <row r="32" spans="1:17" customFormat="1">
      <c r="A32" s="112" t="s">
        <v>2372</v>
      </c>
      <c r="B32" s="134">
        <v>14.66</v>
      </c>
      <c r="C32" s="134">
        <v>23.38</v>
      </c>
      <c r="D32" s="134">
        <v>25.32</v>
      </c>
      <c r="E32" s="134">
        <v>9.09</v>
      </c>
      <c r="F32" s="134">
        <v>3.91</v>
      </c>
      <c r="G32" s="134">
        <v>6.2</v>
      </c>
      <c r="H32" s="134">
        <v>3.34</v>
      </c>
      <c r="I32" s="134">
        <v>3.88</v>
      </c>
      <c r="J32" s="134">
        <v>0.7</v>
      </c>
      <c r="K32" s="134">
        <v>263.61</v>
      </c>
      <c r="L32" s="134">
        <v>24.2</v>
      </c>
      <c r="M32" s="134">
        <v>96.8</v>
      </c>
      <c r="N32" s="134">
        <v>0</v>
      </c>
      <c r="O32" s="134">
        <v>0</v>
      </c>
      <c r="P32" s="134">
        <v>0.46</v>
      </c>
      <c r="Q32" s="134">
        <v>4.04</v>
      </c>
    </row>
    <row r="33" spans="1:17" customFormat="1">
      <c r="A33" s="112" t="s">
        <v>2373</v>
      </c>
      <c r="B33" s="134">
        <v>14.52</v>
      </c>
      <c r="C33" s="134">
        <v>23.02</v>
      </c>
      <c r="D33" s="134">
        <v>25.02</v>
      </c>
      <c r="E33" s="134">
        <v>9.2799999999999994</v>
      </c>
      <c r="F33" s="134">
        <v>4.3499999999999996</v>
      </c>
      <c r="G33" s="134">
        <v>6.2</v>
      </c>
      <c r="H33" s="134">
        <v>3.34</v>
      </c>
      <c r="I33" s="134">
        <v>3.77</v>
      </c>
      <c r="J33" s="134">
        <v>0.49</v>
      </c>
      <c r="K33" s="134">
        <v>267.57</v>
      </c>
      <c r="L33" s="134">
        <v>24.14</v>
      </c>
      <c r="M33" s="134">
        <v>96.42</v>
      </c>
      <c r="N33" s="134">
        <v>3.1</v>
      </c>
      <c r="O33" s="134">
        <v>0</v>
      </c>
      <c r="P33" s="134">
        <v>0.45</v>
      </c>
      <c r="Q33" s="134">
        <v>4.0599999999999996</v>
      </c>
    </row>
    <row r="34" spans="1:17" customFormat="1">
      <c r="A34" s="112" t="s">
        <v>2374</v>
      </c>
      <c r="B34" s="134">
        <v>14.49</v>
      </c>
      <c r="C34" s="134">
        <v>22.37</v>
      </c>
      <c r="D34" s="134">
        <v>24.66</v>
      </c>
      <c r="E34" s="134">
        <v>9.34</v>
      </c>
      <c r="F34" s="134">
        <v>4.53</v>
      </c>
      <c r="G34" s="134">
        <v>5.25</v>
      </c>
      <c r="H34" s="134">
        <v>2.5499999999999998</v>
      </c>
      <c r="I34" s="134">
        <v>3.84</v>
      </c>
      <c r="J34" s="134">
        <v>0.51</v>
      </c>
      <c r="K34" s="134">
        <v>267.91000000000003</v>
      </c>
      <c r="L34" s="134">
        <v>24.18</v>
      </c>
      <c r="M34" s="134">
        <v>96.03</v>
      </c>
      <c r="N34" s="134">
        <v>13.8</v>
      </c>
      <c r="O34" s="134">
        <v>0</v>
      </c>
      <c r="P34" s="134">
        <v>0.44</v>
      </c>
      <c r="Q34" s="134">
        <v>4.07</v>
      </c>
    </row>
    <row r="35" spans="1:17" customFormat="1">
      <c r="A35" s="112" t="s">
        <v>2375</v>
      </c>
      <c r="B35" s="134">
        <v>14.56</v>
      </c>
      <c r="C35" s="134">
        <v>23.91</v>
      </c>
      <c r="D35" s="134">
        <v>25.52</v>
      </c>
      <c r="E35" s="134">
        <v>9.41</v>
      </c>
      <c r="F35" s="134">
        <v>3.92</v>
      </c>
      <c r="G35" s="134">
        <v>5.09</v>
      </c>
      <c r="H35" s="134">
        <v>2.5499999999999998</v>
      </c>
      <c r="I35" s="134">
        <v>3.72</v>
      </c>
      <c r="J35" s="134">
        <v>0.67</v>
      </c>
      <c r="K35" s="134">
        <v>266.95</v>
      </c>
      <c r="L35" s="134">
        <v>24.21</v>
      </c>
      <c r="M35" s="134">
        <v>95.84</v>
      </c>
      <c r="N35" s="134">
        <v>16.600000000000001</v>
      </c>
      <c r="O35" s="134">
        <v>0</v>
      </c>
      <c r="P35" s="134">
        <v>0.45</v>
      </c>
      <c r="Q35" s="134">
        <v>4.08</v>
      </c>
    </row>
    <row r="36" spans="1:17" customFormat="1">
      <c r="A36" s="112" t="s">
        <v>2376</v>
      </c>
      <c r="B36" s="134">
        <v>14.58</v>
      </c>
      <c r="C36" s="134">
        <v>22.78</v>
      </c>
      <c r="D36" s="134">
        <v>24.95</v>
      </c>
      <c r="E36" s="134">
        <v>9.61</v>
      </c>
      <c r="F36" s="134">
        <v>4.4400000000000004</v>
      </c>
      <c r="G36" s="134">
        <v>5.09</v>
      </c>
      <c r="H36" s="134">
        <v>2.5499999999999998</v>
      </c>
      <c r="I36" s="134">
        <v>3.72</v>
      </c>
      <c r="J36" s="134">
        <v>0.66</v>
      </c>
      <c r="K36" s="134">
        <v>267.33999999999997</v>
      </c>
      <c r="L36" s="134">
        <v>24.27</v>
      </c>
      <c r="M36" s="134">
        <v>95.34</v>
      </c>
      <c r="N36" s="134">
        <v>20.7</v>
      </c>
      <c r="O36" s="134">
        <v>0</v>
      </c>
      <c r="P36" s="134">
        <v>0.43</v>
      </c>
      <c r="Q36" s="134">
        <v>4.09</v>
      </c>
    </row>
    <row r="37" spans="1:17" customFormat="1">
      <c r="A37" s="112" t="s">
        <v>2377</v>
      </c>
      <c r="B37" s="134">
        <v>14.23</v>
      </c>
      <c r="C37" s="134">
        <v>22.15</v>
      </c>
      <c r="D37" s="134">
        <v>24.34</v>
      </c>
      <c r="E37" s="134">
        <v>9.1</v>
      </c>
      <c r="F37" s="134">
        <v>4.71</v>
      </c>
      <c r="G37" s="134">
        <v>5.09</v>
      </c>
      <c r="H37" s="134">
        <v>2.5499999999999998</v>
      </c>
      <c r="I37" s="134">
        <v>3.74</v>
      </c>
      <c r="J37" s="134">
        <v>0.53</v>
      </c>
      <c r="K37" s="134">
        <v>263.77999999999997</v>
      </c>
      <c r="L37" s="134">
        <v>24.39</v>
      </c>
      <c r="M37" s="134">
        <v>95.11</v>
      </c>
      <c r="N37" s="134">
        <v>31.6</v>
      </c>
      <c r="O37" s="134">
        <v>0</v>
      </c>
      <c r="P37" s="134">
        <v>0.43</v>
      </c>
      <c r="Q37" s="134">
        <v>4.04</v>
      </c>
    </row>
    <row r="38" spans="1:17" customFormat="1">
      <c r="A38" s="112" t="s">
        <v>2378</v>
      </c>
      <c r="B38" s="134">
        <v>14.1</v>
      </c>
      <c r="C38" s="134">
        <v>23.98</v>
      </c>
      <c r="D38" s="134">
        <v>25.18</v>
      </c>
      <c r="E38" s="134">
        <v>9.44</v>
      </c>
      <c r="F38" s="134">
        <v>3.88</v>
      </c>
      <c r="G38" s="134">
        <v>4.38</v>
      </c>
      <c r="H38" s="134">
        <v>3.69</v>
      </c>
      <c r="I38" s="134">
        <v>3.64</v>
      </c>
      <c r="J38" s="134">
        <v>0.45</v>
      </c>
      <c r="K38" s="134">
        <v>265.16000000000003</v>
      </c>
      <c r="L38" s="134">
        <v>24.49</v>
      </c>
      <c r="M38" s="134">
        <v>94.93</v>
      </c>
      <c r="N38" s="134">
        <v>31.9</v>
      </c>
      <c r="O38" s="134">
        <v>0</v>
      </c>
      <c r="P38" s="134">
        <v>0.45</v>
      </c>
      <c r="Q38" s="134">
        <v>4.0199999999999996</v>
      </c>
    </row>
    <row r="39" spans="1:17" customFormat="1">
      <c r="A39" s="112" t="s">
        <v>2379</v>
      </c>
      <c r="B39" s="134">
        <v>14.34</v>
      </c>
      <c r="C39" s="134">
        <v>23.17</v>
      </c>
      <c r="D39" s="134">
        <v>24.96</v>
      </c>
      <c r="E39" s="134">
        <v>9.43</v>
      </c>
      <c r="F39" s="134">
        <v>4.32</v>
      </c>
      <c r="G39" s="134">
        <v>4.26</v>
      </c>
      <c r="H39" s="134">
        <v>3.69</v>
      </c>
      <c r="I39" s="134">
        <v>3.61</v>
      </c>
      <c r="J39" s="134">
        <v>0.43</v>
      </c>
      <c r="K39" s="134">
        <v>261.5</v>
      </c>
      <c r="L39" s="134">
        <v>24.59</v>
      </c>
      <c r="M39" s="134">
        <v>94.85</v>
      </c>
      <c r="N39" s="134">
        <v>32.700000000000003</v>
      </c>
      <c r="O39" s="134">
        <v>0</v>
      </c>
      <c r="P39" s="134">
        <v>0.44</v>
      </c>
      <c r="Q39" s="134">
        <v>4.07</v>
      </c>
    </row>
    <row r="40" spans="1:17" customFormat="1">
      <c r="A40" s="112" t="s">
        <v>2380</v>
      </c>
      <c r="B40" s="134">
        <v>14.21</v>
      </c>
      <c r="C40" s="134">
        <v>21.49</v>
      </c>
      <c r="D40" s="134">
        <v>23.98</v>
      </c>
      <c r="E40" s="134">
        <v>9.2899999999999991</v>
      </c>
      <c r="F40" s="134">
        <v>4.6900000000000004</v>
      </c>
      <c r="G40" s="134">
        <v>4.26</v>
      </c>
      <c r="H40" s="134">
        <v>3.69</v>
      </c>
      <c r="I40" s="134">
        <v>3.66</v>
      </c>
      <c r="J40" s="134">
        <v>0.5</v>
      </c>
      <c r="K40" s="134">
        <v>263.69</v>
      </c>
      <c r="L40" s="134">
        <v>24.69</v>
      </c>
      <c r="M40" s="134">
        <v>94.83</v>
      </c>
      <c r="N40" s="134">
        <v>43.9</v>
      </c>
      <c r="O40" s="134">
        <v>0</v>
      </c>
      <c r="P40" s="134">
        <v>0.42</v>
      </c>
      <c r="Q40" s="134">
        <v>4.07</v>
      </c>
    </row>
    <row r="41" spans="1:17" customFormat="1">
      <c r="A41" s="112" t="s">
        <v>2381</v>
      </c>
      <c r="B41" s="134">
        <v>12.24</v>
      </c>
      <c r="C41" s="134">
        <v>19.62</v>
      </c>
      <c r="D41" s="134">
        <v>21.42</v>
      </c>
      <c r="E41" s="134">
        <v>9.3800000000000008</v>
      </c>
      <c r="F41" s="134">
        <v>4.67</v>
      </c>
      <c r="G41" s="134">
        <v>4.26</v>
      </c>
      <c r="H41" s="134">
        <v>3.69</v>
      </c>
      <c r="I41" s="134">
        <v>3.61</v>
      </c>
      <c r="J41" s="134">
        <v>0.45</v>
      </c>
      <c r="K41" s="134">
        <v>260.64</v>
      </c>
      <c r="L41" s="134">
        <v>24.87</v>
      </c>
      <c r="M41" s="134">
        <v>94.73</v>
      </c>
      <c r="N41" s="134">
        <v>38.799999999999997</v>
      </c>
      <c r="O41" s="134">
        <v>0</v>
      </c>
      <c r="P41" s="134">
        <v>0.42</v>
      </c>
      <c r="Q41" s="134">
        <v>3.94</v>
      </c>
    </row>
    <row r="42" spans="1:17" customFormat="1">
      <c r="A42" s="112" t="s">
        <v>2382</v>
      </c>
      <c r="B42" s="134">
        <v>9.6999999999999993</v>
      </c>
      <c r="C42" s="134">
        <v>19.36</v>
      </c>
      <c r="D42" s="134">
        <v>19.239999999999998</v>
      </c>
      <c r="E42" s="134">
        <v>9.23</v>
      </c>
      <c r="F42" s="134">
        <v>5.45</v>
      </c>
      <c r="G42" s="134">
        <v>3.86</v>
      </c>
      <c r="H42" s="134">
        <v>2.69</v>
      </c>
      <c r="I42" s="134">
        <v>3.51</v>
      </c>
      <c r="J42" s="134">
        <v>0.48</v>
      </c>
      <c r="K42" s="134">
        <v>265.23</v>
      </c>
      <c r="L42" s="134">
        <v>24.9</v>
      </c>
      <c r="M42" s="134">
        <v>94.95</v>
      </c>
      <c r="N42" s="134">
        <v>53.9</v>
      </c>
      <c r="O42" s="134">
        <v>0</v>
      </c>
      <c r="P42" s="134">
        <v>0.41</v>
      </c>
      <c r="Q42" s="134">
        <v>3.8</v>
      </c>
    </row>
    <row r="43" spans="1:17" customFormat="1">
      <c r="A43" s="112" t="s">
        <v>2383</v>
      </c>
      <c r="B43" s="134">
        <v>7.43</v>
      </c>
      <c r="C43" s="134">
        <v>19.39</v>
      </c>
      <c r="D43" s="134">
        <v>17.440000000000001</v>
      </c>
      <c r="E43" s="134">
        <v>8.23</v>
      </c>
      <c r="F43" s="134">
        <v>4.8</v>
      </c>
      <c r="G43" s="134">
        <v>3.8</v>
      </c>
      <c r="H43" s="134">
        <v>2.69</v>
      </c>
      <c r="I43" s="134">
        <v>3.15</v>
      </c>
      <c r="J43" s="134">
        <v>0.55000000000000004</v>
      </c>
      <c r="K43" s="134">
        <v>272.75</v>
      </c>
      <c r="L43" s="134">
        <v>25.18</v>
      </c>
      <c r="M43" s="134">
        <v>94.16</v>
      </c>
      <c r="N43" s="134">
        <v>82.2</v>
      </c>
      <c r="O43" s="134">
        <v>0</v>
      </c>
      <c r="P43" s="134">
        <v>0.42</v>
      </c>
      <c r="Q43" s="134">
        <v>3.59</v>
      </c>
    </row>
    <row r="44" spans="1:17" customFormat="1">
      <c r="A44" s="112" t="s">
        <v>2384</v>
      </c>
      <c r="B44" s="134">
        <v>5.88</v>
      </c>
      <c r="C44" s="134">
        <v>19.059999999999999</v>
      </c>
      <c r="D44" s="134">
        <v>16.02</v>
      </c>
      <c r="E44" s="134">
        <v>8.85</v>
      </c>
      <c r="F44" s="134">
        <v>5.08</v>
      </c>
      <c r="G44" s="134">
        <v>3.8</v>
      </c>
      <c r="H44" s="134">
        <v>2.69</v>
      </c>
      <c r="I44" s="134">
        <v>2.86</v>
      </c>
      <c r="J44" s="134">
        <v>0.57999999999999996</v>
      </c>
      <c r="K44" s="134">
        <v>265.39999999999998</v>
      </c>
      <c r="L44" s="134">
        <v>25.48</v>
      </c>
      <c r="M44" s="134">
        <v>93.44</v>
      </c>
      <c r="N44" s="134">
        <v>83</v>
      </c>
      <c r="O44" s="134">
        <v>0</v>
      </c>
      <c r="P44" s="134">
        <v>0.44</v>
      </c>
      <c r="Q44" s="134">
        <v>3.48</v>
      </c>
    </row>
    <row r="45" spans="1:17" customFormat="1">
      <c r="A45" s="112" t="s">
        <v>2385</v>
      </c>
      <c r="B45" s="134">
        <v>4.5199999999999996</v>
      </c>
      <c r="C45" s="134">
        <v>16.02</v>
      </c>
      <c r="D45" s="134">
        <v>13.35</v>
      </c>
      <c r="E45" s="134">
        <v>8.16</v>
      </c>
      <c r="F45" s="134">
        <v>9.3000000000000007</v>
      </c>
      <c r="G45" s="134">
        <v>3.8</v>
      </c>
      <c r="H45" s="134">
        <v>2.69</v>
      </c>
      <c r="I45" s="134">
        <v>2.72</v>
      </c>
      <c r="J45" s="134">
        <v>0.63</v>
      </c>
      <c r="K45" s="134">
        <v>263.04000000000002</v>
      </c>
      <c r="L45" s="134">
        <v>25.83</v>
      </c>
      <c r="M45" s="134">
        <v>92.39</v>
      </c>
      <c r="N45" s="134">
        <v>61.3</v>
      </c>
      <c r="O45" s="134">
        <v>0</v>
      </c>
      <c r="P45" s="134">
        <v>0.33</v>
      </c>
      <c r="Q45" s="134">
        <v>3.39</v>
      </c>
    </row>
    <row r="46" spans="1:17" customFormat="1">
      <c r="A46" s="112" t="s">
        <v>2386</v>
      </c>
      <c r="B46" s="134">
        <v>3.55</v>
      </c>
      <c r="C46" s="134">
        <v>12.9</v>
      </c>
      <c r="D46" s="134">
        <v>10.94</v>
      </c>
      <c r="E46" s="134">
        <v>7.41</v>
      </c>
      <c r="F46" s="134">
        <v>9.7100000000000009</v>
      </c>
      <c r="G46" s="134">
        <v>6.7</v>
      </c>
      <c r="H46" s="134">
        <v>2.93</v>
      </c>
      <c r="I46" s="134">
        <v>2.4500000000000002</v>
      </c>
      <c r="J46" s="134">
        <v>0.47</v>
      </c>
      <c r="K46" s="134">
        <v>260.60000000000002</v>
      </c>
      <c r="L46" s="134">
        <v>25.56</v>
      </c>
      <c r="M46" s="134">
        <v>95</v>
      </c>
      <c r="N46" s="134">
        <v>37.4</v>
      </c>
      <c r="O46" s="134">
        <v>0</v>
      </c>
      <c r="P46" s="134">
        <v>0.25</v>
      </c>
      <c r="Q46" s="134">
        <v>3.3</v>
      </c>
    </row>
    <row r="47" spans="1:17" customFormat="1">
      <c r="A47" s="112" t="s">
        <v>2387</v>
      </c>
      <c r="B47" s="134">
        <v>3.49</v>
      </c>
      <c r="C47" s="134">
        <v>15.01</v>
      </c>
      <c r="D47" s="134">
        <v>11.99</v>
      </c>
      <c r="E47" s="134">
        <v>7.82</v>
      </c>
      <c r="F47" s="134">
        <v>4.97</v>
      </c>
      <c r="G47" s="134">
        <v>7.23</v>
      </c>
      <c r="H47" s="134">
        <v>2.93</v>
      </c>
      <c r="I47" s="134">
        <v>1.89</v>
      </c>
      <c r="J47" s="134">
        <v>0.56000000000000005</v>
      </c>
      <c r="K47" s="134">
        <v>262.37</v>
      </c>
      <c r="L47" s="134">
        <v>25.7</v>
      </c>
      <c r="M47" s="134">
        <v>94.99</v>
      </c>
      <c r="N47" s="134">
        <v>110.3</v>
      </c>
      <c r="O47" s="134">
        <v>0</v>
      </c>
      <c r="P47" s="134">
        <v>0.34</v>
      </c>
      <c r="Q47" s="134">
        <v>3.25</v>
      </c>
    </row>
    <row r="48" spans="1:17" customFormat="1">
      <c r="A48" s="112" t="s">
        <v>2388</v>
      </c>
      <c r="B48" s="134">
        <v>4.22</v>
      </c>
      <c r="C48" s="134">
        <v>17.48</v>
      </c>
      <c r="D48" s="134">
        <v>13.87</v>
      </c>
      <c r="E48" s="134">
        <v>8.5299999999999994</v>
      </c>
      <c r="F48" s="134">
        <v>3.22</v>
      </c>
      <c r="G48" s="134">
        <v>7.23</v>
      </c>
      <c r="H48" s="134">
        <v>2.93</v>
      </c>
      <c r="I48" s="134">
        <v>1.53</v>
      </c>
      <c r="J48" s="134">
        <v>0.86</v>
      </c>
      <c r="K48" s="134">
        <v>267.14999999999998</v>
      </c>
      <c r="L48" s="134">
        <v>26.14</v>
      </c>
      <c r="M48" s="134">
        <v>92.37</v>
      </c>
      <c r="N48" s="134">
        <v>169.1</v>
      </c>
      <c r="O48" s="134">
        <v>0</v>
      </c>
      <c r="P48" s="134">
        <v>0.38</v>
      </c>
      <c r="Q48" s="134">
        <v>3.25</v>
      </c>
    </row>
    <row r="49" spans="1:17" customFormat="1">
      <c r="A49" s="112" t="s">
        <v>2389</v>
      </c>
      <c r="B49" s="134">
        <v>5.01</v>
      </c>
      <c r="C49" s="134">
        <v>19.62</v>
      </c>
      <c r="D49" s="134">
        <v>15.62</v>
      </c>
      <c r="E49" s="134">
        <v>4.42</v>
      </c>
      <c r="F49" s="134">
        <v>3.94</v>
      </c>
      <c r="G49" s="134">
        <v>7.23</v>
      </c>
      <c r="H49" s="134">
        <v>2.93</v>
      </c>
      <c r="I49" s="134">
        <v>1.7</v>
      </c>
      <c r="J49" s="134">
        <v>0.75</v>
      </c>
      <c r="K49" s="134">
        <v>267.07</v>
      </c>
      <c r="L49" s="134">
        <v>26.53</v>
      </c>
      <c r="M49" s="134">
        <v>90.29</v>
      </c>
      <c r="N49" s="134">
        <v>268.39999999999998</v>
      </c>
      <c r="O49" s="134">
        <v>0</v>
      </c>
      <c r="P49" s="134">
        <v>0.4</v>
      </c>
      <c r="Q49" s="134">
        <v>3.23</v>
      </c>
    </row>
    <row r="50" spans="1:17" customFormat="1">
      <c r="A50" s="112" t="s">
        <v>2390</v>
      </c>
      <c r="B50" s="134">
        <v>5.58</v>
      </c>
      <c r="C50" s="134">
        <v>20.84</v>
      </c>
      <c r="D50" s="134">
        <v>16.71</v>
      </c>
      <c r="E50" s="134">
        <v>4.66</v>
      </c>
      <c r="F50" s="134">
        <v>4.6399999999999997</v>
      </c>
      <c r="G50" s="134">
        <v>7.3</v>
      </c>
      <c r="H50" s="134">
        <v>2.89</v>
      </c>
      <c r="I50" s="134">
        <v>1.76</v>
      </c>
      <c r="J50" s="134">
        <v>0.75</v>
      </c>
      <c r="K50" s="134">
        <v>268.77999999999997</v>
      </c>
      <c r="L50" s="134">
        <v>27.44</v>
      </c>
      <c r="M50" s="134">
        <v>88.03</v>
      </c>
      <c r="N50" s="134">
        <v>379.6</v>
      </c>
      <c r="O50" s="134">
        <v>0</v>
      </c>
      <c r="P50" s="134">
        <v>0.39</v>
      </c>
      <c r="Q50" s="134">
        <v>3.25</v>
      </c>
    </row>
    <row r="51" spans="1:17" customFormat="1">
      <c r="A51" s="112" t="s">
        <v>2391</v>
      </c>
      <c r="B51" s="134">
        <v>6.26</v>
      </c>
      <c r="C51" s="134">
        <v>21.4</v>
      </c>
      <c r="D51" s="134">
        <v>17.55</v>
      </c>
      <c r="E51" s="134">
        <v>4.95</v>
      </c>
      <c r="F51" s="134">
        <v>4.29</v>
      </c>
      <c r="G51" s="134">
        <v>7.32</v>
      </c>
      <c r="H51" s="134">
        <v>2.89</v>
      </c>
      <c r="I51" s="134">
        <v>1.86</v>
      </c>
      <c r="J51" s="134">
        <v>0.9</v>
      </c>
      <c r="K51" s="134">
        <v>268.3</v>
      </c>
      <c r="L51" s="134">
        <v>27.62</v>
      </c>
      <c r="M51" s="134">
        <v>86.43</v>
      </c>
      <c r="N51" s="134">
        <v>341.1</v>
      </c>
      <c r="O51" s="134">
        <v>0</v>
      </c>
      <c r="P51" s="134">
        <v>0.38</v>
      </c>
      <c r="Q51" s="134">
        <v>3.3</v>
      </c>
    </row>
    <row r="52" spans="1:17" customFormat="1">
      <c r="A52" s="112" t="s">
        <v>2392</v>
      </c>
      <c r="B52" s="134">
        <v>6.7</v>
      </c>
      <c r="C52" s="134">
        <v>21.97</v>
      </c>
      <c r="D52" s="134">
        <v>18.2</v>
      </c>
      <c r="E52" s="134">
        <v>5.14</v>
      </c>
      <c r="F52" s="134">
        <v>4.17</v>
      </c>
      <c r="G52" s="134">
        <v>7.32</v>
      </c>
      <c r="H52" s="134">
        <v>2.89</v>
      </c>
      <c r="I52" s="134">
        <v>1.91</v>
      </c>
      <c r="J52" s="134">
        <v>0.82</v>
      </c>
      <c r="K52" s="134">
        <v>266.39999999999998</v>
      </c>
      <c r="L52" s="134">
        <v>27.73</v>
      </c>
      <c r="M52" s="134">
        <v>85.74</v>
      </c>
      <c r="N52" s="134">
        <v>362.5</v>
      </c>
      <c r="O52" s="134">
        <v>0</v>
      </c>
      <c r="P52" s="134">
        <v>0.4</v>
      </c>
      <c r="Q52" s="134">
        <v>3.35</v>
      </c>
    </row>
    <row r="53" spans="1:17" customFormat="1">
      <c r="A53" s="112" t="s">
        <v>2393</v>
      </c>
      <c r="B53" s="134">
        <v>7.1</v>
      </c>
      <c r="C53" s="134">
        <v>22.19</v>
      </c>
      <c r="D53" s="134">
        <v>18.64</v>
      </c>
      <c r="E53" s="134">
        <v>5.3</v>
      </c>
      <c r="F53" s="134">
        <v>4.87</v>
      </c>
      <c r="G53" s="134">
        <v>7.32</v>
      </c>
      <c r="H53" s="134">
        <v>2.89</v>
      </c>
      <c r="I53" s="134">
        <v>1.95</v>
      </c>
      <c r="J53" s="134">
        <v>0.91</v>
      </c>
      <c r="K53" s="134">
        <v>258.66000000000003</v>
      </c>
      <c r="L53" s="134">
        <v>28.01</v>
      </c>
      <c r="M53" s="134">
        <v>83.64</v>
      </c>
      <c r="N53" s="134">
        <v>360.9</v>
      </c>
      <c r="O53" s="134">
        <v>0</v>
      </c>
      <c r="P53" s="134">
        <v>0.39</v>
      </c>
      <c r="Q53" s="134">
        <v>3.39</v>
      </c>
    </row>
    <row r="54" spans="1:17" customFormat="1">
      <c r="A54" s="112" t="s">
        <v>2394</v>
      </c>
      <c r="B54" s="134">
        <v>7.44</v>
      </c>
      <c r="C54" s="134">
        <v>22.92</v>
      </c>
      <c r="D54" s="134">
        <v>19.29</v>
      </c>
      <c r="E54" s="134">
        <v>5.46</v>
      </c>
      <c r="F54" s="134">
        <v>4.33</v>
      </c>
      <c r="G54" s="134">
        <v>5.65</v>
      </c>
      <c r="H54" s="134">
        <v>4.3099999999999996</v>
      </c>
      <c r="I54" s="134">
        <v>2.09</v>
      </c>
      <c r="J54" s="134">
        <v>1.04</v>
      </c>
      <c r="K54" s="134">
        <v>268.7</v>
      </c>
      <c r="L54" s="134">
        <v>27.97</v>
      </c>
      <c r="M54" s="134">
        <v>82.78</v>
      </c>
      <c r="N54" s="134">
        <v>337.3</v>
      </c>
      <c r="O54" s="134">
        <v>0</v>
      </c>
      <c r="P54" s="134">
        <v>0.42</v>
      </c>
      <c r="Q54" s="134">
        <v>3.43</v>
      </c>
    </row>
    <row r="55" spans="1:17" customFormat="1">
      <c r="A55" s="112" t="s">
        <v>2395</v>
      </c>
      <c r="B55" s="134">
        <v>7.71</v>
      </c>
      <c r="C55" s="134">
        <v>22.78</v>
      </c>
      <c r="D55" s="134">
        <v>19.440000000000001</v>
      </c>
      <c r="E55" s="134">
        <v>5.3</v>
      </c>
      <c r="F55" s="134">
        <v>4.91</v>
      </c>
      <c r="G55" s="134">
        <v>5.35</v>
      </c>
      <c r="H55" s="134">
        <v>4.3099999999999996</v>
      </c>
      <c r="I55" s="134">
        <v>2.13</v>
      </c>
      <c r="J55" s="134">
        <v>0.87</v>
      </c>
      <c r="K55" s="134">
        <v>268.54000000000002</v>
      </c>
      <c r="L55" s="134">
        <v>28.02</v>
      </c>
      <c r="M55" s="134">
        <v>82.62</v>
      </c>
      <c r="N55" s="134">
        <v>348.2</v>
      </c>
      <c r="O55" s="134">
        <v>0</v>
      </c>
      <c r="P55" s="134">
        <v>0.41</v>
      </c>
      <c r="Q55" s="134">
        <v>3.43</v>
      </c>
    </row>
    <row r="56" spans="1:17" customFormat="1">
      <c r="A56" s="112" t="s">
        <v>2396</v>
      </c>
      <c r="B56" s="134">
        <v>7.89</v>
      </c>
      <c r="C56" s="134">
        <v>23.2</v>
      </c>
      <c r="D56" s="134">
        <v>19.8</v>
      </c>
      <c r="E56" s="134">
        <v>5.72</v>
      </c>
      <c r="F56" s="134">
        <v>4.41</v>
      </c>
      <c r="G56" s="134">
        <v>5.35</v>
      </c>
      <c r="H56" s="134">
        <v>4.3099999999999996</v>
      </c>
      <c r="I56" s="134">
        <v>2.61</v>
      </c>
      <c r="J56" s="134">
        <v>0.76</v>
      </c>
      <c r="K56" s="134">
        <v>272.89999999999998</v>
      </c>
      <c r="L56" s="134">
        <v>28.08</v>
      </c>
      <c r="M56" s="134">
        <v>82.42</v>
      </c>
      <c r="N56" s="134">
        <v>253.5</v>
      </c>
      <c r="O56" s="134">
        <v>0</v>
      </c>
      <c r="P56" s="134">
        <v>0.42</v>
      </c>
      <c r="Q56" s="134">
        <v>3.44</v>
      </c>
    </row>
    <row r="57" spans="1:17" customFormat="1">
      <c r="A57" s="112" t="s">
        <v>2397</v>
      </c>
      <c r="B57" s="134">
        <v>8.02</v>
      </c>
      <c r="C57" s="134">
        <v>23.09</v>
      </c>
      <c r="D57" s="134">
        <v>19.84</v>
      </c>
      <c r="E57" s="134">
        <v>5.35</v>
      </c>
      <c r="F57" s="134">
        <v>4.8</v>
      </c>
      <c r="G57" s="134">
        <v>5.35</v>
      </c>
      <c r="H57" s="134">
        <v>4.3099999999999996</v>
      </c>
      <c r="I57" s="134">
        <v>2.2200000000000002</v>
      </c>
      <c r="J57" s="134">
        <v>0.71</v>
      </c>
      <c r="K57" s="134">
        <v>269.60000000000002</v>
      </c>
      <c r="L57" s="134">
        <v>27.63</v>
      </c>
      <c r="M57" s="134">
        <v>85.16</v>
      </c>
      <c r="N57" s="134">
        <v>143.69999999999999</v>
      </c>
      <c r="O57" s="134">
        <v>0</v>
      </c>
      <c r="P57" s="134">
        <v>0.43</v>
      </c>
      <c r="Q57" s="134">
        <v>3.49</v>
      </c>
    </row>
    <row r="58" spans="1:17" customFormat="1">
      <c r="A58" s="112" t="s">
        <v>2398</v>
      </c>
      <c r="B58" s="134">
        <v>8.26</v>
      </c>
      <c r="C58" s="134">
        <v>23.43</v>
      </c>
      <c r="D58" s="134">
        <v>20.22</v>
      </c>
      <c r="E58" s="134">
        <v>5.91</v>
      </c>
      <c r="F58" s="134">
        <v>4.4400000000000004</v>
      </c>
      <c r="G58" s="134">
        <v>8.52</v>
      </c>
      <c r="H58" s="134">
        <v>3.89</v>
      </c>
      <c r="I58" s="134">
        <v>2.68</v>
      </c>
      <c r="J58" s="134">
        <v>0.71</v>
      </c>
      <c r="K58" s="134">
        <v>267.7</v>
      </c>
      <c r="L58" s="134">
        <v>27.41</v>
      </c>
      <c r="M58" s="134">
        <v>87.12</v>
      </c>
      <c r="N58" s="134">
        <v>120.3</v>
      </c>
      <c r="O58" s="134">
        <v>0</v>
      </c>
      <c r="P58" s="134">
        <v>0.46</v>
      </c>
      <c r="Q58" s="134">
        <v>3.51</v>
      </c>
    </row>
    <row r="59" spans="1:17" customFormat="1">
      <c r="A59" s="112" t="s">
        <v>2399</v>
      </c>
      <c r="B59" s="134">
        <v>8.68</v>
      </c>
      <c r="C59" s="134">
        <v>23.98</v>
      </c>
      <c r="D59" s="134">
        <v>20.84</v>
      </c>
      <c r="E59" s="134">
        <v>5.55</v>
      </c>
      <c r="F59" s="134">
        <v>4.25</v>
      </c>
      <c r="G59" s="134">
        <v>9.11</v>
      </c>
      <c r="H59" s="134">
        <v>3.89</v>
      </c>
      <c r="I59" s="134">
        <v>2.35</v>
      </c>
      <c r="J59" s="134">
        <v>0.73</v>
      </c>
      <c r="K59" s="134">
        <v>269.14</v>
      </c>
      <c r="L59" s="134">
        <v>27.38</v>
      </c>
      <c r="M59" s="134">
        <v>86.98</v>
      </c>
      <c r="N59" s="134">
        <v>158.69999999999999</v>
      </c>
      <c r="O59" s="134">
        <v>0</v>
      </c>
      <c r="P59" s="134">
        <v>0.47</v>
      </c>
      <c r="Q59" s="134">
        <v>3.54</v>
      </c>
    </row>
    <row r="60" spans="1:17" customFormat="1">
      <c r="A60" s="112" t="s">
        <v>2400</v>
      </c>
      <c r="B60" s="134">
        <v>8.9</v>
      </c>
      <c r="C60" s="134">
        <v>23.74</v>
      </c>
      <c r="D60" s="134">
        <v>20.89</v>
      </c>
      <c r="E60" s="134">
        <v>5.8</v>
      </c>
      <c r="F60" s="134">
        <v>4.67</v>
      </c>
      <c r="G60" s="134">
        <v>9.11</v>
      </c>
      <c r="H60" s="134">
        <v>3.89</v>
      </c>
      <c r="I60" s="134">
        <v>2.89</v>
      </c>
      <c r="J60" s="134">
        <v>0.57999999999999996</v>
      </c>
      <c r="K60" s="134">
        <v>270.24</v>
      </c>
      <c r="L60" s="134">
        <v>27.39</v>
      </c>
      <c r="M60" s="134">
        <v>87.32</v>
      </c>
      <c r="N60" s="134">
        <v>149.69999999999999</v>
      </c>
      <c r="O60" s="134">
        <v>0</v>
      </c>
      <c r="P60" s="134">
        <v>0.48</v>
      </c>
      <c r="Q60" s="134">
        <v>3.56</v>
      </c>
    </row>
    <row r="61" spans="1:17" customFormat="1">
      <c r="A61" s="112" t="s">
        <v>2401</v>
      </c>
      <c r="B61" s="134">
        <v>9.1300000000000008</v>
      </c>
      <c r="C61" s="134">
        <v>23.99</v>
      </c>
      <c r="D61" s="134">
        <v>21.21</v>
      </c>
      <c r="E61" s="134">
        <v>5.79</v>
      </c>
      <c r="F61" s="134">
        <v>4.3600000000000003</v>
      </c>
      <c r="G61" s="134">
        <v>9.11</v>
      </c>
      <c r="H61" s="134">
        <v>3.89</v>
      </c>
      <c r="I61" s="134">
        <v>3.02</v>
      </c>
      <c r="J61" s="134">
        <v>0.84</v>
      </c>
      <c r="K61" s="134">
        <v>268.62</v>
      </c>
      <c r="L61" s="134">
        <v>27.53</v>
      </c>
      <c r="M61" s="134">
        <v>87.25</v>
      </c>
      <c r="N61" s="134">
        <v>237.5</v>
      </c>
      <c r="O61" s="134">
        <v>0</v>
      </c>
      <c r="P61" s="134">
        <v>0.49</v>
      </c>
      <c r="Q61" s="134">
        <v>3.58</v>
      </c>
    </row>
    <row r="62" spans="1:17" customFormat="1">
      <c r="A62" s="112" t="s">
        <v>2402</v>
      </c>
      <c r="B62" s="134">
        <v>9.23</v>
      </c>
      <c r="C62" s="134">
        <v>24.14</v>
      </c>
      <c r="D62" s="134">
        <v>21.37</v>
      </c>
      <c r="E62" s="134">
        <v>5.88</v>
      </c>
      <c r="F62" s="134">
        <v>4.34</v>
      </c>
      <c r="G62" s="134">
        <v>10.45</v>
      </c>
      <c r="H62" s="134">
        <v>3.08</v>
      </c>
      <c r="I62" s="134">
        <v>3.11</v>
      </c>
      <c r="J62" s="134">
        <v>0.83</v>
      </c>
      <c r="K62" s="134">
        <v>265.29000000000002</v>
      </c>
      <c r="L62" s="134">
        <v>27.81</v>
      </c>
      <c r="M62" s="134">
        <v>86.35</v>
      </c>
      <c r="N62" s="134">
        <v>393.6</v>
      </c>
      <c r="O62" s="134">
        <v>0</v>
      </c>
      <c r="P62" s="134">
        <v>0.51</v>
      </c>
      <c r="Q62" s="134">
        <v>3.61</v>
      </c>
    </row>
    <row r="63" spans="1:17" customFormat="1">
      <c r="A63" s="112" t="s">
        <v>2403</v>
      </c>
      <c r="B63" s="134">
        <v>9.6300000000000008</v>
      </c>
      <c r="C63" s="134">
        <v>24.08</v>
      </c>
      <c r="D63" s="134">
        <v>21.66</v>
      </c>
      <c r="E63" s="134">
        <v>5.73</v>
      </c>
      <c r="F63" s="134">
        <v>4.6100000000000003</v>
      </c>
      <c r="G63" s="134">
        <v>10.67</v>
      </c>
      <c r="H63" s="134">
        <v>3.08</v>
      </c>
      <c r="I63" s="134">
        <v>3.12</v>
      </c>
      <c r="J63" s="134">
        <v>0.66</v>
      </c>
      <c r="K63" s="134">
        <v>271.10000000000002</v>
      </c>
      <c r="L63" s="134">
        <v>28.39</v>
      </c>
      <c r="M63" s="134">
        <v>84.57</v>
      </c>
      <c r="N63" s="134">
        <v>352.7</v>
      </c>
      <c r="O63" s="134">
        <v>0</v>
      </c>
      <c r="P63" s="134">
        <v>0.5</v>
      </c>
      <c r="Q63" s="134">
        <v>3.59</v>
      </c>
    </row>
    <row r="64" spans="1:17" customFormat="1">
      <c r="A64" s="112" t="s">
        <v>2404</v>
      </c>
      <c r="B64" s="134">
        <v>10.02</v>
      </c>
      <c r="C64" s="134">
        <v>22.34</v>
      </c>
      <c r="D64" s="134">
        <v>21.06</v>
      </c>
      <c r="E64" s="134">
        <v>4.92</v>
      </c>
      <c r="F64" s="134">
        <v>5.18</v>
      </c>
      <c r="G64" s="134">
        <v>10.67</v>
      </c>
      <c r="H64" s="134">
        <v>3.08</v>
      </c>
      <c r="I64" s="134">
        <v>3.23</v>
      </c>
      <c r="J64" s="134">
        <v>0.61</v>
      </c>
      <c r="K64" s="134">
        <v>262.73</v>
      </c>
      <c r="L64" s="134">
        <v>28.2</v>
      </c>
      <c r="M64" s="134">
        <v>85.28</v>
      </c>
      <c r="N64" s="134">
        <v>228.5</v>
      </c>
      <c r="O64" s="134">
        <v>0</v>
      </c>
      <c r="P64" s="134">
        <v>0.49</v>
      </c>
      <c r="Q64" s="134">
        <v>3.58</v>
      </c>
    </row>
    <row r="65" spans="1:17" customFormat="1">
      <c r="A65" s="112" t="s">
        <v>2405</v>
      </c>
      <c r="B65" s="134">
        <v>10.24</v>
      </c>
      <c r="C65" s="134">
        <v>21.24</v>
      </c>
      <c r="D65" s="134">
        <v>20.66</v>
      </c>
      <c r="E65" s="134">
        <v>4.75</v>
      </c>
      <c r="F65" s="134">
        <v>5.25</v>
      </c>
      <c r="G65" s="134">
        <v>10.67</v>
      </c>
      <c r="H65" s="134">
        <v>3.08</v>
      </c>
      <c r="I65" s="134">
        <v>3.25</v>
      </c>
      <c r="J65" s="134">
        <v>0.74</v>
      </c>
      <c r="K65" s="134">
        <v>266.86</v>
      </c>
      <c r="L65" s="134">
        <v>27.81</v>
      </c>
      <c r="M65" s="134">
        <v>85.37</v>
      </c>
      <c r="N65" s="134">
        <v>197.2</v>
      </c>
      <c r="O65" s="134">
        <v>0</v>
      </c>
      <c r="P65" s="134">
        <v>0.42</v>
      </c>
      <c r="Q65" s="134">
        <v>3.6</v>
      </c>
    </row>
    <row r="66" spans="1:17" customFormat="1">
      <c r="A66" s="112" t="s">
        <v>2406</v>
      </c>
      <c r="B66" s="134">
        <v>10.38</v>
      </c>
      <c r="C66" s="134">
        <v>20.62</v>
      </c>
      <c r="D66" s="134">
        <v>20.45</v>
      </c>
      <c r="E66" s="134">
        <v>4.75</v>
      </c>
      <c r="F66" s="134">
        <v>5.7</v>
      </c>
      <c r="G66" s="134">
        <v>12.85</v>
      </c>
      <c r="H66" s="134">
        <v>2.88</v>
      </c>
      <c r="I66" s="134">
        <v>3.28</v>
      </c>
      <c r="J66" s="134">
        <v>0.61</v>
      </c>
      <c r="K66" s="134">
        <v>265.5</v>
      </c>
      <c r="L66" s="134">
        <v>27.72</v>
      </c>
      <c r="M66" s="134">
        <v>85.7</v>
      </c>
      <c r="N66" s="134">
        <v>179.8</v>
      </c>
      <c r="O66" s="134">
        <v>0</v>
      </c>
      <c r="P66" s="134">
        <v>0.44</v>
      </c>
      <c r="Q66" s="134">
        <v>3.63</v>
      </c>
    </row>
    <row r="67" spans="1:17" customFormat="1">
      <c r="A67" s="112" t="s">
        <v>2407</v>
      </c>
      <c r="B67" s="134">
        <v>10.47</v>
      </c>
      <c r="C67" s="134">
        <v>20.58</v>
      </c>
      <c r="D67" s="134">
        <v>20.49</v>
      </c>
      <c r="E67" s="134">
        <v>4.22</v>
      </c>
      <c r="F67" s="134">
        <v>5.33</v>
      </c>
      <c r="G67" s="134">
        <v>13.22</v>
      </c>
      <c r="H67" s="134">
        <v>2.88</v>
      </c>
      <c r="I67" s="134">
        <v>3.33</v>
      </c>
      <c r="J67" s="134">
        <v>0.68</v>
      </c>
      <c r="K67" s="134">
        <v>267.64</v>
      </c>
      <c r="L67" s="134">
        <v>27.57</v>
      </c>
      <c r="M67" s="134">
        <v>85.41</v>
      </c>
      <c r="N67" s="134">
        <v>149.4</v>
      </c>
      <c r="O67" s="134">
        <v>0</v>
      </c>
      <c r="P67" s="134">
        <v>0.43</v>
      </c>
      <c r="Q67" s="134">
        <v>3.64</v>
      </c>
    </row>
    <row r="68" spans="1:17" customFormat="1">
      <c r="A68" s="112" t="s">
        <v>2408</v>
      </c>
      <c r="B68" s="134">
        <v>10.45</v>
      </c>
      <c r="C68" s="134">
        <v>20.27</v>
      </c>
      <c r="D68" s="134">
        <v>20.329999999999998</v>
      </c>
      <c r="E68" s="134">
        <v>4.6500000000000004</v>
      </c>
      <c r="F68" s="134">
        <v>5.35</v>
      </c>
      <c r="G68" s="134">
        <v>13.22</v>
      </c>
      <c r="H68" s="134">
        <v>2.88</v>
      </c>
      <c r="I68" s="134">
        <v>3.32</v>
      </c>
      <c r="J68" s="134">
        <v>0.66</v>
      </c>
      <c r="K68" s="134">
        <v>264</v>
      </c>
      <c r="L68" s="134">
        <v>27.4</v>
      </c>
      <c r="M68" s="134">
        <v>86.23</v>
      </c>
      <c r="N68" s="134">
        <v>117.1</v>
      </c>
      <c r="O68" s="134">
        <v>0</v>
      </c>
      <c r="P68" s="134">
        <v>0.42</v>
      </c>
      <c r="Q68" s="134">
        <v>3.63</v>
      </c>
    </row>
    <row r="69" spans="1:17" customFormat="1">
      <c r="A69" s="112" t="s">
        <v>2409</v>
      </c>
      <c r="B69" s="134">
        <v>10.53</v>
      </c>
      <c r="C69" s="134">
        <v>19.96</v>
      </c>
      <c r="D69" s="134">
        <v>20.23</v>
      </c>
      <c r="E69" s="134">
        <v>4.5599999999999996</v>
      </c>
      <c r="F69" s="134">
        <v>5.42</v>
      </c>
      <c r="G69" s="134">
        <v>13.22</v>
      </c>
      <c r="H69" s="134">
        <v>2.88</v>
      </c>
      <c r="I69" s="134">
        <v>3.34</v>
      </c>
      <c r="J69" s="134">
        <v>0.6</v>
      </c>
      <c r="K69" s="134">
        <v>263.83</v>
      </c>
      <c r="L69" s="134">
        <v>27.34</v>
      </c>
      <c r="M69" s="134">
        <v>86.27</v>
      </c>
      <c r="N69" s="134">
        <v>92</v>
      </c>
      <c r="O69" s="134">
        <v>0</v>
      </c>
      <c r="P69" s="134">
        <v>0.41</v>
      </c>
      <c r="Q69" s="134">
        <v>3.64</v>
      </c>
    </row>
    <row r="70" spans="1:17" customFormat="1">
      <c r="A70" s="112" t="s">
        <v>2410</v>
      </c>
      <c r="B70" s="134">
        <v>10.44</v>
      </c>
      <c r="C70" s="134">
        <v>19.04</v>
      </c>
      <c r="D70" s="134">
        <v>19.670000000000002</v>
      </c>
      <c r="E70" s="134">
        <v>4.93</v>
      </c>
      <c r="F70" s="134">
        <v>6.25</v>
      </c>
      <c r="G70" s="134">
        <v>10.87</v>
      </c>
      <c r="H70" s="134">
        <v>2.91</v>
      </c>
      <c r="I70" s="134">
        <v>3.31</v>
      </c>
      <c r="J70" s="134">
        <v>0.63</v>
      </c>
      <c r="K70" s="134">
        <v>265.02999999999997</v>
      </c>
      <c r="L70" s="134">
        <v>27.18</v>
      </c>
      <c r="M70" s="134">
        <v>86.62</v>
      </c>
      <c r="N70" s="134">
        <v>88.5</v>
      </c>
      <c r="O70" s="134">
        <v>0</v>
      </c>
      <c r="P70" s="134">
        <v>0.4</v>
      </c>
      <c r="Q70" s="134">
        <v>3.64</v>
      </c>
    </row>
    <row r="71" spans="1:17" customFormat="1">
      <c r="A71" s="112" t="s">
        <v>2411</v>
      </c>
      <c r="B71" s="134">
        <v>10.36</v>
      </c>
      <c r="C71" s="134">
        <v>18.86</v>
      </c>
      <c r="D71" s="134">
        <v>19.510000000000002</v>
      </c>
      <c r="E71" s="134">
        <v>4.5</v>
      </c>
      <c r="F71" s="134">
        <v>6.27</v>
      </c>
      <c r="G71" s="134">
        <v>10.47</v>
      </c>
      <c r="H71" s="134">
        <v>2.91</v>
      </c>
      <c r="I71" s="134">
        <v>3.3</v>
      </c>
      <c r="J71" s="134">
        <v>0.62</v>
      </c>
      <c r="K71" s="134">
        <v>263.77</v>
      </c>
      <c r="L71" s="134">
        <v>27.19</v>
      </c>
      <c r="M71" s="134">
        <v>87.31</v>
      </c>
      <c r="N71" s="134">
        <v>91.3</v>
      </c>
      <c r="O71" s="134">
        <v>0</v>
      </c>
      <c r="P71" s="134">
        <v>0.4</v>
      </c>
      <c r="Q71" s="134">
        <v>3.62</v>
      </c>
    </row>
    <row r="72" spans="1:17" customFormat="1">
      <c r="A72" s="112" t="s">
        <v>2412</v>
      </c>
      <c r="B72" s="134">
        <v>10.46</v>
      </c>
      <c r="C72" s="134">
        <v>19.3</v>
      </c>
      <c r="D72" s="134">
        <v>19.82</v>
      </c>
      <c r="E72" s="134">
        <v>4.13</v>
      </c>
      <c r="F72" s="134">
        <v>5.84</v>
      </c>
      <c r="G72" s="134">
        <v>10.47</v>
      </c>
      <c r="H72" s="134">
        <v>2.91</v>
      </c>
      <c r="I72" s="134">
        <v>3.21</v>
      </c>
      <c r="J72" s="134">
        <v>0.51</v>
      </c>
      <c r="K72" s="134">
        <v>260.29000000000002</v>
      </c>
      <c r="L72" s="134">
        <v>27.21</v>
      </c>
      <c r="M72" s="134">
        <v>87.18</v>
      </c>
      <c r="N72" s="134">
        <v>81.7</v>
      </c>
      <c r="O72" s="134">
        <v>0</v>
      </c>
      <c r="P72" s="134">
        <v>0.4</v>
      </c>
      <c r="Q72" s="134">
        <v>3.62</v>
      </c>
    </row>
    <row r="73" spans="1:17" customFormat="1">
      <c r="A73" s="112" t="s">
        <v>2413</v>
      </c>
      <c r="B73" s="134">
        <v>10.67</v>
      </c>
      <c r="C73" s="134">
        <v>21.15</v>
      </c>
      <c r="D73" s="134">
        <v>20.95</v>
      </c>
      <c r="E73" s="134">
        <v>4.79</v>
      </c>
      <c r="F73" s="134">
        <v>4.75</v>
      </c>
      <c r="G73" s="134">
        <v>10.47</v>
      </c>
      <c r="H73" s="134">
        <v>2.91</v>
      </c>
      <c r="I73" s="134">
        <v>3.16</v>
      </c>
      <c r="J73" s="134">
        <v>0.52</v>
      </c>
      <c r="K73" s="134">
        <v>263.58</v>
      </c>
      <c r="L73" s="134">
        <v>27.13</v>
      </c>
      <c r="M73" s="134">
        <v>88.37</v>
      </c>
      <c r="N73" s="134">
        <v>62.8</v>
      </c>
      <c r="O73" s="134">
        <v>0</v>
      </c>
      <c r="P73" s="134">
        <v>0.43</v>
      </c>
      <c r="Q73" s="134">
        <v>3.62</v>
      </c>
    </row>
    <row r="74" spans="1:17" customFormat="1">
      <c r="A74" s="112" t="s">
        <v>2414</v>
      </c>
      <c r="B74" s="134">
        <v>10.79</v>
      </c>
      <c r="C74" s="134">
        <v>20.14</v>
      </c>
      <c r="D74" s="134">
        <v>20.52</v>
      </c>
      <c r="E74" s="134">
        <v>4.6100000000000003</v>
      </c>
      <c r="F74" s="134">
        <v>5.6</v>
      </c>
      <c r="G74" s="134">
        <v>7.92</v>
      </c>
      <c r="H74" s="134">
        <v>3.26</v>
      </c>
      <c r="I74" s="134">
        <v>3.22</v>
      </c>
      <c r="J74" s="134">
        <v>0.55000000000000004</v>
      </c>
      <c r="K74" s="134">
        <v>264.14</v>
      </c>
      <c r="L74" s="134">
        <v>27.12</v>
      </c>
      <c r="M74" s="134">
        <v>88.03</v>
      </c>
      <c r="N74" s="134">
        <v>52.2</v>
      </c>
      <c r="O74" s="134">
        <v>0</v>
      </c>
      <c r="P74" s="134">
        <v>0.42</v>
      </c>
      <c r="Q74" s="134">
        <v>3.65</v>
      </c>
    </row>
    <row r="75" spans="1:17" customFormat="1">
      <c r="A75" s="112" t="s">
        <v>2415</v>
      </c>
      <c r="B75" s="134">
        <v>10.85</v>
      </c>
      <c r="C75" s="134">
        <v>18.989999999999998</v>
      </c>
      <c r="D75" s="134">
        <v>19.97</v>
      </c>
      <c r="E75" s="134">
        <v>4.55</v>
      </c>
      <c r="F75" s="134">
        <v>6.4</v>
      </c>
      <c r="G75" s="134">
        <v>7.49</v>
      </c>
      <c r="H75" s="134">
        <v>3.26</v>
      </c>
      <c r="I75" s="134">
        <v>3.21</v>
      </c>
      <c r="J75" s="134">
        <v>0.5</v>
      </c>
      <c r="K75" s="134">
        <v>261.47000000000003</v>
      </c>
      <c r="L75" s="134">
        <v>27.01</v>
      </c>
      <c r="M75" s="134">
        <v>87.27</v>
      </c>
      <c r="N75" s="134">
        <v>39.299999999999997</v>
      </c>
      <c r="O75" s="134">
        <v>0</v>
      </c>
      <c r="P75" s="134">
        <v>0.41</v>
      </c>
      <c r="Q75" s="134">
        <v>3.66</v>
      </c>
    </row>
    <row r="76" spans="1:17" customFormat="1">
      <c r="A76" s="112" t="s">
        <v>2416</v>
      </c>
      <c r="B76" s="134">
        <v>10.8</v>
      </c>
      <c r="C76" s="134">
        <v>18.55</v>
      </c>
      <c r="D76" s="134">
        <v>19.7</v>
      </c>
      <c r="E76" s="134">
        <v>4.49</v>
      </c>
      <c r="F76" s="134">
        <v>6.26</v>
      </c>
      <c r="G76" s="134">
        <v>7.49</v>
      </c>
      <c r="H76" s="134">
        <v>3.26</v>
      </c>
      <c r="I76" s="134">
        <v>3.17</v>
      </c>
      <c r="J76" s="134">
        <v>0.45</v>
      </c>
      <c r="K76" s="134">
        <v>262.37</v>
      </c>
      <c r="L76" s="134">
        <v>26.89</v>
      </c>
      <c r="M76" s="134">
        <v>88.58</v>
      </c>
      <c r="N76" s="134">
        <v>26.8</v>
      </c>
      <c r="O76" s="134">
        <v>0</v>
      </c>
      <c r="P76" s="134">
        <v>0.39</v>
      </c>
      <c r="Q76" s="134">
        <v>3.66</v>
      </c>
    </row>
    <row r="77" spans="1:17" customFormat="1">
      <c r="A77" s="112" t="s">
        <v>2417</v>
      </c>
      <c r="B77" s="134">
        <v>10.8</v>
      </c>
      <c r="C77" s="134">
        <v>19</v>
      </c>
      <c r="D77" s="134">
        <v>19.940000000000001</v>
      </c>
      <c r="E77" s="134">
        <v>4.4000000000000004</v>
      </c>
      <c r="F77" s="134">
        <v>5.96</v>
      </c>
      <c r="G77" s="134">
        <v>7.49</v>
      </c>
      <c r="H77" s="134">
        <v>3.26</v>
      </c>
      <c r="I77" s="134">
        <v>3.07</v>
      </c>
      <c r="J77" s="134">
        <v>0.39</v>
      </c>
      <c r="K77" s="134">
        <v>260.58</v>
      </c>
      <c r="L77" s="134">
        <v>26.76</v>
      </c>
      <c r="M77" s="134">
        <v>89.41</v>
      </c>
      <c r="N77" s="134">
        <v>17.399999999999999</v>
      </c>
      <c r="O77" s="134">
        <v>0</v>
      </c>
      <c r="P77" s="134">
        <v>0.39</v>
      </c>
      <c r="Q77" s="134">
        <v>3.64</v>
      </c>
    </row>
    <row r="78" spans="1:17" customFormat="1">
      <c r="A78" s="112" t="s">
        <v>2418</v>
      </c>
      <c r="B78" s="134">
        <v>10.97</v>
      </c>
      <c r="C78" s="134">
        <v>20.72</v>
      </c>
      <c r="D78" s="134">
        <v>20.97</v>
      </c>
      <c r="E78" s="134">
        <v>4.63</v>
      </c>
      <c r="F78" s="134">
        <v>5.68</v>
      </c>
      <c r="G78" s="134">
        <v>11.05</v>
      </c>
      <c r="H78" s="134">
        <v>3.88</v>
      </c>
      <c r="I78" s="134">
        <v>3.06</v>
      </c>
      <c r="J78" s="134">
        <v>0.43</v>
      </c>
      <c r="K78" s="134">
        <v>262.73</v>
      </c>
      <c r="L78" s="134">
        <v>26.63</v>
      </c>
      <c r="M78" s="134">
        <v>89.35</v>
      </c>
      <c r="N78" s="134">
        <v>4.5</v>
      </c>
      <c r="O78" s="134">
        <v>0</v>
      </c>
      <c r="P78" s="134">
        <v>0.41</v>
      </c>
      <c r="Q78" s="134">
        <v>3.68</v>
      </c>
    </row>
    <row r="79" spans="1:17" customFormat="1">
      <c r="A79" s="112" t="s">
        <v>2419</v>
      </c>
      <c r="B79" s="134">
        <v>11.06</v>
      </c>
      <c r="C79" s="134">
        <v>19.53</v>
      </c>
      <c r="D79" s="134">
        <v>20.420000000000002</v>
      </c>
      <c r="E79" s="134">
        <v>5.0599999999999996</v>
      </c>
      <c r="F79" s="134">
        <v>6.01</v>
      </c>
      <c r="G79" s="134">
        <v>11.65</v>
      </c>
      <c r="H79" s="134">
        <v>3.88</v>
      </c>
      <c r="I79" s="134">
        <v>3.12</v>
      </c>
      <c r="J79" s="134">
        <v>0.15</v>
      </c>
      <c r="K79" s="134">
        <v>252.75</v>
      </c>
      <c r="L79" s="134">
        <v>26.51</v>
      </c>
      <c r="M79" s="134">
        <v>90.95</v>
      </c>
      <c r="N79" s="134">
        <v>0</v>
      </c>
      <c r="O79" s="134">
        <v>0</v>
      </c>
      <c r="P79" s="134">
        <v>0.4</v>
      </c>
      <c r="Q79" s="134">
        <v>3.72</v>
      </c>
    </row>
    <row r="80" spans="1:17" customFormat="1">
      <c r="A80" s="112" t="s">
        <v>2420</v>
      </c>
      <c r="B80" s="134">
        <v>10.72</v>
      </c>
      <c r="C80" s="134">
        <v>17.93</v>
      </c>
      <c r="D80" s="134">
        <v>19.32</v>
      </c>
      <c r="E80" s="134">
        <v>4.76</v>
      </c>
      <c r="F80" s="134">
        <v>7.6</v>
      </c>
      <c r="G80" s="134">
        <v>11.65</v>
      </c>
      <c r="H80" s="134">
        <v>3.88</v>
      </c>
      <c r="I80" s="134">
        <v>3.12</v>
      </c>
      <c r="J80" s="134">
        <v>0.09</v>
      </c>
      <c r="K80" s="134">
        <v>165.69</v>
      </c>
      <c r="L80" s="134">
        <v>26.27</v>
      </c>
      <c r="M80" s="134">
        <v>93.35</v>
      </c>
      <c r="N80" s="134">
        <v>0</v>
      </c>
      <c r="O80" s="134">
        <v>0</v>
      </c>
      <c r="P80" s="134">
        <v>0.38</v>
      </c>
      <c r="Q80" s="134">
        <v>3.71</v>
      </c>
    </row>
    <row r="81" spans="1:17" customFormat="1">
      <c r="A81" s="112" t="s">
        <v>2421</v>
      </c>
      <c r="B81" s="134">
        <v>10.7</v>
      </c>
      <c r="C81" s="134">
        <v>17.309999999999999</v>
      </c>
      <c r="D81" s="134">
        <v>18.98</v>
      </c>
      <c r="E81" s="134">
        <v>5.82</v>
      </c>
      <c r="F81" s="134">
        <v>7.6</v>
      </c>
      <c r="G81" s="134">
        <v>11.65</v>
      </c>
      <c r="H81" s="134">
        <v>3.88</v>
      </c>
      <c r="I81" s="134">
        <v>3.01</v>
      </c>
      <c r="J81" s="134">
        <v>7.0000000000000007E-2</v>
      </c>
      <c r="K81" s="134">
        <v>192.02</v>
      </c>
      <c r="L81" s="134">
        <v>26.22</v>
      </c>
      <c r="M81" s="134">
        <v>93.24</v>
      </c>
      <c r="N81" s="134">
        <v>0</v>
      </c>
      <c r="O81" s="134">
        <v>0</v>
      </c>
      <c r="P81" s="134">
        <v>0.37</v>
      </c>
      <c r="Q81" s="134">
        <v>3.69</v>
      </c>
    </row>
    <row r="82" spans="1:17" customFormat="1">
      <c r="A82" s="112" t="s">
        <v>2422</v>
      </c>
      <c r="B82" s="134">
        <v>11.27</v>
      </c>
      <c r="C82" s="134">
        <v>21.43</v>
      </c>
      <c r="D82" s="134">
        <v>21.58</v>
      </c>
      <c r="E82" s="134">
        <v>7.26</v>
      </c>
      <c r="F82" s="134">
        <v>4.93</v>
      </c>
      <c r="G82" s="134">
        <v>10.49</v>
      </c>
      <c r="H82" s="134">
        <v>3.37</v>
      </c>
      <c r="I82" s="134">
        <v>2.91</v>
      </c>
      <c r="J82" s="134">
        <v>0.13</v>
      </c>
      <c r="K82" s="134">
        <v>237.69</v>
      </c>
      <c r="L82" s="134">
        <v>26.12</v>
      </c>
      <c r="M82" s="134">
        <v>93.72</v>
      </c>
      <c r="N82" s="134">
        <v>0</v>
      </c>
      <c r="O82" s="134">
        <v>0</v>
      </c>
      <c r="P82" s="134">
        <v>0.41</v>
      </c>
      <c r="Q82" s="134">
        <v>3.69</v>
      </c>
    </row>
    <row r="83" spans="1:17" customFormat="1">
      <c r="A83" s="112" t="s">
        <v>2423</v>
      </c>
      <c r="B83" s="134">
        <v>11.46</v>
      </c>
      <c r="C83" s="134">
        <v>24.23</v>
      </c>
      <c r="D83" s="134">
        <v>23.2</v>
      </c>
      <c r="E83" s="134">
        <v>7.7</v>
      </c>
      <c r="F83" s="134">
        <v>3.56</v>
      </c>
      <c r="G83" s="134">
        <v>10.29</v>
      </c>
      <c r="H83" s="134">
        <v>3.37</v>
      </c>
      <c r="I83" s="134">
        <v>3.17</v>
      </c>
      <c r="J83" s="134">
        <v>0.06</v>
      </c>
      <c r="K83" s="134">
        <v>225.97</v>
      </c>
      <c r="L83" s="134">
        <v>26.14</v>
      </c>
      <c r="M83" s="134">
        <v>94.07</v>
      </c>
      <c r="N83" s="134">
        <v>0</v>
      </c>
      <c r="O83" s="134">
        <v>0</v>
      </c>
      <c r="P83" s="134">
        <v>0.44</v>
      </c>
      <c r="Q83" s="134">
        <v>3.75</v>
      </c>
    </row>
    <row r="84" spans="1:17" customFormat="1">
      <c r="A84" s="112" t="s">
        <v>2424</v>
      </c>
      <c r="B84" s="134">
        <v>11.56</v>
      </c>
      <c r="C84" s="134">
        <v>24.39</v>
      </c>
      <c r="D84" s="134">
        <v>23.37</v>
      </c>
      <c r="E84" s="134">
        <v>8.14</v>
      </c>
      <c r="F84" s="134">
        <v>3.88</v>
      </c>
      <c r="G84" s="134">
        <v>10.29</v>
      </c>
      <c r="H84" s="134">
        <v>3.37</v>
      </c>
      <c r="I84" s="134">
        <v>3.29</v>
      </c>
      <c r="J84" s="134">
        <v>0.08</v>
      </c>
      <c r="K84" s="134">
        <v>154.5</v>
      </c>
      <c r="L84" s="134">
        <v>26.03</v>
      </c>
      <c r="M84" s="134">
        <v>94.88</v>
      </c>
      <c r="N84" s="134">
        <v>0</v>
      </c>
      <c r="O84" s="134">
        <v>0</v>
      </c>
      <c r="P84" s="134">
        <v>0.46</v>
      </c>
      <c r="Q84" s="134">
        <v>3.79</v>
      </c>
    </row>
    <row r="85" spans="1:17" customFormat="1">
      <c r="A85" s="112" t="s">
        <v>2425</v>
      </c>
      <c r="B85" s="134">
        <v>11.8</v>
      </c>
      <c r="C85" s="134">
        <v>24.09</v>
      </c>
      <c r="D85" s="134">
        <v>23.4</v>
      </c>
      <c r="E85" s="134">
        <v>8.07</v>
      </c>
      <c r="F85" s="134">
        <v>4.03</v>
      </c>
      <c r="G85" s="134">
        <v>10.29</v>
      </c>
      <c r="H85" s="134">
        <v>3.37</v>
      </c>
      <c r="I85" s="134">
        <v>3.47</v>
      </c>
      <c r="J85" s="134">
        <v>7.0000000000000007E-2</v>
      </c>
      <c r="K85" s="134">
        <v>197.72</v>
      </c>
      <c r="L85" s="134">
        <v>26</v>
      </c>
      <c r="M85" s="134">
        <v>94.99</v>
      </c>
      <c r="N85" s="134">
        <v>0</v>
      </c>
      <c r="O85" s="134">
        <v>0</v>
      </c>
      <c r="P85" s="134">
        <v>0.46</v>
      </c>
      <c r="Q85" s="134">
        <v>3.79</v>
      </c>
    </row>
    <row r="86" spans="1:17" customFormat="1">
      <c r="A86" s="112" t="s">
        <v>2426</v>
      </c>
      <c r="B86" s="134">
        <v>11.82</v>
      </c>
      <c r="C86" s="134">
        <v>24.09</v>
      </c>
      <c r="D86" s="134">
        <v>23.42</v>
      </c>
      <c r="E86" s="134">
        <v>7.96</v>
      </c>
      <c r="F86" s="134">
        <v>4.08</v>
      </c>
      <c r="G86" s="134">
        <v>8.85</v>
      </c>
      <c r="H86" s="134">
        <v>2.4300000000000002</v>
      </c>
      <c r="I86" s="134">
        <v>3.51</v>
      </c>
      <c r="J86" s="134">
        <v>0.13</v>
      </c>
      <c r="K86" s="134">
        <v>229.86</v>
      </c>
      <c r="L86" s="134">
        <v>25.99</v>
      </c>
      <c r="M86" s="134">
        <v>95.55</v>
      </c>
      <c r="N86" s="134">
        <v>0</v>
      </c>
      <c r="O86" s="134">
        <v>0</v>
      </c>
      <c r="P86" s="134">
        <v>0.47</v>
      </c>
      <c r="Q86" s="134">
        <v>3.81</v>
      </c>
    </row>
    <row r="87" spans="1:17" customFormat="1">
      <c r="A87" s="112" t="s">
        <v>2427</v>
      </c>
      <c r="B87" s="134">
        <v>11.92</v>
      </c>
      <c r="C87" s="134">
        <v>24.28</v>
      </c>
      <c r="D87" s="134">
        <v>23.6</v>
      </c>
      <c r="E87" s="134">
        <v>7.93</v>
      </c>
      <c r="F87" s="134">
        <v>4.0999999999999996</v>
      </c>
      <c r="G87" s="134">
        <v>8.61</v>
      </c>
      <c r="H87" s="134">
        <v>2.4300000000000002</v>
      </c>
      <c r="I87" s="134">
        <v>3.65</v>
      </c>
      <c r="J87" s="134">
        <v>0.08</v>
      </c>
      <c r="K87" s="134">
        <v>221.6</v>
      </c>
      <c r="L87" s="134">
        <v>26.01</v>
      </c>
      <c r="M87" s="134">
        <v>95.11</v>
      </c>
      <c r="N87" s="134">
        <v>0</v>
      </c>
      <c r="O87" s="134">
        <v>0</v>
      </c>
      <c r="P87" s="134">
        <v>0.46</v>
      </c>
      <c r="Q87" s="134">
        <v>3.79</v>
      </c>
    </row>
    <row r="88" spans="1:17" customFormat="1">
      <c r="A88" s="112" t="s">
        <v>2428</v>
      </c>
      <c r="B88" s="134">
        <v>12.04</v>
      </c>
      <c r="C88" s="134">
        <v>24.31</v>
      </c>
      <c r="D88" s="134">
        <v>23.71</v>
      </c>
      <c r="E88" s="134">
        <v>8.24</v>
      </c>
      <c r="F88" s="134">
        <v>3.98</v>
      </c>
      <c r="G88" s="134">
        <v>8.61</v>
      </c>
      <c r="H88" s="134">
        <v>2.4300000000000002</v>
      </c>
      <c r="I88" s="134">
        <v>3.9</v>
      </c>
      <c r="J88" s="134">
        <v>0.08</v>
      </c>
      <c r="K88" s="134">
        <v>146.84</v>
      </c>
      <c r="L88" s="134">
        <v>26.15</v>
      </c>
      <c r="M88" s="134">
        <v>95.05</v>
      </c>
      <c r="N88" s="134">
        <v>0</v>
      </c>
      <c r="O88" s="134">
        <v>0</v>
      </c>
      <c r="P88" s="134">
        <v>0.47</v>
      </c>
      <c r="Q88" s="134">
        <v>3.8</v>
      </c>
    </row>
    <row r="89" spans="1:17" customFormat="1">
      <c r="A89" s="112" t="s">
        <v>2429</v>
      </c>
      <c r="B89" s="134">
        <v>12.12</v>
      </c>
      <c r="C89" s="134">
        <v>24.43</v>
      </c>
      <c r="D89" s="134">
        <v>23.83</v>
      </c>
      <c r="E89" s="134">
        <v>7.98</v>
      </c>
      <c r="F89" s="134">
        <v>4</v>
      </c>
      <c r="G89" s="134">
        <v>8.61</v>
      </c>
      <c r="H89" s="134">
        <v>2.4300000000000002</v>
      </c>
      <c r="I89" s="134">
        <v>4.09</v>
      </c>
      <c r="J89" s="134">
        <v>0.09</v>
      </c>
      <c r="K89" s="134">
        <v>231.48</v>
      </c>
      <c r="L89" s="134">
        <v>25.99</v>
      </c>
      <c r="M89" s="134">
        <v>96.63</v>
      </c>
      <c r="N89" s="134">
        <v>0</v>
      </c>
      <c r="O89" s="134">
        <v>0</v>
      </c>
      <c r="P89" s="134">
        <v>0.46</v>
      </c>
      <c r="Q89" s="134">
        <v>3.82</v>
      </c>
    </row>
    <row r="90" spans="1:17" customFormat="1">
      <c r="A90" s="112" t="s">
        <v>2430</v>
      </c>
      <c r="B90" s="134">
        <v>12.19</v>
      </c>
      <c r="C90" s="134">
        <v>24.51</v>
      </c>
      <c r="D90" s="134">
        <v>23.93</v>
      </c>
      <c r="E90" s="134">
        <v>7.95</v>
      </c>
      <c r="F90" s="134">
        <v>4</v>
      </c>
      <c r="G90" s="134">
        <v>10.85</v>
      </c>
      <c r="H90" s="134">
        <v>4.6399999999999997</v>
      </c>
      <c r="I90" s="134">
        <v>4.12</v>
      </c>
      <c r="J90" s="134">
        <v>0.05</v>
      </c>
      <c r="K90" s="134">
        <v>200.43</v>
      </c>
      <c r="L90" s="134">
        <v>25.95</v>
      </c>
      <c r="M90" s="134">
        <v>97.78</v>
      </c>
      <c r="N90" s="134">
        <v>0</v>
      </c>
      <c r="O90" s="134">
        <v>0</v>
      </c>
      <c r="P90" s="134">
        <v>0.47</v>
      </c>
      <c r="Q90" s="134">
        <v>3.84</v>
      </c>
    </row>
    <row r="91" spans="1:17" customFormat="1">
      <c r="A91" s="112" t="s">
        <v>2431</v>
      </c>
      <c r="B91" s="134">
        <v>12.46</v>
      </c>
      <c r="C91" s="134">
        <v>24.53</v>
      </c>
      <c r="D91" s="134">
        <v>24.16</v>
      </c>
      <c r="E91" s="134">
        <v>8.08</v>
      </c>
      <c r="F91" s="134">
        <v>4.0199999999999996</v>
      </c>
      <c r="G91" s="134">
        <v>11.22</v>
      </c>
      <c r="H91" s="134">
        <v>4.6399999999999997</v>
      </c>
      <c r="I91" s="134">
        <v>4.0999999999999996</v>
      </c>
      <c r="J91" s="134">
        <v>0.13</v>
      </c>
      <c r="K91" s="134">
        <v>242.46</v>
      </c>
      <c r="L91" s="134">
        <v>25.89</v>
      </c>
      <c r="M91" s="134">
        <v>98.33</v>
      </c>
      <c r="N91" s="134">
        <v>0</v>
      </c>
      <c r="O91" s="134">
        <v>0</v>
      </c>
      <c r="P91" s="134">
        <v>0.47</v>
      </c>
      <c r="Q91" s="134">
        <v>3.86</v>
      </c>
    </row>
    <row r="92" spans="1:17" customFormat="1">
      <c r="A92" s="112" t="s">
        <v>2432</v>
      </c>
      <c r="B92" s="134">
        <v>12.62</v>
      </c>
      <c r="C92" s="134">
        <v>24.67</v>
      </c>
      <c r="D92" s="134">
        <v>24.36</v>
      </c>
      <c r="E92" s="134">
        <v>7.94</v>
      </c>
      <c r="F92" s="134">
        <v>4.03</v>
      </c>
      <c r="G92" s="134">
        <v>11.22</v>
      </c>
      <c r="H92" s="134">
        <v>4.6399999999999997</v>
      </c>
      <c r="I92" s="134">
        <v>4.07</v>
      </c>
      <c r="J92" s="134">
        <v>7.0000000000000007E-2</v>
      </c>
      <c r="K92" s="134">
        <v>231.01</v>
      </c>
      <c r="L92" s="134">
        <v>25.9</v>
      </c>
      <c r="M92" s="134">
        <v>98.63</v>
      </c>
      <c r="N92" s="134">
        <v>0</v>
      </c>
      <c r="O92" s="134">
        <v>0</v>
      </c>
      <c r="P92" s="134">
        <v>0.47</v>
      </c>
      <c r="Q92" s="134">
        <v>3.86</v>
      </c>
    </row>
    <row r="93" spans="1:17" customFormat="1">
      <c r="A93" s="112" t="s">
        <v>2433</v>
      </c>
      <c r="B93" s="134">
        <v>12.83</v>
      </c>
      <c r="C93" s="134">
        <v>24.62</v>
      </c>
      <c r="D93" s="134">
        <v>24.5</v>
      </c>
      <c r="E93" s="134">
        <v>8.31</v>
      </c>
      <c r="F93" s="134">
        <v>3.88</v>
      </c>
      <c r="G93" s="134">
        <v>11.22</v>
      </c>
      <c r="H93" s="134">
        <v>4.6399999999999997</v>
      </c>
      <c r="I93" s="134">
        <v>4.0199999999999996</v>
      </c>
      <c r="J93" s="134">
        <v>0.06</v>
      </c>
      <c r="K93" s="134">
        <v>254.62</v>
      </c>
      <c r="L93" s="134">
        <v>25.84</v>
      </c>
      <c r="M93" s="134">
        <v>98.76</v>
      </c>
      <c r="N93" s="134">
        <v>0</v>
      </c>
      <c r="O93" s="134">
        <v>0</v>
      </c>
      <c r="P93" s="134">
        <v>0.47</v>
      </c>
      <c r="Q93" s="134">
        <v>3.87</v>
      </c>
    </row>
    <row r="94" spans="1:17" customFormat="1">
      <c r="A94" s="112" t="s">
        <v>2434</v>
      </c>
      <c r="B94" s="134">
        <v>13.19</v>
      </c>
      <c r="C94" s="134">
        <v>24.54</v>
      </c>
      <c r="D94" s="134">
        <v>24.75</v>
      </c>
      <c r="E94" s="134">
        <v>8.92</v>
      </c>
      <c r="F94" s="134">
        <v>3.78</v>
      </c>
      <c r="G94" s="134">
        <v>12.63</v>
      </c>
      <c r="H94" s="134">
        <v>3.41</v>
      </c>
      <c r="I94" s="134">
        <v>3.99</v>
      </c>
      <c r="J94" s="134">
        <v>7.0000000000000007E-2</v>
      </c>
      <c r="K94" s="134">
        <v>204.51</v>
      </c>
      <c r="L94" s="134">
        <v>25.81</v>
      </c>
      <c r="M94" s="134">
        <v>98.86</v>
      </c>
      <c r="N94" s="134">
        <v>0</v>
      </c>
      <c r="O94" s="134">
        <v>0</v>
      </c>
      <c r="P94" s="134">
        <v>0.47</v>
      </c>
      <c r="Q94" s="134">
        <v>3.92</v>
      </c>
    </row>
    <row r="95" spans="1:17" customFormat="1">
      <c r="A95" s="112" t="s">
        <v>2435</v>
      </c>
      <c r="B95" s="134">
        <v>13.33</v>
      </c>
      <c r="C95" s="134">
        <v>24.84</v>
      </c>
      <c r="D95" s="134">
        <v>25.02</v>
      </c>
      <c r="E95" s="134">
        <v>8.9</v>
      </c>
      <c r="F95" s="134">
        <v>3.86</v>
      </c>
      <c r="G95" s="134">
        <v>12.87</v>
      </c>
      <c r="H95" s="134">
        <v>3.41</v>
      </c>
      <c r="I95" s="134">
        <v>3.94</v>
      </c>
      <c r="J95" s="134">
        <v>0.06</v>
      </c>
      <c r="K95" s="134">
        <v>218.5</v>
      </c>
      <c r="L95" s="134">
        <v>25.76</v>
      </c>
      <c r="M95" s="134">
        <v>99</v>
      </c>
      <c r="N95" s="134">
        <v>0</v>
      </c>
      <c r="O95" s="134">
        <v>0</v>
      </c>
      <c r="P95" s="134">
        <v>0.47</v>
      </c>
      <c r="Q95" s="134">
        <v>3.95</v>
      </c>
    </row>
    <row r="96" spans="1:17" customFormat="1">
      <c r="A96" s="112" t="s">
        <v>2436</v>
      </c>
      <c r="B96" s="134">
        <v>13.49</v>
      </c>
      <c r="C96" s="134">
        <v>24.59</v>
      </c>
      <c r="D96" s="134">
        <v>25.02</v>
      </c>
      <c r="E96" s="134">
        <v>8.42</v>
      </c>
      <c r="F96" s="134">
        <v>4.1500000000000004</v>
      </c>
      <c r="G96" s="134">
        <v>12.87</v>
      </c>
      <c r="H96" s="134">
        <v>3.41</v>
      </c>
      <c r="I96" s="134">
        <v>3.93</v>
      </c>
      <c r="J96" s="134">
        <v>0.13</v>
      </c>
      <c r="K96" s="134">
        <v>215.35</v>
      </c>
      <c r="L96" s="134">
        <v>25.74</v>
      </c>
      <c r="M96" s="134">
        <v>98.73</v>
      </c>
      <c r="N96" s="134">
        <v>0</v>
      </c>
      <c r="O96" s="134">
        <v>0</v>
      </c>
      <c r="P96" s="134">
        <v>0.47</v>
      </c>
      <c r="Q96" s="134">
        <v>3.93</v>
      </c>
    </row>
    <row r="97" spans="1:22" customFormat="1">
      <c r="A97" s="112" t="s">
        <v>2437</v>
      </c>
      <c r="B97" s="134">
        <v>13.68</v>
      </c>
      <c r="C97" s="134">
        <v>24.62</v>
      </c>
      <c r="D97" s="134">
        <v>25.19</v>
      </c>
      <c r="E97" s="134">
        <v>8.6199999999999992</v>
      </c>
      <c r="F97" s="134">
        <v>3.9</v>
      </c>
      <c r="G97" s="134">
        <v>12.87</v>
      </c>
      <c r="H97" s="134">
        <v>3.41</v>
      </c>
      <c r="I97" s="134">
        <v>3.92</v>
      </c>
      <c r="J97" s="134">
        <v>0.21</v>
      </c>
      <c r="K97" s="134">
        <v>251.92</v>
      </c>
      <c r="L97" s="134">
        <v>25.78</v>
      </c>
      <c r="M97" s="134">
        <v>98.03</v>
      </c>
      <c r="N97" s="134">
        <v>0</v>
      </c>
      <c r="O97" s="134">
        <v>0</v>
      </c>
      <c r="P97" s="134">
        <v>0.46</v>
      </c>
      <c r="Q97" s="134">
        <v>3.96</v>
      </c>
    </row>
    <row r="98" spans="1:22" customFormat="1">
      <c r="A98" s="112" t="s">
        <v>2438</v>
      </c>
      <c r="B98" s="134">
        <v>13.74</v>
      </c>
      <c r="C98" s="134">
        <v>25.07</v>
      </c>
      <c r="D98" s="134">
        <v>25.47</v>
      </c>
      <c r="E98" s="134">
        <v>8.81</v>
      </c>
      <c r="F98" s="134">
        <v>3.8</v>
      </c>
      <c r="G98" s="134">
        <v>9.9600000000000009</v>
      </c>
      <c r="H98" s="134">
        <v>2.4700000000000002</v>
      </c>
      <c r="I98" s="134">
        <v>3.85</v>
      </c>
      <c r="J98" s="134">
        <v>0.23</v>
      </c>
      <c r="K98" s="134">
        <v>253.37</v>
      </c>
      <c r="L98" s="134">
        <v>25.77</v>
      </c>
      <c r="M98" s="134">
        <v>98.19</v>
      </c>
      <c r="N98" s="134">
        <v>0</v>
      </c>
      <c r="O98" s="134">
        <v>0</v>
      </c>
      <c r="P98" s="134">
        <v>0.46</v>
      </c>
      <c r="Q98" s="134">
        <v>3.98</v>
      </c>
    </row>
    <row r="99" spans="1:22" customFormat="1">
      <c r="A99" s="112" t="s">
        <v>2439</v>
      </c>
      <c r="B99" s="134">
        <v>13.82</v>
      </c>
      <c r="C99" s="134">
        <v>25.28</v>
      </c>
      <c r="D99" s="134">
        <v>25.64</v>
      </c>
      <c r="E99" s="134">
        <v>9.0299999999999994</v>
      </c>
      <c r="F99" s="134">
        <v>3.7</v>
      </c>
      <c r="G99" s="134">
        <v>9.4600000000000009</v>
      </c>
      <c r="H99" s="134">
        <v>2.4700000000000002</v>
      </c>
      <c r="I99" s="134">
        <v>3.78</v>
      </c>
      <c r="J99" s="134">
        <v>0.16</v>
      </c>
      <c r="K99" s="134">
        <v>249.72</v>
      </c>
      <c r="L99" s="134">
        <v>25.8</v>
      </c>
      <c r="M99" s="134">
        <v>96.32</v>
      </c>
      <c r="N99" s="134">
        <v>0</v>
      </c>
      <c r="O99" s="134">
        <v>0</v>
      </c>
      <c r="P99" s="134">
        <v>0.45</v>
      </c>
      <c r="Q99" s="134">
        <v>3.97</v>
      </c>
    </row>
    <row r="100" spans="1:22" customFormat="1">
      <c r="A100" s="112" t="s">
        <v>2440</v>
      </c>
      <c r="B100" s="134">
        <v>14</v>
      </c>
      <c r="C100" s="134">
        <v>24.9</v>
      </c>
      <c r="D100" s="134">
        <v>25.58</v>
      </c>
      <c r="E100" s="134">
        <v>8.98</v>
      </c>
      <c r="F100" s="134">
        <v>4.2300000000000004</v>
      </c>
      <c r="G100" s="134">
        <v>9.4600000000000009</v>
      </c>
      <c r="H100" s="134">
        <v>2.4700000000000002</v>
      </c>
      <c r="I100" s="134">
        <v>3.76</v>
      </c>
      <c r="J100" s="134">
        <v>0.25</v>
      </c>
      <c r="K100" s="134">
        <v>259.32</v>
      </c>
      <c r="L100" s="134">
        <v>25.77</v>
      </c>
      <c r="M100" s="134">
        <v>96.34</v>
      </c>
      <c r="N100" s="134">
        <v>0</v>
      </c>
      <c r="O100" s="134">
        <v>0</v>
      </c>
      <c r="P100" s="134">
        <v>0.45</v>
      </c>
      <c r="Q100" s="134">
        <v>3.99</v>
      </c>
    </row>
    <row r="101" spans="1:22" customFormat="1">
      <c r="A101" s="112" t="s">
        <v>2441</v>
      </c>
      <c r="B101" s="134">
        <v>14.14</v>
      </c>
      <c r="C101" s="134">
        <v>25.12</v>
      </c>
      <c r="D101" s="134">
        <v>25.81</v>
      </c>
      <c r="E101" s="134">
        <v>9.01</v>
      </c>
      <c r="F101" s="134">
        <v>3.85</v>
      </c>
      <c r="G101" s="134">
        <v>9.4600000000000009</v>
      </c>
      <c r="H101" s="134">
        <v>2.4700000000000002</v>
      </c>
      <c r="I101" s="134">
        <v>3.82</v>
      </c>
      <c r="J101" s="134">
        <v>0.28999999999999998</v>
      </c>
      <c r="K101" s="134">
        <v>255.84</v>
      </c>
      <c r="L101" s="134">
        <v>25.78</v>
      </c>
      <c r="M101" s="134">
        <v>96.67</v>
      </c>
      <c r="N101" s="134">
        <v>0</v>
      </c>
      <c r="O101" s="134">
        <v>0</v>
      </c>
      <c r="P101" s="134">
        <v>0.45</v>
      </c>
      <c r="Q101" s="134">
        <v>4</v>
      </c>
    </row>
    <row r="102" spans="1:22" customFormat="1">
      <c r="A102" s="112" t="s">
        <v>2442</v>
      </c>
      <c r="B102" s="134">
        <v>14.26</v>
      </c>
      <c r="C102" s="134">
        <v>25.52</v>
      </c>
      <c r="D102" s="134">
        <v>26.12</v>
      </c>
      <c r="E102" s="134">
        <v>9.5500000000000007</v>
      </c>
      <c r="F102" s="134">
        <v>3.7</v>
      </c>
      <c r="G102" s="134">
        <v>10.9</v>
      </c>
      <c r="H102" s="134">
        <v>5.52</v>
      </c>
      <c r="I102" s="134">
        <v>3.8</v>
      </c>
      <c r="J102" s="134">
        <v>0.37</v>
      </c>
      <c r="K102" s="134">
        <v>260.24</v>
      </c>
      <c r="L102" s="134">
        <v>25.63</v>
      </c>
      <c r="M102" s="134">
        <v>97.73</v>
      </c>
      <c r="N102" s="134">
        <v>0</v>
      </c>
      <c r="O102" s="134">
        <v>0</v>
      </c>
      <c r="P102" s="134">
        <v>0.46</v>
      </c>
      <c r="Q102" s="134">
        <v>3.98</v>
      </c>
    </row>
    <row r="103" spans="1:22" customFormat="1">
      <c r="A103" s="112" t="s">
        <v>2443</v>
      </c>
      <c r="B103" s="134">
        <v>14.79</v>
      </c>
      <c r="C103" s="134">
        <v>24.77</v>
      </c>
      <c r="D103" s="134">
        <v>26.15</v>
      </c>
      <c r="E103" s="134">
        <v>9.02</v>
      </c>
      <c r="F103" s="134">
        <v>4.3</v>
      </c>
      <c r="G103" s="134">
        <v>11.15</v>
      </c>
      <c r="H103" s="134">
        <v>5.52</v>
      </c>
      <c r="I103" s="134">
        <v>3.72</v>
      </c>
      <c r="J103" s="134">
        <v>0.26</v>
      </c>
      <c r="K103" s="134">
        <v>257.91000000000003</v>
      </c>
      <c r="L103" s="134">
        <v>25.58</v>
      </c>
      <c r="M103" s="134">
        <v>98.14</v>
      </c>
      <c r="N103" s="134">
        <v>0</v>
      </c>
      <c r="O103" s="134">
        <v>0</v>
      </c>
      <c r="P103" s="134">
        <v>0.44</v>
      </c>
      <c r="Q103" s="134">
        <v>4</v>
      </c>
    </row>
    <row r="104" spans="1:22" customFormat="1">
      <c r="A104" s="112" t="s">
        <v>2444</v>
      </c>
      <c r="B104" s="134">
        <v>15.32</v>
      </c>
      <c r="C104" s="134">
        <v>22.59</v>
      </c>
      <c r="D104" s="134">
        <v>25.44</v>
      </c>
      <c r="E104" s="134">
        <v>8.91</v>
      </c>
      <c r="F104" s="134">
        <v>4.87</v>
      </c>
      <c r="G104" s="134">
        <v>11.15</v>
      </c>
      <c r="H104" s="134">
        <v>5.52</v>
      </c>
      <c r="I104" s="134">
        <v>3.73</v>
      </c>
      <c r="J104" s="134">
        <v>0.12</v>
      </c>
      <c r="K104" s="134">
        <v>245.99</v>
      </c>
      <c r="L104" s="134">
        <v>25.52</v>
      </c>
      <c r="M104" s="134">
        <v>98.23</v>
      </c>
      <c r="N104" s="134">
        <v>0</v>
      </c>
      <c r="O104" s="134">
        <v>0</v>
      </c>
      <c r="P104" s="134">
        <v>0.41</v>
      </c>
      <c r="Q104" s="134">
        <v>4.04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3.49</v>
      </c>
      <c r="C106" s="183">
        <f>MIN(C9:C104)</f>
        <v>12.9</v>
      </c>
      <c r="D106" s="183">
        <f t="shared" ref="D106:Q106" si="0">MIN(D9:D104)</f>
        <v>10.94</v>
      </c>
      <c r="E106" s="183">
        <f t="shared" si="0"/>
        <v>4.13</v>
      </c>
      <c r="F106" s="183">
        <f t="shared" si="0"/>
        <v>3.22</v>
      </c>
      <c r="G106" s="183">
        <f t="shared" si="0"/>
        <v>3.8</v>
      </c>
      <c r="H106" s="183">
        <f t="shared" si="0"/>
        <v>1.66</v>
      </c>
      <c r="I106" s="183">
        <f t="shared" si="0"/>
        <v>1.53</v>
      </c>
      <c r="J106" s="183">
        <f t="shared" si="0"/>
        <v>0.05</v>
      </c>
      <c r="K106" s="183">
        <f t="shared" si="0"/>
        <v>146.84</v>
      </c>
      <c r="L106" s="183">
        <f t="shared" si="0"/>
        <v>24.14</v>
      </c>
      <c r="M106" s="183">
        <f t="shared" si="0"/>
        <v>82.42</v>
      </c>
      <c r="N106" s="183">
        <f t="shared" si="0"/>
        <v>0</v>
      </c>
      <c r="O106" s="183">
        <f t="shared" si="0"/>
        <v>0</v>
      </c>
      <c r="P106" s="183">
        <f t="shared" si="0"/>
        <v>0.25</v>
      </c>
      <c r="Q106" s="183">
        <f t="shared" si="0"/>
        <v>3.23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16.98</v>
      </c>
      <c r="C107" s="184">
        <f t="shared" ref="C107:Q107" si="1">MAX(C9:C104)</f>
        <v>25.52</v>
      </c>
      <c r="D107" s="184">
        <f t="shared" si="1"/>
        <v>27.84</v>
      </c>
      <c r="E107" s="184">
        <f t="shared" si="1"/>
        <v>9.68</v>
      </c>
      <c r="F107" s="184">
        <f t="shared" si="1"/>
        <v>9.7100000000000009</v>
      </c>
      <c r="G107" s="184">
        <f t="shared" si="1"/>
        <v>13.22</v>
      </c>
      <c r="H107" s="184">
        <f t="shared" si="1"/>
        <v>5.52</v>
      </c>
      <c r="I107" s="184">
        <f t="shared" si="1"/>
        <v>5.14</v>
      </c>
      <c r="J107" s="184">
        <f t="shared" si="1"/>
        <v>1.04</v>
      </c>
      <c r="K107" s="184">
        <f t="shared" si="1"/>
        <v>275.74</v>
      </c>
      <c r="L107" s="184">
        <f t="shared" si="1"/>
        <v>28.39</v>
      </c>
      <c r="M107" s="184">
        <f t="shared" si="1"/>
        <v>99</v>
      </c>
      <c r="N107" s="184">
        <f t="shared" si="1"/>
        <v>393.6</v>
      </c>
      <c r="O107" s="184">
        <f t="shared" si="1"/>
        <v>0.2</v>
      </c>
      <c r="P107" s="184">
        <f t="shared" si="1"/>
        <v>0.6</v>
      </c>
      <c r="Q107" s="184">
        <f t="shared" si="1"/>
        <v>4.2300000000000004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12.00260416666667</v>
      </c>
      <c r="C108" s="183">
        <f t="shared" ref="C108:Q108" si="2">AVERAGE(C9:C104)</f>
        <v>22.301145833333326</v>
      </c>
      <c r="D108" s="183">
        <f t="shared" si="2"/>
        <v>22.628020833333341</v>
      </c>
      <c r="E108" s="183">
        <f t="shared" si="2"/>
        <v>7.4732291666666697</v>
      </c>
      <c r="F108" s="183">
        <f t="shared" si="2"/>
        <v>4.6970833333333326</v>
      </c>
      <c r="G108" s="183">
        <f t="shared" si="2"/>
        <v>8.7263541666666704</v>
      </c>
      <c r="H108" s="183">
        <f t="shared" si="2"/>
        <v>3.3107291666666669</v>
      </c>
      <c r="I108" s="183">
        <f t="shared" si="2"/>
        <v>3.5162500000000008</v>
      </c>
      <c r="J108" s="183">
        <f t="shared" si="2"/>
        <v>0.48270833333333329</v>
      </c>
      <c r="K108" s="183">
        <f t="shared" si="2"/>
        <v>254.41364583333333</v>
      </c>
      <c r="L108" s="183">
        <f t="shared" si="2"/>
        <v>25.844062500000007</v>
      </c>
      <c r="M108" s="183">
        <f t="shared" si="2"/>
        <v>92.976874999999964</v>
      </c>
      <c r="N108" s="183">
        <f t="shared" si="2"/>
        <v>67.359374999999986</v>
      </c>
      <c r="O108" s="183">
        <f t="shared" si="2"/>
        <v>2.0833333333333333E-3</v>
      </c>
      <c r="P108" s="183">
        <f t="shared" si="2"/>
        <v>0.45427083333333335</v>
      </c>
      <c r="Q108" s="183">
        <f t="shared" si="2"/>
        <v>3.8159375000000022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3.4623491401044935</v>
      </c>
      <c r="C109" s="183">
        <f t="shared" ref="C109:Q109" si="3">STDEV(C9:C104)</f>
        <v>2.4643243420296095</v>
      </c>
      <c r="D109" s="183">
        <f t="shared" si="3"/>
        <v>3.7022708876953558</v>
      </c>
      <c r="E109" s="183">
        <f t="shared" si="3"/>
        <v>1.8855838100770099</v>
      </c>
      <c r="F109" s="183">
        <f t="shared" si="3"/>
        <v>1.0709935541274131</v>
      </c>
      <c r="G109" s="183">
        <f t="shared" si="3"/>
        <v>2.5974218471770989</v>
      </c>
      <c r="H109" s="183">
        <f t="shared" si="3"/>
        <v>0.82918253312863199</v>
      </c>
      <c r="I109" s="183">
        <f t="shared" si="3"/>
        <v>0.80746288818091916</v>
      </c>
      <c r="J109" s="183">
        <f t="shared" si="3"/>
        <v>0.24828031342635223</v>
      </c>
      <c r="K109" s="183">
        <f t="shared" si="3"/>
        <v>24.699101885218393</v>
      </c>
      <c r="L109" s="183">
        <f t="shared" si="3"/>
        <v>1.302527565623852</v>
      </c>
      <c r="M109" s="183">
        <f t="shared" si="3"/>
        <v>4.759601556190507</v>
      </c>
      <c r="N109" s="183">
        <f t="shared" si="3"/>
        <v>109.84156971520392</v>
      </c>
      <c r="O109" s="183">
        <f t="shared" si="3"/>
        <v>2.0412414523193152E-2</v>
      </c>
      <c r="P109" s="183">
        <f t="shared" si="3"/>
        <v>5.9960421887963522E-2</v>
      </c>
      <c r="Q109" s="183">
        <f t="shared" si="3"/>
        <v>0.27777529019351754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24/09/2023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2445</v>
      </c>
      <c r="B9" s="134">
        <v>15.79</v>
      </c>
      <c r="C9" s="134">
        <v>19.78</v>
      </c>
      <c r="D9" s="134">
        <v>24.35</v>
      </c>
      <c r="E9" s="134">
        <v>7.7</v>
      </c>
      <c r="F9" s="134">
        <v>5.07</v>
      </c>
      <c r="G9" s="134">
        <v>11.15</v>
      </c>
      <c r="H9" s="134">
        <v>5.52</v>
      </c>
      <c r="I9" s="134">
        <v>3.7</v>
      </c>
      <c r="J9" s="134">
        <v>0.16</v>
      </c>
      <c r="K9" s="134">
        <v>254.77</v>
      </c>
      <c r="L9" s="134">
        <v>25.42</v>
      </c>
      <c r="M9" s="134">
        <v>97.45</v>
      </c>
      <c r="N9" s="134">
        <v>0</v>
      </c>
      <c r="O9" s="134">
        <v>0</v>
      </c>
      <c r="P9" s="134">
        <v>0.39</v>
      </c>
      <c r="Q9" s="134">
        <v>4.05</v>
      </c>
    </row>
    <row r="10" spans="1:21" customFormat="1">
      <c r="A10" s="112" t="s">
        <v>2446</v>
      </c>
      <c r="B10" s="134">
        <v>14.85</v>
      </c>
      <c r="C10" s="134">
        <v>18.600000000000001</v>
      </c>
      <c r="D10" s="134">
        <v>22.98</v>
      </c>
      <c r="E10" s="134">
        <v>7.4</v>
      </c>
      <c r="F10" s="134">
        <v>5.81</v>
      </c>
      <c r="G10" s="134">
        <v>11.77</v>
      </c>
      <c r="H10" s="134">
        <v>4.1900000000000004</v>
      </c>
      <c r="I10" s="134">
        <v>3.66</v>
      </c>
      <c r="J10" s="134">
        <v>0.15</v>
      </c>
      <c r="K10" s="134">
        <v>243.46</v>
      </c>
      <c r="L10" s="134">
        <v>25.37</v>
      </c>
      <c r="M10" s="134">
        <v>97.01</v>
      </c>
      <c r="N10" s="134">
        <v>0</v>
      </c>
      <c r="O10" s="134">
        <v>0</v>
      </c>
      <c r="P10" s="134">
        <v>0.38</v>
      </c>
      <c r="Q10" s="134">
        <v>4.09</v>
      </c>
    </row>
    <row r="11" spans="1:21" customFormat="1">
      <c r="A11" s="112" t="s">
        <v>2447</v>
      </c>
      <c r="B11" s="134">
        <v>15.4</v>
      </c>
      <c r="C11" s="134">
        <v>20.68</v>
      </c>
      <c r="D11" s="134">
        <v>24.51</v>
      </c>
      <c r="E11" s="134">
        <v>7.52</v>
      </c>
      <c r="F11" s="134">
        <v>4.91</v>
      </c>
      <c r="G11" s="134">
        <v>11.87</v>
      </c>
      <c r="H11" s="134">
        <v>4.1900000000000004</v>
      </c>
      <c r="I11" s="134">
        <v>3.56</v>
      </c>
      <c r="J11" s="134">
        <v>0.27</v>
      </c>
      <c r="K11" s="134">
        <v>259.04000000000002</v>
      </c>
      <c r="L11" s="134">
        <v>25.3</v>
      </c>
      <c r="M11" s="134">
        <v>97.09</v>
      </c>
      <c r="N11" s="134">
        <v>0</v>
      </c>
      <c r="O11" s="134">
        <v>0</v>
      </c>
      <c r="P11" s="134">
        <v>0.38</v>
      </c>
      <c r="Q11" s="134">
        <v>4.0599999999999996</v>
      </c>
    </row>
    <row r="12" spans="1:21" customFormat="1">
      <c r="A12" s="112" t="s">
        <v>2448</v>
      </c>
      <c r="B12" s="134">
        <v>15.93</v>
      </c>
      <c r="C12" s="134">
        <v>22.78</v>
      </c>
      <c r="D12" s="134">
        <v>26.03</v>
      </c>
      <c r="E12" s="134">
        <v>8.44</v>
      </c>
      <c r="F12" s="134">
        <v>4.0599999999999996</v>
      </c>
      <c r="G12" s="134">
        <v>11.87</v>
      </c>
      <c r="H12" s="134">
        <v>4.1900000000000004</v>
      </c>
      <c r="I12" s="134">
        <v>3.41</v>
      </c>
      <c r="J12" s="134">
        <v>0.26</v>
      </c>
      <c r="K12" s="134">
        <v>255.23</v>
      </c>
      <c r="L12" s="134">
        <v>25.32</v>
      </c>
      <c r="M12" s="134">
        <v>97.39</v>
      </c>
      <c r="N12" s="134">
        <v>0</v>
      </c>
      <c r="O12" s="134">
        <v>0</v>
      </c>
      <c r="P12" s="134">
        <v>0.4</v>
      </c>
      <c r="Q12" s="134">
        <v>4.12</v>
      </c>
    </row>
    <row r="13" spans="1:21" customFormat="1">
      <c r="A13" s="112" t="s">
        <v>2449</v>
      </c>
      <c r="B13" s="134">
        <v>16.27</v>
      </c>
      <c r="C13" s="134">
        <v>21.21</v>
      </c>
      <c r="D13" s="134">
        <v>25.48</v>
      </c>
      <c r="E13" s="134">
        <v>7.79</v>
      </c>
      <c r="F13" s="134">
        <v>4.59</v>
      </c>
      <c r="G13" s="134">
        <v>11.87</v>
      </c>
      <c r="H13" s="134">
        <v>4.1900000000000004</v>
      </c>
      <c r="I13" s="134">
        <v>3.61</v>
      </c>
      <c r="J13" s="134">
        <v>0.33</v>
      </c>
      <c r="K13" s="134">
        <v>264.22000000000003</v>
      </c>
      <c r="L13" s="134">
        <v>25.24</v>
      </c>
      <c r="M13" s="134">
        <v>98.5</v>
      </c>
      <c r="N13" s="134">
        <v>0</v>
      </c>
      <c r="O13" s="134">
        <v>0</v>
      </c>
      <c r="P13" s="134">
        <v>0.39</v>
      </c>
      <c r="Q13" s="134">
        <v>4.1500000000000004</v>
      </c>
    </row>
    <row r="14" spans="1:21" customFormat="1">
      <c r="A14" s="112" t="s">
        <v>2450</v>
      </c>
      <c r="B14" s="134">
        <v>16.23</v>
      </c>
      <c r="C14" s="134">
        <v>20.72</v>
      </c>
      <c r="D14" s="134">
        <v>25.19</v>
      </c>
      <c r="E14" s="134">
        <v>7.81</v>
      </c>
      <c r="F14" s="134">
        <v>4.7699999999999996</v>
      </c>
      <c r="G14" s="134">
        <v>10.61</v>
      </c>
      <c r="H14" s="134">
        <v>4.95</v>
      </c>
      <c r="I14" s="134">
        <v>3.64</v>
      </c>
      <c r="J14" s="134">
        <v>0.4</v>
      </c>
      <c r="K14" s="134">
        <v>265.41000000000003</v>
      </c>
      <c r="L14" s="134">
        <v>25.25</v>
      </c>
      <c r="M14" s="134">
        <v>98.61</v>
      </c>
      <c r="N14" s="134">
        <v>0</v>
      </c>
      <c r="O14" s="134">
        <v>0</v>
      </c>
      <c r="P14" s="134">
        <v>0.38</v>
      </c>
      <c r="Q14" s="134">
        <v>4.12</v>
      </c>
    </row>
    <row r="15" spans="1:21" customFormat="1">
      <c r="A15" s="112" t="s">
        <v>2451</v>
      </c>
      <c r="B15" s="134">
        <v>16.579999999999998</v>
      </c>
      <c r="C15" s="134">
        <v>22.76</v>
      </c>
      <c r="D15" s="134">
        <v>26.54</v>
      </c>
      <c r="E15" s="134">
        <v>8.27</v>
      </c>
      <c r="F15" s="134">
        <v>4.04</v>
      </c>
      <c r="G15" s="134">
        <v>10.4</v>
      </c>
      <c r="H15" s="134">
        <v>4.95</v>
      </c>
      <c r="I15" s="134">
        <v>3.56</v>
      </c>
      <c r="J15" s="134">
        <v>0.39</v>
      </c>
      <c r="K15" s="134">
        <v>265.8</v>
      </c>
      <c r="L15" s="134">
        <v>25.26</v>
      </c>
      <c r="M15" s="134">
        <v>98.31</v>
      </c>
      <c r="N15" s="134">
        <v>0</v>
      </c>
      <c r="O15" s="134">
        <v>0</v>
      </c>
      <c r="P15" s="134">
        <v>0.4</v>
      </c>
      <c r="Q15" s="134">
        <v>4.1399999999999997</v>
      </c>
    </row>
    <row r="16" spans="1:21" customFormat="1">
      <c r="A16" s="112" t="s">
        <v>2452</v>
      </c>
      <c r="B16" s="134">
        <v>16.88</v>
      </c>
      <c r="C16" s="134">
        <v>21.38</v>
      </c>
      <c r="D16" s="134">
        <v>26.06</v>
      </c>
      <c r="E16" s="134">
        <v>8.08</v>
      </c>
      <c r="F16" s="134">
        <v>4.45</v>
      </c>
      <c r="G16" s="134">
        <v>10.4</v>
      </c>
      <c r="H16" s="134">
        <v>4.95</v>
      </c>
      <c r="I16" s="134">
        <v>3.55</v>
      </c>
      <c r="J16" s="134">
        <v>0.38</v>
      </c>
      <c r="K16" s="134">
        <v>261.58</v>
      </c>
      <c r="L16" s="134">
        <v>25.29</v>
      </c>
      <c r="M16" s="134">
        <v>97.68</v>
      </c>
      <c r="N16" s="134">
        <v>0</v>
      </c>
      <c r="O16" s="134">
        <v>0</v>
      </c>
      <c r="P16" s="134">
        <v>0.39</v>
      </c>
      <c r="Q16" s="134">
        <v>4.1900000000000004</v>
      </c>
    </row>
    <row r="17" spans="1:17" customFormat="1">
      <c r="A17" s="112" t="s">
        <v>2453</v>
      </c>
      <c r="B17" s="134">
        <v>16.649999999999999</v>
      </c>
      <c r="C17" s="134">
        <v>19.87</v>
      </c>
      <c r="D17" s="134">
        <v>25.08</v>
      </c>
      <c r="E17" s="134">
        <v>7.28</v>
      </c>
      <c r="F17" s="134">
        <v>5.0199999999999996</v>
      </c>
      <c r="G17" s="134">
        <v>10.4</v>
      </c>
      <c r="H17" s="134">
        <v>4.95</v>
      </c>
      <c r="I17" s="134">
        <v>3.58</v>
      </c>
      <c r="J17" s="134">
        <v>0.28000000000000003</v>
      </c>
      <c r="K17" s="134">
        <v>264.47000000000003</v>
      </c>
      <c r="L17" s="134">
        <v>25.3</v>
      </c>
      <c r="M17" s="134">
        <v>98.08</v>
      </c>
      <c r="N17" s="134">
        <v>0</v>
      </c>
      <c r="O17" s="134">
        <v>0</v>
      </c>
      <c r="P17" s="134">
        <v>0.36</v>
      </c>
      <c r="Q17" s="134">
        <v>4.17</v>
      </c>
    </row>
    <row r="18" spans="1:17" customFormat="1">
      <c r="A18" s="112" t="s">
        <v>2454</v>
      </c>
      <c r="B18" s="134">
        <v>16.850000000000001</v>
      </c>
      <c r="C18" s="134">
        <v>21.48</v>
      </c>
      <c r="D18" s="134">
        <v>26.09</v>
      </c>
      <c r="E18" s="134">
        <v>8.76</v>
      </c>
      <c r="F18" s="134">
        <v>4.37</v>
      </c>
      <c r="G18" s="134">
        <v>12.97</v>
      </c>
      <c r="H18" s="134">
        <v>3.93</v>
      </c>
      <c r="I18" s="134">
        <v>3.5</v>
      </c>
      <c r="J18" s="134">
        <v>0.37</v>
      </c>
      <c r="K18" s="134">
        <v>261.37</v>
      </c>
      <c r="L18" s="134">
        <v>25.3</v>
      </c>
      <c r="M18" s="134">
        <v>97.68</v>
      </c>
      <c r="N18" s="134">
        <v>0</v>
      </c>
      <c r="O18" s="134">
        <v>0</v>
      </c>
      <c r="P18" s="134">
        <v>0.37</v>
      </c>
      <c r="Q18" s="134">
        <v>4.1100000000000003</v>
      </c>
    </row>
    <row r="19" spans="1:17" customFormat="1">
      <c r="A19" s="112" t="s">
        <v>2455</v>
      </c>
      <c r="B19" s="134">
        <v>17.260000000000002</v>
      </c>
      <c r="C19" s="134">
        <v>22.38</v>
      </c>
      <c r="D19" s="134">
        <v>26.89</v>
      </c>
      <c r="E19" s="134">
        <v>8.92</v>
      </c>
      <c r="F19" s="134">
        <v>4.0199999999999996</v>
      </c>
      <c r="G19" s="134">
        <v>13.41</v>
      </c>
      <c r="H19" s="134">
        <v>3.93</v>
      </c>
      <c r="I19" s="134">
        <v>3.4</v>
      </c>
      <c r="J19" s="134">
        <v>0.46</v>
      </c>
      <c r="K19" s="134">
        <v>263.13</v>
      </c>
      <c r="L19" s="134">
        <v>25.3</v>
      </c>
      <c r="M19" s="134">
        <v>97.55</v>
      </c>
      <c r="N19" s="134">
        <v>0</v>
      </c>
      <c r="O19" s="134">
        <v>0</v>
      </c>
      <c r="P19" s="134">
        <v>0.38</v>
      </c>
      <c r="Q19" s="134">
        <v>4.17</v>
      </c>
    </row>
    <row r="20" spans="1:17" customFormat="1">
      <c r="A20" s="112" t="s">
        <v>2456</v>
      </c>
      <c r="B20" s="134">
        <v>17.2</v>
      </c>
      <c r="C20" s="134">
        <v>20.83</v>
      </c>
      <c r="D20" s="134">
        <v>26.03</v>
      </c>
      <c r="E20" s="134">
        <v>8.89</v>
      </c>
      <c r="F20" s="134">
        <v>4.8499999999999996</v>
      </c>
      <c r="G20" s="134">
        <v>13.41</v>
      </c>
      <c r="H20" s="134">
        <v>3.93</v>
      </c>
      <c r="I20" s="134">
        <v>3.51</v>
      </c>
      <c r="J20" s="134">
        <v>0.48</v>
      </c>
      <c r="K20" s="134">
        <v>266.55</v>
      </c>
      <c r="L20" s="134">
        <v>25.25</v>
      </c>
      <c r="M20" s="134">
        <v>97.51</v>
      </c>
      <c r="N20" s="134">
        <v>0</v>
      </c>
      <c r="O20" s="134">
        <v>0</v>
      </c>
      <c r="P20" s="134">
        <v>0.37</v>
      </c>
      <c r="Q20" s="134">
        <v>4.22</v>
      </c>
    </row>
    <row r="21" spans="1:17" customFormat="1">
      <c r="A21" s="112" t="s">
        <v>2457</v>
      </c>
      <c r="B21" s="134">
        <v>17.07</v>
      </c>
      <c r="C21" s="134">
        <v>19.940000000000001</v>
      </c>
      <c r="D21" s="134">
        <v>25.46</v>
      </c>
      <c r="E21" s="134">
        <v>7.97</v>
      </c>
      <c r="F21" s="134">
        <v>4.9800000000000004</v>
      </c>
      <c r="G21" s="134">
        <v>13.41</v>
      </c>
      <c r="H21" s="134">
        <v>3.93</v>
      </c>
      <c r="I21" s="134">
        <v>3.48</v>
      </c>
      <c r="J21" s="134">
        <v>0.48</v>
      </c>
      <c r="K21" s="134">
        <v>264.06</v>
      </c>
      <c r="L21" s="134">
        <v>25.26</v>
      </c>
      <c r="M21" s="134">
        <v>97.51</v>
      </c>
      <c r="N21" s="134">
        <v>0</v>
      </c>
      <c r="O21" s="134">
        <v>0</v>
      </c>
      <c r="P21" s="134">
        <v>0.35</v>
      </c>
      <c r="Q21" s="134">
        <v>4.18</v>
      </c>
    </row>
    <row r="22" spans="1:17" customFormat="1">
      <c r="A22" s="112" t="s">
        <v>2458</v>
      </c>
      <c r="B22" s="134">
        <v>17.3</v>
      </c>
      <c r="C22" s="134">
        <v>21.96</v>
      </c>
      <c r="D22" s="134">
        <v>26.7</v>
      </c>
      <c r="E22" s="134">
        <v>9.19</v>
      </c>
      <c r="F22" s="134">
        <v>3.99</v>
      </c>
      <c r="G22" s="134">
        <v>10.14</v>
      </c>
      <c r="H22" s="134">
        <v>5.72</v>
      </c>
      <c r="I22" s="134">
        <v>3.38</v>
      </c>
      <c r="J22" s="134">
        <v>0.42</v>
      </c>
      <c r="K22" s="134">
        <v>265.45999999999998</v>
      </c>
      <c r="L22" s="134">
        <v>25.2</v>
      </c>
      <c r="M22" s="134">
        <v>97.86</v>
      </c>
      <c r="N22" s="134">
        <v>0</v>
      </c>
      <c r="O22" s="134">
        <v>0</v>
      </c>
      <c r="P22" s="134">
        <v>0.38</v>
      </c>
      <c r="Q22" s="134">
        <v>4.1500000000000004</v>
      </c>
    </row>
    <row r="23" spans="1:17" customFormat="1">
      <c r="A23" s="112" t="s">
        <v>2459</v>
      </c>
      <c r="B23" s="134">
        <v>17.46</v>
      </c>
      <c r="C23" s="134">
        <v>22.27</v>
      </c>
      <c r="D23" s="134">
        <v>26.99</v>
      </c>
      <c r="E23" s="134">
        <v>8.5299999999999994</v>
      </c>
      <c r="F23" s="134">
        <v>4.17</v>
      </c>
      <c r="G23" s="134">
        <v>9.5299999999999994</v>
      </c>
      <c r="H23" s="134">
        <v>5.72</v>
      </c>
      <c r="I23" s="134">
        <v>3.35</v>
      </c>
      <c r="J23" s="134">
        <v>0.42</v>
      </c>
      <c r="K23" s="134">
        <v>263.05</v>
      </c>
      <c r="L23" s="134">
        <v>25.27</v>
      </c>
      <c r="M23" s="134">
        <v>98.25</v>
      </c>
      <c r="N23" s="134">
        <v>0</v>
      </c>
      <c r="O23" s="134">
        <v>0</v>
      </c>
      <c r="P23" s="134">
        <v>0.38</v>
      </c>
      <c r="Q23" s="134">
        <v>4.21</v>
      </c>
    </row>
    <row r="24" spans="1:17" customFormat="1">
      <c r="A24" s="112" t="s">
        <v>2460</v>
      </c>
      <c r="B24" s="134">
        <v>17.37</v>
      </c>
      <c r="C24" s="134">
        <v>20.37</v>
      </c>
      <c r="D24" s="134">
        <v>25.92</v>
      </c>
      <c r="E24" s="134">
        <v>8.48</v>
      </c>
      <c r="F24" s="134">
        <v>4.9400000000000004</v>
      </c>
      <c r="G24" s="134">
        <v>9.5299999999999994</v>
      </c>
      <c r="H24" s="134">
        <v>5.72</v>
      </c>
      <c r="I24" s="134">
        <v>3.45</v>
      </c>
      <c r="J24" s="134">
        <v>0.33</v>
      </c>
      <c r="K24" s="134">
        <v>262.07</v>
      </c>
      <c r="L24" s="134">
        <v>25.28</v>
      </c>
      <c r="M24" s="134">
        <v>98.14</v>
      </c>
      <c r="N24" s="134">
        <v>0</v>
      </c>
      <c r="O24" s="134">
        <v>0</v>
      </c>
      <c r="P24" s="134">
        <v>0.36</v>
      </c>
      <c r="Q24" s="134">
        <v>4.21</v>
      </c>
    </row>
    <row r="25" spans="1:17" customFormat="1">
      <c r="A25" s="112" t="s">
        <v>2461</v>
      </c>
      <c r="B25" s="134">
        <v>17.2</v>
      </c>
      <c r="C25" s="134">
        <v>19.63</v>
      </c>
      <c r="D25" s="134">
        <v>25.4</v>
      </c>
      <c r="E25" s="134">
        <v>7.95</v>
      </c>
      <c r="F25" s="134">
        <v>5.03</v>
      </c>
      <c r="G25" s="134">
        <v>9.5299999999999994</v>
      </c>
      <c r="H25" s="134">
        <v>5.72</v>
      </c>
      <c r="I25" s="134">
        <v>3.38</v>
      </c>
      <c r="J25" s="134">
        <v>0.1</v>
      </c>
      <c r="K25" s="134">
        <v>280.64999999999998</v>
      </c>
      <c r="L25" s="134">
        <v>25.37</v>
      </c>
      <c r="M25" s="134">
        <v>97.83</v>
      </c>
      <c r="N25" s="134">
        <v>0</v>
      </c>
      <c r="O25" s="134">
        <v>0</v>
      </c>
      <c r="P25" s="134">
        <v>0.34</v>
      </c>
      <c r="Q25" s="134">
        <v>4.1900000000000004</v>
      </c>
    </row>
    <row r="26" spans="1:17" customFormat="1">
      <c r="A26" s="112" t="s">
        <v>2462</v>
      </c>
      <c r="B26" s="134">
        <v>17.11</v>
      </c>
      <c r="C26" s="134">
        <v>20.79</v>
      </c>
      <c r="D26" s="134">
        <v>25.93</v>
      </c>
      <c r="E26" s="134">
        <v>8.58</v>
      </c>
      <c r="F26" s="134">
        <v>4.4000000000000004</v>
      </c>
      <c r="G26" s="134">
        <v>10.88</v>
      </c>
      <c r="H26" s="134">
        <v>5.74</v>
      </c>
      <c r="I26" s="134">
        <v>3.28</v>
      </c>
      <c r="J26" s="134">
        <v>0.1</v>
      </c>
      <c r="K26" s="134">
        <v>140.29</v>
      </c>
      <c r="L26" s="134">
        <v>25.5</v>
      </c>
      <c r="M26" s="134">
        <v>97.86</v>
      </c>
      <c r="N26" s="134">
        <v>0</v>
      </c>
      <c r="O26" s="134">
        <v>0</v>
      </c>
      <c r="P26" s="134">
        <v>0.38</v>
      </c>
      <c r="Q26" s="134">
        <v>4.1500000000000004</v>
      </c>
    </row>
    <row r="27" spans="1:17" customFormat="1">
      <c r="A27" s="112" t="s">
        <v>2463</v>
      </c>
      <c r="B27" s="134">
        <v>16.559999999999999</v>
      </c>
      <c r="C27" s="134">
        <v>21</v>
      </c>
      <c r="D27" s="134">
        <v>25.61</v>
      </c>
      <c r="E27" s="134">
        <v>8.42</v>
      </c>
      <c r="F27" s="134">
        <v>4.42</v>
      </c>
      <c r="G27" s="134">
        <v>11.11</v>
      </c>
      <c r="H27" s="134">
        <v>5.74</v>
      </c>
      <c r="I27" s="134">
        <v>3.27</v>
      </c>
      <c r="J27" s="134">
        <v>0.08</v>
      </c>
      <c r="K27" s="134">
        <v>92.86</v>
      </c>
      <c r="L27" s="134">
        <v>25.66</v>
      </c>
      <c r="M27" s="134">
        <v>96.7</v>
      </c>
      <c r="N27" s="134">
        <v>0</v>
      </c>
      <c r="O27" s="134">
        <v>0</v>
      </c>
      <c r="P27" s="134">
        <v>0.38</v>
      </c>
      <c r="Q27" s="134">
        <v>4.1100000000000003</v>
      </c>
    </row>
    <row r="28" spans="1:17" customFormat="1">
      <c r="A28" s="112" t="s">
        <v>2464</v>
      </c>
      <c r="B28" s="134">
        <v>16.04</v>
      </c>
      <c r="C28" s="134">
        <v>21.57</v>
      </c>
      <c r="D28" s="134">
        <v>25.48</v>
      </c>
      <c r="E28" s="134">
        <v>8.44</v>
      </c>
      <c r="F28" s="134">
        <v>4.5999999999999996</v>
      </c>
      <c r="G28" s="134">
        <v>11.11</v>
      </c>
      <c r="H28" s="134">
        <v>5.74</v>
      </c>
      <c r="I28" s="134">
        <v>3.27</v>
      </c>
      <c r="J28" s="134">
        <v>0.09</v>
      </c>
      <c r="K28" s="134">
        <v>174.23</v>
      </c>
      <c r="L28" s="134">
        <v>25.65</v>
      </c>
      <c r="M28" s="134">
        <v>97.4</v>
      </c>
      <c r="N28" s="134">
        <v>0</v>
      </c>
      <c r="O28" s="134">
        <v>0.2</v>
      </c>
      <c r="P28" s="134">
        <v>0.38</v>
      </c>
      <c r="Q28" s="134">
        <v>4.09</v>
      </c>
    </row>
    <row r="29" spans="1:17" customFormat="1">
      <c r="A29" s="112" t="s">
        <v>2465</v>
      </c>
      <c r="B29" s="134">
        <v>15.8</v>
      </c>
      <c r="C29" s="134">
        <v>21.8</v>
      </c>
      <c r="D29" s="134">
        <v>25.41</v>
      </c>
      <c r="E29" s="134">
        <v>7.87</v>
      </c>
      <c r="F29" s="134">
        <v>4.3499999999999996</v>
      </c>
      <c r="G29" s="134">
        <v>11.11</v>
      </c>
      <c r="H29" s="134">
        <v>5.74</v>
      </c>
      <c r="I29" s="134">
        <v>3.17</v>
      </c>
      <c r="J29" s="134">
        <v>0.12</v>
      </c>
      <c r="K29" s="134">
        <v>174.3</v>
      </c>
      <c r="L29" s="134">
        <v>25.5</v>
      </c>
      <c r="M29" s="134">
        <v>98.32</v>
      </c>
      <c r="N29" s="134">
        <v>0</v>
      </c>
      <c r="O29" s="134">
        <v>0.2</v>
      </c>
      <c r="P29" s="134">
        <v>0.39</v>
      </c>
      <c r="Q29" s="134">
        <v>4.1100000000000003</v>
      </c>
    </row>
    <row r="30" spans="1:17" customFormat="1">
      <c r="A30" s="112" t="s">
        <v>2466</v>
      </c>
      <c r="B30" s="134">
        <v>15.48</v>
      </c>
      <c r="C30" s="134">
        <v>21.74</v>
      </c>
      <c r="D30" s="134">
        <v>25.12</v>
      </c>
      <c r="E30" s="134">
        <v>8.1300000000000008</v>
      </c>
      <c r="F30" s="134">
        <v>4.32</v>
      </c>
      <c r="G30" s="134">
        <v>12.83</v>
      </c>
      <c r="H30" s="134">
        <v>4.3499999999999996</v>
      </c>
      <c r="I30" s="134">
        <v>3.16</v>
      </c>
      <c r="J30" s="134">
        <v>0.09</v>
      </c>
      <c r="K30" s="134">
        <v>200.27</v>
      </c>
      <c r="L30" s="134">
        <v>25.43</v>
      </c>
      <c r="M30" s="134">
        <v>98.33</v>
      </c>
      <c r="N30" s="134">
        <v>0</v>
      </c>
      <c r="O30" s="134">
        <v>0.4</v>
      </c>
      <c r="P30" s="134">
        <v>0.38</v>
      </c>
      <c r="Q30" s="134">
        <v>4.12</v>
      </c>
    </row>
    <row r="31" spans="1:17" customFormat="1">
      <c r="A31" s="112" t="s">
        <v>2467</v>
      </c>
      <c r="B31" s="134">
        <v>15.36</v>
      </c>
      <c r="C31" s="134">
        <v>22.32</v>
      </c>
      <c r="D31" s="134">
        <v>25.33</v>
      </c>
      <c r="E31" s="134">
        <v>8.33</v>
      </c>
      <c r="F31" s="134">
        <v>4.25</v>
      </c>
      <c r="G31" s="134">
        <v>13.12</v>
      </c>
      <c r="H31" s="134">
        <v>4.3499999999999996</v>
      </c>
      <c r="I31" s="134">
        <v>3.05</v>
      </c>
      <c r="J31" s="134">
        <v>0.13</v>
      </c>
      <c r="K31" s="134">
        <v>236.09</v>
      </c>
      <c r="L31" s="134">
        <v>25.3</v>
      </c>
      <c r="M31" s="134">
        <v>98.69</v>
      </c>
      <c r="N31" s="134">
        <v>0</v>
      </c>
      <c r="O31" s="134">
        <v>0</v>
      </c>
      <c r="P31" s="134">
        <v>0.38</v>
      </c>
      <c r="Q31" s="134">
        <v>4.1500000000000004</v>
      </c>
    </row>
    <row r="32" spans="1:17" customFormat="1">
      <c r="A32" s="112" t="s">
        <v>2468</v>
      </c>
      <c r="B32" s="134">
        <v>15.2</v>
      </c>
      <c r="C32" s="134">
        <v>22.64</v>
      </c>
      <c r="D32" s="134">
        <v>25.37</v>
      </c>
      <c r="E32" s="134">
        <v>8.7200000000000006</v>
      </c>
      <c r="F32" s="134">
        <v>4.01</v>
      </c>
      <c r="G32" s="134">
        <v>13.12</v>
      </c>
      <c r="H32" s="134">
        <v>4.3499999999999996</v>
      </c>
      <c r="I32" s="134">
        <v>3.08</v>
      </c>
      <c r="J32" s="134">
        <v>0.09</v>
      </c>
      <c r="K32" s="134">
        <v>187.66</v>
      </c>
      <c r="L32" s="134">
        <v>25.3</v>
      </c>
      <c r="M32" s="134">
        <v>99.21</v>
      </c>
      <c r="N32" s="134">
        <v>0</v>
      </c>
      <c r="O32" s="134">
        <v>0.2</v>
      </c>
      <c r="P32" s="134">
        <v>0.38</v>
      </c>
      <c r="Q32" s="134">
        <v>4.1399999999999997</v>
      </c>
    </row>
    <row r="33" spans="1:17" customFormat="1">
      <c r="A33" s="112" t="s">
        <v>2469</v>
      </c>
      <c r="B33" s="134">
        <v>15.05</v>
      </c>
      <c r="C33" s="134">
        <v>23.08</v>
      </c>
      <c r="D33" s="134">
        <v>25.48</v>
      </c>
      <c r="E33" s="134">
        <v>8.43</v>
      </c>
      <c r="F33" s="134">
        <v>3.98</v>
      </c>
      <c r="G33" s="134">
        <v>13.12</v>
      </c>
      <c r="H33" s="134">
        <v>4.3499999999999996</v>
      </c>
      <c r="I33" s="134">
        <v>3.03</v>
      </c>
      <c r="J33" s="134">
        <v>0.04</v>
      </c>
      <c r="K33" s="134">
        <v>85.8</v>
      </c>
      <c r="L33" s="134">
        <v>25.33</v>
      </c>
      <c r="M33" s="134">
        <v>99.27</v>
      </c>
      <c r="N33" s="134">
        <v>0</v>
      </c>
      <c r="O33" s="134">
        <v>0</v>
      </c>
      <c r="P33" s="134">
        <v>0.39</v>
      </c>
      <c r="Q33" s="134">
        <v>4.1500000000000004</v>
      </c>
    </row>
    <row r="34" spans="1:17" customFormat="1">
      <c r="A34" s="112" t="s">
        <v>2470</v>
      </c>
      <c r="B34" s="134">
        <v>15.63</v>
      </c>
      <c r="C34" s="134">
        <v>23.75</v>
      </c>
      <c r="D34" s="134">
        <v>26.29</v>
      </c>
      <c r="E34" s="134">
        <v>8.5299999999999994</v>
      </c>
      <c r="F34" s="134">
        <v>3.74</v>
      </c>
      <c r="G34" s="134">
        <v>10.130000000000001</v>
      </c>
      <c r="H34" s="134">
        <v>3.25</v>
      </c>
      <c r="I34" s="134">
        <v>3.03</v>
      </c>
      <c r="J34" s="134">
        <v>0.47</v>
      </c>
      <c r="K34" s="134">
        <v>24.96</v>
      </c>
      <c r="L34" s="134">
        <v>25.36</v>
      </c>
      <c r="M34" s="134">
        <v>99.44</v>
      </c>
      <c r="N34" s="134">
        <v>0</v>
      </c>
      <c r="O34" s="134">
        <v>0.2</v>
      </c>
      <c r="P34" s="134">
        <v>0.41</v>
      </c>
      <c r="Q34" s="134">
        <v>4.1500000000000004</v>
      </c>
    </row>
    <row r="35" spans="1:17" customFormat="1">
      <c r="A35" s="112" t="s">
        <v>2471</v>
      </c>
      <c r="B35" s="134">
        <v>16.29</v>
      </c>
      <c r="C35" s="134">
        <v>24.14</v>
      </c>
      <c r="D35" s="134">
        <v>27.03</v>
      </c>
      <c r="E35" s="134">
        <v>9.07</v>
      </c>
      <c r="F35" s="134">
        <v>4.1399999999999997</v>
      </c>
      <c r="G35" s="134">
        <v>9.6199999999999992</v>
      </c>
      <c r="H35" s="134">
        <v>3.25</v>
      </c>
      <c r="I35" s="134">
        <v>3</v>
      </c>
      <c r="J35" s="134">
        <v>1.02</v>
      </c>
      <c r="K35" s="134">
        <v>26.04</v>
      </c>
      <c r="L35" s="134">
        <v>24.82</v>
      </c>
      <c r="M35" s="134">
        <v>99.15</v>
      </c>
      <c r="N35" s="134">
        <v>0</v>
      </c>
      <c r="O35" s="134">
        <v>0.6</v>
      </c>
      <c r="P35" s="134">
        <v>0.39</v>
      </c>
      <c r="Q35" s="134">
        <v>4.18</v>
      </c>
    </row>
    <row r="36" spans="1:17" customFormat="1">
      <c r="A36" s="112" t="s">
        <v>2472</v>
      </c>
      <c r="B36" s="134">
        <v>16.350000000000001</v>
      </c>
      <c r="C36" s="134">
        <v>24.71</v>
      </c>
      <c r="D36" s="134">
        <v>27.38</v>
      </c>
      <c r="E36" s="134">
        <v>9.1199999999999992</v>
      </c>
      <c r="F36" s="134">
        <v>4.3499999999999996</v>
      </c>
      <c r="G36" s="134">
        <v>9.6199999999999992</v>
      </c>
      <c r="H36" s="134">
        <v>3.25</v>
      </c>
      <c r="I36" s="134">
        <v>3</v>
      </c>
      <c r="J36" s="134">
        <v>0.45</v>
      </c>
      <c r="K36" s="134">
        <v>17.41</v>
      </c>
      <c r="L36" s="134">
        <v>24.1</v>
      </c>
      <c r="M36" s="134">
        <v>99.09</v>
      </c>
      <c r="N36" s="134">
        <v>0</v>
      </c>
      <c r="O36" s="134">
        <v>0.4</v>
      </c>
      <c r="P36" s="134">
        <v>0.4</v>
      </c>
      <c r="Q36" s="134">
        <v>4.2300000000000004</v>
      </c>
    </row>
    <row r="37" spans="1:17" customFormat="1">
      <c r="A37" s="112" t="s">
        <v>2473</v>
      </c>
      <c r="B37" s="134">
        <v>16.21</v>
      </c>
      <c r="C37" s="134">
        <v>25.79</v>
      </c>
      <c r="D37" s="134">
        <v>27.82</v>
      </c>
      <c r="E37" s="134">
        <v>9.3800000000000008</v>
      </c>
      <c r="F37" s="134">
        <v>4.1900000000000004</v>
      </c>
      <c r="G37" s="134">
        <v>9.6199999999999992</v>
      </c>
      <c r="H37" s="134">
        <v>3.25</v>
      </c>
      <c r="I37" s="134">
        <v>3.09</v>
      </c>
      <c r="J37" s="134">
        <v>0.1</v>
      </c>
      <c r="K37" s="134">
        <v>311.12</v>
      </c>
      <c r="L37" s="134">
        <v>23.96</v>
      </c>
      <c r="M37" s="134">
        <v>99.54</v>
      </c>
      <c r="N37" s="134">
        <v>0</v>
      </c>
      <c r="O37" s="134">
        <v>0.4</v>
      </c>
      <c r="P37" s="134">
        <v>0.4</v>
      </c>
      <c r="Q37" s="134">
        <v>4.2300000000000004</v>
      </c>
    </row>
    <row r="38" spans="1:17" customFormat="1">
      <c r="A38" s="112" t="s">
        <v>2474</v>
      </c>
      <c r="B38" s="134">
        <v>16.260000000000002</v>
      </c>
      <c r="C38" s="134">
        <v>26.71</v>
      </c>
      <c r="D38" s="134">
        <v>28.34</v>
      </c>
      <c r="E38" s="134">
        <v>9.34</v>
      </c>
      <c r="F38" s="134">
        <v>4.13</v>
      </c>
      <c r="G38" s="134">
        <v>7.68</v>
      </c>
      <c r="H38" s="134">
        <v>3.38</v>
      </c>
      <c r="I38" s="134">
        <v>3.1</v>
      </c>
      <c r="J38" s="134">
        <v>0.47</v>
      </c>
      <c r="K38" s="134">
        <v>258.63</v>
      </c>
      <c r="L38" s="134">
        <v>23.96</v>
      </c>
      <c r="M38" s="134">
        <v>99.83</v>
      </c>
      <c r="N38" s="134">
        <v>0.9</v>
      </c>
      <c r="O38" s="134">
        <v>0</v>
      </c>
      <c r="P38" s="134">
        <v>0.4</v>
      </c>
      <c r="Q38" s="134">
        <v>4.24</v>
      </c>
    </row>
    <row r="39" spans="1:17" customFormat="1">
      <c r="A39" s="112" t="s">
        <v>2475</v>
      </c>
      <c r="B39" s="134">
        <v>16.059999999999999</v>
      </c>
      <c r="C39" s="134">
        <v>27.15</v>
      </c>
      <c r="D39" s="134">
        <v>28.42</v>
      </c>
      <c r="E39" s="134">
        <v>9.43</v>
      </c>
      <c r="F39" s="134">
        <v>3.99</v>
      </c>
      <c r="G39" s="134">
        <v>7.35</v>
      </c>
      <c r="H39" s="134">
        <v>3.38</v>
      </c>
      <c r="I39" s="134">
        <v>3.09</v>
      </c>
      <c r="J39" s="134">
        <v>0.27</v>
      </c>
      <c r="K39" s="134">
        <v>257.95</v>
      </c>
      <c r="L39" s="134">
        <v>24.09</v>
      </c>
      <c r="M39" s="134">
        <v>100.37</v>
      </c>
      <c r="N39" s="134">
        <v>3.1</v>
      </c>
      <c r="O39" s="134">
        <v>0.4</v>
      </c>
      <c r="P39" s="134">
        <v>0.4</v>
      </c>
      <c r="Q39" s="134">
        <v>4.2699999999999996</v>
      </c>
    </row>
    <row r="40" spans="1:17" customFormat="1">
      <c r="A40" s="112" t="s">
        <v>2476</v>
      </c>
      <c r="B40" s="134">
        <v>15.66</v>
      </c>
      <c r="C40" s="134">
        <v>27.16</v>
      </c>
      <c r="D40" s="134">
        <v>28.1</v>
      </c>
      <c r="E40" s="134">
        <v>9.32</v>
      </c>
      <c r="F40" s="134">
        <v>4.1100000000000003</v>
      </c>
      <c r="G40" s="134">
        <v>7.35</v>
      </c>
      <c r="H40" s="134">
        <v>3.38</v>
      </c>
      <c r="I40" s="134">
        <v>3.07</v>
      </c>
      <c r="J40" s="134">
        <v>0.08</v>
      </c>
      <c r="K40" s="134">
        <v>219.6</v>
      </c>
      <c r="L40" s="134">
        <v>24.27</v>
      </c>
      <c r="M40" s="134">
        <v>100.58</v>
      </c>
      <c r="N40" s="134">
        <v>5.5</v>
      </c>
      <c r="O40" s="134">
        <v>0.2</v>
      </c>
      <c r="P40" s="134">
        <v>0.4</v>
      </c>
      <c r="Q40" s="134">
        <v>4.22</v>
      </c>
    </row>
    <row r="41" spans="1:17" customFormat="1">
      <c r="A41" s="112" t="s">
        <v>2477</v>
      </c>
      <c r="B41" s="134">
        <v>15.29</v>
      </c>
      <c r="C41" s="134">
        <v>27.16</v>
      </c>
      <c r="D41" s="134">
        <v>27.8</v>
      </c>
      <c r="E41" s="134">
        <v>9.39</v>
      </c>
      <c r="F41" s="134">
        <v>3.98</v>
      </c>
      <c r="G41" s="134">
        <v>7.35</v>
      </c>
      <c r="H41" s="134">
        <v>3.38</v>
      </c>
      <c r="I41" s="134">
        <v>3.08</v>
      </c>
      <c r="J41" s="134">
        <v>0.15</v>
      </c>
      <c r="K41" s="134">
        <v>153.88</v>
      </c>
      <c r="L41" s="134">
        <v>24.47</v>
      </c>
      <c r="M41" s="134">
        <v>99.53</v>
      </c>
      <c r="N41" s="134">
        <v>7.9</v>
      </c>
      <c r="O41" s="134">
        <v>0.2</v>
      </c>
      <c r="P41" s="134">
        <v>0.41</v>
      </c>
      <c r="Q41" s="134">
        <v>4.21</v>
      </c>
    </row>
    <row r="42" spans="1:17" customFormat="1">
      <c r="A42" s="112" t="s">
        <v>2478</v>
      </c>
      <c r="B42" s="134">
        <v>15.15</v>
      </c>
      <c r="C42" s="134">
        <v>26.99</v>
      </c>
      <c r="D42" s="134">
        <v>27.6</v>
      </c>
      <c r="E42" s="134">
        <v>9.61</v>
      </c>
      <c r="F42" s="134">
        <v>3.88</v>
      </c>
      <c r="G42" s="134">
        <v>6.35</v>
      </c>
      <c r="H42" s="134">
        <v>2.67</v>
      </c>
      <c r="I42" s="134">
        <v>3.1</v>
      </c>
      <c r="J42" s="134">
        <v>0.05</v>
      </c>
      <c r="K42" s="134">
        <v>147.83000000000001</v>
      </c>
      <c r="L42" s="134">
        <v>24.61</v>
      </c>
      <c r="M42" s="134">
        <v>100.72</v>
      </c>
      <c r="N42" s="134">
        <v>11.8</v>
      </c>
      <c r="O42" s="134">
        <v>0.2</v>
      </c>
      <c r="P42" s="134">
        <v>0.42</v>
      </c>
      <c r="Q42" s="134">
        <v>4.1900000000000004</v>
      </c>
    </row>
    <row r="43" spans="1:17" customFormat="1">
      <c r="A43" s="112" t="s">
        <v>2479</v>
      </c>
      <c r="B43" s="134">
        <v>15.03</v>
      </c>
      <c r="C43" s="134">
        <v>26.95</v>
      </c>
      <c r="D43" s="134">
        <v>27.48</v>
      </c>
      <c r="E43" s="134">
        <v>9.5</v>
      </c>
      <c r="F43" s="134">
        <v>3.92</v>
      </c>
      <c r="G43" s="134">
        <v>6.18</v>
      </c>
      <c r="H43" s="134">
        <v>2.67</v>
      </c>
      <c r="I43" s="134">
        <v>3.12</v>
      </c>
      <c r="J43" s="134">
        <v>0.09</v>
      </c>
      <c r="K43" s="134">
        <v>236.14</v>
      </c>
      <c r="L43" s="134">
        <v>24.79</v>
      </c>
      <c r="M43" s="134">
        <v>99.93</v>
      </c>
      <c r="N43" s="134">
        <v>18.899999999999999</v>
      </c>
      <c r="O43" s="134">
        <v>0.4</v>
      </c>
      <c r="P43" s="134">
        <v>0.41</v>
      </c>
      <c r="Q43" s="134">
        <v>4.17</v>
      </c>
    </row>
    <row r="44" spans="1:17" customFormat="1">
      <c r="A44" s="112" t="s">
        <v>2480</v>
      </c>
      <c r="B44" s="134">
        <v>15.09</v>
      </c>
      <c r="C44" s="134">
        <v>26.77</v>
      </c>
      <c r="D44" s="134">
        <v>27.44</v>
      </c>
      <c r="E44" s="134">
        <v>9.3800000000000008</v>
      </c>
      <c r="F44" s="134">
        <v>3.98</v>
      </c>
      <c r="G44" s="134">
        <v>6.18</v>
      </c>
      <c r="H44" s="134">
        <v>2.67</v>
      </c>
      <c r="I44" s="134">
        <v>3.17</v>
      </c>
      <c r="J44" s="134">
        <v>0.28000000000000003</v>
      </c>
      <c r="K44" s="134">
        <v>257.63</v>
      </c>
      <c r="L44" s="134">
        <v>25.1</v>
      </c>
      <c r="M44" s="134">
        <v>99.97</v>
      </c>
      <c r="N44" s="134">
        <v>30.2</v>
      </c>
      <c r="O44" s="134">
        <v>0.4</v>
      </c>
      <c r="P44" s="134">
        <v>0.42</v>
      </c>
      <c r="Q44" s="134">
        <v>4.16</v>
      </c>
    </row>
    <row r="45" spans="1:17" customFormat="1">
      <c r="A45" s="112" t="s">
        <v>2481</v>
      </c>
      <c r="B45" s="134">
        <v>15.08</v>
      </c>
      <c r="C45" s="134">
        <v>26.55</v>
      </c>
      <c r="D45" s="134">
        <v>27.32</v>
      </c>
      <c r="E45" s="134">
        <v>9.74</v>
      </c>
      <c r="F45" s="134">
        <v>3.97</v>
      </c>
      <c r="G45" s="134">
        <v>6.18</v>
      </c>
      <c r="H45" s="134">
        <v>2.67</v>
      </c>
      <c r="I45" s="134">
        <v>3.25</v>
      </c>
      <c r="J45" s="134">
        <v>0.35</v>
      </c>
      <c r="K45" s="134">
        <v>258.25</v>
      </c>
      <c r="L45" s="134">
        <v>25.38</v>
      </c>
      <c r="M45" s="134">
        <v>100.84</v>
      </c>
      <c r="N45" s="134">
        <v>41.4</v>
      </c>
      <c r="O45" s="134">
        <v>0.4</v>
      </c>
      <c r="P45" s="134">
        <v>0.43</v>
      </c>
      <c r="Q45" s="134">
        <v>4.1500000000000004</v>
      </c>
    </row>
    <row r="46" spans="1:17" customFormat="1">
      <c r="A46" s="112" t="s">
        <v>2482</v>
      </c>
      <c r="B46" s="134">
        <v>15.05</v>
      </c>
      <c r="C46" s="134">
        <v>26.82</v>
      </c>
      <c r="D46" s="134">
        <v>27.43</v>
      </c>
      <c r="E46" s="134">
        <v>9.81</v>
      </c>
      <c r="F46" s="134">
        <v>3.86</v>
      </c>
      <c r="G46" s="134">
        <v>7.42</v>
      </c>
      <c r="H46" s="134">
        <v>3.06</v>
      </c>
      <c r="I46" s="134">
        <v>3.28</v>
      </c>
      <c r="J46" s="134">
        <v>0.32</v>
      </c>
      <c r="K46" s="134">
        <v>263.88</v>
      </c>
      <c r="L46" s="134">
        <v>25.51</v>
      </c>
      <c r="M46" s="134">
        <v>101.37</v>
      </c>
      <c r="N46" s="134">
        <v>50.7</v>
      </c>
      <c r="O46" s="134">
        <v>0.2</v>
      </c>
      <c r="P46" s="134">
        <v>0.44</v>
      </c>
      <c r="Q46" s="134">
        <v>4.16</v>
      </c>
    </row>
    <row r="47" spans="1:17" customFormat="1">
      <c r="A47" s="112" t="s">
        <v>2483</v>
      </c>
      <c r="B47" s="134">
        <v>15.62</v>
      </c>
      <c r="C47" s="134">
        <v>25.14</v>
      </c>
      <c r="D47" s="134">
        <v>27.01</v>
      </c>
      <c r="E47" s="134">
        <v>9.33</v>
      </c>
      <c r="F47" s="134">
        <v>4.45</v>
      </c>
      <c r="G47" s="134">
        <v>7.62</v>
      </c>
      <c r="H47" s="134">
        <v>3.06</v>
      </c>
      <c r="I47" s="134">
        <v>3.3</v>
      </c>
      <c r="J47" s="134">
        <v>0.36</v>
      </c>
      <c r="K47" s="134">
        <v>265.04000000000002</v>
      </c>
      <c r="L47" s="134">
        <v>25.67</v>
      </c>
      <c r="M47" s="134">
        <v>101.06</v>
      </c>
      <c r="N47" s="134">
        <v>90.2</v>
      </c>
      <c r="O47" s="134">
        <v>0.2</v>
      </c>
      <c r="P47" s="134">
        <v>0.41</v>
      </c>
      <c r="Q47" s="134">
        <v>4.1900000000000004</v>
      </c>
    </row>
    <row r="48" spans="1:17" customFormat="1">
      <c r="A48" s="112" t="s">
        <v>2484</v>
      </c>
      <c r="B48" s="134">
        <v>15.95</v>
      </c>
      <c r="C48" s="134">
        <v>23.03</v>
      </c>
      <c r="D48" s="134">
        <v>26.18</v>
      </c>
      <c r="E48" s="134">
        <v>9.2100000000000009</v>
      </c>
      <c r="F48" s="134">
        <v>4.83</v>
      </c>
      <c r="G48" s="134">
        <v>7.62</v>
      </c>
      <c r="H48" s="134">
        <v>3.06</v>
      </c>
      <c r="I48" s="134">
        <v>3.3</v>
      </c>
      <c r="J48" s="134">
        <v>0.25</v>
      </c>
      <c r="K48" s="134">
        <v>276.13</v>
      </c>
      <c r="L48" s="134">
        <v>25.91</v>
      </c>
      <c r="M48" s="134">
        <v>100.18</v>
      </c>
      <c r="N48" s="134">
        <v>106.8</v>
      </c>
      <c r="O48" s="134">
        <v>0</v>
      </c>
      <c r="P48" s="134">
        <v>0.38</v>
      </c>
      <c r="Q48" s="134">
        <v>4.18</v>
      </c>
    </row>
    <row r="49" spans="1:17" customFormat="1">
      <c r="A49" s="112" t="s">
        <v>2485</v>
      </c>
      <c r="B49" s="134">
        <v>16.09</v>
      </c>
      <c r="C49" s="134">
        <v>22.11</v>
      </c>
      <c r="D49" s="134">
        <v>25.81</v>
      </c>
      <c r="E49" s="134">
        <v>7.41</v>
      </c>
      <c r="F49" s="134">
        <v>4.9000000000000004</v>
      </c>
      <c r="G49" s="134">
        <v>7.62</v>
      </c>
      <c r="H49" s="134">
        <v>3.06</v>
      </c>
      <c r="I49" s="134">
        <v>3.3</v>
      </c>
      <c r="J49" s="134">
        <v>0.4</v>
      </c>
      <c r="K49" s="134">
        <v>259.20999999999998</v>
      </c>
      <c r="L49" s="134">
        <v>26.21</v>
      </c>
      <c r="M49" s="134">
        <v>99.24</v>
      </c>
      <c r="N49" s="134">
        <v>171.3</v>
      </c>
      <c r="O49" s="134">
        <v>0</v>
      </c>
      <c r="P49" s="134">
        <v>0.38</v>
      </c>
      <c r="Q49" s="134">
        <v>4.1399999999999997</v>
      </c>
    </row>
    <row r="50" spans="1:17" customFormat="1">
      <c r="A50" s="112" t="s">
        <v>2486</v>
      </c>
      <c r="B50" s="134">
        <v>16.12</v>
      </c>
      <c r="C50" s="134">
        <v>21.06</v>
      </c>
      <c r="D50" s="134">
        <v>25.28</v>
      </c>
      <c r="E50" s="134">
        <v>8.4</v>
      </c>
      <c r="F50" s="134">
        <v>5.13</v>
      </c>
      <c r="G50" s="134">
        <v>10.45</v>
      </c>
      <c r="H50" s="134">
        <v>6.49</v>
      </c>
      <c r="I50" s="134">
        <v>3.28</v>
      </c>
      <c r="J50" s="134">
        <v>0.43</v>
      </c>
      <c r="K50" s="134">
        <v>258.86</v>
      </c>
      <c r="L50" s="134">
        <v>26.52</v>
      </c>
      <c r="M50" s="134">
        <v>98.49</v>
      </c>
      <c r="N50" s="134">
        <v>241.4</v>
      </c>
      <c r="O50" s="134">
        <v>0</v>
      </c>
      <c r="P50" s="134">
        <v>0.36</v>
      </c>
      <c r="Q50" s="134">
        <v>4.1100000000000003</v>
      </c>
    </row>
    <row r="51" spans="1:17" customFormat="1">
      <c r="A51" s="112" t="s">
        <v>2487</v>
      </c>
      <c r="B51" s="134">
        <v>16.079999999999998</v>
      </c>
      <c r="C51" s="134">
        <v>20.57</v>
      </c>
      <c r="D51" s="134">
        <v>24.99</v>
      </c>
      <c r="E51" s="134">
        <v>8.17</v>
      </c>
      <c r="F51" s="134">
        <v>5.09</v>
      </c>
      <c r="G51" s="134">
        <v>10.92</v>
      </c>
      <c r="H51" s="134">
        <v>6.49</v>
      </c>
      <c r="I51" s="134">
        <v>3.27</v>
      </c>
      <c r="J51" s="134">
        <v>0.71</v>
      </c>
      <c r="K51" s="134">
        <v>264.10000000000002</v>
      </c>
      <c r="L51" s="134">
        <v>26.98</v>
      </c>
      <c r="M51" s="134">
        <v>94.42</v>
      </c>
      <c r="N51" s="134">
        <v>393.8</v>
      </c>
      <c r="O51" s="134">
        <v>0</v>
      </c>
      <c r="P51" s="134">
        <v>0.36</v>
      </c>
      <c r="Q51" s="134">
        <v>4.12</v>
      </c>
    </row>
    <row r="52" spans="1:17" customFormat="1">
      <c r="A52" s="112" t="s">
        <v>2488</v>
      </c>
      <c r="B52" s="134">
        <v>16.09</v>
      </c>
      <c r="C52" s="134">
        <v>22.48</v>
      </c>
      <c r="D52" s="134">
        <v>26</v>
      </c>
      <c r="E52" s="134">
        <v>8.58</v>
      </c>
      <c r="F52" s="134">
        <v>4.28</v>
      </c>
      <c r="G52" s="134">
        <v>10.92</v>
      </c>
      <c r="H52" s="134">
        <v>6.49</v>
      </c>
      <c r="I52" s="134">
        <v>3.29</v>
      </c>
      <c r="J52" s="134">
        <v>0.52</v>
      </c>
      <c r="K52" s="134">
        <v>272.58</v>
      </c>
      <c r="L52" s="134">
        <v>27.98</v>
      </c>
      <c r="M52" s="134">
        <v>90.5</v>
      </c>
      <c r="N52" s="134">
        <v>665</v>
      </c>
      <c r="O52" s="134">
        <v>0</v>
      </c>
      <c r="P52" s="134">
        <v>0.4</v>
      </c>
      <c r="Q52" s="134">
        <v>4.08</v>
      </c>
    </row>
    <row r="53" spans="1:17" customFormat="1">
      <c r="A53" s="112" t="s">
        <v>2489</v>
      </c>
      <c r="B53" s="134">
        <v>16.23</v>
      </c>
      <c r="C53" s="134">
        <v>23.82</v>
      </c>
      <c r="D53" s="134">
        <v>26.81</v>
      </c>
      <c r="E53" s="134">
        <v>8.8000000000000007</v>
      </c>
      <c r="F53" s="134">
        <v>4.03</v>
      </c>
      <c r="G53" s="134">
        <v>10.92</v>
      </c>
      <c r="H53" s="134">
        <v>6.49</v>
      </c>
      <c r="I53" s="134">
        <v>3.35</v>
      </c>
      <c r="J53" s="134">
        <v>0.49</v>
      </c>
      <c r="K53" s="134">
        <v>271.8</v>
      </c>
      <c r="L53" s="134">
        <v>28.99</v>
      </c>
      <c r="M53" s="134">
        <v>85.2</v>
      </c>
      <c r="N53" s="134">
        <v>704</v>
      </c>
      <c r="O53" s="134">
        <v>0</v>
      </c>
      <c r="P53" s="134">
        <v>0.44</v>
      </c>
      <c r="Q53" s="134">
        <v>4.12</v>
      </c>
    </row>
    <row r="54" spans="1:17" customFormat="1">
      <c r="A54" s="112" t="s">
        <v>2490</v>
      </c>
      <c r="B54" s="134">
        <v>16.28</v>
      </c>
      <c r="C54" s="134">
        <v>22.71</v>
      </c>
      <c r="D54" s="134">
        <v>26.27</v>
      </c>
      <c r="E54" s="134">
        <v>9.4700000000000006</v>
      </c>
      <c r="F54" s="134">
        <v>4.91</v>
      </c>
      <c r="G54" s="134">
        <v>15.9</v>
      </c>
      <c r="H54" s="134">
        <v>7.58</v>
      </c>
      <c r="I54" s="134">
        <v>3.55</v>
      </c>
      <c r="J54" s="134">
        <v>0.45</v>
      </c>
      <c r="K54" s="134">
        <v>273.44</v>
      </c>
      <c r="L54" s="134">
        <v>29.25</v>
      </c>
      <c r="M54" s="134">
        <v>82.99</v>
      </c>
      <c r="N54" s="134">
        <v>680.3</v>
      </c>
      <c r="O54" s="134">
        <v>0</v>
      </c>
      <c r="P54" s="134">
        <v>0.46</v>
      </c>
      <c r="Q54" s="134">
        <v>4.1399999999999997</v>
      </c>
    </row>
    <row r="55" spans="1:17" customFormat="1">
      <c r="A55" s="112" t="s">
        <v>2491</v>
      </c>
      <c r="B55" s="134">
        <v>16.29</v>
      </c>
      <c r="C55" s="134">
        <v>22.17</v>
      </c>
      <c r="D55" s="134">
        <v>26</v>
      </c>
      <c r="E55" s="134">
        <v>9.4499999999999993</v>
      </c>
      <c r="F55" s="134">
        <v>4.97</v>
      </c>
      <c r="G55" s="134">
        <v>16.739999999999998</v>
      </c>
      <c r="H55" s="134">
        <v>7.58</v>
      </c>
      <c r="I55" s="134">
        <v>3.69</v>
      </c>
      <c r="J55" s="134">
        <v>0.46</v>
      </c>
      <c r="K55" s="134">
        <v>320.52</v>
      </c>
      <c r="L55" s="134">
        <v>29.88</v>
      </c>
      <c r="M55" s="134">
        <v>79.69</v>
      </c>
      <c r="N55" s="134">
        <v>843.9</v>
      </c>
      <c r="O55" s="134">
        <v>0</v>
      </c>
      <c r="P55" s="134">
        <v>0.47</v>
      </c>
      <c r="Q55" s="134">
        <v>4.1399999999999997</v>
      </c>
    </row>
    <row r="56" spans="1:17" customFormat="1">
      <c r="A56" s="112" t="s">
        <v>2492</v>
      </c>
      <c r="B56" s="134">
        <v>16.11</v>
      </c>
      <c r="C56" s="134">
        <v>22.18</v>
      </c>
      <c r="D56" s="134">
        <v>25.86</v>
      </c>
      <c r="E56" s="134">
        <v>8.7899999999999991</v>
      </c>
      <c r="F56" s="134">
        <v>5.35</v>
      </c>
      <c r="G56" s="134">
        <v>16.739999999999998</v>
      </c>
      <c r="H56" s="134">
        <v>7.58</v>
      </c>
      <c r="I56" s="134">
        <v>3.81</v>
      </c>
      <c r="J56" s="134">
        <v>0.59</v>
      </c>
      <c r="K56" s="134">
        <v>270.08</v>
      </c>
      <c r="L56" s="134">
        <v>29.93</v>
      </c>
      <c r="M56" s="134">
        <v>77.040000000000006</v>
      </c>
      <c r="N56" s="134">
        <v>808.9</v>
      </c>
      <c r="O56" s="134">
        <v>0</v>
      </c>
      <c r="P56" s="134">
        <v>0.47</v>
      </c>
      <c r="Q56" s="134">
        <v>4.13</v>
      </c>
    </row>
    <row r="57" spans="1:17" customFormat="1">
      <c r="A57" s="112" t="s">
        <v>2493</v>
      </c>
      <c r="B57" s="134">
        <v>15.73</v>
      </c>
      <c r="C57" s="134">
        <v>22.3</v>
      </c>
      <c r="D57" s="134">
        <v>25.62</v>
      </c>
      <c r="E57" s="134">
        <v>8.93</v>
      </c>
      <c r="F57" s="134">
        <v>5.67</v>
      </c>
      <c r="G57" s="134">
        <v>16.739999999999998</v>
      </c>
      <c r="H57" s="134">
        <v>7.58</v>
      </c>
      <c r="I57" s="134">
        <v>3.91</v>
      </c>
      <c r="J57" s="134">
        <v>0.33</v>
      </c>
      <c r="K57" s="134">
        <v>274.95999999999998</v>
      </c>
      <c r="L57" s="134">
        <v>30.34</v>
      </c>
      <c r="M57" s="134">
        <v>75.989999999999995</v>
      </c>
      <c r="N57" s="134">
        <v>805.6</v>
      </c>
      <c r="O57" s="134">
        <v>0</v>
      </c>
      <c r="P57" s="134">
        <v>0.48</v>
      </c>
      <c r="Q57" s="134">
        <v>4.09</v>
      </c>
    </row>
    <row r="58" spans="1:17" customFormat="1">
      <c r="A58" s="112" t="s">
        <v>2494</v>
      </c>
      <c r="B58" s="134">
        <v>15.16</v>
      </c>
      <c r="C58" s="134">
        <v>22.18</v>
      </c>
      <c r="D58" s="134">
        <v>25.1</v>
      </c>
      <c r="E58" s="134">
        <v>8.74</v>
      </c>
      <c r="F58" s="134">
        <v>5.65</v>
      </c>
      <c r="G58" s="134">
        <v>24.14</v>
      </c>
      <c r="H58" s="134">
        <v>10.73</v>
      </c>
      <c r="I58" s="134">
        <v>3.96</v>
      </c>
      <c r="J58" s="134">
        <v>0.38</v>
      </c>
      <c r="K58" s="134">
        <v>268.73</v>
      </c>
      <c r="L58" s="134">
        <v>30.69</v>
      </c>
      <c r="M58" s="134">
        <v>74.67</v>
      </c>
      <c r="N58" s="134">
        <v>682.5</v>
      </c>
      <c r="O58" s="134">
        <v>0</v>
      </c>
      <c r="P58" s="134">
        <v>0.48</v>
      </c>
      <c r="Q58" s="134">
        <v>4.05</v>
      </c>
    </row>
    <row r="59" spans="1:17" customFormat="1">
      <c r="A59" s="112" t="s">
        <v>2495</v>
      </c>
      <c r="B59" s="134">
        <v>14.69</v>
      </c>
      <c r="C59" s="134">
        <v>22.16</v>
      </c>
      <c r="D59" s="134">
        <v>24.71</v>
      </c>
      <c r="E59" s="134">
        <v>8.31</v>
      </c>
      <c r="F59" s="134">
        <v>5.47</v>
      </c>
      <c r="G59" s="134">
        <v>25.39</v>
      </c>
      <c r="H59" s="134">
        <v>10.73</v>
      </c>
      <c r="I59" s="134">
        <v>3.98</v>
      </c>
      <c r="J59" s="134">
        <v>0.42</v>
      </c>
      <c r="K59" s="134">
        <v>280.55</v>
      </c>
      <c r="L59" s="134">
        <v>30.59</v>
      </c>
      <c r="M59" s="134">
        <v>75.27</v>
      </c>
      <c r="N59" s="134">
        <v>732.2</v>
      </c>
      <c r="O59" s="134">
        <v>0</v>
      </c>
      <c r="P59" s="134">
        <v>0.47</v>
      </c>
      <c r="Q59" s="134">
        <v>4.01</v>
      </c>
    </row>
    <row r="60" spans="1:17" customFormat="1">
      <c r="A60" s="112" t="s">
        <v>2496</v>
      </c>
      <c r="B60" s="134">
        <v>13.97</v>
      </c>
      <c r="C60" s="134">
        <v>22.32</v>
      </c>
      <c r="D60" s="134">
        <v>24.21</v>
      </c>
      <c r="E60" s="134">
        <v>8.49</v>
      </c>
      <c r="F60" s="134">
        <v>6.04</v>
      </c>
      <c r="G60" s="134">
        <v>25.39</v>
      </c>
      <c r="H60" s="134">
        <v>10.73</v>
      </c>
      <c r="I60" s="134">
        <v>3.99</v>
      </c>
      <c r="J60" s="134">
        <v>0.26</v>
      </c>
      <c r="K60" s="134">
        <v>279.92</v>
      </c>
      <c r="L60" s="134">
        <v>30.83</v>
      </c>
      <c r="M60" s="134">
        <v>74.37</v>
      </c>
      <c r="N60" s="134">
        <v>506.1</v>
      </c>
      <c r="O60" s="134">
        <v>0</v>
      </c>
      <c r="P60" s="134">
        <v>0.48</v>
      </c>
      <c r="Q60" s="134">
        <v>3.98</v>
      </c>
    </row>
    <row r="61" spans="1:17" customFormat="1">
      <c r="A61" s="112" t="s">
        <v>2497</v>
      </c>
      <c r="B61" s="134">
        <v>13.33</v>
      </c>
      <c r="C61" s="134">
        <v>22.56</v>
      </c>
      <c r="D61" s="134">
        <v>23.83</v>
      </c>
      <c r="E61" s="134">
        <v>8.49</v>
      </c>
      <c r="F61" s="134">
        <v>6.03</v>
      </c>
      <c r="G61" s="134">
        <v>25.39</v>
      </c>
      <c r="H61" s="134">
        <v>10.73</v>
      </c>
      <c r="I61" s="134">
        <v>4.05</v>
      </c>
      <c r="J61" s="134">
        <v>0.21</v>
      </c>
      <c r="K61" s="134">
        <v>290.10000000000002</v>
      </c>
      <c r="L61" s="134">
        <v>30.4</v>
      </c>
      <c r="M61" s="134">
        <v>74.53</v>
      </c>
      <c r="N61" s="134">
        <v>268.5</v>
      </c>
      <c r="O61" s="134">
        <v>0</v>
      </c>
      <c r="P61" s="134">
        <v>0.49</v>
      </c>
      <c r="Q61" s="134">
        <v>3.94</v>
      </c>
    </row>
    <row r="62" spans="1:17" customFormat="1">
      <c r="A62" s="112" t="s">
        <v>2498</v>
      </c>
      <c r="B62" s="134">
        <v>12.69</v>
      </c>
      <c r="C62" s="134">
        <v>22.64</v>
      </c>
      <c r="D62" s="134">
        <v>23.36</v>
      </c>
      <c r="E62" s="134">
        <v>9.0500000000000007</v>
      </c>
      <c r="F62" s="134">
        <v>6.83</v>
      </c>
      <c r="G62" s="134">
        <v>22.93</v>
      </c>
      <c r="H62" s="134">
        <v>10.28</v>
      </c>
      <c r="I62" s="134">
        <v>4.07</v>
      </c>
      <c r="J62" s="134">
        <v>0.35</v>
      </c>
      <c r="K62" s="134">
        <v>272.22000000000003</v>
      </c>
      <c r="L62" s="134">
        <v>30.02</v>
      </c>
      <c r="M62" s="134">
        <v>75.44</v>
      </c>
      <c r="N62" s="134">
        <v>334.4</v>
      </c>
      <c r="O62" s="134">
        <v>0</v>
      </c>
      <c r="P62" s="134">
        <v>0.5</v>
      </c>
      <c r="Q62" s="134">
        <v>3.93</v>
      </c>
    </row>
    <row r="63" spans="1:17" customFormat="1">
      <c r="A63" s="112" t="s">
        <v>2499</v>
      </c>
      <c r="B63" s="134">
        <v>12.33</v>
      </c>
      <c r="C63" s="134">
        <v>22.47</v>
      </c>
      <c r="D63" s="134">
        <v>22.97</v>
      </c>
      <c r="E63" s="134">
        <v>8.6199999999999992</v>
      </c>
      <c r="F63" s="134">
        <v>6.66</v>
      </c>
      <c r="G63" s="134">
        <v>22.51</v>
      </c>
      <c r="H63" s="134">
        <v>10.28</v>
      </c>
      <c r="I63" s="134">
        <v>4.08</v>
      </c>
      <c r="J63" s="134">
        <v>0.47</v>
      </c>
      <c r="K63" s="134">
        <v>268.91000000000003</v>
      </c>
      <c r="L63" s="134">
        <v>30.37</v>
      </c>
      <c r="M63" s="134">
        <v>74.17</v>
      </c>
      <c r="N63" s="134">
        <v>440.4</v>
      </c>
      <c r="O63" s="134">
        <v>0</v>
      </c>
      <c r="P63" s="134">
        <v>0.49</v>
      </c>
      <c r="Q63" s="134">
        <v>3.91</v>
      </c>
    </row>
    <row r="64" spans="1:17" customFormat="1">
      <c r="A64" s="112" t="s">
        <v>2500</v>
      </c>
      <c r="B64" s="134">
        <v>11.87</v>
      </c>
      <c r="C64" s="134">
        <v>22.79</v>
      </c>
      <c r="D64" s="134">
        <v>22.77</v>
      </c>
      <c r="E64" s="134">
        <v>7.96</v>
      </c>
      <c r="F64" s="134">
        <v>5.78</v>
      </c>
      <c r="G64" s="134">
        <v>22.51</v>
      </c>
      <c r="H64" s="134">
        <v>10.28</v>
      </c>
      <c r="I64" s="134">
        <v>4.13</v>
      </c>
      <c r="J64" s="134">
        <v>0.43</v>
      </c>
      <c r="K64" s="134">
        <v>268.79000000000002</v>
      </c>
      <c r="L64" s="134">
        <v>30.81</v>
      </c>
      <c r="M64" s="134">
        <v>72.69</v>
      </c>
      <c r="N64" s="134">
        <v>461</v>
      </c>
      <c r="O64" s="134">
        <v>0</v>
      </c>
      <c r="P64" s="134">
        <v>0.49</v>
      </c>
      <c r="Q64" s="134">
        <v>3.84</v>
      </c>
    </row>
    <row r="65" spans="1:17" customFormat="1">
      <c r="A65" s="112" t="s">
        <v>2501</v>
      </c>
      <c r="B65" s="134">
        <v>11.33</v>
      </c>
      <c r="C65" s="134">
        <v>22.67</v>
      </c>
      <c r="D65" s="134">
        <v>22.28</v>
      </c>
      <c r="E65" s="134">
        <v>8.31</v>
      </c>
      <c r="F65" s="134">
        <v>6.45</v>
      </c>
      <c r="G65" s="134">
        <v>22.51</v>
      </c>
      <c r="H65" s="134">
        <v>10.28</v>
      </c>
      <c r="I65" s="134">
        <v>4.12</v>
      </c>
      <c r="J65" s="134">
        <v>0.23</v>
      </c>
      <c r="K65" s="134">
        <v>231.86</v>
      </c>
      <c r="L65" s="134">
        <v>30.55</v>
      </c>
      <c r="M65" s="134">
        <v>76.239999999999995</v>
      </c>
      <c r="N65" s="134">
        <v>314.10000000000002</v>
      </c>
      <c r="O65" s="134">
        <v>0</v>
      </c>
      <c r="P65" s="134">
        <v>0.52</v>
      </c>
      <c r="Q65" s="134">
        <v>3.79</v>
      </c>
    </row>
    <row r="66" spans="1:17" customFormat="1">
      <c r="A66" s="112" t="s">
        <v>2502</v>
      </c>
      <c r="B66" s="134">
        <v>10.3</v>
      </c>
      <c r="C66" s="134">
        <v>23.05</v>
      </c>
      <c r="D66" s="134">
        <v>21.66</v>
      </c>
      <c r="E66" s="134">
        <v>8.93</v>
      </c>
      <c r="F66" s="134">
        <v>7.79</v>
      </c>
      <c r="G66" s="134">
        <v>24.89</v>
      </c>
      <c r="H66" s="134">
        <v>9.93</v>
      </c>
      <c r="I66" s="134">
        <v>4.1500000000000004</v>
      </c>
      <c r="J66" s="134">
        <v>0.55000000000000004</v>
      </c>
      <c r="K66" s="134">
        <v>252.83</v>
      </c>
      <c r="L66" s="134">
        <v>30.96</v>
      </c>
      <c r="M66" s="134">
        <v>73.739999999999995</v>
      </c>
      <c r="N66" s="134">
        <v>603.1</v>
      </c>
      <c r="O66" s="134">
        <v>0</v>
      </c>
      <c r="P66" s="134">
        <v>0.54</v>
      </c>
      <c r="Q66" s="134">
        <v>3.76</v>
      </c>
    </row>
    <row r="67" spans="1:17" customFormat="1">
      <c r="A67" s="112" t="s">
        <v>2503</v>
      </c>
      <c r="B67" s="134">
        <v>9.59</v>
      </c>
      <c r="C67" s="134">
        <v>23.51</v>
      </c>
      <c r="D67" s="134">
        <v>21.32</v>
      </c>
      <c r="E67" s="134">
        <v>8.5500000000000007</v>
      </c>
      <c r="F67" s="134">
        <v>6.44</v>
      </c>
      <c r="G67" s="134">
        <v>25.3</v>
      </c>
      <c r="H67" s="134">
        <v>9.93</v>
      </c>
      <c r="I67" s="134">
        <v>4.1100000000000003</v>
      </c>
      <c r="J67" s="134">
        <v>0.69</v>
      </c>
      <c r="K67" s="134">
        <v>261.68</v>
      </c>
      <c r="L67" s="134">
        <v>30.69</v>
      </c>
      <c r="M67" s="134">
        <v>74.790000000000006</v>
      </c>
      <c r="N67" s="134">
        <v>341</v>
      </c>
      <c r="O67" s="134">
        <v>0</v>
      </c>
      <c r="P67" s="134">
        <v>0.55000000000000004</v>
      </c>
      <c r="Q67" s="134">
        <v>3.71</v>
      </c>
    </row>
    <row r="68" spans="1:17" customFormat="1">
      <c r="A68" s="112" t="s">
        <v>2504</v>
      </c>
      <c r="B68" s="134">
        <v>8.8699999999999992</v>
      </c>
      <c r="C68" s="134">
        <v>23.72</v>
      </c>
      <c r="D68" s="134">
        <v>20.86</v>
      </c>
      <c r="E68" s="134">
        <v>8.11</v>
      </c>
      <c r="F68" s="134">
        <v>6.22</v>
      </c>
      <c r="G68" s="134">
        <v>25.3</v>
      </c>
      <c r="H68" s="134">
        <v>9.93</v>
      </c>
      <c r="I68" s="134">
        <v>4.1399999999999997</v>
      </c>
      <c r="J68" s="134">
        <v>0.4</v>
      </c>
      <c r="K68" s="134">
        <v>246.7</v>
      </c>
      <c r="L68" s="134">
        <v>30.47</v>
      </c>
      <c r="M68" s="134">
        <v>76.959999999999994</v>
      </c>
      <c r="N68" s="134">
        <v>240.8</v>
      </c>
      <c r="O68" s="134">
        <v>0</v>
      </c>
      <c r="P68" s="134">
        <v>0.56000000000000005</v>
      </c>
      <c r="Q68" s="134">
        <v>3.69</v>
      </c>
    </row>
    <row r="69" spans="1:17" customFormat="1">
      <c r="A69" s="112" t="s">
        <v>2505</v>
      </c>
      <c r="B69" s="134">
        <v>8.39</v>
      </c>
      <c r="C69" s="134">
        <v>23.48</v>
      </c>
      <c r="D69" s="134">
        <v>20.350000000000001</v>
      </c>
      <c r="E69" s="134">
        <v>7.89</v>
      </c>
      <c r="F69" s="134">
        <v>6.27</v>
      </c>
      <c r="G69" s="134">
        <v>25.3</v>
      </c>
      <c r="H69" s="134">
        <v>9.93</v>
      </c>
      <c r="I69" s="134">
        <v>4.18</v>
      </c>
      <c r="J69" s="134">
        <v>0.24</v>
      </c>
      <c r="K69" s="134">
        <v>237.14</v>
      </c>
      <c r="L69" s="134">
        <v>30.37</v>
      </c>
      <c r="M69" s="134">
        <v>78.06</v>
      </c>
      <c r="N69" s="134">
        <v>184.7</v>
      </c>
      <c r="O69" s="134">
        <v>0</v>
      </c>
      <c r="P69" s="134">
        <v>0.56000000000000005</v>
      </c>
      <c r="Q69" s="134">
        <v>3.66</v>
      </c>
    </row>
    <row r="70" spans="1:17" customFormat="1">
      <c r="A70" s="112" t="s">
        <v>2506</v>
      </c>
      <c r="B70" s="134">
        <v>8</v>
      </c>
      <c r="C70" s="134">
        <v>23.78</v>
      </c>
      <c r="D70" s="134">
        <v>20.190000000000001</v>
      </c>
      <c r="E70" s="134">
        <v>8.5500000000000007</v>
      </c>
      <c r="F70" s="134">
        <v>5.81</v>
      </c>
      <c r="G70" s="134">
        <v>26.64</v>
      </c>
      <c r="H70" s="134">
        <v>10.59</v>
      </c>
      <c r="I70" s="134">
        <v>4.22</v>
      </c>
      <c r="J70" s="134">
        <v>0.16</v>
      </c>
      <c r="K70" s="134">
        <v>177.2</v>
      </c>
      <c r="L70" s="134">
        <v>30.5</v>
      </c>
      <c r="M70" s="134">
        <v>77.8</v>
      </c>
      <c r="N70" s="134">
        <v>284</v>
      </c>
      <c r="O70" s="134">
        <v>0</v>
      </c>
      <c r="P70" s="134">
        <v>0.56999999999999995</v>
      </c>
      <c r="Q70" s="134">
        <v>3.64</v>
      </c>
    </row>
    <row r="71" spans="1:17" customFormat="1">
      <c r="A71" s="112" t="s">
        <v>2507</v>
      </c>
      <c r="B71" s="134">
        <v>7.71</v>
      </c>
      <c r="C71" s="134">
        <v>23.66</v>
      </c>
      <c r="D71" s="134">
        <v>19.899999999999999</v>
      </c>
      <c r="E71" s="134">
        <v>8.15</v>
      </c>
      <c r="F71" s="134">
        <v>6.1</v>
      </c>
      <c r="G71" s="134">
        <v>26.87</v>
      </c>
      <c r="H71" s="134">
        <v>10.59</v>
      </c>
      <c r="I71" s="134">
        <v>4.2300000000000004</v>
      </c>
      <c r="J71" s="134">
        <v>0.25</v>
      </c>
      <c r="K71" s="134">
        <v>235.93</v>
      </c>
      <c r="L71" s="134">
        <v>30.68</v>
      </c>
      <c r="M71" s="134">
        <v>76.040000000000006</v>
      </c>
      <c r="N71" s="134">
        <v>189.3</v>
      </c>
      <c r="O71" s="134">
        <v>0</v>
      </c>
      <c r="P71" s="134">
        <v>0.57999999999999996</v>
      </c>
      <c r="Q71" s="134">
        <v>3.63</v>
      </c>
    </row>
    <row r="72" spans="1:17" customFormat="1">
      <c r="A72" s="112" t="s">
        <v>2508</v>
      </c>
      <c r="B72" s="134">
        <v>7.48</v>
      </c>
      <c r="C72" s="134">
        <v>23.44</v>
      </c>
      <c r="D72" s="134">
        <v>19.600000000000001</v>
      </c>
      <c r="E72" s="134">
        <v>8.5299999999999994</v>
      </c>
      <c r="F72" s="134">
        <v>6.66</v>
      </c>
      <c r="G72" s="134">
        <v>26.87</v>
      </c>
      <c r="H72" s="134">
        <v>10.59</v>
      </c>
      <c r="I72" s="134">
        <v>4.25</v>
      </c>
      <c r="J72" s="134">
        <v>0.48</v>
      </c>
      <c r="K72" s="134">
        <v>263.55</v>
      </c>
      <c r="L72" s="134">
        <v>30.31</v>
      </c>
      <c r="M72" s="134">
        <v>75.739999999999995</v>
      </c>
      <c r="N72" s="134">
        <v>110.9</v>
      </c>
      <c r="O72" s="134">
        <v>0</v>
      </c>
      <c r="P72" s="134">
        <v>0.59</v>
      </c>
      <c r="Q72" s="134">
        <v>3.63</v>
      </c>
    </row>
    <row r="73" spans="1:17" customFormat="1">
      <c r="A73" s="112" t="s">
        <v>2509</v>
      </c>
      <c r="B73" s="134">
        <v>7.21</v>
      </c>
      <c r="C73" s="134">
        <v>23.47</v>
      </c>
      <c r="D73" s="134">
        <v>19.39</v>
      </c>
      <c r="E73" s="134">
        <v>8.65</v>
      </c>
      <c r="F73" s="134">
        <v>7.11</v>
      </c>
      <c r="G73" s="134">
        <v>26.87</v>
      </c>
      <c r="H73" s="134">
        <v>10.59</v>
      </c>
      <c r="I73" s="134">
        <v>4.25</v>
      </c>
      <c r="J73" s="134">
        <v>0.32</v>
      </c>
      <c r="K73" s="134">
        <v>247.39</v>
      </c>
      <c r="L73" s="134">
        <v>29.72</v>
      </c>
      <c r="M73" s="134">
        <v>79.53</v>
      </c>
      <c r="N73" s="134">
        <v>82.3</v>
      </c>
      <c r="O73" s="134">
        <v>0</v>
      </c>
      <c r="P73" s="134">
        <v>0.6</v>
      </c>
      <c r="Q73" s="134">
        <v>3.61</v>
      </c>
    </row>
    <row r="74" spans="1:17" customFormat="1">
      <c r="A74" s="112" t="s">
        <v>2510</v>
      </c>
      <c r="B74" s="134">
        <v>6.91</v>
      </c>
      <c r="C74" s="134">
        <v>23.51</v>
      </c>
      <c r="D74" s="134">
        <v>19.170000000000002</v>
      </c>
      <c r="E74" s="134">
        <v>8.52</v>
      </c>
      <c r="F74" s="134">
        <v>7.22</v>
      </c>
      <c r="G74" s="134">
        <v>27.97</v>
      </c>
      <c r="H74" s="134">
        <v>12.27</v>
      </c>
      <c r="I74" s="134">
        <v>4.29</v>
      </c>
      <c r="J74" s="134">
        <v>0.33</v>
      </c>
      <c r="K74" s="134">
        <v>247.19</v>
      </c>
      <c r="L74" s="134">
        <v>29.55</v>
      </c>
      <c r="M74" s="134">
        <v>80.489999999999995</v>
      </c>
      <c r="N74" s="134">
        <v>66.099999999999994</v>
      </c>
      <c r="O74" s="134">
        <v>0</v>
      </c>
      <c r="P74" s="134">
        <v>0.61</v>
      </c>
      <c r="Q74" s="134">
        <v>3.62</v>
      </c>
    </row>
    <row r="75" spans="1:17" customFormat="1">
      <c r="A75" s="112" t="s">
        <v>2511</v>
      </c>
      <c r="B75" s="134">
        <v>6.91</v>
      </c>
      <c r="C75" s="134">
        <v>23.58</v>
      </c>
      <c r="D75" s="134">
        <v>19.21</v>
      </c>
      <c r="E75" s="134">
        <v>8.1999999999999993</v>
      </c>
      <c r="F75" s="134">
        <v>5.78</v>
      </c>
      <c r="G75" s="134">
        <v>28.16</v>
      </c>
      <c r="H75" s="134">
        <v>12.27</v>
      </c>
      <c r="I75" s="134">
        <v>4.42</v>
      </c>
      <c r="J75" s="134">
        <v>0.38</v>
      </c>
      <c r="K75" s="134">
        <v>258.85000000000002</v>
      </c>
      <c r="L75" s="134">
        <v>29.09</v>
      </c>
      <c r="M75" s="134">
        <v>82.14</v>
      </c>
      <c r="N75" s="134">
        <v>34.6</v>
      </c>
      <c r="O75" s="134">
        <v>0</v>
      </c>
      <c r="P75" s="134">
        <v>0.59</v>
      </c>
      <c r="Q75" s="134">
        <v>3.64</v>
      </c>
    </row>
    <row r="76" spans="1:17" customFormat="1">
      <c r="A76" s="112" t="s">
        <v>2512</v>
      </c>
      <c r="B76" s="134">
        <v>6.84</v>
      </c>
      <c r="C76" s="134">
        <v>23.55</v>
      </c>
      <c r="D76" s="134">
        <v>19.14</v>
      </c>
      <c r="E76" s="134">
        <v>8.67</v>
      </c>
      <c r="F76" s="134">
        <v>5.91</v>
      </c>
      <c r="G76" s="134">
        <v>28.16</v>
      </c>
      <c r="H76" s="134">
        <v>12.27</v>
      </c>
      <c r="I76" s="134">
        <v>4.34</v>
      </c>
      <c r="J76" s="134">
        <v>0.12</v>
      </c>
      <c r="K76" s="134">
        <v>167.04</v>
      </c>
      <c r="L76" s="134">
        <v>28.72</v>
      </c>
      <c r="M76" s="134">
        <v>84.83</v>
      </c>
      <c r="N76" s="134">
        <v>27.5</v>
      </c>
      <c r="O76" s="134">
        <v>0</v>
      </c>
      <c r="P76" s="134">
        <v>0.57999999999999996</v>
      </c>
      <c r="Q76" s="134">
        <v>3.63</v>
      </c>
    </row>
    <row r="77" spans="1:17" customFormat="1">
      <c r="A77" s="112" t="s">
        <v>2513</v>
      </c>
      <c r="B77" s="134">
        <v>6.84</v>
      </c>
      <c r="C77" s="134">
        <v>23.61</v>
      </c>
      <c r="D77" s="134">
        <v>19.170000000000002</v>
      </c>
      <c r="E77" s="134">
        <v>8.41</v>
      </c>
      <c r="F77" s="134">
        <v>5.99</v>
      </c>
      <c r="G77" s="134">
        <v>28.16</v>
      </c>
      <c r="H77" s="134">
        <v>12.27</v>
      </c>
      <c r="I77" s="134">
        <v>4.28</v>
      </c>
      <c r="J77" s="134">
        <v>0.11</v>
      </c>
      <c r="K77" s="134">
        <v>180.04</v>
      </c>
      <c r="L77" s="134">
        <v>28.43</v>
      </c>
      <c r="M77" s="134">
        <v>86.54</v>
      </c>
      <c r="N77" s="134">
        <v>15.6</v>
      </c>
      <c r="O77" s="134">
        <v>0</v>
      </c>
      <c r="P77" s="134">
        <v>0.57999999999999996</v>
      </c>
      <c r="Q77" s="134">
        <v>3.6</v>
      </c>
    </row>
    <row r="78" spans="1:17" customFormat="1">
      <c r="A78" s="112" t="s">
        <v>2514</v>
      </c>
      <c r="B78" s="134">
        <v>6.98</v>
      </c>
      <c r="C78" s="134">
        <v>23.62</v>
      </c>
      <c r="D78" s="134">
        <v>19.29</v>
      </c>
      <c r="E78" s="134">
        <v>8.36</v>
      </c>
      <c r="F78" s="134">
        <v>5.79</v>
      </c>
      <c r="G78" s="134">
        <v>24.76</v>
      </c>
      <c r="H78" s="134">
        <v>12.4</v>
      </c>
      <c r="I78" s="134">
        <v>4.12</v>
      </c>
      <c r="J78" s="134">
        <v>0.14000000000000001</v>
      </c>
      <c r="K78" s="134">
        <v>157.97</v>
      </c>
      <c r="L78" s="134">
        <v>28.11</v>
      </c>
      <c r="M78" s="134">
        <v>87.45</v>
      </c>
      <c r="N78" s="134">
        <v>5.3</v>
      </c>
      <c r="O78" s="134">
        <v>0</v>
      </c>
      <c r="P78" s="134">
        <v>0.56999999999999995</v>
      </c>
      <c r="Q78" s="134">
        <v>3.6</v>
      </c>
    </row>
    <row r="79" spans="1:17" customFormat="1">
      <c r="A79" s="112" t="s">
        <v>2515</v>
      </c>
      <c r="B79" s="134">
        <v>7.2</v>
      </c>
      <c r="C79" s="134">
        <v>23.73</v>
      </c>
      <c r="D79" s="134">
        <v>19.53</v>
      </c>
      <c r="E79" s="134">
        <v>8.32</v>
      </c>
      <c r="F79" s="134">
        <v>4.76</v>
      </c>
      <c r="G79" s="134">
        <v>24.18</v>
      </c>
      <c r="H79" s="134">
        <v>12.4</v>
      </c>
      <c r="I79" s="134">
        <v>4.08</v>
      </c>
      <c r="J79" s="134">
        <v>0.13</v>
      </c>
      <c r="K79" s="134">
        <v>237.11</v>
      </c>
      <c r="L79" s="134">
        <v>27.76</v>
      </c>
      <c r="M79" s="134">
        <v>89.37</v>
      </c>
      <c r="N79" s="134">
        <v>0.1</v>
      </c>
      <c r="O79" s="134">
        <v>0</v>
      </c>
      <c r="P79" s="134">
        <v>0.56000000000000005</v>
      </c>
      <c r="Q79" s="134">
        <v>3.64</v>
      </c>
    </row>
    <row r="80" spans="1:17" customFormat="1">
      <c r="A80" s="112" t="s">
        <v>2516</v>
      </c>
      <c r="B80" s="134">
        <v>7.46</v>
      </c>
      <c r="C80" s="134">
        <v>23.7</v>
      </c>
      <c r="D80" s="134">
        <v>19.72</v>
      </c>
      <c r="E80" s="134">
        <v>8.2100000000000009</v>
      </c>
      <c r="F80" s="134">
        <v>4.6100000000000003</v>
      </c>
      <c r="G80" s="134">
        <v>24.18</v>
      </c>
      <c r="H80" s="134">
        <v>12.4</v>
      </c>
      <c r="I80" s="134">
        <v>4.08</v>
      </c>
      <c r="J80" s="134">
        <v>0.13</v>
      </c>
      <c r="K80" s="134">
        <v>155.13</v>
      </c>
      <c r="L80" s="134">
        <v>27.61</v>
      </c>
      <c r="M80" s="134">
        <v>91.48</v>
      </c>
      <c r="N80" s="134">
        <v>0</v>
      </c>
      <c r="O80" s="134">
        <v>0</v>
      </c>
      <c r="P80" s="134">
        <v>0.55000000000000004</v>
      </c>
      <c r="Q80" s="134">
        <v>3.65</v>
      </c>
    </row>
    <row r="81" spans="1:17" customFormat="1">
      <c r="A81" s="112" t="s">
        <v>2517</v>
      </c>
      <c r="B81" s="134">
        <v>7.6</v>
      </c>
      <c r="C81" s="134">
        <v>23.82</v>
      </c>
      <c r="D81" s="134">
        <v>19.89</v>
      </c>
      <c r="E81" s="134">
        <v>5.87</v>
      </c>
      <c r="F81" s="134">
        <v>4.72</v>
      </c>
      <c r="G81" s="134">
        <v>24.18</v>
      </c>
      <c r="H81" s="134">
        <v>12.4</v>
      </c>
      <c r="I81" s="134">
        <v>3.97</v>
      </c>
      <c r="J81" s="134">
        <v>0.19</v>
      </c>
      <c r="K81" s="134">
        <v>242.94</v>
      </c>
      <c r="L81" s="134">
        <v>27.52</v>
      </c>
      <c r="M81" s="134">
        <v>92.84</v>
      </c>
      <c r="N81" s="134">
        <v>0</v>
      </c>
      <c r="O81" s="134">
        <v>0</v>
      </c>
      <c r="P81" s="134">
        <v>0.55000000000000004</v>
      </c>
      <c r="Q81" s="134">
        <v>3.66</v>
      </c>
    </row>
    <row r="82" spans="1:17" customFormat="1">
      <c r="A82" s="112" t="s">
        <v>2518</v>
      </c>
      <c r="B82" s="134">
        <v>7.77</v>
      </c>
      <c r="C82" s="134">
        <v>23.83</v>
      </c>
      <c r="D82" s="134">
        <v>20.03</v>
      </c>
      <c r="E82" s="134">
        <v>5.94</v>
      </c>
      <c r="F82" s="134">
        <v>4.8600000000000003</v>
      </c>
      <c r="G82" s="134">
        <v>24.44</v>
      </c>
      <c r="H82" s="134">
        <v>11.62</v>
      </c>
      <c r="I82" s="134">
        <v>3.96</v>
      </c>
      <c r="J82" s="134">
        <v>0.14000000000000001</v>
      </c>
      <c r="K82" s="134">
        <v>222.97</v>
      </c>
      <c r="L82" s="134">
        <v>27.47</v>
      </c>
      <c r="M82" s="134">
        <v>91.66</v>
      </c>
      <c r="N82" s="134">
        <v>0</v>
      </c>
      <c r="O82" s="134">
        <v>0</v>
      </c>
      <c r="P82" s="134">
        <v>0.55000000000000004</v>
      </c>
      <c r="Q82" s="134">
        <v>3.66</v>
      </c>
    </row>
    <row r="83" spans="1:17" customFormat="1">
      <c r="A83" s="112" t="s">
        <v>2519</v>
      </c>
      <c r="B83" s="134">
        <v>8.15</v>
      </c>
      <c r="C83" s="134">
        <v>24.37</v>
      </c>
      <c r="D83" s="134">
        <v>20.61</v>
      </c>
      <c r="E83" s="134">
        <v>6.86</v>
      </c>
      <c r="F83" s="134">
        <v>4.45</v>
      </c>
      <c r="G83" s="134">
        <v>24.48</v>
      </c>
      <c r="H83" s="134">
        <v>11.62</v>
      </c>
      <c r="I83" s="134">
        <v>3.88</v>
      </c>
      <c r="J83" s="134">
        <v>0.14000000000000001</v>
      </c>
      <c r="K83" s="134">
        <v>162.08000000000001</v>
      </c>
      <c r="L83" s="134">
        <v>27.08</v>
      </c>
      <c r="M83" s="134">
        <v>93.02</v>
      </c>
      <c r="N83" s="134">
        <v>0</v>
      </c>
      <c r="O83" s="134">
        <v>0</v>
      </c>
      <c r="P83" s="134">
        <v>0.54</v>
      </c>
      <c r="Q83" s="134">
        <v>3.71</v>
      </c>
    </row>
    <row r="84" spans="1:17" customFormat="1">
      <c r="A84" s="112" t="s">
        <v>2520</v>
      </c>
      <c r="B84" s="134">
        <v>8.48</v>
      </c>
      <c r="C84" s="134">
        <v>24.1</v>
      </c>
      <c r="D84" s="134">
        <v>20.74</v>
      </c>
      <c r="E84" s="134">
        <v>6.54</v>
      </c>
      <c r="F84" s="134">
        <v>4.3600000000000003</v>
      </c>
      <c r="G84" s="134">
        <v>24.48</v>
      </c>
      <c r="H84" s="134">
        <v>11.62</v>
      </c>
      <c r="I84" s="134">
        <v>3.82</v>
      </c>
      <c r="J84" s="134">
        <v>0.13</v>
      </c>
      <c r="K84" s="134">
        <v>177.5</v>
      </c>
      <c r="L84" s="134">
        <v>26.94</v>
      </c>
      <c r="M84" s="134">
        <v>93.96</v>
      </c>
      <c r="N84" s="134">
        <v>0</v>
      </c>
      <c r="O84" s="134">
        <v>0</v>
      </c>
      <c r="P84" s="134">
        <v>0.53</v>
      </c>
      <c r="Q84" s="134">
        <v>3.71</v>
      </c>
    </row>
    <row r="85" spans="1:17" customFormat="1">
      <c r="A85" s="112" t="s">
        <v>2521</v>
      </c>
      <c r="B85" s="134">
        <v>8.76</v>
      </c>
      <c r="C85" s="134">
        <v>24.35</v>
      </c>
      <c r="D85" s="134">
        <v>21.1</v>
      </c>
      <c r="E85" s="134">
        <v>6.25</v>
      </c>
      <c r="F85" s="134">
        <v>4.16</v>
      </c>
      <c r="G85" s="134">
        <v>24.48</v>
      </c>
      <c r="H85" s="134">
        <v>11.62</v>
      </c>
      <c r="I85" s="134">
        <v>3.87</v>
      </c>
      <c r="J85" s="134">
        <v>7.0000000000000007E-2</v>
      </c>
      <c r="K85" s="134">
        <v>229.02</v>
      </c>
      <c r="L85" s="134">
        <v>26.82</v>
      </c>
      <c r="M85" s="134">
        <v>94.23</v>
      </c>
      <c r="N85" s="134">
        <v>0</v>
      </c>
      <c r="O85" s="134">
        <v>0</v>
      </c>
      <c r="P85" s="134">
        <v>0.53</v>
      </c>
      <c r="Q85" s="134">
        <v>3.72</v>
      </c>
    </row>
    <row r="86" spans="1:17" customFormat="1">
      <c r="A86" s="112" t="s">
        <v>2522</v>
      </c>
      <c r="B86" s="134">
        <v>9.06</v>
      </c>
      <c r="C86" s="134">
        <v>24.22</v>
      </c>
      <c r="D86" s="134">
        <v>21.27</v>
      </c>
      <c r="E86" s="134">
        <v>6.54</v>
      </c>
      <c r="F86" s="134">
        <v>4.2300000000000004</v>
      </c>
      <c r="G86" s="134">
        <v>19.43</v>
      </c>
      <c r="H86" s="134">
        <v>9.1</v>
      </c>
      <c r="I86" s="134">
        <v>3.82</v>
      </c>
      <c r="J86" s="134">
        <v>0.35</v>
      </c>
      <c r="K86" s="134">
        <v>260.94</v>
      </c>
      <c r="L86" s="134">
        <v>26.65</v>
      </c>
      <c r="M86" s="134">
        <v>94.02</v>
      </c>
      <c r="N86" s="134">
        <v>0</v>
      </c>
      <c r="O86" s="134">
        <v>0</v>
      </c>
      <c r="P86" s="134">
        <v>0.53</v>
      </c>
      <c r="Q86" s="134">
        <v>3.72</v>
      </c>
    </row>
    <row r="87" spans="1:17" customFormat="1">
      <c r="A87" s="112" t="s">
        <v>2523</v>
      </c>
      <c r="B87" s="134">
        <v>9.57</v>
      </c>
      <c r="C87" s="134">
        <v>22.56</v>
      </c>
      <c r="D87" s="134">
        <v>20.81</v>
      </c>
      <c r="E87" s="134">
        <v>5.88</v>
      </c>
      <c r="F87" s="134">
        <v>4.95</v>
      </c>
      <c r="G87" s="134">
        <v>18.579999999999998</v>
      </c>
      <c r="H87" s="134">
        <v>9.1</v>
      </c>
      <c r="I87" s="134">
        <v>3.73</v>
      </c>
      <c r="J87" s="134">
        <v>0.17</v>
      </c>
      <c r="K87" s="134">
        <v>231.38</v>
      </c>
      <c r="L87" s="134">
        <v>26.43</v>
      </c>
      <c r="M87" s="134">
        <v>93</v>
      </c>
      <c r="N87" s="134">
        <v>0</v>
      </c>
      <c r="O87" s="134">
        <v>0</v>
      </c>
      <c r="P87" s="134">
        <v>0.51</v>
      </c>
      <c r="Q87" s="134">
        <v>3.77</v>
      </c>
    </row>
    <row r="88" spans="1:17" customFormat="1">
      <c r="A88" s="112" t="s">
        <v>2524</v>
      </c>
      <c r="B88" s="134">
        <v>9.99</v>
      </c>
      <c r="C88" s="134">
        <v>21</v>
      </c>
      <c r="D88" s="134">
        <v>20.329999999999998</v>
      </c>
      <c r="E88" s="134">
        <v>5.9</v>
      </c>
      <c r="F88" s="134">
        <v>5.66</v>
      </c>
      <c r="G88" s="134">
        <v>18.579999999999998</v>
      </c>
      <c r="H88" s="134">
        <v>9.1</v>
      </c>
      <c r="I88" s="134">
        <v>3.74</v>
      </c>
      <c r="J88" s="134">
        <v>0.22</v>
      </c>
      <c r="K88" s="134">
        <v>258.79000000000002</v>
      </c>
      <c r="L88" s="134">
        <v>26.1</v>
      </c>
      <c r="M88" s="134">
        <v>90.18</v>
      </c>
      <c r="N88" s="134">
        <v>0</v>
      </c>
      <c r="O88" s="134">
        <v>0</v>
      </c>
      <c r="P88" s="134">
        <v>0.49</v>
      </c>
      <c r="Q88" s="134">
        <v>3.78</v>
      </c>
    </row>
    <row r="89" spans="1:17" customFormat="1">
      <c r="A89" s="112" t="s">
        <v>2525</v>
      </c>
      <c r="B89" s="134">
        <v>10.199999999999999</v>
      </c>
      <c r="C89" s="134">
        <v>20.18</v>
      </c>
      <c r="D89" s="134">
        <v>20.079999999999998</v>
      </c>
      <c r="E89" s="134">
        <v>5.73</v>
      </c>
      <c r="F89" s="134">
        <v>5.67</v>
      </c>
      <c r="G89" s="134">
        <v>18.579999999999998</v>
      </c>
      <c r="H89" s="134">
        <v>9.1</v>
      </c>
      <c r="I89" s="134">
        <v>3.75</v>
      </c>
      <c r="J89" s="134">
        <v>0.13</v>
      </c>
      <c r="K89" s="134">
        <v>215.91</v>
      </c>
      <c r="L89" s="134">
        <v>25.83</v>
      </c>
      <c r="M89" s="134">
        <v>92.4</v>
      </c>
      <c r="N89" s="134">
        <v>0</v>
      </c>
      <c r="O89" s="134">
        <v>0</v>
      </c>
      <c r="P89" s="134">
        <v>0.48</v>
      </c>
      <c r="Q89" s="134">
        <v>3.77</v>
      </c>
    </row>
    <row r="90" spans="1:17" customFormat="1">
      <c r="A90" s="112" t="s">
        <v>2526</v>
      </c>
      <c r="B90" s="134">
        <v>10</v>
      </c>
      <c r="C90" s="134">
        <v>19.309999999999999</v>
      </c>
      <c r="D90" s="134">
        <v>19.46</v>
      </c>
      <c r="E90" s="134">
        <v>5.35</v>
      </c>
      <c r="F90" s="134">
        <v>7.3</v>
      </c>
      <c r="G90" s="134">
        <v>17.190000000000001</v>
      </c>
      <c r="H90" s="134">
        <v>8.0299999999999994</v>
      </c>
      <c r="I90" s="134">
        <v>3.72</v>
      </c>
      <c r="J90" s="134">
        <v>7.0000000000000007E-2</v>
      </c>
      <c r="K90" s="134">
        <v>152.46</v>
      </c>
      <c r="L90" s="134">
        <v>25.63</v>
      </c>
      <c r="M90" s="134">
        <v>93.37</v>
      </c>
      <c r="N90" s="134">
        <v>0</v>
      </c>
      <c r="O90" s="134">
        <v>0</v>
      </c>
      <c r="P90" s="134">
        <v>0.46</v>
      </c>
      <c r="Q90" s="134">
        <v>3.75</v>
      </c>
    </row>
    <row r="91" spans="1:17" customFormat="1">
      <c r="A91" s="112" t="s">
        <v>2527</v>
      </c>
      <c r="B91" s="134">
        <v>10.5</v>
      </c>
      <c r="C91" s="134">
        <v>22.21</v>
      </c>
      <c r="D91" s="134">
        <v>21.37</v>
      </c>
      <c r="E91" s="134">
        <v>5.89</v>
      </c>
      <c r="F91" s="134">
        <v>4.72</v>
      </c>
      <c r="G91" s="134">
        <v>16.96</v>
      </c>
      <c r="H91" s="134">
        <v>8.0299999999999994</v>
      </c>
      <c r="I91" s="134">
        <v>3.73</v>
      </c>
      <c r="J91" s="134">
        <v>0.15</v>
      </c>
      <c r="K91" s="134">
        <v>229.04</v>
      </c>
      <c r="L91" s="134">
        <v>25.54</v>
      </c>
      <c r="M91" s="134">
        <v>93.66</v>
      </c>
      <c r="N91" s="134">
        <v>0</v>
      </c>
      <c r="O91" s="134">
        <v>0</v>
      </c>
      <c r="P91" s="134">
        <v>0.49</v>
      </c>
      <c r="Q91" s="134">
        <v>3.75</v>
      </c>
    </row>
    <row r="92" spans="1:17" customFormat="1">
      <c r="A92" s="112" t="s">
        <v>2528</v>
      </c>
      <c r="B92" s="134">
        <v>11.09</v>
      </c>
      <c r="C92" s="134">
        <v>22.35</v>
      </c>
      <c r="D92" s="134">
        <v>21.92</v>
      </c>
      <c r="E92" s="134">
        <v>5.93</v>
      </c>
      <c r="F92" s="134">
        <v>4.5</v>
      </c>
      <c r="G92" s="134">
        <v>16.96</v>
      </c>
      <c r="H92" s="134">
        <v>8.0299999999999994</v>
      </c>
      <c r="I92" s="134">
        <v>3.69</v>
      </c>
      <c r="J92" s="134">
        <v>0.11</v>
      </c>
      <c r="K92" s="134">
        <v>237.38</v>
      </c>
      <c r="L92" s="134">
        <v>25.45</v>
      </c>
      <c r="M92" s="134">
        <v>94.17</v>
      </c>
      <c r="N92" s="134">
        <v>0</v>
      </c>
      <c r="O92" s="134">
        <v>0</v>
      </c>
      <c r="P92" s="134">
        <v>0.52</v>
      </c>
      <c r="Q92" s="134">
        <v>3.81</v>
      </c>
    </row>
    <row r="93" spans="1:17" customFormat="1">
      <c r="A93" s="112" t="s">
        <v>2529</v>
      </c>
      <c r="B93" s="134">
        <v>11.45</v>
      </c>
      <c r="C93" s="134">
        <v>21.25</v>
      </c>
      <c r="D93" s="134">
        <v>21.64</v>
      </c>
      <c r="E93" s="134">
        <v>5.88</v>
      </c>
      <c r="F93" s="134">
        <v>4.87</v>
      </c>
      <c r="G93" s="134">
        <v>16.96</v>
      </c>
      <c r="H93" s="134">
        <v>8.0299999999999994</v>
      </c>
      <c r="I93" s="134">
        <v>3.87</v>
      </c>
      <c r="J93" s="134">
        <v>0.08</v>
      </c>
      <c r="K93" s="134">
        <v>112.54</v>
      </c>
      <c r="L93" s="134">
        <v>25.4</v>
      </c>
      <c r="M93" s="134">
        <v>93.56</v>
      </c>
      <c r="N93" s="134">
        <v>0</v>
      </c>
      <c r="O93" s="134">
        <v>0</v>
      </c>
      <c r="P93" s="134">
        <v>0.53</v>
      </c>
      <c r="Q93" s="134">
        <v>3.84</v>
      </c>
    </row>
    <row r="94" spans="1:17" customFormat="1">
      <c r="A94" s="112" t="s">
        <v>2530</v>
      </c>
      <c r="B94" s="134">
        <v>11.97</v>
      </c>
      <c r="C94" s="134">
        <v>22.34</v>
      </c>
      <c r="D94" s="134">
        <v>22.62</v>
      </c>
      <c r="E94" s="134">
        <v>5.45</v>
      </c>
      <c r="F94" s="134">
        <v>4.2699999999999996</v>
      </c>
      <c r="G94" s="134">
        <v>19.71</v>
      </c>
      <c r="H94" s="134">
        <v>6.2</v>
      </c>
      <c r="I94" s="134">
        <v>3.88</v>
      </c>
      <c r="J94" s="134">
        <v>0.11</v>
      </c>
      <c r="K94" s="134">
        <v>207.43</v>
      </c>
      <c r="L94" s="134">
        <v>25.18</v>
      </c>
      <c r="M94" s="134">
        <v>95.48</v>
      </c>
      <c r="N94" s="134">
        <v>0</v>
      </c>
      <c r="O94" s="134">
        <v>0</v>
      </c>
      <c r="P94" s="134">
        <v>0.54</v>
      </c>
      <c r="Q94" s="134">
        <v>3.84</v>
      </c>
    </row>
    <row r="95" spans="1:17" customFormat="1">
      <c r="A95" s="112" t="s">
        <v>2531</v>
      </c>
      <c r="B95" s="134">
        <v>12.46</v>
      </c>
      <c r="C95" s="134">
        <v>22.89</v>
      </c>
      <c r="D95" s="134">
        <v>23.3</v>
      </c>
      <c r="E95" s="134">
        <v>6.13</v>
      </c>
      <c r="F95" s="134">
        <v>4.07</v>
      </c>
      <c r="G95" s="134">
        <v>20.170000000000002</v>
      </c>
      <c r="H95" s="134">
        <v>6.2</v>
      </c>
      <c r="I95" s="134">
        <v>3.94</v>
      </c>
      <c r="J95" s="134">
        <v>0.17</v>
      </c>
      <c r="K95" s="134">
        <v>235.36</v>
      </c>
      <c r="L95" s="134">
        <v>25.15</v>
      </c>
      <c r="M95" s="134">
        <v>97.3</v>
      </c>
      <c r="N95" s="134">
        <v>0</v>
      </c>
      <c r="O95" s="134">
        <v>0</v>
      </c>
      <c r="P95" s="134">
        <v>0.55000000000000004</v>
      </c>
      <c r="Q95" s="134">
        <v>3.88</v>
      </c>
    </row>
    <row r="96" spans="1:17" customFormat="1">
      <c r="A96" s="112" t="s">
        <v>2532</v>
      </c>
      <c r="B96" s="134">
        <v>12.58</v>
      </c>
      <c r="C96" s="134">
        <v>20.88</v>
      </c>
      <c r="D96" s="134">
        <v>22.35</v>
      </c>
      <c r="E96" s="134">
        <v>5.66</v>
      </c>
      <c r="F96" s="134">
        <v>4.92</v>
      </c>
      <c r="G96" s="134">
        <v>20.170000000000002</v>
      </c>
      <c r="H96" s="134">
        <v>6.2</v>
      </c>
      <c r="I96" s="134">
        <v>4.03</v>
      </c>
      <c r="J96" s="134">
        <v>0.12</v>
      </c>
      <c r="K96" s="134">
        <v>246.65</v>
      </c>
      <c r="L96" s="134">
        <v>25.4</v>
      </c>
      <c r="M96" s="134">
        <v>98.09</v>
      </c>
      <c r="N96" s="134">
        <v>0</v>
      </c>
      <c r="O96" s="134">
        <v>0</v>
      </c>
      <c r="P96" s="134">
        <v>0.53</v>
      </c>
      <c r="Q96" s="134">
        <v>3.92</v>
      </c>
    </row>
    <row r="97" spans="1:22" customFormat="1">
      <c r="A97" s="112" t="s">
        <v>2533</v>
      </c>
      <c r="B97" s="134">
        <v>12.73</v>
      </c>
      <c r="C97" s="134">
        <v>20.92</v>
      </c>
      <c r="D97" s="134">
        <v>22.49</v>
      </c>
      <c r="E97" s="134">
        <v>5.48</v>
      </c>
      <c r="F97" s="134">
        <v>4.84</v>
      </c>
      <c r="G97" s="134">
        <v>20.170000000000002</v>
      </c>
      <c r="H97" s="134">
        <v>6.2</v>
      </c>
      <c r="I97" s="134">
        <v>4.0199999999999996</v>
      </c>
      <c r="J97" s="134">
        <v>0.16</v>
      </c>
      <c r="K97" s="134">
        <v>243.96</v>
      </c>
      <c r="L97" s="134">
        <v>25.4</v>
      </c>
      <c r="M97" s="134">
        <v>97.66</v>
      </c>
      <c r="N97" s="134">
        <v>0</v>
      </c>
      <c r="O97" s="134">
        <v>0</v>
      </c>
      <c r="P97" s="134">
        <v>0.53</v>
      </c>
      <c r="Q97" s="134">
        <v>3.88</v>
      </c>
    </row>
    <row r="98" spans="1:22" customFormat="1">
      <c r="A98" s="112" t="s">
        <v>2534</v>
      </c>
      <c r="B98" s="134">
        <v>12.95</v>
      </c>
      <c r="C98" s="134">
        <v>22.11</v>
      </c>
      <c r="D98" s="134">
        <v>23.29</v>
      </c>
      <c r="E98" s="134">
        <v>6.12</v>
      </c>
      <c r="F98" s="134">
        <v>4.4400000000000004</v>
      </c>
      <c r="G98" s="134">
        <v>19.39</v>
      </c>
      <c r="H98" s="134">
        <v>6.41</v>
      </c>
      <c r="I98" s="134">
        <v>3.9</v>
      </c>
      <c r="J98" s="134">
        <v>0.18</v>
      </c>
      <c r="K98" s="134">
        <v>264.93</v>
      </c>
      <c r="L98" s="134">
        <v>25.39</v>
      </c>
      <c r="M98" s="134">
        <v>96.92</v>
      </c>
      <c r="N98" s="134">
        <v>0</v>
      </c>
      <c r="O98" s="134">
        <v>0</v>
      </c>
      <c r="P98" s="134">
        <v>0.55000000000000004</v>
      </c>
      <c r="Q98" s="134">
        <v>3.92</v>
      </c>
    </row>
    <row r="99" spans="1:22" customFormat="1">
      <c r="A99" s="112" t="s">
        <v>2535</v>
      </c>
      <c r="B99" s="134">
        <v>13.18</v>
      </c>
      <c r="C99" s="134">
        <v>20.91</v>
      </c>
      <c r="D99" s="134">
        <v>22.84</v>
      </c>
      <c r="E99" s="134">
        <v>5.93</v>
      </c>
      <c r="F99" s="134">
        <v>5.0999999999999996</v>
      </c>
      <c r="G99" s="134">
        <v>19.25</v>
      </c>
      <c r="H99" s="134">
        <v>6.41</v>
      </c>
      <c r="I99" s="134">
        <v>3.97</v>
      </c>
      <c r="J99" s="134">
        <v>0.04</v>
      </c>
      <c r="K99" s="134">
        <v>358.76</v>
      </c>
      <c r="L99" s="134">
        <v>25.24</v>
      </c>
      <c r="M99" s="134">
        <v>96.39</v>
      </c>
      <c r="N99" s="134">
        <v>0</v>
      </c>
      <c r="O99" s="134">
        <v>0</v>
      </c>
      <c r="P99" s="134">
        <v>0.53</v>
      </c>
      <c r="Q99" s="134">
        <v>3.96</v>
      </c>
    </row>
    <row r="100" spans="1:22" customFormat="1">
      <c r="A100" s="112" t="s">
        <v>2536</v>
      </c>
      <c r="B100" s="134">
        <v>13.73</v>
      </c>
      <c r="C100" s="134">
        <v>21.3</v>
      </c>
      <c r="D100" s="134">
        <v>23.49</v>
      </c>
      <c r="E100" s="134">
        <v>5.71</v>
      </c>
      <c r="F100" s="134">
        <v>4.55</v>
      </c>
      <c r="G100" s="134">
        <v>19.25</v>
      </c>
      <c r="H100" s="134">
        <v>6.41</v>
      </c>
      <c r="I100" s="134">
        <v>3.96</v>
      </c>
      <c r="J100" s="134">
        <v>0.1</v>
      </c>
      <c r="K100" s="134">
        <v>208.57</v>
      </c>
      <c r="L100" s="134">
        <v>25.2</v>
      </c>
      <c r="M100" s="134">
        <v>96.96</v>
      </c>
      <c r="N100" s="134">
        <v>0</v>
      </c>
      <c r="O100" s="134">
        <v>0</v>
      </c>
      <c r="P100" s="134">
        <v>0.53</v>
      </c>
      <c r="Q100" s="134">
        <v>3.93</v>
      </c>
    </row>
    <row r="101" spans="1:22" customFormat="1">
      <c r="A101" s="112" t="s">
        <v>2537</v>
      </c>
      <c r="B101" s="134">
        <v>14.2</v>
      </c>
      <c r="C101" s="134">
        <v>22.95</v>
      </c>
      <c r="D101" s="134">
        <v>24.73</v>
      </c>
      <c r="E101" s="134">
        <v>5.31</v>
      </c>
      <c r="F101" s="134">
        <v>4.12</v>
      </c>
      <c r="G101" s="134">
        <v>19.25</v>
      </c>
      <c r="H101" s="134">
        <v>6.41</v>
      </c>
      <c r="I101" s="134">
        <v>3.78</v>
      </c>
      <c r="J101" s="134">
        <v>0.3</v>
      </c>
      <c r="K101" s="134">
        <v>257.75</v>
      </c>
      <c r="L101" s="134">
        <v>25.18</v>
      </c>
      <c r="M101" s="134">
        <v>96.22</v>
      </c>
      <c r="N101" s="134">
        <v>0</v>
      </c>
      <c r="O101" s="134">
        <v>0</v>
      </c>
      <c r="P101" s="134">
        <v>0.54</v>
      </c>
      <c r="Q101" s="134">
        <v>3.97</v>
      </c>
    </row>
    <row r="102" spans="1:22" customFormat="1">
      <c r="A102" s="112" t="s">
        <v>2538</v>
      </c>
      <c r="B102" s="134">
        <v>14.32</v>
      </c>
      <c r="C102" s="134">
        <v>21.53</v>
      </c>
      <c r="D102" s="134">
        <v>24.09</v>
      </c>
      <c r="E102" s="134">
        <v>5.69</v>
      </c>
      <c r="F102" s="134">
        <v>5.0199999999999996</v>
      </c>
      <c r="G102" s="134">
        <v>17.7</v>
      </c>
      <c r="H102" s="134">
        <v>6.75</v>
      </c>
      <c r="I102" s="134">
        <v>3.92</v>
      </c>
      <c r="J102" s="134">
        <v>0.13</v>
      </c>
      <c r="K102" s="134">
        <v>225.3</v>
      </c>
      <c r="L102" s="134">
        <v>25.23</v>
      </c>
      <c r="M102" s="134">
        <v>96.87</v>
      </c>
      <c r="N102" s="134">
        <v>0</v>
      </c>
      <c r="O102" s="134">
        <v>0</v>
      </c>
      <c r="P102" s="134">
        <v>0.53</v>
      </c>
      <c r="Q102" s="134">
        <v>4.05</v>
      </c>
    </row>
    <row r="103" spans="1:22" customFormat="1">
      <c r="A103" s="112" t="s">
        <v>2539</v>
      </c>
      <c r="B103" s="134">
        <v>14.54</v>
      </c>
      <c r="C103" s="134">
        <v>22.38</v>
      </c>
      <c r="D103" s="134">
        <v>24.7</v>
      </c>
      <c r="E103" s="134">
        <v>5.66</v>
      </c>
      <c r="F103" s="134">
        <v>4.22</v>
      </c>
      <c r="G103" s="134">
        <v>17.440000000000001</v>
      </c>
      <c r="H103" s="134">
        <v>6.75</v>
      </c>
      <c r="I103" s="134">
        <v>3.91</v>
      </c>
      <c r="J103" s="134">
        <v>0.14000000000000001</v>
      </c>
      <c r="K103" s="134">
        <v>238.9</v>
      </c>
      <c r="L103" s="134">
        <v>25.03</v>
      </c>
      <c r="M103" s="134">
        <v>98.32</v>
      </c>
      <c r="N103" s="134">
        <v>0</v>
      </c>
      <c r="O103" s="134">
        <v>0</v>
      </c>
      <c r="P103" s="134">
        <v>0.53</v>
      </c>
      <c r="Q103" s="134">
        <v>4.03</v>
      </c>
    </row>
    <row r="104" spans="1:22" customFormat="1">
      <c r="A104" s="112" t="s">
        <v>2540</v>
      </c>
      <c r="B104" s="134">
        <v>14.86</v>
      </c>
      <c r="C104" s="134">
        <v>22.79</v>
      </c>
      <c r="D104" s="134">
        <v>25.17</v>
      </c>
      <c r="E104" s="134">
        <v>6.43</v>
      </c>
      <c r="F104" s="134">
        <v>4.1500000000000004</v>
      </c>
      <c r="G104" s="134">
        <v>17.440000000000001</v>
      </c>
      <c r="H104" s="134">
        <v>6.75</v>
      </c>
      <c r="I104" s="134">
        <v>3.84</v>
      </c>
      <c r="J104" s="134">
        <v>0.1</v>
      </c>
      <c r="K104" s="134">
        <v>274.33999999999997</v>
      </c>
      <c r="L104" s="134">
        <v>24.96</v>
      </c>
      <c r="M104" s="134">
        <v>97.49</v>
      </c>
      <c r="N104" s="134">
        <v>0</v>
      </c>
      <c r="O104" s="134">
        <v>0</v>
      </c>
      <c r="P104" s="134">
        <v>0.54</v>
      </c>
      <c r="Q104" s="134">
        <v>4.0599999999999996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6.84</v>
      </c>
      <c r="C106" s="183">
        <f>MIN(C9:C104)</f>
        <v>18.600000000000001</v>
      </c>
      <c r="D106" s="183">
        <f t="shared" ref="D106:Q106" si="0">MIN(D9:D104)</f>
        <v>19.14</v>
      </c>
      <c r="E106" s="183">
        <f t="shared" si="0"/>
        <v>5.31</v>
      </c>
      <c r="F106" s="183">
        <f t="shared" si="0"/>
        <v>3.74</v>
      </c>
      <c r="G106" s="183">
        <f t="shared" si="0"/>
        <v>6.18</v>
      </c>
      <c r="H106" s="183">
        <f t="shared" si="0"/>
        <v>2.67</v>
      </c>
      <c r="I106" s="183">
        <f t="shared" si="0"/>
        <v>3</v>
      </c>
      <c r="J106" s="183">
        <f t="shared" si="0"/>
        <v>0.04</v>
      </c>
      <c r="K106" s="183">
        <f t="shared" si="0"/>
        <v>17.41</v>
      </c>
      <c r="L106" s="183">
        <f t="shared" si="0"/>
        <v>23.96</v>
      </c>
      <c r="M106" s="183">
        <f t="shared" si="0"/>
        <v>72.69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3.6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17.46</v>
      </c>
      <c r="C107" s="184">
        <f t="shared" ref="C107:Q107" si="1">MAX(C9:C104)</f>
        <v>27.16</v>
      </c>
      <c r="D107" s="184">
        <f t="shared" si="1"/>
        <v>28.42</v>
      </c>
      <c r="E107" s="184">
        <f t="shared" si="1"/>
        <v>9.81</v>
      </c>
      <c r="F107" s="184">
        <f t="shared" si="1"/>
        <v>7.79</v>
      </c>
      <c r="G107" s="184">
        <f t="shared" si="1"/>
        <v>28.16</v>
      </c>
      <c r="H107" s="184">
        <f t="shared" si="1"/>
        <v>12.4</v>
      </c>
      <c r="I107" s="184">
        <f t="shared" si="1"/>
        <v>4.42</v>
      </c>
      <c r="J107" s="184">
        <f t="shared" si="1"/>
        <v>1.02</v>
      </c>
      <c r="K107" s="184">
        <f t="shared" si="1"/>
        <v>358.76</v>
      </c>
      <c r="L107" s="184">
        <f t="shared" si="1"/>
        <v>30.96</v>
      </c>
      <c r="M107" s="184">
        <f t="shared" si="1"/>
        <v>101.37</v>
      </c>
      <c r="N107" s="184">
        <f t="shared" si="1"/>
        <v>843.9</v>
      </c>
      <c r="O107" s="184">
        <f t="shared" si="1"/>
        <v>0.6</v>
      </c>
      <c r="P107" s="184">
        <f t="shared" si="1"/>
        <v>0.61</v>
      </c>
      <c r="Q107" s="184">
        <f t="shared" si="1"/>
        <v>4.2699999999999996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13.341979166666674</v>
      </c>
      <c r="C108" s="183">
        <f t="shared" ref="C108:Q108" si="2">AVERAGE(C9:C104)</f>
        <v>22.786979166666665</v>
      </c>
      <c r="D108" s="183">
        <f t="shared" si="2"/>
        <v>23.955833333333327</v>
      </c>
      <c r="E108" s="183">
        <f t="shared" si="2"/>
        <v>7.918854166666665</v>
      </c>
      <c r="F108" s="183">
        <f t="shared" si="2"/>
        <v>4.9455208333333358</v>
      </c>
      <c r="G108" s="183">
        <f t="shared" si="2"/>
        <v>16.474062500000006</v>
      </c>
      <c r="H108" s="183">
        <f t="shared" si="2"/>
        <v>7.0546874999999964</v>
      </c>
      <c r="I108" s="183">
        <f t="shared" si="2"/>
        <v>3.663333333333334</v>
      </c>
      <c r="J108" s="183">
        <f t="shared" si="2"/>
        <v>0.27281250000000001</v>
      </c>
      <c r="K108" s="183">
        <f t="shared" si="2"/>
        <v>230.97489583333342</v>
      </c>
      <c r="L108" s="183">
        <f t="shared" si="2"/>
        <v>26.762291666666655</v>
      </c>
      <c r="M108" s="183">
        <f t="shared" si="2"/>
        <v>91.911458333333272</v>
      </c>
      <c r="N108" s="183">
        <f t="shared" si="2"/>
        <v>120.89687500000001</v>
      </c>
      <c r="O108" s="183">
        <f t="shared" si="2"/>
        <v>5.4166666666666675E-2</v>
      </c>
      <c r="P108" s="183">
        <f t="shared" si="2"/>
        <v>0.46374999999999988</v>
      </c>
      <c r="Q108" s="183">
        <f t="shared" si="2"/>
        <v>3.9770833333333329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3.4270335859984224</v>
      </c>
      <c r="C109" s="183">
        <f t="shared" ref="C109:Q109" si="3">STDEV(C9:C104)</f>
        <v>1.8840030840245638</v>
      </c>
      <c r="D109" s="183">
        <f t="shared" si="3"/>
        <v>2.7607122142347178</v>
      </c>
      <c r="E109" s="183">
        <f t="shared" si="3"/>
        <v>1.2794660644533582</v>
      </c>
      <c r="F109" s="183">
        <f t="shared" si="3"/>
        <v>0.91697313258196311</v>
      </c>
      <c r="G109" s="183">
        <f t="shared" si="3"/>
        <v>6.7734785556182997</v>
      </c>
      <c r="H109" s="183">
        <f t="shared" si="3"/>
        <v>3.0793792789166283</v>
      </c>
      <c r="I109" s="183">
        <f t="shared" si="3"/>
        <v>0.39462885072502368</v>
      </c>
      <c r="J109" s="183">
        <f t="shared" si="3"/>
        <v>0.1765261461176727</v>
      </c>
      <c r="K109" s="183">
        <f t="shared" si="3"/>
        <v>60.009685025261618</v>
      </c>
      <c r="L109" s="183">
        <f t="shared" si="3"/>
        <v>2.1606073605973153</v>
      </c>
      <c r="M109" s="183">
        <f t="shared" si="3"/>
        <v>9.0247024711615378</v>
      </c>
      <c r="N109" s="183">
        <f t="shared" si="3"/>
        <v>228.09033134547695</v>
      </c>
      <c r="O109" s="183">
        <f t="shared" si="3"/>
        <v>0.12807618346878483</v>
      </c>
      <c r="P109" s="183">
        <f t="shared" si="3"/>
        <v>7.7095293050394739E-2</v>
      </c>
      <c r="Q109" s="183">
        <f t="shared" si="3"/>
        <v>0.20986169213214284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25/09/2023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2541</v>
      </c>
      <c r="B9" s="134">
        <v>14.73</v>
      </c>
      <c r="C9" s="134">
        <v>22.36</v>
      </c>
      <c r="D9" s="134">
        <v>24.85</v>
      </c>
      <c r="E9" s="134">
        <v>5.94</v>
      </c>
      <c r="F9" s="134">
        <v>4.58</v>
      </c>
      <c r="G9" s="134">
        <v>17.440000000000001</v>
      </c>
      <c r="H9" s="134">
        <v>6.75</v>
      </c>
      <c r="I9" s="134">
        <v>3.94</v>
      </c>
      <c r="J9" s="134">
        <v>7.0000000000000007E-2</v>
      </c>
      <c r="K9" s="134">
        <v>217.3</v>
      </c>
      <c r="L9" s="134">
        <v>24.89</v>
      </c>
      <c r="M9" s="134">
        <v>97.9</v>
      </c>
      <c r="N9" s="134">
        <v>0</v>
      </c>
      <c r="O9" s="134">
        <v>0</v>
      </c>
      <c r="P9" s="134">
        <v>0.53</v>
      </c>
      <c r="Q9" s="134">
        <v>4.0599999999999996</v>
      </c>
    </row>
    <row r="10" spans="1:21" customFormat="1">
      <c r="A10" s="112" t="s">
        <v>2542</v>
      </c>
      <c r="B10" s="134">
        <v>14.39</v>
      </c>
      <c r="C10" s="134">
        <v>22.57</v>
      </c>
      <c r="D10" s="134">
        <v>24.68</v>
      </c>
      <c r="E10" s="134">
        <v>6.09</v>
      </c>
      <c r="F10" s="134">
        <v>4.6500000000000004</v>
      </c>
      <c r="G10" s="134">
        <v>17.61</v>
      </c>
      <c r="H10" s="134">
        <v>5.49</v>
      </c>
      <c r="I10" s="134">
        <v>3.92</v>
      </c>
      <c r="J10" s="134">
        <v>0.25</v>
      </c>
      <c r="K10" s="134">
        <v>259.36</v>
      </c>
      <c r="L10" s="134">
        <v>24.8</v>
      </c>
      <c r="M10" s="134">
        <v>98.06</v>
      </c>
      <c r="N10" s="134">
        <v>0</v>
      </c>
      <c r="O10" s="134">
        <v>0</v>
      </c>
      <c r="P10" s="134">
        <v>0.54</v>
      </c>
      <c r="Q10" s="134">
        <v>4.03</v>
      </c>
    </row>
    <row r="11" spans="1:21" customFormat="1">
      <c r="A11" s="112" t="s">
        <v>2543</v>
      </c>
      <c r="B11" s="134">
        <v>14.17</v>
      </c>
      <c r="C11" s="134">
        <v>22.96</v>
      </c>
      <c r="D11" s="134">
        <v>24.71</v>
      </c>
      <c r="E11" s="134">
        <v>5.84</v>
      </c>
      <c r="F11" s="134">
        <v>4.28</v>
      </c>
      <c r="G11" s="134">
        <v>17.63</v>
      </c>
      <c r="H11" s="134">
        <v>5.49</v>
      </c>
      <c r="I11" s="134">
        <v>3.81</v>
      </c>
      <c r="J11" s="134">
        <v>0.35</v>
      </c>
      <c r="K11" s="134">
        <v>262.06</v>
      </c>
      <c r="L11" s="134">
        <v>24.83</v>
      </c>
      <c r="M11" s="134">
        <v>97.88</v>
      </c>
      <c r="N11" s="134">
        <v>0</v>
      </c>
      <c r="O11" s="134">
        <v>0</v>
      </c>
      <c r="P11" s="134">
        <v>0.53</v>
      </c>
      <c r="Q11" s="134">
        <v>4.0199999999999996</v>
      </c>
    </row>
    <row r="12" spans="1:21" customFormat="1">
      <c r="A12" s="112" t="s">
        <v>2544</v>
      </c>
      <c r="B12" s="134">
        <v>13.76</v>
      </c>
      <c r="C12" s="134">
        <v>23.27</v>
      </c>
      <c r="D12" s="134">
        <v>24.55</v>
      </c>
      <c r="E12" s="134">
        <v>5.57</v>
      </c>
      <c r="F12" s="134">
        <v>4.2300000000000004</v>
      </c>
      <c r="G12" s="134">
        <v>17.63</v>
      </c>
      <c r="H12" s="134">
        <v>5.49</v>
      </c>
      <c r="I12" s="134">
        <v>3.74</v>
      </c>
      <c r="J12" s="134">
        <v>0.21</v>
      </c>
      <c r="K12" s="134">
        <v>260.76</v>
      </c>
      <c r="L12" s="134">
        <v>24.82</v>
      </c>
      <c r="M12" s="134">
        <v>98.46</v>
      </c>
      <c r="N12" s="134">
        <v>0</v>
      </c>
      <c r="O12" s="134">
        <v>0</v>
      </c>
      <c r="P12" s="134">
        <v>0.52</v>
      </c>
      <c r="Q12" s="134">
        <v>3.99</v>
      </c>
    </row>
    <row r="13" spans="1:21" customFormat="1">
      <c r="A13" s="112" t="s">
        <v>2545</v>
      </c>
      <c r="B13" s="134">
        <v>13.39</v>
      </c>
      <c r="C13" s="134">
        <v>23.31</v>
      </c>
      <c r="D13" s="134">
        <v>24.27</v>
      </c>
      <c r="E13" s="134">
        <v>5.4</v>
      </c>
      <c r="F13" s="134">
        <v>4.2300000000000004</v>
      </c>
      <c r="G13" s="134">
        <v>17.63</v>
      </c>
      <c r="H13" s="134">
        <v>5.49</v>
      </c>
      <c r="I13" s="134">
        <v>3.69</v>
      </c>
      <c r="J13" s="134">
        <v>0.04</v>
      </c>
      <c r="K13" s="134">
        <v>177.22</v>
      </c>
      <c r="L13" s="134">
        <v>24.74</v>
      </c>
      <c r="M13" s="134">
        <v>98.75</v>
      </c>
      <c r="N13" s="134">
        <v>0</v>
      </c>
      <c r="O13" s="134">
        <v>0</v>
      </c>
      <c r="P13" s="134">
        <v>0.52</v>
      </c>
      <c r="Q13" s="134">
        <v>4.0199999999999996</v>
      </c>
    </row>
    <row r="14" spans="1:21" customFormat="1">
      <c r="A14" s="112" t="s">
        <v>2546</v>
      </c>
      <c r="B14" s="134">
        <v>13.13</v>
      </c>
      <c r="C14" s="134">
        <v>23.72</v>
      </c>
      <c r="D14" s="134">
        <v>24.27</v>
      </c>
      <c r="E14" s="134">
        <v>5.86</v>
      </c>
      <c r="F14" s="134">
        <v>4.12</v>
      </c>
      <c r="G14" s="134">
        <v>14.89</v>
      </c>
      <c r="H14" s="134">
        <v>4.55</v>
      </c>
      <c r="I14" s="134">
        <v>3.6</v>
      </c>
      <c r="J14" s="134">
        <v>0.1</v>
      </c>
      <c r="K14" s="134">
        <v>179.33</v>
      </c>
      <c r="L14" s="134">
        <v>24.66</v>
      </c>
      <c r="M14" s="134">
        <v>98.53</v>
      </c>
      <c r="N14" s="134">
        <v>0</v>
      </c>
      <c r="O14" s="134">
        <v>0</v>
      </c>
      <c r="P14" s="134">
        <v>0.52</v>
      </c>
      <c r="Q14" s="134">
        <v>4.01</v>
      </c>
    </row>
    <row r="15" spans="1:21" customFormat="1">
      <c r="A15" s="112" t="s">
        <v>2547</v>
      </c>
      <c r="B15" s="134">
        <v>13.03</v>
      </c>
      <c r="C15" s="134">
        <v>23.78</v>
      </c>
      <c r="D15" s="134">
        <v>24.22</v>
      </c>
      <c r="E15" s="134">
        <v>5.53</v>
      </c>
      <c r="F15" s="134">
        <v>4.07</v>
      </c>
      <c r="G15" s="134">
        <v>14.42</v>
      </c>
      <c r="H15" s="134">
        <v>4.55</v>
      </c>
      <c r="I15" s="134">
        <v>3.56</v>
      </c>
      <c r="J15" s="134">
        <v>0.08</v>
      </c>
      <c r="K15" s="134">
        <v>213.17</v>
      </c>
      <c r="L15" s="134">
        <v>24.65</v>
      </c>
      <c r="M15" s="134">
        <v>98.2</v>
      </c>
      <c r="N15" s="134">
        <v>0</v>
      </c>
      <c r="O15" s="134">
        <v>0</v>
      </c>
      <c r="P15" s="134">
        <v>0.51</v>
      </c>
      <c r="Q15" s="134">
        <v>4.04</v>
      </c>
    </row>
    <row r="16" spans="1:21" customFormat="1">
      <c r="A16" s="112" t="s">
        <v>2548</v>
      </c>
      <c r="B16" s="134">
        <v>13</v>
      </c>
      <c r="C16" s="134">
        <v>23.61</v>
      </c>
      <c r="D16" s="134">
        <v>24.11</v>
      </c>
      <c r="E16" s="134">
        <v>6.18</v>
      </c>
      <c r="F16" s="134">
        <v>4.1399999999999997</v>
      </c>
      <c r="G16" s="134">
        <v>14.42</v>
      </c>
      <c r="H16" s="134">
        <v>4.55</v>
      </c>
      <c r="I16" s="134">
        <v>3.51</v>
      </c>
      <c r="J16" s="134">
        <v>7.0000000000000007E-2</v>
      </c>
      <c r="K16" s="134">
        <v>132.13</v>
      </c>
      <c r="L16" s="134">
        <v>24.55</v>
      </c>
      <c r="M16" s="134">
        <v>98.07</v>
      </c>
      <c r="N16" s="134">
        <v>0</v>
      </c>
      <c r="O16" s="134">
        <v>0</v>
      </c>
      <c r="P16" s="134">
        <v>0.51</v>
      </c>
      <c r="Q16" s="134">
        <v>4.04</v>
      </c>
    </row>
    <row r="17" spans="1:17" customFormat="1">
      <c r="A17" s="112" t="s">
        <v>2549</v>
      </c>
      <c r="B17" s="134">
        <v>12.71</v>
      </c>
      <c r="C17" s="134">
        <v>24.04</v>
      </c>
      <c r="D17" s="134">
        <v>24.1</v>
      </c>
      <c r="E17" s="134">
        <v>7.79</v>
      </c>
      <c r="F17" s="134">
        <v>4.0599999999999996</v>
      </c>
      <c r="G17" s="134">
        <v>14.42</v>
      </c>
      <c r="H17" s="134">
        <v>4.55</v>
      </c>
      <c r="I17" s="134">
        <v>3.43</v>
      </c>
      <c r="J17" s="134">
        <v>0.11</v>
      </c>
      <c r="K17" s="134">
        <v>182.57</v>
      </c>
      <c r="L17" s="134">
        <v>24.58</v>
      </c>
      <c r="M17" s="134">
        <v>97.85</v>
      </c>
      <c r="N17" s="134">
        <v>0</v>
      </c>
      <c r="O17" s="134">
        <v>0</v>
      </c>
      <c r="P17" s="134">
        <v>0.5</v>
      </c>
      <c r="Q17" s="134">
        <v>4.07</v>
      </c>
    </row>
    <row r="18" spans="1:17" customFormat="1">
      <c r="A18" s="112" t="s">
        <v>2550</v>
      </c>
      <c r="B18" s="134">
        <v>12.67</v>
      </c>
      <c r="C18" s="134">
        <v>24.1</v>
      </c>
      <c r="D18" s="134">
        <v>24.1</v>
      </c>
      <c r="E18" s="134">
        <v>9.08</v>
      </c>
      <c r="F18" s="134">
        <v>4.01</v>
      </c>
      <c r="G18" s="134">
        <v>11.52</v>
      </c>
      <c r="H18" s="134">
        <v>3.95</v>
      </c>
      <c r="I18" s="134">
        <v>3.38</v>
      </c>
      <c r="J18" s="134">
        <v>7.0000000000000007E-2</v>
      </c>
      <c r="K18" s="134">
        <v>175.93</v>
      </c>
      <c r="L18" s="134">
        <v>24.4</v>
      </c>
      <c r="M18" s="134">
        <v>98.12</v>
      </c>
      <c r="N18" s="134">
        <v>0</v>
      </c>
      <c r="O18" s="134">
        <v>0</v>
      </c>
      <c r="P18" s="134">
        <v>0.49</v>
      </c>
      <c r="Q18" s="134">
        <v>4.05</v>
      </c>
    </row>
    <row r="19" spans="1:17" customFormat="1">
      <c r="A19" s="112" t="s">
        <v>2551</v>
      </c>
      <c r="B19" s="134">
        <v>12.81</v>
      </c>
      <c r="C19" s="134">
        <v>24.05</v>
      </c>
      <c r="D19" s="134">
        <v>24.19</v>
      </c>
      <c r="E19" s="134">
        <v>9.49</v>
      </c>
      <c r="F19" s="134">
        <v>3.94</v>
      </c>
      <c r="G19" s="134">
        <v>11.03</v>
      </c>
      <c r="H19" s="134">
        <v>3.95</v>
      </c>
      <c r="I19" s="134">
        <v>3.35</v>
      </c>
      <c r="J19" s="134">
        <v>0.09</v>
      </c>
      <c r="K19" s="134">
        <v>167.22</v>
      </c>
      <c r="L19" s="134">
        <v>24.32</v>
      </c>
      <c r="M19" s="134">
        <v>98.34</v>
      </c>
      <c r="N19" s="134">
        <v>0</v>
      </c>
      <c r="O19" s="134">
        <v>0</v>
      </c>
      <c r="P19" s="134">
        <v>0.49</v>
      </c>
      <c r="Q19" s="134">
        <v>4.03</v>
      </c>
    </row>
    <row r="20" spans="1:17" customFormat="1">
      <c r="A20" s="112" t="s">
        <v>2552</v>
      </c>
      <c r="B20" s="134">
        <v>12.71</v>
      </c>
      <c r="C20" s="134">
        <v>24.03</v>
      </c>
      <c r="D20" s="134">
        <v>24.1</v>
      </c>
      <c r="E20" s="134">
        <v>9.44</v>
      </c>
      <c r="F20" s="134">
        <v>4.01</v>
      </c>
      <c r="G20" s="134">
        <v>11.03</v>
      </c>
      <c r="H20" s="134">
        <v>3.95</v>
      </c>
      <c r="I20" s="134">
        <v>3.35</v>
      </c>
      <c r="J20" s="134">
        <v>0.11</v>
      </c>
      <c r="K20" s="134">
        <v>152.68</v>
      </c>
      <c r="L20" s="134">
        <v>24.3</v>
      </c>
      <c r="M20" s="134">
        <v>98.91</v>
      </c>
      <c r="N20" s="134">
        <v>0</v>
      </c>
      <c r="O20" s="134">
        <v>0</v>
      </c>
      <c r="P20" s="134">
        <v>0.48</v>
      </c>
      <c r="Q20" s="134">
        <v>4.01</v>
      </c>
    </row>
    <row r="21" spans="1:17" customFormat="1">
      <c r="A21" s="112" t="s">
        <v>2553</v>
      </c>
      <c r="B21" s="134">
        <v>12.65</v>
      </c>
      <c r="C21" s="134">
        <v>24.29</v>
      </c>
      <c r="D21" s="134">
        <v>24.18</v>
      </c>
      <c r="E21" s="134">
        <v>9.2200000000000006</v>
      </c>
      <c r="F21" s="134">
        <v>4.04</v>
      </c>
      <c r="G21" s="134">
        <v>11.03</v>
      </c>
      <c r="H21" s="134">
        <v>3.95</v>
      </c>
      <c r="I21" s="134">
        <v>3.29</v>
      </c>
      <c r="J21" s="134">
        <v>0.06</v>
      </c>
      <c r="K21" s="134">
        <v>178.86</v>
      </c>
      <c r="L21" s="134">
        <v>24.25</v>
      </c>
      <c r="M21" s="134">
        <v>98.24</v>
      </c>
      <c r="N21" s="134">
        <v>0</v>
      </c>
      <c r="O21" s="134">
        <v>0</v>
      </c>
      <c r="P21" s="134">
        <v>0.49</v>
      </c>
      <c r="Q21" s="134">
        <v>4.0199999999999996</v>
      </c>
    </row>
    <row r="22" spans="1:17" customFormat="1">
      <c r="A22" s="112" t="s">
        <v>2554</v>
      </c>
      <c r="B22" s="134">
        <v>12.69</v>
      </c>
      <c r="C22" s="134">
        <v>24.48</v>
      </c>
      <c r="D22" s="134">
        <v>24.32</v>
      </c>
      <c r="E22" s="134">
        <v>9.3699999999999992</v>
      </c>
      <c r="F22" s="134">
        <v>3.94</v>
      </c>
      <c r="G22" s="134">
        <v>11.57</v>
      </c>
      <c r="H22" s="134">
        <v>2.85</v>
      </c>
      <c r="I22" s="134">
        <v>3.3</v>
      </c>
      <c r="J22" s="134">
        <v>0.1</v>
      </c>
      <c r="K22" s="134">
        <v>213.77</v>
      </c>
      <c r="L22" s="134">
        <v>24.21</v>
      </c>
      <c r="M22" s="134">
        <v>98.5</v>
      </c>
      <c r="N22" s="134">
        <v>0</v>
      </c>
      <c r="O22" s="134">
        <v>0</v>
      </c>
      <c r="P22" s="134">
        <v>0.48</v>
      </c>
      <c r="Q22" s="134">
        <v>4.04</v>
      </c>
    </row>
    <row r="23" spans="1:17" customFormat="1">
      <c r="A23" s="112" t="s">
        <v>2555</v>
      </c>
      <c r="B23" s="134">
        <v>12.68</v>
      </c>
      <c r="C23" s="134">
        <v>24.7</v>
      </c>
      <c r="D23" s="134">
        <v>24.42</v>
      </c>
      <c r="E23" s="134">
        <v>9.07</v>
      </c>
      <c r="F23" s="134">
        <v>3.93</v>
      </c>
      <c r="G23" s="134">
        <v>11.66</v>
      </c>
      <c r="H23" s="134">
        <v>2.85</v>
      </c>
      <c r="I23" s="134">
        <v>3.28</v>
      </c>
      <c r="J23" s="134">
        <v>0.12</v>
      </c>
      <c r="K23" s="134">
        <v>237.91</v>
      </c>
      <c r="L23" s="134">
        <v>24.2</v>
      </c>
      <c r="M23" s="134">
        <v>99.01</v>
      </c>
      <c r="N23" s="134">
        <v>0</v>
      </c>
      <c r="O23" s="134">
        <v>0</v>
      </c>
      <c r="P23" s="134">
        <v>0.47</v>
      </c>
      <c r="Q23" s="134">
        <v>4.0599999999999996</v>
      </c>
    </row>
    <row r="24" spans="1:17" customFormat="1">
      <c r="A24" s="112" t="s">
        <v>2556</v>
      </c>
      <c r="B24" s="134">
        <v>12.72</v>
      </c>
      <c r="C24" s="134">
        <v>24.61</v>
      </c>
      <c r="D24" s="134">
        <v>24.41</v>
      </c>
      <c r="E24" s="134">
        <v>9.51</v>
      </c>
      <c r="F24" s="134">
        <v>3.92</v>
      </c>
      <c r="G24" s="134">
        <v>11.66</v>
      </c>
      <c r="H24" s="134">
        <v>2.85</v>
      </c>
      <c r="I24" s="134">
        <v>3.27</v>
      </c>
      <c r="J24" s="134">
        <v>0.1</v>
      </c>
      <c r="K24" s="134">
        <v>233.81</v>
      </c>
      <c r="L24" s="134">
        <v>24.18</v>
      </c>
      <c r="M24" s="134">
        <v>99.09</v>
      </c>
      <c r="N24" s="134">
        <v>0</v>
      </c>
      <c r="O24" s="134">
        <v>0</v>
      </c>
      <c r="P24" s="134">
        <v>0.47</v>
      </c>
      <c r="Q24" s="134">
        <v>4.0599999999999996</v>
      </c>
    </row>
    <row r="25" spans="1:17" customFormat="1">
      <c r="A25" s="112" t="s">
        <v>2557</v>
      </c>
      <c r="B25" s="134">
        <v>12.67</v>
      </c>
      <c r="C25" s="134">
        <v>24.94</v>
      </c>
      <c r="D25" s="134">
        <v>24.54</v>
      </c>
      <c r="E25" s="134">
        <v>9.5500000000000007</v>
      </c>
      <c r="F25" s="134">
        <v>3.98</v>
      </c>
      <c r="G25" s="134">
        <v>11.66</v>
      </c>
      <c r="H25" s="134">
        <v>2.85</v>
      </c>
      <c r="I25" s="134">
        <v>3.22</v>
      </c>
      <c r="J25" s="134">
        <v>0.09</v>
      </c>
      <c r="K25" s="134">
        <v>210.12</v>
      </c>
      <c r="L25" s="134">
        <v>24.11</v>
      </c>
      <c r="M25" s="134">
        <v>99.15</v>
      </c>
      <c r="N25" s="134">
        <v>0</v>
      </c>
      <c r="O25" s="134">
        <v>0</v>
      </c>
      <c r="P25" s="134">
        <v>0.47</v>
      </c>
      <c r="Q25" s="134">
        <v>4.05</v>
      </c>
    </row>
    <row r="26" spans="1:17" customFormat="1">
      <c r="A26" s="112" t="s">
        <v>2558</v>
      </c>
      <c r="B26" s="134">
        <v>12.79</v>
      </c>
      <c r="C26" s="134">
        <v>25.03</v>
      </c>
      <c r="D26" s="134">
        <v>24.68</v>
      </c>
      <c r="E26" s="134">
        <v>9.3699999999999992</v>
      </c>
      <c r="F26" s="134">
        <v>3.99</v>
      </c>
      <c r="G26" s="134">
        <v>12.37</v>
      </c>
      <c r="H26" s="134">
        <v>2.62</v>
      </c>
      <c r="I26" s="134">
        <v>3.18</v>
      </c>
      <c r="J26" s="134">
        <v>0.09</v>
      </c>
      <c r="K26" s="134">
        <v>177.89</v>
      </c>
      <c r="L26" s="134">
        <v>24.09</v>
      </c>
      <c r="M26" s="134">
        <v>99.53</v>
      </c>
      <c r="N26" s="134">
        <v>0</v>
      </c>
      <c r="O26" s="134">
        <v>0</v>
      </c>
      <c r="P26" s="134">
        <v>0.47</v>
      </c>
      <c r="Q26" s="134">
        <v>4.0599999999999996</v>
      </c>
    </row>
    <row r="27" spans="1:17" customFormat="1">
      <c r="A27" s="112" t="s">
        <v>2559</v>
      </c>
      <c r="B27" s="134">
        <v>12.69</v>
      </c>
      <c r="C27" s="134">
        <v>25.33</v>
      </c>
      <c r="D27" s="134">
        <v>24.76</v>
      </c>
      <c r="E27" s="134">
        <v>9.31</v>
      </c>
      <c r="F27" s="134">
        <v>3.99</v>
      </c>
      <c r="G27" s="134">
        <v>12.49</v>
      </c>
      <c r="H27" s="134">
        <v>2.62</v>
      </c>
      <c r="I27" s="134">
        <v>3.13</v>
      </c>
      <c r="J27" s="134">
        <v>0.02</v>
      </c>
      <c r="K27" s="134">
        <v>199.41</v>
      </c>
      <c r="L27" s="134">
        <v>23.99</v>
      </c>
      <c r="M27" s="134">
        <v>99.74</v>
      </c>
      <c r="N27" s="134">
        <v>0</v>
      </c>
      <c r="O27" s="134">
        <v>0</v>
      </c>
      <c r="P27" s="134">
        <v>0.46</v>
      </c>
      <c r="Q27" s="134">
        <v>4.05</v>
      </c>
    </row>
    <row r="28" spans="1:17" customFormat="1">
      <c r="A28" s="112" t="s">
        <v>2560</v>
      </c>
      <c r="B28" s="134">
        <v>12.75</v>
      </c>
      <c r="C28" s="134">
        <v>25.44</v>
      </c>
      <c r="D28" s="134">
        <v>24.87</v>
      </c>
      <c r="E28" s="134">
        <v>9.43</v>
      </c>
      <c r="F28" s="134">
        <v>3.88</v>
      </c>
      <c r="G28" s="134">
        <v>12.49</v>
      </c>
      <c r="H28" s="134">
        <v>2.62</v>
      </c>
      <c r="I28" s="134">
        <v>3.08</v>
      </c>
      <c r="J28" s="134">
        <v>7.0000000000000007E-2</v>
      </c>
      <c r="K28" s="134">
        <v>197.85</v>
      </c>
      <c r="L28" s="134">
        <v>23.96</v>
      </c>
      <c r="M28" s="134">
        <v>100.47</v>
      </c>
      <c r="N28" s="134">
        <v>0</v>
      </c>
      <c r="O28" s="134">
        <v>0</v>
      </c>
      <c r="P28" s="134">
        <v>0.45</v>
      </c>
      <c r="Q28" s="134">
        <v>4.04</v>
      </c>
    </row>
    <row r="29" spans="1:17" customFormat="1">
      <c r="A29" s="112" t="s">
        <v>2561</v>
      </c>
      <c r="B29" s="134">
        <v>12.77</v>
      </c>
      <c r="C29" s="134">
        <v>25.4</v>
      </c>
      <c r="D29" s="134">
        <v>24.86</v>
      </c>
      <c r="E29" s="134">
        <v>10.039999999999999</v>
      </c>
      <c r="F29" s="134">
        <v>3.99</v>
      </c>
      <c r="G29" s="134">
        <v>12.49</v>
      </c>
      <c r="H29" s="134">
        <v>2.62</v>
      </c>
      <c r="I29" s="134">
        <v>3.09</v>
      </c>
      <c r="J29" s="134">
        <v>0.09</v>
      </c>
      <c r="K29" s="134">
        <v>208.99</v>
      </c>
      <c r="L29" s="134">
        <v>23.88</v>
      </c>
      <c r="M29" s="134">
        <v>100.13</v>
      </c>
      <c r="N29" s="134">
        <v>0</v>
      </c>
      <c r="O29" s="134">
        <v>0</v>
      </c>
      <c r="P29" s="134">
        <v>0.44</v>
      </c>
      <c r="Q29" s="134">
        <v>4.03</v>
      </c>
    </row>
    <row r="30" spans="1:17" customFormat="1">
      <c r="A30" s="112" t="s">
        <v>2562</v>
      </c>
      <c r="B30" s="134">
        <v>13.18</v>
      </c>
      <c r="C30" s="134">
        <v>23.94</v>
      </c>
      <c r="D30" s="134">
        <v>24.43</v>
      </c>
      <c r="E30" s="134">
        <v>10</v>
      </c>
      <c r="F30" s="134">
        <v>4.4800000000000004</v>
      </c>
      <c r="G30" s="134">
        <v>10.93</v>
      </c>
      <c r="H30" s="134">
        <v>4.76</v>
      </c>
      <c r="I30" s="134">
        <v>3.06</v>
      </c>
      <c r="J30" s="134">
        <v>0.06</v>
      </c>
      <c r="K30" s="134">
        <v>193.24</v>
      </c>
      <c r="L30" s="134">
        <v>23.88</v>
      </c>
      <c r="M30" s="134">
        <v>99.75</v>
      </c>
      <c r="N30" s="134">
        <v>0</v>
      </c>
      <c r="O30" s="134">
        <v>0</v>
      </c>
      <c r="P30" s="134">
        <v>0.43</v>
      </c>
      <c r="Q30" s="134">
        <v>4.04</v>
      </c>
    </row>
    <row r="31" spans="1:17" customFormat="1">
      <c r="A31" s="112" t="s">
        <v>2563</v>
      </c>
      <c r="B31" s="134">
        <v>13.73</v>
      </c>
      <c r="C31" s="134">
        <v>22.02</v>
      </c>
      <c r="D31" s="134">
        <v>23.86</v>
      </c>
      <c r="E31" s="134">
        <v>9.32</v>
      </c>
      <c r="F31" s="134">
        <v>4.8600000000000003</v>
      </c>
      <c r="G31" s="134">
        <v>10.65</v>
      </c>
      <c r="H31" s="134">
        <v>4.76</v>
      </c>
      <c r="I31" s="134">
        <v>3.04</v>
      </c>
      <c r="J31" s="134">
        <v>0.13</v>
      </c>
      <c r="K31" s="134">
        <v>203.78</v>
      </c>
      <c r="L31" s="134">
        <v>23.93</v>
      </c>
      <c r="M31" s="134">
        <v>99.85</v>
      </c>
      <c r="N31" s="134">
        <v>0</v>
      </c>
      <c r="O31" s="134">
        <v>0</v>
      </c>
      <c r="P31" s="134">
        <v>0.4</v>
      </c>
      <c r="Q31" s="134">
        <v>4.04</v>
      </c>
    </row>
    <row r="32" spans="1:17" customFormat="1">
      <c r="A32" s="112" t="s">
        <v>2564</v>
      </c>
      <c r="B32" s="134">
        <v>14.11</v>
      </c>
      <c r="C32" s="134">
        <v>20.75</v>
      </c>
      <c r="D32" s="134">
        <v>23.51</v>
      </c>
      <c r="E32" s="134">
        <v>8.99</v>
      </c>
      <c r="F32" s="134">
        <v>4.7300000000000004</v>
      </c>
      <c r="G32" s="134">
        <v>10.65</v>
      </c>
      <c r="H32" s="134">
        <v>4.76</v>
      </c>
      <c r="I32" s="134">
        <v>3.05</v>
      </c>
      <c r="J32" s="134">
        <v>0.01</v>
      </c>
      <c r="K32" s="134">
        <v>230.13</v>
      </c>
      <c r="L32" s="134">
        <v>23.88</v>
      </c>
      <c r="M32" s="134">
        <v>100.05</v>
      </c>
      <c r="N32" s="134">
        <v>0</v>
      </c>
      <c r="O32" s="134">
        <v>0</v>
      </c>
      <c r="P32" s="134">
        <v>0.38</v>
      </c>
      <c r="Q32" s="134">
        <v>4.03</v>
      </c>
    </row>
    <row r="33" spans="1:17" customFormat="1">
      <c r="A33" s="112" t="s">
        <v>2565</v>
      </c>
      <c r="B33" s="134">
        <v>14.27</v>
      </c>
      <c r="C33" s="134">
        <v>22.56</v>
      </c>
      <c r="D33" s="134">
        <v>24.59</v>
      </c>
      <c r="E33" s="134">
        <v>8.74</v>
      </c>
      <c r="F33" s="134">
        <v>4.07</v>
      </c>
      <c r="G33" s="134">
        <v>10.65</v>
      </c>
      <c r="H33" s="134">
        <v>4.76</v>
      </c>
      <c r="I33" s="134">
        <v>2.99</v>
      </c>
      <c r="J33" s="134">
        <v>0.12</v>
      </c>
      <c r="K33" s="134">
        <v>160.15</v>
      </c>
      <c r="L33" s="134">
        <v>23.97</v>
      </c>
      <c r="M33" s="134">
        <v>99.99</v>
      </c>
      <c r="N33" s="134">
        <v>4.4000000000000004</v>
      </c>
      <c r="O33" s="134">
        <v>0</v>
      </c>
      <c r="P33" s="134">
        <v>0.4</v>
      </c>
      <c r="Q33" s="134">
        <v>3.98</v>
      </c>
    </row>
    <row r="34" spans="1:17" customFormat="1">
      <c r="A34" s="112" t="s">
        <v>2566</v>
      </c>
      <c r="B34" s="134">
        <v>14.65</v>
      </c>
      <c r="C34" s="134">
        <v>23.31</v>
      </c>
      <c r="D34" s="134">
        <v>25.27</v>
      </c>
      <c r="E34" s="134">
        <v>8.6999999999999993</v>
      </c>
      <c r="F34" s="134">
        <v>4.12</v>
      </c>
      <c r="G34" s="134">
        <v>9.4600000000000009</v>
      </c>
      <c r="H34" s="134">
        <v>6.04</v>
      </c>
      <c r="I34" s="134">
        <v>3</v>
      </c>
      <c r="J34" s="134">
        <v>0.16</v>
      </c>
      <c r="K34" s="134">
        <v>255.45</v>
      </c>
      <c r="L34" s="134">
        <v>24.09</v>
      </c>
      <c r="M34" s="134">
        <v>100.37</v>
      </c>
      <c r="N34" s="134">
        <v>21.2</v>
      </c>
      <c r="O34" s="134">
        <v>0</v>
      </c>
      <c r="P34" s="134">
        <v>0.41</v>
      </c>
      <c r="Q34" s="134">
        <v>4.05</v>
      </c>
    </row>
    <row r="35" spans="1:17" customFormat="1">
      <c r="A35" s="112" t="s">
        <v>2567</v>
      </c>
      <c r="B35" s="134">
        <v>14.91</v>
      </c>
      <c r="C35" s="134">
        <v>22.12</v>
      </c>
      <c r="D35" s="134">
        <v>24.86</v>
      </c>
      <c r="E35" s="134">
        <v>8.9</v>
      </c>
      <c r="F35" s="134">
        <v>4.49</v>
      </c>
      <c r="G35" s="134">
        <v>9.26</v>
      </c>
      <c r="H35" s="134">
        <v>6.04</v>
      </c>
      <c r="I35" s="134">
        <v>3.07</v>
      </c>
      <c r="J35" s="134">
        <v>0.08</v>
      </c>
      <c r="K35" s="134">
        <v>215.42</v>
      </c>
      <c r="L35" s="134">
        <v>24.42</v>
      </c>
      <c r="M35" s="134">
        <v>99.4</v>
      </c>
      <c r="N35" s="134">
        <v>36.1</v>
      </c>
      <c r="O35" s="134">
        <v>0</v>
      </c>
      <c r="P35" s="134">
        <v>0.38</v>
      </c>
      <c r="Q35" s="134">
        <v>4.08</v>
      </c>
    </row>
    <row r="36" spans="1:17" customFormat="1">
      <c r="A36" s="112" t="s">
        <v>2568</v>
      </c>
      <c r="B36" s="134">
        <v>15.07</v>
      </c>
      <c r="C36" s="134">
        <v>23.59</v>
      </c>
      <c r="D36" s="134">
        <v>25.76</v>
      </c>
      <c r="E36" s="134">
        <v>8.8800000000000008</v>
      </c>
      <c r="F36" s="134">
        <v>3.94</v>
      </c>
      <c r="G36" s="134">
        <v>9.26</v>
      </c>
      <c r="H36" s="134">
        <v>6.04</v>
      </c>
      <c r="I36" s="134">
        <v>3.05</v>
      </c>
      <c r="J36" s="134">
        <v>0.23</v>
      </c>
      <c r="K36" s="134">
        <v>253.91</v>
      </c>
      <c r="L36" s="134">
        <v>24.73</v>
      </c>
      <c r="M36" s="134">
        <v>98.49</v>
      </c>
      <c r="N36" s="134">
        <v>54.8</v>
      </c>
      <c r="O36" s="134">
        <v>0</v>
      </c>
      <c r="P36" s="134">
        <v>0.4</v>
      </c>
      <c r="Q36" s="134">
        <v>4.08</v>
      </c>
    </row>
    <row r="37" spans="1:17" customFormat="1">
      <c r="A37" s="112" t="s">
        <v>2569</v>
      </c>
      <c r="B37" s="134">
        <v>15.42</v>
      </c>
      <c r="C37" s="134">
        <v>23.31</v>
      </c>
      <c r="D37" s="134">
        <v>25.9</v>
      </c>
      <c r="E37" s="134">
        <v>9.0299999999999994</v>
      </c>
      <c r="F37" s="134">
        <v>4.34</v>
      </c>
      <c r="G37" s="134">
        <v>9.26</v>
      </c>
      <c r="H37" s="134">
        <v>6.04</v>
      </c>
      <c r="I37" s="134">
        <v>3.04</v>
      </c>
      <c r="J37" s="134">
        <v>0.23</v>
      </c>
      <c r="K37" s="134">
        <v>257.07</v>
      </c>
      <c r="L37" s="134">
        <v>25.13</v>
      </c>
      <c r="M37" s="134">
        <v>96.3</v>
      </c>
      <c r="N37" s="134">
        <v>80.400000000000006</v>
      </c>
      <c r="O37" s="134">
        <v>0</v>
      </c>
      <c r="P37" s="134">
        <v>0.41</v>
      </c>
      <c r="Q37" s="134">
        <v>4.1500000000000004</v>
      </c>
    </row>
    <row r="38" spans="1:17" customFormat="1">
      <c r="A38" s="112" t="s">
        <v>2570</v>
      </c>
      <c r="B38" s="134">
        <v>15.52</v>
      </c>
      <c r="C38" s="134">
        <v>21.92</v>
      </c>
      <c r="D38" s="134">
        <v>25.25</v>
      </c>
      <c r="E38" s="134">
        <v>8.99</v>
      </c>
      <c r="F38" s="134">
        <v>4.6100000000000003</v>
      </c>
      <c r="G38" s="134">
        <v>8.6999999999999993</v>
      </c>
      <c r="H38" s="134">
        <v>4.45</v>
      </c>
      <c r="I38" s="134">
        <v>3.1</v>
      </c>
      <c r="J38" s="134">
        <v>0.28000000000000003</v>
      </c>
      <c r="K38" s="134">
        <v>254.96</v>
      </c>
      <c r="L38" s="134">
        <v>25.4</v>
      </c>
      <c r="M38" s="134">
        <v>95.37</v>
      </c>
      <c r="N38" s="134">
        <v>104.5</v>
      </c>
      <c r="O38" s="134">
        <v>0</v>
      </c>
      <c r="P38" s="134">
        <v>0.39</v>
      </c>
      <c r="Q38" s="134">
        <v>4.13</v>
      </c>
    </row>
    <row r="39" spans="1:17" customFormat="1">
      <c r="A39" s="112" t="s">
        <v>2571</v>
      </c>
      <c r="B39" s="134">
        <v>15.62</v>
      </c>
      <c r="C39" s="134">
        <v>23.35</v>
      </c>
      <c r="D39" s="134">
        <v>26.07</v>
      </c>
      <c r="E39" s="134">
        <v>8.64</v>
      </c>
      <c r="F39" s="134">
        <v>4</v>
      </c>
      <c r="G39" s="134">
        <v>8.61</v>
      </c>
      <c r="H39" s="134">
        <v>4.45</v>
      </c>
      <c r="I39" s="134">
        <v>3.12</v>
      </c>
      <c r="J39" s="134">
        <v>0.43</v>
      </c>
      <c r="K39" s="134">
        <v>261.7</v>
      </c>
      <c r="L39" s="134">
        <v>25.54</v>
      </c>
      <c r="M39" s="134">
        <v>93.98</v>
      </c>
      <c r="N39" s="134">
        <v>140.5</v>
      </c>
      <c r="O39" s="134">
        <v>0</v>
      </c>
      <c r="P39" s="134">
        <v>0.41</v>
      </c>
      <c r="Q39" s="134">
        <v>4.0999999999999996</v>
      </c>
    </row>
    <row r="40" spans="1:17" customFormat="1">
      <c r="A40" s="112" t="s">
        <v>2572</v>
      </c>
      <c r="B40" s="134">
        <v>15.77</v>
      </c>
      <c r="C40" s="134">
        <v>23.29</v>
      </c>
      <c r="D40" s="134">
        <v>26.16</v>
      </c>
      <c r="E40" s="134">
        <v>9.16</v>
      </c>
      <c r="F40" s="134">
        <v>4.0999999999999996</v>
      </c>
      <c r="G40" s="134">
        <v>8.61</v>
      </c>
      <c r="H40" s="134">
        <v>4.45</v>
      </c>
      <c r="I40" s="134">
        <v>3.1</v>
      </c>
      <c r="J40" s="134">
        <v>0.47</v>
      </c>
      <c r="K40" s="134">
        <v>266.27999999999997</v>
      </c>
      <c r="L40" s="134">
        <v>25.93</v>
      </c>
      <c r="M40" s="134">
        <v>92.38</v>
      </c>
      <c r="N40" s="134">
        <v>145.6</v>
      </c>
      <c r="O40" s="134">
        <v>0</v>
      </c>
      <c r="P40" s="134">
        <v>0.41</v>
      </c>
      <c r="Q40" s="134">
        <v>4.1500000000000004</v>
      </c>
    </row>
    <row r="41" spans="1:17" customFormat="1">
      <c r="A41" s="112" t="s">
        <v>2573</v>
      </c>
      <c r="B41" s="134">
        <v>15.87</v>
      </c>
      <c r="C41" s="134">
        <v>21.89</v>
      </c>
      <c r="D41" s="134">
        <v>25.52</v>
      </c>
      <c r="E41" s="134">
        <v>8.74</v>
      </c>
      <c r="F41" s="134">
        <v>4.59</v>
      </c>
      <c r="G41" s="134">
        <v>8.61</v>
      </c>
      <c r="H41" s="134">
        <v>4.45</v>
      </c>
      <c r="I41" s="134">
        <v>3.2</v>
      </c>
      <c r="J41" s="134">
        <v>0.13</v>
      </c>
      <c r="K41" s="134">
        <v>215.74</v>
      </c>
      <c r="L41" s="134">
        <v>26.13</v>
      </c>
      <c r="M41" s="134">
        <v>92.6</v>
      </c>
      <c r="N41" s="134">
        <v>137.1</v>
      </c>
      <c r="O41" s="134">
        <v>0</v>
      </c>
      <c r="P41" s="134">
        <v>0.41</v>
      </c>
      <c r="Q41" s="134">
        <v>4.1399999999999997</v>
      </c>
    </row>
    <row r="42" spans="1:17" customFormat="1">
      <c r="A42" s="112" t="s">
        <v>2574</v>
      </c>
      <c r="B42" s="134">
        <v>15.68</v>
      </c>
      <c r="C42" s="134">
        <v>21.03</v>
      </c>
      <c r="D42" s="134">
        <v>24.91</v>
      </c>
      <c r="E42" s="134">
        <v>8.7899999999999991</v>
      </c>
      <c r="F42" s="134">
        <v>4.8099999999999996</v>
      </c>
      <c r="G42" s="134">
        <v>8.34</v>
      </c>
      <c r="H42" s="134">
        <v>6.23</v>
      </c>
      <c r="I42" s="134">
        <v>3.22</v>
      </c>
      <c r="J42" s="134">
        <v>0.14000000000000001</v>
      </c>
      <c r="K42" s="134">
        <v>261.89999999999998</v>
      </c>
      <c r="L42" s="134">
        <v>26.59</v>
      </c>
      <c r="M42" s="134">
        <v>90.86</v>
      </c>
      <c r="N42" s="134">
        <v>171.4</v>
      </c>
      <c r="O42" s="134">
        <v>0</v>
      </c>
      <c r="P42" s="134">
        <v>0.41</v>
      </c>
      <c r="Q42" s="134">
        <v>4.12</v>
      </c>
    </row>
    <row r="43" spans="1:17" customFormat="1">
      <c r="A43" s="112" t="s">
        <v>2575</v>
      </c>
      <c r="B43" s="134">
        <v>15.81</v>
      </c>
      <c r="C43" s="134">
        <v>23.35</v>
      </c>
      <c r="D43" s="134">
        <v>26.23</v>
      </c>
      <c r="E43" s="134">
        <v>9</v>
      </c>
      <c r="F43" s="134">
        <v>4</v>
      </c>
      <c r="G43" s="134">
        <v>8.2899999999999991</v>
      </c>
      <c r="H43" s="134">
        <v>6.23</v>
      </c>
      <c r="I43" s="134">
        <v>3.23</v>
      </c>
      <c r="J43" s="134">
        <v>0.13</v>
      </c>
      <c r="K43" s="134">
        <v>223.5</v>
      </c>
      <c r="L43" s="134">
        <v>26.87</v>
      </c>
      <c r="M43" s="134">
        <v>89.29</v>
      </c>
      <c r="N43" s="134">
        <v>189.4</v>
      </c>
      <c r="O43" s="134">
        <v>0</v>
      </c>
      <c r="P43" s="134">
        <v>0.43</v>
      </c>
      <c r="Q43" s="134">
        <v>4.1100000000000003</v>
      </c>
    </row>
    <row r="44" spans="1:17" customFormat="1">
      <c r="A44" s="112" t="s">
        <v>2576</v>
      </c>
      <c r="B44" s="134">
        <v>15.99</v>
      </c>
      <c r="C44" s="134">
        <v>22.5</v>
      </c>
      <c r="D44" s="134">
        <v>25.93</v>
      </c>
      <c r="E44" s="134">
        <v>8.99</v>
      </c>
      <c r="F44" s="134">
        <v>4.37</v>
      </c>
      <c r="G44" s="134">
        <v>8.2899999999999991</v>
      </c>
      <c r="H44" s="134">
        <v>6.23</v>
      </c>
      <c r="I44" s="134">
        <v>3.28</v>
      </c>
      <c r="J44" s="134">
        <v>0.23</v>
      </c>
      <c r="K44" s="134">
        <v>359.7</v>
      </c>
      <c r="L44" s="134">
        <v>27.17</v>
      </c>
      <c r="M44" s="134">
        <v>87.46</v>
      </c>
      <c r="N44" s="134">
        <v>166.1</v>
      </c>
      <c r="O44" s="134">
        <v>0</v>
      </c>
      <c r="P44" s="134">
        <v>0.43</v>
      </c>
      <c r="Q44" s="134">
        <v>4.1500000000000004</v>
      </c>
    </row>
    <row r="45" spans="1:17" customFormat="1">
      <c r="A45" s="112" t="s">
        <v>2577</v>
      </c>
      <c r="B45" s="134">
        <v>16.2</v>
      </c>
      <c r="C45" s="134">
        <v>21.46</v>
      </c>
      <c r="D45" s="134">
        <v>25.56</v>
      </c>
      <c r="E45" s="134">
        <v>8.73</v>
      </c>
      <c r="F45" s="134">
        <v>4.97</v>
      </c>
      <c r="G45" s="134">
        <v>8.2899999999999991</v>
      </c>
      <c r="H45" s="134">
        <v>6.23</v>
      </c>
      <c r="I45" s="134">
        <v>3.39</v>
      </c>
      <c r="J45" s="134">
        <v>0.17</v>
      </c>
      <c r="K45" s="134">
        <v>87.01</v>
      </c>
      <c r="L45" s="134">
        <v>27.38</v>
      </c>
      <c r="M45" s="134">
        <v>86.74</v>
      </c>
      <c r="N45" s="134">
        <v>186.8</v>
      </c>
      <c r="O45" s="134">
        <v>0</v>
      </c>
      <c r="P45" s="134">
        <v>0.44</v>
      </c>
      <c r="Q45" s="134">
        <v>4.1500000000000004</v>
      </c>
    </row>
    <row r="46" spans="1:17" customFormat="1">
      <c r="A46" s="112" t="s">
        <v>2578</v>
      </c>
      <c r="B46" s="134">
        <v>15.73</v>
      </c>
      <c r="C46" s="134">
        <v>20.49</v>
      </c>
      <c r="D46" s="134">
        <v>24.67</v>
      </c>
      <c r="E46" s="134">
        <v>8.3699999999999992</v>
      </c>
      <c r="F46" s="134">
        <v>6.22</v>
      </c>
      <c r="G46" s="134">
        <v>16.5</v>
      </c>
      <c r="H46" s="134">
        <v>9.4</v>
      </c>
      <c r="I46" s="134">
        <v>3.44</v>
      </c>
      <c r="J46" s="134">
        <v>7.0000000000000007E-2</v>
      </c>
      <c r="K46" s="134">
        <v>349.64</v>
      </c>
      <c r="L46" s="134">
        <v>27.77</v>
      </c>
      <c r="M46" s="134">
        <v>85.39</v>
      </c>
      <c r="N46" s="134">
        <v>201.9</v>
      </c>
      <c r="O46" s="134">
        <v>0</v>
      </c>
      <c r="P46" s="134">
        <v>0.45</v>
      </c>
      <c r="Q46" s="134">
        <v>4.1100000000000003</v>
      </c>
    </row>
    <row r="47" spans="1:17" customFormat="1">
      <c r="A47" s="112" t="s">
        <v>2579</v>
      </c>
      <c r="B47" s="134">
        <v>16.18</v>
      </c>
      <c r="C47" s="134">
        <v>21.62</v>
      </c>
      <c r="D47" s="134">
        <v>25.62</v>
      </c>
      <c r="E47" s="134">
        <v>8.43</v>
      </c>
      <c r="F47" s="134">
        <v>5.12</v>
      </c>
      <c r="G47" s="134">
        <v>17.89</v>
      </c>
      <c r="H47" s="134">
        <v>9.4</v>
      </c>
      <c r="I47" s="134">
        <v>3.48</v>
      </c>
      <c r="J47" s="134">
        <v>0.24</v>
      </c>
      <c r="K47" s="134">
        <v>15.69</v>
      </c>
      <c r="L47" s="134">
        <v>28.12</v>
      </c>
      <c r="M47" s="134">
        <v>85.41</v>
      </c>
      <c r="N47" s="134">
        <v>256.39999999999998</v>
      </c>
      <c r="O47" s="134">
        <v>0</v>
      </c>
      <c r="P47" s="134">
        <v>0.46</v>
      </c>
      <c r="Q47" s="134">
        <v>4.09</v>
      </c>
    </row>
    <row r="48" spans="1:17" customFormat="1">
      <c r="A48" s="112" t="s">
        <v>2580</v>
      </c>
      <c r="B48" s="134">
        <v>16.399999999999999</v>
      </c>
      <c r="C48" s="134">
        <v>24.34</v>
      </c>
      <c r="D48" s="134">
        <v>27.22</v>
      </c>
      <c r="E48" s="134">
        <v>8.77</v>
      </c>
      <c r="F48" s="134">
        <v>4.1399999999999997</v>
      </c>
      <c r="G48" s="134">
        <v>17.89</v>
      </c>
      <c r="H48" s="134">
        <v>9.4</v>
      </c>
      <c r="I48" s="134">
        <v>3.57</v>
      </c>
      <c r="J48" s="134">
        <v>0.23</v>
      </c>
      <c r="K48" s="134">
        <v>332.58</v>
      </c>
      <c r="L48" s="134">
        <v>28.35</v>
      </c>
      <c r="M48" s="134">
        <v>84.54</v>
      </c>
      <c r="N48" s="134">
        <v>258.5</v>
      </c>
      <c r="O48" s="134">
        <v>0</v>
      </c>
      <c r="P48" s="134">
        <v>0.51</v>
      </c>
      <c r="Q48" s="134">
        <v>4.13</v>
      </c>
    </row>
    <row r="49" spans="1:17" customFormat="1">
      <c r="A49" s="112" t="s">
        <v>2581</v>
      </c>
      <c r="B49" s="134">
        <v>16.149999999999999</v>
      </c>
      <c r="C49" s="134">
        <v>25.28</v>
      </c>
      <c r="D49" s="134">
        <v>27.5</v>
      </c>
      <c r="E49" s="134">
        <v>6.94</v>
      </c>
      <c r="F49" s="134">
        <v>4.6399999999999997</v>
      </c>
      <c r="G49" s="134">
        <v>17.89</v>
      </c>
      <c r="H49" s="134">
        <v>9.4</v>
      </c>
      <c r="I49" s="134">
        <v>3.64</v>
      </c>
      <c r="J49" s="134">
        <v>0.33</v>
      </c>
      <c r="K49" s="134">
        <v>21.56</v>
      </c>
      <c r="L49" s="134">
        <v>28.59</v>
      </c>
      <c r="M49" s="134">
        <v>83.8</v>
      </c>
      <c r="N49" s="134">
        <v>324.2</v>
      </c>
      <c r="O49" s="134">
        <v>0</v>
      </c>
      <c r="P49" s="134">
        <v>0.55000000000000004</v>
      </c>
      <c r="Q49" s="134">
        <v>4.16</v>
      </c>
    </row>
    <row r="50" spans="1:17" customFormat="1">
      <c r="A50" s="112" t="s">
        <v>2582</v>
      </c>
      <c r="B50" s="134">
        <v>15.76</v>
      </c>
      <c r="C50" s="134">
        <v>26.12</v>
      </c>
      <c r="D50" s="134">
        <v>27.63</v>
      </c>
      <c r="E50" s="134">
        <v>7.72</v>
      </c>
      <c r="F50" s="134">
        <v>4.63</v>
      </c>
      <c r="G50" s="134">
        <v>30.32</v>
      </c>
      <c r="H50" s="134">
        <v>12.82</v>
      </c>
      <c r="I50" s="134">
        <v>3.78</v>
      </c>
      <c r="J50" s="134">
        <v>0.12</v>
      </c>
      <c r="K50" s="134">
        <v>313.48</v>
      </c>
      <c r="L50" s="134">
        <v>29.21</v>
      </c>
      <c r="M50" s="134">
        <v>81.44</v>
      </c>
      <c r="N50" s="134">
        <v>286.8</v>
      </c>
      <c r="O50" s="134">
        <v>0</v>
      </c>
      <c r="P50" s="134">
        <v>0.56999999999999995</v>
      </c>
      <c r="Q50" s="134">
        <v>4.18</v>
      </c>
    </row>
    <row r="51" spans="1:17" customFormat="1">
      <c r="A51" s="112" t="s">
        <v>2583</v>
      </c>
      <c r="B51" s="134">
        <v>15.2</v>
      </c>
      <c r="C51" s="134">
        <v>26.9</v>
      </c>
      <c r="D51" s="134">
        <v>27.6</v>
      </c>
      <c r="E51" s="134">
        <v>7.61</v>
      </c>
      <c r="F51" s="134">
        <v>4.57</v>
      </c>
      <c r="G51" s="134">
        <v>32.42</v>
      </c>
      <c r="H51" s="134">
        <v>12.82</v>
      </c>
      <c r="I51" s="134">
        <v>3.92</v>
      </c>
      <c r="J51" s="134">
        <v>0.3</v>
      </c>
      <c r="K51" s="134">
        <v>3.48</v>
      </c>
      <c r="L51" s="134">
        <v>29.27</v>
      </c>
      <c r="M51" s="134">
        <v>81.349999999999994</v>
      </c>
      <c r="N51" s="134">
        <v>242.5</v>
      </c>
      <c r="O51" s="134">
        <v>0</v>
      </c>
      <c r="P51" s="134">
        <v>0.59</v>
      </c>
      <c r="Q51" s="134">
        <v>4.2</v>
      </c>
    </row>
    <row r="52" spans="1:17" customFormat="1">
      <c r="A52" s="112" t="s">
        <v>2584</v>
      </c>
      <c r="B52" s="134">
        <v>15.18</v>
      </c>
      <c r="C52" s="134">
        <v>27.41</v>
      </c>
      <c r="D52" s="134">
        <v>27.85</v>
      </c>
      <c r="E52" s="134">
        <v>7.82</v>
      </c>
      <c r="F52" s="134">
        <v>4.59</v>
      </c>
      <c r="G52" s="134">
        <v>32.42</v>
      </c>
      <c r="H52" s="134">
        <v>12.82</v>
      </c>
      <c r="I52" s="134">
        <v>3.99</v>
      </c>
      <c r="J52" s="134">
        <v>0.39</v>
      </c>
      <c r="K52" s="134">
        <v>40.520000000000003</v>
      </c>
      <c r="L52" s="134">
        <v>28.95</v>
      </c>
      <c r="M52" s="134">
        <v>83.58</v>
      </c>
      <c r="N52" s="134">
        <v>226.8</v>
      </c>
      <c r="O52" s="134">
        <v>0</v>
      </c>
      <c r="P52" s="134">
        <v>0.61</v>
      </c>
      <c r="Q52" s="134">
        <v>4.1900000000000004</v>
      </c>
    </row>
    <row r="53" spans="1:17" customFormat="1">
      <c r="A53" s="112" t="s">
        <v>2585</v>
      </c>
      <c r="B53" s="134">
        <v>15.14</v>
      </c>
      <c r="C53" s="134">
        <v>28.13</v>
      </c>
      <c r="D53" s="134">
        <v>28.19</v>
      </c>
      <c r="E53" s="134">
        <v>7.74</v>
      </c>
      <c r="F53" s="134">
        <v>4.67</v>
      </c>
      <c r="G53" s="134">
        <v>32.42</v>
      </c>
      <c r="H53" s="134">
        <v>12.82</v>
      </c>
      <c r="I53" s="134">
        <v>4.0999999999999996</v>
      </c>
      <c r="J53" s="134">
        <v>0.19</v>
      </c>
      <c r="K53" s="134">
        <v>74.680000000000007</v>
      </c>
      <c r="L53" s="134">
        <v>29.52</v>
      </c>
      <c r="M53" s="134">
        <v>80.8</v>
      </c>
      <c r="N53" s="134">
        <v>432.3</v>
      </c>
      <c r="O53" s="134">
        <v>0</v>
      </c>
      <c r="P53" s="134">
        <v>0.63</v>
      </c>
      <c r="Q53" s="134">
        <v>4.21</v>
      </c>
    </row>
    <row r="54" spans="1:17" customFormat="1">
      <c r="A54" s="112" t="s">
        <v>2586</v>
      </c>
      <c r="B54" s="134">
        <v>14.87</v>
      </c>
      <c r="C54" s="134">
        <v>28.56</v>
      </c>
      <c r="D54" s="134">
        <v>28.2</v>
      </c>
      <c r="E54" s="134">
        <v>8.0299999999999994</v>
      </c>
      <c r="F54" s="134">
        <v>4.68</v>
      </c>
      <c r="G54" s="134">
        <v>51.31</v>
      </c>
      <c r="H54" s="134">
        <v>19.23</v>
      </c>
      <c r="I54" s="134">
        <v>4.24</v>
      </c>
      <c r="J54" s="134">
        <v>0.37</v>
      </c>
      <c r="K54" s="134">
        <v>53.7</v>
      </c>
      <c r="L54" s="134">
        <v>30.46</v>
      </c>
      <c r="M54" s="134">
        <v>77.319999999999993</v>
      </c>
      <c r="N54" s="134">
        <v>565.79999999999995</v>
      </c>
      <c r="O54" s="134">
        <v>0</v>
      </c>
      <c r="P54" s="134">
        <v>0.65</v>
      </c>
      <c r="Q54" s="134">
        <v>4.22</v>
      </c>
    </row>
    <row r="55" spans="1:17" customFormat="1">
      <c r="A55" s="112" t="s">
        <v>2587</v>
      </c>
      <c r="B55" s="134">
        <v>14.36</v>
      </c>
      <c r="C55" s="134">
        <v>28.86</v>
      </c>
      <c r="D55" s="134">
        <v>27.95</v>
      </c>
      <c r="E55" s="134">
        <v>8.2899999999999991</v>
      </c>
      <c r="F55" s="134">
        <v>4.7</v>
      </c>
      <c r="G55" s="134">
        <v>54.79</v>
      </c>
      <c r="H55" s="134">
        <v>19.23</v>
      </c>
      <c r="I55" s="134">
        <v>4.41</v>
      </c>
      <c r="J55" s="134">
        <v>0.31</v>
      </c>
      <c r="K55" s="134">
        <v>34.06</v>
      </c>
      <c r="L55" s="134">
        <v>30.21</v>
      </c>
      <c r="M55" s="134">
        <v>77.88</v>
      </c>
      <c r="N55" s="134">
        <v>483.9</v>
      </c>
      <c r="O55" s="134">
        <v>0</v>
      </c>
      <c r="P55" s="134">
        <v>0.65</v>
      </c>
      <c r="Q55" s="134">
        <v>4.21</v>
      </c>
    </row>
    <row r="56" spans="1:17" customFormat="1">
      <c r="A56" s="112" t="s">
        <v>2588</v>
      </c>
      <c r="B56" s="134">
        <v>13.72</v>
      </c>
      <c r="C56" s="134">
        <v>29.29</v>
      </c>
      <c r="D56" s="134">
        <v>27.66</v>
      </c>
      <c r="E56" s="134">
        <v>7.98</v>
      </c>
      <c r="F56" s="134">
        <v>4.7</v>
      </c>
      <c r="G56" s="134">
        <v>54.79</v>
      </c>
      <c r="H56" s="134">
        <v>19.23</v>
      </c>
      <c r="I56" s="134">
        <v>4.51</v>
      </c>
      <c r="J56" s="134">
        <v>0.41</v>
      </c>
      <c r="K56" s="134">
        <v>46.69</v>
      </c>
      <c r="L56" s="134">
        <v>30.2</v>
      </c>
      <c r="M56" s="134">
        <v>77.650000000000006</v>
      </c>
      <c r="N56" s="134">
        <v>309.5</v>
      </c>
      <c r="O56" s="134">
        <v>0</v>
      </c>
      <c r="P56" s="134">
        <v>0.67</v>
      </c>
      <c r="Q56" s="134">
        <v>4.18</v>
      </c>
    </row>
    <row r="57" spans="1:17" customFormat="1">
      <c r="A57" s="112" t="s">
        <v>2589</v>
      </c>
      <c r="B57" s="134">
        <v>13.06</v>
      </c>
      <c r="C57" s="134">
        <v>29.6</v>
      </c>
      <c r="D57" s="134">
        <v>27.29</v>
      </c>
      <c r="E57" s="134">
        <v>8.19</v>
      </c>
      <c r="F57" s="134">
        <v>4.74</v>
      </c>
      <c r="G57" s="134">
        <v>54.79</v>
      </c>
      <c r="H57" s="134">
        <v>19.23</v>
      </c>
      <c r="I57" s="134">
        <v>4.59</v>
      </c>
      <c r="J57" s="134">
        <v>0.09</v>
      </c>
      <c r="K57" s="134">
        <v>244.04</v>
      </c>
      <c r="L57" s="134">
        <v>30.33</v>
      </c>
      <c r="M57" s="134">
        <v>74.959999999999994</v>
      </c>
      <c r="N57" s="134">
        <v>531.29999999999995</v>
      </c>
      <c r="O57" s="134">
        <v>0</v>
      </c>
      <c r="P57" s="134">
        <v>0.68</v>
      </c>
      <c r="Q57" s="134">
        <v>4.1399999999999997</v>
      </c>
    </row>
    <row r="58" spans="1:17" customFormat="1">
      <c r="A58" s="112" t="s">
        <v>2590</v>
      </c>
      <c r="B58" s="134">
        <v>12.08</v>
      </c>
      <c r="C58" s="134">
        <v>29.64</v>
      </c>
      <c r="D58" s="134">
        <v>26.53</v>
      </c>
      <c r="E58" s="134">
        <v>8.43</v>
      </c>
      <c r="F58" s="134">
        <v>5.44</v>
      </c>
      <c r="G58" s="134">
        <v>66.14</v>
      </c>
      <c r="H58" s="134">
        <v>24.11</v>
      </c>
      <c r="I58" s="134">
        <v>4.6399999999999997</v>
      </c>
      <c r="J58" s="134">
        <v>0.04</v>
      </c>
      <c r="K58" s="134">
        <v>153.56</v>
      </c>
      <c r="L58" s="134">
        <v>31.47</v>
      </c>
      <c r="M58" s="134">
        <v>72.739999999999995</v>
      </c>
      <c r="N58" s="134">
        <v>674.1</v>
      </c>
      <c r="O58" s="134">
        <v>0</v>
      </c>
      <c r="P58" s="134">
        <v>0.67</v>
      </c>
      <c r="Q58" s="134">
        <v>4.09</v>
      </c>
    </row>
    <row r="59" spans="1:17" customFormat="1">
      <c r="A59" s="112" t="s">
        <v>2591</v>
      </c>
      <c r="B59" s="134">
        <v>11.26</v>
      </c>
      <c r="C59" s="134">
        <v>29.84</v>
      </c>
      <c r="D59" s="134">
        <v>25.97</v>
      </c>
      <c r="E59" s="134">
        <v>8.35</v>
      </c>
      <c r="F59" s="134">
        <v>5.55</v>
      </c>
      <c r="G59" s="134">
        <v>68.06</v>
      </c>
      <c r="H59" s="134">
        <v>24.11</v>
      </c>
      <c r="I59" s="134">
        <v>4.6900000000000004</v>
      </c>
      <c r="J59" s="134">
        <v>0.42</v>
      </c>
      <c r="K59" s="134">
        <v>47.83</v>
      </c>
      <c r="L59" s="134">
        <v>31.6</v>
      </c>
      <c r="M59" s="134">
        <v>72.83</v>
      </c>
      <c r="N59" s="134">
        <v>416.6</v>
      </c>
      <c r="O59" s="134">
        <v>0</v>
      </c>
      <c r="P59" s="134">
        <v>0.67</v>
      </c>
      <c r="Q59" s="134">
        <v>4.01</v>
      </c>
    </row>
    <row r="60" spans="1:17" customFormat="1">
      <c r="A60" s="112" t="s">
        <v>2592</v>
      </c>
      <c r="B60" s="134">
        <v>10.75</v>
      </c>
      <c r="C60" s="134">
        <v>29.5</v>
      </c>
      <c r="D60" s="134">
        <v>25.38</v>
      </c>
      <c r="E60" s="134">
        <v>7.7</v>
      </c>
      <c r="F60" s="134">
        <v>5.18</v>
      </c>
      <c r="G60" s="134">
        <v>68.06</v>
      </c>
      <c r="H60" s="134">
        <v>24.11</v>
      </c>
      <c r="I60" s="134">
        <v>4.68</v>
      </c>
      <c r="J60" s="134">
        <v>0.18</v>
      </c>
      <c r="K60" s="134">
        <v>56.97</v>
      </c>
      <c r="L60" s="134">
        <v>30.65</v>
      </c>
      <c r="M60" s="134">
        <v>76.349999999999994</v>
      </c>
      <c r="N60" s="134">
        <v>130.19999999999999</v>
      </c>
      <c r="O60" s="134">
        <v>0</v>
      </c>
      <c r="P60" s="134">
        <v>0.67</v>
      </c>
      <c r="Q60" s="134">
        <v>3.96</v>
      </c>
    </row>
    <row r="61" spans="1:17" customFormat="1">
      <c r="A61" s="112" t="s">
        <v>2593</v>
      </c>
      <c r="B61" s="134">
        <v>10.17</v>
      </c>
      <c r="C61" s="134">
        <v>30.02</v>
      </c>
      <c r="D61" s="134">
        <v>25.19</v>
      </c>
      <c r="E61" s="134">
        <v>7.94</v>
      </c>
      <c r="F61" s="134">
        <v>4.68</v>
      </c>
      <c r="G61" s="134">
        <v>68.06</v>
      </c>
      <c r="H61" s="134">
        <v>24.11</v>
      </c>
      <c r="I61" s="134">
        <v>4.78</v>
      </c>
      <c r="J61" s="134">
        <v>0.15</v>
      </c>
      <c r="K61" s="134">
        <v>143.25</v>
      </c>
      <c r="L61" s="134">
        <v>30.6</v>
      </c>
      <c r="M61" s="134">
        <v>76.790000000000006</v>
      </c>
      <c r="N61" s="134">
        <v>135</v>
      </c>
      <c r="O61" s="134">
        <v>0</v>
      </c>
      <c r="P61" s="134">
        <v>0.69</v>
      </c>
      <c r="Q61" s="134">
        <v>3.93</v>
      </c>
    </row>
    <row r="62" spans="1:17" customFormat="1">
      <c r="A62" s="112" t="s">
        <v>2594</v>
      </c>
      <c r="B62" s="134">
        <v>9.6199999999999992</v>
      </c>
      <c r="C62" s="134">
        <v>29.61</v>
      </c>
      <c r="D62" s="134">
        <v>24.54</v>
      </c>
      <c r="E62" s="134">
        <v>7.94</v>
      </c>
      <c r="F62" s="134">
        <v>5.03</v>
      </c>
      <c r="G62" s="134">
        <v>67.61</v>
      </c>
      <c r="H62" s="134">
        <v>25.51</v>
      </c>
      <c r="I62" s="134">
        <v>4.75</v>
      </c>
      <c r="J62" s="134">
        <v>0.04</v>
      </c>
      <c r="K62" s="134">
        <v>351.62</v>
      </c>
      <c r="L62" s="134">
        <v>30.21</v>
      </c>
      <c r="M62" s="134">
        <v>78.42</v>
      </c>
      <c r="N62" s="134">
        <v>92.2</v>
      </c>
      <c r="O62" s="134">
        <v>0</v>
      </c>
      <c r="P62" s="134">
        <v>0.7</v>
      </c>
      <c r="Q62" s="134">
        <v>3.93</v>
      </c>
    </row>
    <row r="63" spans="1:17" customFormat="1">
      <c r="A63" s="112" t="s">
        <v>2595</v>
      </c>
      <c r="B63" s="134">
        <v>9.69</v>
      </c>
      <c r="C63" s="134">
        <v>29.67</v>
      </c>
      <c r="D63" s="134">
        <v>24.63</v>
      </c>
      <c r="E63" s="134">
        <v>7.68</v>
      </c>
      <c r="F63" s="134">
        <v>4.57</v>
      </c>
      <c r="G63" s="134">
        <v>67.53</v>
      </c>
      <c r="H63" s="134">
        <v>25.51</v>
      </c>
      <c r="I63" s="134">
        <v>4.75</v>
      </c>
      <c r="J63" s="134">
        <v>0.21</v>
      </c>
      <c r="K63" s="134">
        <v>341.23</v>
      </c>
      <c r="L63" s="134">
        <v>29.63</v>
      </c>
      <c r="M63" s="134">
        <v>84.59</v>
      </c>
      <c r="N63" s="134">
        <v>155.30000000000001</v>
      </c>
      <c r="O63" s="134">
        <v>0</v>
      </c>
      <c r="P63" s="134">
        <v>0.71</v>
      </c>
      <c r="Q63" s="134">
        <v>3.91</v>
      </c>
    </row>
    <row r="64" spans="1:17" customFormat="1">
      <c r="A64" s="112" t="s">
        <v>2596</v>
      </c>
      <c r="B64" s="134">
        <v>10.199999999999999</v>
      </c>
      <c r="C64" s="134">
        <v>30.6</v>
      </c>
      <c r="D64" s="134">
        <v>25.52</v>
      </c>
      <c r="E64" s="134">
        <v>8.42</v>
      </c>
      <c r="F64" s="134">
        <v>4.1900000000000004</v>
      </c>
      <c r="G64" s="134">
        <v>67.53</v>
      </c>
      <c r="H64" s="134">
        <v>25.51</v>
      </c>
      <c r="I64" s="134">
        <v>4.8</v>
      </c>
      <c r="J64" s="134">
        <v>0.28999999999999998</v>
      </c>
      <c r="K64" s="134">
        <v>330.69</v>
      </c>
      <c r="L64" s="134">
        <v>29.76</v>
      </c>
      <c r="M64" s="134">
        <v>83.8</v>
      </c>
      <c r="N64" s="134">
        <v>293.60000000000002</v>
      </c>
      <c r="O64" s="134">
        <v>0</v>
      </c>
      <c r="P64" s="134">
        <v>0.73</v>
      </c>
      <c r="Q64" s="134">
        <v>3.91</v>
      </c>
    </row>
    <row r="65" spans="1:17" customFormat="1">
      <c r="A65" s="112" t="s">
        <v>2597</v>
      </c>
      <c r="B65" s="134">
        <v>10.89</v>
      </c>
      <c r="C65" s="134">
        <v>29.95</v>
      </c>
      <c r="D65" s="134">
        <v>25.73</v>
      </c>
      <c r="E65" s="134">
        <v>9.35</v>
      </c>
      <c r="F65" s="134">
        <v>4.87</v>
      </c>
      <c r="G65" s="134">
        <v>67.53</v>
      </c>
      <c r="H65" s="134">
        <v>25.51</v>
      </c>
      <c r="I65" s="134">
        <v>4.8</v>
      </c>
      <c r="J65" s="134">
        <v>0.25</v>
      </c>
      <c r="K65" s="134">
        <v>352.8</v>
      </c>
      <c r="L65" s="134">
        <v>30.37</v>
      </c>
      <c r="M65" s="134">
        <v>80.31</v>
      </c>
      <c r="N65" s="134">
        <v>363.7</v>
      </c>
      <c r="O65" s="134">
        <v>0</v>
      </c>
      <c r="P65" s="134">
        <v>0.64</v>
      </c>
      <c r="Q65" s="134">
        <v>3.98</v>
      </c>
    </row>
    <row r="66" spans="1:17" customFormat="1">
      <c r="A66" s="112" t="s">
        <v>2598</v>
      </c>
      <c r="B66" s="134">
        <v>11.19</v>
      </c>
      <c r="C66" s="134">
        <v>30.17</v>
      </c>
      <c r="D66" s="134">
        <v>26.09</v>
      </c>
      <c r="E66" s="134">
        <v>9.41</v>
      </c>
      <c r="F66" s="134">
        <v>4.74</v>
      </c>
      <c r="G66" s="134">
        <v>75.87</v>
      </c>
      <c r="H66" s="134">
        <v>28.71</v>
      </c>
      <c r="I66" s="134">
        <v>4.91</v>
      </c>
      <c r="J66" s="134">
        <v>0.14000000000000001</v>
      </c>
      <c r="K66" s="134">
        <v>208.96</v>
      </c>
      <c r="L66" s="134">
        <v>30.19</v>
      </c>
      <c r="M66" s="134">
        <v>79.98</v>
      </c>
      <c r="N66" s="134">
        <v>103.7</v>
      </c>
      <c r="O66" s="134">
        <v>0</v>
      </c>
      <c r="P66" s="134">
        <v>0.68</v>
      </c>
      <c r="Q66" s="134">
        <v>3.99</v>
      </c>
    </row>
    <row r="67" spans="1:17" customFormat="1">
      <c r="A67" s="112" t="s">
        <v>2599</v>
      </c>
      <c r="B67" s="134">
        <v>11.02</v>
      </c>
      <c r="C67" s="134">
        <v>30.45</v>
      </c>
      <c r="D67" s="134">
        <v>26.1</v>
      </c>
      <c r="E67" s="134">
        <v>8.3800000000000008</v>
      </c>
      <c r="F67" s="134">
        <v>4.55</v>
      </c>
      <c r="G67" s="134">
        <v>77.28</v>
      </c>
      <c r="H67" s="134">
        <v>28.71</v>
      </c>
      <c r="I67" s="134">
        <v>4.95</v>
      </c>
      <c r="J67" s="134">
        <v>0.28000000000000003</v>
      </c>
      <c r="K67" s="134">
        <v>154</v>
      </c>
      <c r="L67" s="134">
        <v>29.2</v>
      </c>
      <c r="M67" s="134">
        <v>85.24</v>
      </c>
      <c r="N67" s="134">
        <v>50.9</v>
      </c>
      <c r="O67" s="134">
        <v>1.6</v>
      </c>
      <c r="P67" s="134">
        <v>0.69</v>
      </c>
      <c r="Q67" s="134">
        <v>4</v>
      </c>
    </row>
    <row r="68" spans="1:17" customFormat="1">
      <c r="A68" s="112" t="s">
        <v>2600</v>
      </c>
      <c r="B68" s="134">
        <v>10.66</v>
      </c>
      <c r="C68" s="134">
        <v>29.72</v>
      </c>
      <c r="D68" s="134">
        <v>25.43</v>
      </c>
      <c r="E68" s="134">
        <v>8.33</v>
      </c>
      <c r="F68" s="134">
        <v>5.16</v>
      </c>
      <c r="G68" s="134">
        <v>77.28</v>
      </c>
      <c r="H68" s="134">
        <v>28.71</v>
      </c>
      <c r="I68" s="134">
        <v>4.95</v>
      </c>
      <c r="J68" s="134">
        <v>0.17</v>
      </c>
      <c r="K68" s="134">
        <v>187.33</v>
      </c>
      <c r="L68" s="134">
        <v>25.57</v>
      </c>
      <c r="M68" s="134">
        <v>96.7</v>
      </c>
      <c r="N68" s="134">
        <v>37.799999999999997</v>
      </c>
      <c r="O68" s="134">
        <v>7.2</v>
      </c>
      <c r="P68" s="134">
        <v>0.67</v>
      </c>
      <c r="Q68" s="134">
        <v>3.98</v>
      </c>
    </row>
    <row r="69" spans="1:17" customFormat="1">
      <c r="A69" s="112" t="s">
        <v>2601</v>
      </c>
      <c r="B69" s="134">
        <v>10.28</v>
      </c>
      <c r="C69" s="134">
        <v>31.22</v>
      </c>
      <c r="D69" s="134">
        <v>25.91</v>
      </c>
      <c r="E69" s="134">
        <v>8.44</v>
      </c>
      <c r="F69" s="134">
        <v>4.2</v>
      </c>
      <c r="G69" s="134">
        <v>77.28</v>
      </c>
      <c r="H69" s="134">
        <v>28.71</v>
      </c>
      <c r="I69" s="134">
        <v>4.9800000000000004</v>
      </c>
      <c r="J69" s="134">
        <v>0.05</v>
      </c>
      <c r="K69" s="134">
        <v>193.69</v>
      </c>
      <c r="L69" s="134">
        <v>24.43</v>
      </c>
      <c r="M69" s="134">
        <v>100.33</v>
      </c>
      <c r="N69" s="134">
        <v>43</v>
      </c>
      <c r="O69" s="134">
        <v>3.4</v>
      </c>
      <c r="P69" s="134">
        <v>0.67</v>
      </c>
      <c r="Q69" s="134">
        <v>3.94</v>
      </c>
    </row>
    <row r="70" spans="1:17" customFormat="1">
      <c r="A70" s="112" t="s">
        <v>2602</v>
      </c>
      <c r="B70" s="134">
        <v>10.53</v>
      </c>
      <c r="C70" s="134">
        <v>28.27</v>
      </c>
      <c r="D70" s="134">
        <v>24.56</v>
      </c>
      <c r="E70" s="134">
        <v>8.09</v>
      </c>
      <c r="F70" s="134">
        <v>6.62</v>
      </c>
      <c r="G70" s="134">
        <v>65.540000000000006</v>
      </c>
      <c r="H70" s="134">
        <v>25.38</v>
      </c>
      <c r="I70" s="134">
        <v>4.92</v>
      </c>
      <c r="J70" s="134">
        <v>0.21</v>
      </c>
      <c r="K70" s="134">
        <v>177.79</v>
      </c>
      <c r="L70" s="134">
        <v>24.25</v>
      </c>
      <c r="M70" s="134">
        <v>101.13</v>
      </c>
      <c r="N70" s="134">
        <v>56</v>
      </c>
      <c r="O70" s="134">
        <v>0.4</v>
      </c>
      <c r="P70" s="134">
        <v>0.62</v>
      </c>
      <c r="Q70" s="134">
        <v>3.93</v>
      </c>
    </row>
    <row r="71" spans="1:17" customFormat="1">
      <c r="A71" s="112" t="s">
        <v>2603</v>
      </c>
      <c r="B71" s="134">
        <v>11</v>
      </c>
      <c r="C71" s="134">
        <v>25.64</v>
      </c>
      <c r="D71" s="134">
        <v>23.56</v>
      </c>
      <c r="E71" s="134">
        <v>7.66</v>
      </c>
      <c r="F71" s="134">
        <v>5.58</v>
      </c>
      <c r="G71" s="134">
        <v>63.56</v>
      </c>
      <c r="H71" s="134">
        <v>25.38</v>
      </c>
      <c r="I71" s="134">
        <v>4.82</v>
      </c>
      <c r="J71" s="134">
        <v>0.15</v>
      </c>
      <c r="K71" s="134">
        <v>279.02</v>
      </c>
      <c r="L71" s="134">
        <v>24.75</v>
      </c>
      <c r="M71" s="134">
        <v>100.94</v>
      </c>
      <c r="N71" s="134">
        <v>55.5</v>
      </c>
      <c r="O71" s="134">
        <v>0.2</v>
      </c>
      <c r="P71" s="134">
        <v>0.6</v>
      </c>
      <c r="Q71" s="134">
        <v>3.88</v>
      </c>
    </row>
    <row r="72" spans="1:17" customFormat="1">
      <c r="A72" s="112" t="s">
        <v>2604</v>
      </c>
      <c r="B72" s="134">
        <v>11.55</v>
      </c>
      <c r="C72" s="134">
        <v>25.23</v>
      </c>
      <c r="D72" s="134">
        <v>23.8</v>
      </c>
      <c r="E72" s="134">
        <v>6.73</v>
      </c>
      <c r="F72" s="134">
        <v>5.27</v>
      </c>
      <c r="G72" s="134">
        <v>63.56</v>
      </c>
      <c r="H72" s="134">
        <v>25.38</v>
      </c>
      <c r="I72" s="134">
        <v>4.6100000000000003</v>
      </c>
      <c r="J72" s="134">
        <v>0.19</v>
      </c>
      <c r="K72" s="134">
        <v>11.32</v>
      </c>
      <c r="L72" s="134">
        <v>25.12</v>
      </c>
      <c r="M72" s="134">
        <v>101.57</v>
      </c>
      <c r="N72" s="134">
        <v>54.2</v>
      </c>
      <c r="O72" s="134">
        <v>0</v>
      </c>
      <c r="P72" s="134">
        <v>0.59</v>
      </c>
      <c r="Q72" s="134">
        <v>3.84</v>
      </c>
    </row>
    <row r="73" spans="1:17" customFormat="1">
      <c r="A73" s="112" t="s">
        <v>2605</v>
      </c>
      <c r="B73" s="134">
        <v>12.6</v>
      </c>
      <c r="C73" s="134">
        <v>25.21</v>
      </c>
      <c r="D73" s="134">
        <v>24.62</v>
      </c>
      <c r="E73" s="134">
        <v>6.42</v>
      </c>
      <c r="F73" s="134">
        <v>5.45</v>
      </c>
      <c r="G73" s="134">
        <v>63.56</v>
      </c>
      <c r="H73" s="134">
        <v>25.38</v>
      </c>
      <c r="I73" s="134">
        <v>4.63</v>
      </c>
      <c r="J73" s="134">
        <v>0.31</v>
      </c>
      <c r="K73" s="134">
        <v>3.9</v>
      </c>
      <c r="L73" s="134">
        <v>25.29</v>
      </c>
      <c r="M73" s="134">
        <v>102.01</v>
      </c>
      <c r="N73" s="134">
        <v>51.6</v>
      </c>
      <c r="O73" s="134">
        <v>0</v>
      </c>
      <c r="P73" s="134">
        <v>0.6</v>
      </c>
      <c r="Q73" s="134">
        <v>3.85</v>
      </c>
    </row>
    <row r="74" spans="1:17" customFormat="1">
      <c r="A74" s="112" t="s">
        <v>2606</v>
      </c>
      <c r="B74" s="134">
        <v>12.55</v>
      </c>
      <c r="C74" s="134">
        <v>25.38</v>
      </c>
      <c r="D74" s="134">
        <v>24.67</v>
      </c>
      <c r="E74" s="134">
        <v>7.37</v>
      </c>
      <c r="F74" s="134">
        <v>6.06</v>
      </c>
      <c r="G74" s="134">
        <v>47.8</v>
      </c>
      <c r="H74" s="134">
        <v>18.82</v>
      </c>
      <c r="I74" s="134">
        <v>4.63</v>
      </c>
      <c r="J74" s="134">
        <v>0.23</v>
      </c>
      <c r="K74" s="134">
        <v>333.83</v>
      </c>
      <c r="L74" s="134">
        <v>24.98</v>
      </c>
      <c r="M74" s="134">
        <v>101.47</v>
      </c>
      <c r="N74" s="134">
        <v>54.5</v>
      </c>
      <c r="O74" s="134">
        <v>0</v>
      </c>
      <c r="P74" s="134">
        <v>0.59</v>
      </c>
      <c r="Q74" s="134">
        <v>3.87</v>
      </c>
    </row>
    <row r="75" spans="1:17" customFormat="1">
      <c r="A75" s="112" t="s">
        <v>2607</v>
      </c>
      <c r="B75" s="134">
        <v>12.92</v>
      </c>
      <c r="C75" s="134">
        <v>27.27</v>
      </c>
      <c r="D75" s="134">
        <v>25.96</v>
      </c>
      <c r="E75" s="134">
        <v>7.13</v>
      </c>
      <c r="F75" s="134">
        <v>4.54</v>
      </c>
      <c r="G75" s="134">
        <v>45.14</v>
      </c>
      <c r="H75" s="134">
        <v>18.82</v>
      </c>
      <c r="I75" s="134">
        <v>4.5999999999999996</v>
      </c>
      <c r="J75" s="134">
        <v>0.28999999999999998</v>
      </c>
      <c r="K75" s="134">
        <v>315.39999999999998</v>
      </c>
      <c r="L75" s="134">
        <v>24.96</v>
      </c>
      <c r="M75" s="134">
        <v>100.79</v>
      </c>
      <c r="N75" s="134">
        <v>42.5</v>
      </c>
      <c r="O75" s="134">
        <v>0</v>
      </c>
      <c r="P75" s="134">
        <v>0.62</v>
      </c>
      <c r="Q75" s="134">
        <v>3.9</v>
      </c>
    </row>
    <row r="76" spans="1:17" customFormat="1">
      <c r="A76" s="112" t="s">
        <v>2608</v>
      </c>
      <c r="B76" s="134">
        <v>13.53</v>
      </c>
      <c r="C76" s="134">
        <v>26.55</v>
      </c>
      <c r="D76" s="134">
        <v>26.07</v>
      </c>
      <c r="E76" s="134">
        <v>7.37</v>
      </c>
      <c r="F76" s="134">
        <v>4.6100000000000003</v>
      </c>
      <c r="G76" s="134">
        <v>45.14</v>
      </c>
      <c r="H76" s="134">
        <v>18.82</v>
      </c>
      <c r="I76" s="134">
        <v>4.6500000000000004</v>
      </c>
      <c r="J76" s="134">
        <v>0.24</v>
      </c>
      <c r="K76" s="134">
        <v>288.68</v>
      </c>
      <c r="L76" s="134">
        <v>25.14</v>
      </c>
      <c r="M76" s="134">
        <v>100</v>
      </c>
      <c r="N76" s="134">
        <v>30.6</v>
      </c>
      <c r="O76" s="134">
        <v>0</v>
      </c>
      <c r="P76" s="134">
        <v>0.62</v>
      </c>
      <c r="Q76" s="134">
        <v>4.01</v>
      </c>
    </row>
    <row r="77" spans="1:17" customFormat="1">
      <c r="A77" s="112" t="s">
        <v>2609</v>
      </c>
      <c r="B77" s="134">
        <v>13.82</v>
      </c>
      <c r="C77" s="134">
        <v>25.57</v>
      </c>
      <c r="D77" s="134">
        <v>25.79</v>
      </c>
      <c r="E77" s="134">
        <v>7.2</v>
      </c>
      <c r="F77" s="134">
        <v>4.93</v>
      </c>
      <c r="G77" s="134">
        <v>45.14</v>
      </c>
      <c r="H77" s="134">
        <v>18.82</v>
      </c>
      <c r="I77" s="134">
        <v>4.7</v>
      </c>
      <c r="J77" s="134">
        <v>0.22</v>
      </c>
      <c r="K77" s="134">
        <v>297.23</v>
      </c>
      <c r="L77" s="134">
        <v>25.02</v>
      </c>
      <c r="M77" s="134">
        <v>99.93</v>
      </c>
      <c r="N77" s="134">
        <v>4.5999999999999996</v>
      </c>
      <c r="O77" s="134">
        <v>0</v>
      </c>
      <c r="P77" s="134">
        <v>0.62</v>
      </c>
      <c r="Q77" s="134">
        <v>4.03</v>
      </c>
    </row>
    <row r="78" spans="1:17" customFormat="1">
      <c r="A78" s="112" t="s">
        <v>2610</v>
      </c>
      <c r="B78" s="134">
        <v>14.15</v>
      </c>
      <c r="C78" s="134">
        <v>25.86</v>
      </c>
      <c r="D78" s="134">
        <v>26.21</v>
      </c>
      <c r="E78" s="134">
        <v>7.61</v>
      </c>
      <c r="F78" s="134">
        <v>4.91</v>
      </c>
      <c r="G78" s="134">
        <v>48.97</v>
      </c>
      <c r="H78" s="134">
        <v>18.79</v>
      </c>
      <c r="I78" s="134">
        <v>4.68</v>
      </c>
      <c r="J78" s="134">
        <v>0.22</v>
      </c>
      <c r="K78" s="134">
        <v>258.95</v>
      </c>
      <c r="L78" s="134">
        <v>24.94</v>
      </c>
      <c r="M78" s="134">
        <v>100.54</v>
      </c>
      <c r="N78" s="134">
        <v>0</v>
      </c>
      <c r="O78" s="134">
        <v>0</v>
      </c>
      <c r="P78" s="134">
        <v>0.61</v>
      </c>
      <c r="Q78" s="134">
        <v>4</v>
      </c>
    </row>
    <row r="79" spans="1:17" customFormat="1">
      <c r="A79" s="112" t="s">
        <v>2611</v>
      </c>
      <c r="B79" s="134">
        <v>14.7</v>
      </c>
      <c r="C79" s="134">
        <v>27.62</v>
      </c>
      <c r="D79" s="134">
        <v>27.57</v>
      </c>
      <c r="E79" s="134">
        <v>7.33</v>
      </c>
      <c r="F79" s="134">
        <v>3.93</v>
      </c>
      <c r="G79" s="134">
        <v>49.62</v>
      </c>
      <c r="H79" s="134">
        <v>18.79</v>
      </c>
      <c r="I79" s="134">
        <v>4.63</v>
      </c>
      <c r="J79" s="134">
        <v>0.1</v>
      </c>
      <c r="K79" s="134">
        <v>147.94</v>
      </c>
      <c r="L79" s="134">
        <v>24.91</v>
      </c>
      <c r="M79" s="134">
        <v>100.79</v>
      </c>
      <c r="N79" s="134">
        <v>0</v>
      </c>
      <c r="O79" s="134">
        <v>0</v>
      </c>
      <c r="P79" s="134">
        <v>0.64</v>
      </c>
      <c r="Q79" s="134">
        <v>4.07</v>
      </c>
    </row>
    <row r="80" spans="1:17" customFormat="1">
      <c r="A80" s="112" t="s">
        <v>2612</v>
      </c>
      <c r="B80" s="134">
        <v>15.49</v>
      </c>
      <c r="C80" s="134">
        <v>26.72</v>
      </c>
      <c r="D80" s="134">
        <v>27.74</v>
      </c>
      <c r="E80" s="134">
        <v>7.23</v>
      </c>
      <c r="F80" s="134">
        <v>4.42</v>
      </c>
      <c r="G80" s="134">
        <v>49.62</v>
      </c>
      <c r="H80" s="134">
        <v>18.79</v>
      </c>
      <c r="I80" s="134">
        <v>4.71</v>
      </c>
      <c r="J80" s="134">
        <v>0.17</v>
      </c>
      <c r="K80" s="134">
        <v>152.87</v>
      </c>
      <c r="L80" s="134">
        <v>24.88</v>
      </c>
      <c r="M80" s="134">
        <v>99.89</v>
      </c>
      <c r="N80" s="134">
        <v>0</v>
      </c>
      <c r="O80" s="134">
        <v>0</v>
      </c>
      <c r="P80" s="134">
        <v>0.65</v>
      </c>
      <c r="Q80" s="134">
        <v>4.13</v>
      </c>
    </row>
    <row r="81" spans="1:17" customFormat="1">
      <c r="A81" s="112" t="s">
        <v>2613</v>
      </c>
      <c r="B81" s="134">
        <v>15.85</v>
      </c>
      <c r="C81" s="134">
        <v>25.96</v>
      </c>
      <c r="D81" s="134">
        <v>27.63</v>
      </c>
      <c r="E81" s="134">
        <v>7.44</v>
      </c>
      <c r="F81" s="134">
        <v>4.55</v>
      </c>
      <c r="G81" s="134">
        <v>49.62</v>
      </c>
      <c r="H81" s="134">
        <v>18.79</v>
      </c>
      <c r="I81" s="134">
        <v>4.83</v>
      </c>
      <c r="J81" s="134">
        <v>0.16</v>
      </c>
      <c r="K81" s="134">
        <v>159.63999999999999</v>
      </c>
      <c r="L81" s="134">
        <v>25.04</v>
      </c>
      <c r="M81" s="134">
        <v>99.33</v>
      </c>
      <c r="N81" s="134">
        <v>0</v>
      </c>
      <c r="O81" s="134">
        <v>0</v>
      </c>
      <c r="P81" s="134">
        <v>0.64</v>
      </c>
      <c r="Q81" s="134">
        <v>4.1500000000000004</v>
      </c>
    </row>
    <row r="82" spans="1:17" customFormat="1">
      <c r="A82" s="112" t="s">
        <v>2614</v>
      </c>
      <c r="B82" s="134">
        <v>16.27</v>
      </c>
      <c r="C82" s="134">
        <v>27.19</v>
      </c>
      <c r="D82" s="134">
        <v>28.6</v>
      </c>
      <c r="E82" s="134">
        <v>8.61</v>
      </c>
      <c r="F82" s="134">
        <v>3.92</v>
      </c>
      <c r="G82" s="134">
        <v>49.78</v>
      </c>
      <c r="H82" s="134">
        <v>15.1</v>
      </c>
      <c r="I82" s="134">
        <v>4.8499999999999996</v>
      </c>
      <c r="J82" s="134">
        <v>0.18</v>
      </c>
      <c r="K82" s="134">
        <v>61.2</v>
      </c>
      <c r="L82" s="134">
        <v>25.07</v>
      </c>
      <c r="M82" s="134">
        <v>98.46</v>
      </c>
      <c r="N82" s="134">
        <v>0</v>
      </c>
      <c r="O82" s="134">
        <v>0</v>
      </c>
      <c r="P82" s="134">
        <v>0.67</v>
      </c>
      <c r="Q82" s="134">
        <v>4.16</v>
      </c>
    </row>
    <row r="83" spans="1:17" customFormat="1">
      <c r="A83" s="112" t="s">
        <v>2615</v>
      </c>
      <c r="B83" s="134">
        <v>17.28</v>
      </c>
      <c r="C83" s="134">
        <v>28.17</v>
      </c>
      <c r="D83" s="134">
        <v>29.93</v>
      </c>
      <c r="E83" s="134">
        <v>8.99</v>
      </c>
      <c r="F83" s="134">
        <v>3.77</v>
      </c>
      <c r="G83" s="134">
        <v>49.8</v>
      </c>
      <c r="H83" s="134">
        <v>15.1</v>
      </c>
      <c r="I83" s="134">
        <v>4.93</v>
      </c>
      <c r="J83" s="134">
        <v>0.16</v>
      </c>
      <c r="K83" s="134">
        <v>188.37</v>
      </c>
      <c r="L83" s="134">
        <v>25</v>
      </c>
      <c r="M83" s="134">
        <v>97.7</v>
      </c>
      <c r="N83" s="134">
        <v>0</v>
      </c>
      <c r="O83" s="134">
        <v>0</v>
      </c>
      <c r="P83" s="134">
        <v>0.68</v>
      </c>
      <c r="Q83" s="134">
        <v>4.25</v>
      </c>
    </row>
    <row r="84" spans="1:17" customFormat="1">
      <c r="A84" s="112" t="s">
        <v>2616</v>
      </c>
      <c r="B84" s="134">
        <v>17.84</v>
      </c>
      <c r="C84" s="134">
        <v>26.81</v>
      </c>
      <c r="D84" s="134">
        <v>29.67</v>
      </c>
      <c r="E84" s="134">
        <v>9.0500000000000007</v>
      </c>
      <c r="F84" s="134">
        <v>4.3</v>
      </c>
      <c r="G84" s="134">
        <v>49.8</v>
      </c>
      <c r="H84" s="134">
        <v>15.1</v>
      </c>
      <c r="I84" s="134">
        <v>5.0199999999999996</v>
      </c>
      <c r="J84" s="134">
        <v>0.1</v>
      </c>
      <c r="K84" s="134">
        <v>216.52</v>
      </c>
      <c r="L84" s="134">
        <v>24.88</v>
      </c>
      <c r="M84" s="134">
        <v>97.05</v>
      </c>
      <c r="N84" s="134">
        <v>0</v>
      </c>
      <c r="O84" s="134">
        <v>0</v>
      </c>
      <c r="P84" s="134">
        <v>0.68</v>
      </c>
      <c r="Q84" s="134">
        <v>4.29</v>
      </c>
    </row>
    <row r="85" spans="1:17" customFormat="1">
      <c r="A85" s="112" t="s">
        <v>2617</v>
      </c>
      <c r="B85" s="134">
        <v>18.39</v>
      </c>
      <c r="C85" s="134">
        <v>26.43</v>
      </c>
      <c r="D85" s="134">
        <v>29.91</v>
      </c>
      <c r="E85" s="134">
        <v>8.94</v>
      </c>
      <c r="F85" s="134">
        <v>4.18</v>
      </c>
      <c r="G85" s="134">
        <v>49.8</v>
      </c>
      <c r="H85" s="134">
        <v>15.1</v>
      </c>
      <c r="I85" s="134">
        <v>5.12</v>
      </c>
      <c r="J85" s="134">
        <v>0.03</v>
      </c>
      <c r="K85" s="134">
        <v>78.45</v>
      </c>
      <c r="L85" s="134">
        <v>24.96</v>
      </c>
      <c r="M85" s="134">
        <v>97.25</v>
      </c>
      <c r="N85" s="134">
        <v>0</v>
      </c>
      <c r="O85" s="134">
        <v>0</v>
      </c>
      <c r="P85" s="134">
        <v>0.7</v>
      </c>
      <c r="Q85" s="134">
        <v>4.29</v>
      </c>
    </row>
    <row r="86" spans="1:17" customFormat="1">
      <c r="A86" s="112" t="s">
        <v>2618</v>
      </c>
      <c r="B86" s="134">
        <v>19.39</v>
      </c>
      <c r="C86" s="134">
        <v>28.16</v>
      </c>
      <c r="D86" s="134">
        <v>31.61</v>
      </c>
      <c r="E86" s="134">
        <v>8.51</v>
      </c>
      <c r="F86" s="134">
        <v>3.87</v>
      </c>
      <c r="G86" s="134">
        <v>51.11</v>
      </c>
      <c r="H86" s="134">
        <v>18.350000000000001</v>
      </c>
      <c r="I86" s="134">
        <v>5.19</v>
      </c>
      <c r="J86" s="134">
        <v>0.18</v>
      </c>
      <c r="K86" s="134">
        <v>168.12</v>
      </c>
      <c r="L86" s="134">
        <v>24.92</v>
      </c>
      <c r="M86" s="134">
        <v>97.42</v>
      </c>
      <c r="N86" s="134">
        <v>0</v>
      </c>
      <c r="O86" s="134">
        <v>0</v>
      </c>
      <c r="P86" s="134">
        <v>0.73</v>
      </c>
      <c r="Q86" s="134">
        <v>4.37</v>
      </c>
    </row>
    <row r="87" spans="1:17" customFormat="1">
      <c r="A87" s="112" t="s">
        <v>2619</v>
      </c>
      <c r="B87" s="134">
        <v>20.32</v>
      </c>
      <c r="C87" s="134">
        <v>26.94</v>
      </c>
      <c r="D87" s="134">
        <v>31.73</v>
      </c>
      <c r="E87" s="134">
        <v>8.5500000000000007</v>
      </c>
      <c r="F87" s="134">
        <v>4.3099999999999996</v>
      </c>
      <c r="G87" s="134">
        <v>51.33</v>
      </c>
      <c r="H87" s="134">
        <v>18.350000000000001</v>
      </c>
      <c r="I87" s="134">
        <v>5.28</v>
      </c>
      <c r="J87" s="134">
        <v>0.12</v>
      </c>
      <c r="K87" s="134">
        <v>171.81</v>
      </c>
      <c r="L87" s="134">
        <v>24.99</v>
      </c>
      <c r="M87" s="134">
        <v>98.35</v>
      </c>
      <c r="N87" s="134">
        <v>0</v>
      </c>
      <c r="O87" s="134">
        <v>0</v>
      </c>
      <c r="P87" s="134">
        <v>0.73</v>
      </c>
      <c r="Q87" s="134">
        <v>4.45</v>
      </c>
    </row>
    <row r="88" spans="1:17" customFormat="1">
      <c r="A88" s="112" t="s">
        <v>2620</v>
      </c>
      <c r="B88" s="134">
        <v>20.74</v>
      </c>
      <c r="C88" s="134">
        <v>26.62</v>
      </c>
      <c r="D88" s="134">
        <v>31.89</v>
      </c>
      <c r="E88" s="134">
        <v>8.77</v>
      </c>
      <c r="F88" s="134">
        <v>4.21</v>
      </c>
      <c r="G88" s="134">
        <v>51.33</v>
      </c>
      <c r="H88" s="134">
        <v>18.350000000000001</v>
      </c>
      <c r="I88" s="134">
        <v>5.44</v>
      </c>
      <c r="J88" s="134">
        <v>0.13</v>
      </c>
      <c r="K88" s="134">
        <v>182.09</v>
      </c>
      <c r="L88" s="134">
        <v>24.94</v>
      </c>
      <c r="M88" s="134">
        <v>97.98</v>
      </c>
      <c r="N88" s="134">
        <v>0</v>
      </c>
      <c r="O88" s="134">
        <v>0</v>
      </c>
      <c r="P88" s="134">
        <v>0.75</v>
      </c>
      <c r="Q88" s="134">
        <v>4.43</v>
      </c>
    </row>
    <row r="89" spans="1:17" customFormat="1">
      <c r="A89" s="112" t="s">
        <v>2621</v>
      </c>
      <c r="B89" s="134">
        <v>20.6</v>
      </c>
      <c r="C89" s="134">
        <v>27.16</v>
      </c>
      <c r="D89" s="134">
        <v>32.06</v>
      </c>
      <c r="E89" s="134">
        <v>8.82</v>
      </c>
      <c r="F89" s="134">
        <v>4.0199999999999996</v>
      </c>
      <c r="G89" s="134">
        <v>51.33</v>
      </c>
      <c r="H89" s="134">
        <v>18.350000000000001</v>
      </c>
      <c r="I89" s="134">
        <v>5.52</v>
      </c>
      <c r="J89" s="134">
        <v>7.0000000000000007E-2</v>
      </c>
      <c r="K89" s="134">
        <v>209.31</v>
      </c>
      <c r="L89" s="134">
        <v>25.11</v>
      </c>
      <c r="M89" s="134">
        <v>97.89</v>
      </c>
      <c r="N89" s="134">
        <v>0</v>
      </c>
      <c r="O89" s="134">
        <v>0</v>
      </c>
      <c r="P89" s="134">
        <v>0.77</v>
      </c>
      <c r="Q89" s="134">
        <v>4.42</v>
      </c>
    </row>
    <row r="90" spans="1:17" customFormat="1">
      <c r="A90" s="112" t="s">
        <v>2622</v>
      </c>
      <c r="B90" s="134">
        <v>20.23</v>
      </c>
      <c r="C90" s="134">
        <v>27.74</v>
      </c>
      <c r="D90" s="134">
        <v>32.06</v>
      </c>
      <c r="E90" s="134">
        <v>8.83</v>
      </c>
      <c r="F90" s="134">
        <v>4.01</v>
      </c>
      <c r="G90" s="134">
        <v>50.53</v>
      </c>
      <c r="H90" s="134">
        <v>18.38</v>
      </c>
      <c r="I90" s="134">
        <v>5.62</v>
      </c>
      <c r="J90" s="134">
        <v>0.13</v>
      </c>
      <c r="K90" s="134">
        <v>163.35</v>
      </c>
      <c r="L90" s="134">
        <v>25.13</v>
      </c>
      <c r="M90" s="134">
        <v>98.64</v>
      </c>
      <c r="N90" s="134">
        <v>0</v>
      </c>
      <c r="O90" s="134">
        <v>0</v>
      </c>
      <c r="P90" s="134">
        <v>0.79</v>
      </c>
      <c r="Q90" s="134">
        <v>4.4400000000000004</v>
      </c>
    </row>
    <row r="91" spans="1:17" customFormat="1">
      <c r="A91" s="112" t="s">
        <v>2623</v>
      </c>
      <c r="B91" s="134">
        <v>19.920000000000002</v>
      </c>
      <c r="C91" s="134">
        <v>28.04</v>
      </c>
      <c r="D91" s="134">
        <v>31.97</v>
      </c>
      <c r="E91" s="134">
        <v>8.5500000000000007</v>
      </c>
      <c r="F91" s="134">
        <v>4.04</v>
      </c>
      <c r="G91" s="134">
        <v>50.4</v>
      </c>
      <c r="H91" s="134">
        <v>18.38</v>
      </c>
      <c r="I91" s="134">
        <v>5.67</v>
      </c>
      <c r="J91" s="134">
        <v>0.16</v>
      </c>
      <c r="K91" s="134">
        <v>233.37</v>
      </c>
      <c r="L91" s="134">
        <v>25.14</v>
      </c>
      <c r="M91" s="134">
        <v>98.31</v>
      </c>
      <c r="N91" s="134">
        <v>0</v>
      </c>
      <c r="O91" s="134">
        <v>0</v>
      </c>
      <c r="P91" s="134">
        <v>0.8</v>
      </c>
      <c r="Q91" s="134">
        <v>4.4400000000000004</v>
      </c>
    </row>
    <row r="92" spans="1:17" customFormat="1">
      <c r="A92" s="112" t="s">
        <v>2624</v>
      </c>
      <c r="B92" s="134">
        <v>19.71</v>
      </c>
      <c r="C92" s="134">
        <v>28.08</v>
      </c>
      <c r="D92" s="134">
        <v>31.83</v>
      </c>
      <c r="E92" s="134">
        <v>8.44</v>
      </c>
      <c r="F92" s="134">
        <v>4.04</v>
      </c>
      <c r="G92" s="134">
        <v>50.4</v>
      </c>
      <c r="H92" s="134">
        <v>18.38</v>
      </c>
      <c r="I92" s="134">
        <v>5.81</v>
      </c>
      <c r="J92" s="134">
        <v>0.14000000000000001</v>
      </c>
      <c r="K92" s="134">
        <v>163.22999999999999</v>
      </c>
      <c r="L92" s="134">
        <v>25.18</v>
      </c>
      <c r="M92" s="134">
        <v>98.72</v>
      </c>
      <c r="N92" s="134">
        <v>0</v>
      </c>
      <c r="O92" s="134">
        <v>0</v>
      </c>
      <c r="P92" s="134">
        <v>0.8</v>
      </c>
      <c r="Q92" s="134">
        <v>4.4400000000000004</v>
      </c>
    </row>
    <row r="93" spans="1:17" customFormat="1">
      <c r="A93" s="112" t="s">
        <v>2625</v>
      </c>
      <c r="B93" s="134">
        <v>19.510000000000002</v>
      </c>
      <c r="C93" s="134">
        <v>28.27</v>
      </c>
      <c r="D93" s="134">
        <v>31.76</v>
      </c>
      <c r="E93" s="134">
        <v>8.34</v>
      </c>
      <c r="F93" s="134">
        <v>3.93</v>
      </c>
      <c r="G93" s="134">
        <v>50.4</v>
      </c>
      <c r="H93" s="134">
        <v>18.38</v>
      </c>
      <c r="I93" s="134">
        <v>6.19</v>
      </c>
      <c r="J93" s="134">
        <v>0.09</v>
      </c>
      <c r="K93" s="134">
        <v>144.84</v>
      </c>
      <c r="L93" s="134">
        <v>25.2</v>
      </c>
      <c r="M93" s="134">
        <v>98.52</v>
      </c>
      <c r="N93" s="134">
        <v>0</v>
      </c>
      <c r="O93" s="134">
        <v>0</v>
      </c>
      <c r="P93" s="134">
        <v>0.81</v>
      </c>
      <c r="Q93" s="134">
        <v>4.43</v>
      </c>
    </row>
    <row r="94" spans="1:17" customFormat="1">
      <c r="A94" s="112" t="s">
        <v>2626</v>
      </c>
      <c r="B94" s="134">
        <v>19.02</v>
      </c>
      <c r="C94" s="134">
        <v>28.31</v>
      </c>
      <c r="D94" s="134">
        <v>31.4</v>
      </c>
      <c r="E94" s="134">
        <v>8.5500000000000007</v>
      </c>
      <c r="F94" s="134">
        <v>3.95</v>
      </c>
      <c r="G94" s="134">
        <v>46.53</v>
      </c>
      <c r="H94" s="134">
        <v>17.87</v>
      </c>
      <c r="I94" s="134">
        <v>6.83</v>
      </c>
      <c r="J94" s="134">
        <v>0.14000000000000001</v>
      </c>
      <c r="K94" s="134">
        <v>152.28</v>
      </c>
      <c r="L94" s="134">
        <v>25.32</v>
      </c>
      <c r="M94" s="134">
        <v>98.99</v>
      </c>
      <c r="N94" s="134">
        <v>0</v>
      </c>
      <c r="O94" s="134">
        <v>0</v>
      </c>
      <c r="P94" s="134">
        <v>0.82</v>
      </c>
      <c r="Q94" s="134">
        <v>4.45</v>
      </c>
    </row>
    <row r="95" spans="1:17" customFormat="1">
      <c r="A95" s="112" t="s">
        <v>2627</v>
      </c>
      <c r="B95" s="134">
        <v>19.190000000000001</v>
      </c>
      <c r="C95" s="134">
        <v>28.27</v>
      </c>
      <c r="D95" s="134">
        <v>31.51</v>
      </c>
      <c r="E95" s="134">
        <v>8.99</v>
      </c>
      <c r="F95" s="134">
        <v>4.03</v>
      </c>
      <c r="G95" s="134">
        <v>45.88</v>
      </c>
      <c r="H95" s="134">
        <v>17.87</v>
      </c>
      <c r="I95" s="134">
        <v>8.17</v>
      </c>
      <c r="J95" s="134">
        <v>0.11</v>
      </c>
      <c r="K95" s="134">
        <v>226.39</v>
      </c>
      <c r="L95" s="134">
        <v>25.21</v>
      </c>
      <c r="M95" s="134">
        <v>98.6</v>
      </c>
      <c r="N95" s="134">
        <v>0</v>
      </c>
      <c r="O95" s="134">
        <v>0</v>
      </c>
      <c r="P95" s="134">
        <v>0.82</v>
      </c>
      <c r="Q95" s="134">
        <v>4.46</v>
      </c>
    </row>
    <row r="96" spans="1:17" customFormat="1">
      <c r="A96" s="112" t="s">
        <v>2628</v>
      </c>
      <c r="B96" s="134">
        <v>18.95</v>
      </c>
      <c r="C96" s="134">
        <v>28.52</v>
      </c>
      <c r="D96" s="134">
        <v>31.45</v>
      </c>
      <c r="E96" s="134">
        <v>8.94</v>
      </c>
      <c r="F96" s="134">
        <v>3.91</v>
      </c>
      <c r="G96" s="134">
        <v>45.88</v>
      </c>
      <c r="H96" s="134">
        <v>17.87</v>
      </c>
      <c r="I96" s="134">
        <v>10.28</v>
      </c>
      <c r="J96" s="134">
        <v>0.12</v>
      </c>
      <c r="K96" s="134">
        <v>214.47</v>
      </c>
      <c r="L96" s="134">
        <v>25.22</v>
      </c>
      <c r="M96" s="134">
        <v>99.09</v>
      </c>
      <c r="N96" s="134">
        <v>0</v>
      </c>
      <c r="O96" s="134">
        <v>0</v>
      </c>
      <c r="P96" s="134">
        <v>0.83</v>
      </c>
      <c r="Q96" s="134">
        <v>4.46</v>
      </c>
    </row>
    <row r="97" spans="1:22" customFormat="1">
      <c r="A97" s="112" t="s">
        <v>2629</v>
      </c>
      <c r="B97" s="134">
        <v>19.010000000000002</v>
      </c>
      <c r="C97" s="134">
        <v>28.45</v>
      </c>
      <c r="D97" s="134">
        <v>31.46</v>
      </c>
      <c r="E97" s="134">
        <v>8.74</v>
      </c>
      <c r="F97" s="134">
        <v>3.85</v>
      </c>
      <c r="G97" s="134">
        <v>45.88</v>
      </c>
      <c r="H97" s="134">
        <v>17.87</v>
      </c>
      <c r="I97" s="134">
        <v>9.89</v>
      </c>
      <c r="J97" s="134">
        <v>0.01</v>
      </c>
      <c r="K97" s="134">
        <v>19.27</v>
      </c>
      <c r="L97" s="134">
        <v>25.14</v>
      </c>
      <c r="M97" s="134">
        <v>99.34</v>
      </c>
      <c r="N97" s="134">
        <v>0</v>
      </c>
      <c r="O97" s="134">
        <v>0</v>
      </c>
      <c r="P97" s="134">
        <v>0.84</v>
      </c>
      <c r="Q97" s="134">
        <v>4.47</v>
      </c>
    </row>
    <row r="98" spans="1:22" customFormat="1">
      <c r="A98" s="112" t="s">
        <v>2630</v>
      </c>
      <c r="B98" s="134">
        <v>19.61</v>
      </c>
      <c r="C98" s="134">
        <v>28.67</v>
      </c>
      <c r="D98" s="134">
        <v>32.06</v>
      </c>
      <c r="E98" s="134">
        <v>9.2100000000000009</v>
      </c>
      <c r="F98" s="134">
        <v>3.96</v>
      </c>
      <c r="G98" s="134">
        <v>42.69</v>
      </c>
      <c r="H98" s="134">
        <v>16.399999999999999</v>
      </c>
      <c r="I98" s="134">
        <v>9.75</v>
      </c>
      <c r="J98" s="134">
        <v>0.03</v>
      </c>
      <c r="K98" s="134">
        <v>238.73</v>
      </c>
      <c r="L98" s="134">
        <v>25.02</v>
      </c>
      <c r="M98" s="134">
        <v>99.55</v>
      </c>
      <c r="N98" s="134">
        <v>0</v>
      </c>
      <c r="O98" s="134">
        <v>0</v>
      </c>
      <c r="P98" s="134">
        <v>0.86</v>
      </c>
      <c r="Q98" s="134">
        <v>4.5199999999999996</v>
      </c>
    </row>
    <row r="99" spans="1:22" customFormat="1">
      <c r="A99" s="112" t="s">
        <v>2631</v>
      </c>
      <c r="B99" s="134">
        <v>20.059999999999999</v>
      </c>
      <c r="C99" s="134">
        <v>29.38</v>
      </c>
      <c r="D99" s="134">
        <v>32.79</v>
      </c>
      <c r="E99" s="134">
        <v>8.86</v>
      </c>
      <c r="F99" s="134">
        <v>3.86</v>
      </c>
      <c r="G99" s="134">
        <v>42.16</v>
      </c>
      <c r="H99" s="134">
        <v>16.399999999999999</v>
      </c>
      <c r="I99" s="134">
        <v>9.77</v>
      </c>
      <c r="J99" s="134">
        <v>0.09</v>
      </c>
      <c r="K99" s="134">
        <v>214.98</v>
      </c>
      <c r="L99" s="134">
        <v>24.93</v>
      </c>
      <c r="M99" s="134">
        <v>96.79</v>
      </c>
      <c r="N99" s="134">
        <v>0</v>
      </c>
      <c r="O99" s="134">
        <v>0</v>
      </c>
      <c r="P99" s="134">
        <v>0.87</v>
      </c>
      <c r="Q99" s="134">
        <v>4.5599999999999996</v>
      </c>
    </row>
    <row r="100" spans="1:22" customFormat="1">
      <c r="A100" s="112" t="s">
        <v>2632</v>
      </c>
      <c r="B100" s="134">
        <v>20.64</v>
      </c>
      <c r="C100" s="134">
        <v>30.1</v>
      </c>
      <c r="D100" s="134">
        <v>33.630000000000003</v>
      </c>
      <c r="E100" s="134">
        <v>9.0299999999999994</v>
      </c>
      <c r="F100" s="134">
        <v>3.87</v>
      </c>
      <c r="G100" s="134">
        <v>42.16</v>
      </c>
      <c r="H100" s="134">
        <v>16.399999999999999</v>
      </c>
      <c r="I100" s="134">
        <v>9.91</v>
      </c>
      <c r="J100" s="134">
        <v>0.02</v>
      </c>
      <c r="K100" s="134">
        <v>98.98</v>
      </c>
      <c r="L100" s="134">
        <v>24.93</v>
      </c>
      <c r="M100" s="134">
        <v>95.89</v>
      </c>
      <c r="N100" s="134">
        <v>0</v>
      </c>
      <c r="O100" s="134">
        <v>0</v>
      </c>
      <c r="P100" s="134">
        <v>0.88</v>
      </c>
      <c r="Q100" s="134">
        <v>4.6100000000000003</v>
      </c>
    </row>
    <row r="101" spans="1:22" customFormat="1">
      <c r="A101" s="112" t="s">
        <v>2633</v>
      </c>
      <c r="B101" s="134">
        <v>21.5</v>
      </c>
      <c r="C101" s="134">
        <v>30.54</v>
      </c>
      <c r="D101" s="134">
        <v>34.549999999999997</v>
      </c>
      <c r="E101" s="134">
        <v>9.15</v>
      </c>
      <c r="F101" s="134">
        <v>3.92</v>
      </c>
      <c r="G101" s="134">
        <v>42.16</v>
      </c>
      <c r="H101" s="134">
        <v>16.399999999999999</v>
      </c>
      <c r="I101" s="134">
        <v>9.85</v>
      </c>
      <c r="J101" s="134">
        <v>0.14000000000000001</v>
      </c>
      <c r="K101" s="134">
        <v>171.53</v>
      </c>
      <c r="L101" s="134">
        <v>24.93</v>
      </c>
      <c r="M101" s="134">
        <v>96.26</v>
      </c>
      <c r="N101" s="134">
        <v>0</v>
      </c>
      <c r="O101" s="134">
        <v>0.2</v>
      </c>
      <c r="P101" s="134">
        <v>0.88</v>
      </c>
      <c r="Q101" s="134">
        <v>4.66</v>
      </c>
    </row>
    <row r="102" spans="1:22" customFormat="1">
      <c r="A102" s="112" t="s">
        <v>2634</v>
      </c>
      <c r="B102" s="134">
        <v>21.84</v>
      </c>
      <c r="C102" s="134">
        <v>30.9</v>
      </c>
      <c r="D102" s="134">
        <v>35.01</v>
      </c>
      <c r="E102" s="134">
        <v>9.34</v>
      </c>
      <c r="F102" s="134">
        <v>3.88</v>
      </c>
      <c r="G102" s="134">
        <v>42.85</v>
      </c>
      <c r="H102" s="134">
        <v>13.74</v>
      </c>
      <c r="I102" s="134">
        <v>9.74</v>
      </c>
      <c r="J102" s="134">
        <v>0.11</v>
      </c>
      <c r="K102" s="134">
        <v>203.88</v>
      </c>
      <c r="L102" s="134">
        <v>24.77</v>
      </c>
      <c r="M102" s="134">
        <v>97.79</v>
      </c>
      <c r="N102" s="134">
        <v>0</v>
      </c>
      <c r="O102" s="134">
        <v>0</v>
      </c>
      <c r="P102" s="134">
        <v>0.88</v>
      </c>
      <c r="Q102" s="134">
        <v>4.6500000000000004</v>
      </c>
    </row>
    <row r="103" spans="1:22" customFormat="1">
      <c r="A103" s="112" t="s">
        <v>2635</v>
      </c>
      <c r="B103" s="134">
        <v>21.91</v>
      </c>
      <c r="C103" s="134">
        <v>30.94</v>
      </c>
      <c r="D103" s="134">
        <v>35.08</v>
      </c>
      <c r="E103" s="134">
        <v>9.61</v>
      </c>
      <c r="F103" s="134">
        <v>4.0199999999999996</v>
      </c>
      <c r="G103" s="134">
        <v>42.96</v>
      </c>
      <c r="H103" s="134">
        <v>13.74</v>
      </c>
      <c r="I103" s="134">
        <v>9.6300000000000008</v>
      </c>
      <c r="J103" s="134">
        <v>0.1</v>
      </c>
      <c r="K103" s="134">
        <v>122.01</v>
      </c>
      <c r="L103" s="134">
        <v>24.92</v>
      </c>
      <c r="M103" s="134">
        <v>97.7</v>
      </c>
      <c r="N103" s="134">
        <v>0</v>
      </c>
      <c r="O103" s="134">
        <v>0</v>
      </c>
      <c r="P103" s="134">
        <v>0.9</v>
      </c>
      <c r="Q103" s="134">
        <v>4.67</v>
      </c>
    </row>
    <row r="104" spans="1:22" customFormat="1">
      <c r="A104" s="112" t="s">
        <v>2636</v>
      </c>
      <c r="B104" s="134">
        <v>22.4</v>
      </c>
      <c r="C104" s="134">
        <v>31.15</v>
      </c>
      <c r="D104" s="134">
        <v>35.590000000000003</v>
      </c>
      <c r="E104" s="134">
        <v>9.57</v>
      </c>
      <c r="F104" s="134">
        <v>3.93</v>
      </c>
      <c r="G104" s="134">
        <v>42.96</v>
      </c>
      <c r="H104" s="134">
        <v>13.74</v>
      </c>
      <c r="I104" s="134">
        <v>9.5399999999999991</v>
      </c>
      <c r="J104" s="134">
        <v>0.06</v>
      </c>
      <c r="K104" s="134">
        <v>80.77</v>
      </c>
      <c r="L104" s="134">
        <v>24.8</v>
      </c>
      <c r="M104" s="134">
        <v>98.99</v>
      </c>
      <c r="N104" s="134">
        <v>0</v>
      </c>
      <c r="O104" s="134">
        <v>0</v>
      </c>
      <c r="P104" s="134">
        <v>0.9</v>
      </c>
      <c r="Q104" s="134">
        <v>4.74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9.6199999999999992</v>
      </c>
      <c r="C106" s="183">
        <f>MIN(C9:C104)</f>
        <v>20.49</v>
      </c>
      <c r="D106" s="183">
        <f t="shared" ref="D106:Q106" si="0">MIN(D9:D104)</f>
        <v>23.51</v>
      </c>
      <c r="E106" s="183">
        <f t="shared" si="0"/>
        <v>5.4</v>
      </c>
      <c r="F106" s="183">
        <f t="shared" si="0"/>
        <v>3.77</v>
      </c>
      <c r="G106" s="183">
        <f t="shared" si="0"/>
        <v>8.2899999999999991</v>
      </c>
      <c r="H106" s="183">
        <f t="shared" si="0"/>
        <v>2.62</v>
      </c>
      <c r="I106" s="183">
        <f t="shared" si="0"/>
        <v>2.99</v>
      </c>
      <c r="J106" s="183">
        <f t="shared" si="0"/>
        <v>0.01</v>
      </c>
      <c r="K106" s="183">
        <f t="shared" si="0"/>
        <v>3.48</v>
      </c>
      <c r="L106" s="183">
        <f t="shared" si="0"/>
        <v>23.88</v>
      </c>
      <c r="M106" s="183">
        <f t="shared" si="0"/>
        <v>72.739999999999995</v>
      </c>
      <c r="N106" s="183">
        <f t="shared" si="0"/>
        <v>0</v>
      </c>
      <c r="O106" s="183">
        <f t="shared" si="0"/>
        <v>0</v>
      </c>
      <c r="P106" s="183">
        <f t="shared" si="0"/>
        <v>0.38</v>
      </c>
      <c r="Q106" s="183">
        <f t="shared" si="0"/>
        <v>3.84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22.4</v>
      </c>
      <c r="C107" s="184">
        <f t="shared" ref="C107:Q107" si="1">MAX(C9:C104)</f>
        <v>31.22</v>
      </c>
      <c r="D107" s="184">
        <f t="shared" si="1"/>
        <v>35.590000000000003</v>
      </c>
      <c r="E107" s="184">
        <f t="shared" si="1"/>
        <v>10.039999999999999</v>
      </c>
      <c r="F107" s="184">
        <f t="shared" si="1"/>
        <v>6.62</v>
      </c>
      <c r="G107" s="184">
        <f t="shared" si="1"/>
        <v>77.28</v>
      </c>
      <c r="H107" s="184">
        <f t="shared" si="1"/>
        <v>28.71</v>
      </c>
      <c r="I107" s="184">
        <f t="shared" si="1"/>
        <v>10.28</v>
      </c>
      <c r="J107" s="184">
        <f t="shared" si="1"/>
        <v>0.47</v>
      </c>
      <c r="K107" s="184">
        <f t="shared" si="1"/>
        <v>359.7</v>
      </c>
      <c r="L107" s="184">
        <f t="shared" si="1"/>
        <v>31.6</v>
      </c>
      <c r="M107" s="184">
        <f t="shared" si="1"/>
        <v>102.01</v>
      </c>
      <c r="N107" s="184">
        <f t="shared" si="1"/>
        <v>674.1</v>
      </c>
      <c r="O107" s="184">
        <f t="shared" si="1"/>
        <v>7.2</v>
      </c>
      <c r="P107" s="184">
        <f t="shared" si="1"/>
        <v>0.9</v>
      </c>
      <c r="Q107" s="184">
        <f t="shared" si="1"/>
        <v>4.74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14.992604166666668</v>
      </c>
      <c r="C108" s="183">
        <f t="shared" ref="C108:Q108" si="2">AVERAGE(C9:C104)</f>
        <v>26.182499999999994</v>
      </c>
      <c r="D108" s="183">
        <f t="shared" si="2"/>
        <v>27.053437500000005</v>
      </c>
      <c r="E108" s="183">
        <f t="shared" si="2"/>
        <v>8.3219791666666723</v>
      </c>
      <c r="F108" s="183">
        <f t="shared" si="2"/>
        <v>4.4236458333333344</v>
      </c>
      <c r="G108" s="183">
        <f t="shared" si="2"/>
        <v>35.645833333333336</v>
      </c>
      <c r="H108" s="183">
        <f t="shared" si="2"/>
        <v>13.408437500000007</v>
      </c>
      <c r="I108" s="183">
        <f t="shared" si="2"/>
        <v>4.7064583333333321</v>
      </c>
      <c r="J108" s="183">
        <f t="shared" si="2"/>
        <v>0.16114583333333332</v>
      </c>
      <c r="K108" s="183">
        <f t="shared" si="2"/>
        <v>188.96718749999999</v>
      </c>
      <c r="L108" s="183">
        <f t="shared" si="2"/>
        <v>26.011458333333334</v>
      </c>
      <c r="M108" s="183">
        <f t="shared" si="2"/>
        <v>93.975833333333355</v>
      </c>
      <c r="N108" s="183">
        <f t="shared" si="2"/>
        <v>87.53958333333334</v>
      </c>
      <c r="O108" s="183">
        <f t="shared" si="2"/>
        <v>0.13541666666666666</v>
      </c>
      <c r="P108" s="183">
        <f t="shared" si="2"/>
        <v>0.60291666666666688</v>
      </c>
      <c r="Q108" s="183">
        <f t="shared" si="2"/>
        <v>4.1484375000000009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3.2085026003423365</v>
      </c>
      <c r="C109" s="183">
        <f t="shared" ref="C109:Q109" si="3">STDEV(C9:C104)</f>
        <v>2.8828301153006985</v>
      </c>
      <c r="D109" s="183">
        <f t="shared" si="3"/>
        <v>3.1515769914273846</v>
      </c>
      <c r="E109" s="183">
        <f t="shared" si="3"/>
        <v>1.0591323358412028</v>
      </c>
      <c r="F109" s="183">
        <f t="shared" si="3"/>
        <v>0.5582776517141721</v>
      </c>
      <c r="G109" s="183">
        <f t="shared" si="3"/>
        <v>22.23321809065585</v>
      </c>
      <c r="H109" s="183">
        <f t="shared" si="3"/>
        <v>8.1003587091625064</v>
      </c>
      <c r="I109" s="183">
        <f t="shared" si="3"/>
        <v>1.9020343564148521</v>
      </c>
      <c r="J109" s="183">
        <f t="shared" si="3"/>
        <v>0.10285267738670704</v>
      </c>
      <c r="K109" s="183">
        <f t="shared" si="3"/>
        <v>88.197940597787024</v>
      </c>
      <c r="L109" s="183">
        <f t="shared" si="3"/>
        <v>2.1945026911361341</v>
      </c>
      <c r="M109" s="183">
        <f t="shared" si="3"/>
        <v>8.1767133619509913</v>
      </c>
      <c r="N109" s="183">
        <f t="shared" si="3"/>
        <v>145.54981674158429</v>
      </c>
      <c r="O109" s="183">
        <f t="shared" si="3"/>
        <v>0.82359662669827149</v>
      </c>
      <c r="P109" s="183">
        <f t="shared" si="3"/>
        <v>0.14691864319853368</v>
      </c>
      <c r="Q109" s="183">
        <f t="shared" si="3"/>
        <v>0.20582735803527483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26/09/2023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2637</v>
      </c>
      <c r="B9" s="134">
        <v>23.89</v>
      </c>
      <c r="C9" s="134">
        <v>30.97</v>
      </c>
      <c r="D9" s="134">
        <v>36.69</v>
      </c>
      <c r="E9" s="134">
        <v>9.73</v>
      </c>
      <c r="F9" s="134">
        <v>3.94</v>
      </c>
      <c r="G9" s="134">
        <v>42.96</v>
      </c>
      <c r="H9" s="134">
        <v>13.74</v>
      </c>
      <c r="I9" s="134">
        <v>9.43</v>
      </c>
      <c r="J9" s="134">
        <v>0.13</v>
      </c>
      <c r="K9" s="134">
        <v>172.08</v>
      </c>
      <c r="L9" s="134">
        <v>24.76</v>
      </c>
      <c r="M9" s="134">
        <v>98.25</v>
      </c>
      <c r="N9" s="134">
        <v>0</v>
      </c>
      <c r="O9" s="134">
        <v>0</v>
      </c>
      <c r="P9" s="134">
        <v>0.91</v>
      </c>
      <c r="Q9" s="134">
        <v>4.78</v>
      </c>
    </row>
    <row r="10" spans="1:21" customFormat="1">
      <c r="A10" s="112" t="s">
        <v>2638</v>
      </c>
      <c r="B10" s="134">
        <v>23.95</v>
      </c>
      <c r="C10" s="134">
        <v>31.75</v>
      </c>
      <c r="D10" s="134">
        <v>37.15</v>
      </c>
      <c r="E10" s="134">
        <v>9.6</v>
      </c>
      <c r="F10" s="134">
        <v>3.84</v>
      </c>
      <c r="G10" s="134">
        <v>47.14</v>
      </c>
      <c r="H10" s="134">
        <v>16.600000000000001</v>
      </c>
      <c r="I10" s="134">
        <v>9.4</v>
      </c>
      <c r="J10" s="134">
        <v>0.12</v>
      </c>
      <c r="K10" s="134">
        <v>202.46</v>
      </c>
      <c r="L10" s="134">
        <v>24.61</v>
      </c>
      <c r="M10" s="134">
        <v>99.89</v>
      </c>
      <c r="N10" s="134">
        <v>0</v>
      </c>
      <c r="O10" s="134">
        <v>0</v>
      </c>
      <c r="P10" s="134">
        <v>0.92</v>
      </c>
      <c r="Q10" s="134">
        <v>4.8099999999999996</v>
      </c>
    </row>
    <row r="11" spans="1:21" customFormat="1">
      <c r="A11" s="112" t="s">
        <v>2639</v>
      </c>
      <c r="B11" s="134">
        <v>24.02</v>
      </c>
      <c r="C11" s="134">
        <v>31.73</v>
      </c>
      <c r="D11" s="134">
        <v>37.19</v>
      </c>
      <c r="E11" s="134">
        <v>9.5500000000000007</v>
      </c>
      <c r="F11" s="134">
        <v>3.91</v>
      </c>
      <c r="G11" s="134">
        <v>47.85</v>
      </c>
      <c r="H11" s="134">
        <v>16.600000000000001</v>
      </c>
      <c r="I11" s="134">
        <v>9.31</v>
      </c>
      <c r="J11" s="134">
        <v>0.06</v>
      </c>
      <c r="K11" s="134">
        <v>196.24</v>
      </c>
      <c r="L11" s="134">
        <v>24.67</v>
      </c>
      <c r="M11" s="134">
        <v>100.45</v>
      </c>
      <c r="N11" s="134">
        <v>0</v>
      </c>
      <c r="O11" s="134">
        <v>0</v>
      </c>
      <c r="P11" s="134">
        <v>0.92</v>
      </c>
      <c r="Q11" s="134">
        <v>4.8099999999999996</v>
      </c>
    </row>
    <row r="12" spans="1:21" customFormat="1">
      <c r="A12" s="112" t="s">
        <v>2640</v>
      </c>
      <c r="B12" s="134">
        <v>23.9</v>
      </c>
      <c r="C12" s="134">
        <v>31.38</v>
      </c>
      <c r="D12" s="134">
        <v>36.909999999999997</v>
      </c>
      <c r="E12" s="134">
        <v>9.7200000000000006</v>
      </c>
      <c r="F12" s="134">
        <v>3.81</v>
      </c>
      <c r="G12" s="134">
        <v>47.85</v>
      </c>
      <c r="H12" s="134">
        <v>16.600000000000001</v>
      </c>
      <c r="I12" s="134">
        <v>9.27</v>
      </c>
      <c r="J12" s="134">
        <v>7.0000000000000007E-2</v>
      </c>
      <c r="K12" s="134">
        <v>153.36000000000001</v>
      </c>
      <c r="L12" s="134">
        <v>24.62</v>
      </c>
      <c r="M12" s="134">
        <v>99.82</v>
      </c>
      <c r="N12" s="134">
        <v>0</v>
      </c>
      <c r="O12" s="134">
        <v>0</v>
      </c>
      <c r="P12" s="134">
        <v>0.92</v>
      </c>
      <c r="Q12" s="134">
        <v>4.83</v>
      </c>
    </row>
    <row r="13" spans="1:21" customFormat="1">
      <c r="A13" s="112" t="s">
        <v>2641</v>
      </c>
      <c r="B13" s="134">
        <v>24.48</v>
      </c>
      <c r="C13" s="134">
        <v>31.13</v>
      </c>
      <c r="D13" s="134">
        <v>37.25</v>
      </c>
      <c r="E13" s="134">
        <v>9.83</v>
      </c>
      <c r="F13" s="134">
        <v>3.95</v>
      </c>
      <c r="G13" s="134">
        <v>47.85</v>
      </c>
      <c r="H13" s="134">
        <v>16.600000000000001</v>
      </c>
      <c r="I13" s="134">
        <v>9.1999999999999993</v>
      </c>
      <c r="J13" s="134">
        <v>0.03</v>
      </c>
      <c r="K13" s="134">
        <v>50.46</v>
      </c>
      <c r="L13" s="134">
        <v>24.6</v>
      </c>
      <c r="M13" s="134">
        <v>100.71</v>
      </c>
      <c r="N13" s="134">
        <v>0</v>
      </c>
      <c r="O13" s="134">
        <v>0</v>
      </c>
      <c r="P13" s="134">
        <v>0.9</v>
      </c>
      <c r="Q13" s="134">
        <v>4.83</v>
      </c>
    </row>
    <row r="14" spans="1:21" customFormat="1">
      <c r="A14" s="112" t="s">
        <v>2642</v>
      </c>
      <c r="B14" s="134">
        <v>25.78</v>
      </c>
      <c r="C14" s="134">
        <v>28.91</v>
      </c>
      <c r="D14" s="134">
        <v>37.130000000000003</v>
      </c>
      <c r="E14" s="134">
        <v>9.6</v>
      </c>
      <c r="F14" s="134">
        <v>4.72</v>
      </c>
      <c r="G14" s="134">
        <v>42.82</v>
      </c>
      <c r="H14" s="134">
        <v>16.059999999999999</v>
      </c>
      <c r="I14" s="134">
        <v>9.14</v>
      </c>
      <c r="J14" s="134">
        <v>7.0000000000000007E-2</v>
      </c>
      <c r="K14" s="134">
        <v>29.54</v>
      </c>
      <c r="L14" s="134">
        <v>24.59</v>
      </c>
      <c r="M14" s="134">
        <v>100.34</v>
      </c>
      <c r="N14" s="134">
        <v>0</v>
      </c>
      <c r="O14" s="134">
        <v>0</v>
      </c>
      <c r="P14" s="134">
        <v>0.9</v>
      </c>
      <c r="Q14" s="134">
        <v>4.8899999999999997</v>
      </c>
    </row>
    <row r="15" spans="1:21" customFormat="1">
      <c r="A15" s="112" t="s">
        <v>2643</v>
      </c>
      <c r="B15" s="134">
        <v>26.84</v>
      </c>
      <c r="C15" s="134">
        <v>26.76</v>
      </c>
      <c r="D15" s="134">
        <v>36.86</v>
      </c>
      <c r="E15" s="134">
        <v>9.14</v>
      </c>
      <c r="F15" s="134">
        <v>4.75</v>
      </c>
      <c r="G15" s="134">
        <v>41.9</v>
      </c>
      <c r="H15" s="134">
        <v>16.059999999999999</v>
      </c>
      <c r="I15" s="134">
        <v>9.1999999999999993</v>
      </c>
      <c r="J15" s="134">
        <v>7.0000000000000007E-2</v>
      </c>
      <c r="K15" s="134">
        <v>218.79</v>
      </c>
      <c r="L15" s="134">
        <v>24.58</v>
      </c>
      <c r="M15" s="134">
        <v>99.01</v>
      </c>
      <c r="N15" s="134">
        <v>0</v>
      </c>
      <c r="O15" s="134">
        <v>0</v>
      </c>
      <c r="P15" s="134">
        <v>0.87</v>
      </c>
      <c r="Q15" s="134">
        <v>4.87</v>
      </c>
    </row>
    <row r="16" spans="1:21" customFormat="1">
      <c r="A16" s="112" t="s">
        <v>2644</v>
      </c>
      <c r="B16" s="134">
        <v>27.42</v>
      </c>
      <c r="C16" s="134">
        <v>25.52</v>
      </c>
      <c r="D16" s="134">
        <v>36.67</v>
      </c>
      <c r="E16" s="134">
        <v>8.82</v>
      </c>
      <c r="F16" s="134">
        <v>4.5199999999999996</v>
      </c>
      <c r="G16" s="134">
        <v>41.9</v>
      </c>
      <c r="H16" s="134">
        <v>16.059999999999999</v>
      </c>
      <c r="I16" s="134">
        <v>9.1</v>
      </c>
      <c r="J16" s="134">
        <v>0.04</v>
      </c>
      <c r="K16" s="134">
        <v>242.4</v>
      </c>
      <c r="L16" s="134">
        <v>24.61</v>
      </c>
      <c r="M16" s="134">
        <v>99.25</v>
      </c>
      <c r="N16" s="134">
        <v>0</v>
      </c>
      <c r="O16" s="134">
        <v>0</v>
      </c>
      <c r="P16" s="134">
        <v>0.86</v>
      </c>
      <c r="Q16" s="134">
        <v>4.88</v>
      </c>
    </row>
    <row r="17" spans="1:17" customFormat="1">
      <c r="A17" s="112" t="s">
        <v>2645</v>
      </c>
      <c r="B17" s="134">
        <v>27.51</v>
      </c>
      <c r="C17" s="134">
        <v>27.2</v>
      </c>
      <c r="D17" s="134">
        <v>37.619999999999997</v>
      </c>
      <c r="E17" s="134">
        <v>5.7</v>
      </c>
      <c r="F17" s="134">
        <v>3.88</v>
      </c>
      <c r="G17" s="134">
        <v>41.9</v>
      </c>
      <c r="H17" s="134">
        <v>16.059999999999999</v>
      </c>
      <c r="I17" s="134">
        <v>9.0500000000000007</v>
      </c>
      <c r="J17" s="134">
        <v>0.18</v>
      </c>
      <c r="K17" s="134">
        <v>174.17</v>
      </c>
      <c r="L17" s="134">
        <v>24.62</v>
      </c>
      <c r="M17" s="134">
        <v>98.26</v>
      </c>
      <c r="N17" s="134">
        <v>0</v>
      </c>
      <c r="O17" s="134">
        <v>0</v>
      </c>
      <c r="P17" s="134">
        <v>0.87</v>
      </c>
      <c r="Q17" s="134">
        <v>4.83</v>
      </c>
    </row>
    <row r="18" spans="1:17" customFormat="1">
      <c r="A18" s="112" t="s">
        <v>2646</v>
      </c>
      <c r="B18" s="134">
        <v>27.83</v>
      </c>
      <c r="C18" s="134">
        <v>27.23</v>
      </c>
      <c r="D18" s="134">
        <v>37.9</v>
      </c>
      <c r="E18" s="134">
        <v>6.78</v>
      </c>
      <c r="F18" s="134">
        <v>4.03</v>
      </c>
      <c r="G18" s="134">
        <v>46.65</v>
      </c>
      <c r="H18" s="134">
        <v>15.69</v>
      </c>
      <c r="I18" s="134">
        <v>9</v>
      </c>
      <c r="J18" s="134">
        <v>7.0000000000000007E-2</v>
      </c>
      <c r="K18" s="134">
        <v>169.2</v>
      </c>
      <c r="L18" s="134">
        <v>24.72</v>
      </c>
      <c r="M18" s="134">
        <v>97.8</v>
      </c>
      <c r="N18" s="134">
        <v>0</v>
      </c>
      <c r="O18" s="134">
        <v>0</v>
      </c>
      <c r="P18" s="134">
        <v>0.88</v>
      </c>
      <c r="Q18" s="134">
        <v>4.93</v>
      </c>
    </row>
    <row r="19" spans="1:17" customFormat="1">
      <c r="A19" s="112" t="s">
        <v>2647</v>
      </c>
      <c r="B19" s="134">
        <v>28.07</v>
      </c>
      <c r="C19" s="134">
        <v>25.46</v>
      </c>
      <c r="D19" s="134">
        <v>37.159999999999997</v>
      </c>
      <c r="E19" s="134">
        <v>6.61</v>
      </c>
      <c r="F19" s="134">
        <v>4.43</v>
      </c>
      <c r="G19" s="134">
        <v>47.52</v>
      </c>
      <c r="H19" s="134">
        <v>15.69</v>
      </c>
      <c r="I19" s="134">
        <v>9</v>
      </c>
      <c r="J19" s="134">
        <v>0.12</v>
      </c>
      <c r="K19" s="134">
        <v>161.74</v>
      </c>
      <c r="L19" s="134">
        <v>24.59</v>
      </c>
      <c r="M19" s="134">
        <v>97.93</v>
      </c>
      <c r="N19" s="134">
        <v>0</v>
      </c>
      <c r="O19" s="134">
        <v>0</v>
      </c>
      <c r="P19" s="134">
        <v>0.86</v>
      </c>
      <c r="Q19" s="134">
        <v>4.9000000000000004</v>
      </c>
    </row>
    <row r="20" spans="1:17" customFormat="1">
      <c r="A20" s="112" t="s">
        <v>2648</v>
      </c>
      <c r="B20" s="134">
        <v>27.93</v>
      </c>
      <c r="C20" s="134">
        <v>26.48</v>
      </c>
      <c r="D20" s="134">
        <v>37.58</v>
      </c>
      <c r="E20" s="134">
        <v>6.56</v>
      </c>
      <c r="F20" s="134">
        <v>4.07</v>
      </c>
      <c r="G20" s="134">
        <v>47.52</v>
      </c>
      <c r="H20" s="134">
        <v>15.69</v>
      </c>
      <c r="I20" s="134">
        <v>8.9</v>
      </c>
      <c r="J20" s="134">
        <v>0.1</v>
      </c>
      <c r="K20" s="134">
        <v>171.57</v>
      </c>
      <c r="L20" s="134">
        <v>24.59</v>
      </c>
      <c r="M20" s="134">
        <v>98.06</v>
      </c>
      <c r="N20" s="134">
        <v>0</v>
      </c>
      <c r="O20" s="134">
        <v>0</v>
      </c>
      <c r="P20" s="134">
        <v>0.87</v>
      </c>
      <c r="Q20" s="134">
        <v>4.8600000000000003</v>
      </c>
    </row>
    <row r="21" spans="1:17" customFormat="1">
      <c r="A21" s="112" t="s">
        <v>2649</v>
      </c>
      <c r="B21" s="134">
        <v>28.06</v>
      </c>
      <c r="C21" s="134">
        <v>26.43</v>
      </c>
      <c r="D21" s="134">
        <v>37.659999999999997</v>
      </c>
      <c r="E21" s="134">
        <v>6.88</v>
      </c>
      <c r="F21" s="134">
        <v>4.07</v>
      </c>
      <c r="G21" s="134">
        <v>47.52</v>
      </c>
      <c r="H21" s="134">
        <v>15.69</v>
      </c>
      <c r="I21" s="134">
        <v>8.85</v>
      </c>
      <c r="J21" s="134">
        <v>0.11</v>
      </c>
      <c r="K21" s="134">
        <v>162.76</v>
      </c>
      <c r="L21" s="134">
        <v>24.59</v>
      </c>
      <c r="M21" s="134">
        <v>98.22</v>
      </c>
      <c r="N21" s="134">
        <v>0</v>
      </c>
      <c r="O21" s="134">
        <v>0</v>
      </c>
      <c r="P21" s="134">
        <v>0.87</v>
      </c>
      <c r="Q21" s="134">
        <v>4.92</v>
      </c>
    </row>
    <row r="22" spans="1:17" customFormat="1">
      <c r="A22" s="112" t="s">
        <v>2650</v>
      </c>
      <c r="B22" s="134">
        <v>27.71</v>
      </c>
      <c r="C22" s="134">
        <v>24.35</v>
      </c>
      <c r="D22" s="134">
        <v>36.299999999999997</v>
      </c>
      <c r="E22" s="134">
        <v>6.13</v>
      </c>
      <c r="F22" s="134">
        <v>4.38</v>
      </c>
      <c r="G22" s="134">
        <v>46.41</v>
      </c>
      <c r="H22" s="134">
        <v>16.57</v>
      </c>
      <c r="I22" s="134">
        <v>8.8800000000000008</v>
      </c>
      <c r="J22" s="134">
        <v>0.08</v>
      </c>
      <c r="K22" s="134">
        <v>195.78</v>
      </c>
      <c r="L22" s="134">
        <v>24.45</v>
      </c>
      <c r="M22" s="134">
        <v>98.29</v>
      </c>
      <c r="N22" s="134">
        <v>0</v>
      </c>
      <c r="O22" s="134">
        <v>0</v>
      </c>
      <c r="P22" s="134">
        <v>0.86</v>
      </c>
      <c r="Q22" s="134">
        <v>4.9000000000000004</v>
      </c>
    </row>
    <row r="23" spans="1:17" customFormat="1">
      <c r="A23" s="112" t="s">
        <v>2651</v>
      </c>
      <c r="B23" s="134">
        <v>27.9</v>
      </c>
      <c r="C23" s="134">
        <v>26.04</v>
      </c>
      <c r="D23" s="134">
        <v>37.33</v>
      </c>
      <c r="E23" s="134">
        <v>6.64</v>
      </c>
      <c r="F23" s="134">
        <v>3.78</v>
      </c>
      <c r="G23" s="134">
        <v>46.21</v>
      </c>
      <c r="H23" s="134">
        <v>16.57</v>
      </c>
      <c r="I23" s="134">
        <v>8.86</v>
      </c>
      <c r="J23" s="134">
        <v>0.05</v>
      </c>
      <c r="K23" s="134">
        <v>170.87</v>
      </c>
      <c r="L23" s="134">
        <v>24.39</v>
      </c>
      <c r="M23" s="134">
        <v>98.66</v>
      </c>
      <c r="N23" s="134">
        <v>0</v>
      </c>
      <c r="O23" s="134">
        <v>0</v>
      </c>
      <c r="P23" s="134">
        <v>0.87</v>
      </c>
      <c r="Q23" s="134">
        <v>4.83</v>
      </c>
    </row>
    <row r="24" spans="1:17" customFormat="1">
      <c r="A24" s="112" t="s">
        <v>2652</v>
      </c>
      <c r="B24" s="134">
        <v>28.2</v>
      </c>
      <c r="C24" s="134">
        <v>25.29</v>
      </c>
      <c r="D24" s="134">
        <v>37.18</v>
      </c>
      <c r="E24" s="134">
        <v>6.92</v>
      </c>
      <c r="F24" s="134">
        <v>4.0999999999999996</v>
      </c>
      <c r="G24" s="134">
        <v>46.21</v>
      </c>
      <c r="H24" s="134">
        <v>16.57</v>
      </c>
      <c r="I24" s="134">
        <v>8.83</v>
      </c>
      <c r="J24" s="134">
        <v>0.06</v>
      </c>
      <c r="K24" s="134">
        <v>167</v>
      </c>
      <c r="L24" s="134">
        <v>24.38</v>
      </c>
      <c r="M24" s="134">
        <v>98.7</v>
      </c>
      <c r="N24" s="134">
        <v>0</v>
      </c>
      <c r="O24" s="134">
        <v>0</v>
      </c>
      <c r="P24" s="134">
        <v>0.87</v>
      </c>
      <c r="Q24" s="134">
        <v>4.91</v>
      </c>
    </row>
    <row r="25" spans="1:17" customFormat="1">
      <c r="A25" s="112" t="s">
        <v>2653</v>
      </c>
      <c r="B25" s="134">
        <v>28.19</v>
      </c>
      <c r="C25" s="134">
        <v>23.69</v>
      </c>
      <c r="D25" s="134">
        <v>36.33</v>
      </c>
      <c r="E25" s="134">
        <v>6.56</v>
      </c>
      <c r="F25" s="134">
        <v>4.41</v>
      </c>
      <c r="G25" s="134">
        <v>46.21</v>
      </c>
      <c r="H25" s="134">
        <v>16.57</v>
      </c>
      <c r="I25" s="134">
        <v>8.92</v>
      </c>
      <c r="J25" s="134">
        <v>0.01</v>
      </c>
      <c r="K25" s="134">
        <v>122.23</v>
      </c>
      <c r="L25" s="134">
        <v>24.36</v>
      </c>
      <c r="M25" s="134">
        <v>98.87</v>
      </c>
      <c r="N25" s="134">
        <v>0</v>
      </c>
      <c r="O25" s="134">
        <v>0</v>
      </c>
      <c r="P25" s="134">
        <v>0.84</v>
      </c>
      <c r="Q25" s="134">
        <v>4.88</v>
      </c>
    </row>
    <row r="26" spans="1:17" customFormat="1">
      <c r="A26" s="112" t="s">
        <v>2654</v>
      </c>
      <c r="B26" s="134">
        <v>27.97</v>
      </c>
      <c r="C26" s="134">
        <v>25.47</v>
      </c>
      <c r="D26" s="134">
        <v>37.090000000000003</v>
      </c>
      <c r="E26" s="134">
        <v>6.85</v>
      </c>
      <c r="F26" s="134">
        <v>4</v>
      </c>
      <c r="G26" s="134">
        <v>37.06</v>
      </c>
      <c r="H26" s="134">
        <v>12.89</v>
      </c>
      <c r="I26" s="134">
        <v>8.8699999999999992</v>
      </c>
      <c r="J26" s="134">
        <v>0.04</v>
      </c>
      <c r="K26" s="134">
        <v>178.91</v>
      </c>
      <c r="L26" s="134">
        <v>24.4</v>
      </c>
      <c r="M26" s="134">
        <v>98.75</v>
      </c>
      <c r="N26" s="134">
        <v>0</v>
      </c>
      <c r="O26" s="134">
        <v>0</v>
      </c>
      <c r="P26" s="134">
        <v>0.86</v>
      </c>
      <c r="Q26" s="134">
        <v>4.84</v>
      </c>
    </row>
    <row r="27" spans="1:17" customFormat="1">
      <c r="A27" s="112" t="s">
        <v>2655</v>
      </c>
      <c r="B27" s="134">
        <v>28.36</v>
      </c>
      <c r="C27" s="134">
        <v>25.07</v>
      </c>
      <c r="D27" s="134">
        <v>37.19</v>
      </c>
      <c r="E27" s="134">
        <v>6.94</v>
      </c>
      <c r="F27" s="134">
        <v>4.0599999999999996</v>
      </c>
      <c r="G27" s="134">
        <v>35.520000000000003</v>
      </c>
      <c r="H27" s="134">
        <v>12.89</v>
      </c>
      <c r="I27" s="134">
        <v>8.7899999999999991</v>
      </c>
      <c r="J27" s="134">
        <v>0.03</v>
      </c>
      <c r="K27" s="134">
        <v>91.43</v>
      </c>
      <c r="L27" s="134">
        <v>24.37</v>
      </c>
      <c r="M27" s="134">
        <v>99.03</v>
      </c>
      <c r="N27" s="134">
        <v>0</v>
      </c>
      <c r="O27" s="134">
        <v>0</v>
      </c>
      <c r="P27" s="134">
        <v>0.85</v>
      </c>
      <c r="Q27" s="134">
        <v>4.92</v>
      </c>
    </row>
    <row r="28" spans="1:17" customFormat="1">
      <c r="A28" s="112" t="s">
        <v>2656</v>
      </c>
      <c r="B28" s="134">
        <v>28.89</v>
      </c>
      <c r="C28" s="134">
        <v>23.51</v>
      </c>
      <c r="D28" s="134">
        <v>36.799999999999997</v>
      </c>
      <c r="E28" s="134">
        <v>7.22</v>
      </c>
      <c r="F28" s="134">
        <v>4.49</v>
      </c>
      <c r="G28" s="134">
        <v>35.520000000000003</v>
      </c>
      <c r="H28" s="134">
        <v>12.89</v>
      </c>
      <c r="I28" s="134">
        <v>8.82</v>
      </c>
      <c r="J28" s="134">
        <v>0.1</v>
      </c>
      <c r="K28" s="134">
        <v>26.67</v>
      </c>
      <c r="L28" s="134">
        <v>24.41</v>
      </c>
      <c r="M28" s="134">
        <v>99.56</v>
      </c>
      <c r="N28" s="134">
        <v>0</v>
      </c>
      <c r="O28" s="134">
        <v>0</v>
      </c>
      <c r="P28" s="134">
        <v>0.82</v>
      </c>
      <c r="Q28" s="134">
        <v>4.91</v>
      </c>
    </row>
    <row r="29" spans="1:17" customFormat="1">
      <c r="A29" s="112" t="s">
        <v>2657</v>
      </c>
      <c r="B29" s="134">
        <v>29.2</v>
      </c>
      <c r="C29" s="134">
        <v>25.13</v>
      </c>
      <c r="D29" s="134">
        <v>37.89</v>
      </c>
      <c r="E29" s="134">
        <v>6.38</v>
      </c>
      <c r="F29" s="134">
        <v>4.0199999999999996</v>
      </c>
      <c r="G29" s="134">
        <v>35.520000000000003</v>
      </c>
      <c r="H29" s="134">
        <v>12.89</v>
      </c>
      <c r="I29" s="134">
        <v>8.7200000000000006</v>
      </c>
      <c r="J29" s="134">
        <v>0.05</v>
      </c>
      <c r="K29" s="134">
        <v>50.74</v>
      </c>
      <c r="L29" s="134">
        <v>24.44</v>
      </c>
      <c r="M29" s="134">
        <v>100.19</v>
      </c>
      <c r="N29" s="134">
        <v>0</v>
      </c>
      <c r="O29" s="134">
        <v>0</v>
      </c>
      <c r="P29" s="134">
        <v>0.83</v>
      </c>
      <c r="Q29" s="134">
        <v>4.8899999999999997</v>
      </c>
    </row>
    <row r="30" spans="1:17" customFormat="1">
      <c r="A30" s="112" t="s">
        <v>2658</v>
      </c>
      <c r="B30" s="134">
        <v>29.61</v>
      </c>
      <c r="C30" s="134">
        <v>24.89</v>
      </c>
      <c r="D30" s="134">
        <v>38.1</v>
      </c>
      <c r="E30" s="134">
        <v>6.57</v>
      </c>
      <c r="F30" s="134">
        <v>4.1100000000000003</v>
      </c>
      <c r="G30" s="134">
        <v>33.53</v>
      </c>
      <c r="H30" s="134">
        <v>12.11</v>
      </c>
      <c r="I30" s="134">
        <v>8.59</v>
      </c>
      <c r="J30" s="134">
        <v>0.15</v>
      </c>
      <c r="K30" s="134">
        <v>172.77</v>
      </c>
      <c r="L30" s="134">
        <v>24.45</v>
      </c>
      <c r="M30" s="134">
        <v>101</v>
      </c>
      <c r="N30" s="134">
        <v>0</v>
      </c>
      <c r="O30" s="134">
        <v>0</v>
      </c>
      <c r="P30" s="134">
        <v>0.82</v>
      </c>
      <c r="Q30" s="134">
        <v>4.9800000000000004</v>
      </c>
    </row>
    <row r="31" spans="1:17" customFormat="1">
      <c r="A31" s="112" t="s">
        <v>2659</v>
      </c>
      <c r="B31" s="134">
        <v>29.82</v>
      </c>
      <c r="C31" s="134">
        <v>24.18</v>
      </c>
      <c r="D31" s="134">
        <v>37.9</v>
      </c>
      <c r="E31" s="134">
        <v>6.73</v>
      </c>
      <c r="F31" s="134">
        <v>4.3600000000000003</v>
      </c>
      <c r="G31" s="134">
        <v>33.17</v>
      </c>
      <c r="H31" s="134">
        <v>12.11</v>
      </c>
      <c r="I31" s="134">
        <v>8.6</v>
      </c>
      <c r="J31" s="134">
        <v>0.06</v>
      </c>
      <c r="K31" s="134">
        <v>201.49</v>
      </c>
      <c r="L31" s="134">
        <v>24.45</v>
      </c>
      <c r="M31" s="134">
        <v>100.47</v>
      </c>
      <c r="N31" s="134">
        <v>0</v>
      </c>
      <c r="O31" s="134">
        <v>0</v>
      </c>
      <c r="P31" s="134">
        <v>0.81</v>
      </c>
      <c r="Q31" s="134">
        <v>4.99</v>
      </c>
    </row>
    <row r="32" spans="1:17" customFormat="1">
      <c r="A32" s="112" t="s">
        <v>2660</v>
      </c>
      <c r="B32" s="134">
        <v>29.35</v>
      </c>
      <c r="C32" s="134">
        <v>24.85</v>
      </c>
      <c r="D32" s="134">
        <v>37.869999999999997</v>
      </c>
      <c r="E32" s="134">
        <v>6.89</v>
      </c>
      <c r="F32" s="134">
        <v>4.1900000000000004</v>
      </c>
      <c r="G32" s="134">
        <v>33.17</v>
      </c>
      <c r="H32" s="134">
        <v>12.11</v>
      </c>
      <c r="I32" s="134">
        <v>8.49</v>
      </c>
      <c r="J32" s="134">
        <v>0.08</v>
      </c>
      <c r="K32" s="134">
        <v>90.6</v>
      </c>
      <c r="L32" s="134">
        <v>24.56</v>
      </c>
      <c r="M32" s="134">
        <v>99.55</v>
      </c>
      <c r="N32" s="134">
        <v>1.4</v>
      </c>
      <c r="O32" s="134">
        <v>0</v>
      </c>
      <c r="P32" s="134">
        <v>0.81</v>
      </c>
      <c r="Q32" s="134">
        <v>4.95</v>
      </c>
    </row>
    <row r="33" spans="1:17" customFormat="1">
      <c r="A33" s="112" t="s">
        <v>2661</v>
      </c>
      <c r="B33" s="134">
        <v>29.07</v>
      </c>
      <c r="C33" s="134">
        <v>25.58</v>
      </c>
      <c r="D33" s="134">
        <v>38.03</v>
      </c>
      <c r="E33" s="134">
        <v>7.19</v>
      </c>
      <c r="F33" s="134">
        <v>3.92</v>
      </c>
      <c r="G33" s="134">
        <v>33.17</v>
      </c>
      <c r="H33" s="134">
        <v>12.11</v>
      </c>
      <c r="I33" s="134">
        <v>8.44</v>
      </c>
      <c r="J33" s="134">
        <v>0.13</v>
      </c>
      <c r="K33" s="134">
        <v>43.18</v>
      </c>
      <c r="L33" s="134">
        <v>24.67</v>
      </c>
      <c r="M33" s="134">
        <v>99.38</v>
      </c>
      <c r="N33" s="134">
        <v>8.9</v>
      </c>
      <c r="O33" s="134">
        <v>0</v>
      </c>
      <c r="P33" s="134">
        <v>0.82</v>
      </c>
      <c r="Q33" s="134">
        <v>4.97</v>
      </c>
    </row>
    <row r="34" spans="1:17" customFormat="1">
      <c r="A34" s="112" t="s">
        <v>2662</v>
      </c>
      <c r="B34" s="134">
        <v>29.52</v>
      </c>
      <c r="C34" s="134">
        <v>26.25</v>
      </c>
      <c r="D34" s="134">
        <v>38.74</v>
      </c>
      <c r="E34" s="134">
        <v>6.88</v>
      </c>
      <c r="F34" s="134">
        <v>3.98</v>
      </c>
      <c r="G34" s="134">
        <v>31.76</v>
      </c>
      <c r="H34" s="134">
        <v>11.83</v>
      </c>
      <c r="I34" s="134">
        <v>8.2899999999999991</v>
      </c>
      <c r="J34" s="134">
        <v>0.09</v>
      </c>
      <c r="K34" s="134">
        <v>297.57</v>
      </c>
      <c r="L34" s="134">
        <v>24.75</v>
      </c>
      <c r="M34" s="134">
        <v>99.35</v>
      </c>
      <c r="N34" s="134">
        <v>19.600000000000001</v>
      </c>
      <c r="O34" s="134">
        <v>0</v>
      </c>
      <c r="P34" s="134">
        <v>0.82</v>
      </c>
      <c r="Q34" s="134">
        <v>5.01</v>
      </c>
    </row>
    <row r="35" spans="1:17" customFormat="1">
      <c r="A35" s="112" t="s">
        <v>2663</v>
      </c>
      <c r="B35" s="134">
        <v>30.26</v>
      </c>
      <c r="C35" s="134">
        <v>26.72</v>
      </c>
      <c r="D35" s="134">
        <v>39.58</v>
      </c>
      <c r="E35" s="134">
        <v>6.8</v>
      </c>
      <c r="F35" s="134">
        <v>3.99</v>
      </c>
      <c r="G35" s="134">
        <v>31.52</v>
      </c>
      <c r="H35" s="134">
        <v>11.83</v>
      </c>
      <c r="I35" s="134">
        <v>8.18</v>
      </c>
      <c r="J35" s="134">
        <v>0.09</v>
      </c>
      <c r="K35" s="134">
        <v>333.9</v>
      </c>
      <c r="L35" s="134">
        <v>24.9</v>
      </c>
      <c r="M35" s="134">
        <v>99.82</v>
      </c>
      <c r="N35" s="134">
        <v>33.4</v>
      </c>
      <c r="O35" s="134">
        <v>0</v>
      </c>
      <c r="P35" s="134">
        <v>0.82</v>
      </c>
      <c r="Q35" s="134">
        <v>5.0599999999999996</v>
      </c>
    </row>
    <row r="36" spans="1:17" customFormat="1">
      <c r="A36" s="112" t="s">
        <v>2664</v>
      </c>
      <c r="B36" s="134">
        <v>30.32</v>
      </c>
      <c r="C36" s="134">
        <v>26.99</v>
      </c>
      <c r="D36" s="134">
        <v>39.770000000000003</v>
      </c>
      <c r="E36" s="134">
        <v>6.53</v>
      </c>
      <c r="F36" s="134">
        <v>4.13</v>
      </c>
      <c r="G36" s="134">
        <v>31.52</v>
      </c>
      <c r="H36" s="134">
        <v>11.83</v>
      </c>
      <c r="I36" s="134">
        <v>8.14</v>
      </c>
      <c r="J36" s="134">
        <v>0.08</v>
      </c>
      <c r="K36" s="134">
        <v>276.24</v>
      </c>
      <c r="L36" s="134">
        <v>25.16</v>
      </c>
      <c r="M36" s="134">
        <v>100.39</v>
      </c>
      <c r="N36" s="134">
        <v>56.4</v>
      </c>
      <c r="O36" s="134">
        <v>0</v>
      </c>
      <c r="P36" s="134">
        <v>0.82</v>
      </c>
      <c r="Q36" s="134">
        <v>5.0999999999999996</v>
      </c>
    </row>
    <row r="37" spans="1:17" customFormat="1">
      <c r="A37" s="112" t="s">
        <v>2665</v>
      </c>
      <c r="B37" s="134">
        <v>30.01</v>
      </c>
      <c r="C37" s="134">
        <v>27.44</v>
      </c>
      <c r="D37" s="134">
        <v>39.75</v>
      </c>
      <c r="E37" s="134">
        <v>6.84</v>
      </c>
      <c r="F37" s="134">
        <v>4.01</v>
      </c>
      <c r="G37" s="134">
        <v>31.52</v>
      </c>
      <c r="H37" s="134">
        <v>11.83</v>
      </c>
      <c r="I37" s="134">
        <v>8.1199999999999992</v>
      </c>
      <c r="J37" s="134">
        <v>0.25</v>
      </c>
      <c r="K37" s="134">
        <v>29.15</v>
      </c>
      <c r="L37" s="134">
        <v>25.44</v>
      </c>
      <c r="M37" s="134">
        <v>99.48</v>
      </c>
      <c r="N37" s="134">
        <v>77.599999999999994</v>
      </c>
      <c r="O37" s="134">
        <v>0</v>
      </c>
      <c r="P37" s="134">
        <v>0.83</v>
      </c>
      <c r="Q37" s="134">
        <v>5.09</v>
      </c>
    </row>
    <row r="38" spans="1:17" customFormat="1">
      <c r="A38" s="112" t="s">
        <v>2666</v>
      </c>
      <c r="B38" s="134">
        <v>29.79</v>
      </c>
      <c r="C38" s="134">
        <v>27.89</v>
      </c>
      <c r="D38" s="134">
        <v>39.81</v>
      </c>
      <c r="E38" s="134">
        <v>6.62</v>
      </c>
      <c r="F38" s="134">
        <v>4.01</v>
      </c>
      <c r="G38" s="134">
        <v>35.08</v>
      </c>
      <c r="H38" s="134">
        <v>11.21</v>
      </c>
      <c r="I38" s="134">
        <v>8.1199999999999992</v>
      </c>
      <c r="J38" s="134">
        <v>0.14000000000000001</v>
      </c>
      <c r="K38" s="134">
        <v>308.08999999999997</v>
      </c>
      <c r="L38" s="134">
        <v>25.73</v>
      </c>
      <c r="M38" s="134">
        <v>97.65</v>
      </c>
      <c r="N38" s="134">
        <v>102.5</v>
      </c>
      <c r="O38" s="134">
        <v>0</v>
      </c>
      <c r="P38" s="134">
        <v>0.83</v>
      </c>
      <c r="Q38" s="134">
        <v>5.12</v>
      </c>
    </row>
    <row r="39" spans="1:17" customFormat="1">
      <c r="A39" s="112" t="s">
        <v>2667</v>
      </c>
      <c r="B39" s="134">
        <v>29.34</v>
      </c>
      <c r="C39" s="134">
        <v>28.52</v>
      </c>
      <c r="D39" s="134">
        <v>39.78</v>
      </c>
      <c r="E39" s="134">
        <v>6.95</v>
      </c>
      <c r="F39" s="134">
        <v>4.09</v>
      </c>
      <c r="G39" s="134">
        <v>35.68</v>
      </c>
      <c r="H39" s="134">
        <v>11.21</v>
      </c>
      <c r="I39" s="134">
        <v>8.06</v>
      </c>
      <c r="J39" s="134">
        <v>0.11</v>
      </c>
      <c r="K39" s="134">
        <v>335.61</v>
      </c>
      <c r="L39" s="134">
        <v>26.23</v>
      </c>
      <c r="M39" s="134">
        <v>95.18</v>
      </c>
      <c r="N39" s="134">
        <v>140.6</v>
      </c>
      <c r="O39" s="134">
        <v>0</v>
      </c>
      <c r="P39" s="134">
        <v>0.82</v>
      </c>
      <c r="Q39" s="134">
        <v>5.09</v>
      </c>
    </row>
    <row r="40" spans="1:17" customFormat="1">
      <c r="A40" s="112" t="s">
        <v>2668</v>
      </c>
      <c r="B40" s="134">
        <v>28.94</v>
      </c>
      <c r="C40" s="134">
        <v>28.92</v>
      </c>
      <c r="D40" s="134">
        <v>39.67</v>
      </c>
      <c r="E40" s="134">
        <v>6.95</v>
      </c>
      <c r="F40" s="134">
        <v>4.0999999999999996</v>
      </c>
      <c r="G40" s="134">
        <v>35.68</v>
      </c>
      <c r="H40" s="134">
        <v>11.21</v>
      </c>
      <c r="I40" s="134">
        <v>8.08</v>
      </c>
      <c r="J40" s="134">
        <v>0.26</v>
      </c>
      <c r="K40" s="134">
        <v>56.58</v>
      </c>
      <c r="L40" s="134">
        <v>26.92</v>
      </c>
      <c r="M40" s="134">
        <v>91.94</v>
      </c>
      <c r="N40" s="134">
        <v>155.5</v>
      </c>
      <c r="O40" s="134">
        <v>0</v>
      </c>
      <c r="P40" s="134">
        <v>0.82</v>
      </c>
      <c r="Q40" s="134">
        <v>5.07</v>
      </c>
    </row>
    <row r="41" spans="1:17" customFormat="1">
      <c r="A41" s="112" t="s">
        <v>2669</v>
      </c>
      <c r="B41" s="134">
        <v>28.49</v>
      </c>
      <c r="C41" s="134">
        <v>29.52</v>
      </c>
      <c r="D41" s="134">
        <v>39.619999999999997</v>
      </c>
      <c r="E41" s="134">
        <v>7.25</v>
      </c>
      <c r="F41" s="134">
        <v>4</v>
      </c>
      <c r="G41" s="134">
        <v>35.68</v>
      </c>
      <c r="H41" s="134">
        <v>11.21</v>
      </c>
      <c r="I41" s="134">
        <v>8.0399999999999991</v>
      </c>
      <c r="J41" s="134">
        <v>0.44</v>
      </c>
      <c r="K41" s="134">
        <v>43.61</v>
      </c>
      <c r="L41" s="134">
        <v>27.28</v>
      </c>
      <c r="M41" s="134">
        <v>90.93</v>
      </c>
      <c r="N41" s="134">
        <v>205.9</v>
      </c>
      <c r="O41" s="134">
        <v>0</v>
      </c>
      <c r="P41" s="134">
        <v>0.82</v>
      </c>
      <c r="Q41" s="134">
        <v>5.07</v>
      </c>
    </row>
    <row r="42" spans="1:17" customFormat="1">
      <c r="A42" s="112" t="s">
        <v>2670</v>
      </c>
      <c r="B42" s="134">
        <v>27.96</v>
      </c>
      <c r="C42" s="134">
        <v>29.73</v>
      </c>
      <c r="D42" s="134">
        <v>39.31</v>
      </c>
      <c r="E42" s="134">
        <v>7.45</v>
      </c>
      <c r="F42" s="134">
        <v>4.03</v>
      </c>
      <c r="G42" s="134">
        <v>47.26</v>
      </c>
      <c r="H42" s="134">
        <v>17.87</v>
      </c>
      <c r="I42" s="134">
        <v>8</v>
      </c>
      <c r="J42" s="134">
        <v>0.2</v>
      </c>
      <c r="K42" s="134">
        <v>126.31</v>
      </c>
      <c r="L42" s="134">
        <v>27.98</v>
      </c>
      <c r="M42" s="134">
        <v>88.74</v>
      </c>
      <c r="N42" s="134">
        <v>221.6</v>
      </c>
      <c r="O42" s="134">
        <v>0</v>
      </c>
      <c r="P42" s="134">
        <v>0.81</v>
      </c>
      <c r="Q42" s="134">
        <v>5.09</v>
      </c>
    </row>
    <row r="43" spans="1:17" customFormat="1">
      <c r="A43" s="112" t="s">
        <v>2671</v>
      </c>
      <c r="B43" s="134">
        <v>27.48</v>
      </c>
      <c r="C43" s="134">
        <v>29.78</v>
      </c>
      <c r="D43" s="134">
        <v>38.94</v>
      </c>
      <c r="E43" s="134">
        <v>7.3</v>
      </c>
      <c r="F43" s="134">
        <v>4.12</v>
      </c>
      <c r="G43" s="134">
        <v>49.21</v>
      </c>
      <c r="H43" s="134">
        <v>17.87</v>
      </c>
      <c r="I43" s="134">
        <v>7.92</v>
      </c>
      <c r="J43" s="134">
        <v>0.06</v>
      </c>
      <c r="K43" s="134">
        <v>43.46</v>
      </c>
      <c r="L43" s="134">
        <v>28.21</v>
      </c>
      <c r="M43" s="134">
        <v>86.07</v>
      </c>
      <c r="N43" s="134">
        <v>176.5</v>
      </c>
      <c r="O43" s="134">
        <v>0</v>
      </c>
      <c r="P43" s="134">
        <v>0.81</v>
      </c>
      <c r="Q43" s="134">
        <v>5.03</v>
      </c>
    </row>
    <row r="44" spans="1:17" customFormat="1">
      <c r="A44" s="112" t="s">
        <v>2672</v>
      </c>
      <c r="B44" s="134">
        <v>26.66</v>
      </c>
      <c r="C44" s="134">
        <v>30</v>
      </c>
      <c r="D44" s="134">
        <v>38.4</v>
      </c>
      <c r="E44" s="134">
        <v>7.33</v>
      </c>
      <c r="F44" s="134">
        <v>4.17</v>
      </c>
      <c r="G44" s="134">
        <v>49.21</v>
      </c>
      <c r="H44" s="134">
        <v>17.87</v>
      </c>
      <c r="I44" s="134">
        <v>7.88</v>
      </c>
      <c r="J44" s="134">
        <v>0.13</v>
      </c>
      <c r="K44" s="134">
        <v>168.65</v>
      </c>
      <c r="L44" s="134">
        <v>28.71</v>
      </c>
      <c r="M44" s="134">
        <v>85.74</v>
      </c>
      <c r="N44" s="134">
        <v>382.5</v>
      </c>
      <c r="O44" s="134">
        <v>0</v>
      </c>
      <c r="P44" s="134">
        <v>0.81</v>
      </c>
      <c r="Q44" s="134">
        <v>4.99</v>
      </c>
    </row>
    <row r="45" spans="1:17" customFormat="1">
      <c r="A45" s="112" t="s">
        <v>2673</v>
      </c>
      <c r="B45" s="134">
        <v>25.38</v>
      </c>
      <c r="C45" s="134">
        <v>30.24</v>
      </c>
      <c r="D45" s="134">
        <v>37.5</v>
      </c>
      <c r="E45" s="134">
        <v>7</v>
      </c>
      <c r="F45" s="134">
        <v>4.03</v>
      </c>
      <c r="G45" s="134">
        <v>49.21</v>
      </c>
      <c r="H45" s="134">
        <v>17.87</v>
      </c>
      <c r="I45" s="134">
        <v>7.81</v>
      </c>
      <c r="J45" s="134">
        <v>0.31</v>
      </c>
      <c r="K45" s="134">
        <v>250.76</v>
      </c>
      <c r="L45" s="134">
        <v>28.67</v>
      </c>
      <c r="M45" s="134">
        <v>87.36</v>
      </c>
      <c r="N45" s="134">
        <v>230</v>
      </c>
      <c r="O45" s="134">
        <v>0</v>
      </c>
      <c r="P45" s="134">
        <v>0.79</v>
      </c>
      <c r="Q45" s="134">
        <v>4.9400000000000004</v>
      </c>
    </row>
    <row r="46" spans="1:17" customFormat="1">
      <c r="A46" s="112" t="s">
        <v>2674</v>
      </c>
      <c r="B46" s="134">
        <v>24.14</v>
      </c>
      <c r="C46" s="134">
        <v>30.33</v>
      </c>
      <c r="D46" s="134">
        <v>36.549999999999997</v>
      </c>
      <c r="E46" s="134">
        <v>7.46</v>
      </c>
      <c r="F46" s="134">
        <v>4.05</v>
      </c>
      <c r="G46" s="134">
        <v>55.49</v>
      </c>
      <c r="H46" s="134">
        <v>23.22</v>
      </c>
      <c r="I46" s="134">
        <v>7.71</v>
      </c>
      <c r="J46" s="134">
        <v>0.28000000000000003</v>
      </c>
      <c r="K46" s="134">
        <v>269.57</v>
      </c>
      <c r="L46" s="134">
        <v>28.39</v>
      </c>
      <c r="M46" s="134">
        <v>88.62</v>
      </c>
      <c r="N46" s="134">
        <v>151.19999999999999</v>
      </c>
      <c r="O46" s="134">
        <v>0</v>
      </c>
      <c r="P46" s="134">
        <v>0.79</v>
      </c>
      <c r="Q46" s="134">
        <v>4.88</v>
      </c>
    </row>
    <row r="47" spans="1:17" customFormat="1">
      <c r="A47" s="112" t="s">
        <v>2675</v>
      </c>
      <c r="B47" s="134">
        <v>23.04</v>
      </c>
      <c r="C47" s="134">
        <v>30.58</v>
      </c>
      <c r="D47" s="134">
        <v>35.799999999999997</v>
      </c>
      <c r="E47" s="134">
        <v>7.08</v>
      </c>
      <c r="F47" s="134">
        <v>4.04</v>
      </c>
      <c r="G47" s="134">
        <v>56.55</v>
      </c>
      <c r="H47" s="134">
        <v>23.22</v>
      </c>
      <c r="I47" s="134">
        <v>7.59</v>
      </c>
      <c r="J47" s="134">
        <v>0.16</v>
      </c>
      <c r="K47" s="134">
        <v>249.08</v>
      </c>
      <c r="L47" s="134">
        <v>28.3</v>
      </c>
      <c r="M47" s="134">
        <v>89.81</v>
      </c>
      <c r="N47" s="134">
        <v>194.5</v>
      </c>
      <c r="O47" s="134">
        <v>0</v>
      </c>
      <c r="P47" s="134">
        <v>0.77</v>
      </c>
      <c r="Q47" s="134">
        <v>4.8</v>
      </c>
    </row>
    <row r="48" spans="1:17" customFormat="1">
      <c r="A48" s="112" t="s">
        <v>2676</v>
      </c>
      <c r="B48" s="134">
        <v>21.85</v>
      </c>
      <c r="C48" s="134">
        <v>30.14</v>
      </c>
      <c r="D48" s="134">
        <v>34.619999999999997</v>
      </c>
      <c r="E48" s="134">
        <v>7.47</v>
      </c>
      <c r="F48" s="134">
        <v>4.2</v>
      </c>
      <c r="G48" s="134">
        <v>56.55</v>
      </c>
      <c r="H48" s="134">
        <v>23.22</v>
      </c>
      <c r="I48" s="134">
        <v>7.48</v>
      </c>
      <c r="J48" s="134">
        <v>7.0000000000000007E-2</v>
      </c>
      <c r="K48" s="134">
        <v>206.91</v>
      </c>
      <c r="L48" s="134">
        <v>28.87</v>
      </c>
      <c r="M48" s="134">
        <v>86.19</v>
      </c>
      <c r="N48" s="134">
        <v>181.1</v>
      </c>
      <c r="O48" s="134">
        <v>0</v>
      </c>
      <c r="P48" s="134">
        <v>0.76</v>
      </c>
      <c r="Q48" s="134">
        <v>4.74</v>
      </c>
    </row>
    <row r="49" spans="1:17" customFormat="1">
      <c r="A49" s="112" t="s">
        <v>2677</v>
      </c>
      <c r="B49" s="134">
        <v>20.61</v>
      </c>
      <c r="C49" s="134">
        <v>30.53</v>
      </c>
      <c r="D49" s="134">
        <v>33.83</v>
      </c>
      <c r="E49" s="134">
        <v>4.66</v>
      </c>
      <c r="F49" s="134">
        <v>4.2300000000000004</v>
      </c>
      <c r="G49" s="134">
        <v>56.55</v>
      </c>
      <c r="H49" s="134">
        <v>23.22</v>
      </c>
      <c r="I49" s="134">
        <v>7.39</v>
      </c>
      <c r="J49" s="134">
        <v>0.21</v>
      </c>
      <c r="K49" s="134">
        <v>157.93</v>
      </c>
      <c r="L49" s="134">
        <v>28.81</v>
      </c>
      <c r="M49" s="134">
        <v>86.2</v>
      </c>
      <c r="N49" s="134">
        <v>119.6</v>
      </c>
      <c r="O49" s="134">
        <v>0.4</v>
      </c>
      <c r="P49" s="134">
        <v>0.76</v>
      </c>
      <c r="Q49" s="134">
        <v>4.67</v>
      </c>
    </row>
    <row r="50" spans="1:17" customFormat="1">
      <c r="A50" s="112" t="s">
        <v>2678</v>
      </c>
      <c r="B50" s="134">
        <v>19.309999999999999</v>
      </c>
      <c r="C50" s="134">
        <v>30.45</v>
      </c>
      <c r="D50" s="134">
        <v>32.75</v>
      </c>
      <c r="E50" s="134">
        <v>5.54</v>
      </c>
      <c r="F50" s="134">
        <v>4.6399999999999997</v>
      </c>
      <c r="G50" s="134">
        <v>52.89</v>
      </c>
      <c r="H50" s="134">
        <v>23.42</v>
      </c>
      <c r="I50" s="134">
        <v>7.32</v>
      </c>
      <c r="J50" s="134">
        <v>0.12</v>
      </c>
      <c r="K50" s="134">
        <v>81.92</v>
      </c>
      <c r="L50" s="134">
        <v>28.27</v>
      </c>
      <c r="M50" s="134">
        <v>92.26</v>
      </c>
      <c r="N50" s="134">
        <v>171.6</v>
      </c>
      <c r="O50" s="134">
        <v>0.4</v>
      </c>
      <c r="P50" s="134">
        <v>0.74</v>
      </c>
      <c r="Q50" s="134">
        <v>4.58</v>
      </c>
    </row>
    <row r="51" spans="1:17" customFormat="1">
      <c r="A51" s="112" t="s">
        <v>2679</v>
      </c>
      <c r="B51" s="134">
        <v>18.57</v>
      </c>
      <c r="C51" s="134">
        <v>30.71</v>
      </c>
      <c r="D51" s="134">
        <v>32.29</v>
      </c>
      <c r="E51" s="134">
        <v>5.97</v>
      </c>
      <c r="F51" s="134">
        <v>4.22</v>
      </c>
      <c r="G51" s="134">
        <v>52.27</v>
      </c>
      <c r="H51" s="134">
        <v>23.42</v>
      </c>
      <c r="I51" s="134">
        <v>7.22</v>
      </c>
      <c r="J51" s="134">
        <v>0.08</v>
      </c>
      <c r="K51" s="134">
        <v>94.21</v>
      </c>
      <c r="L51" s="134">
        <v>28.2</v>
      </c>
      <c r="M51" s="134">
        <v>92.32</v>
      </c>
      <c r="N51" s="134">
        <v>164.8</v>
      </c>
      <c r="O51" s="134">
        <v>0</v>
      </c>
      <c r="P51" s="134">
        <v>0.74</v>
      </c>
      <c r="Q51" s="134">
        <v>4.5199999999999996</v>
      </c>
    </row>
    <row r="52" spans="1:17" customFormat="1">
      <c r="A52" s="112" t="s">
        <v>2680</v>
      </c>
      <c r="B52" s="134">
        <v>17.93</v>
      </c>
      <c r="C52" s="134">
        <v>32.200000000000003</v>
      </c>
      <c r="D52" s="134">
        <v>32.549999999999997</v>
      </c>
      <c r="E52" s="134">
        <v>6.5</v>
      </c>
      <c r="F52" s="134">
        <v>3.9</v>
      </c>
      <c r="G52" s="134">
        <v>52.27</v>
      </c>
      <c r="H52" s="134">
        <v>23.42</v>
      </c>
      <c r="I52" s="134">
        <v>7.1</v>
      </c>
      <c r="J52" s="134">
        <v>0.18</v>
      </c>
      <c r="K52" s="134">
        <v>177.7</v>
      </c>
      <c r="L52" s="134">
        <v>28.37</v>
      </c>
      <c r="M52" s="134">
        <v>92.95</v>
      </c>
      <c r="N52" s="134">
        <v>293.89999999999998</v>
      </c>
      <c r="O52" s="134">
        <v>0</v>
      </c>
      <c r="P52" s="134">
        <v>0.75</v>
      </c>
      <c r="Q52" s="134">
        <v>4.45</v>
      </c>
    </row>
    <row r="53" spans="1:17" customFormat="1">
      <c r="A53" s="112" t="s">
        <v>2681</v>
      </c>
      <c r="B53" s="134">
        <v>17.71</v>
      </c>
      <c r="C53" s="134">
        <v>30.73</v>
      </c>
      <c r="D53" s="134">
        <v>31.6</v>
      </c>
      <c r="E53" s="134">
        <v>6.45</v>
      </c>
      <c r="F53" s="134">
        <v>5.71</v>
      </c>
      <c r="G53" s="134">
        <v>52.27</v>
      </c>
      <c r="H53" s="134">
        <v>23.42</v>
      </c>
      <c r="I53" s="134">
        <v>6.99</v>
      </c>
      <c r="J53" s="134">
        <v>0.24</v>
      </c>
      <c r="K53" s="134">
        <v>23.49</v>
      </c>
      <c r="L53" s="134">
        <v>29.57</v>
      </c>
      <c r="M53" s="134">
        <v>86.81</v>
      </c>
      <c r="N53" s="134">
        <v>613.1</v>
      </c>
      <c r="O53" s="134">
        <v>0</v>
      </c>
      <c r="P53" s="134">
        <v>0.72</v>
      </c>
      <c r="Q53" s="134">
        <v>4.42</v>
      </c>
    </row>
    <row r="54" spans="1:17" customFormat="1">
      <c r="A54" s="112" t="s">
        <v>2682</v>
      </c>
      <c r="B54" s="134">
        <v>17.399999999999999</v>
      </c>
      <c r="C54" s="134">
        <v>28.29</v>
      </c>
      <c r="D54" s="134">
        <v>30.08</v>
      </c>
      <c r="E54" s="134">
        <v>7.37</v>
      </c>
      <c r="F54" s="134">
        <v>7.18</v>
      </c>
      <c r="G54" s="134">
        <v>50.65</v>
      </c>
      <c r="H54" s="134">
        <v>23.3</v>
      </c>
      <c r="I54" s="134">
        <v>6.96</v>
      </c>
      <c r="J54" s="134">
        <v>0.25</v>
      </c>
      <c r="K54" s="134">
        <v>20.27</v>
      </c>
      <c r="L54" s="134">
        <v>29.51</v>
      </c>
      <c r="M54" s="134">
        <v>83.7</v>
      </c>
      <c r="N54" s="134">
        <v>454.8</v>
      </c>
      <c r="O54" s="134">
        <v>0</v>
      </c>
      <c r="P54" s="134">
        <v>0.71</v>
      </c>
      <c r="Q54" s="134">
        <v>4.3600000000000003</v>
      </c>
    </row>
    <row r="55" spans="1:17" customFormat="1">
      <c r="A55" s="112" t="s">
        <v>2683</v>
      </c>
      <c r="B55" s="134">
        <v>17.21</v>
      </c>
      <c r="C55" s="134">
        <v>27.2</v>
      </c>
      <c r="D55" s="134">
        <v>29.36</v>
      </c>
      <c r="E55" s="134">
        <v>6.83</v>
      </c>
      <c r="F55" s="134">
        <v>6.86</v>
      </c>
      <c r="G55" s="134">
        <v>50.36</v>
      </c>
      <c r="H55" s="134">
        <v>23.3</v>
      </c>
      <c r="I55" s="134">
        <v>6.73</v>
      </c>
      <c r="J55" s="134">
        <v>0.38</v>
      </c>
      <c r="K55" s="134">
        <v>316.26</v>
      </c>
      <c r="L55" s="134">
        <v>29.94</v>
      </c>
      <c r="M55" s="134">
        <v>79.040000000000006</v>
      </c>
      <c r="N55" s="134">
        <v>630.79999999999995</v>
      </c>
      <c r="O55" s="134">
        <v>0</v>
      </c>
      <c r="P55" s="134">
        <v>0.69</v>
      </c>
      <c r="Q55" s="134">
        <v>4.34</v>
      </c>
    </row>
    <row r="56" spans="1:17" customFormat="1">
      <c r="A56" s="112" t="s">
        <v>2684</v>
      </c>
      <c r="B56" s="134">
        <v>16.920000000000002</v>
      </c>
      <c r="C56" s="134">
        <v>26.96</v>
      </c>
      <c r="D56" s="134">
        <v>29.01</v>
      </c>
      <c r="E56" s="134">
        <v>6.66</v>
      </c>
      <c r="F56" s="134">
        <v>6.26</v>
      </c>
      <c r="G56" s="134">
        <v>50.36</v>
      </c>
      <c r="H56" s="134">
        <v>23.3</v>
      </c>
      <c r="I56" s="134">
        <v>6.74</v>
      </c>
      <c r="J56" s="134">
        <v>0.39</v>
      </c>
      <c r="K56" s="134">
        <v>307.83</v>
      </c>
      <c r="L56" s="134">
        <v>29.81</v>
      </c>
      <c r="M56" s="134">
        <v>75.56</v>
      </c>
      <c r="N56" s="134">
        <v>329.1</v>
      </c>
      <c r="O56" s="134">
        <v>0</v>
      </c>
      <c r="P56" s="134">
        <v>0.69</v>
      </c>
      <c r="Q56" s="134">
        <v>4.2699999999999996</v>
      </c>
    </row>
    <row r="57" spans="1:17" customFormat="1">
      <c r="A57" s="112" t="s">
        <v>2685</v>
      </c>
      <c r="B57" s="134">
        <v>16.23</v>
      </c>
      <c r="C57" s="134">
        <v>26.87</v>
      </c>
      <c r="D57" s="134">
        <v>28.41</v>
      </c>
      <c r="E57" s="134">
        <v>6.96</v>
      </c>
      <c r="F57" s="134">
        <v>7.06</v>
      </c>
      <c r="G57" s="134">
        <v>50.36</v>
      </c>
      <c r="H57" s="134">
        <v>23.3</v>
      </c>
      <c r="I57" s="134">
        <v>6.72</v>
      </c>
      <c r="J57" s="134">
        <v>0.2</v>
      </c>
      <c r="K57" s="134">
        <v>337.22</v>
      </c>
      <c r="L57" s="134">
        <v>29.52</v>
      </c>
      <c r="M57" s="134">
        <v>77.400000000000006</v>
      </c>
      <c r="N57" s="134">
        <v>180.4</v>
      </c>
      <c r="O57" s="134">
        <v>0</v>
      </c>
      <c r="P57" s="134">
        <v>0.69</v>
      </c>
      <c r="Q57" s="134">
        <v>4.24</v>
      </c>
    </row>
    <row r="58" spans="1:17" customFormat="1">
      <c r="A58" s="112" t="s">
        <v>2686</v>
      </c>
      <c r="B58" s="134">
        <v>15.4</v>
      </c>
      <c r="C58" s="134">
        <v>26.39</v>
      </c>
      <c r="D58" s="134">
        <v>27.49</v>
      </c>
      <c r="E58" s="134">
        <v>9.5</v>
      </c>
      <c r="F58" s="134">
        <v>10.41</v>
      </c>
      <c r="G58" s="134">
        <v>52.61</v>
      </c>
      <c r="H58" s="134">
        <v>23.57</v>
      </c>
      <c r="I58" s="134">
        <v>6.66</v>
      </c>
      <c r="J58" s="134">
        <v>0.22</v>
      </c>
      <c r="K58" s="134">
        <v>5.68</v>
      </c>
      <c r="L58" s="134">
        <v>29.38</v>
      </c>
      <c r="M58" s="134">
        <v>77.290000000000006</v>
      </c>
      <c r="N58" s="134">
        <v>83.2</v>
      </c>
      <c r="O58" s="134">
        <v>0</v>
      </c>
      <c r="P58" s="134">
        <v>0.69</v>
      </c>
      <c r="Q58" s="134">
        <v>4.2</v>
      </c>
    </row>
    <row r="59" spans="1:17" customFormat="1">
      <c r="A59" s="112" t="s">
        <v>2687</v>
      </c>
      <c r="B59" s="134">
        <v>15.41</v>
      </c>
      <c r="C59" s="134">
        <v>26.28</v>
      </c>
      <c r="D59" s="134">
        <v>27.45</v>
      </c>
      <c r="E59" s="134">
        <v>8.66</v>
      </c>
      <c r="F59" s="134">
        <v>8.4700000000000006</v>
      </c>
      <c r="G59" s="134">
        <v>53</v>
      </c>
      <c r="H59" s="134">
        <v>23.57</v>
      </c>
      <c r="I59" s="134">
        <v>6.49</v>
      </c>
      <c r="J59" s="134">
        <v>0.28000000000000003</v>
      </c>
      <c r="K59" s="134">
        <v>8.94</v>
      </c>
      <c r="L59" s="134">
        <v>28.97</v>
      </c>
      <c r="M59" s="134">
        <v>81.42</v>
      </c>
      <c r="N59" s="134">
        <v>137.4</v>
      </c>
      <c r="O59" s="134">
        <v>0</v>
      </c>
      <c r="P59" s="134">
        <v>0.67</v>
      </c>
      <c r="Q59" s="134">
        <v>4.1500000000000004</v>
      </c>
    </row>
    <row r="60" spans="1:17" customFormat="1">
      <c r="A60" s="112" t="s">
        <v>2688</v>
      </c>
      <c r="B60" s="134">
        <v>15.25</v>
      </c>
      <c r="C60" s="134">
        <v>25.82</v>
      </c>
      <c r="D60" s="134">
        <v>27.07</v>
      </c>
      <c r="E60" s="134">
        <v>8.94</v>
      </c>
      <c r="F60" s="134">
        <v>7.95</v>
      </c>
      <c r="G60" s="134">
        <v>53</v>
      </c>
      <c r="H60" s="134">
        <v>23.57</v>
      </c>
      <c r="I60" s="134">
        <v>6.33</v>
      </c>
      <c r="J60" s="134">
        <v>0.35</v>
      </c>
      <c r="K60" s="134">
        <v>333.16</v>
      </c>
      <c r="L60" s="134">
        <v>28.71</v>
      </c>
      <c r="M60" s="134">
        <v>79.69</v>
      </c>
      <c r="N60" s="134">
        <v>258.5</v>
      </c>
      <c r="O60" s="134">
        <v>0</v>
      </c>
      <c r="P60" s="134">
        <v>0.66</v>
      </c>
      <c r="Q60" s="134">
        <v>4.1500000000000004</v>
      </c>
    </row>
    <row r="61" spans="1:17" customFormat="1">
      <c r="A61" s="112" t="s">
        <v>2689</v>
      </c>
      <c r="B61" s="134">
        <v>15.47</v>
      </c>
      <c r="C61" s="134">
        <v>25.92</v>
      </c>
      <c r="D61" s="134">
        <v>27.3</v>
      </c>
      <c r="E61" s="134">
        <v>14.15</v>
      </c>
      <c r="F61" s="134">
        <v>7.08</v>
      </c>
      <c r="G61" s="134">
        <v>53</v>
      </c>
      <c r="H61" s="134">
        <v>23.57</v>
      </c>
      <c r="I61" s="134">
        <v>6.31</v>
      </c>
      <c r="J61" s="134">
        <v>0.4</v>
      </c>
      <c r="K61" s="134">
        <v>306.75</v>
      </c>
      <c r="L61" s="134">
        <v>29.76</v>
      </c>
      <c r="M61" s="134">
        <v>77.489999999999995</v>
      </c>
      <c r="N61" s="134">
        <v>582.6</v>
      </c>
      <c r="O61" s="134">
        <v>0</v>
      </c>
      <c r="P61" s="134">
        <v>0.68</v>
      </c>
      <c r="Q61" s="134">
        <v>4.12</v>
      </c>
    </row>
    <row r="62" spans="1:17" customFormat="1">
      <c r="A62" s="112" t="s">
        <v>2690</v>
      </c>
      <c r="B62" s="134">
        <v>15.2</v>
      </c>
      <c r="C62" s="134">
        <v>25.72</v>
      </c>
      <c r="D62" s="134">
        <v>26.97</v>
      </c>
      <c r="E62" s="134">
        <v>16.72</v>
      </c>
      <c r="F62" s="134">
        <v>8.74</v>
      </c>
      <c r="G62" s="134">
        <v>54.35</v>
      </c>
      <c r="H62" s="134">
        <v>21.69</v>
      </c>
      <c r="I62" s="134">
        <v>6.28</v>
      </c>
      <c r="J62" s="134">
        <v>0.66</v>
      </c>
      <c r="K62" s="134">
        <v>15.73</v>
      </c>
      <c r="L62" s="134">
        <v>30.7</v>
      </c>
      <c r="M62" s="134">
        <v>73.91</v>
      </c>
      <c r="N62" s="134">
        <v>529.70000000000005</v>
      </c>
      <c r="O62" s="134">
        <v>0</v>
      </c>
      <c r="P62" s="134">
        <v>0.68</v>
      </c>
      <c r="Q62" s="134">
        <v>4.12</v>
      </c>
    </row>
    <row r="63" spans="1:17" customFormat="1">
      <c r="A63" s="112" t="s">
        <v>2691</v>
      </c>
      <c r="B63" s="134">
        <v>15.2</v>
      </c>
      <c r="C63" s="134">
        <v>26.24</v>
      </c>
      <c r="D63" s="134">
        <v>27.25</v>
      </c>
      <c r="E63" s="134">
        <v>14.23</v>
      </c>
      <c r="F63" s="134">
        <v>7.62</v>
      </c>
      <c r="G63" s="134">
        <v>54.6</v>
      </c>
      <c r="H63" s="134">
        <v>21.69</v>
      </c>
      <c r="I63" s="134">
        <v>6.31</v>
      </c>
      <c r="J63" s="134">
        <v>0.67</v>
      </c>
      <c r="K63" s="134">
        <v>28.97</v>
      </c>
      <c r="L63" s="134">
        <v>30.44</v>
      </c>
      <c r="M63" s="134">
        <v>75.31</v>
      </c>
      <c r="N63" s="134">
        <v>482.3</v>
      </c>
      <c r="O63" s="134">
        <v>0</v>
      </c>
      <c r="P63" s="134">
        <v>0.68</v>
      </c>
      <c r="Q63" s="134">
        <v>4.12</v>
      </c>
    </row>
    <row r="64" spans="1:17" customFormat="1">
      <c r="A64" s="112" t="s">
        <v>2692</v>
      </c>
      <c r="B64" s="134">
        <v>15.49</v>
      </c>
      <c r="C64" s="134">
        <v>27.36</v>
      </c>
      <c r="D64" s="134">
        <v>28.06</v>
      </c>
      <c r="E64" s="134">
        <v>13.61</v>
      </c>
      <c r="F64" s="134">
        <v>7.43</v>
      </c>
      <c r="G64" s="134">
        <v>54.6</v>
      </c>
      <c r="H64" s="134">
        <v>21.69</v>
      </c>
      <c r="I64" s="134">
        <v>6.12</v>
      </c>
      <c r="J64" s="134">
        <v>0.87</v>
      </c>
      <c r="K64" s="134">
        <v>33.25</v>
      </c>
      <c r="L64" s="134">
        <v>30.68</v>
      </c>
      <c r="M64" s="134">
        <v>73.58</v>
      </c>
      <c r="N64" s="134">
        <v>554.1</v>
      </c>
      <c r="O64" s="134">
        <v>0</v>
      </c>
      <c r="P64" s="134">
        <v>0.68</v>
      </c>
      <c r="Q64" s="134">
        <v>4.1100000000000003</v>
      </c>
    </row>
    <row r="65" spans="1:17" customFormat="1">
      <c r="A65" s="112" t="s">
        <v>2693</v>
      </c>
      <c r="B65" s="134">
        <v>15.56</v>
      </c>
      <c r="C65" s="134">
        <v>27.25</v>
      </c>
      <c r="D65" s="134">
        <v>28.07</v>
      </c>
      <c r="E65" s="134">
        <v>12.01</v>
      </c>
      <c r="F65" s="134">
        <v>7.67</v>
      </c>
      <c r="G65" s="134">
        <v>54.6</v>
      </c>
      <c r="H65" s="134">
        <v>21.69</v>
      </c>
      <c r="I65" s="134">
        <v>6.14</v>
      </c>
      <c r="J65" s="134">
        <v>0.94</v>
      </c>
      <c r="K65" s="134">
        <v>29.08</v>
      </c>
      <c r="L65" s="134">
        <v>30.69</v>
      </c>
      <c r="M65" s="134">
        <v>71.42</v>
      </c>
      <c r="N65" s="134">
        <v>515.5</v>
      </c>
      <c r="O65" s="134">
        <v>0</v>
      </c>
      <c r="P65" s="134">
        <v>0.66</v>
      </c>
      <c r="Q65" s="134">
        <v>4.12</v>
      </c>
    </row>
    <row r="66" spans="1:17" customFormat="1">
      <c r="A66" s="112" t="s">
        <v>2694</v>
      </c>
      <c r="B66" s="134">
        <v>15.44</v>
      </c>
      <c r="C66" s="134">
        <v>26.57</v>
      </c>
      <c r="D66" s="134">
        <v>27.62</v>
      </c>
      <c r="E66" s="134">
        <v>12.71</v>
      </c>
      <c r="F66" s="134">
        <v>10.039999999999999</v>
      </c>
      <c r="G66" s="134">
        <v>54.47</v>
      </c>
      <c r="H66" s="134">
        <v>21.37</v>
      </c>
      <c r="I66" s="134">
        <v>6.05</v>
      </c>
      <c r="J66" s="134">
        <v>0.81</v>
      </c>
      <c r="K66" s="134">
        <v>29.17</v>
      </c>
      <c r="L66" s="134">
        <v>30.9</v>
      </c>
      <c r="M66" s="134">
        <v>71.959999999999994</v>
      </c>
      <c r="N66" s="134">
        <v>493.7</v>
      </c>
      <c r="O66" s="134">
        <v>0</v>
      </c>
      <c r="P66" s="134">
        <v>0.66</v>
      </c>
      <c r="Q66" s="134">
        <v>4.1500000000000004</v>
      </c>
    </row>
    <row r="67" spans="1:17" customFormat="1">
      <c r="A67" s="112" t="s">
        <v>2695</v>
      </c>
      <c r="B67" s="134">
        <v>15.55</v>
      </c>
      <c r="C67" s="134">
        <v>26.19</v>
      </c>
      <c r="D67" s="134">
        <v>27.5</v>
      </c>
      <c r="E67" s="134">
        <v>8.08</v>
      </c>
      <c r="F67" s="134">
        <v>8.5299999999999994</v>
      </c>
      <c r="G67" s="134">
        <v>54.44</v>
      </c>
      <c r="H67" s="134">
        <v>21.37</v>
      </c>
      <c r="I67" s="134">
        <v>5.97</v>
      </c>
      <c r="J67" s="134">
        <v>0.81</v>
      </c>
      <c r="K67" s="134">
        <v>30.7</v>
      </c>
      <c r="L67" s="134">
        <v>30.99</v>
      </c>
      <c r="M67" s="134">
        <v>74.08</v>
      </c>
      <c r="N67" s="134">
        <v>370.3</v>
      </c>
      <c r="O67" s="134">
        <v>0</v>
      </c>
      <c r="P67" s="134">
        <v>0.65</v>
      </c>
      <c r="Q67" s="134">
        <v>4.1399999999999997</v>
      </c>
    </row>
    <row r="68" spans="1:17" customFormat="1">
      <c r="A68" s="112" t="s">
        <v>2696</v>
      </c>
      <c r="B68" s="134">
        <v>14.95</v>
      </c>
      <c r="C68" s="134">
        <v>25.6</v>
      </c>
      <c r="D68" s="134">
        <v>26.72</v>
      </c>
      <c r="E68" s="134">
        <v>7.26</v>
      </c>
      <c r="F68" s="134">
        <v>9.9</v>
      </c>
      <c r="G68" s="134">
        <v>54.44</v>
      </c>
      <c r="H68" s="134">
        <v>21.37</v>
      </c>
      <c r="I68" s="134">
        <v>5.81</v>
      </c>
      <c r="J68" s="134">
        <v>0.59</v>
      </c>
      <c r="K68" s="134">
        <v>41.49</v>
      </c>
      <c r="L68" s="134">
        <v>30.72</v>
      </c>
      <c r="M68" s="134">
        <v>73.81</v>
      </c>
      <c r="N68" s="134">
        <v>340.2</v>
      </c>
      <c r="O68" s="134">
        <v>0</v>
      </c>
      <c r="P68" s="134">
        <v>0.64</v>
      </c>
      <c r="Q68" s="134">
        <v>4.1100000000000003</v>
      </c>
    </row>
    <row r="69" spans="1:17" customFormat="1">
      <c r="A69" s="112" t="s">
        <v>2697</v>
      </c>
      <c r="B69" s="134">
        <v>14.27</v>
      </c>
      <c r="C69" s="134">
        <v>25.57</v>
      </c>
      <c r="D69" s="134">
        <v>26.15</v>
      </c>
      <c r="E69" s="134">
        <v>6.29</v>
      </c>
      <c r="F69" s="134">
        <v>8.81</v>
      </c>
      <c r="G69" s="134">
        <v>54.44</v>
      </c>
      <c r="H69" s="134">
        <v>21.37</v>
      </c>
      <c r="I69" s="134">
        <v>5.75</v>
      </c>
      <c r="J69" s="134">
        <v>0.52</v>
      </c>
      <c r="K69" s="134">
        <v>45.56</v>
      </c>
      <c r="L69" s="134">
        <v>30.73</v>
      </c>
      <c r="M69" s="134">
        <v>75.08</v>
      </c>
      <c r="N69" s="134">
        <v>225.2</v>
      </c>
      <c r="O69" s="134">
        <v>0</v>
      </c>
      <c r="P69" s="134">
        <v>0.64</v>
      </c>
      <c r="Q69" s="134">
        <v>4.0599999999999996</v>
      </c>
    </row>
    <row r="70" spans="1:17" customFormat="1">
      <c r="A70" s="112" t="s">
        <v>2698</v>
      </c>
      <c r="B70" s="134">
        <v>13.69</v>
      </c>
      <c r="C70" s="134">
        <v>25.61</v>
      </c>
      <c r="D70" s="134">
        <v>25.71</v>
      </c>
      <c r="E70" s="134">
        <v>6.69</v>
      </c>
      <c r="F70" s="134">
        <v>10.039999999999999</v>
      </c>
      <c r="G70" s="134">
        <v>52.41</v>
      </c>
      <c r="H70" s="134">
        <v>21.43</v>
      </c>
      <c r="I70" s="134">
        <v>5.59</v>
      </c>
      <c r="J70" s="134">
        <v>0.63</v>
      </c>
      <c r="K70" s="134">
        <v>40.479999999999997</v>
      </c>
      <c r="L70" s="134">
        <v>30.18</v>
      </c>
      <c r="M70" s="134">
        <v>77.11</v>
      </c>
      <c r="N70" s="134">
        <v>140.4</v>
      </c>
      <c r="O70" s="134">
        <v>0</v>
      </c>
      <c r="P70" s="134">
        <v>0.63</v>
      </c>
      <c r="Q70" s="134">
        <v>4.04</v>
      </c>
    </row>
    <row r="71" spans="1:17" customFormat="1">
      <c r="A71" s="112" t="s">
        <v>2699</v>
      </c>
      <c r="B71" s="134">
        <v>13.42</v>
      </c>
      <c r="C71" s="134">
        <v>25.99</v>
      </c>
      <c r="D71" s="134">
        <v>25.69</v>
      </c>
      <c r="E71" s="134">
        <v>5.94</v>
      </c>
      <c r="F71" s="134">
        <v>8.35</v>
      </c>
      <c r="G71" s="134">
        <v>52.07</v>
      </c>
      <c r="H71" s="134">
        <v>21.43</v>
      </c>
      <c r="I71" s="134">
        <v>5.64</v>
      </c>
      <c r="J71" s="134">
        <v>0.26</v>
      </c>
      <c r="K71" s="134">
        <v>97.02</v>
      </c>
      <c r="L71" s="134">
        <v>30.02</v>
      </c>
      <c r="M71" s="134">
        <v>78.19</v>
      </c>
      <c r="N71" s="134">
        <v>103.6</v>
      </c>
      <c r="O71" s="134">
        <v>0</v>
      </c>
      <c r="P71" s="134">
        <v>0.62</v>
      </c>
      <c r="Q71" s="134">
        <v>4.01</v>
      </c>
    </row>
    <row r="72" spans="1:17" customFormat="1">
      <c r="A72" s="112" t="s">
        <v>2700</v>
      </c>
      <c r="B72" s="134">
        <v>12.67</v>
      </c>
      <c r="C72" s="134">
        <v>26.27</v>
      </c>
      <c r="D72" s="134">
        <v>25.24</v>
      </c>
      <c r="E72" s="134">
        <v>5.16</v>
      </c>
      <c r="F72" s="134">
        <v>7.35</v>
      </c>
      <c r="G72" s="134">
        <v>52.07</v>
      </c>
      <c r="H72" s="134">
        <v>21.43</v>
      </c>
      <c r="I72" s="134">
        <v>5.49</v>
      </c>
      <c r="J72" s="134">
        <v>0.21</v>
      </c>
      <c r="K72" s="134">
        <v>140.35</v>
      </c>
      <c r="L72" s="134">
        <v>28.8</v>
      </c>
      <c r="M72" s="134">
        <v>79.67</v>
      </c>
      <c r="N72" s="134">
        <v>53.9</v>
      </c>
      <c r="O72" s="134">
        <v>0</v>
      </c>
      <c r="P72" s="134">
        <v>0.62</v>
      </c>
      <c r="Q72" s="134">
        <v>3.97</v>
      </c>
    </row>
    <row r="73" spans="1:17" customFormat="1">
      <c r="A73" s="112" t="s">
        <v>2701</v>
      </c>
      <c r="B73" s="134">
        <v>11.89</v>
      </c>
      <c r="C73" s="134">
        <v>26.44</v>
      </c>
      <c r="D73" s="134">
        <v>24.7</v>
      </c>
      <c r="E73" s="134">
        <v>4.7699999999999996</v>
      </c>
      <c r="F73" s="134">
        <v>6.73</v>
      </c>
      <c r="G73" s="134">
        <v>52.07</v>
      </c>
      <c r="H73" s="134">
        <v>21.43</v>
      </c>
      <c r="I73" s="134">
        <v>5.39</v>
      </c>
      <c r="J73" s="134">
        <v>0.26</v>
      </c>
      <c r="K73" s="134">
        <v>152.79</v>
      </c>
      <c r="L73" s="134">
        <v>28.12</v>
      </c>
      <c r="M73" s="134">
        <v>81.14</v>
      </c>
      <c r="N73" s="134">
        <v>26.8</v>
      </c>
      <c r="O73" s="134">
        <v>0</v>
      </c>
      <c r="P73" s="134">
        <v>0.61</v>
      </c>
      <c r="Q73" s="134">
        <v>3.95</v>
      </c>
    </row>
    <row r="74" spans="1:17" customFormat="1">
      <c r="A74" s="112" t="s">
        <v>2702</v>
      </c>
      <c r="B74" s="134">
        <v>10.97</v>
      </c>
      <c r="C74" s="134">
        <v>25.8</v>
      </c>
      <c r="D74" s="134">
        <v>23.63</v>
      </c>
      <c r="E74" s="134">
        <v>4.8</v>
      </c>
      <c r="F74" s="134">
        <v>7.59</v>
      </c>
      <c r="G74" s="134">
        <v>41.66</v>
      </c>
      <c r="H74" s="134">
        <v>17.3</v>
      </c>
      <c r="I74" s="134">
        <v>5.37</v>
      </c>
      <c r="J74" s="134">
        <v>0.23</v>
      </c>
      <c r="K74" s="134">
        <v>148.08000000000001</v>
      </c>
      <c r="L74" s="134">
        <v>27.69</v>
      </c>
      <c r="M74" s="134">
        <v>83.84</v>
      </c>
      <c r="N74" s="134">
        <v>13.5</v>
      </c>
      <c r="O74" s="134">
        <v>0</v>
      </c>
      <c r="P74" s="134">
        <v>0.59</v>
      </c>
      <c r="Q74" s="134">
        <v>3.9</v>
      </c>
    </row>
    <row r="75" spans="1:17" customFormat="1">
      <c r="A75" s="112" t="s">
        <v>2703</v>
      </c>
      <c r="B75" s="134">
        <v>10.69</v>
      </c>
      <c r="C75" s="134">
        <v>26.27</v>
      </c>
      <c r="D75" s="134">
        <v>23.65</v>
      </c>
      <c r="E75" s="134">
        <v>4.42</v>
      </c>
      <c r="F75" s="134">
        <v>5.74</v>
      </c>
      <c r="G75" s="134">
        <v>39.909999999999997</v>
      </c>
      <c r="H75" s="134">
        <v>17.3</v>
      </c>
      <c r="I75" s="134">
        <v>5.3</v>
      </c>
      <c r="J75" s="134">
        <v>0.27</v>
      </c>
      <c r="K75" s="134">
        <v>137.16999999999999</v>
      </c>
      <c r="L75" s="134">
        <v>27.32</v>
      </c>
      <c r="M75" s="134">
        <v>83.11</v>
      </c>
      <c r="N75" s="134">
        <v>6.3</v>
      </c>
      <c r="O75" s="134">
        <v>0</v>
      </c>
      <c r="P75" s="134">
        <v>0.59</v>
      </c>
      <c r="Q75" s="134">
        <v>3.9</v>
      </c>
    </row>
    <row r="76" spans="1:17" customFormat="1">
      <c r="A76" s="112" t="s">
        <v>2704</v>
      </c>
      <c r="B76" s="134">
        <v>10.28</v>
      </c>
      <c r="C76" s="134">
        <v>26.22</v>
      </c>
      <c r="D76" s="134">
        <v>23.29</v>
      </c>
      <c r="E76" s="134">
        <v>4.0999999999999996</v>
      </c>
      <c r="F76" s="134">
        <v>5.35</v>
      </c>
      <c r="G76" s="134">
        <v>39.909999999999997</v>
      </c>
      <c r="H76" s="134">
        <v>17.3</v>
      </c>
      <c r="I76" s="134">
        <v>5.05</v>
      </c>
      <c r="J76" s="134">
        <v>0</v>
      </c>
      <c r="K76" s="134">
        <v>298.13</v>
      </c>
      <c r="L76" s="134">
        <v>26.83</v>
      </c>
      <c r="M76" s="134">
        <v>88.15</v>
      </c>
      <c r="N76" s="134">
        <v>1.9</v>
      </c>
      <c r="O76" s="134">
        <v>0</v>
      </c>
      <c r="P76" s="134">
        <v>0.57999999999999996</v>
      </c>
      <c r="Q76" s="134">
        <v>3.88</v>
      </c>
    </row>
    <row r="77" spans="1:17" customFormat="1">
      <c r="A77" s="112" t="s">
        <v>2705</v>
      </c>
      <c r="B77" s="134">
        <v>9.9600000000000009</v>
      </c>
      <c r="C77" s="134">
        <v>25.92</v>
      </c>
      <c r="D77" s="134">
        <v>22.88</v>
      </c>
      <c r="E77" s="134">
        <v>4.54</v>
      </c>
      <c r="F77" s="134">
        <v>5.03</v>
      </c>
      <c r="G77" s="134">
        <v>39.909999999999997</v>
      </c>
      <c r="H77" s="134">
        <v>17.3</v>
      </c>
      <c r="I77" s="134">
        <v>4.99</v>
      </c>
      <c r="J77" s="134">
        <v>0.17</v>
      </c>
      <c r="K77" s="134">
        <v>137.80000000000001</v>
      </c>
      <c r="L77" s="134">
        <v>26.66</v>
      </c>
      <c r="M77" s="134">
        <v>89.24</v>
      </c>
      <c r="N77" s="134">
        <v>0</v>
      </c>
      <c r="O77" s="134">
        <v>0</v>
      </c>
      <c r="P77" s="134">
        <v>0.56000000000000005</v>
      </c>
      <c r="Q77" s="134">
        <v>3.84</v>
      </c>
    </row>
    <row r="78" spans="1:17" customFormat="1">
      <c r="A78" s="112" t="s">
        <v>2706</v>
      </c>
      <c r="B78" s="134">
        <v>9.57</v>
      </c>
      <c r="C78" s="134">
        <v>25.68</v>
      </c>
      <c r="D78" s="134">
        <v>22.44</v>
      </c>
      <c r="E78" s="134">
        <v>4.18</v>
      </c>
      <c r="F78" s="134">
        <v>5.38</v>
      </c>
      <c r="G78" s="134">
        <v>29.79</v>
      </c>
      <c r="H78" s="134">
        <v>15.69</v>
      </c>
      <c r="I78" s="134">
        <v>4.92</v>
      </c>
      <c r="J78" s="134">
        <v>0.13</v>
      </c>
      <c r="K78" s="134">
        <v>150.07</v>
      </c>
      <c r="L78" s="134">
        <v>26.51</v>
      </c>
      <c r="M78" s="134">
        <v>89.87</v>
      </c>
      <c r="N78" s="134">
        <v>0</v>
      </c>
      <c r="O78" s="134">
        <v>0</v>
      </c>
      <c r="P78" s="134">
        <v>0.55000000000000004</v>
      </c>
      <c r="Q78" s="134">
        <v>3.85</v>
      </c>
    </row>
    <row r="79" spans="1:17" customFormat="1">
      <c r="A79" s="112" t="s">
        <v>2707</v>
      </c>
      <c r="B79" s="134">
        <v>9.41</v>
      </c>
      <c r="C79" s="134">
        <v>25.69</v>
      </c>
      <c r="D79" s="134">
        <v>22.32</v>
      </c>
      <c r="E79" s="134">
        <v>4.26</v>
      </c>
      <c r="F79" s="134">
        <v>4.8899999999999997</v>
      </c>
      <c r="G79" s="134">
        <v>28.08</v>
      </c>
      <c r="H79" s="134">
        <v>15.69</v>
      </c>
      <c r="I79" s="134">
        <v>4.75</v>
      </c>
      <c r="J79" s="134">
        <v>0.03</v>
      </c>
      <c r="K79" s="134">
        <v>218.26</v>
      </c>
      <c r="L79" s="134">
        <v>26.31</v>
      </c>
      <c r="M79" s="134">
        <v>90.49</v>
      </c>
      <c r="N79" s="134">
        <v>0</v>
      </c>
      <c r="O79" s="134">
        <v>0</v>
      </c>
      <c r="P79" s="134">
        <v>0.55000000000000004</v>
      </c>
      <c r="Q79" s="134">
        <v>3.84</v>
      </c>
    </row>
    <row r="80" spans="1:17" customFormat="1">
      <c r="A80" s="112" t="s">
        <v>2708</v>
      </c>
      <c r="B80" s="134">
        <v>9.34</v>
      </c>
      <c r="C80" s="134">
        <v>25.71</v>
      </c>
      <c r="D80" s="134">
        <v>22.28</v>
      </c>
      <c r="E80" s="134">
        <v>4.57</v>
      </c>
      <c r="F80" s="134">
        <v>4.55</v>
      </c>
      <c r="G80" s="134">
        <v>28.08</v>
      </c>
      <c r="H80" s="134">
        <v>15.69</v>
      </c>
      <c r="I80" s="134">
        <v>4.68</v>
      </c>
      <c r="J80" s="134">
        <v>0.11</v>
      </c>
      <c r="K80" s="134">
        <v>187.29</v>
      </c>
      <c r="L80" s="134">
        <v>26.18</v>
      </c>
      <c r="M80" s="134">
        <v>91.08</v>
      </c>
      <c r="N80" s="134">
        <v>0</v>
      </c>
      <c r="O80" s="134">
        <v>0</v>
      </c>
      <c r="P80" s="134">
        <v>0.54</v>
      </c>
      <c r="Q80" s="134">
        <v>3.85</v>
      </c>
    </row>
    <row r="81" spans="1:17" customFormat="1">
      <c r="A81" s="112" t="s">
        <v>2709</v>
      </c>
      <c r="B81" s="134">
        <v>9.25</v>
      </c>
      <c r="C81" s="134">
        <v>25.65</v>
      </c>
      <c r="D81" s="134">
        <v>22.17</v>
      </c>
      <c r="E81" s="134">
        <v>5.97</v>
      </c>
      <c r="F81" s="134">
        <v>4.33</v>
      </c>
      <c r="G81" s="134">
        <v>28.08</v>
      </c>
      <c r="H81" s="134">
        <v>15.69</v>
      </c>
      <c r="I81" s="134">
        <v>4.59</v>
      </c>
      <c r="J81" s="134">
        <v>0.11</v>
      </c>
      <c r="K81" s="134">
        <v>211.84</v>
      </c>
      <c r="L81" s="134">
        <v>26.06</v>
      </c>
      <c r="M81" s="134">
        <v>92.68</v>
      </c>
      <c r="N81" s="134">
        <v>0</v>
      </c>
      <c r="O81" s="134">
        <v>0</v>
      </c>
      <c r="P81" s="134">
        <v>0.53</v>
      </c>
      <c r="Q81" s="134">
        <v>3.85</v>
      </c>
    </row>
    <row r="82" spans="1:17" customFormat="1">
      <c r="A82" s="112" t="s">
        <v>2710</v>
      </c>
      <c r="B82" s="134">
        <v>9.26</v>
      </c>
      <c r="C82" s="134">
        <v>25.68</v>
      </c>
      <c r="D82" s="134">
        <v>22.19</v>
      </c>
      <c r="E82" s="134">
        <v>6.74</v>
      </c>
      <c r="F82" s="134">
        <v>4.25</v>
      </c>
      <c r="G82" s="134">
        <v>23.61</v>
      </c>
      <c r="H82" s="134">
        <v>11.1</v>
      </c>
      <c r="I82" s="134">
        <v>4.53</v>
      </c>
      <c r="J82" s="134">
        <v>0.12</v>
      </c>
      <c r="K82" s="134">
        <v>250.97</v>
      </c>
      <c r="L82" s="134">
        <v>25.85</v>
      </c>
      <c r="M82" s="134">
        <v>94.37</v>
      </c>
      <c r="N82" s="134">
        <v>0</v>
      </c>
      <c r="O82" s="134">
        <v>0</v>
      </c>
      <c r="P82" s="134">
        <v>0.53</v>
      </c>
      <c r="Q82" s="134">
        <v>3.86</v>
      </c>
    </row>
    <row r="83" spans="1:17" customFormat="1">
      <c r="A83" s="112" t="s">
        <v>2711</v>
      </c>
      <c r="B83" s="134">
        <v>9.36</v>
      </c>
      <c r="C83" s="134">
        <v>25.56</v>
      </c>
      <c r="D83" s="134">
        <v>22.21</v>
      </c>
      <c r="E83" s="134">
        <v>6.65</v>
      </c>
      <c r="F83" s="134">
        <v>4.25</v>
      </c>
      <c r="G83" s="134">
        <v>22.86</v>
      </c>
      <c r="H83" s="134">
        <v>11.1</v>
      </c>
      <c r="I83" s="134">
        <v>4.4800000000000004</v>
      </c>
      <c r="J83" s="134">
        <v>0.12</v>
      </c>
      <c r="K83" s="134">
        <v>169.06</v>
      </c>
      <c r="L83" s="134">
        <v>25.84</v>
      </c>
      <c r="M83" s="134">
        <v>95.65</v>
      </c>
      <c r="N83" s="134">
        <v>0</v>
      </c>
      <c r="O83" s="134">
        <v>0</v>
      </c>
      <c r="P83" s="134">
        <v>0.52</v>
      </c>
      <c r="Q83" s="134">
        <v>3.86</v>
      </c>
    </row>
    <row r="84" spans="1:17" customFormat="1">
      <c r="A84" s="112" t="s">
        <v>2712</v>
      </c>
      <c r="B84" s="134">
        <v>9.3699999999999992</v>
      </c>
      <c r="C84" s="134">
        <v>25.47</v>
      </c>
      <c r="D84" s="134">
        <v>22.18</v>
      </c>
      <c r="E84" s="134">
        <v>7.05</v>
      </c>
      <c r="F84" s="134">
        <v>4.18</v>
      </c>
      <c r="G84" s="134">
        <v>22.86</v>
      </c>
      <c r="H84" s="134">
        <v>11.1</v>
      </c>
      <c r="I84" s="134">
        <v>4.47</v>
      </c>
      <c r="J84" s="134">
        <v>0.1</v>
      </c>
      <c r="K84" s="134">
        <v>189.9</v>
      </c>
      <c r="L84" s="134">
        <v>25.89</v>
      </c>
      <c r="M84" s="134">
        <v>95.75</v>
      </c>
      <c r="N84" s="134">
        <v>0</v>
      </c>
      <c r="O84" s="134">
        <v>0</v>
      </c>
      <c r="P84" s="134">
        <v>0.51</v>
      </c>
      <c r="Q84" s="134">
        <v>3.86</v>
      </c>
    </row>
    <row r="85" spans="1:17" customFormat="1">
      <c r="A85" s="112" t="s">
        <v>2713</v>
      </c>
      <c r="B85" s="134">
        <v>9.51</v>
      </c>
      <c r="C85" s="134">
        <v>25.58</v>
      </c>
      <c r="D85" s="134">
        <v>22.34</v>
      </c>
      <c r="E85" s="134">
        <v>6.75</v>
      </c>
      <c r="F85" s="134">
        <v>3.97</v>
      </c>
      <c r="G85" s="134">
        <v>22.86</v>
      </c>
      <c r="H85" s="134">
        <v>11.1</v>
      </c>
      <c r="I85" s="134">
        <v>4.45</v>
      </c>
      <c r="J85" s="134">
        <v>0.11</v>
      </c>
      <c r="K85" s="134">
        <v>157.16999999999999</v>
      </c>
      <c r="L85" s="134">
        <v>25.79</v>
      </c>
      <c r="M85" s="134">
        <v>96.35</v>
      </c>
      <c r="N85" s="134">
        <v>0</v>
      </c>
      <c r="O85" s="134">
        <v>0</v>
      </c>
      <c r="P85" s="134">
        <v>0.52</v>
      </c>
      <c r="Q85" s="134">
        <v>3.86</v>
      </c>
    </row>
    <row r="86" spans="1:17" customFormat="1">
      <c r="A86" s="112" t="s">
        <v>2714</v>
      </c>
      <c r="B86" s="134">
        <v>9.64</v>
      </c>
      <c r="C86" s="134">
        <v>25.94</v>
      </c>
      <c r="D86" s="134">
        <v>22.63</v>
      </c>
      <c r="E86" s="134">
        <v>6.85</v>
      </c>
      <c r="F86" s="134">
        <v>3.99</v>
      </c>
      <c r="G86" s="134">
        <v>19.64</v>
      </c>
      <c r="H86" s="134">
        <v>10.75</v>
      </c>
      <c r="I86" s="134">
        <v>4.4000000000000004</v>
      </c>
      <c r="J86" s="134">
        <v>0.16</v>
      </c>
      <c r="K86" s="134">
        <v>187.94</v>
      </c>
      <c r="L86" s="134">
        <v>25.91</v>
      </c>
      <c r="M86" s="134">
        <v>94.9</v>
      </c>
      <c r="N86" s="134">
        <v>0</v>
      </c>
      <c r="O86" s="134">
        <v>0</v>
      </c>
      <c r="P86" s="134">
        <v>0.52</v>
      </c>
      <c r="Q86" s="134">
        <v>3.87</v>
      </c>
    </row>
    <row r="87" spans="1:17" customFormat="1">
      <c r="A87" s="112" t="s">
        <v>2715</v>
      </c>
      <c r="B87" s="134">
        <v>9.68</v>
      </c>
      <c r="C87" s="134">
        <v>26.1</v>
      </c>
      <c r="D87" s="134">
        <v>22.75</v>
      </c>
      <c r="E87" s="134">
        <v>6.69</v>
      </c>
      <c r="F87" s="134">
        <v>4.0599999999999996</v>
      </c>
      <c r="G87" s="134">
        <v>19.09</v>
      </c>
      <c r="H87" s="134">
        <v>10.75</v>
      </c>
      <c r="I87" s="134">
        <v>4.33</v>
      </c>
      <c r="J87" s="134">
        <v>0.2</v>
      </c>
      <c r="K87" s="134">
        <v>245.29</v>
      </c>
      <c r="L87" s="134">
        <v>25.77</v>
      </c>
      <c r="M87" s="134">
        <v>95.98</v>
      </c>
      <c r="N87" s="134">
        <v>0</v>
      </c>
      <c r="O87" s="134">
        <v>0</v>
      </c>
      <c r="P87" s="134">
        <v>0.52</v>
      </c>
      <c r="Q87" s="134">
        <v>3.88</v>
      </c>
    </row>
    <row r="88" spans="1:17" customFormat="1">
      <c r="A88" s="112" t="s">
        <v>2716</v>
      </c>
      <c r="B88" s="134">
        <v>9.82</v>
      </c>
      <c r="C88" s="134">
        <v>26.16</v>
      </c>
      <c r="D88" s="134">
        <v>22.9</v>
      </c>
      <c r="E88" s="134">
        <v>6.69</v>
      </c>
      <c r="F88" s="134">
        <v>3.98</v>
      </c>
      <c r="G88" s="134">
        <v>19.09</v>
      </c>
      <c r="H88" s="134">
        <v>10.75</v>
      </c>
      <c r="I88" s="134">
        <v>4.33</v>
      </c>
      <c r="J88" s="134">
        <v>0.13</v>
      </c>
      <c r="K88" s="134">
        <v>181.93</v>
      </c>
      <c r="L88" s="134">
        <v>25.78</v>
      </c>
      <c r="M88" s="134">
        <v>96.07</v>
      </c>
      <c r="N88" s="134">
        <v>0</v>
      </c>
      <c r="O88" s="134">
        <v>0</v>
      </c>
      <c r="P88" s="134">
        <v>0.51</v>
      </c>
      <c r="Q88" s="134">
        <v>3.89</v>
      </c>
    </row>
    <row r="89" spans="1:17" customFormat="1">
      <c r="A89" s="112" t="s">
        <v>2717</v>
      </c>
      <c r="B89" s="134">
        <v>9.98</v>
      </c>
      <c r="C89" s="134">
        <v>26.19</v>
      </c>
      <c r="D89" s="134">
        <v>23.03</v>
      </c>
      <c r="E89" s="134">
        <v>6.6</v>
      </c>
      <c r="F89" s="134">
        <v>4.05</v>
      </c>
      <c r="G89" s="134">
        <v>19.09</v>
      </c>
      <c r="H89" s="134">
        <v>10.75</v>
      </c>
      <c r="I89" s="134">
        <v>4.3099999999999996</v>
      </c>
      <c r="J89" s="134">
        <v>7.0000000000000007E-2</v>
      </c>
      <c r="K89" s="134">
        <v>253.85</v>
      </c>
      <c r="L89" s="134">
        <v>25.72</v>
      </c>
      <c r="M89" s="134">
        <v>94.86</v>
      </c>
      <c r="N89" s="134">
        <v>0</v>
      </c>
      <c r="O89" s="134">
        <v>0</v>
      </c>
      <c r="P89" s="134">
        <v>0.51</v>
      </c>
      <c r="Q89" s="134">
        <v>3.92</v>
      </c>
    </row>
    <row r="90" spans="1:17" customFormat="1">
      <c r="A90" s="112" t="s">
        <v>2718</v>
      </c>
      <c r="B90" s="134">
        <v>10.1</v>
      </c>
      <c r="C90" s="134">
        <v>26.57</v>
      </c>
      <c r="D90" s="134">
        <v>23.33</v>
      </c>
      <c r="E90" s="134">
        <v>7.03</v>
      </c>
      <c r="F90" s="134">
        <v>3.87</v>
      </c>
      <c r="G90" s="134">
        <v>17.14</v>
      </c>
      <c r="H90" s="134">
        <v>7.79</v>
      </c>
      <c r="I90" s="134">
        <v>4.33</v>
      </c>
      <c r="J90" s="134">
        <v>0.05</v>
      </c>
      <c r="K90" s="134">
        <v>213.07</v>
      </c>
      <c r="L90" s="134">
        <v>25.64</v>
      </c>
      <c r="M90" s="134">
        <v>95.88</v>
      </c>
      <c r="N90" s="134">
        <v>0</v>
      </c>
      <c r="O90" s="134">
        <v>0</v>
      </c>
      <c r="P90" s="134">
        <v>0.52</v>
      </c>
      <c r="Q90" s="134">
        <v>3.94</v>
      </c>
    </row>
    <row r="91" spans="1:17" customFormat="1">
      <c r="A91" s="112" t="s">
        <v>2719</v>
      </c>
      <c r="B91" s="134">
        <v>10.27</v>
      </c>
      <c r="C91" s="134">
        <v>26.54</v>
      </c>
      <c r="D91" s="134">
        <v>23.45</v>
      </c>
      <c r="E91" s="134">
        <v>6.94</v>
      </c>
      <c r="F91" s="134">
        <v>3.9</v>
      </c>
      <c r="G91" s="134">
        <v>16.809999999999999</v>
      </c>
      <c r="H91" s="134">
        <v>7.79</v>
      </c>
      <c r="I91" s="134">
        <v>4.62</v>
      </c>
      <c r="J91" s="134">
        <v>0.14000000000000001</v>
      </c>
      <c r="K91" s="134">
        <v>164.88</v>
      </c>
      <c r="L91" s="134">
        <v>25.72</v>
      </c>
      <c r="M91" s="134">
        <v>95.44</v>
      </c>
      <c r="N91" s="134">
        <v>0</v>
      </c>
      <c r="O91" s="134">
        <v>0</v>
      </c>
      <c r="P91" s="134">
        <v>0.51</v>
      </c>
      <c r="Q91" s="134">
        <v>3.94</v>
      </c>
    </row>
    <row r="92" spans="1:17" customFormat="1">
      <c r="A92" s="112" t="s">
        <v>2720</v>
      </c>
      <c r="B92" s="134">
        <v>10.67</v>
      </c>
      <c r="C92" s="134">
        <v>25.61</v>
      </c>
      <c r="D92" s="134">
        <v>23.28</v>
      </c>
      <c r="E92" s="134">
        <v>7.24</v>
      </c>
      <c r="F92" s="134">
        <v>4.32</v>
      </c>
      <c r="G92" s="134">
        <v>16.809999999999999</v>
      </c>
      <c r="H92" s="134">
        <v>7.79</v>
      </c>
      <c r="I92" s="134">
        <v>4.7</v>
      </c>
      <c r="J92" s="134">
        <v>0.06</v>
      </c>
      <c r="K92" s="134">
        <v>209.01</v>
      </c>
      <c r="L92" s="134">
        <v>25.53</v>
      </c>
      <c r="M92" s="134">
        <v>96.81</v>
      </c>
      <c r="N92" s="134">
        <v>0</v>
      </c>
      <c r="O92" s="134">
        <v>0</v>
      </c>
      <c r="P92" s="134">
        <v>0.49</v>
      </c>
      <c r="Q92" s="134">
        <v>3.93</v>
      </c>
    </row>
    <row r="93" spans="1:17" customFormat="1">
      <c r="A93" s="112" t="s">
        <v>2721</v>
      </c>
      <c r="B93" s="134">
        <v>11.05</v>
      </c>
      <c r="C93" s="134">
        <v>23.61</v>
      </c>
      <c r="D93" s="134">
        <v>22.55</v>
      </c>
      <c r="E93" s="134">
        <v>6.55</v>
      </c>
      <c r="F93" s="134">
        <v>4.83</v>
      </c>
      <c r="G93" s="134">
        <v>16.809999999999999</v>
      </c>
      <c r="H93" s="134">
        <v>7.79</v>
      </c>
      <c r="I93" s="134">
        <v>4.67</v>
      </c>
      <c r="J93" s="134">
        <v>0.11</v>
      </c>
      <c r="K93" s="134">
        <v>225.38</v>
      </c>
      <c r="L93" s="134">
        <v>25.55</v>
      </c>
      <c r="M93" s="134">
        <v>97.86</v>
      </c>
      <c r="N93" s="134">
        <v>0</v>
      </c>
      <c r="O93" s="134">
        <v>0</v>
      </c>
      <c r="P93" s="134">
        <v>0.48</v>
      </c>
      <c r="Q93" s="134">
        <v>3.92</v>
      </c>
    </row>
    <row r="94" spans="1:17" customFormat="1">
      <c r="A94" s="112" t="s">
        <v>2722</v>
      </c>
      <c r="B94" s="134">
        <v>11.06</v>
      </c>
      <c r="C94" s="134">
        <v>21.28</v>
      </c>
      <c r="D94" s="134">
        <v>21.33</v>
      </c>
      <c r="E94" s="134">
        <v>6.61</v>
      </c>
      <c r="F94" s="134">
        <v>6.05</v>
      </c>
      <c r="G94" s="134">
        <v>14.28</v>
      </c>
      <c r="H94" s="134">
        <v>6.74</v>
      </c>
      <c r="I94" s="134">
        <v>4.6399999999999997</v>
      </c>
      <c r="J94" s="134">
        <v>0.06</v>
      </c>
      <c r="K94" s="134">
        <v>180.46</v>
      </c>
      <c r="L94" s="134">
        <v>25.45</v>
      </c>
      <c r="M94" s="134">
        <v>98.79</v>
      </c>
      <c r="N94" s="134">
        <v>0</v>
      </c>
      <c r="O94" s="134">
        <v>0</v>
      </c>
      <c r="P94" s="134">
        <v>0.46</v>
      </c>
      <c r="Q94" s="134">
        <v>3.9</v>
      </c>
    </row>
    <row r="95" spans="1:17" customFormat="1">
      <c r="A95" s="112" t="s">
        <v>2723</v>
      </c>
      <c r="B95" s="134">
        <v>11.45</v>
      </c>
      <c r="C95" s="134">
        <v>20.81</v>
      </c>
      <c r="D95" s="134">
        <v>21.41</v>
      </c>
      <c r="E95" s="134">
        <v>6.07</v>
      </c>
      <c r="F95" s="134">
        <v>5.37</v>
      </c>
      <c r="G95" s="134">
        <v>13.85</v>
      </c>
      <c r="H95" s="134">
        <v>6.74</v>
      </c>
      <c r="I95" s="134">
        <v>4.5999999999999996</v>
      </c>
      <c r="J95" s="134">
        <v>0.09</v>
      </c>
      <c r="K95" s="134">
        <v>235.41</v>
      </c>
      <c r="L95" s="134">
        <v>25.34</v>
      </c>
      <c r="M95" s="134">
        <v>99.08</v>
      </c>
      <c r="N95" s="134">
        <v>0</v>
      </c>
      <c r="O95" s="134">
        <v>0</v>
      </c>
      <c r="P95" s="134">
        <v>0.44</v>
      </c>
      <c r="Q95" s="134">
        <v>3.89</v>
      </c>
    </row>
    <row r="96" spans="1:17" customFormat="1">
      <c r="A96" s="112" t="s">
        <v>2724</v>
      </c>
      <c r="B96" s="134">
        <v>11.47</v>
      </c>
      <c r="C96" s="134">
        <v>20.440000000000001</v>
      </c>
      <c r="D96" s="134">
        <v>21.23</v>
      </c>
      <c r="E96" s="134">
        <v>5.81</v>
      </c>
      <c r="F96" s="134">
        <v>5.42</v>
      </c>
      <c r="G96" s="134">
        <v>13.85</v>
      </c>
      <c r="H96" s="134">
        <v>6.74</v>
      </c>
      <c r="I96" s="134">
        <v>4.47</v>
      </c>
      <c r="J96" s="134">
        <v>0.11</v>
      </c>
      <c r="K96" s="134">
        <v>211.98</v>
      </c>
      <c r="L96" s="134">
        <v>25.22</v>
      </c>
      <c r="M96" s="134">
        <v>99.33</v>
      </c>
      <c r="N96" s="134">
        <v>0</v>
      </c>
      <c r="O96" s="134">
        <v>0</v>
      </c>
      <c r="P96" s="134">
        <v>0.42</v>
      </c>
      <c r="Q96" s="134">
        <v>3.89</v>
      </c>
    </row>
    <row r="97" spans="1:22" customFormat="1">
      <c r="A97" s="112" t="s">
        <v>2725</v>
      </c>
      <c r="B97" s="134">
        <v>11.91</v>
      </c>
      <c r="C97" s="134">
        <v>23.71</v>
      </c>
      <c r="D97" s="134">
        <v>23.29</v>
      </c>
      <c r="E97" s="134">
        <v>6.36</v>
      </c>
      <c r="F97" s="134">
        <v>4.22</v>
      </c>
      <c r="G97" s="134">
        <v>13.85</v>
      </c>
      <c r="H97" s="134">
        <v>6.74</v>
      </c>
      <c r="I97" s="134">
        <v>4.51</v>
      </c>
      <c r="J97" s="134">
        <v>0.13</v>
      </c>
      <c r="K97" s="134">
        <v>269.10000000000002</v>
      </c>
      <c r="L97" s="134">
        <v>25.2</v>
      </c>
      <c r="M97" s="134">
        <v>98.51</v>
      </c>
      <c r="N97" s="134">
        <v>0</v>
      </c>
      <c r="O97" s="134">
        <v>0</v>
      </c>
      <c r="P97" s="134">
        <v>0.46</v>
      </c>
      <c r="Q97" s="134">
        <v>3.88</v>
      </c>
    </row>
    <row r="98" spans="1:22" customFormat="1">
      <c r="A98" s="112" t="s">
        <v>2726</v>
      </c>
      <c r="B98" s="134">
        <v>12.06</v>
      </c>
      <c r="C98" s="134">
        <v>22.6</v>
      </c>
      <c r="D98" s="134">
        <v>22.83</v>
      </c>
      <c r="E98" s="134">
        <v>6.6</v>
      </c>
      <c r="F98" s="134">
        <v>4.99</v>
      </c>
      <c r="G98" s="134">
        <v>12.99</v>
      </c>
      <c r="H98" s="134">
        <v>5.46</v>
      </c>
      <c r="I98" s="134">
        <v>4.46</v>
      </c>
      <c r="J98" s="134">
        <v>0.06</v>
      </c>
      <c r="K98" s="134">
        <v>172.33</v>
      </c>
      <c r="L98" s="134">
        <v>25.08</v>
      </c>
      <c r="M98" s="134">
        <v>98.02</v>
      </c>
      <c r="N98" s="134">
        <v>0</v>
      </c>
      <c r="O98" s="134">
        <v>0</v>
      </c>
      <c r="P98" s="134">
        <v>0.45</v>
      </c>
      <c r="Q98" s="134">
        <v>3.93</v>
      </c>
    </row>
    <row r="99" spans="1:22" customFormat="1">
      <c r="A99" s="112" t="s">
        <v>2727</v>
      </c>
      <c r="B99" s="134">
        <v>12.45</v>
      </c>
      <c r="C99" s="134">
        <v>21.37</v>
      </c>
      <c r="D99" s="134">
        <v>22.5</v>
      </c>
      <c r="E99" s="134">
        <v>6.46</v>
      </c>
      <c r="F99" s="134">
        <v>5.0199999999999996</v>
      </c>
      <c r="G99" s="134">
        <v>12.85</v>
      </c>
      <c r="H99" s="134">
        <v>5.46</v>
      </c>
      <c r="I99" s="134">
        <v>4.59</v>
      </c>
      <c r="J99" s="134">
        <v>0.09</v>
      </c>
      <c r="K99" s="134">
        <v>177.29</v>
      </c>
      <c r="L99" s="134">
        <v>24.89</v>
      </c>
      <c r="M99" s="134">
        <v>97.4</v>
      </c>
      <c r="N99" s="134">
        <v>0</v>
      </c>
      <c r="O99" s="134">
        <v>0</v>
      </c>
      <c r="P99" s="134">
        <v>0.43</v>
      </c>
      <c r="Q99" s="134">
        <v>3.93</v>
      </c>
    </row>
    <row r="100" spans="1:22" customFormat="1">
      <c r="A100" s="112" t="s">
        <v>2728</v>
      </c>
      <c r="B100" s="134">
        <v>12.84</v>
      </c>
      <c r="C100" s="134">
        <v>23.15</v>
      </c>
      <c r="D100" s="134">
        <v>23.75</v>
      </c>
      <c r="E100" s="134">
        <v>6.28</v>
      </c>
      <c r="F100" s="134">
        <v>4.1900000000000004</v>
      </c>
      <c r="G100" s="134">
        <v>12.85</v>
      </c>
      <c r="H100" s="134">
        <v>5.46</v>
      </c>
      <c r="I100" s="134">
        <v>4.47</v>
      </c>
      <c r="J100" s="134">
        <v>0.09</v>
      </c>
      <c r="K100" s="134">
        <v>145.99</v>
      </c>
      <c r="L100" s="134">
        <v>24.88</v>
      </c>
      <c r="M100" s="134">
        <v>99.25</v>
      </c>
      <c r="N100" s="134">
        <v>0</v>
      </c>
      <c r="O100" s="134">
        <v>0</v>
      </c>
      <c r="P100" s="134">
        <v>0.45</v>
      </c>
      <c r="Q100" s="134">
        <v>3.88</v>
      </c>
    </row>
    <row r="101" spans="1:22" customFormat="1">
      <c r="A101" s="112" t="s">
        <v>2729</v>
      </c>
      <c r="B101" s="134">
        <v>13.2</v>
      </c>
      <c r="C101" s="134">
        <v>23.63</v>
      </c>
      <c r="D101" s="134">
        <v>24.28</v>
      </c>
      <c r="E101" s="134">
        <v>6.55</v>
      </c>
      <c r="F101" s="134">
        <v>4.16</v>
      </c>
      <c r="G101" s="134">
        <v>12.85</v>
      </c>
      <c r="H101" s="134">
        <v>5.46</v>
      </c>
      <c r="I101" s="134">
        <v>4.41</v>
      </c>
      <c r="J101" s="134">
        <v>0.08</v>
      </c>
      <c r="K101" s="134">
        <v>187.36</v>
      </c>
      <c r="L101" s="134">
        <v>24.75</v>
      </c>
      <c r="M101" s="134">
        <v>99.58</v>
      </c>
      <c r="N101" s="134">
        <v>0</v>
      </c>
      <c r="O101" s="134">
        <v>0</v>
      </c>
      <c r="P101" s="134">
        <v>0.45</v>
      </c>
      <c r="Q101" s="134">
        <v>3.99</v>
      </c>
    </row>
    <row r="102" spans="1:22" customFormat="1">
      <c r="A102" s="112" t="s">
        <v>2730</v>
      </c>
      <c r="B102" s="134">
        <v>13.2</v>
      </c>
      <c r="C102" s="134">
        <v>21.6</v>
      </c>
      <c r="D102" s="134">
        <v>23.22</v>
      </c>
      <c r="E102" s="134">
        <v>6.19</v>
      </c>
      <c r="F102" s="134">
        <v>4.8899999999999997</v>
      </c>
      <c r="G102" s="134">
        <v>11.59</v>
      </c>
      <c r="H102" s="134">
        <v>6.62</v>
      </c>
      <c r="I102" s="134">
        <v>4.53</v>
      </c>
      <c r="J102" s="134">
        <v>0.08</v>
      </c>
      <c r="K102" s="134">
        <v>169.1</v>
      </c>
      <c r="L102" s="134">
        <v>24.73</v>
      </c>
      <c r="M102" s="134">
        <v>99.84</v>
      </c>
      <c r="N102" s="134">
        <v>0</v>
      </c>
      <c r="O102" s="134">
        <v>0</v>
      </c>
      <c r="P102" s="134">
        <v>0.43</v>
      </c>
      <c r="Q102" s="134">
        <v>4.01</v>
      </c>
    </row>
    <row r="103" spans="1:22" customFormat="1">
      <c r="A103" s="112" t="s">
        <v>2731</v>
      </c>
      <c r="B103" s="134">
        <v>13.65</v>
      </c>
      <c r="C103" s="134">
        <v>23.33</v>
      </c>
      <c r="D103" s="134">
        <v>24.49</v>
      </c>
      <c r="E103" s="134">
        <v>6.6</v>
      </c>
      <c r="F103" s="134">
        <v>4.22</v>
      </c>
      <c r="G103" s="134">
        <v>11.37</v>
      </c>
      <c r="H103" s="134">
        <v>6.62</v>
      </c>
      <c r="I103" s="134">
        <v>4.47</v>
      </c>
      <c r="J103" s="134">
        <v>0.12</v>
      </c>
      <c r="K103" s="134">
        <v>154.74</v>
      </c>
      <c r="L103" s="134">
        <v>24.73</v>
      </c>
      <c r="M103" s="134">
        <v>100.39</v>
      </c>
      <c r="N103" s="134">
        <v>0</v>
      </c>
      <c r="O103" s="134">
        <v>0</v>
      </c>
      <c r="P103" s="134">
        <v>0.44</v>
      </c>
      <c r="Q103" s="134">
        <v>3.97</v>
      </c>
    </row>
    <row r="104" spans="1:22" customFormat="1">
      <c r="A104" s="112" t="s">
        <v>2732</v>
      </c>
      <c r="B104" s="134">
        <v>14.16</v>
      </c>
      <c r="C104" s="134">
        <v>23.63</v>
      </c>
      <c r="D104" s="134">
        <v>25.05</v>
      </c>
      <c r="E104" s="134">
        <v>6.43</v>
      </c>
      <c r="F104" s="134">
        <v>4.17</v>
      </c>
      <c r="G104" s="134">
        <v>11.37</v>
      </c>
      <c r="H104" s="134">
        <v>6.62</v>
      </c>
      <c r="I104" s="134">
        <v>4.37</v>
      </c>
      <c r="J104" s="134">
        <v>0.09</v>
      </c>
      <c r="K104" s="134">
        <v>178.01</v>
      </c>
      <c r="L104" s="134">
        <v>24.71</v>
      </c>
      <c r="M104" s="134">
        <v>99.98</v>
      </c>
      <c r="N104" s="134">
        <v>0</v>
      </c>
      <c r="O104" s="134">
        <v>0</v>
      </c>
      <c r="P104" s="134">
        <v>0.45</v>
      </c>
      <c r="Q104" s="134">
        <v>4.0599999999999996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9.25</v>
      </c>
      <c r="C106" s="183">
        <f>MIN(C9:C104)</f>
        <v>20.440000000000001</v>
      </c>
      <c r="D106" s="183">
        <f t="shared" ref="D106:Q106" si="0">MIN(D9:D104)</f>
        <v>21.23</v>
      </c>
      <c r="E106" s="183">
        <f t="shared" si="0"/>
        <v>4.0999999999999996</v>
      </c>
      <c r="F106" s="183">
        <f t="shared" si="0"/>
        <v>3.78</v>
      </c>
      <c r="G106" s="183">
        <f t="shared" si="0"/>
        <v>11.37</v>
      </c>
      <c r="H106" s="183">
        <f t="shared" si="0"/>
        <v>5.46</v>
      </c>
      <c r="I106" s="183">
        <f t="shared" si="0"/>
        <v>4.3099999999999996</v>
      </c>
      <c r="J106" s="183">
        <f t="shared" si="0"/>
        <v>0</v>
      </c>
      <c r="K106" s="183">
        <f t="shared" si="0"/>
        <v>5.68</v>
      </c>
      <c r="L106" s="183">
        <f t="shared" si="0"/>
        <v>24.36</v>
      </c>
      <c r="M106" s="183">
        <f t="shared" si="0"/>
        <v>71.42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3.84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30.32</v>
      </c>
      <c r="C107" s="184">
        <f t="shared" ref="C107:Q107" si="1">MAX(C9:C104)</f>
        <v>32.200000000000003</v>
      </c>
      <c r="D107" s="184">
        <f t="shared" si="1"/>
        <v>39.81</v>
      </c>
      <c r="E107" s="184">
        <f t="shared" si="1"/>
        <v>16.72</v>
      </c>
      <c r="F107" s="184">
        <f t="shared" si="1"/>
        <v>10.41</v>
      </c>
      <c r="G107" s="184">
        <f t="shared" si="1"/>
        <v>56.55</v>
      </c>
      <c r="H107" s="184">
        <f t="shared" si="1"/>
        <v>23.57</v>
      </c>
      <c r="I107" s="184">
        <f t="shared" si="1"/>
        <v>9.43</v>
      </c>
      <c r="J107" s="184">
        <f t="shared" si="1"/>
        <v>0.94</v>
      </c>
      <c r="K107" s="184">
        <f t="shared" si="1"/>
        <v>337.22</v>
      </c>
      <c r="L107" s="184">
        <f t="shared" si="1"/>
        <v>30.99</v>
      </c>
      <c r="M107" s="184">
        <f t="shared" si="1"/>
        <v>101</v>
      </c>
      <c r="N107" s="184">
        <f t="shared" si="1"/>
        <v>630.79999999999995</v>
      </c>
      <c r="O107" s="184">
        <f t="shared" si="1"/>
        <v>0.4</v>
      </c>
      <c r="P107" s="184">
        <f t="shared" si="1"/>
        <v>0.92</v>
      </c>
      <c r="Q107" s="184">
        <f t="shared" si="1"/>
        <v>5.12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19.057395833333342</v>
      </c>
      <c r="C108" s="183">
        <f t="shared" ref="C108:Q108" si="2">AVERAGE(C9:C104)</f>
        <v>26.528229166666673</v>
      </c>
      <c r="D108" s="183">
        <f t="shared" si="2"/>
        <v>30.493437499999999</v>
      </c>
      <c r="E108" s="183">
        <f t="shared" si="2"/>
        <v>7.2467708333333354</v>
      </c>
      <c r="F108" s="183">
        <f t="shared" si="2"/>
        <v>5.1570833333333352</v>
      </c>
      <c r="G108" s="183">
        <f t="shared" si="2"/>
        <v>38.155624999999993</v>
      </c>
      <c r="H108" s="183">
        <f t="shared" si="2"/>
        <v>15.502499999999992</v>
      </c>
      <c r="I108" s="183">
        <f t="shared" si="2"/>
        <v>6.7226041666666676</v>
      </c>
      <c r="J108" s="183">
        <f t="shared" si="2"/>
        <v>0.19406249999999994</v>
      </c>
      <c r="K108" s="183">
        <f t="shared" si="2"/>
        <v>161.32020833333331</v>
      </c>
      <c r="L108" s="183">
        <f t="shared" si="2"/>
        <v>26.649374999999992</v>
      </c>
      <c r="M108" s="183">
        <f t="shared" si="2"/>
        <v>91.704687499999935</v>
      </c>
      <c r="N108" s="183">
        <f t="shared" si="2"/>
        <v>106.42083333333333</v>
      </c>
      <c r="O108" s="183">
        <f t="shared" si="2"/>
        <v>8.3333333333333332E-3</v>
      </c>
      <c r="P108" s="183">
        <f t="shared" si="2"/>
        <v>0.68958333333333321</v>
      </c>
      <c r="Q108" s="183">
        <f t="shared" si="2"/>
        <v>4.4117708333333345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7.616234909688731</v>
      </c>
      <c r="C109" s="183">
        <f t="shared" ref="C109:Q109" si="3">STDEV(C9:C104)</f>
        <v>2.5483877234508099</v>
      </c>
      <c r="D109" s="183">
        <f t="shared" si="3"/>
        <v>6.6897157249216015</v>
      </c>
      <c r="E109" s="183">
        <f t="shared" si="3"/>
        <v>2.1460497344468248</v>
      </c>
      <c r="F109" s="183">
        <f t="shared" si="3"/>
        <v>1.7174595171305906</v>
      </c>
      <c r="G109" s="183">
        <f t="shared" si="3"/>
        <v>14.483080859548163</v>
      </c>
      <c r="H109" s="183">
        <f t="shared" si="3"/>
        <v>5.6450192298400079</v>
      </c>
      <c r="I109" s="183">
        <f t="shared" si="3"/>
        <v>1.7813438125495911</v>
      </c>
      <c r="J109" s="183">
        <f t="shared" si="3"/>
        <v>0.19720989686385579</v>
      </c>
      <c r="K109" s="183">
        <f t="shared" si="3"/>
        <v>89.69074995407594</v>
      </c>
      <c r="L109" s="183">
        <f t="shared" si="3"/>
        <v>2.1493875810761756</v>
      </c>
      <c r="M109" s="183">
        <f t="shared" si="3"/>
        <v>8.9116464251332843</v>
      </c>
      <c r="N109" s="183">
        <f t="shared" si="3"/>
        <v>170.81063994756957</v>
      </c>
      <c r="O109" s="183">
        <f t="shared" si="3"/>
        <v>5.7430354465518391E-2</v>
      </c>
      <c r="P109" s="183">
        <f t="shared" si="3"/>
        <v>0.15347838295697594</v>
      </c>
      <c r="Q109" s="183">
        <f t="shared" si="3"/>
        <v>0.47134520770296218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E123" sqref="E123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27/09/2023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2733</v>
      </c>
      <c r="B9" s="134">
        <v>14.32</v>
      </c>
      <c r="C9" s="134">
        <v>21.5</v>
      </c>
      <c r="D9" s="134">
        <v>24.07</v>
      </c>
      <c r="E9" s="134">
        <v>6.6</v>
      </c>
      <c r="F9" s="134">
        <v>4.72</v>
      </c>
      <c r="G9" s="134">
        <v>11.37</v>
      </c>
      <c r="H9" s="134">
        <v>6.62</v>
      </c>
      <c r="I9" s="134">
        <v>4.49</v>
      </c>
      <c r="J9" s="134">
        <v>0.14000000000000001</v>
      </c>
      <c r="K9" s="134">
        <v>170.93</v>
      </c>
      <c r="L9" s="134">
        <v>24.71</v>
      </c>
      <c r="M9" s="134">
        <v>99.24</v>
      </c>
      <c r="N9" s="134">
        <v>0</v>
      </c>
      <c r="O9" s="134">
        <v>0</v>
      </c>
      <c r="P9" s="134">
        <v>0.42</v>
      </c>
      <c r="Q9" s="134">
        <v>4.04</v>
      </c>
    </row>
    <row r="10" spans="1:21" customFormat="1">
      <c r="A10" s="112" t="s">
        <v>2734</v>
      </c>
      <c r="B10" s="134">
        <v>14.42</v>
      </c>
      <c r="C10" s="134">
        <v>22.39</v>
      </c>
      <c r="D10" s="134">
        <v>24.61</v>
      </c>
      <c r="E10" s="134">
        <v>5.76</v>
      </c>
      <c r="F10" s="134">
        <v>4.51</v>
      </c>
      <c r="G10" s="134">
        <v>14.25</v>
      </c>
      <c r="H10" s="134">
        <v>5.13</v>
      </c>
      <c r="I10" s="134">
        <v>4.46</v>
      </c>
      <c r="J10" s="134">
        <v>0.12</v>
      </c>
      <c r="K10" s="134">
        <v>194.98</v>
      </c>
      <c r="L10" s="134">
        <v>24.68</v>
      </c>
      <c r="M10" s="134">
        <v>98.28</v>
      </c>
      <c r="N10" s="134">
        <v>0</v>
      </c>
      <c r="O10" s="134">
        <v>0</v>
      </c>
      <c r="P10" s="134">
        <v>0.43</v>
      </c>
      <c r="Q10" s="134">
        <v>4.03</v>
      </c>
    </row>
    <row r="11" spans="1:21" customFormat="1">
      <c r="A11" s="112" t="s">
        <v>2735</v>
      </c>
      <c r="B11" s="134">
        <v>14.93</v>
      </c>
      <c r="C11" s="134">
        <v>24.43</v>
      </c>
      <c r="D11" s="134">
        <v>26.09</v>
      </c>
      <c r="E11" s="134">
        <v>6.35</v>
      </c>
      <c r="F11" s="134">
        <v>3.8</v>
      </c>
      <c r="G11" s="134">
        <v>14.73</v>
      </c>
      <c r="H11" s="134">
        <v>5.13</v>
      </c>
      <c r="I11" s="134">
        <v>4.3600000000000003</v>
      </c>
      <c r="J11" s="134">
        <v>0.13</v>
      </c>
      <c r="K11" s="134">
        <v>164.36</v>
      </c>
      <c r="L11" s="134">
        <v>24.58</v>
      </c>
      <c r="M11" s="134">
        <v>98.5</v>
      </c>
      <c r="N11" s="134">
        <v>0</v>
      </c>
      <c r="O11" s="134">
        <v>0</v>
      </c>
      <c r="P11" s="134">
        <v>0.45</v>
      </c>
      <c r="Q11" s="134">
        <v>4.08</v>
      </c>
    </row>
    <row r="12" spans="1:21" customFormat="1">
      <c r="A12" s="80">
        <v>45196.041666666664</v>
      </c>
      <c r="B12" s="134">
        <v>15.39</v>
      </c>
      <c r="C12" s="134">
        <v>22.83</v>
      </c>
      <c r="D12" s="134">
        <v>25.62</v>
      </c>
      <c r="E12" s="134">
        <v>6.8</v>
      </c>
      <c r="F12" s="134">
        <v>4.32</v>
      </c>
      <c r="G12" s="134">
        <v>14.73</v>
      </c>
      <c r="H12" s="134">
        <v>5.13</v>
      </c>
      <c r="I12" s="134">
        <v>4.4400000000000004</v>
      </c>
      <c r="J12" s="134">
        <v>7.0000000000000007E-2</v>
      </c>
      <c r="K12" s="134">
        <v>164.83</v>
      </c>
      <c r="L12" s="134">
        <v>24.58</v>
      </c>
      <c r="M12" s="134">
        <v>98.84</v>
      </c>
      <c r="N12" s="134">
        <v>0</v>
      </c>
      <c r="O12" s="134">
        <v>0</v>
      </c>
      <c r="P12" s="134">
        <v>0.42</v>
      </c>
      <c r="Q12" s="134">
        <v>4.16</v>
      </c>
    </row>
    <row r="13" spans="1:21" customFormat="1">
      <c r="A13" s="112" t="s">
        <v>2736</v>
      </c>
      <c r="B13" s="134">
        <v>15.61</v>
      </c>
      <c r="C13" s="134">
        <v>22.04</v>
      </c>
      <c r="D13" s="134">
        <v>25.39</v>
      </c>
      <c r="E13" s="134">
        <v>6.44</v>
      </c>
      <c r="F13" s="134">
        <v>4.34</v>
      </c>
      <c r="G13" s="134">
        <v>14.73</v>
      </c>
      <c r="H13" s="134">
        <v>5.13</v>
      </c>
      <c r="I13" s="134">
        <v>4.4800000000000004</v>
      </c>
      <c r="J13" s="134">
        <v>0.01</v>
      </c>
      <c r="K13" s="134">
        <v>49.33</v>
      </c>
      <c r="L13" s="134">
        <v>24.62</v>
      </c>
      <c r="M13" s="134">
        <v>99.03</v>
      </c>
      <c r="N13" s="134">
        <v>0</v>
      </c>
      <c r="O13" s="134">
        <v>0</v>
      </c>
      <c r="P13" s="134">
        <v>0.42</v>
      </c>
      <c r="Q13" s="134">
        <v>4.1399999999999997</v>
      </c>
    </row>
    <row r="14" spans="1:21" customFormat="1">
      <c r="A14" s="112" t="s">
        <v>2737</v>
      </c>
      <c r="B14" s="134">
        <v>16.260000000000002</v>
      </c>
      <c r="C14" s="134">
        <v>24.47</v>
      </c>
      <c r="D14" s="134">
        <v>27.18</v>
      </c>
      <c r="E14" s="134">
        <v>6.65</v>
      </c>
      <c r="F14" s="134">
        <v>3.71</v>
      </c>
      <c r="G14" s="134">
        <v>13.24</v>
      </c>
      <c r="H14" s="134">
        <v>5.41</v>
      </c>
      <c r="I14" s="134">
        <v>4.42</v>
      </c>
      <c r="J14" s="134">
        <v>0.13</v>
      </c>
      <c r="K14" s="134">
        <v>191.74</v>
      </c>
      <c r="L14" s="134">
        <v>24.58</v>
      </c>
      <c r="M14" s="134">
        <v>99.15</v>
      </c>
      <c r="N14" s="134">
        <v>0</v>
      </c>
      <c r="O14" s="134">
        <v>0</v>
      </c>
      <c r="P14" s="134">
        <v>0.45</v>
      </c>
      <c r="Q14" s="134">
        <v>4.1500000000000004</v>
      </c>
    </row>
    <row r="15" spans="1:21" customFormat="1">
      <c r="A15" s="112" t="s">
        <v>2738</v>
      </c>
      <c r="B15" s="134">
        <v>17.28</v>
      </c>
      <c r="C15" s="134">
        <v>25.39</v>
      </c>
      <c r="D15" s="134">
        <v>28.47</v>
      </c>
      <c r="E15" s="134">
        <v>6.52</v>
      </c>
      <c r="F15" s="134">
        <v>3.88</v>
      </c>
      <c r="G15" s="134">
        <v>12.99</v>
      </c>
      <c r="H15" s="134">
        <v>5.41</v>
      </c>
      <c r="I15" s="134">
        <v>4.47</v>
      </c>
      <c r="J15" s="134">
        <v>0.06</v>
      </c>
      <c r="K15" s="134">
        <v>140.21</v>
      </c>
      <c r="L15" s="134">
        <v>24.7</v>
      </c>
      <c r="M15" s="134">
        <v>98.75</v>
      </c>
      <c r="N15" s="134">
        <v>0</v>
      </c>
      <c r="O15" s="134">
        <v>0</v>
      </c>
      <c r="P15" s="134">
        <v>0.46</v>
      </c>
      <c r="Q15" s="134">
        <v>4.26</v>
      </c>
    </row>
    <row r="16" spans="1:21" customFormat="1">
      <c r="A16" s="112" t="s">
        <v>2739</v>
      </c>
      <c r="B16" s="134">
        <v>18.54</v>
      </c>
      <c r="C16" s="134">
        <v>25.95</v>
      </c>
      <c r="D16" s="134">
        <v>29.78</v>
      </c>
      <c r="E16" s="134">
        <v>6.38</v>
      </c>
      <c r="F16" s="134">
        <v>3.83</v>
      </c>
      <c r="G16" s="134">
        <v>12.99</v>
      </c>
      <c r="H16" s="134">
        <v>5.41</v>
      </c>
      <c r="I16" s="134">
        <v>4.58</v>
      </c>
      <c r="J16" s="134">
        <v>0.06</v>
      </c>
      <c r="K16" s="134">
        <v>138.22</v>
      </c>
      <c r="L16" s="134">
        <v>24.8</v>
      </c>
      <c r="M16" s="134">
        <v>97.61</v>
      </c>
      <c r="N16" s="134">
        <v>0</v>
      </c>
      <c r="O16" s="134">
        <v>0</v>
      </c>
      <c r="P16" s="134">
        <v>0.47</v>
      </c>
      <c r="Q16" s="134">
        <v>4.33</v>
      </c>
    </row>
    <row r="17" spans="1:17" customFormat="1">
      <c r="A17" s="112" t="s">
        <v>2740</v>
      </c>
      <c r="B17" s="134">
        <v>19.79</v>
      </c>
      <c r="C17" s="134">
        <v>26.84</v>
      </c>
      <c r="D17" s="134">
        <v>31.24</v>
      </c>
      <c r="E17" s="134">
        <v>7.05</v>
      </c>
      <c r="F17" s="134">
        <v>3.95</v>
      </c>
      <c r="G17" s="134">
        <v>12.99</v>
      </c>
      <c r="H17" s="134">
        <v>5.41</v>
      </c>
      <c r="I17" s="134">
        <v>4.57</v>
      </c>
      <c r="J17" s="134">
        <v>0.12</v>
      </c>
      <c r="K17" s="134">
        <v>164.99</v>
      </c>
      <c r="L17" s="134">
        <v>24.89</v>
      </c>
      <c r="M17" s="134">
        <v>97.24</v>
      </c>
      <c r="N17" s="134">
        <v>0</v>
      </c>
      <c r="O17" s="134">
        <v>0</v>
      </c>
      <c r="P17" s="134">
        <v>0.49</v>
      </c>
      <c r="Q17" s="134">
        <v>4.45</v>
      </c>
    </row>
    <row r="18" spans="1:17" customFormat="1">
      <c r="A18" s="112" t="s">
        <v>2741</v>
      </c>
      <c r="B18" s="134">
        <v>20.77</v>
      </c>
      <c r="C18" s="134">
        <v>27.68</v>
      </c>
      <c r="D18" s="134">
        <v>32.47</v>
      </c>
      <c r="E18" s="134">
        <v>7.79</v>
      </c>
      <c r="F18" s="134">
        <v>3.93</v>
      </c>
      <c r="G18" s="134">
        <v>21.21</v>
      </c>
      <c r="H18" s="134">
        <v>4.17</v>
      </c>
      <c r="I18" s="134">
        <v>4.55</v>
      </c>
      <c r="J18" s="134">
        <v>0.06</v>
      </c>
      <c r="K18" s="134">
        <v>69.31</v>
      </c>
      <c r="L18" s="134">
        <v>24.83</v>
      </c>
      <c r="M18" s="134">
        <v>98.61</v>
      </c>
      <c r="N18" s="134">
        <v>0</v>
      </c>
      <c r="O18" s="134">
        <v>0</v>
      </c>
      <c r="P18" s="134">
        <v>0.49</v>
      </c>
      <c r="Q18" s="134">
        <v>4.5199999999999996</v>
      </c>
    </row>
    <row r="19" spans="1:17" customFormat="1">
      <c r="A19" s="112" t="s">
        <v>2742</v>
      </c>
      <c r="B19" s="134">
        <v>21.66</v>
      </c>
      <c r="C19" s="134">
        <v>27.78</v>
      </c>
      <c r="D19" s="134">
        <v>33.229999999999997</v>
      </c>
      <c r="E19" s="134">
        <v>8.6300000000000008</v>
      </c>
      <c r="F19" s="134">
        <v>3.96</v>
      </c>
      <c r="G19" s="134">
        <v>22.73</v>
      </c>
      <c r="H19" s="134">
        <v>4.17</v>
      </c>
      <c r="I19" s="134">
        <v>4.59</v>
      </c>
      <c r="J19" s="134">
        <v>0.15</v>
      </c>
      <c r="K19" s="134">
        <v>154.78</v>
      </c>
      <c r="L19" s="134">
        <v>24.97</v>
      </c>
      <c r="M19" s="134">
        <v>97.35</v>
      </c>
      <c r="N19" s="134">
        <v>0</v>
      </c>
      <c r="O19" s="134">
        <v>0</v>
      </c>
      <c r="P19" s="134">
        <v>0.49</v>
      </c>
      <c r="Q19" s="134">
        <v>4.6100000000000003</v>
      </c>
    </row>
    <row r="20" spans="1:17" customFormat="1">
      <c r="A20" s="112" t="s">
        <v>2743</v>
      </c>
      <c r="B20" s="134">
        <v>21.98</v>
      </c>
      <c r="C20" s="134">
        <v>27.84</v>
      </c>
      <c r="D20" s="134">
        <v>33.53</v>
      </c>
      <c r="E20" s="134">
        <v>8.08</v>
      </c>
      <c r="F20" s="134">
        <v>4.01</v>
      </c>
      <c r="G20" s="134">
        <v>22.73</v>
      </c>
      <c r="H20" s="134">
        <v>4.17</v>
      </c>
      <c r="I20" s="134">
        <v>4.5599999999999996</v>
      </c>
      <c r="J20" s="134">
        <v>0.12</v>
      </c>
      <c r="K20" s="134">
        <v>154.66</v>
      </c>
      <c r="L20" s="134">
        <v>24.96</v>
      </c>
      <c r="M20" s="134">
        <v>97.82</v>
      </c>
      <c r="N20" s="134">
        <v>0</v>
      </c>
      <c r="O20" s="134">
        <v>0</v>
      </c>
      <c r="P20" s="134">
        <v>0.49</v>
      </c>
      <c r="Q20" s="134">
        <v>4.6399999999999997</v>
      </c>
    </row>
    <row r="21" spans="1:17" customFormat="1">
      <c r="A21" s="112" t="s">
        <v>2744</v>
      </c>
      <c r="B21" s="134">
        <v>21.98</v>
      </c>
      <c r="C21" s="134">
        <v>28.23</v>
      </c>
      <c r="D21" s="134">
        <v>33.729999999999997</v>
      </c>
      <c r="E21" s="134">
        <v>7.95</v>
      </c>
      <c r="F21" s="134">
        <v>3.95</v>
      </c>
      <c r="G21" s="134">
        <v>22.73</v>
      </c>
      <c r="H21" s="134">
        <v>4.17</v>
      </c>
      <c r="I21" s="134">
        <v>4.57</v>
      </c>
      <c r="J21" s="134">
        <v>0.14000000000000001</v>
      </c>
      <c r="K21" s="134">
        <v>136.96</v>
      </c>
      <c r="L21" s="134">
        <v>24.91</v>
      </c>
      <c r="M21" s="134">
        <v>98.43</v>
      </c>
      <c r="N21" s="134">
        <v>0</v>
      </c>
      <c r="O21" s="134">
        <v>0</v>
      </c>
      <c r="P21" s="134">
        <v>0.49</v>
      </c>
      <c r="Q21" s="134">
        <v>4.66</v>
      </c>
    </row>
    <row r="22" spans="1:17" customFormat="1">
      <c r="A22" s="112" t="s">
        <v>2745</v>
      </c>
      <c r="B22" s="134">
        <v>22.42</v>
      </c>
      <c r="C22" s="134">
        <v>28.62</v>
      </c>
      <c r="D22" s="134">
        <v>34.28</v>
      </c>
      <c r="E22" s="134">
        <v>8.33</v>
      </c>
      <c r="F22" s="134">
        <v>3.89</v>
      </c>
      <c r="G22" s="134">
        <v>21.75</v>
      </c>
      <c r="H22" s="134">
        <v>5.75</v>
      </c>
      <c r="I22" s="134">
        <v>4.58</v>
      </c>
      <c r="J22" s="134">
        <v>0.15</v>
      </c>
      <c r="K22" s="134">
        <v>108.91</v>
      </c>
      <c r="L22" s="134">
        <v>24.9</v>
      </c>
      <c r="M22" s="134">
        <v>98.85</v>
      </c>
      <c r="N22" s="134">
        <v>0</v>
      </c>
      <c r="O22" s="134">
        <v>0</v>
      </c>
      <c r="P22" s="134">
        <v>0.5</v>
      </c>
      <c r="Q22" s="134">
        <v>4.66</v>
      </c>
    </row>
    <row r="23" spans="1:17" customFormat="1">
      <c r="A23" s="112" t="s">
        <v>2746</v>
      </c>
      <c r="B23" s="134">
        <v>22.73</v>
      </c>
      <c r="C23" s="134">
        <v>28.85</v>
      </c>
      <c r="D23" s="134">
        <v>34.65</v>
      </c>
      <c r="E23" s="134">
        <v>8.19</v>
      </c>
      <c r="F23" s="134">
        <v>3.95</v>
      </c>
      <c r="G23" s="134">
        <v>21.58</v>
      </c>
      <c r="H23" s="134">
        <v>5.75</v>
      </c>
      <c r="I23" s="134">
        <v>4.58</v>
      </c>
      <c r="J23" s="134">
        <v>0.09</v>
      </c>
      <c r="K23" s="134">
        <v>83.14</v>
      </c>
      <c r="L23" s="134">
        <v>24.79</v>
      </c>
      <c r="M23" s="134">
        <v>99.1</v>
      </c>
      <c r="N23" s="134">
        <v>0</v>
      </c>
      <c r="O23" s="134">
        <v>0</v>
      </c>
      <c r="P23" s="134">
        <v>0.5</v>
      </c>
      <c r="Q23" s="134">
        <v>4.6900000000000004</v>
      </c>
    </row>
    <row r="24" spans="1:17" customFormat="1">
      <c r="A24" s="112" t="s">
        <v>2747</v>
      </c>
      <c r="B24" s="134">
        <v>22.96</v>
      </c>
      <c r="C24" s="134">
        <v>28.87</v>
      </c>
      <c r="D24" s="134">
        <v>34.85</v>
      </c>
      <c r="E24" s="134">
        <v>8.8699999999999992</v>
      </c>
      <c r="F24" s="134">
        <v>3.92</v>
      </c>
      <c r="G24" s="134">
        <v>21.58</v>
      </c>
      <c r="H24" s="134">
        <v>5.75</v>
      </c>
      <c r="I24" s="134">
        <v>4.54</v>
      </c>
      <c r="J24" s="134">
        <v>0.17</v>
      </c>
      <c r="K24" s="134">
        <v>149.03</v>
      </c>
      <c r="L24" s="134">
        <v>24.85</v>
      </c>
      <c r="M24" s="134">
        <v>99.25</v>
      </c>
      <c r="N24" s="134">
        <v>0</v>
      </c>
      <c r="O24" s="134">
        <v>0</v>
      </c>
      <c r="P24" s="134">
        <v>0.5</v>
      </c>
      <c r="Q24" s="134">
        <v>4.7300000000000004</v>
      </c>
    </row>
    <row r="25" spans="1:17" customFormat="1">
      <c r="A25" s="112" t="s">
        <v>2748</v>
      </c>
      <c r="B25" s="134">
        <v>23.18</v>
      </c>
      <c r="C25" s="134">
        <v>28.95</v>
      </c>
      <c r="D25" s="134">
        <v>35.06</v>
      </c>
      <c r="E25" s="134">
        <v>8.35</v>
      </c>
      <c r="F25" s="134">
        <v>3.81</v>
      </c>
      <c r="G25" s="134">
        <v>21.58</v>
      </c>
      <c r="H25" s="134">
        <v>5.75</v>
      </c>
      <c r="I25" s="134">
        <v>4.5999999999999996</v>
      </c>
      <c r="J25" s="134">
        <v>0.13</v>
      </c>
      <c r="K25" s="134">
        <v>143.53</v>
      </c>
      <c r="L25" s="134">
        <v>24.85</v>
      </c>
      <c r="M25" s="134">
        <v>99.07</v>
      </c>
      <c r="N25" s="134">
        <v>0</v>
      </c>
      <c r="O25" s="134">
        <v>0</v>
      </c>
      <c r="P25" s="134">
        <v>0.5</v>
      </c>
      <c r="Q25" s="134">
        <v>4.74</v>
      </c>
    </row>
    <row r="26" spans="1:17" customFormat="1">
      <c r="A26" s="112" t="s">
        <v>2749</v>
      </c>
      <c r="B26" s="134">
        <v>23.03</v>
      </c>
      <c r="C26" s="134">
        <v>29.31</v>
      </c>
      <c r="D26" s="134">
        <v>35.130000000000003</v>
      </c>
      <c r="E26" s="134">
        <v>8.5299999999999994</v>
      </c>
      <c r="F26" s="134">
        <v>3.79</v>
      </c>
      <c r="G26" s="134">
        <v>24.22</v>
      </c>
      <c r="H26" s="134">
        <v>8.4499999999999993</v>
      </c>
      <c r="I26" s="134">
        <v>4.59</v>
      </c>
      <c r="J26" s="134">
        <v>0.18</v>
      </c>
      <c r="K26" s="134">
        <v>155.15</v>
      </c>
      <c r="L26" s="134">
        <v>24.72</v>
      </c>
      <c r="M26" s="134">
        <v>98.92</v>
      </c>
      <c r="N26" s="134">
        <v>0</v>
      </c>
      <c r="O26" s="134">
        <v>0</v>
      </c>
      <c r="P26" s="134">
        <v>0.51</v>
      </c>
      <c r="Q26" s="134">
        <v>4.75</v>
      </c>
    </row>
    <row r="27" spans="1:17" customFormat="1">
      <c r="A27" s="112" t="s">
        <v>2750</v>
      </c>
      <c r="B27" s="134">
        <v>22.85</v>
      </c>
      <c r="C27" s="134">
        <v>29.57</v>
      </c>
      <c r="D27" s="134">
        <v>35.119999999999997</v>
      </c>
      <c r="E27" s="134">
        <v>9.1</v>
      </c>
      <c r="F27" s="134">
        <v>4.07</v>
      </c>
      <c r="G27" s="134">
        <v>24.67</v>
      </c>
      <c r="H27" s="134">
        <v>8.4499999999999993</v>
      </c>
      <c r="I27" s="134">
        <v>4.6399999999999997</v>
      </c>
      <c r="J27" s="134">
        <v>7.0000000000000007E-2</v>
      </c>
      <c r="K27" s="134">
        <v>165.19</v>
      </c>
      <c r="L27" s="134">
        <v>24.57</v>
      </c>
      <c r="M27" s="134">
        <v>99.92</v>
      </c>
      <c r="N27" s="134">
        <v>0</v>
      </c>
      <c r="O27" s="134">
        <v>0</v>
      </c>
      <c r="P27" s="134">
        <v>0.51</v>
      </c>
      <c r="Q27" s="134">
        <v>4.74</v>
      </c>
    </row>
    <row r="28" spans="1:17" customFormat="1">
      <c r="A28" s="112" t="s">
        <v>2751</v>
      </c>
      <c r="B28" s="134">
        <v>22.66</v>
      </c>
      <c r="C28" s="134">
        <v>29.53</v>
      </c>
      <c r="D28" s="134">
        <v>34.950000000000003</v>
      </c>
      <c r="E28" s="134">
        <v>8.5500000000000007</v>
      </c>
      <c r="F28" s="134">
        <v>4.0199999999999996</v>
      </c>
      <c r="G28" s="134">
        <v>24.67</v>
      </c>
      <c r="H28" s="134">
        <v>8.4499999999999993</v>
      </c>
      <c r="I28" s="134">
        <v>4.66</v>
      </c>
      <c r="J28" s="134">
        <v>0.13</v>
      </c>
      <c r="K28" s="134">
        <v>220.92</v>
      </c>
      <c r="L28" s="134">
        <v>24.43</v>
      </c>
      <c r="M28" s="134">
        <v>101.08</v>
      </c>
      <c r="N28" s="134">
        <v>0</v>
      </c>
      <c r="O28" s="134">
        <v>0</v>
      </c>
      <c r="P28" s="134">
        <v>0.51</v>
      </c>
      <c r="Q28" s="134">
        <v>4.7300000000000004</v>
      </c>
    </row>
    <row r="29" spans="1:17" customFormat="1">
      <c r="A29" s="112" t="s">
        <v>2752</v>
      </c>
      <c r="B29" s="134">
        <v>22.48</v>
      </c>
      <c r="C29" s="134">
        <v>29.58</v>
      </c>
      <c r="D29" s="134">
        <v>34.840000000000003</v>
      </c>
      <c r="E29" s="134">
        <v>8.52</v>
      </c>
      <c r="F29" s="134">
        <v>3.9</v>
      </c>
      <c r="G29" s="134">
        <v>24.67</v>
      </c>
      <c r="H29" s="134">
        <v>8.4499999999999993</v>
      </c>
      <c r="I29" s="134">
        <v>4.66</v>
      </c>
      <c r="J29" s="134">
        <v>0.06</v>
      </c>
      <c r="K29" s="134">
        <v>184.58</v>
      </c>
      <c r="L29" s="134">
        <v>24.41</v>
      </c>
      <c r="M29" s="134">
        <v>99.32</v>
      </c>
      <c r="N29" s="134">
        <v>0</v>
      </c>
      <c r="O29" s="134">
        <v>0</v>
      </c>
      <c r="P29" s="134">
        <v>0.51</v>
      </c>
      <c r="Q29" s="134">
        <v>4.74</v>
      </c>
    </row>
    <row r="30" spans="1:17" customFormat="1">
      <c r="A30" s="112" t="s">
        <v>2753</v>
      </c>
      <c r="B30" s="134">
        <v>22.4</v>
      </c>
      <c r="C30" s="134">
        <v>29.51</v>
      </c>
      <c r="D30" s="134">
        <v>34.729999999999997</v>
      </c>
      <c r="E30" s="134">
        <v>9.17</v>
      </c>
      <c r="F30" s="134">
        <v>3.95</v>
      </c>
      <c r="G30" s="134">
        <v>26.84</v>
      </c>
      <c r="H30" s="134">
        <v>8.98</v>
      </c>
      <c r="I30" s="134">
        <v>4.6500000000000004</v>
      </c>
      <c r="J30" s="134">
        <v>0.06</v>
      </c>
      <c r="K30" s="134">
        <v>119.72</v>
      </c>
      <c r="L30" s="134">
        <v>24.37</v>
      </c>
      <c r="M30" s="134">
        <v>99.01</v>
      </c>
      <c r="N30" s="134">
        <v>0</v>
      </c>
      <c r="O30" s="134">
        <v>0</v>
      </c>
      <c r="P30" s="134">
        <v>0.51</v>
      </c>
      <c r="Q30" s="134">
        <v>4.71</v>
      </c>
    </row>
    <row r="31" spans="1:17" customFormat="1">
      <c r="A31" s="112" t="s">
        <v>2754</v>
      </c>
      <c r="B31" s="134">
        <v>23.11</v>
      </c>
      <c r="C31" s="134">
        <v>29.49</v>
      </c>
      <c r="D31" s="134">
        <v>35.29</v>
      </c>
      <c r="E31" s="134">
        <v>9.59</v>
      </c>
      <c r="F31" s="134">
        <v>3.9</v>
      </c>
      <c r="G31" s="134">
        <v>27.21</v>
      </c>
      <c r="H31" s="134">
        <v>8.98</v>
      </c>
      <c r="I31" s="134">
        <v>4.6399999999999997</v>
      </c>
      <c r="J31" s="134">
        <v>0.06</v>
      </c>
      <c r="K31" s="134">
        <v>131.97</v>
      </c>
      <c r="L31" s="134">
        <v>24.39</v>
      </c>
      <c r="M31" s="134">
        <v>99.46</v>
      </c>
      <c r="N31" s="134">
        <v>0</v>
      </c>
      <c r="O31" s="134">
        <v>0</v>
      </c>
      <c r="P31" s="134">
        <v>0.52</v>
      </c>
      <c r="Q31" s="134">
        <v>4.75</v>
      </c>
    </row>
    <row r="32" spans="1:17" customFormat="1">
      <c r="A32" s="112" t="s">
        <v>2755</v>
      </c>
      <c r="B32" s="134">
        <v>24.4</v>
      </c>
      <c r="C32" s="134">
        <v>29.77</v>
      </c>
      <c r="D32" s="134">
        <v>36.479999999999997</v>
      </c>
      <c r="E32" s="134">
        <v>9.2899999999999991</v>
      </c>
      <c r="F32" s="134">
        <v>3.97</v>
      </c>
      <c r="G32" s="134">
        <v>27.21</v>
      </c>
      <c r="H32" s="134">
        <v>8.98</v>
      </c>
      <c r="I32" s="134">
        <v>4.62</v>
      </c>
      <c r="J32" s="134">
        <v>7.0000000000000007E-2</v>
      </c>
      <c r="K32" s="134">
        <v>192.13</v>
      </c>
      <c r="L32" s="134">
        <v>24.41</v>
      </c>
      <c r="M32" s="134">
        <v>99.92</v>
      </c>
      <c r="N32" s="134">
        <v>0.1</v>
      </c>
      <c r="O32" s="134">
        <v>0</v>
      </c>
      <c r="P32" s="134">
        <v>0.52</v>
      </c>
      <c r="Q32" s="134">
        <v>4.8099999999999996</v>
      </c>
    </row>
    <row r="33" spans="1:17" customFormat="1">
      <c r="A33" s="112" t="s">
        <v>2756</v>
      </c>
      <c r="B33" s="134">
        <v>25.34</v>
      </c>
      <c r="C33" s="134">
        <v>29.91</v>
      </c>
      <c r="D33" s="134">
        <v>37.299999999999997</v>
      </c>
      <c r="E33" s="134">
        <v>8.98</v>
      </c>
      <c r="F33" s="134">
        <v>3.88</v>
      </c>
      <c r="G33" s="134">
        <v>27.21</v>
      </c>
      <c r="H33" s="134">
        <v>8.98</v>
      </c>
      <c r="I33" s="134">
        <v>4.59</v>
      </c>
      <c r="J33" s="134">
        <v>7.0000000000000007E-2</v>
      </c>
      <c r="K33" s="134">
        <v>218.57</v>
      </c>
      <c r="L33" s="134">
        <v>24.39</v>
      </c>
      <c r="M33" s="134">
        <v>100.93</v>
      </c>
      <c r="N33" s="134">
        <v>8.3000000000000007</v>
      </c>
      <c r="O33" s="134">
        <v>0</v>
      </c>
      <c r="P33" s="134">
        <v>0.52</v>
      </c>
      <c r="Q33" s="134">
        <v>4.8600000000000003</v>
      </c>
    </row>
    <row r="34" spans="1:17" customFormat="1">
      <c r="A34" s="112" t="s">
        <v>2757</v>
      </c>
      <c r="B34" s="134">
        <v>25.53</v>
      </c>
      <c r="C34" s="134">
        <v>30.08</v>
      </c>
      <c r="D34" s="134">
        <v>37.54</v>
      </c>
      <c r="E34" s="134">
        <v>9.02</v>
      </c>
      <c r="F34" s="134">
        <v>3.81</v>
      </c>
      <c r="G34" s="134">
        <v>30.86</v>
      </c>
      <c r="H34" s="134">
        <v>7.62</v>
      </c>
      <c r="I34" s="134">
        <v>4.5599999999999996</v>
      </c>
      <c r="J34" s="134">
        <v>0.09</v>
      </c>
      <c r="K34" s="134">
        <v>145.97</v>
      </c>
      <c r="L34" s="134">
        <v>24.65</v>
      </c>
      <c r="M34" s="134">
        <v>101.7</v>
      </c>
      <c r="N34" s="134">
        <v>25.7</v>
      </c>
      <c r="O34" s="134">
        <v>0</v>
      </c>
      <c r="P34" s="134">
        <v>0.52</v>
      </c>
      <c r="Q34" s="134">
        <v>4.9000000000000004</v>
      </c>
    </row>
    <row r="35" spans="1:17" customFormat="1">
      <c r="A35" s="112" t="s">
        <v>2758</v>
      </c>
      <c r="B35" s="134">
        <v>25.53</v>
      </c>
      <c r="C35" s="134">
        <v>30.57</v>
      </c>
      <c r="D35" s="134">
        <v>37.79</v>
      </c>
      <c r="E35" s="134">
        <v>9.2100000000000009</v>
      </c>
      <c r="F35" s="134">
        <v>3.62</v>
      </c>
      <c r="G35" s="134">
        <v>31.48</v>
      </c>
      <c r="H35" s="134">
        <v>7.62</v>
      </c>
      <c r="I35" s="134">
        <v>4.55</v>
      </c>
      <c r="J35" s="134">
        <v>0.12</v>
      </c>
      <c r="K35" s="134">
        <v>146.69999999999999</v>
      </c>
      <c r="L35" s="134">
        <v>25.09</v>
      </c>
      <c r="M35" s="134">
        <v>100.99</v>
      </c>
      <c r="N35" s="134">
        <v>50</v>
      </c>
      <c r="O35" s="134">
        <v>0</v>
      </c>
      <c r="P35" s="134">
        <v>0.51</v>
      </c>
      <c r="Q35" s="134">
        <v>4.8899999999999997</v>
      </c>
    </row>
    <row r="36" spans="1:17" customFormat="1">
      <c r="A36" s="112" t="s">
        <v>2759</v>
      </c>
      <c r="B36" s="134">
        <v>26.15</v>
      </c>
      <c r="C36" s="134">
        <v>29.05</v>
      </c>
      <c r="D36" s="134">
        <v>37.5</v>
      </c>
      <c r="E36" s="134">
        <v>9.02</v>
      </c>
      <c r="F36" s="134">
        <v>4.32</v>
      </c>
      <c r="G36" s="134">
        <v>31.48</v>
      </c>
      <c r="H36" s="134">
        <v>7.62</v>
      </c>
      <c r="I36" s="134">
        <v>4.54</v>
      </c>
      <c r="J36" s="134">
        <v>0.28999999999999998</v>
      </c>
      <c r="K36" s="134">
        <v>153.09</v>
      </c>
      <c r="L36" s="134">
        <v>25.57</v>
      </c>
      <c r="M36" s="134">
        <v>97.94</v>
      </c>
      <c r="N36" s="134">
        <v>75.2</v>
      </c>
      <c r="O36" s="134">
        <v>0</v>
      </c>
      <c r="P36" s="134">
        <v>0.49</v>
      </c>
      <c r="Q36" s="134">
        <v>4.8600000000000003</v>
      </c>
    </row>
    <row r="37" spans="1:17" customFormat="1">
      <c r="A37" s="112" t="s">
        <v>2760</v>
      </c>
      <c r="B37" s="134">
        <v>26.65</v>
      </c>
      <c r="C37" s="134">
        <v>26.6</v>
      </c>
      <c r="D37" s="134">
        <v>36.619999999999997</v>
      </c>
      <c r="E37" s="134">
        <v>8.9700000000000006</v>
      </c>
      <c r="F37" s="134">
        <v>4.84</v>
      </c>
      <c r="G37" s="134">
        <v>31.48</v>
      </c>
      <c r="H37" s="134">
        <v>7.62</v>
      </c>
      <c r="I37" s="134">
        <v>4.54</v>
      </c>
      <c r="J37" s="134">
        <v>7.0000000000000007E-2</v>
      </c>
      <c r="K37" s="134">
        <v>137.44999999999999</v>
      </c>
      <c r="L37" s="134">
        <v>25.75</v>
      </c>
      <c r="M37" s="134">
        <v>96.5</v>
      </c>
      <c r="N37" s="134">
        <v>70.599999999999994</v>
      </c>
      <c r="O37" s="134">
        <v>0</v>
      </c>
      <c r="P37" s="134">
        <v>0.46</v>
      </c>
      <c r="Q37" s="134">
        <v>4.87</v>
      </c>
    </row>
    <row r="38" spans="1:17" customFormat="1">
      <c r="A38" s="112" t="s">
        <v>2761</v>
      </c>
      <c r="B38" s="134">
        <v>26.8</v>
      </c>
      <c r="C38" s="134">
        <v>25.05</v>
      </c>
      <c r="D38" s="134">
        <v>35.93</v>
      </c>
      <c r="E38" s="134">
        <v>8.89</v>
      </c>
      <c r="F38" s="134">
        <v>4.8600000000000003</v>
      </c>
      <c r="G38" s="134">
        <v>28.74</v>
      </c>
      <c r="H38" s="134">
        <v>7.5</v>
      </c>
      <c r="I38" s="134">
        <v>4.53</v>
      </c>
      <c r="J38" s="134">
        <v>0.08</v>
      </c>
      <c r="K38" s="134">
        <v>148.66</v>
      </c>
      <c r="L38" s="134">
        <v>26.09</v>
      </c>
      <c r="M38" s="134">
        <v>95.54</v>
      </c>
      <c r="N38" s="134">
        <v>92.4</v>
      </c>
      <c r="O38" s="134">
        <v>0</v>
      </c>
      <c r="P38" s="134">
        <v>0.45</v>
      </c>
      <c r="Q38" s="134">
        <v>4.8499999999999996</v>
      </c>
    </row>
    <row r="39" spans="1:17" customFormat="1">
      <c r="A39" s="112" t="s">
        <v>2762</v>
      </c>
      <c r="B39" s="134">
        <v>26.92</v>
      </c>
      <c r="C39" s="134">
        <v>24.31</v>
      </c>
      <c r="D39" s="134">
        <v>35.64</v>
      </c>
      <c r="E39" s="134">
        <v>8.74</v>
      </c>
      <c r="F39" s="134">
        <v>4.8499999999999996</v>
      </c>
      <c r="G39" s="134">
        <v>28.28</v>
      </c>
      <c r="H39" s="134">
        <v>7.5</v>
      </c>
      <c r="I39" s="134">
        <v>4.5</v>
      </c>
      <c r="J39" s="134">
        <v>0.14000000000000001</v>
      </c>
      <c r="K39" s="134">
        <v>89.51</v>
      </c>
      <c r="L39" s="134">
        <v>26.76</v>
      </c>
      <c r="M39" s="134">
        <v>91.91</v>
      </c>
      <c r="N39" s="134">
        <v>143.4</v>
      </c>
      <c r="O39" s="134">
        <v>0</v>
      </c>
      <c r="P39" s="134">
        <v>0.44</v>
      </c>
      <c r="Q39" s="134">
        <v>4.78</v>
      </c>
    </row>
    <row r="40" spans="1:17" customFormat="1">
      <c r="A40" s="112" t="s">
        <v>2763</v>
      </c>
      <c r="B40" s="134">
        <v>26.85</v>
      </c>
      <c r="C40" s="134">
        <v>24.04</v>
      </c>
      <c r="D40" s="134">
        <v>35.44</v>
      </c>
      <c r="E40" s="134">
        <v>8.5299999999999994</v>
      </c>
      <c r="F40" s="134">
        <v>4.84</v>
      </c>
      <c r="G40" s="134">
        <v>28.28</v>
      </c>
      <c r="H40" s="134">
        <v>7.5</v>
      </c>
      <c r="I40" s="134">
        <v>4.4800000000000004</v>
      </c>
      <c r="J40" s="134">
        <v>0.14000000000000001</v>
      </c>
      <c r="K40" s="134">
        <v>76.89</v>
      </c>
      <c r="L40" s="134">
        <v>27.46</v>
      </c>
      <c r="M40" s="134">
        <v>89.75</v>
      </c>
      <c r="N40" s="134">
        <v>152.69999999999999</v>
      </c>
      <c r="O40" s="134">
        <v>0</v>
      </c>
      <c r="P40" s="134">
        <v>0.44</v>
      </c>
      <c r="Q40" s="134">
        <v>4.7699999999999996</v>
      </c>
    </row>
    <row r="41" spans="1:17" customFormat="1">
      <c r="A41" s="112" t="s">
        <v>2764</v>
      </c>
      <c r="B41" s="134">
        <v>26.83</v>
      </c>
      <c r="C41" s="134">
        <v>23.94</v>
      </c>
      <c r="D41" s="134">
        <v>35.380000000000003</v>
      </c>
      <c r="E41" s="134">
        <v>8.91</v>
      </c>
      <c r="F41" s="134">
        <v>4.71</v>
      </c>
      <c r="G41" s="134">
        <v>28.28</v>
      </c>
      <c r="H41" s="134">
        <v>7.5</v>
      </c>
      <c r="I41" s="134">
        <v>4.54</v>
      </c>
      <c r="J41" s="134">
        <v>0.22</v>
      </c>
      <c r="K41" s="134">
        <v>41.75</v>
      </c>
      <c r="L41" s="134">
        <v>27.92</v>
      </c>
      <c r="M41" s="134">
        <v>86.75</v>
      </c>
      <c r="N41" s="134">
        <v>144.6</v>
      </c>
      <c r="O41" s="134">
        <v>0</v>
      </c>
      <c r="P41" s="134">
        <v>0.45</v>
      </c>
      <c r="Q41" s="134">
        <v>4.76</v>
      </c>
    </row>
    <row r="42" spans="1:17" customFormat="1">
      <c r="A42" s="112" t="s">
        <v>2765</v>
      </c>
      <c r="B42" s="134">
        <v>26.86</v>
      </c>
      <c r="C42" s="134">
        <v>26.06</v>
      </c>
      <c r="D42" s="134">
        <v>36.5</v>
      </c>
      <c r="E42" s="134">
        <v>9.18</v>
      </c>
      <c r="F42" s="134">
        <v>4.3</v>
      </c>
      <c r="G42" s="134">
        <v>36.700000000000003</v>
      </c>
      <c r="H42" s="134">
        <v>9.1999999999999993</v>
      </c>
      <c r="I42" s="134">
        <v>4.5599999999999996</v>
      </c>
      <c r="J42" s="134">
        <v>0.28999999999999998</v>
      </c>
      <c r="K42" s="134">
        <v>38.32</v>
      </c>
      <c r="L42" s="134">
        <v>27.81</v>
      </c>
      <c r="M42" s="134">
        <v>85.86</v>
      </c>
      <c r="N42" s="134">
        <v>231.2</v>
      </c>
      <c r="O42" s="134">
        <v>0</v>
      </c>
      <c r="P42" s="134">
        <v>0.48</v>
      </c>
      <c r="Q42" s="134">
        <v>4.74</v>
      </c>
    </row>
    <row r="43" spans="1:17" customFormat="1">
      <c r="A43" s="112" t="s">
        <v>2766</v>
      </c>
      <c r="B43" s="134">
        <v>26.81</v>
      </c>
      <c r="C43" s="134">
        <v>27.48</v>
      </c>
      <c r="D43" s="134">
        <v>37.21</v>
      </c>
      <c r="E43" s="134">
        <v>9.56</v>
      </c>
      <c r="F43" s="134">
        <v>4.4000000000000004</v>
      </c>
      <c r="G43" s="134">
        <v>38.119999999999997</v>
      </c>
      <c r="H43" s="134">
        <v>9.1999999999999993</v>
      </c>
      <c r="I43" s="134">
        <v>4.6500000000000004</v>
      </c>
      <c r="J43" s="134">
        <v>0.3</v>
      </c>
      <c r="K43" s="134">
        <v>47.85</v>
      </c>
      <c r="L43" s="134">
        <v>28.79</v>
      </c>
      <c r="M43" s="134">
        <v>79.53</v>
      </c>
      <c r="N43" s="134">
        <v>332</v>
      </c>
      <c r="O43" s="134">
        <v>0</v>
      </c>
      <c r="P43" s="134">
        <v>0.52</v>
      </c>
      <c r="Q43" s="134">
        <v>4.8</v>
      </c>
    </row>
    <row r="44" spans="1:17" customFormat="1">
      <c r="A44" s="112" t="s">
        <v>2767</v>
      </c>
      <c r="B44" s="134">
        <v>26.34</v>
      </c>
      <c r="C44" s="134">
        <v>26.53</v>
      </c>
      <c r="D44" s="134">
        <v>36.33</v>
      </c>
      <c r="E44" s="134">
        <v>9.74</v>
      </c>
      <c r="F44" s="134">
        <v>5.18</v>
      </c>
      <c r="G44" s="134">
        <v>38.119999999999997</v>
      </c>
      <c r="H44" s="134">
        <v>9.1999999999999993</v>
      </c>
      <c r="I44" s="134">
        <v>4.74</v>
      </c>
      <c r="J44" s="134">
        <v>0.47</v>
      </c>
      <c r="K44" s="134">
        <v>44.8</v>
      </c>
      <c r="L44" s="134">
        <v>28.93</v>
      </c>
      <c r="M44" s="134">
        <v>79.92</v>
      </c>
      <c r="N44" s="134">
        <v>359.1</v>
      </c>
      <c r="O44" s="134">
        <v>0</v>
      </c>
      <c r="P44" s="134">
        <v>0.52</v>
      </c>
      <c r="Q44" s="134">
        <v>4.8099999999999996</v>
      </c>
    </row>
    <row r="45" spans="1:17" customFormat="1">
      <c r="A45" s="112" t="s">
        <v>2768</v>
      </c>
      <c r="B45" s="134">
        <v>25.87</v>
      </c>
      <c r="C45" s="134">
        <v>25.42</v>
      </c>
      <c r="D45" s="134">
        <v>35.380000000000003</v>
      </c>
      <c r="E45" s="134">
        <v>10.51</v>
      </c>
      <c r="F45" s="134">
        <v>5.52</v>
      </c>
      <c r="G45" s="134">
        <v>38.119999999999997</v>
      </c>
      <c r="H45" s="134">
        <v>9.1999999999999993</v>
      </c>
      <c r="I45" s="134">
        <v>4.79</v>
      </c>
      <c r="J45" s="134">
        <v>0.4</v>
      </c>
      <c r="K45" s="134">
        <v>30.35</v>
      </c>
      <c r="L45" s="134">
        <v>29.49</v>
      </c>
      <c r="M45" s="134">
        <v>77.98</v>
      </c>
      <c r="N45" s="134">
        <v>388.3</v>
      </c>
      <c r="O45" s="134">
        <v>0</v>
      </c>
      <c r="P45" s="134">
        <v>0.52</v>
      </c>
      <c r="Q45" s="134">
        <v>4.76</v>
      </c>
    </row>
    <row r="46" spans="1:17" customFormat="1">
      <c r="A46" s="112" t="s">
        <v>2769</v>
      </c>
      <c r="B46" s="134">
        <v>24.83</v>
      </c>
      <c r="C46" s="134">
        <v>25.2</v>
      </c>
      <c r="D46" s="134">
        <v>34.43</v>
      </c>
      <c r="E46" s="134">
        <v>11.9</v>
      </c>
      <c r="F46" s="134">
        <v>6.81</v>
      </c>
      <c r="G46" s="134">
        <v>47.21</v>
      </c>
      <c r="H46" s="134">
        <v>17.420000000000002</v>
      </c>
      <c r="I46" s="134">
        <v>4.82</v>
      </c>
      <c r="J46" s="134">
        <v>0.18</v>
      </c>
      <c r="K46" s="134">
        <v>49.94</v>
      </c>
      <c r="L46" s="134">
        <v>29.5</v>
      </c>
      <c r="M46" s="134">
        <v>76.88</v>
      </c>
      <c r="N46" s="134">
        <v>447.5</v>
      </c>
      <c r="O46" s="134">
        <v>0</v>
      </c>
      <c r="P46" s="134">
        <v>0.54</v>
      </c>
      <c r="Q46" s="134">
        <v>4.71</v>
      </c>
    </row>
    <row r="47" spans="1:17" customFormat="1">
      <c r="A47" s="112" t="s">
        <v>2770</v>
      </c>
      <c r="B47" s="134">
        <v>24.63</v>
      </c>
      <c r="C47" s="134">
        <v>25.76</v>
      </c>
      <c r="D47" s="134">
        <v>34.56</v>
      </c>
      <c r="E47" s="134">
        <v>11.28</v>
      </c>
      <c r="F47" s="134">
        <v>5.89</v>
      </c>
      <c r="G47" s="134">
        <v>48.75</v>
      </c>
      <c r="H47" s="134">
        <v>17.420000000000002</v>
      </c>
      <c r="I47" s="134">
        <v>4.8499999999999996</v>
      </c>
      <c r="J47" s="134">
        <v>0.36</v>
      </c>
      <c r="K47" s="134">
        <v>56.06</v>
      </c>
      <c r="L47" s="134">
        <v>30.22</v>
      </c>
      <c r="M47" s="134">
        <v>74.849999999999994</v>
      </c>
      <c r="N47" s="134">
        <v>423.5</v>
      </c>
      <c r="O47" s="134">
        <v>0</v>
      </c>
      <c r="P47" s="134">
        <v>0.54</v>
      </c>
      <c r="Q47" s="134">
        <v>4.68</v>
      </c>
    </row>
    <row r="48" spans="1:17" customFormat="1">
      <c r="A48" s="112" t="s">
        <v>2771</v>
      </c>
      <c r="B48" s="134">
        <v>24.2</v>
      </c>
      <c r="C48" s="134">
        <v>26.17</v>
      </c>
      <c r="D48" s="134">
        <v>34.43</v>
      </c>
      <c r="E48" s="134">
        <v>12.39</v>
      </c>
      <c r="F48" s="134">
        <v>5.94</v>
      </c>
      <c r="G48" s="134">
        <v>48.75</v>
      </c>
      <c r="H48" s="134">
        <v>17.420000000000002</v>
      </c>
      <c r="I48" s="134">
        <v>4.9000000000000004</v>
      </c>
      <c r="J48" s="134">
        <v>0.4</v>
      </c>
      <c r="K48" s="134">
        <v>36.549999999999997</v>
      </c>
      <c r="L48" s="134">
        <v>30.4</v>
      </c>
      <c r="M48" s="134">
        <v>75.22</v>
      </c>
      <c r="N48" s="134">
        <v>343.6</v>
      </c>
      <c r="O48" s="134">
        <v>0</v>
      </c>
      <c r="P48" s="134">
        <v>0.56000000000000005</v>
      </c>
      <c r="Q48" s="134">
        <v>4.66</v>
      </c>
    </row>
    <row r="49" spans="1:17" customFormat="1">
      <c r="A49" s="112" t="s">
        <v>2772</v>
      </c>
      <c r="B49" s="134">
        <v>23.8</v>
      </c>
      <c r="C49" s="134">
        <v>25.62</v>
      </c>
      <c r="D49" s="134">
        <v>33.82</v>
      </c>
      <c r="E49" s="134">
        <v>9.92</v>
      </c>
      <c r="F49" s="134">
        <v>6.68</v>
      </c>
      <c r="G49" s="134">
        <v>48.75</v>
      </c>
      <c r="H49" s="134">
        <v>17.420000000000002</v>
      </c>
      <c r="I49" s="134">
        <v>4.96</v>
      </c>
      <c r="J49" s="134">
        <v>0.66</v>
      </c>
      <c r="K49" s="134">
        <v>38.76</v>
      </c>
      <c r="L49" s="134">
        <v>30.56</v>
      </c>
      <c r="M49" s="134">
        <v>73.099999999999994</v>
      </c>
      <c r="N49" s="134">
        <v>608</v>
      </c>
      <c r="O49" s="134">
        <v>0</v>
      </c>
      <c r="P49" s="134">
        <v>0.56000000000000005</v>
      </c>
      <c r="Q49" s="134">
        <v>4.62</v>
      </c>
    </row>
    <row r="50" spans="1:17" customFormat="1">
      <c r="A50" s="112" t="s">
        <v>2773</v>
      </c>
      <c r="B50" s="134">
        <v>22.7</v>
      </c>
      <c r="C50" s="134">
        <v>25.34</v>
      </c>
      <c r="D50" s="134">
        <v>32.79</v>
      </c>
      <c r="E50" s="134">
        <v>12.4</v>
      </c>
      <c r="F50" s="134">
        <v>8.08</v>
      </c>
      <c r="G50" s="134">
        <v>57.96</v>
      </c>
      <c r="H50" s="134">
        <v>21.88</v>
      </c>
      <c r="I50" s="134">
        <v>5.0199999999999996</v>
      </c>
      <c r="J50" s="134">
        <v>0.59</v>
      </c>
      <c r="K50" s="134">
        <v>29.16</v>
      </c>
      <c r="L50" s="134">
        <v>30.41</v>
      </c>
      <c r="M50" s="134">
        <v>74.17</v>
      </c>
      <c r="N50" s="134">
        <v>325.89999999999998</v>
      </c>
      <c r="O50" s="134">
        <v>0</v>
      </c>
      <c r="P50" s="134">
        <v>0.56999999999999995</v>
      </c>
      <c r="Q50" s="134">
        <v>4.6100000000000003</v>
      </c>
    </row>
    <row r="51" spans="1:17" customFormat="1">
      <c r="A51" s="112" t="s">
        <v>2774</v>
      </c>
      <c r="B51" s="134">
        <v>22.52</v>
      </c>
      <c r="C51" s="134">
        <v>26.87</v>
      </c>
      <c r="D51" s="134">
        <v>33.450000000000003</v>
      </c>
      <c r="E51" s="134">
        <v>10.31</v>
      </c>
      <c r="F51" s="134">
        <v>6.07</v>
      </c>
      <c r="G51" s="134">
        <v>59.51</v>
      </c>
      <c r="H51" s="134">
        <v>21.88</v>
      </c>
      <c r="I51" s="134">
        <v>4.95</v>
      </c>
      <c r="J51" s="134">
        <v>0.42</v>
      </c>
      <c r="K51" s="134">
        <v>44.78</v>
      </c>
      <c r="L51" s="134">
        <v>30.52</v>
      </c>
      <c r="M51" s="134">
        <v>75.62</v>
      </c>
      <c r="N51" s="134">
        <v>520</v>
      </c>
      <c r="O51" s="134">
        <v>0</v>
      </c>
      <c r="P51" s="134">
        <v>0.57999999999999996</v>
      </c>
      <c r="Q51" s="134">
        <v>4.55</v>
      </c>
    </row>
    <row r="52" spans="1:17" customFormat="1">
      <c r="A52" s="112" t="s">
        <v>2775</v>
      </c>
      <c r="B52" s="134">
        <v>21.79</v>
      </c>
      <c r="C52" s="134">
        <v>26.87</v>
      </c>
      <c r="D52" s="134">
        <v>32.86</v>
      </c>
      <c r="E52" s="134">
        <v>10.06</v>
      </c>
      <c r="F52" s="134">
        <v>6.97</v>
      </c>
      <c r="G52" s="134">
        <v>59.51</v>
      </c>
      <c r="H52" s="134">
        <v>21.88</v>
      </c>
      <c r="I52" s="134">
        <v>4.95</v>
      </c>
      <c r="J52" s="134">
        <v>0.59</v>
      </c>
      <c r="K52" s="134">
        <v>40.549999999999997</v>
      </c>
      <c r="L52" s="134">
        <v>30.75</v>
      </c>
      <c r="M52" s="134">
        <v>73.81</v>
      </c>
      <c r="N52" s="134">
        <v>568.1</v>
      </c>
      <c r="O52" s="134">
        <v>0</v>
      </c>
      <c r="P52" s="134">
        <v>0.57999999999999996</v>
      </c>
      <c r="Q52" s="134">
        <v>4.54</v>
      </c>
    </row>
    <row r="53" spans="1:17" customFormat="1">
      <c r="A53" s="112" t="s">
        <v>2776</v>
      </c>
      <c r="B53" s="134">
        <v>20.88</v>
      </c>
      <c r="C53" s="134">
        <v>26.61</v>
      </c>
      <c r="D53" s="134">
        <v>31.99</v>
      </c>
      <c r="E53" s="134">
        <v>9.39</v>
      </c>
      <c r="F53" s="134">
        <v>7.76</v>
      </c>
      <c r="G53" s="134">
        <v>59.51</v>
      </c>
      <c r="H53" s="134">
        <v>21.88</v>
      </c>
      <c r="I53" s="134">
        <v>5.03</v>
      </c>
      <c r="J53" s="134">
        <v>0.57999999999999996</v>
      </c>
      <c r="K53" s="134">
        <v>39.78</v>
      </c>
      <c r="L53" s="134">
        <v>31.21</v>
      </c>
      <c r="M53" s="134">
        <v>72.680000000000007</v>
      </c>
      <c r="N53" s="134">
        <v>698.3</v>
      </c>
      <c r="O53" s="134">
        <v>0</v>
      </c>
      <c r="P53" s="134">
        <v>0.57999999999999996</v>
      </c>
      <c r="Q53" s="134">
        <v>4.51</v>
      </c>
    </row>
    <row r="54" spans="1:17" customFormat="1">
      <c r="A54" s="112" t="s">
        <v>2777</v>
      </c>
      <c r="B54" s="134">
        <v>20.09</v>
      </c>
      <c r="C54" s="134">
        <v>26.81</v>
      </c>
      <c r="D54" s="134">
        <v>31.47</v>
      </c>
      <c r="E54" s="134">
        <v>10.53</v>
      </c>
      <c r="F54" s="134">
        <v>7.47</v>
      </c>
      <c r="G54" s="134">
        <v>60.53</v>
      </c>
      <c r="H54" s="134">
        <v>21.35</v>
      </c>
      <c r="I54" s="134">
        <v>4.95</v>
      </c>
      <c r="J54" s="134">
        <v>0.3</v>
      </c>
      <c r="K54" s="134">
        <v>97.29</v>
      </c>
      <c r="L54" s="134">
        <v>31.67</v>
      </c>
      <c r="M54" s="134">
        <v>70.11</v>
      </c>
      <c r="N54" s="134">
        <v>722.5</v>
      </c>
      <c r="O54" s="134">
        <v>0</v>
      </c>
      <c r="P54" s="134">
        <v>0.57999999999999996</v>
      </c>
      <c r="Q54" s="134">
        <v>4.45</v>
      </c>
    </row>
    <row r="55" spans="1:17" customFormat="1">
      <c r="A55" s="112" t="s">
        <v>2778</v>
      </c>
      <c r="B55" s="134">
        <v>18.96</v>
      </c>
      <c r="C55" s="134">
        <v>27.86</v>
      </c>
      <c r="D55" s="134">
        <v>31.11</v>
      </c>
      <c r="E55" s="134">
        <v>10.45</v>
      </c>
      <c r="F55" s="134">
        <v>6.48</v>
      </c>
      <c r="G55" s="134">
        <v>60.7</v>
      </c>
      <c r="H55" s="134">
        <v>21.35</v>
      </c>
      <c r="I55" s="134">
        <v>4.8899999999999997</v>
      </c>
      <c r="J55" s="134">
        <v>0.4</v>
      </c>
      <c r="K55" s="134">
        <v>35.21</v>
      </c>
      <c r="L55" s="134">
        <v>32.049999999999997</v>
      </c>
      <c r="M55" s="134">
        <v>67.55</v>
      </c>
      <c r="N55" s="134">
        <v>730.5</v>
      </c>
      <c r="O55" s="134">
        <v>0</v>
      </c>
      <c r="P55" s="134">
        <v>0.56999999999999995</v>
      </c>
      <c r="Q55" s="134">
        <v>4.3600000000000003</v>
      </c>
    </row>
    <row r="56" spans="1:17" customFormat="1">
      <c r="A56" s="112" t="s">
        <v>2779</v>
      </c>
      <c r="B56" s="134">
        <v>18.14</v>
      </c>
      <c r="C56" s="134">
        <v>28.02</v>
      </c>
      <c r="D56" s="134">
        <v>30.54</v>
      </c>
      <c r="E56" s="134">
        <v>10.31</v>
      </c>
      <c r="F56" s="134">
        <v>6.62</v>
      </c>
      <c r="G56" s="134">
        <v>60.7</v>
      </c>
      <c r="H56" s="134">
        <v>21.35</v>
      </c>
      <c r="I56" s="134">
        <v>4.93</v>
      </c>
      <c r="J56" s="134">
        <v>0.62</v>
      </c>
      <c r="K56" s="134">
        <v>32.81</v>
      </c>
      <c r="L56" s="134">
        <v>31.84</v>
      </c>
      <c r="M56" s="134">
        <v>67.680000000000007</v>
      </c>
      <c r="N56" s="134">
        <v>711.4</v>
      </c>
      <c r="O56" s="134">
        <v>0</v>
      </c>
      <c r="P56" s="134">
        <v>0.56999999999999995</v>
      </c>
      <c r="Q56" s="134">
        <v>4.32</v>
      </c>
    </row>
    <row r="57" spans="1:17" customFormat="1">
      <c r="A57" s="112" t="s">
        <v>2780</v>
      </c>
      <c r="B57" s="151" t="s">
        <v>12</v>
      </c>
      <c r="C57" s="151" t="s">
        <v>12</v>
      </c>
      <c r="D57" s="151" t="s">
        <v>12</v>
      </c>
      <c r="E57" s="151" t="s">
        <v>12</v>
      </c>
      <c r="F57" s="151" t="s">
        <v>12</v>
      </c>
      <c r="G57" s="151" t="s">
        <v>12</v>
      </c>
      <c r="H57" s="151" t="s">
        <v>12</v>
      </c>
      <c r="I57" s="134">
        <v>4.79</v>
      </c>
      <c r="J57" s="134">
        <v>0.39</v>
      </c>
      <c r="K57" s="134">
        <v>65.56</v>
      </c>
      <c r="L57" s="134">
        <v>31.75</v>
      </c>
      <c r="M57" s="134">
        <v>66.81</v>
      </c>
      <c r="N57" s="134">
        <v>530.9</v>
      </c>
      <c r="O57" s="134">
        <v>0</v>
      </c>
      <c r="P57" s="151" t="s">
        <v>12</v>
      </c>
      <c r="Q57" s="134">
        <v>4.2699999999999996</v>
      </c>
    </row>
    <row r="58" spans="1:17" customFormat="1">
      <c r="A58" s="112" t="s">
        <v>2781</v>
      </c>
      <c r="B58" s="151" t="s">
        <v>12</v>
      </c>
      <c r="C58" s="151" t="s">
        <v>12</v>
      </c>
      <c r="D58" s="151" t="s">
        <v>12</v>
      </c>
      <c r="E58" s="151" t="s">
        <v>12</v>
      </c>
      <c r="F58" s="151" t="s">
        <v>12</v>
      </c>
      <c r="G58" s="151" t="s">
        <v>12</v>
      </c>
      <c r="H58" s="151" t="s">
        <v>12</v>
      </c>
      <c r="I58" s="134">
        <v>4.5999999999999996</v>
      </c>
      <c r="J58" s="134">
        <v>0.65</v>
      </c>
      <c r="K58" s="134">
        <v>36.1</v>
      </c>
      <c r="L58" s="134">
        <v>31.66</v>
      </c>
      <c r="M58" s="134">
        <v>69</v>
      </c>
      <c r="N58" s="134">
        <v>556.29999999999995</v>
      </c>
      <c r="O58" s="134">
        <v>0</v>
      </c>
      <c r="P58" s="151" t="s">
        <v>12</v>
      </c>
      <c r="Q58" s="134">
        <v>4.25</v>
      </c>
    </row>
    <row r="59" spans="1:17" customFormat="1">
      <c r="A59" s="112" t="s">
        <v>2782</v>
      </c>
      <c r="B59" s="151" t="s">
        <v>12</v>
      </c>
      <c r="C59" s="151" t="s">
        <v>12</v>
      </c>
      <c r="D59" s="151" t="s">
        <v>12</v>
      </c>
      <c r="E59" s="151" t="s">
        <v>12</v>
      </c>
      <c r="F59" s="134">
        <v>8.51</v>
      </c>
      <c r="G59" s="151" t="s">
        <v>12</v>
      </c>
      <c r="H59" s="151" t="s">
        <v>12</v>
      </c>
      <c r="I59" s="134">
        <v>5.57</v>
      </c>
      <c r="J59" s="134">
        <v>0.36</v>
      </c>
      <c r="K59" s="134">
        <v>45.09</v>
      </c>
      <c r="L59" s="134">
        <v>31.7</v>
      </c>
      <c r="M59" s="134">
        <v>71.45</v>
      </c>
      <c r="N59" s="134">
        <v>434.9</v>
      </c>
      <c r="O59" s="134">
        <v>0</v>
      </c>
      <c r="P59" s="134">
        <v>0.52</v>
      </c>
      <c r="Q59" s="134">
        <v>4.26</v>
      </c>
    </row>
    <row r="60" spans="1:17" customFormat="1">
      <c r="A60" s="112" t="s">
        <v>2783</v>
      </c>
      <c r="B60" s="151" t="s">
        <v>12</v>
      </c>
      <c r="C60" s="151" t="s">
        <v>12</v>
      </c>
      <c r="D60" s="151" t="s">
        <v>12</v>
      </c>
      <c r="E60" s="151" t="s">
        <v>12</v>
      </c>
      <c r="F60" s="134">
        <v>15.97</v>
      </c>
      <c r="G60" s="151" t="s">
        <v>12</v>
      </c>
      <c r="H60" s="151" t="s">
        <v>12</v>
      </c>
      <c r="I60" s="134">
        <v>11.17</v>
      </c>
      <c r="J60" s="134">
        <v>0.28000000000000003</v>
      </c>
      <c r="K60" s="134">
        <v>33.06</v>
      </c>
      <c r="L60" s="134">
        <v>31.61</v>
      </c>
      <c r="M60" s="134">
        <v>71</v>
      </c>
      <c r="N60" s="134">
        <v>322</v>
      </c>
      <c r="O60" s="134">
        <v>0</v>
      </c>
      <c r="P60" s="134">
        <v>0.61</v>
      </c>
      <c r="Q60" s="134">
        <v>4.1900000000000004</v>
      </c>
    </row>
    <row r="61" spans="1:17" customFormat="1">
      <c r="A61" s="112" t="s">
        <v>2784</v>
      </c>
      <c r="B61" s="151" t="s">
        <v>12</v>
      </c>
      <c r="C61" s="151" t="s">
        <v>12</v>
      </c>
      <c r="D61" s="151" t="s">
        <v>12</v>
      </c>
      <c r="E61" s="151" t="s">
        <v>12</v>
      </c>
      <c r="F61" s="134">
        <v>23.4</v>
      </c>
      <c r="G61" s="151" t="s">
        <v>12</v>
      </c>
      <c r="H61" s="151" t="s">
        <v>12</v>
      </c>
      <c r="I61" s="134">
        <v>16.55</v>
      </c>
      <c r="J61" s="134">
        <v>0.23</v>
      </c>
      <c r="K61" s="134">
        <v>43.21</v>
      </c>
      <c r="L61" s="134">
        <v>32.01</v>
      </c>
      <c r="M61" s="134">
        <v>68.8</v>
      </c>
      <c r="N61" s="134">
        <v>413.5</v>
      </c>
      <c r="O61" s="134">
        <v>0</v>
      </c>
      <c r="P61" s="134">
        <v>0.57999999999999996</v>
      </c>
      <c r="Q61" s="134">
        <v>3.97</v>
      </c>
    </row>
    <row r="62" spans="1:17" customFormat="1">
      <c r="A62" s="112" t="s">
        <v>2785</v>
      </c>
      <c r="B62" s="134">
        <v>4.6500000000000004</v>
      </c>
      <c r="C62" s="134">
        <v>23.66</v>
      </c>
      <c r="D62" s="134">
        <v>17.440000000000001</v>
      </c>
      <c r="E62" s="151" t="s">
        <v>12</v>
      </c>
      <c r="F62" s="134">
        <v>22.84</v>
      </c>
      <c r="G62" s="151" t="s">
        <v>12</v>
      </c>
      <c r="H62" s="151" t="s">
        <v>12</v>
      </c>
      <c r="I62" s="134">
        <v>19.170000000000002</v>
      </c>
      <c r="J62" s="134">
        <v>0.09</v>
      </c>
      <c r="K62" s="134">
        <v>62.12</v>
      </c>
      <c r="L62" s="134">
        <v>31.96</v>
      </c>
      <c r="M62" s="134">
        <v>68.569999999999993</v>
      </c>
      <c r="N62" s="134">
        <v>466</v>
      </c>
      <c r="O62" s="134">
        <v>0</v>
      </c>
      <c r="P62" s="134">
        <v>0.56000000000000005</v>
      </c>
      <c r="Q62" s="134">
        <v>3.77</v>
      </c>
    </row>
    <row r="63" spans="1:17" customFormat="1">
      <c r="A63" s="112" t="s">
        <v>2786</v>
      </c>
      <c r="B63" s="134">
        <v>5.12</v>
      </c>
      <c r="C63" s="134">
        <v>25.11</v>
      </c>
      <c r="D63" s="134">
        <v>18.579999999999998</v>
      </c>
      <c r="E63" s="151" t="s">
        <v>12</v>
      </c>
      <c r="F63" s="134">
        <v>23.15</v>
      </c>
      <c r="G63" s="151" t="s">
        <v>12</v>
      </c>
      <c r="H63" s="151" t="s">
        <v>12</v>
      </c>
      <c r="I63" s="134">
        <v>27.44</v>
      </c>
      <c r="J63" s="134">
        <v>0.24</v>
      </c>
      <c r="K63" s="134">
        <v>39.950000000000003</v>
      </c>
      <c r="L63" s="134">
        <v>32.15</v>
      </c>
      <c r="M63" s="134">
        <v>68.319999999999993</v>
      </c>
      <c r="N63" s="134">
        <v>234</v>
      </c>
      <c r="O63" s="134">
        <v>0</v>
      </c>
      <c r="P63" s="134">
        <v>0.56000000000000005</v>
      </c>
      <c r="Q63" s="134">
        <v>3.63</v>
      </c>
    </row>
    <row r="64" spans="1:17" customFormat="1">
      <c r="A64" s="112" t="s">
        <v>2787</v>
      </c>
      <c r="B64" s="134">
        <v>6.47</v>
      </c>
      <c r="C64" s="134">
        <v>25</v>
      </c>
      <c r="D64" s="134">
        <v>19.600000000000001</v>
      </c>
      <c r="E64" s="151" t="s">
        <v>12</v>
      </c>
      <c r="F64" s="134">
        <v>23.86</v>
      </c>
      <c r="G64" s="134">
        <v>47.2</v>
      </c>
      <c r="H64" s="134">
        <v>13.08</v>
      </c>
      <c r="I64" s="134">
        <v>37.22</v>
      </c>
      <c r="J64" s="134">
        <v>0.28999999999999998</v>
      </c>
      <c r="K64" s="134">
        <v>35.94</v>
      </c>
      <c r="L64" s="134">
        <v>31.29</v>
      </c>
      <c r="M64" s="134">
        <v>72.459999999999994</v>
      </c>
      <c r="N64" s="134">
        <v>120.4</v>
      </c>
      <c r="O64" s="134">
        <v>0</v>
      </c>
      <c r="P64" s="134">
        <v>0.56000000000000005</v>
      </c>
      <c r="Q64" s="134">
        <v>3.56</v>
      </c>
    </row>
    <row r="65" spans="1:17" customFormat="1">
      <c r="A65" s="112" t="s">
        <v>2788</v>
      </c>
      <c r="B65" s="134">
        <v>5.81</v>
      </c>
      <c r="C65" s="134">
        <v>25.15</v>
      </c>
      <c r="D65" s="134">
        <v>19.149999999999999</v>
      </c>
      <c r="E65" s="151" t="s">
        <v>12</v>
      </c>
      <c r="F65" s="134">
        <v>27.45</v>
      </c>
      <c r="G65" s="134">
        <v>47.2</v>
      </c>
      <c r="H65" s="134">
        <v>13.08</v>
      </c>
      <c r="I65" s="134">
        <v>45.07</v>
      </c>
      <c r="J65" s="134">
        <v>0.19</v>
      </c>
      <c r="K65" s="134">
        <v>7.39</v>
      </c>
      <c r="L65" s="134">
        <v>31.03</v>
      </c>
      <c r="M65" s="134">
        <v>72.010000000000005</v>
      </c>
      <c r="N65" s="134">
        <v>144.69999999999999</v>
      </c>
      <c r="O65" s="134">
        <v>0</v>
      </c>
      <c r="P65" s="134">
        <v>0.52</v>
      </c>
      <c r="Q65" s="134">
        <v>3.52</v>
      </c>
    </row>
    <row r="66" spans="1:17" customFormat="1">
      <c r="A66" s="112" t="s">
        <v>2789</v>
      </c>
      <c r="B66" s="134">
        <v>5.63</v>
      </c>
      <c r="C66" s="134">
        <v>25.34</v>
      </c>
      <c r="D66" s="134">
        <v>19.100000000000001</v>
      </c>
      <c r="E66" s="134">
        <v>17.46</v>
      </c>
      <c r="F66" s="134">
        <v>23.68</v>
      </c>
      <c r="G66" s="134">
        <v>47.2</v>
      </c>
      <c r="H66" s="134">
        <v>13.08</v>
      </c>
      <c r="I66" s="134">
        <v>53.58</v>
      </c>
      <c r="J66" s="134">
        <v>0.19</v>
      </c>
      <c r="K66" s="134">
        <v>65.569999999999993</v>
      </c>
      <c r="L66" s="134">
        <v>31.17</v>
      </c>
      <c r="M66" s="134">
        <v>72.55</v>
      </c>
      <c r="N66" s="134">
        <v>209.5</v>
      </c>
      <c r="O66" s="134">
        <v>0</v>
      </c>
      <c r="P66" s="134">
        <v>0.56000000000000005</v>
      </c>
      <c r="Q66" s="134">
        <v>3.52</v>
      </c>
    </row>
    <row r="67" spans="1:17" customFormat="1">
      <c r="A67" s="112" t="s">
        <v>2790</v>
      </c>
      <c r="B67" s="134">
        <v>4.67</v>
      </c>
      <c r="C67" s="134">
        <v>27.68</v>
      </c>
      <c r="D67" s="134">
        <v>19.559999999999999</v>
      </c>
      <c r="E67" s="134">
        <v>11.97</v>
      </c>
      <c r="F67" s="134">
        <v>7.91</v>
      </c>
      <c r="G67" s="134">
        <v>47.36</v>
      </c>
      <c r="H67" s="134">
        <v>14.18</v>
      </c>
      <c r="I67" s="134">
        <v>59.17</v>
      </c>
      <c r="J67" s="134">
        <v>0.2</v>
      </c>
      <c r="K67" s="134">
        <v>21.9</v>
      </c>
      <c r="L67" s="134">
        <v>31.45</v>
      </c>
      <c r="M67" s="134">
        <v>70.760000000000005</v>
      </c>
      <c r="N67" s="134">
        <v>154.6</v>
      </c>
      <c r="O67" s="134">
        <v>0</v>
      </c>
      <c r="P67" s="134">
        <v>0.55000000000000004</v>
      </c>
      <c r="Q67" s="134">
        <v>3.51</v>
      </c>
    </row>
    <row r="68" spans="1:17" customFormat="1">
      <c r="A68" s="112" t="s">
        <v>2791</v>
      </c>
      <c r="B68" s="134">
        <v>4.8899999999999997</v>
      </c>
      <c r="C68" s="134">
        <v>30.25</v>
      </c>
      <c r="D68" s="134">
        <v>21.08</v>
      </c>
      <c r="E68" s="134">
        <v>10.68</v>
      </c>
      <c r="F68" s="134">
        <v>6.69</v>
      </c>
      <c r="G68" s="134">
        <v>47.88</v>
      </c>
      <c r="H68" s="134">
        <v>16.78</v>
      </c>
      <c r="I68" s="134">
        <v>80.34</v>
      </c>
      <c r="J68" s="134">
        <v>0.28000000000000003</v>
      </c>
      <c r="K68" s="134">
        <v>60.66</v>
      </c>
      <c r="L68" s="134">
        <v>30.75</v>
      </c>
      <c r="M68" s="134">
        <v>71.84</v>
      </c>
      <c r="N68" s="134">
        <v>50.5</v>
      </c>
      <c r="O68" s="134">
        <v>0</v>
      </c>
      <c r="P68" s="134">
        <v>0.59</v>
      </c>
      <c r="Q68" s="134">
        <v>3.56</v>
      </c>
    </row>
    <row r="69" spans="1:17" customFormat="1">
      <c r="A69" s="112" t="s">
        <v>2792</v>
      </c>
      <c r="B69" s="134">
        <v>6.91</v>
      </c>
      <c r="C69" s="134">
        <v>31.21</v>
      </c>
      <c r="D69" s="134">
        <v>23.2</v>
      </c>
      <c r="E69" s="134">
        <v>12.89</v>
      </c>
      <c r="F69" s="134">
        <v>6.96</v>
      </c>
      <c r="G69" s="134">
        <v>47.88</v>
      </c>
      <c r="H69" s="134">
        <v>16.78</v>
      </c>
      <c r="I69" s="134">
        <v>138.31</v>
      </c>
      <c r="J69" s="134">
        <v>0.26</v>
      </c>
      <c r="K69" s="134">
        <v>48.26</v>
      </c>
      <c r="L69" s="134">
        <v>30.47</v>
      </c>
      <c r="M69" s="134">
        <v>73</v>
      </c>
      <c r="N69" s="134">
        <v>47.9</v>
      </c>
      <c r="O69" s="134">
        <v>0</v>
      </c>
      <c r="P69" s="134">
        <v>0.59</v>
      </c>
      <c r="Q69" s="134">
        <v>3.65</v>
      </c>
    </row>
    <row r="70" spans="1:17" customFormat="1">
      <c r="A70" s="112" t="s">
        <v>2793</v>
      </c>
      <c r="B70" s="134">
        <v>7.32</v>
      </c>
      <c r="C70" s="134">
        <v>32.18</v>
      </c>
      <c r="D70" s="134">
        <v>24.03</v>
      </c>
      <c r="E70" s="134">
        <v>11.41</v>
      </c>
      <c r="F70" s="134">
        <v>7.62</v>
      </c>
      <c r="G70" s="134">
        <v>47.88</v>
      </c>
      <c r="H70" s="134">
        <v>16.78</v>
      </c>
      <c r="I70" s="134">
        <v>124.73</v>
      </c>
      <c r="J70" s="134">
        <v>0.34</v>
      </c>
      <c r="K70" s="134">
        <v>44.47</v>
      </c>
      <c r="L70" s="134">
        <v>30.1</v>
      </c>
      <c r="M70" s="134">
        <v>76.59</v>
      </c>
      <c r="N70" s="134">
        <v>37.6</v>
      </c>
      <c r="O70" s="134">
        <v>0</v>
      </c>
      <c r="P70" s="134">
        <v>0.63</v>
      </c>
      <c r="Q70" s="134">
        <v>3.69</v>
      </c>
    </row>
    <row r="71" spans="1:17" customFormat="1">
      <c r="A71" s="112" t="s">
        <v>2794</v>
      </c>
      <c r="B71" s="134">
        <v>8.07</v>
      </c>
      <c r="C71" s="134">
        <v>31.38</v>
      </c>
      <c r="D71" s="134">
        <v>24.22</v>
      </c>
      <c r="E71" s="134">
        <v>11.51</v>
      </c>
      <c r="F71" s="134">
        <v>7.63</v>
      </c>
      <c r="G71" s="134">
        <v>51.42</v>
      </c>
      <c r="H71" s="134">
        <v>18.29</v>
      </c>
      <c r="I71" s="134">
        <v>120.69</v>
      </c>
      <c r="J71" s="134">
        <v>0.27</v>
      </c>
      <c r="K71" s="134">
        <v>27.94</v>
      </c>
      <c r="L71" s="134">
        <v>29.92</v>
      </c>
      <c r="M71" s="134">
        <v>79.98</v>
      </c>
      <c r="N71" s="134">
        <v>30.5</v>
      </c>
      <c r="O71" s="134">
        <v>0</v>
      </c>
      <c r="P71" s="134">
        <v>0.62</v>
      </c>
      <c r="Q71" s="134">
        <v>3.72</v>
      </c>
    </row>
    <row r="72" spans="1:17" customFormat="1">
      <c r="A72" s="112" t="s">
        <v>2795</v>
      </c>
      <c r="B72" s="134">
        <v>8.23</v>
      </c>
      <c r="C72" s="134">
        <v>32.4</v>
      </c>
      <c r="D72" s="134">
        <v>24.87</v>
      </c>
      <c r="E72" s="134">
        <v>10.63</v>
      </c>
      <c r="F72" s="134">
        <v>8.17</v>
      </c>
      <c r="G72" s="134">
        <v>63.07</v>
      </c>
      <c r="H72" s="134">
        <v>21.83</v>
      </c>
      <c r="I72" s="134">
        <v>108.66</v>
      </c>
      <c r="J72" s="134">
        <v>0.23</v>
      </c>
      <c r="K72" s="134">
        <v>29.89</v>
      </c>
      <c r="L72" s="134">
        <v>29.78</v>
      </c>
      <c r="M72" s="134">
        <v>80.31</v>
      </c>
      <c r="N72" s="134">
        <v>28.7</v>
      </c>
      <c r="O72" s="134">
        <v>0</v>
      </c>
      <c r="P72" s="134">
        <v>0.66</v>
      </c>
      <c r="Q72" s="134">
        <v>3.79</v>
      </c>
    </row>
    <row r="73" spans="1:17" customFormat="1">
      <c r="A73" s="112" t="s">
        <v>2796</v>
      </c>
      <c r="B73" s="134">
        <v>8.51</v>
      </c>
      <c r="C73" s="134">
        <v>31.04</v>
      </c>
      <c r="D73" s="134">
        <v>24.4</v>
      </c>
      <c r="E73" s="134">
        <v>10.73</v>
      </c>
      <c r="F73" s="134">
        <v>7.64</v>
      </c>
      <c r="G73" s="134">
        <v>63.07</v>
      </c>
      <c r="H73" s="134">
        <v>21.83</v>
      </c>
      <c r="I73" s="134">
        <v>110.01</v>
      </c>
      <c r="J73" s="134">
        <v>0.1</v>
      </c>
      <c r="K73" s="134">
        <v>55.52</v>
      </c>
      <c r="L73" s="134">
        <v>29.77</v>
      </c>
      <c r="M73" s="134">
        <v>81.8</v>
      </c>
      <c r="N73" s="134">
        <v>36.4</v>
      </c>
      <c r="O73" s="134">
        <v>0</v>
      </c>
      <c r="P73" s="134">
        <v>0.64</v>
      </c>
      <c r="Q73" s="134">
        <v>3.83</v>
      </c>
    </row>
    <row r="74" spans="1:17" customFormat="1">
      <c r="A74" s="112" t="s">
        <v>2797</v>
      </c>
      <c r="B74" s="134">
        <v>8.75</v>
      </c>
      <c r="C74" s="134">
        <v>32.11</v>
      </c>
      <c r="D74" s="134">
        <v>25.14</v>
      </c>
      <c r="E74" s="134">
        <v>10.63</v>
      </c>
      <c r="F74" s="134">
        <v>6.89</v>
      </c>
      <c r="G74" s="134">
        <v>63.07</v>
      </c>
      <c r="H74" s="134">
        <v>21.83</v>
      </c>
      <c r="I74" s="134">
        <v>100.44</v>
      </c>
      <c r="J74" s="134">
        <v>0.1</v>
      </c>
      <c r="K74" s="134">
        <v>80.7</v>
      </c>
      <c r="L74" s="134">
        <v>29.76</v>
      </c>
      <c r="M74" s="134">
        <v>79.400000000000006</v>
      </c>
      <c r="N74" s="134">
        <v>40</v>
      </c>
      <c r="O74" s="134">
        <v>0</v>
      </c>
      <c r="P74" s="134">
        <v>0.68</v>
      </c>
      <c r="Q74" s="134">
        <v>3.8</v>
      </c>
    </row>
    <row r="75" spans="1:17" customFormat="1">
      <c r="A75" s="112" t="s">
        <v>2798</v>
      </c>
      <c r="B75" s="134">
        <v>8.64</v>
      </c>
      <c r="C75" s="134">
        <v>29.68</v>
      </c>
      <c r="D75" s="134">
        <v>23.79</v>
      </c>
      <c r="E75" s="134">
        <v>12.39</v>
      </c>
      <c r="F75" s="134">
        <v>14.37</v>
      </c>
      <c r="G75" s="134">
        <v>64.19</v>
      </c>
      <c r="H75" s="134">
        <v>24.12</v>
      </c>
      <c r="I75" s="134">
        <v>100.7</v>
      </c>
      <c r="J75" s="134">
        <v>0.23</v>
      </c>
      <c r="K75" s="134">
        <v>161.9</v>
      </c>
      <c r="L75" s="134">
        <v>29.69</v>
      </c>
      <c r="M75" s="134">
        <v>83.32</v>
      </c>
      <c r="N75" s="134">
        <v>47.7</v>
      </c>
      <c r="O75" s="134">
        <v>0</v>
      </c>
      <c r="P75" s="134">
        <v>0.66</v>
      </c>
      <c r="Q75" s="134">
        <v>3.81</v>
      </c>
    </row>
    <row r="76" spans="1:17" customFormat="1">
      <c r="A76" s="112" t="s">
        <v>2799</v>
      </c>
      <c r="B76" s="134">
        <v>8.4499999999999993</v>
      </c>
      <c r="C76" s="134">
        <v>26.48</v>
      </c>
      <c r="D76" s="134">
        <v>21.96</v>
      </c>
      <c r="E76" s="134">
        <v>13.81</v>
      </c>
      <c r="F76" s="134">
        <v>15.12</v>
      </c>
      <c r="G76" s="134">
        <v>68.12</v>
      </c>
      <c r="H76" s="134">
        <v>29.5</v>
      </c>
      <c r="I76" s="134">
        <v>93.66</v>
      </c>
      <c r="J76" s="134">
        <v>0.22</v>
      </c>
      <c r="K76" s="134">
        <v>163.85</v>
      </c>
      <c r="L76" s="134">
        <v>29.75</v>
      </c>
      <c r="M76" s="134">
        <v>83.68</v>
      </c>
      <c r="N76" s="134">
        <v>51.3</v>
      </c>
      <c r="O76" s="134">
        <v>0</v>
      </c>
      <c r="P76" s="134">
        <v>0.66</v>
      </c>
      <c r="Q76" s="134">
        <v>3.82</v>
      </c>
    </row>
    <row r="77" spans="1:17" customFormat="1">
      <c r="A77" s="112" t="s">
        <v>2800</v>
      </c>
      <c r="B77" s="134">
        <v>8.42</v>
      </c>
      <c r="C77" s="134">
        <v>24.51</v>
      </c>
      <c r="D77" s="134">
        <v>20.91</v>
      </c>
      <c r="E77" s="134">
        <v>14.59</v>
      </c>
      <c r="F77" s="134">
        <v>17.239999999999998</v>
      </c>
      <c r="G77" s="134">
        <v>68.12</v>
      </c>
      <c r="H77" s="134">
        <v>29.5</v>
      </c>
      <c r="I77" s="134">
        <v>82.81</v>
      </c>
      <c r="J77" s="134">
        <v>0.15</v>
      </c>
      <c r="K77" s="134">
        <v>154.63999999999999</v>
      </c>
      <c r="L77" s="134">
        <v>29.57</v>
      </c>
      <c r="M77" s="134">
        <v>86.6</v>
      </c>
      <c r="N77" s="134">
        <v>37.9</v>
      </c>
      <c r="O77" s="134">
        <v>0</v>
      </c>
      <c r="P77" s="134">
        <v>0.66</v>
      </c>
      <c r="Q77" s="134">
        <v>3.81</v>
      </c>
    </row>
    <row r="78" spans="1:17" customFormat="1">
      <c r="A78" s="112" t="s">
        <v>2801</v>
      </c>
      <c r="B78" s="134">
        <v>8.5</v>
      </c>
      <c r="C78" s="134">
        <v>23.45</v>
      </c>
      <c r="D78" s="134">
        <v>20.420000000000002</v>
      </c>
      <c r="E78" s="134">
        <v>13.24</v>
      </c>
      <c r="F78" s="134">
        <v>15.62</v>
      </c>
      <c r="G78" s="134">
        <v>68.12</v>
      </c>
      <c r="H78" s="134">
        <v>29.5</v>
      </c>
      <c r="I78" s="134">
        <v>79.72</v>
      </c>
      <c r="J78" s="134">
        <v>0.16</v>
      </c>
      <c r="K78" s="134">
        <v>165.93</v>
      </c>
      <c r="L78" s="134">
        <v>29.32</v>
      </c>
      <c r="M78" s="134">
        <v>87.44</v>
      </c>
      <c r="N78" s="134">
        <v>14.9</v>
      </c>
      <c r="O78" s="134">
        <v>0</v>
      </c>
      <c r="P78" s="134">
        <v>0.66</v>
      </c>
      <c r="Q78" s="134">
        <v>3.76</v>
      </c>
    </row>
    <row r="79" spans="1:17" customFormat="1">
      <c r="A79" s="112" t="s">
        <v>2802</v>
      </c>
      <c r="B79" s="134">
        <v>8.4</v>
      </c>
      <c r="C79" s="134">
        <v>22.48</v>
      </c>
      <c r="D79" s="134">
        <v>19.829999999999998</v>
      </c>
      <c r="E79" s="134">
        <v>13.39</v>
      </c>
      <c r="F79" s="134">
        <v>17.8</v>
      </c>
      <c r="G79" s="134">
        <v>67.78</v>
      </c>
      <c r="H79" s="134">
        <v>29.47</v>
      </c>
      <c r="I79" s="134">
        <v>73.83</v>
      </c>
      <c r="J79" s="134">
        <v>0.13</v>
      </c>
      <c r="K79" s="134">
        <v>180.5</v>
      </c>
      <c r="L79" s="134">
        <v>28.76</v>
      </c>
      <c r="M79" s="134">
        <v>89.98</v>
      </c>
      <c r="N79" s="134">
        <v>2.2000000000000002</v>
      </c>
      <c r="O79" s="134">
        <v>0</v>
      </c>
      <c r="P79" s="134">
        <v>0.66</v>
      </c>
      <c r="Q79" s="134">
        <v>3.71</v>
      </c>
    </row>
    <row r="80" spans="1:17" customFormat="1">
      <c r="A80" s="112" t="s">
        <v>2803</v>
      </c>
      <c r="B80" s="134">
        <v>8.44</v>
      </c>
      <c r="C80" s="134">
        <v>21.5</v>
      </c>
      <c r="D80" s="134">
        <v>19.36</v>
      </c>
      <c r="E80" s="134">
        <v>13.51</v>
      </c>
      <c r="F80" s="134">
        <v>17.63</v>
      </c>
      <c r="G80" s="134">
        <v>66.650000000000006</v>
      </c>
      <c r="H80" s="134">
        <v>29.41</v>
      </c>
      <c r="I80" s="134">
        <v>72.33</v>
      </c>
      <c r="J80" s="134">
        <v>0.16</v>
      </c>
      <c r="K80" s="134">
        <v>166.69</v>
      </c>
      <c r="L80" s="134">
        <v>28.44</v>
      </c>
      <c r="M80" s="134">
        <v>90.04</v>
      </c>
      <c r="N80" s="134">
        <v>0</v>
      </c>
      <c r="O80" s="134">
        <v>0</v>
      </c>
      <c r="P80" s="134">
        <v>0.68</v>
      </c>
      <c r="Q80" s="134">
        <v>3.71</v>
      </c>
    </row>
    <row r="81" spans="1:17" customFormat="1">
      <c r="A81" s="112" t="s">
        <v>2804</v>
      </c>
      <c r="B81" s="134">
        <v>8.44</v>
      </c>
      <c r="C81" s="134">
        <v>21.71</v>
      </c>
      <c r="D81" s="134">
        <v>19.46</v>
      </c>
      <c r="E81" s="134">
        <v>8.23</v>
      </c>
      <c r="F81" s="134">
        <v>16.25</v>
      </c>
      <c r="G81" s="134">
        <v>66.650000000000006</v>
      </c>
      <c r="H81" s="134">
        <v>29.41</v>
      </c>
      <c r="I81" s="134">
        <v>65.349999999999994</v>
      </c>
      <c r="J81" s="134">
        <v>0.21</v>
      </c>
      <c r="K81" s="134">
        <v>161.69</v>
      </c>
      <c r="L81" s="134">
        <v>28.3</v>
      </c>
      <c r="M81" s="134">
        <v>92.19</v>
      </c>
      <c r="N81" s="134">
        <v>0</v>
      </c>
      <c r="O81" s="134">
        <v>0</v>
      </c>
      <c r="P81" s="134">
        <v>0.68</v>
      </c>
      <c r="Q81" s="134">
        <v>3.73</v>
      </c>
    </row>
    <row r="82" spans="1:17" customFormat="1">
      <c r="A82" s="112" t="s">
        <v>2805</v>
      </c>
      <c r="B82" s="134">
        <v>8.49</v>
      </c>
      <c r="C82" s="134">
        <v>20.84</v>
      </c>
      <c r="D82" s="134">
        <v>19.05</v>
      </c>
      <c r="E82" s="134">
        <v>7.92</v>
      </c>
      <c r="F82" s="134">
        <v>14.16</v>
      </c>
      <c r="G82" s="134">
        <v>66.650000000000006</v>
      </c>
      <c r="H82" s="134">
        <v>29.41</v>
      </c>
      <c r="I82" s="134">
        <v>65.209999999999994</v>
      </c>
      <c r="J82" s="134">
        <v>0.1</v>
      </c>
      <c r="K82" s="134">
        <v>189.2</v>
      </c>
      <c r="L82" s="134">
        <v>28.11</v>
      </c>
      <c r="M82" s="134">
        <v>94.17</v>
      </c>
      <c r="N82" s="134">
        <v>0</v>
      </c>
      <c r="O82" s="134">
        <v>0</v>
      </c>
      <c r="P82" s="134">
        <v>0.68</v>
      </c>
      <c r="Q82" s="134">
        <v>3.71</v>
      </c>
    </row>
    <row r="83" spans="1:17" customFormat="1">
      <c r="A83" s="112" t="s">
        <v>2806</v>
      </c>
      <c r="B83" s="134">
        <v>9.42</v>
      </c>
      <c r="C83" s="134">
        <v>21.77</v>
      </c>
      <c r="D83" s="134">
        <v>20.28</v>
      </c>
      <c r="E83" s="134">
        <v>9.23</v>
      </c>
      <c r="F83" s="134">
        <v>14.95</v>
      </c>
      <c r="G83" s="134">
        <v>65.650000000000006</v>
      </c>
      <c r="H83" s="134">
        <v>29.51</v>
      </c>
      <c r="I83" s="134">
        <v>62.73</v>
      </c>
      <c r="J83" s="134">
        <v>0.1</v>
      </c>
      <c r="K83" s="134">
        <v>161.59</v>
      </c>
      <c r="L83" s="134">
        <v>27.95</v>
      </c>
      <c r="M83" s="134">
        <v>94.03</v>
      </c>
      <c r="N83" s="134">
        <v>0</v>
      </c>
      <c r="O83" s="134">
        <v>0</v>
      </c>
      <c r="P83" s="134">
        <v>0.74</v>
      </c>
      <c r="Q83" s="134">
        <v>3.68</v>
      </c>
    </row>
    <row r="84" spans="1:17" customFormat="1">
      <c r="A84" s="112" t="s">
        <v>2807</v>
      </c>
      <c r="B84" s="134">
        <v>12.31</v>
      </c>
      <c r="C84" s="134">
        <v>30.84</v>
      </c>
      <c r="D84" s="134">
        <v>27.33</v>
      </c>
      <c r="E84" s="134">
        <v>8.89</v>
      </c>
      <c r="F84" s="134">
        <v>6.96</v>
      </c>
      <c r="G84" s="134">
        <v>62.37</v>
      </c>
      <c r="H84" s="134">
        <v>29.96</v>
      </c>
      <c r="I84" s="134">
        <v>59.35</v>
      </c>
      <c r="J84" s="134">
        <v>0.06</v>
      </c>
      <c r="K84" s="134">
        <v>212.5</v>
      </c>
      <c r="L84" s="134">
        <v>27.98</v>
      </c>
      <c r="M84" s="134">
        <v>92.73</v>
      </c>
      <c r="N84" s="134">
        <v>0</v>
      </c>
      <c r="O84" s="134">
        <v>0</v>
      </c>
      <c r="P84" s="134">
        <v>0.9</v>
      </c>
      <c r="Q84" s="134">
        <v>3.7</v>
      </c>
    </row>
    <row r="85" spans="1:17" customFormat="1">
      <c r="A85" s="112" t="s">
        <v>2808</v>
      </c>
      <c r="B85" s="134">
        <v>10.210000000000001</v>
      </c>
      <c r="C85" s="134">
        <v>28.87</v>
      </c>
      <c r="D85" s="134">
        <v>24.63</v>
      </c>
      <c r="E85" s="134">
        <v>7.95</v>
      </c>
      <c r="F85" s="134">
        <v>7.33</v>
      </c>
      <c r="G85" s="134">
        <v>62.37</v>
      </c>
      <c r="H85" s="134">
        <v>29.96</v>
      </c>
      <c r="I85" s="134">
        <v>54.44</v>
      </c>
      <c r="J85" s="134">
        <v>0.25</v>
      </c>
      <c r="K85" s="134">
        <v>167.01</v>
      </c>
      <c r="L85" s="134">
        <v>27.94</v>
      </c>
      <c r="M85" s="134">
        <v>93.88</v>
      </c>
      <c r="N85" s="134">
        <v>0</v>
      </c>
      <c r="O85" s="134">
        <v>0</v>
      </c>
      <c r="P85" s="134">
        <v>0.75</v>
      </c>
      <c r="Q85" s="134">
        <v>3.71</v>
      </c>
    </row>
    <row r="86" spans="1:17" customFormat="1">
      <c r="A86" s="112" t="s">
        <v>2809</v>
      </c>
      <c r="B86" s="134">
        <v>10.28</v>
      </c>
      <c r="C86" s="134">
        <v>26.73</v>
      </c>
      <c r="D86" s="134">
        <v>23.56</v>
      </c>
      <c r="E86" s="134">
        <v>6.54</v>
      </c>
      <c r="F86" s="134">
        <v>5.56</v>
      </c>
      <c r="G86" s="134">
        <v>62.37</v>
      </c>
      <c r="H86" s="134">
        <v>29.96</v>
      </c>
      <c r="I86" s="134">
        <v>52.55</v>
      </c>
      <c r="J86" s="134">
        <v>0.19</v>
      </c>
      <c r="K86" s="134">
        <v>186.33</v>
      </c>
      <c r="L86" s="134">
        <v>27.69</v>
      </c>
      <c r="M86" s="134">
        <v>97.28</v>
      </c>
      <c r="N86" s="134">
        <v>0</v>
      </c>
      <c r="O86" s="134">
        <v>0</v>
      </c>
      <c r="P86" s="134">
        <v>0.78</v>
      </c>
      <c r="Q86" s="134">
        <v>3.74</v>
      </c>
    </row>
    <row r="87" spans="1:17" customFormat="1">
      <c r="A87" s="112" t="s">
        <v>2810</v>
      </c>
      <c r="B87" s="134">
        <v>12.41</v>
      </c>
      <c r="C87" s="134">
        <v>27.11</v>
      </c>
      <c r="D87" s="134">
        <v>25.46</v>
      </c>
      <c r="E87" s="134">
        <v>7.21</v>
      </c>
      <c r="F87" s="134">
        <v>5.84</v>
      </c>
      <c r="G87" s="134">
        <v>64.33</v>
      </c>
      <c r="H87" s="134">
        <v>30.28</v>
      </c>
      <c r="I87" s="134">
        <v>62.19</v>
      </c>
      <c r="J87" s="134">
        <v>0.15</v>
      </c>
      <c r="K87" s="134">
        <v>205.7</v>
      </c>
      <c r="L87" s="134">
        <v>27.56</v>
      </c>
      <c r="M87" s="134">
        <v>97.25</v>
      </c>
      <c r="N87" s="134">
        <v>0</v>
      </c>
      <c r="O87" s="134">
        <v>0</v>
      </c>
      <c r="P87" s="134">
        <v>0.92</v>
      </c>
      <c r="Q87" s="134">
        <v>3.79</v>
      </c>
    </row>
    <row r="88" spans="1:17" customFormat="1">
      <c r="A88" s="112" t="s">
        <v>2811</v>
      </c>
      <c r="B88" s="134">
        <v>12.79</v>
      </c>
      <c r="C88" s="134">
        <v>27.06</v>
      </c>
      <c r="D88" s="134">
        <v>25.75</v>
      </c>
      <c r="E88" s="134">
        <v>6.43</v>
      </c>
      <c r="F88" s="134">
        <v>4.67</v>
      </c>
      <c r="G88" s="134">
        <v>70.75</v>
      </c>
      <c r="H88" s="134">
        <v>31.04</v>
      </c>
      <c r="I88" s="134">
        <v>57.57</v>
      </c>
      <c r="J88" s="134">
        <v>0.31</v>
      </c>
      <c r="K88" s="134">
        <v>166.8</v>
      </c>
      <c r="L88" s="134">
        <v>27.5</v>
      </c>
      <c r="M88" s="134">
        <v>98.01</v>
      </c>
      <c r="N88" s="134">
        <v>0</v>
      </c>
      <c r="O88" s="134">
        <v>0</v>
      </c>
      <c r="P88" s="134">
        <v>0.83</v>
      </c>
      <c r="Q88" s="134">
        <v>3.83</v>
      </c>
    </row>
    <row r="89" spans="1:17" customFormat="1">
      <c r="A89" s="112" t="s">
        <v>2812</v>
      </c>
      <c r="B89" s="134">
        <v>10.68</v>
      </c>
      <c r="C89" s="134">
        <v>21.12</v>
      </c>
      <c r="D89" s="134">
        <v>20.95</v>
      </c>
      <c r="E89" s="134">
        <v>6.3</v>
      </c>
      <c r="F89" s="134">
        <v>9.16</v>
      </c>
      <c r="G89" s="134">
        <v>70.75</v>
      </c>
      <c r="H89" s="134">
        <v>31.04</v>
      </c>
      <c r="I89" s="134">
        <v>51.53</v>
      </c>
      <c r="J89" s="134">
        <v>0.11</v>
      </c>
      <c r="K89" s="134">
        <v>179.82</v>
      </c>
      <c r="L89" s="134">
        <v>27.49</v>
      </c>
      <c r="M89" s="134">
        <v>98.56</v>
      </c>
      <c r="N89" s="134">
        <v>0</v>
      </c>
      <c r="O89" s="134">
        <v>0</v>
      </c>
      <c r="P89" s="134">
        <v>0.75</v>
      </c>
      <c r="Q89" s="134">
        <v>3.86</v>
      </c>
    </row>
    <row r="90" spans="1:17" customFormat="1">
      <c r="A90" s="112" t="s">
        <v>2813</v>
      </c>
      <c r="B90" s="134">
        <v>10.62</v>
      </c>
      <c r="C90" s="134">
        <v>20.11</v>
      </c>
      <c r="D90" s="134">
        <v>20.37</v>
      </c>
      <c r="E90" s="134">
        <v>6.29</v>
      </c>
      <c r="F90" s="134">
        <v>7.81</v>
      </c>
      <c r="G90" s="134">
        <v>70.75</v>
      </c>
      <c r="H90" s="134">
        <v>31.04</v>
      </c>
      <c r="I90" s="134">
        <v>52.07</v>
      </c>
      <c r="J90" s="134">
        <v>0.11</v>
      </c>
      <c r="K90" s="134">
        <v>214.41</v>
      </c>
      <c r="L90" s="134">
        <v>27.4</v>
      </c>
      <c r="M90" s="134">
        <v>97.49</v>
      </c>
      <c r="N90" s="134">
        <v>0</v>
      </c>
      <c r="O90" s="134">
        <v>0</v>
      </c>
      <c r="P90" s="134">
        <v>0.75</v>
      </c>
      <c r="Q90" s="134">
        <v>3.87</v>
      </c>
    </row>
    <row r="91" spans="1:17" customFormat="1">
      <c r="A91" s="112" t="s">
        <v>2814</v>
      </c>
      <c r="B91" s="134">
        <v>11.36</v>
      </c>
      <c r="C91" s="134">
        <v>24.2</v>
      </c>
      <c r="D91" s="134">
        <v>23.1</v>
      </c>
      <c r="E91" s="134">
        <v>5.63</v>
      </c>
      <c r="F91" s="134">
        <v>4.5599999999999996</v>
      </c>
      <c r="G91" s="134">
        <v>69.7</v>
      </c>
      <c r="H91" s="134">
        <v>31.21</v>
      </c>
      <c r="I91" s="134">
        <v>47.82</v>
      </c>
      <c r="J91" s="134">
        <v>0.12</v>
      </c>
      <c r="K91" s="134">
        <v>153.32</v>
      </c>
      <c r="L91" s="134">
        <v>27.45</v>
      </c>
      <c r="M91" s="134">
        <v>97.78</v>
      </c>
      <c r="N91" s="134">
        <v>0</v>
      </c>
      <c r="O91" s="134">
        <v>0</v>
      </c>
      <c r="P91" s="134">
        <v>0.88</v>
      </c>
      <c r="Q91" s="134">
        <v>3.85</v>
      </c>
    </row>
    <row r="92" spans="1:17" customFormat="1">
      <c r="A92" s="112" t="s">
        <v>2815</v>
      </c>
      <c r="B92" s="134">
        <v>11.15</v>
      </c>
      <c r="C92" s="134">
        <v>23.35</v>
      </c>
      <c r="D92" s="134">
        <v>22.49</v>
      </c>
      <c r="E92" s="134">
        <v>6.01</v>
      </c>
      <c r="F92" s="134">
        <v>4.33</v>
      </c>
      <c r="G92" s="134">
        <v>66.260000000000005</v>
      </c>
      <c r="H92" s="134">
        <v>31.58</v>
      </c>
      <c r="I92" s="134">
        <v>51.33</v>
      </c>
      <c r="J92" s="134">
        <v>0.15</v>
      </c>
      <c r="K92" s="134">
        <v>175.29</v>
      </c>
      <c r="L92" s="134">
        <v>27.35</v>
      </c>
      <c r="M92" s="134">
        <v>98.28</v>
      </c>
      <c r="N92" s="134">
        <v>0</v>
      </c>
      <c r="O92" s="134">
        <v>0</v>
      </c>
      <c r="P92" s="134">
        <v>0.91</v>
      </c>
      <c r="Q92" s="134">
        <v>3.93</v>
      </c>
    </row>
    <row r="93" spans="1:17" customFormat="1">
      <c r="A93" s="112" t="s">
        <v>2816</v>
      </c>
      <c r="B93" s="134">
        <v>11.26</v>
      </c>
      <c r="C93" s="134">
        <v>22.35</v>
      </c>
      <c r="D93" s="134">
        <v>22.05</v>
      </c>
      <c r="E93" s="134">
        <v>5.81</v>
      </c>
      <c r="F93" s="134">
        <v>5.45</v>
      </c>
      <c r="G93" s="134">
        <v>66.260000000000005</v>
      </c>
      <c r="H93" s="134">
        <v>31.58</v>
      </c>
      <c r="I93" s="134">
        <v>51.31</v>
      </c>
      <c r="J93" s="134">
        <v>7.0000000000000007E-2</v>
      </c>
      <c r="K93" s="134">
        <v>204.45</v>
      </c>
      <c r="L93" s="134">
        <v>27.19</v>
      </c>
      <c r="M93" s="134">
        <v>97.58</v>
      </c>
      <c r="N93" s="134">
        <v>0</v>
      </c>
      <c r="O93" s="134">
        <v>0</v>
      </c>
      <c r="P93" s="134">
        <v>0.88</v>
      </c>
      <c r="Q93" s="134">
        <v>3.94</v>
      </c>
    </row>
    <row r="94" spans="1:17" customFormat="1">
      <c r="A94" s="112" t="s">
        <v>2817</v>
      </c>
      <c r="B94" s="134">
        <v>12.89</v>
      </c>
      <c r="C94" s="134">
        <v>31.32</v>
      </c>
      <c r="D94" s="134">
        <v>28.06</v>
      </c>
      <c r="E94" s="134">
        <v>6.03</v>
      </c>
      <c r="F94" s="134">
        <v>4.13</v>
      </c>
      <c r="G94" s="134">
        <v>66.260000000000005</v>
      </c>
      <c r="H94" s="134">
        <v>31.58</v>
      </c>
      <c r="I94" s="134">
        <v>47.57</v>
      </c>
      <c r="J94" s="134">
        <v>0.16</v>
      </c>
      <c r="K94" s="134">
        <v>159.13</v>
      </c>
      <c r="L94" s="134">
        <v>27.03</v>
      </c>
      <c r="M94" s="134">
        <v>97.64</v>
      </c>
      <c r="N94" s="134">
        <v>0</v>
      </c>
      <c r="O94" s="134">
        <v>0</v>
      </c>
      <c r="P94" s="134">
        <v>0.82</v>
      </c>
      <c r="Q94" s="134">
        <v>3.92</v>
      </c>
    </row>
    <row r="95" spans="1:17" customFormat="1">
      <c r="A95" s="112" t="s">
        <v>2818</v>
      </c>
      <c r="B95" s="134">
        <v>13.53</v>
      </c>
      <c r="C95" s="134">
        <v>36.21</v>
      </c>
      <c r="D95" s="134">
        <v>31.11</v>
      </c>
      <c r="E95" s="134">
        <v>6.11</v>
      </c>
      <c r="F95" s="134">
        <v>3.21</v>
      </c>
      <c r="G95" s="134">
        <v>65.930000000000007</v>
      </c>
      <c r="H95" s="134">
        <v>31.74</v>
      </c>
      <c r="I95" s="134">
        <v>47.05</v>
      </c>
      <c r="J95" s="134">
        <v>0.09</v>
      </c>
      <c r="K95" s="134">
        <v>156.01</v>
      </c>
      <c r="L95" s="134">
        <v>26.97</v>
      </c>
      <c r="M95" s="134">
        <v>96.98</v>
      </c>
      <c r="N95" s="134">
        <v>0</v>
      </c>
      <c r="O95" s="134">
        <v>0</v>
      </c>
      <c r="P95" s="134">
        <v>0.86</v>
      </c>
      <c r="Q95" s="134">
        <v>4.0199999999999996</v>
      </c>
    </row>
    <row r="96" spans="1:17" customFormat="1">
      <c r="A96" s="112" t="s">
        <v>2819</v>
      </c>
      <c r="B96" s="134">
        <v>13.72</v>
      </c>
      <c r="C96" s="134">
        <v>34.68</v>
      </c>
      <c r="D96" s="134">
        <v>30.47</v>
      </c>
      <c r="E96" s="134">
        <v>6.5</v>
      </c>
      <c r="F96" s="134">
        <v>3.13</v>
      </c>
      <c r="G96" s="134">
        <v>64.760000000000005</v>
      </c>
      <c r="H96" s="134">
        <v>32.11</v>
      </c>
      <c r="I96" s="134">
        <v>54.04</v>
      </c>
      <c r="J96" s="134">
        <v>0.08</v>
      </c>
      <c r="K96" s="134">
        <v>155.32</v>
      </c>
      <c r="L96" s="134">
        <v>26.81</v>
      </c>
      <c r="M96" s="134">
        <v>97.72</v>
      </c>
      <c r="N96" s="134">
        <v>0</v>
      </c>
      <c r="O96" s="134">
        <v>0</v>
      </c>
      <c r="P96" s="134">
        <v>0.87</v>
      </c>
      <c r="Q96" s="134">
        <v>4.08</v>
      </c>
    </row>
    <row r="97" spans="1:22" customFormat="1">
      <c r="A97" s="112" t="s">
        <v>2820</v>
      </c>
      <c r="B97" s="134">
        <v>13.93</v>
      </c>
      <c r="C97" s="134">
        <v>33.65</v>
      </c>
      <c r="D97" s="134">
        <v>30.1</v>
      </c>
      <c r="E97" s="134">
        <v>6.29</v>
      </c>
      <c r="F97" s="134">
        <v>2.96</v>
      </c>
      <c r="G97" s="134">
        <v>64.760000000000005</v>
      </c>
      <c r="H97" s="134">
        <v>32.11</v>
      </c>
      <c r="I97" s="134">
        <v>51.67</v>
      </c>
      <c r="J97" s="134">
        <v>0.11</v>
      </c>
      <c r="K97" s="134">
        <v>234.48</v>
      </c>
      <c r="L97" s="134">
        <v>26.71</v>
      </c>
      <c r="M97" s="134">
        <v>98.72</v>
      </c>
      <c r="N97" s="134">
        <v>0</v>
      </c>
      <c r="O97" s="134">
        <v>0</v>
      </c>
      <c r="P97" s="134">
        <v>0.87</v>
      </c>
      <c r="Q97" s="134">
        <v>4.12</v>
      </c>
    </row>
    <row r="98" spans="1:22" customFormat="1">
      <c r="A98" s="112" t="s">
        <v>2821</v>
      </c>
      <c r="B98" s="134">
        <v>14.01</v>
      </c>
      <c r="C98" s="134">
        <v>32.590000000000003</v>
      </c>
      <c r="D98" s="134">
        <v>29.62</v>
      </c>
      <c r="E98" s="134">
        <v>6.19</v>
      </c>
      <c r="F98" s="134">
        <v>2.9</v>
      </c>
      <c r="G98" s="134">
        <v>64.760000000000005</v>
      </c>
      <c r="H98" s="134">
        <v>32.11</v>
      </c>
      <c r="I98" s="134">
        <v>49.71</v>
      </c>
      <c r="J98" s="134">
        <v>0.1</v>
      </c>
      <c r="K98" s="134">
        <v>173.21</v>
      </c>
      <c r="L98" s="134">
        <v>26.67</v>
      </c>
      <c r="M98" s="134">
        <v>99.68</v>
      </c>
      <c r="N98" s="134">
        <v>0</v>
      </c>
      <c r="O98" s="134">
        <v>0</v>
      </c>
      <c r="P98" s="134">
        <v>0.87</v>
      </c>
      <c r="Q98" s="134">
        <v>4.12</v>
      </c>
    </row>
    <row r="99" spans="1:22" customFormat="1">
      <c r="A99" s="112" t="s">
        <v>2822</v>
      </c>
      <c r="B99" s="134">
        <v>14.28</v>
      </c>
      <c r="C99" s="134">
        <v>31</v>
      </c>
      <c r="D99" s="134">
        <v>29</v>
      </c>
      <c r="E99" s="134">
        <v>5.95</v>
      </c>
      <c r="F99" s="134">
        <v>3.02</v>
      </c>
      <c r="G99" s="134">
        <v>62.45</v>
      </c>
      <c r="H99" s="134">
        <v>31.2</v>
      </c>
      <c r="I99" s="134">
        <v>48.08</v>
      </c>
      <c r="J99" s="134">
        <v>0.16</v>
      </c>
      <c r="K99" s="134">
        <v>169.77</v>
      </c>
      <c r="L99" s="134">
        <v>26.79</v>
      </c>
      <c r="M99" s="134">
        <v>99.78</v>
      </c>
      <c r="N99" s="134">
        <v>0</v>
      </c>
      <c r="O99" s="134">
        <v>0</v>
      </c>
      <c r="P99" s="134">
        <v>0.87</v>
      </c>
      <c r="Q99" s="134">
        <v>4.09</v>
      </c>
    </row>
    <row r="100" spans="1:22" customFormat="1">
      <c r="A100" s="112" t="s">
        <v>2823</v>
      </c>
      <c r="B100" s="134">
        <v>14.38</v>
      </c>
      <c r="C100" s="134">
        <v>31.25</v>
      </c>
      <c r="D100" s="134">
        <v>29.21</v>
      </c>
      <c r="E100" s="134">
        <v>6.37</v>
      </c>
      <c r="F100" s="134">
        <v>2.76</v>
      </c>
      <c r="G100" s="134">
        <v>54.86</v>
      </c>
      <c r="H100" s="134">
        <v>29.07</v>
      </c>
      <c r="I100" s="134">
        <v>46.38</v>
      </c>
      <c r="J100" s="134">
        <v>0.09</v>
      </c>
      <c r="K100" s="134">
        <v>205.07</v>
      </c>
      <c r="L100" s="134">
        <v>26.66</v>
      </c>
      <c r="M100" s="134">
        <v>99.51</v>
      </c>
      <c r="N100" s="134">
        <v>0</v>
      </c>
      <c r="O100" s="134">
        <v>0</v>
      </c>
      <c r="P100" s="134">
        <v>0.87</v>
      </c>
      <c r="Q100" s="134">
        <v>4.1100000000000003</v>
      </c>
    </row>
    <row r="101" spans="1:22" customFormat="1">
      <c r="A101" s="112" t="s">
        <v>2824</v>
      </c>
      <c r="B101" s="134">
        <v>14.59</v>
      </c>
      <c r="C101" s="134">
        <v>31.05</v>
      </c>
      <c r="D101" s="134">
        <v>29.27</v>
      </c>
      <c r="E101" s="134">
        <v>7.01</v>
      </c>
      <c r="F101" s="134">
        <v>2.8</v>
      </c>
      <c r="G101" s="134">
        <v>54.86</v>
      </c>
      <c r="H101" s="134">
        <v>29.07</v>
      </c>
      <c r="I101" s="134">
        <v>44.64</v>
      </c>
      <c r="J101" s="134">
        <v>0.11</v>
      </c>
      <c r="K101" s="134">
        <v>151.16</v>
      </c>
      <c r="L101" s="134">
        <v>26.55</v>
      </c>
      <c r="M101" s="134">
        <v>100.34</v>
      </c>
      <c r="N101" s="134">
        <v>0</v>
      </c>
      <c r="O101" s="134">
        <v>0</v>
      </c>
      <c r="P101" s="134">
        <v>0.87</v>
      </c>
      <c r="Q101" s="134">
        <v>4.12</v>
      </c>
    </row>
    <row r="102" spans="1:22" customFormat="1">
      <c r="A102" s="112" t="s">
        <v>2825</v>
      </c>
      <c r="B102" s="134">
        <v>14.79</v>
      </c>
      <c r="C102" s="134">
        <v>29.96</v>
      </c>
      <c r="D102" s="134">
        <v>28.86</v>
      </c>
      <c r="E102" s="134">
        <v>6.37</v>
      </c>
      <c r="F102" s="134">
        <v>2.95</v>
      </c>
      <c r="G102" s="134">
        <v>54.86</v>
      </c>
      <c r="H102" s="134">
        <v>29.07</v>
      </c>
      <c r="I102" s="134">
        <v>43.12</v>
      </c>
      <c r="J102" s="134">
        <v>0.1</v>
      </c>
      <c r="K102" s="134">
        <v>191.71</v>
      </c>
      <c r="L102" s="134">
        <v>26.56</v>
      </c>
      <c r="M102" s="134">
        <v>100.91</v>
      </c>
      <c r="N102" s="134">
        <v>0</v>
      </c>
      <c r="O102" s="134">
        <v>0</v>
      </c>
      <c r="P102" s="134">
        <v>0.87</v>
      </c>
      <c r="Q102" s="134">
        <v>4.1500000000000004</v>
      </c>
    </row>
    <row r="103" spans="1:22" customFormat="1">
      <c r="A103" s="112" t="s">
        <v>2826</v>
      </c>
      <c r="B103" s="134">
        <v>14.94</v>
      </c>
      <c r="C103" s="134">
        <v>30.08</v>
      </c>
      <c r="D103" s="134">
        <v>29.05</v>
      </c>
      <c r="E103" s="134">
        <v>6.22</v>
      </c>
      <c r="F103" s="134">
        <v>2.71</v>
      </c>
      <c r="G103" s="134">
        <v>54.75</v>
      </c>
      <c r="H103" s="134">
        <v>29.46</v>
      </c>
      <c r="I103" s="134">
        <v>41.55</v>
      </c>
      <c r="J103" s="134">
        <v>0.09</v>
      </c>
      <c r="K103" s="134">
        <v>230.55</v>
      </c>
      <c r="L103" s="134">
        <v>26.44</v>
      </c>
      <c r="M103" s="134">
        <v>101.59</v>
      </c>
      <c r="N103" s="134">
        <v>0</v>
      </c>
      <c r="O103" s="134">
        <v>0</v>
      </c>
      <c r="P103" s="134">
        <v>0.88</v>
      </c>
      <c r="Q103" s="134">
        <v>4.1399999999999997</v>
      </c>
    </row>
    <row r="104" spans="1:22" customFormat="1">
      <c r="A104" s="112" t="s">
        <v>2827</v>
      </c>
      <c r="B104" s="134">
        <v>15.2</v>
      </c>
      <c r="C104" s="134">
        <v>30.19</v>
      </c>
      <c r="D104" s="134">
        <v>29.31</v>
      </c>
      <c r="E104" s="134">
        <v>6.62</v>
      </c>
      <c r="F104" s="134">
        <v>2.5</v>
      </c>
      <c r="G104" s="134">
        <v>54.38</v>
      </c>
      <c r="H104" s="134">
        <v>30.37</v>
      </c>
      <c r="I104" s="134">
        <v>40.270000000000003</v>
      </c>
      <c r="J104" s="134">
        <v>0.09</v>
      </c>
      <c r="K104" s="134">
        <v>186.89</v>
      </c>
      <c r="L104" s="134">
        <v>26.4</v>
      </c>
      <c r="M104" s="134">
        <v>101.14</v>
      </c>
      <c r="N104" s="134">
        <v>0</v>
      </c>
      <c r="O104" s="134">
        <v>0</v>
      </c>
      <c r="P104" s="134">
        <v>0.89</v>
      </c>
      <c r="Q104" s="134">
        <v>4.1500000000000004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4.6500000000000004</v>
      </c>
      <c r="C106" s="183">
        <f>MIN(C9:C104)</f>
        <v>20.11</v>
      </c>
      <c r="D106" s="183">
        <f t="shared" ref="D106:Q106" si="0">MIN(D9:D104)</f>
        <v>17.440000000000001</v>
      </c>
      <c r="E106" s="183">
        <f t="shared" si="0"/>
        <v>5.63</v>
      </c>
      <c r="F106" s="183">
        <f t="shared" si="0"/>
        <v>2.5</v>
      </c>
      <c r="G106" s="183">
        <f t="shared" si="0"/>
        <v>11.37</v>
      </c>
      <c r="H106" s="183">
        <f t="shared" si="0"/>
        <v>4.17</v>
      </c>
      <c r="I106" s="183">
        <f t="shared" si="0"/>
        <v>4.3600000000000003</v>
      </c>
      <c r="J106" s="183">
        <f t="shared" si="0"/>
        <v>0.01</v>
      </c>
      <c r="K106" s="183">
        <f t="shared" si="0"/>
        <v>7.39</v>
      </c>
      <c r="L106" s="183">
        <f t="shared" si="0"/>
        <v>24.37</v>
      </c>
      <c r="M106" s="183">
        <f t="shared" si="0"/>
        <v>66.81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3.51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26.92</v>
      </c>
      <c r="C107" s="184">
        <f t="shared" ref="C107:Q107" si="1">MAX(C9:C104)</f>
        <v>36.21</v>
      </c>
      <c r="D107" s="184">
        <f t="shared" si="1"/>
        <v>37.79</v>
      </c>
      <c r="E107" s="184">
        <f t="shared" si="1"/>
        <v>17.46</v>
      </c>
      <c r="F107" s="184">
        <f t="shared" si="1"/>
        <v>27.45</v>
      </c>
      <c r="G107" s="184">
        <f t="shared" si="1"/>
        <v>70.75</v>
      </c>
      <c r="H107" s="184">
        <f t="shared" si="1"/>
        <v>32.11</v>
      </c>
      <c r="I107" s="184">
        <f t="shared" si="1"/>
        <v>138.31</v>
      </c>
      <c r="J107" s="184">
        <f t="shared" si="1"/>
        <v>0.66</v>
      </c>
      <c r="K107" s="184">
        <f t="shared" si="1"/>
        <v>234.48</v>
      </c>
      <c r="L107" s="184">
        <f t="shared" si="1"/>
        <v>32.15</v>
      </c>
      <c r="M107" s="184">
        <f t="shared" si="1"/>
        <v>101.7</v>
      </c>
      <c r="N107" s="184">
        <f t="shared" si="1"/>
        <v>730.5</v>
      </c>
      <c r="O107" s="184">
        <f t="shared" si="1"/>
        <v>0</v>
      </c>
      <c r="P107" s="184">
        <f t="shared" si="1"/>
        <v>0.92</v>
      </c>
      <c r="Q107" s="184">
        <f t="shared" si="1"/>
        <v>4.9000000000000004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16.502527472527483</v>
      </c>
      <c r="C108" s="183">
        <f t="shared" ref="C108:Q108" si="2">AVERAGE(C9:C104)</f>
        <v>27.233406593406585</v>
      </c>
      <c r="D108" s="183">
        <f t="shared" si="2"/>
        <v>28.812967032967027</v>
      </c>
      <c r="E108" s="183">
        <f t="shared" si="2"/>
        <v>8.9267816091954</v>
      </c>
      <c r="F108" s="183">
        <f t="shared" si="2"/>
        <v>7.4067021276595737</v>
      </c>
      <c r="G108" s="183">
        <f t="shared" si="2"/>
        <v>45.057640449438217</v>
      </c>
      <c r="H108" s="183">
        <f t="shared" si="2"/>
        <v>17.63617977528089</v>
      </c>
      <c r="I108" s="183">
        <f t="shared" si="2"/>
        <v>31.679270833333344</v>
      </c>
      <c r="J108" s="183">
        <f t="shared" si="2"/>
        <v>0.1990625</v>
      </c>
      <c r="K108" s="183">
        <f t="shared" si="2"/>
        <v>120.40229166666666</v>
      </c>
      <c r="L108" s="183">
        <f t="shared" si="2"/>
        <v>27.788437499999997</v>
      </c>
      <c r="M108" s="183">
        <f t="shared" si="2"/>
        <v>88.944479166666653</v>
      </c>
      <c r="N108" s="183">
        <f t="shared" si="2"/>
        <v>126.93020833333334</v>
      </c>
      <c r="O108" s="183">
        <f t="shared" si="2"/>
        <v>0</v>
      </c>
      <c r="P108" s="183">
        <f t="shared" si="2"/>
        <v>0.61180851063829733</v>
      </c>
      <c r="Q108" s="183">
        <f t="shared" si="2"/>
        <v>4.2317708333333321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7.0477283327334828</v>
      </c>
      <c r="C109" s="183">
        <f t="shared" ref="C109:Q109" si="3">STDEV(C9:C104)</f>
        <v>3.4135814427341469</v>
      </c>
      <c r="D109" s="183">
        <f t="shared" si="3"/>
        <v>6.0590491543192577</v>
      </c>
      <c r="E109" s="183">
        <f t="shared" si="3"/>
        <v>2.4069378859111836</v>
      </c>
      <c r="F109" s="183">
        <f t="shared" si="3"/>
        <v>5.7478802803093965</v>
      </c>
      <c r="G109" s="183">
        <f t="shared" si="3"/>
        <v>19.292437403297729</v>
      </c>
      <c r="H109" s="183">
        <f t="shared" si="3"/>
        <v>10.336121074968348</v>
      </c>
      <c r="I109" s="183">
        <f t="shared" si="3"/>
        <v>34.732113435166092</v>
      </c>
      <c r="J109" s="183">
        <f t="shared" si="3"/>
        <v>0.14671905214783074</v>
      </c>
      <c r="K109" s="183">
        <f t="shared" si="3"/>
        <v>64.765195713018684</v>
      </c>
      <c r="L109" s="183">
        <f t="shared" si="3"/>
        <v>2.5465288358553253</v>
      </c>
      <c r="M109" s="183">
        <f t="shared" si="3"/>
        <v>11.794724946686509</v>
      </c>
      <c r="N109" s="183">
        <f t="shared" si="3"/>
        <v>206.41619281635403</v>
      </c>
      <c r="O109" s="183">
        <f t="shared" si="3"/>
        <v>0</v>
      </c>
      <c r="P109" s="183">
        <f t="shared" si="3"/>
        <v>0.14753867920743621</v>
      </c>
      <c r="Q109" s="183">
        <f t="shared" si="3"/>
        <v>0.43457418915210899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28/09/2023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2828</v>
      </c>
      <c r="B9" s="134">
        <v>14.52</v>
      </c>
      <c r="C9" s="134">
        <v>28.99</v>
      </c>
      <c r="D9" s="134">
        <v>28.14</v>
      </c>
      <c r="E9" s="134">
        <v>6.77</v>
      </c>
      <c r="F9" s="134">
        <v>2.91</v>
      </c>
      <c r="G9" s="134">
        <v>54.38</v>
      </c>
      <c r="H9" s="134">
        <v>30.37</v>
      </c>
      <c r="I9" s="134">
        <v>38.79</v>
      </c>
      <c r="J9" s="134">
        <v>0.1</v>
      </c>
      <c r="K9" s="134">
        <v>179.13</v>
      </c>
      <c r="L9" s="134">
        <v>26.36</v>
      </c>
      <c r="M9" s="134">
        <v>99.73</v>
      </c>
      <c r="N9" s="134">
        <v>0</v>
      </c>
      <c r="O9" s="134">
        <v>0</v>
      </c>
      <c r="P9" s="134">
        <v>0.87</v>
      </c>
      <c r="Q9" s="134">
        <v>4.1900000000000004</v>
      </c>
    </row>
    <row r="10" spans="1:21" customFormat="1">
      <c r="A10" s="112" t="s">
        <v>2829</v>
      </c>
      <c r="B10" s="134">
        <v>14.98</v>
      </c>
      <c r="C10" s="134">
        <v>29.67</v>
      </c>
      <c r="D10" s="134">
        <v>28.86</v>
      </c>
      <c r="E10" s="134">
        <v>6.62</v>
      </c>
      <c r="F10" s="134">
        <v>2.57</v>
      </c>
      <c r="G10" s="134">
        <v>54.38</v>
      </c>
      <c r="H10" s="134">
        <v>30.37</v>
      </c>
      <c r="I10" s="134">
        <v>37.72</v>
      </c>
      <c r="J10" s="134">
        <v>0.12</v>
      </c>
      <c r="K10" s="134">
        <v>173.72</v>
      </c>
      <c r="L10" s="134">
        <v>26.44</v>
      </c>
      <c r="M10" s="134">
        <v>98.59</v>
      </c>
      <c r="N10" s="134">
        <v>0</v>
      </c>
      <c r="O10" s="134">
        <v>0</v>
      </c>
      <c r="P10" s="134">
        <v>0.89</v>
      </c>
      <c r="Q10" s="134">
        <v>4.18</v>
      </c>
    </row>
    <row r="11" spans="1:21" customFormat="1">
      <c r="A11" s="112" t="s">
        <v>2830</v>
      </c>
      <c r="B11" s="134">
        <v>15.7</v>
      </c>
      <c r="C11" s="134">
        <v>30.11</v>
      </c>
      <c r="D11" s="134">
        <v>29.67</v>
      </c>
      <c r="E11" s="134">
        <v>6.23</v>
      </c>
      <c r="F11" s="134">
        <v>2.62</v>
      </c>
      <c r="G11" s="134">
        <v>54.82</v>
      </c>
      <c r="H11" s="134">
        <v>29.68</v>
      </c>
      <c r="I11" s="134">
        <v>36.47</v>
      </c>
      <c r="J11" s="134">
        <v>0.12</v>
      </c>
      <c r="K11" s="134">
        <v>184.1</v>
      </c>
      <c r="L11" s="134">
        <v>26.42</v>
      </c>
      <c r="M11" s="134">
        <v>98.78</v>
      </c>
      <c r="N11" s="134">
        <v>0</v>
      </c>
      <c r="O11" s="134">
        <v>0</v>
      </c>
      <c r="P11" s="134">
        <v>0.91</v>
      </c>
      <c r="Q11" s="134">
        <v>4.21</v>
      </c>
    </row>
    <row r="12" spans="1:21" customFormat="1">
      <c r="A12" s="112" t="s">
        <v>2831</v>
      </c>
      <c r="B12" s="134">
        <v>16.37</v>
      </c>
      <c r="C12" s="134">
        <v>29.66</v>
      </c>
      <c r="D12" s="134">
        <v>29.97</v>
      </c>
      <c r="E12" s="134">
        <v>6.66</v>
      </c>
      <c r="F12" s="134">
        <v>2.98</v>
      </c>
      <c r="G12" s="134">
        <v>56.36</v>
      </c>
      <c r="H12" s="134">
        <v>26.43</v>
      </c>
      <c r="I12" s="134">
        <v>35.14</v>
      </c>
      <c r="J12" s="134">
        <v>0.14000000000000001</v>
      </c>
      <c r="K12" s="134">
        <v>181.25</v>
      </c>
      <c r="L12" s="134">
        <v>26.41</v>
      </c>
      <c r="M12" s="134">
        <v>98.33</v>
      </c>
      <c r="N12" s="134">
        <v>0</v>
      </c>
      <c r="O12" s="134">
        <v>0</v>
      </c>
      <c r="P12" s="134">
        <v>0.92</v>
      </c>
      <c r="Q12" s="134">
        <v>4.28</v>
      </c>
    </row>
    <row r="13" spans="1:21" customFormat="1">
      <c r="A13" s="112" t="s">
        <v>2832</v>
      </c>
      <c r="B13" s="134">
        <v>16.89</v>
      </c>
      <c r="C13" s="134">
        <v>30.14</v>
      </c>
      <c r="D13" s="134">
        <v>30.64</v>
      </c>
      <c r="E13" s="134">
        <v>6.71</v>
      </c>
      <c r="F13" s="134">
        <v>2.56</v>
      </c>
      <c r="G13" s="134">
        <v>56.36</v>
      </c>
      <c r="H13" s="134">
        <v>26.43</v>
      </c>
      <c r="I13" s="134">
        <v>32.21</v>
      </c>
      <c r="J13" s="134">
        <v>0.19</v>
      </c>
      <c r="K13" s="134">
        <v>172.98</v>
      </c>
      <c r="L13" s="134">
        <v>26.49</v>
      </c>
      <c r="M13" s="134">
        <v>98.25</v>
      </c>
      <c r="N13" s="134">
        <v>0</v>
      </c>
      <c r="O13" s="134">
        <v>0</v>
      </c>
      <c r="P13" s="134">
        <v>0.92</v>
      </c>
      <c r="Q13" s="134">
        <v>4.3099999999999996</v>
      </c>
    </row>
    <row r="14" spans="1:21" customFormat="1">
      <c r="A14" s="112" t="s">
        <v>2833</v>
      </c>
      <c r="B14" s="134">
        <v>17.16</v>
      </c>
      <c r="C14" s="134">
        <v>30.23</v>
      </c>
      <c r="D14" s="134">
        <v>30.91</v>
      </c>
      <c r="E14" s="134">
        <v>6.63</v>
      </c>
      <c r="F14" s="134">
        <v>2.46</v>
      </c>
      <c r="G14" s="134">
        <v>56.36</v>
      </c>
      <c r="H14" s="134">
        <v>26.43</v>
      </c>
      <c r="I14" s="134">
        <v>33.32</v>
      </c>
      <c r="J14" s="134">
        <v>0.06</v>
      </c>
      <c r="K14" s="134">
        <v>161.93</v>
      </c>
      <c r="L14" s="134">
        <v>26.35</v>
      </c>
      <c r="M14" s="134">
        <v>98.81</v>
      </c>
      <c r="N14" s="134">
        <v>0</v>
      </c>
      <c r="O14" s="134">
        <v>0</v>
      </c>
      <c r="P14" s="134">
        <v>0.93</v>
      </c>
      <c r="Q14" s="134">
        <v>4.33</v>
      </c>
    </row>
    <row r="15" spans="1:21" customFormat="1">
      <c r="A15" s="112" t="s">
        <v>2834</v>
      </c>
      <c r="B15" s="134">
        <v>17.39</v>
      </c>
      <c r="C15" s="134">
        <v>29.14</v>
      </c>
      <c r="D15" s="134">
        <v>30.52</v>
      </c>
      <c r="E15" s="134">
        <v>6.23</v>
      </c>
      <c r="F15" s="134">
        <v>2.87</v>
      </c>
      <c r="G15" s="134">
        <v>56.13</v>
      </c>
      <c r="H15" s="134">
        <v>26.09</v>
      </c>
      <c r="I15" s="134">
        <v>30.78</v>
      </c>
      <c r="J15" s="134">
        <v>0.11</v>
      </c>
      <c r="K15" s="134">
        <v>163.96</v>
      </c>
      <c r="L15" s="134">
        <v>26.27</v>
      </c>
      <c r="M15" s="134">
        <v>99.26</v>
      </c>
      <c r="N15" s="134">
        <v>0</v>
      </c>
      <c r="O15" s="134">
        <v>0</v>
      </c>
      <c r="P15" s="134">
        <v>0.92</v>
      </c>
      <c r="Q15" s="134">
        <v>4.3499999999999996</v>
      </c>
    </row>
    <row r="16" spans="1:21" customFormat="1">
      <c r="A16" s="112" t="s">
        <v>2835</v>
      </c>
      <c r="B16" s="134">
        <v>17.649999999999999</v>
      </c>
      <c r="C16" s="134">
        <v>29.5</v>
      </c>
      <c r="D16" s="134">
        <v>30.92</v>
      </c>
      <c r="E16" s="134">
        <v>7.15</v>
      </c>
      <c r="F16" s="134">
        <v>2.61</v>
      </c>
      <c r="G16" s="134">
        <v>55.3</v>
      </c>
      <c r="H16" s="134">
        <v>25.24</v>
      </c>
      <c r="I16" s="134">
        <v>29.71</v>
      </c>
      <c r="J16" s="134">
        <v>7.0000000000000007E-2</v>
      </c>
      <c r="K16" s="134">
        <v>204.1</v>
      </c>
      <c r="L16" s="134">
        <v>26.12</v>
      </c>
      <c r="M16" s="134">
        <v>101.07</v>
      </c>
      <c r="N16" s="134">
        <v>0</v>
      </c>
      <c r="O16" s="134">
        <v>0</v>
      </c>
      <c r="P16" s="134">
        <v>0.92</v>
      </c>
      <c r="Q16" s="134">
        <v>4.37</v>
      </c>
    </row>
    <row r="17" spans="1:17" customFormat="1">
      <c r="A17" s="112" t="s">
        <v>2836</v>
      </c>
      <c r="B17" s="134">
        <v>17.760000000000002</v>
      </c>
      <c r="C17" s="134">
        <v>29.57</v>
      </c>
      <c r="D17" s="134">
        <v>31.04</v>
      </c>
      <c r="E17" s="134">
        <v>5.77</v>
      </c>
      <c r="F17" s="134">
        <v>2.4</v>
      </c>
      <c r="G17" s="134">
        <v>55.3</v>
      </c>
      <c r="H17" s="134">
        <v>25.24</v>
      </c>
      <c r="I17" s="134">
        <v>28.76</v>
      </c>
      <c r="J17" s="134">
        <v>0.09</v>
      </c>
      <c r="K17" s="134">
        <v>180.48</v>
      </c>
      <c r="L17" s="134">
        <v>26.09</v>
      </c>
      <c r="M17" s="134">
        <v>100.59</v>
      </c>
      <c r="N17" s="134">
        <v>0</v>
      </c>
      <c r="O17" s="134">
        <v>0</v>
      </c>
      <c r="P17" s="134">
        <v>0.91</v>
      </c>
      <c r="Q17" s="134">
        <v>4.37</v>
      </c>
    </row>
    <row r="18" spans="1:17" customFormat="1">
      <c r="A18" s="112" t="s">
        <v>2837</v>
      </c>
      <c r="B18" s="134">
        <v>18.04</v>
      </c>
      <c r="C18" s="134">
        <v>28.01</v>
      </c>
      <c r="D18" s="134">
        <v>30.45</v>
      </c>
      <c r="E18" s="134">
        <v>6.28</v>
      </c>
      <c r="F18" s="134">
        <v>2.71</v>
      </c>
      <c r="G18" s="134">
        <v>55.3</v>
      </c>
      <c r="H18" s="134">
        <v>25.24</v>
      </c>
      <c r="I18" s="134">
        <v>27.81</v>
      </c>
      <c r="J18" s="134">
        <v>0.16</v>
      </c>
      <c r="K18" s="134">
        <v>152.32</v>
      </c>
      <c r="L18" s="134">
        <v>26.08</v>
      </c>
      <c r="M18" s="134">
        <v>99.36</v>
      </c>
      <c r="N18" s="134">
        <v>0</v>
      </c>
      <c r="O18" s="134">
        <v>0</v>
      </c>
      <c r="P18" s="134">
        <v>0.89</v>
      </c>
      <c r="Q18" s="134">
        <v>4.37</v>
      </c>
    </row>
    <row r="19" spans="1:17" customFormat="1">
      <c r="A19" s="112" t="s">
        <v>2838</v>
      </c>
      <c r="B19" s="134">
        <v>18.170000000000002</v>
      </c>
      <c r="C19" s="134">
        <v>27.14</v>
      </c>
      <c r="D19" s="134">
        <v>30.11</v>
      </c>
      <c r="E19" s="134">
        <v>5.79</v>
      </c>
      <c r="F19" s="134">
        <v>2.92</v>
      </c>
      <c r="G19" s="134">
        <v>52.92</v>
      </c>
      <c r="H19" s="134">
        <v>24.81</v>
      </c>
      <c r="I19" s="134">
        <v>26.92</v>
      </c>
      <c r="J19" s="134">
        <v>0.11</v>
      </c>
      <c r="K19" s="134">
        <v>163.61000000000001</v>
      </c>
      <c r="L19" s="134">
        <v>26.04</v>
      </c>
      <c r="M19" s="134">
        <v>99.04</v>
      </c>
      <c r="N19" s="134">
        <v>0</v>
      </c>
      <c r="O19" s="134">
        <v>0</v>
      </c>
      <c r="P19" s="134">
        <v>0.88</v>
      </c>
      <c r="Q19" s="134">
        <v>4.3899999999999997</v>
      </c>
    </row>
    <row r="20" spans="1:17" customFormat="1">
      <c r="A20" s="112" t="s">
        <v>2839</v>
      </c>
      <c r="B20" s="134">
        <v>18.66</v>
      </c>
      <c r="C20" s="134">
        <v>24.45</v>
      </c>
      <c r="D20" s="134">
        <v>29.09</v>
      </c>
      <c r="E20" s="134">
        <v>6.17</v>
      </c>
      <c r="F20" s="134">
        <v>3.48</v>
      </c>
      <c r="G20" s="134">
        <v>44.57</v>
      </c>
      <c r="H20" s="134">
        <v>23.82</v>
      </c>
      <c r="I20" s="134">
        <v>26.07</v>
      </c>
      <c r="J20" s="134">
        <v>7.0000000000000007E-2</v>
      </c>
      <c r="K20" s="134">
        <v>223.62</v>
      </c>
      <c r="L20" s="134">
        <v>25.93</v>
      </c>
      <c r="M20" s="134">
        <v>99</v>
      </c>
      <c r="N20" s="134">
        <v>0</v>
      </c>
      <c r="O20" s="134">
        <v>0</v>
      </c>
      <c r="P20" s="134">
        <v>0.85</v>
      </c>
      <c r="Q20" s="134">
        <v>4.4000000000000004</v>
      </c>
    </row>
    <row r="21" spans="1:17" customFormat="1">
      <c r="A21" s="112" t="s">
        <v>2840</v>
      </c>
      <c r="B21" s="134">
        <v>18.93</v>
      </c>
      <c r="C21" s="134">
        <v>22.6</v>
      </c>
      <c r="D21" s="134">
        <v>28.34</v>
      </c>
      <c r="E21" s="134">
        <v>5.47</v>
      </c>
      <c r="F21" s="134">
        <v>3.8</v>
      </c>
      <c r="G21" s="134">
        <v>44.57</v>
      </c>
      <c r="H21" s="134">
        <v>23.82</v>
      </c>
      <c r="I21" s="134">
        <v>25.12</v>
      </c>
      <c r="J21" s="134">
        <v>0.14000000000000001</v>
      </c>
      <c r="K21" s="134">
        <v>159.32</v>
      </c>
      <c r="L21" s="134">
        <v>25.82</v>
      </c>
      <c r="M21" s="134">
        <v>98.04</v>
      </c>
      <c r="N21" s="134">
        <v>0</v>
      </c>
      <c r="O21" s="134">
        <v>0</v>
      </c>
      <c r="P21" s="134">
        <v>0.83</v>
      </c>
      <c r="Q21" s="134">
        <v>4.3899999999999997</v>
      </c>
    </row>
    <row r="22" spans="1:17" customFormat="1">
      <c r="A22" s="112" t="s">
        <v>2841</v>
      </c>
      <c r="B22" s="134">
        <v>18.38</v>
      </c>
      <c r="C22" s="134">
        <v>21.05</v>
      </c>
      <c r="D22" s="134">
        <v>27.09</v>
      </c>
      <c r="E22" s="134">
        <v>4.92</v>
      </c>
      <c r="F22" s="134">
        <v>4.07</v>
      </c>
      <c r="G22" s="134">
        <v>44.57</v>
      </c>
      <c r="H22" s="134">
        <v>23.82</v>
      </c>
      <c r="I22" s="134">
        <v>24.9</v>
      </c>
      <c r="J22" s="134">
        <v>0.16</v>
      </c>
      <c r="K22" s="134">
        <v>167.76</v>
      </c>
      <c r="L22" s="134">
        <v>25.73</v>
      </c>
      <c r="M22" s="134">
        <v>98.38</v>
      </c>
      <c r="N22" s="134">
        <v>0</v>
      </c>
      <c r="O22" s="134">
        <v>0</v>
      </c>
      <c r="P22" s="134">
        <v>0.8</v>
      </c>
      <c r="Q22" s="134">
        <v>4.37</v>
      </c>
    </row>
    <row r="23" spans="1:17" customFormat="1">
      <c r="A23" s="112" t="s">
        <v>2842</v>
      </c>
      <c r="B23" s="134">
        <v>17.87</v>
      </c>
      <c r="C23" s="134">
        <v>19.53</v>
      </c>
      <c r="D23" s="134">
        <v>25.89</v>
      </c>
      <c r="E23" s="134">
        <v>5.0199999999999996</v>
      </c>
      <c r="F23" s="134">
        <v>4.41</v>
      </c>
      <c r="G23" s="134">
        <v>44.16</v>
      </c>
      <c r="H23" s="134">
        <v>23.26</v>
      </c>
      <c r="I23" s="134">
        <v>24.08</v>
      </c>
      <c r="J23" s="134">
        <v>0.12</v>
      </c>
      <c r="K23" s="134">
        <v>160.74</v>
      </c>
      <c r="L23" s="134">
        <v>25.61</v>
      </c>
      <c r="M23" s="134">
        <v>98.41</v>
      </c>
      <c r="N23" s="134">
        <v>0</v>
      </c>
      <c r="O23" s="134">
        <v>0</v>
      </c>
      <c r="P23" s="134">
        <v>0.78</v>
      </c>
      <c r="Q23" s="134">
        <v>4.33</v>
      </c>
    </row>
    <row r="24" spans="1:17" customFormat="1">
      <c r="A24" s="112" t="s">
        <v>2843</v>
      </c>
      <c r="B24" s="134">
        <v>19.079999999999998</v>
      </c>
      <c r="C24" s="134">
        <v>22.95</v>
      </c>
      <c r="D24" s="134">
        <v>28.64</v>
      </c>
      <c r="E24" s="134">
        <v>5.09</v>
      </c>
      <c r="F24" s="134">
        <v>3.27</v>
      </c>
      <c r="G24" s="134">
        <v>42.73</v>
      </c>
      <c r="H24" s="134">
        <v>21.89</v>
      </c>
      <c r="I24" s="134">
        <v>22.79</v>
      </c>
      <c r="J24" s="134">
        <v>0.14000000000000001</v>
      </c>
      <c r="K24" s="134">
        <v>160.37</v>
      </c>
      <c r="L24" s="134">
        <v>25.6</v>
      </c>
      <c r="M24" s="134">
        <v>99.19</v>
      </c>
      <c r="N24" s="134">
        <v>0</v>
      </c>
      <c r="O24" s="134">
        <v>0</v>
      </c>
      <c r="P24" s="134">
        <v>0.82</v>
      </c>
      <c r="Q24" s="134">
        <v>4.3</v>
      </c>
    </row>
    <row r="25" spans="1:17" customFormat="1">
      <c r="A25" s="112" t="s">
        <v>2844</v>
      </c>
      <c r="B25" s="134">
        <v>19.66</v>
      </c>
      <c r="C25" s="134">
        <v>23.92</v>
      </c>
      <c r="D25" s="134">
        <v>29.62</v>
      </c>
      <c r="E25" s="134">
        <v>5.38</v>
      </c>
      <c r="F25" s="134">
        <v>3.14</v>
      </c>
      <c r="G25" s="134">
        <v>42.73</v>
      </c>
      <c r="H25" s="134">
        <v>21.89</v>
      </c>
      <c r="I25" s="134">
        <v>21.77</v>
      </c>
      <c r="J25" s="134">
        <v>0.1</v>
      </c>
      <c r="K25" s="134">
        <v>189.33</v>
      </c>
      <c r="L25" s="134">
        <v>25.46</v>
      </c>
      <c r="M25" s="134">
        <v>98.94</v>
      </c>
      <c r="N25" s="134">
        <v>0</v>
      </c>
      <c r="O25" s="134">
        <v>0</v>
      </c>
      <c r="P25" s="134">
        <v>0.8</v>
      </c>
      <c r="Q25" s="134">
        <v>4.34</v>
      </c>
    </row>
    <row r="26" spans="1:17" customFormat="1">
      <c r="A26" s="112" t="s">
        <v>2845</v>
      </c>
      <c r="B26" s="134">
        <v>19.420000000000002</v>
      </c>
      <c r="C26" s="134">
        <v>21.93</v>
      </c>
      <c r="D26" s="134">
        <v>28.38</v>
      </c>
      <c r="E26" s="134">
        <v>5</v>
      </c>
      <c r="F26" s="134">
        <v>3.65</v>
      </c>
      <c r="G26" s="134">
        <v>42.73</v>
      </c>
      <c r="H26" s="134">
        <v>21.89</v>
      </c>
      <c r="I26" s="134">
        <v>23.42</v>
      </c>
      <c r="J26" s="134">
        <v>0.08</v>
      </c>
      <c r="K26" s="134">
        <v>152.1</v>
      </c>
      <c r="L26" s="134">
        <v>25.4</v>
      </c>
      <c r="M26" s="134">
        <v>99.43</v>
      </c>
      <c r="N26" s="134">
        <v>0</v>
      </c>
      <c r="O26" s="134">
        <v>0</v>
      </c>
      <c r="P26" s="134">
        <v>0.79</v>
      </c>
      <c r="Q26" s="134">
        <v>4.3600000000000003</v>
      </c>
    </row>
    <row r="27" spans="1:17" customFormat="1">
      <c r="A27" s="112" t="s">
        <v>2846</v>
      </c>
      <c r="B27" s="134">
        <v>18.52</v>
      </c>
      <c r="C27" s="134">
        <v>19.98</v>
      </c>
      <c r="D27" s="134">
        <v>26.64</v>
      </c>
      <c r="E27" s="134">
        <v>4.63</v>
      </c>
      <c r="F27" s="134">
        <v>4.1399999999999997</v>
      </c>
      <c r="G27" s="134">
        <v>41.93</v>
      </c>
      <c r="H27" s="134">
        <v>21.27</v>
      </c>
      <c r="I27" s="134">
        <v>23.69</v>
      </c>
      <c r="J27" s="134">
        <v>0.08</v>
      </c>
      <c r="K27" s="134">
        <v>199.41</v>
      </c>
      <c r="L27" s="134">
        <v>25.3</v>
      </c>
      <c r="M27" s="134">
        <v>99.21</v>
      </c>
      <c r="N27" s="134">
        <v>0</v>
      </c>
      <c r="O27" s="134">
        <v>0</v>
      </c>
      <c r="P27" s="134">
        <v>0.77</v>
      </c>
      <c r="Q27" s="134">
        <v>4.3600000000000003</v>
      </c>
    </row>
    <row r="28" spans="1:17" customFormat="1">
      <c r="A28" s="112" t="s">
        <v>2847</v>
      </c>
      <c r="B28" s="134">
        <v>19.61</v>
      </c>
      <c r="C28" s="134">
        <v>23.25</v>
      </c>
      <c r="D28" s="134">
        <v>29.22</v>
      </c>
      <c r="E28" s="134">
        <v>5.03</v>
      </c>
      <c r="F28" s="134">
        <v>3.12</v>
      </c>
      <c r="G28" s="134">
        <v>39.119999999999997</v>
      </c>
      <c r="H28" s="134">
        <v>19.809999999999999</v>
      </c>
      <c r="I28" s="134">
        <v>22.66</v>
      </c>
      <c r="J28" s="134">
        <v>0.09</v>
      </c>
      <c r="K28" s="134">
        <v>141.54</v>
      </c>
      <c r="L28" s="134">
        <v>25.37</v>
      </c>
      <c r="M28" s="134">
        <v>99.58</v>
      </c>
      <c r="N28" s="134">
        <v>0</v>
      </c>
      <c r="O28" s="134">
        <v>0</v>
      </c>
      <c r="P28" s="134">
        <v>0.79</v>
      </c>
      <c r="Q28" s="134">
        <v>4.33</v>
      </c>
    </row>
    <row r="29" spans="1:17" customFormat="1">
      <c r="A29" s="112" t="s">
        <v>2848</v>
      </c>
      <c r="B29" s="134">
        <v>20.170000000000002</v>
      </c>
      <c r="C29" s="134">
        <v>24.03</v>
      </c>
      <c r="D29" s="134">
        <v>30.08</v>
      </c>
      <c r="E29" s="134">
        <v>5.15</v>
      </c>
      <c r="F29" s="134">
        <v>3.03</v>
      </c>
      <c r="G29" s="134">
        <v>39.119999999999997</v>
      </c>
      <c r="H29" s="134">
        <v>19.809999999999999</v>
      </c>
      <c r="I29" s="134">
        <v>20.29</v>
      </c>
      <c r="J29" s="134">
        <v>0.12</v>
      </c>
      <c r="K29" s="134">
        <v>162.57</v>
      </c>
      <c r="L29" s="134">
        <v>25.32</v>
      </c>
      <c r="M29" s="134">
        <v>99.79</v>
      </c>
      <c r="N29" s="134">
        <v>0</v>
      </c>
      <c r="O29" s="134">
        <v>0</v>
      </c>
      <c r="P29" s="134">
        <v>0.79</v>
      </c>
      <c r="Q29" s="134">
        <v>4.41</v>
      </c>
    </row>
    <row r="30" spans="1:17" customFormat="1">
      <c r="A30" s="112" t="s">
        <v>2849</v>
      </c>
      <c r="B30" s="134">
        <v>20.03</v>
      </c>
      <c r="C30" s="134">
        <v>21.83</v>
      </c>
      <c r="D30" s="134">
        <v>28.82</v>
      </c>
      <c r="E30" s="134">
        <v>4.7699999999999996</v>
      </c>
      <c r="F30" s="134">
        <v>3.4</v>
      </c>
      <c r="G30" s="134">
        <v>39.119999999999997</v>
      </c>
      <c r="H30" s="134">
        <v>19.809999999999999</v>
      </c>
      <c r="I30" s="134">
        <v>22.86</v>
      </c>
      <c r="J30" s="134">
        <v>0.09</v>
      </c>
      <c r="K30" s="134">
        <v>168.39</v>
      </c>
      <c r="L30" s="134">
        <v>25.3</v>
      </c>
      <c r="M30" s="134">
        <v>100</v>
      </c>
      <c r="N30" s="134">
        <v>0</v>
      </c>
      <c r="O30" s="134">
        <v>0</v>
      </c>
      <c r="P30" s="134">
        <v>0.77</v>
      </c>
      <c r="Q30" s="134">
        <v>4.43</v>
      </c>
    </row>
    <row r="31" spans="1:17" customFormat="1">
      <c r="A31" s="112" t="s">
        <v>2850</v>
      </c>
      <c r="B31" s="134">
        <v>19.649999999999999</v>
      </c>
      <c r="C31" s="134">
        <v>21.16</v>
      </c>
      <c r="D31" s="134">
        <v>28.17</v>
      </c>
      <c r="E31" s="134">
        <v>4.7</v>
      </c>
      <c r="F31" s="134">
        <v>3.31</v>
      </c>
      <c r="G31" s="134">
        <v>39.21</v>
      </c>
      <c r="H31" s="134">
        <v>18.97</v>
      </c>
      <c r="I31" s="134">
        <v>22.2</v>
      </c>
      <c r="J31" s="134">
        <v>0.05</v>
      </c>
      <c r="K31" s="134">
        <v>188.04</v>
      </c>
      <c r="L31" s="134">
        <v>25.27</v>
      </c>
      <c r="M31" s="134">
        <v>99.23</v>
      </c>
      <c r="N31" s="134">
        <v>0</v>
      </c>
      <c r="O31" s="134">
        <v>0</v>
      </c>
      <c r="P31" s="134">
        <v>0.75</v>
      </c>
      <c r="Q31" s="134">
        <v>4.4000000000000004</v>
      </c>
    </row>
    <row r="32" spans="1:17" customFormat="1">
      <c r="A32" s="112" t="s">
        <v>2851</v>
      </c>
      <c r="B32" s="134">
        <v>20.64</v>
      </c>
      <c r="C32" s="134">
        <v>24.19</v>
      </c>
      <c r="D32" s="134">
        <v>30.54</v>
      </c>
      <c r="E32" s="134">
        <v>5.25</v>
      </c>
      <c r="F32" s="134">
        <v>2.6</v>
      </c>
      <c r="G32" s="134">
        <v>39.51</v>
      </c>
      <c r="H32" s="134">
        <v>17</v>
      </c>
      <c r="I32" s="134">
        <v>20.89</v>
      </c>
      <c r="J32" s="134">
        <v>0.12</v>
      </c>
      <c r="K32" s="134">
        <v>160.29</v>
      </c>
      <c r="L32" s="134">
        <v>25.24</v>
      </c>
      <c r="M32" s="134">
        <v>100.02</v>
      </c>
      <c r="N32" s="134">
        <v>0.1</v>
      </c>
      <c r="O32" s="134">
        <v>0</v>
      </c>
      <c r="P32" s="134">
        <v>0.78</v>
      </c>
      <c r="Q32" s="134">
        <v>4.4000000000000004</v>
      </c>
    </row>
    <row r="33" spans="1:17" customFormat="1">
      <c r="A33" s="112" t="s">
        <v>2852</v>
      </c>
      <c r="B33" s="134">
        <v>20.7</v>
      </c>
      <c r="C33" s="134">
        <v>23</v>
      </c>
      <c r="D33" s="134">
        <v>29.97</v>
      </c>
      <c r="E33" s="134">
        <v>5.23</v>
      </c>
      <c r="F33" s="134">
        <v>3.02</v>
      </c>
      <c r="G33" s="134">
        <v>39.51</v>
      </c>
      <c r="H33" s="134">
        <v>17</v>
      </c>
      <c r="I33" s="134">
        <v>20.99</v>
      </c>
      <c r="J33" s="134">
        <v>0.14000000000000001</v>
      </c>
      <c r="K33" s="134">
        <v>159.28</v>
      </c>
      <c r="L33" s="134">
        <v>25.46</v>
      </c>
      <c r="M33" s="134">
        <v>100.12</v>
      </c>
      <c r="N33" s="134">
        <v>8.6999999999999993</v>
      </c>
      <c r="O33" s="134">
        <v>0</v>
      </c>
      <c r="P33" s="134">
        <v>0.76</v>
      </c>
      <c r="Q33" s="134">
        <v>4.47</v>
      </c>
    </row>
    <row r="34" spans="1:17" customFormat="1">
      <c r="A34" s="112" t="s">
        <v>2853</v>
      </c>
      <c r="B34" s="134">
        <v>20.47</v>
      </c>
      <c r="C34" s="134">
        <v>21.44</v>
      </c>
      <c r="D34" s="134">
        <v>28.97</v>
      </c>
      <c r="E34" s="134">
        <v>4.8499999999999996</v>
      </c>
      <c r="F34" s="134">
        <v>3.38</v>
      </c>
      <c r="G34" s="134">
        <v>39.51</v>
      </c>
      <c r="H34" s="134">
        <v>17</v>
      </c>
      <c r="I34" s="134">
        <v>21.27</v>
      </c>
      <c r="J34" s="134">
        <v>0.13</v>
      </c>
      <c r="K34" s="134">
        <v>168.11</v>
      </c>
      <c r="L34" s="134">
        <v>25.56</v>
      </c>
      <c r="M34" s="134">
        <v>99.74</v>
      </c>
      <c r="N34" s="134">
        <v>20.100000000000001</v>
      </c>
      <c r="O34" s="134">
        <v>0</v>
      </c>
      <c r="P34" s="134">
        <v>0.76</v>
      </c>
      <c r="Q34" s="134">
        <v>4.45</v>
      </c>
    </row>
    <row r="35" spans="1:17" customFormat="1">
      <c r="A35" s="112" t="s">
        <v>2854</v>
      </c>
      <c r="B35" s="134">
        <v>20.74</v>
      </c>
      <c r="C35" s="134">
        <v>23.63</v>
      </c>
      <c r="D35" s="134">
        <v>30.33</v>
      </c>
      <c r="E35" s="134">
        <v>4.8099999999999996</v>
      </c>
      <c r="F35" s="134">
        <v>2.87</v>
      </c>
      <c r="G35" s="134">
        <v>38.1</v>
      </c>
      <c r="H35" s="134">
        <v>17.75</v>
      </c>
      <c r="I35" s="134">
        <v>20.38</v>
      </c>
      <c r="J35" s="134">
        <v>0.11</v>
      </c>
      <c r="K35" s="134">
        <v>144.34</v>
      </c>
      <c r="L35" s="134">
        <v>25.88</v>
      </c>
      <c r="M35" s="134">
        <v>99.2</v>
      </c>
      <c r="N35" s="134">
        <v>34.4</v>
      </c>
      <c r="O35" s="134">
        <v>0</v>
      </c>
      <c r="P35" s="134">
        <v>0.77</v>
      </c>
      <c r="Q35" s="134">
        <v>4.4400000000000004</v>
      </c>
    </row>
    <row r="36" spans="1:17" customFormat="1">
      <c r="A36" s="112" t="s">
        <v>2855</v>
      </c>
      <c r="B36" s="134">
        <v>20.11</v>
      </c>
      <c r="C36" s="134">
        <v>21.71</v>
      </c>
      <c r="D36" s="134">
        <v>28.82</v>
      </c>
      <c r="E36" s="134">
        <v>5.17</v>
      </c>
      <c r="F36" s="134">
        <v>3.51</v>
      </c>
      <c r="G36" s="134">
        <v>33.17</v>
      </c>
      <c r="H36" s="134">
        <v>21.24</v>
      </c>
      <c r="I36" s="134">
        <v>19.940000000000001</v>
      </c>
      <c r="J36" s="134">
        <v>0.09</v>
      </c>
      <c r="K36" s="134">
        <v>255.1</v>
      </c>
      <c r="L36" s="134">
        <v>26.18</v>
      </c>
      <c r="M36" s="134">
        <v>98.04</v>
      </c>
      <c r="N36" s="134">
        <v>57</v>
      </c>
      <c r="O36" s="134">
        <v>0</v>
      </c>
      <c r="P36" s="134">
        <v>0.75</v>
      </c>
      <c r="Q36" s="134">
        <v>4.47</v>
      </c>
    </row>
    <row r="37" spans="1:17" customFormat="1">
      <c r="A37" s="112" t="s">
        <v>2856</v>
      </c>
      <c r="B37" s="134">
        <v>20.87</v>
      </c>
      <c r="C37" s="134">
        <v>23.09</v>
      </c>
      <c r="D37" s="134">
        <v>30.15</v>
      </c>
      <c r="E37" s="134">
        <v>5</v>
      </c>
      <c r="F37" s="134">
        <v>3.56</v>
      </c>
      <c r="G37" s="134">
        <v>33.17</v>
      </c>
      <c r="H37" s="134">
        <v>21.24</v>
      </c>
      <c r="I37" s="134">
        <v>19.47</v>
      </c>
      <c r="J37" s="134">
        <v>0.08</v>
      </c>
      <c r="K37" s="134">
        <v>230.19</v>
      </c>
      <c r="L37" s="134">
        <v>26.66</v>
      </c>
      <c r="M37" s="134">
        <v>95.4</v>
      </c>
      <c r="N37" s="134">
        <v>76.2</v>
      </c>
      <c r="O37" s="134">
        <v>0</v>
      </c>
      <c r="P37" s="134">
        <v>0.74</v>
      </c>
      <c r="Q37" s="134">
        <v>4.46</v>
      </c>
    </row>
    <row r="38" spans="1:17" customFormat="1">
      <c r="A38" s="112" t="s">
        <v>2857</v>
      </c>
      <c r="B38" s="134">
        <v>20.94</v>
      </c>
      <c r="C38" s="134">
        <v>29.57</v>
      </c>
      <c r="D38" s="134">
        <v>33.590000000000003</v>
      </c>
      <c r="E38" s="134">
        <v>5.25</v>
      </c>
      <c r="F38" s="134">
        <v>2.74</v>
      </c>
      <c r="G38" s="134">
        <v>33.17</v>
      </c>
      <c r="H38" s="134">
        <v>21.24</v>
      </c>
      <c r="I38" s="134">
        <v>18.89</v>
      </c>
      <c r="J38" s="134">
        <v>0.18</v>
      </c>
      <c r="K38" s="134">
        <v>133.87</v>
      </c>
      <c r="L38" s="134">
        <v>27.2</v>
      </c>
      <c r="M38" s="134">
        <v>92.67</v>
      </c>
      <c r="N38" s="134">
        <v>104.2</v>
      </c>
      <c r="O38" s="134">
        <v>0</v>
      </c>
      <c r="P38" s="134">
        <v>0.77</v>
      </c>
      <c r="Q38" s="134">
        <v>4.43</v>
      </c>
    </row>
    <row r="39" spans="1:17" customFormat="1">
      <c r="A39" s="112" t="s">
        <v>2858</v>
      </c>
      <c r="B39" s="134">
        <v>20.78</v>
      </c>
      <c r="C39" s="134">
        <v>30.31</v>
      </c>
      <c r="D39" s="134">
        <v>33.85</v>
      </c>
      <c r="E39" s="134">
        <v>5.64</v>
      </c>
      <c r="F39" s="134">
        <v>2.83</v>
      </c>
      <c r="G39" s="134">
        <v>33.869999999999997</v>
      </c>
      <c r="H39" s="134">
        <v>20.54</v>
      </c>
      <c r="I39" s="134">
        <v>19.25</v>
      </c>
      <c r="J39" s="134">
        <v>0.28000000000000003</v>
      </c>
      <c r="K39" s="134">
        <v>54.38</v>
      </c>
      <c r="L39" s="134">
        <v>27.74</v>
      </c>
      <c r="M39" s="134">
        <v>89.23</v>
      </c>
      <c r="N39" s="134">
        <v>136.9</v>
      </c>
      <c r="O39" s="134">
        <v>0</v>
      </c>
      <c r="P39" s="134">
        <v>0.8</v>
      </c>
      <c r="Q39" s="134">
        <v>4.49</v>
      </c>
    </row>
    <row r="40" spans="1:17" customFormat="1">
      <c r="A40" s="112" t="s">
        <v>2859</v>
      </c>
      <c r="B40" s="134">
        <v>21</v>
      </c>
      <c r="C40" s="134">
        <v>30.38</v>
      </c>
      <c r="D40" s="134">
        <v>34.06</v>
      </c>
      <c r="E40" s="134">
        <v>6.09</v>
      </c>
      <c r="F40" s="134">
        <v>2.91</v>
      </c>
      <c r="G40" s="134">
        <v>36.31</v>
      </c>
      <c r="H40" s="134">
        <v>18.899999999999999</v>
      </c>
      <c r="I40" s="134">
        <v>18.82</v>
      </c>
      <c r="J40" s="134">
        <v>0.35</v>
      </c>
      <c r="K40" s="134">
        <v>50.91</v>
      </c>
      <c r="L40" s="134">
        <v>28.13</v>
      </c>
      <c r="M40" s="134">
        <v>86.99</v>
      </c>
      <c r="N40" s="134">
        <v>151.4</v>
      </c>
      <c r="O40" s="134">
        <v>0</v>
      </c>
      <c r="P40" s="134">
        <v>0.83</v>
      </c>
      <c r="Q40" s="134">
        <v>4.54</v>
      </c>
    </row>
    <row r="41" spans="1:17" customFormat="1">
      <c r="A41" s="112" t="s">
        <v>2860</v>
      </c>
      <c r="B41" s="134">
        <v>21.34</v>
      </c>
      <c r="C41" s="134">
        <v>30.26</v>
      </c>
      <c r="D41" s="134">
        <v>34.270000000000003</v>
      </c>
      <c r="E41" s="134">
        <v>6.57</v>
      </c>
      <c r="F41" s="134">
        <v>3.06</v>
      </c>
      <c r="G41" s="134">
        <v>36.31</v>
      </c>
      <c r="H41" s="134">
        <v>18.899999999999999</v>
      </c>
      <c r="I41" s="134">
        <v>18.29</v>
      </c>
      <c r="J41" s="134">
        <v>0.53</v>
      </c>
      <c r="K41" s="134">
        <v>41.91</v>
      </c>
      <c r="L41" s="134">
        <v>28.48</v>
      </c>
      <c r="M41" s="134">
        <v>86.45</v>
      </c>
      <c r="N41" s="134">
        <v>196.9</v>
      </c>
      <c r="O41" s="134">
        <v>0</v>
      </c>
      <c r="P41" s="134">
        <v>0.84</v>
      </c>
      <c r="Q41" s="134">
        <v>4.58</v>
      </c>
    </row>
    <row r="42" spans="1:17" customFormat="1">
      <c r="A42" s="112" t="s">
        <v>2861</v>
      </c>
      <c r="B42" s="134">
        <v>21.96</v>
      </c>
      <c r="C42" s="134">
        <v>30.63</v>
      </c>
      <c r="D42" s="134">
        <v>34.96</v>
      </c>
      <c r="E42" s="134">
        <v>8.02</v>
      </c>
      <c r="F42" s="134">
        <v>3.09</v>
      </c>
      <c r="G42" s="134">
        <v>36.31</v>
      </c>
      <c r="H42" s="134">
        <v>18.899999999999999</v>
      </c>
      <c r="I42" s="134">
        <v>17.86</v>
      </c>
      <c r="J42" s="134">
        <v>0.48</v>
      </c>
      <c r="K42" s="134">
        <v>44.32</v>
      </c>
      <c r="L42" s="134">
        <v>28.89</v>
      </c>
      <c r="M42" s="134">
        <v>84.64</v>
      </c>
      <c r="N42" s="134">
        <v>242.2</v>
      </c>
      <c r="O42" s="134">
        <v>0</v>
      </c>
      <c r="P42" s="134">
        <v>0.87</v>
      </c>
      <c r="Q42" s="134">
        <v>4.62</v>
      </c>
    </row>
    <row r="43" spans="1:17" customFormat="1">
      <c r="A43" s="112" t="s">
        <v>2862</v>
      </c>
      <c r="B43" s="134">
        <v>22.34</v>
      </c>
      <c r="C43" s="134">
        <v>31.23</v>
      </c>
      <c r="D43" s="134">
        <v>35.58</v>
      </c>
      <c r="E43" s="134">
        <v>8.56</v>
      </c>
      <c r="F43" s="134">
        <v>2.95</v>
      </c>
      <c r="G43" s="134">
        <v>56.97</v>
      </c>
      <c r="H43" s="134">
        <v>22.63</v>
      </c>
      <c r="I43" s="134">
        <v>17.510000000000002</v>
      </c>
      <c r="J43" s="134">
        <v>0.38</v>
      </c>
      <c r="K43" s="134">
        <v>60.44</v>
      </c>
      <c r="L43" s="134">
        <v>29.46</v>
      </c>
      <c r="M43" s="134">
        <v>80.81</v>
      </c>
      <c r="N43" s="134">
        <v>281</v>
      </c>
      <c r="O43" s="134">
        <v>0</v>
      </c>
      <c r="P43" s="134">
        <v>0.92</v>
      </c>
      <c r="Q43" s="134">
        <v>4.6399999999999997</v>
      </c>
    </row>
    <row r="44" spans="1:17" customFormat="1">
      <c r="A44" s="112" t="s">
        <v>2863</v>
      </c>
      <c r="B44" s="134">
        <v>22.28</v>
      </c>
      <c r="C44" s="134">
        <v>31.84</v>
      </c>
      <c r="D44" s="134">
        <v>35.86</v>
      </c>
      <c r="E44" s="134">
        <v>6.99</v>
      </c>
      <c r="F44" s="134">
        <v>2.92</v>
      </c>
      <c r="G44" s="134">
        <v>129.30000000000001</v>
      </c>
      <c r="H44" s="134">
        <v>31.39</v>
      </c>
      <c r="I44" s="134">
        <v>17.18</v>
      </c>
      <c r="J44" s="134">
        <v>0.38</v>
      </c>
      <c r="K44" s="134">
        <v>59.22</v>
      </c>
      <c r="L44" s="134">
        <v>29.95</v>
      </c>
      <c r="M44" s="134">
        <v>76.540000000000006</v>
      </c>
      <c r="N44" s="134">
        <v>309.39999999999998</v>
      </c>
      <c r="O44" s="134">
        <v>0</v>
      </c>
      <c r="P44" s="134">
        <v>0.91</v>
      </c>
      <c r="Q44" s="134">
        <v>4.66</v>
      </c>
    </row>
    <row r="45" spans="1:17" customFormat="1">
      <c r="A45" s="112" t="s">
        <v>2864</v>
      </c>
      <c r="B45" s="134">
        <v>21.68</v>
      </c>
      <c r="C45" s="134">
        <v>31.19</v>
      </c>
      <c r="D45" s="134">
        <v>35.03</v>
      </c>
      <c r="E45" s="134">
        <v>6.7</v>
      </c>
      <c r="F45" s="134">
        <v>3.36</v>
      </c>
      <c r="G45" s="134">
        <v>129.30000000000001</v>
      </c>
      <c r="H45" s="134">
        <v>31.39</v>
      </c>
      <c r="I45" s="134">
        <v>16.96</v>
      </c>
      <c r="J45" s="134">
        <v>0.38</v>
      </c>
      <c r="K45" s="134">
        <v>52.69</v>
      </c>
      <c r="L45" s="134">
        <v>30.07</v>
      </c>
      <c r="M45" s="134">
        <v>77.03</v>
      </c>
      <c r="N45" s="134">
        <v>184.3</v>
      </c>
      <c r="O45" s="134">
        <v>0</v>
      </c>
      <c r="P45" s="134">
        <v>0.91</v>
      </c>
      <c r="Q45" s="134">
        <v>4.6500000000000004</v>
      </c>
    </row>
    <row r="46" spans="1:17" customFormat="1">
      <c r="A46" s="112" t="s">
        <v>2865</v>
      </c>
      <c r="B46" s="134">
        <v>21.05</v>
      </c>
      <c r="C46" s="134">
        <v>31.31</v>
      </c>
      <c r="D46" s="134">
        <v>34.590000000000003</v>
      </c>
      <c r="E46" s="134">
        <v>6.53</v>
      </c>
      <c r="F46" s="134">
        <v>3.48</v>
      </c>
      <c r="G46" s="134">
        <v>129.30000000000001</v>
      </c>
      <c r="H46" s="134">
        <v>31.39</v>
      </c>
      <c r="I46" s="134">
        <v>16.600000000000001</v>
      </c>
      <c r="J46" s="134">
        <v>0.6</v>
      </c>
      <c r="K46" s="134">
        <v>39.94</v>
      </c>
      <c r="L46" s="134">
        <v>29.82</v>
      </c>
      <c r="M46" s="134">
        <v>77.180000000000007</v>
      </c>
      <c r="N46" s="134">
        <v>366.8</v>
      </c>
      <c r="O46" s="134">
        <v>0</v>
      </c>
      <c r="P46" s="134">
        <v>0.91</v>
      </c>
      <c r="Q46" s="134">
        <v>4.6100000000000003</v>
      </c>
    </row>
    <row r="47" spans="1:17" customFormat="1">
      <c r="A47" s="112" t="s">
        <v>2866</v>
      </c>
      <c r="B47" s="134">
        <v>20.78</v>
      </c>
      <c r="C47" s="134">
        <v>30.9</v>
      </c>
      <c r="D47" s="134">
        <v>34.159999999999997</v>
      </c>
      <c r="E47" s="134">
        <v>6.51</v>
      </c>
      <c r="F47" s="134">
        <v>3.7</v>
      </c>
      <c r="G47" s="134">
        <v>114.64</v>
      </c>
      <c r="H47" s="134">
        <v>31.43</v>
      </c>
      <c r="I47" s="134">
        <v>15.9</v>
      </c>
      <c r="J47" s="134">
        <v>0.72</v>
      </c>
      <c r="K47" s="134">
        <v>42.64</v>
      </c>
      <c r="L47" s="134">
        <v>30.18</v>
      </c>
      <c r="M47" s="134">
        <v>75.84</v>
      </c>
      <c r="N47" s="134">
        <v>374.4</v>
      </c>
      <c r="O47" s="134">
        <v>0</v>
      </c>
      <c r="P47" s="134">
        <v>0.9</v>
      </c>
      <c r="Q47" s="134">
        <v>4.58</v>
      </c>
    </row>
    <row r="48" spans="1:17" customFormat="1">
      <c r="A48" s="112" t="s">
        <v>2867</v>
      </c>
      <c r="B48" s="134">
        <v>20</v>
      </c>
      <c r="C48" s="134">
        <v>31.06</v>
      </c>
      <c r="D48" s="134">
        <v>33.61</v>
      </c>
      <c r="E48" s="134">
        <v>7.19</v>
      </c>
      <c r="F48" s="134">
        <v>4.1500000000000004</v>
      </c>
      <c r="G48" s="134">
        <v>63.32</v>
      </c>
      <c r="H48" s="134">
        <v>31.53</v>
      </c>
      <c r="I48" s="134">
        <v>15.32</v>
      </c>
      <c r="J48" s="134">
        <v>0.56000000000000005</v>
      </c>
      <c r="K48" s="134">
        <v>46.23</v>
      </c>
      <c r="L48" s="134">
        <v>30.54</v>
      </c>
      <c r="M48" s="134">
        <v>75.48</v>
      </c>
      <c r="N48" s="134">
        <v>358.8</v>
      </c>
      <c r="O48" s="134">
        <v>0</v>
      </c>
      <c r="P48" s="134">
        <v>0.89</v>
      </c>
      <c r="Q48" s="134">
        <v>4.57</v>
      </c>
    </row>
    <row r="49" spans="1:17" customFormat="1">
      <c r="A49" s="112" t="s">
        <v>2868</v>
      </c>
      <c r="B49" s="134">
        <v>19.36</v>
      </c>
      <c r="C49" s="134">
        <v>31.53</v>
      </c>
      <c r="D49" s="134">
        <v>33.35</v>
      </c>
      <c r="E49" s="134">
        <v>5.89</v>
      </c>
      <c r="F49" s="134">
        <v>3.85</v>
      </c>
      <c r="G49" s="134">
        <v>63.32</v>
      </c>
      <c r="H49" s="134">
        <v>31.53</v>
      </c>
      <c r="I49" s="134">
        <v>15.26</v>
      </c>
      <c r="J49" s="134">
        <v>0.68</v>
      </c>
      <c r="K49" s="134">
        <v>36.67</v>
      </c>
      <c r="L49" s="134">
        <v>30.63</v>
      </c>
      <c r="M49" s="134">
        <v>75.38</v>
      </c>
      <c r="N49" s="134">
        <v>470.5</v>
      </c>
      <c r="O49" s="134">
        <v>0</v>
      </c>
      <c r="P49" s="134">
        <v>0.88</v>
      </c>
      <c r="Q49" s="134">
        <v>4.51</v>
      </c>
    </row>
    <row r="50" spans="1:17" customFormat="1">
      <c r="A50" s="112" t="s">
        <v>2869</v>
      </c>
      <c r="B50" s="134">
        <v>18.63</v>
      </c>
      <c r="C50" s="134">
        <v>30.5</v>
      </c>
      <c r="D50" s="134">
        <v>32.229999999999997</v>
      </c>
      <c r="E50" s="134">
        <v>7.11</v>
      </c>
      <c r="F50" s="134">
        <v>4.5999999999999996</v>
      </c>
      <c r="G50" s="134">
        <v>63.32</v>
      </c>
      <c r="H50" s="134">
        <v>31.53</v>
      </c>
      <c r="I50" s="134">
        <v>14.69</v>
      </c>
      <c r="J50" s="134">
        <v>0.72</v>
      </c>
      <c r="K50" s="134">
        <v>40.89</v>
      </c>
      <c r="L50" s="134">
        <v>30.77</v>
      </c>
      <c r="M50" s="134">
        <v>73.84</v>
      </c>
      <c r="N50" s="134">
        <v>536</v>
      </c>
      <c r="O50" s="134">
        <v>0</v>
      </c>
      <c r="P50" s="134">
        <v>0.86</v>
      </c>
      <c r="Q50" s="134">
        <v>4.49</v>
      </c>
    </row>
    <row r="51" spans="1:17" customFormat="1">
      <c r="A51" s="112" t="s">
        <v>2870</v>
      </c>
      <c r="B51" s="134">
        <v>17.52</v>
      </c>
      <c r="C51" s="134">
        <v>31.22</v>
      </c>
      <c r="D51" s="134">
        <v>31.71</v>
      </c>
      <c r="E51" s="134">
        <v>7.34</v>
      </c>
      <c r="F51" s="134">
        <v>5.46</v>
      </c>
      <c r="G51" s="134">
        <v>65.25</v>
      </c>
      <c r="H51" s="134">
        <v>30.59</v>
      </c>
      <c r="I51" s="134">
        <v>14.37</v>
      </c>
      <c r="J51" s="134">
        <v>0.53</v>
      </c>
      <c r="K51" s="134">
        <v>45.22</v>
      </c>
      <c r="L51" s="134">
        <v>31.44</v>
      </c>
      <c r="M51" s="134">
        <v>73.17</v>
      </c>
      <c r="N51" s="134">
        <v>575.4</v>
      </c>
      <c r="O51" s="134">
        <v>0</v>
      </c>
      <c r="P51" s="134">
        <v>0.85</v>
      </c>
      <c r="Q51" s="134">
        <v>4.4400000000000004</v>
      </c>
    </row>
    <row r="52" spans="1:17" customFormat="1">
      <c r="A52" s="112" t="s">
        <v>2871</v>
      </c>
      <c r="B52" s="134">
        <v>16.75</v>
      </c>
      <c r="C52" s="134">
        <v>30.54</v>
      </c>
      <c r="D52" s="134">
        <v>30.74</v>
      </c>
      <c r="E52" s="134">
        <v>7.32</v>
      </c>
      <c r="F52" s="134">
        <v>5.23</v>
      </c>
      <c r="G52" s="134">
        <v>71.59</v>
      </c>
      <c r="H52" s="134">
        <v>28.39</v>
      </c>
      <c r="I52" s="134">
        <v>13.95</v>
      </c>
      <c r="J52" s="134">
        <v>0.81</v>
      </c>
      <c r="K52" s="134">
        <v>38.299999999999997</v>
      </c>
      <c r="L52" s="134">
        <v>31.19</v>
      </c>
      <c r="M52" s="134">
        <v>70.12</v>
      </c>
      <c r="N52" s="134">
        <v>575.29999999999995</v>
      </c>
      <c r="O52" s="134">
        <v>0</v>
      </c>
      <c r="P52" s="134">
        <v>0.84</v>
      </c>
      <c r="Q52" s="134">
        <v>4.38</v>
      </c>
    </row>
    <row r="53" spans="1:17" customFormat="1">
      <c r="A53" s="112" t="s">
        <v>2872</v>
      </c>
      <c r="B53" s="134">
        <v>15.73</v>
      </c>
      <c r="C53" s="134">
        <v>30.9</v>
      </c>
      <c r="D53" s="134">
        <v>30.11</v>
      </c>
      <c r="E53" s="134">
        <v>7.65</v>
      </c>
      <c r="F53" s="134">
        <v>5.93</v>
      </c>
      <c r="G53" s="134">
        <v>71.59</v>
      </c>
      <c r="H53" s="134">
        <v>28.39</v>
      </c>
      <c r="I53" s="134">
        <v>13.09</v>
      </c>
      <c r="J53" s="134">
        <v>0.55000000000000004</v>
      </c>
      <c r="K53" s="134">
        <v>30.87</v>
      </c>
      <c r="L53" s="134">
        <v>31.58</v>
      </c>
      <c r="M53" s="134">
        <v>68.8</v>
      </c>
      <c r="N53" s="134">
        <v>581.70000000000005</v>
      </c>
      <c r="O53" s="134">
        <v>0</v>
      </c>
      <c r="P53" s="134">
        <v>0.81</v>
      </c>
      <c r="Q53" s="134">
        <v>4.3099999999999996</v>
      </c>
    </row>
    <row r="54" spans="1:17" customFormat="1">
      <c r="A54" s="112" t="s">
        <v>2873</v>
      </c>
      <c r="B54" s="134">
        <v>14.77</v>
      </c>
      <c r="C54" s="134">
        <v>30.17</v>
      </c>
      <c r="D54" s="134">
        <v>28.95</v>
      </c>
      <c r="E54" s="134">
        <v>7.28</v>
      </c>
      <c r="F54" s="134">
        <v>5.37</v>
      </c>
      <c r="G54" s="134">
        <v>71.59</v>
      </c>
      <c r="H54" s="134">
        <v>28.39</v>
      </c>
      <c r="I54" s="134">
        <v>13.16</v>
      </c>
      <c r="J54" s="134">
        <v>0.38</v>
      </c>
      <c r="K54" s="134">
        <v>43.2</v>
      </c>
      <c r="L54" s="134">
        <v>32.07</v>
      </c>
      <c r="M54" s="134">
        <v>66.34</v>
      </c>
      <c r="N54" s="134">
        <v>650.9</v>
      </c>
      <c r="O54" s="134">
        <v>0</v>
      </c>
      <c r="P54" s="134">
        <v>0.81</v>
      </c>
      <c r="Q54" s="134">
        <v>4.25</v>
      </c>
    </row>
    <row r="55" spans="1:17" customFormat="1">
      <c r="A55" s="112" t="s">
        <v>2874</v>
      </c>
      <c r="B55" s="134">
        <v>13.78</v>
      </c>
      <c r="C55" s="134">
        <v>30.96</v>
      </c>
      <c r="D55" s="134">
        <v>28.57</v>
      </c>
      <c r="E55" s="134">
        <v>7.28</v>
      </c>
      <c r="F55" s="134">
        <v>5.71</v>
      </c>
      <c r="G55" s="134">
        <v>70.47</v>
      </c>
      <c r="H55" s="134">
        <v>28.54</v>
      </c>
      <c r="I55" s="134">
        <v>12.41</v>
      </c>
      <c r="J55" s="134">
        <v>0.5</v>
      </c>
      <c r="K55" s="134">
        <v>47.95</v>
      </c>
      <c r="L55" s="134">
        <v>32.479999999999997</v>
      </c>
      <c r="M55" s="134">
        <v>66.08</v>
      </c>
      <c r="N55" s="134">
        <v>673.5</v>
      </c>
      <c r="O55" s="134">
        <v>0</v>
      </c>
      <c r="P55" s="134">
        <v>0.78</v>
      </c>
      <c r="Q55" s="134">
        <v>4.21</v>
      </c>
    </row>
    <row r="56" spans="1:17" customFormat="1">
      <c r="A56" s="112" t="s">
        <v>2875</v>
      </c>
      <c r="B56" s="134">
        <v>12.82</v>
      </c>
      <c r="C56" s="134">
        <v>29.78</v>
      </c>
      <c r="D56" s="134">
        <v>27.19</v>
      </c>
      <c r="E56" s="134">
        <v>7.54</v>
      </c>
      <c r="F56" s="134">
        <v>6.2</v>
      </c>
      <c r="G56" s="134">
        <v>66.78</v>
      </c>
      <c r="H56" s="134">
        <v>28.9</v>
      </c>
      <c r="I56" s="134">
        <v>12.3</v>
      </c>
      <c r="J56" s="134">
        <v>0.31</v>
      </c>
      <c r="K56" s="134">
        <v>82.83</v>
      </c>
      <c r="L56" s="134">
        <v>32.51</v>
      </c>
      <c r="M56" s="134">
        <v>64.239999999999995</v>
      </c>
      <c r="N56" s="134">
        <v>592.5</v>
      </c>
      <c r="O56" s="134">
        <v>0</v>
      </c>
      <c r="P56" s="134">
        <v>0.78</v>
      </c>
      <c r="Q56" s="134">
        <v>4.1399999999999997</v>
      </c>
    </row>
    <row r="57" spans="1:17" customFormat="1">
      <c r="A57" s="112" t="s">
        <v>2876</v>
      </c>
      <c r="B57" s="134">
        <v>11.81</v>
      </c>
      <c r="C57" s="134">
        <v>30.2</v>
      </c>
      <c r="D57" s="134">
        <v>26.6</v>
      </c>
      <c r="E57" s="134">
        <v>7.8</v>
      </c>
      <c r="F57" s="134">
        <v>6.4</v>
      </c>
      <c r="G57" s="134">
        <v>66.78</v>
      </c>
      <c r="H57" s="134">
        <v>28.9</v>
      </c>
      <c r="I57" s="134">
        <v>11.63</v>
      </c>
      <c r="J57" s="134">
        <v>0.5</v>
      </c>
      <c r="K57" s="134">
        <v>57.69</v>
      </c>
      <c r="L57" s="134">
        <v>32.61</v>
      </c>
      <c r="M57" s="134">
        <v>63.77</v>
      </c>
      <c r="N57" s="134">
        <v>691.5</v>
      </c>
      <c r="O57" s="134">
        <v>0</v>
      </c>
      <c r="P57" s="134">
        <v>0.75</v>
      </c>
      <c r="Q57" s="134">
        <v>4.0599999999999996</v>
      </c>
    </row>
    <row r="58" spans="1:17" customFormat="1">
      <c r="A58" s="112" t="s">
        <v>2877</v>
      </c>
      <c r="B58" s="134">
        <v>10.77</v>
      </c>
      <c r="C58" s="134">
        <v>28.15</v>
      </c>
      <c r="D58" s="134">
        <v>24.7</v>
      </c>
      <c r="E58" s="134">
        <v>8.35</v>
      </c>
      <c r="F58" s="134">
        <v>7.56</v>
      </c>
      <c r="G58" s="134">
        <v>66.78</v>
      </c>
      <c r="H58" s="134">
        <v>28.9</v>
      </c>
      <c r="I58" s="134">
        <v>11.58</v>
      </c>
      <c r="J58" s="134">
        <v>0.67</v>
      </c>
      <c r="K58" s="134">
        <v>37.96</v>
      </c>
      <c r="L58" s="134">
        <v>32.229999999999997</v>
      </c>
      <c r="M58" s="134">
        <v>65.180000000000007</v>
      </c>
      <c r="N58" s="134">
        <v>600.5</v>
      </c>
      <c r="O58" s="134">
        <v>0</v>
      </c>
      <c r="P58" s="134">
        <v>0.73</v>
      </c>
      <c r="Q58" s="134">
        <v>3.96</v>
      </c>
    </row>
    <row r="59" spans="1:17" customFormat="1">
      <c r="A59" s="112" t="s">
        <v>2878</v>
      </c>
      <c r="B59" s="134">
        <v>10.25</v>
      </c>
      <c r="C59" s="134">
        <v>27.28</v>
      </c>
      <c r="D59" s="134">
        <v>23.82</v>
      </c>
      <c r="E59" s="134">
        <v>8.92</v>
      </c>
      <c r="F59" s="134">
        <v>10.37</v>
      </c>
      <c r="G59" s="134">
        <v>62.39</v>
      </c>
      <c r="H59" s="134">
        <v>28.85</v>
      </c>
      <c r="I59" s="134">
        <v>10.94</v>
      </c>
      <c r="J59" s="134">
        <v>0.65</v>
      </c>
      <c r="K59" s="134">
        <v>40.880000000000003</v>
      </c>
      <c r="L59" s="134">
        <v>31.86</v>
      </c>
      <c r="M59" s="134">
        <v>67.680000000000007</v>
      </c>
      <c r="N59" s="134">
        <v>443.2</v>
      </c>
      <c r="O59" s="134">
        <v>0</v>
      </c>
      <c r="P59" s="134">
        <v>0.72</v>
      </c>
      <c r="Q59" s="134">
        <v>3.91</v>
      </c>
    </row>
    <row r="60" spans="1:17" customFormat="1">
      <c r="A60" s="112" t="s">
        <v>2879</v>
      </c>
      <c r="B60" s="134">
        <v>10.029999999999999</v>
      </c>
      <c r="C60" s="134">
        <v>26.18</v>
      </c>
      <c r="D60" s="134">
        <v>23.07</v>
      </c>
      <c r="E60" s="134">
        <v>9.69</v>
      </c>
      <c r="F60" s="134">
        <v>9.67</v>
      </c>
      <c r="G60" s="134">
        <v>47.03</v>
      </c>
      <c r="H60" s="134">
        <v>28.62</v>
      </c>
      <c r="I60" s="134">
        <v>10.67</v>
      </c>
      <c r="J60" s="134">
        <v>0.46</v>
      </c>
      <c r="K60" s="134">
        <v>49.85</v>
      </c>
      <c r="L60" s="134">
        <v>32.36</v>
      </c>
      <c r="M60" s="134">
        <v>65.05</v>
      </c>
      <c r="N60" s="134">
        <v>627.4</v>
      </c>
      <c r="O60" s="134">
        <v>0</v>
      </c>
      <c r="P60" s="134">
        <v>0.71</v>
      </c>
      <c r="Q60" s="134">
        <v>3.85</v>
      </c>
    </row>
    <row r="61" spans="1:17" customFormat="1">
      <c r="A61" s="112" t="s">
        <v>2880</v>
      </c>
      <c r="B61" s="134">
        <v>9.83</v>
      </c>
      <c r="C61" s="134">
        <v>26.1</v>
      </c>
      <c r="D61" s="134">
        <v>22.87</v>
      </c>
      <c r="E61" s="134">
        <v>8.83</v>
      </c>
      <c r="F61" s="134">
        <v>7.97</v>
      </c>
      <c r="G61" s="134">
        <v>47.03</v>
      </c>
      <c r="H61" s="134">
        <v>28.62</v>
      </c>
      <c r="I61" s="134">
        <v>10.35</v>
      </c>
      <c r="J61" s="134">
        <v>0.49</v>
      </c>
      <c r="K61" s="134">
        <v>38.61</v>
      </c>
      <c r="L61" s="134">
        <v>32.549999999999997</v>
      </c>
      <c r="M61" s="134">
        <v>62.93</v>
      </c>
      <c r="N61" s="134">
        <v>575.29999999999995</v>
      </c>
      <c r="O61" s="134">
        <v>0</v>
      </c>
      <c r="P61" s="134">
        <v>0.7</v>
      </c>
      <c r="Q61" s="134">
        <v>3.8</v>
      </c>
    </row>
    <row r="62" spans="1:17" customFormat="1">
      <c r="A62" s="112" t="s">
        <v>2881</v>
      </c>
      <c r="B62" s="134">
        <v>9.8000000000000007</v>
      </c>
      <c r="C62" s="134">
        <v>26.45</v>
      </c>
      <c r="D62" s="134">
        <v>23.03</v>
      </c>
      <c r="E62" s="134">
        <v>11.13</v>
      </c>
      <c r="F62" s="134">
        <v>6.98</v>
      </c>
      <c r="G62" s="134">
        <v>47.03</v>
      </c>
      <c r="H62" s="134">
        <v>28.62</v>
      </c>
      <c r="I62" s="134">
        <v>10.23</v>
      </c>
      <c r="J62" s="134">
        <v>0.55000000000000004</v>
      </c>
      <c r="K62" s="134">
        <v>46.75</v>
      </c>
      <c r="L62" s="134">
        <v>32.840000000000003</v>
      </c>
      <c r="M62" s="134">
        <v>63.34</v>
      </c>
      <c r="N62" s="134">
        <v>532</v>
      </c>
      <c r="O62" s="134">
        <v>0</v>
      </c>
      <c r="P62" s="134">
        <v>0.69</v>
      </c>
      <c r="Q62" s="134">
        <v>3.76</v>
      </c>
    </row>
    <row r="63" spans="1:17" customFormat="1">
      <c r="A63" s="112" t="s">
        <v>2882</v>
      </c>
      <c r="B63" s="134">
        <v>9.76</v>
      </c>
      <c r="C63" s="134">
        <v>25.15</v>
      </c>
      <c r="D63" s="134">
        <v>22.32</v>
      </c>
      <c r="E63" s="134">
        <v>11.9</v>
      </c>
      <c r="F63" s="134">
        <v>10.86</v>
      </c>
      <c r="G63" s="134">
        <v>50.25</v>
      </c>
      <c r="H63" s="134">
        <v>28.32</v>
      </c>
      <c r="I63" s="134">
        <v>10.17</v>
      </c>
      <c r="J63" s="134">
        <v>0.7</v>
      </c>
      <c r="K63" s="134">
        <v>36.89</v>
      </c>
      <c r="L63" s="134">
        <v>32.19</v>
      </c>
      <c r="M63" s="134">
        <v>67.14</v>
      </c>
      <c r="N63" s="134">
        <v>412.1</v>
      </c>
      <c r="O63" s="134">
        <v>0</v>
      </c>
      <c r="P63" s="134">
        <v>0.66</v>
      </c>
      <c r="Q63" s="134">
        <v>3.73</v>
      </c>
    </row>
    <row r="64" spans="1:17" customFormat="1">
      <c r="A64" s="112" t="s">
        <v>2883</v>
      </c>
      <c r="B64" s="134">
        <v>10.15</v>
      </c>
      <c r="C64" s="134">
        <v>25.03</v>
      </c>
      <c r="D64" s="134">
        <v>22.57</v>
      </c>
      <c r="E64" s="134">
        <v>12.65</v>
      </c>
      <c r="F64" s="134">
        <v>9.8699999999999992</v>
      </c>
      <c r="G64" s="134">
        <v>60.85</v>
      </c>
      <c r="H64" s="134">
        <v>27.62</v>
      </c>
      <c r="I64" s="134">
        <v>9.83</v>
      </c>
      <c r="J64" s="134">
        <v>0.71</v>
      </c>
      <c r="K64" s="134">
        <v>37.94</v>
      </c>
      <c r="L64" s="134">
        <v>32.17</v>
      </c>
      <c r="M64" s="134">
        <v>67.22</v>
      </c>
      <c r="N64" s="134">
        <v>474.1</v>
      </c>
      <c r="O64" s="134">
        <v>0</v>
      </c>
      <c r="P64" s="134">
        <v>0.66</v>
      </c>
      <c r="Q64" s="134">
        <v>3.7</v>
      </c>
    </row>
    <row r="65" spans="1:17" customFormat="1">
      <c r="A65" s="112" t="s">
        <v>2884</v>
      </c>
      <c r="B65" s="134">
        <v>11.6</v>
      </c>
      <c r="C65" s="134">
        <v>29.36</v>
      </c>
      <c r="D65" s="134">
        <v>26</v>
      </c>
      <c r="E65" s="134">
        <v>23.5</v>
      </c>
      <c r="F65" s="134">
        <v>6.75</v>
      </c>
      <c r="G65" s="134">
        <v>60.85</v>
      </c>
      <c r="H65" s="134">
        <v>27.62</v>
      </c>
      <c r="I65" s="134">
        <v>9.1999999999999993</v>
      </c>
      <c r="J65" s="134">
        <v>0.51</v>
      </c>
      <c r="K65" s="134">
        <v>51.09</v>
      </c>
      <c r="L65" s="134">
        <v>32.29</v>
      </c>
      <c r="M65" s="134">
        <v>64.45</v>
      </c>
      <c r="N65" s="134">
        <v>451.3</v>
      </c>
      <c r="O65" s="134">
        <v>0</v>
      </c>
      <c r="P65" s="134">
        <v>0.64</v>
      </c>
      <c r="Q65" s="134">
        <v>3.7</v>
      </c>
    </row>
    <row r="66" spans="1:17" customFormat="1">
      <c r="A66" s="112" t="s">
        <v>2885</v>
      </c>
      <c r="B66" s="134">
        <v>10.69</v>
      </c>
      <c r="C66" s="134">
        <v>26.23</v>
      </c>
      <c r="D66" s="134">
        <v>23.62</v>
      </c>
      <c r="E66" s="134">
        <v>12.63</v>
      </c>
      <c r="F66" s="134">
        <v>11.57</v>
      </c>
      <c r="G66" s="134">
        <v>60.85</v>
      </c>
      <c r="H66" s="134">
        <v>27.62</v>
      </c>
      <c r="I66" s="134">
        <v>9.17</v>
      </c>
      <c r="J66" s="134">
        <v>0.64</v>
      </c>
      <c r="K66" s="134">
        <v>29.71</v>
      </c>
      <c r="L66" s="134">
        <v>32.36</v>
      </c>
      <c r="M66" s="134">
        <v>65.08</v>
      </c>
      <c r="N66" s="134">
        <v>408.4</v>
      </c>
      <c r="O66" s="134">
        <v>0</v>
      </c>
      <c r="P66" s="134">
        <v>0.63</v>
      </c>
      <c r="Q66" s="134">
        <v>3.74</v>
      </c>
    </row>
    <row r="67" spans="1:17" customFormat="1">
      <c r="A67" s="112" t="s">
        <v>2886</v>
      </c>
      <c r="B67" s="134">
        <v>10.25</v>
      </c>
      <c r="C67" s="134">
        <v>25.14</v>
      </c>
      <c r="D67" s="134">
        <v>22.71</v>
      </c>
      <c r="E67" s="134">
        <v>12.55</v>
      </c>
      <c r="F67" s="134">
        <v>13.66</v>
      </c>
      <c r="G67" s="134">
        <v>58.27</v>
      </c>
      <c r="H67" s="134">
        <v>27.67</v>
      </c>
      <c r="I67" s="134">
        <v>9.2100000000000009</v>
      </c>
      <c r="J67" s="134">
        <v>0.62</v>
      </c>
      <c r="K67" s="134">
        <v>23.91</v>
      </c>
      <c r="L67" s="134">
        <v>32.130000000000003</v>
      </c>
      <c r="M67" s="134">
        <v>66.02</v>
      </c>
      <c r="N67" s="134">
        <v>287.7</v>
      </c>
      <c r="O67" s="134">
        <v>0</v>
      </c>
      <c r="P67" s="134">
        <v>0.63</v>
      </c>
      <c r="Q67" s="134">
        <v>3.73</v>
      </c>
    </row>
    <row r="68" spans="1:17" customFormat="1">
      <c r="A68" s="112" t="s">
        <v>2887</v>
      </c>
      <c r="B68" s="134">
        <v>11.62</v>
      </c>
      <c r="C68" s="134">
        <v>23.7</v>
      </c>
      <c r="D68" s="134">
        <v>23.05</v>
      </c>
      <c r="E68" s="134">
        <v>15.44</v>
      </c>
      <c r="F68" s="134">
        <v>14.88</v>
      </c>
      <c r="G68" s="134">
        <v>49.82</v>
      </c>
      <c r="H68" s="134">
        <v>27.79</v>
      </c>
      <c r="I68" s="134">
        <v>8.7799999999999994</v>
      </c>
      <c r="J68" s="134">
        <v>0.64</v>
      </c>
      <c r="K68" s="134">
        <v>33.29</v>
      </c>
      <c r="L68" s="134">
        <v>31.87</v>
      </c>
      <c r="M68" s="134">
        <v>67.19</v>
      </c>
      <c r="N68" s="134">
        <v>269.7</v>
      </c>
      <c r="O68" s="134">
        <v>0</v>
      </c>
      <c r="P68" s="134">
        <v>0.62</v>
      </c>
      <c r="Q68" s="134">
        <v>3.73</v>
      </c>
    </row>
    <row r="69" spans="1:17" customFormat="1">
      <c r="A69" s="112" t="s">
        <v>2888</v>
      </c>
      <c r="B69" s="134">
        <v>10.32</v>
      </c>
      <c r="C69" s="134">
        <v>24.6</v>
      </c>
      <c r="D69" s="134">
        <v>22.48</v>
      </c>
      <c r="E69" s="134">
        <v>14.26</v>
      </c>
      <c r="F69" s="134">
        <v>12.26</v>
      </c>
      <c r="G69" s="134">
        <v>49.82</v>
      </c>
      <c r="H69" s="134">
        <v>27.79</v>
      </c>
      <c r="I69" s="134">
        <v>8.36</v>
      </c>
      <c r="J69" s="134">
        <v>0.56999999999999995</v>
      </c>
      <c r="K69" s="134">
        <v>40.64</v>
      </c>
      <c r="L69" s="134">
        <v>31.81</v>
      </c>
      <c r="M69" s="134">
        <v>67.099999999999994</v>
      </c>
      <c r="N69" s="134">
        <v>229.2</v>
      </c>
      <c r="O69" s="134">
        <v>0</v>
      </c>
      <c r="P69" s="134">
        <v>0.62</v>
      </c>
      <c r="Q69" s="134">
        <v>3.73</v>
      </c>
    </row>
    <row r="70" spans="1:17" customFormat="1">
      <c r="A70" s="112" t="s">
        <v>2889</v>
      </c>
      <c r="B70" s="134">
        <v>10.06</v>
      </c>
      <c r="C70" s="134">
        <v>24.83</v>
      </c>
      <c r="D70" s="134">
        <v>22.39</v>
      </c>
      <c r="E70" s="134">
        <v>15.82</v>
      </c>
      <c r="F70" s="134">
        <v>13.55</v>
      </c>
      <c r="G70" s="134">
        <v>49.82</v>
      </c>
      <c r="H70" s="134">
        <v>27.79</v>
      </c>
      <c r="I70" s="134">
        <v>8.11</v>
      </c>
      <c r="J70" s="134">
        <v>0.69</v>
      </c>
      <c r="K70" s="134">
        <v>30.8</v>
      </c>
      <c r="L70" s="134">
        <v>31.73</v>
      </c>
      <c r="M70" s="134">
        <v>68.53</v>
      </c>
      <c r="N70" s="134">
        <v>229.1</v>
      </c>
      <c r="O70" s="134">
        <v>0</v>
      </c>
      <c r="P70" s="134">
        <v>0.62</v>
      </c>
      <c r="Q70" s="134">
        <v>3.72</v>
      </c>
    </row>
    <row r="71" spans="1:17" customFormat="1">
      <c r="A71" s="112" t="s">
        <v>2890</v>
      </c>
      <c r="B71" s="134">
        <v>9.92</v>
      </c>
      <c r="C71" s="134">
        <v>25.19</v>
      </c>
      <c r="D71" s="134">
        <v>22.47</v>
      </c>
      <c r="E71" s="134">
        <v>15.38</v>
      </c>
      <c r="F71" s="134">
        <v>16.149999999999999</v>
      </c>
      <c r="G71" s="134">
        <v>53.78</v>
      </c>
      <c r="H71" s="134">
        <v>28.62</v>
      </c>
      <c r="I71" s="134">
        <v>8.19</v>
      </c>
      <c r="J71" s="134">
        <v>0.57999999999999996</v>
      </c>
      <c r="K71" s="134">
        <v>34.020000000000003</v>
      </c>
      <c r="L71" s="134">
        <v>31.63</v>
      </c>
      <c r="M71" s="134">
        <v>68.930000000000007</v>
      </c>
      <c r="N71" s="134">
        <v>146.19999999999999</v>
      </c>
      <c r="O71" s="134">
        <v>0</v>
      </c>
      <c r="P71" s="134">
        <v>0.61</v>
      </c>
      <c r="Q71" s="134">
        <v>3.71</v>
      </c>
    </row>
    <row r="72" spans="1:17" customFormat="1">
      <c r="A72" s="112" t="s">
        <v>2891</v>
      </c>
      <c r="B72" s="134">
        <v>9.91</v>
      </c>
      <c r="C72" s="134">
        <v>25.33</v>
      </c>
      <c r="D72" s="134">
        <v>22.53</v>
      </c>
      <c r="E72" s="134">
        <v>13.12</v>
      </c>
      <c r="F72" s="134">
        <v>14.2</v>
      </c>
      <c r="G72" s="134">
        <v>66.81</v>
      </c>
      <c r="H72" s="134">
        <v>30.67</v>
      </c>
      <c r="I72" s="134">
        <v>7.85</v>
      </c>
      <c r="J72" s="134">
        <v>0.73</v>
      </c>
      <c r="K72" s="134">
        <v>37.92</v>
      </c>
      <c r="L72" s="134">
        <v>31.22</v>
      </c>
      <c r="M72" s="134">
        <v>69.47</v>
      </c>
      <c r="N72" s="134">
        <v>107.8</v>
      </c>
      <c r="O72" s="134">
        <v>0</v>
      </c>
      <c r="P72" s="134">
        <v>0.61</v>
      </c>
      <c r="Q72" s="134">
        <v>3.71</v>
      </c>
    </row>
    <row r="73" spans="1:17" customFormat="1">
      <c r="A73" s="112" t="s">
        <v>2892</v>
      </c>
      <c r="B73" s="134">
        <v>9.89</v>
      </c>
      <c r="C73" s="134">
        <v>24.87</v>
      </c>
      <c r="D73" s="134">
        <v>22.27</v>
      </c>
      <c r="E73" s="134">
        <v>11.27</v>
      </c>
      <c r="F73" s="134">
        <v>16.350000000000001</v>
      </c>
      <c r="G73" s="134">
        <v>66.81</v>
      </c>
      <c r="H73" s="134">
        <v>30.67</v>
      </c>
      <c r="I73" s="134">
        <v>7.48</v>
      </c>
      <c r="J73" s="134">
        <v>0.73</v>
      </c>
      <c r="K73" s="134">
        <v>33.25</v>
      </c>
      <c r="L73" s="134">
        <v>30.94</v>
      </c>
      <c r="M73" s="134">
        <v>70.290000000000006</v>
      </c>
      <c r="N73" s="134">
        <v>85.2</v>
      </c>
      <c r="O73" s="134">
        <v>0</v>
      </c>
      <c r="P73" s="134">
        <v>0.6</v>
      </c>
      <c r="Q73" s="134">
        <v>3.7</v>
      </c>
    </row>
    <row r="74" spans="1:17" customFormat="1">
      <c r="A74" s="112" t="s">
        <v>2893</v>
      </c>
      <c r="B74" s="134">
        <v>9.67</v>
      </c>
      <c r="C74" s="134">
        <v>24.21</v>
      </c>
      <c r="D74" s="134">
        <v>21.75</v>
      </c>
      <c r="E74" s="134">
        <v>11.1</v>
      </c>
      <c r="F74" s="134">
        <v>18.47</v>
      </c>
      <c r="G74" s="134">
        <v>66.81</v>
      </c>
      <c r="H74" s="134">
        <v>30.67</v>
      </c>
      <c r="I74" s="134">
        <v>7.56</v>
      </c>
      <c r="J74" s="134">
        <v>0.49</v>
      </c>
      <c r="K74" s="134">
        <v>39.4</v>
      </c>
      <c r="L74" s="134">
        <v>30.81</v>
      </c>
      <c r="M74" s="134">
        <v>73.849999999999994</v>
      </c>
      <c r="N74" s="134">
        <v>65.900000000000006</v>
      </c>
      <c r="O74" s="134">
        <v>0</v>
      </c>
      <c r="P74" s="134">
        <v>0.6</v>
      </c>
      <c r="Q74" s="134">
        <v>3.7</v>
      </c>
    </row>
    <row r="75" spans="1:17" customFormat="1">
      <c r="A75" s="112" t="s">
        <v>2894</v>
      </c>
      <c r="B75" s="134">
        <v>10.199999999999999</v>
      </c>
      <c r="C75" s="134">
        <v>25.93</v>
      </c>
      <c r="D75" s="134">
        <v>23.08</v>
      </c>
      <c r="E75" s="134">
        <v>10.4</v>
      </c>
      <c r="F75" s="134">
        <v>14.59</v>
      </c>
      <c r="G75" s="134">
        <v>65.209999999999994</v>
      </c>
      <c r="H75" s="134">
        <v>30.09</v>
      </c>
      <c r="I75" s="134">
        <v>7.3</v>
      </c>
      <c r="J75" s="134">
        <v>0.45</v>
      </c>
      <c r="K75" s="134">
        <v>53.12</v>
      </c>
      <c r="L75" s="134">
        <v>30.63</v>
      </c>
      <c r="M75" s="134">
        <v>73.89</v>
      </c>
      <c r="N75" s="134">
        <v>53.5</v>
      </c>
      <c r="O75" s="134">
        <v>0</v>
      </c>
      <c r="P75" s="134">
        <v>0.61</v>
      </c>
      <c r="Q75" s="134">
        <v>3.71</v>
      </c>
    </row>
    <row r="76" spans="1:17" customFormat="1">
      <c r="A76" s="112" t="s">
        <v>2895</v>
      </c>
      <c r="B76" s="134">
        <v>12.41</v>
      </c>
      <c r="C76" s="134">
        <v>26.92</v>
      </c>
      <c r="D76" s="134">
        <v>25.37</v>
      </c>
      <c r="E76" s="134">
        <v>10.45</v>
      </c>
      <c r="F76" s="134">
        <v>14.89</v>
      </c>
      <c r="G76" s="134">
        <v>59.95</v>
      </c>
      <c r="H76" s="134">
        <v>28.72</v>
      </c>
      <c r="I76" s="134">
        <v>6.9</v>
      </c>
      <c r="J76" s="134">
        <v>0.44</v>
      </c>
      <c r="K76" s="134">
        <v>45.56</v>
      </c>
      <c r="L76" s="134">
        <v>30.47</v>
      </c>
      <c r="M76" s="134">
        <v>74.53</v>
      </c>
      <c r="N76" s="134">
        <v>39.9</v>
      </c>
      <c r="O76" s="134">
        <v>0</v>
      </c>
      <c r="P76" s="134">
        <v>0.62</v>
      </c>
      <c r="Q76" s="134">
        <v>3.73</v>
      </c>
    </row>
    <row r="77" spans="1:17" customFormat="1">
      <c r="A77" s="112" t="s">
        <v>2896</v>
      </c>
      <c r="B77" s="134">
        <v>11.1</v>
      </c>
      <c r="C77" s="134">
        <v>30.64</v>
      </c>
      <c r="D77" s="134">
        <v>26.26</v>
      </c>
      <c r="E77" s="134">
        <v>8.2100000000000009</v>
      </c>
      <c r="F77" s="134">
        <v>8.49</v>
      </c>
      <c r="G77" s="134">
        <v>59.95</v>
      </c>
      <c r="H77" s="134">
        <v>28.72</v>
      </c>
      <c r="I77" s="134">
        <v>6.87</v>
      </c>
      <c r="J77" s="134">
        <v>0.42</v>
      </c>
      <c r="K77" s="134">
        <v>58.19</v>
      </c>
      <c r="L77" s="134">
        <v>30.38</v>
      </c>
      <c r="M77" s="134">
        <v>75.08</v>
      </c>
      <c r="N77" s="134">
        <v>23.7</v>
      </c>
      <c r="O77" s="134">
        <v>0</v>
      </c>
      <c r="P77" s="134">
        <v>0.64</v>
      </c>
      <c r="Q77" s="134">
        <v>3.76</v>
      </c>
    </row>
    <row r="78" spans="1:17" customFormat="1">
      <c r="A78" s="112" t="s">
        <v>2897</v>
      </c>
      <c r="B78" s="134">
        <v>10.08</v>
      </c>
      <c r="C78" s="134">
        <v>31.81</v>
      </c>
      <c r="D78" s="134">
        <v>26.05</v>
      </c>
      <c r="E78" s="134">
        <v>7.2</v>
      </c>
      <c r="F78" s="134">
        <v>8.6199999999999992</v>
      </c>
      <c r="G78" s="134">
        <v>59.95</v>
      </c>
      <c r="H78" s="134">
        <v>28.72</v>
      </c>
      <c r="I78" s="134">
        <v>6.83</v>
      </c>
      <c r="J78" s="134">
        <v>0.45</v>
      </c>
      <c r="K78" s="134">
        <v>60.1</v>
      </c>
      <c r="L78" s="134">
        <v>30.16</v>
      </c>
      <c r="M78" s="134">
        <v>76.67</v>
      </c>
      <c r="N78" s="134">
        <v>9.1999999999999993</v>
      </c>
      <c r="O78" s="134">
        <v>0</v>
      </c>
      <c r="P78" s="134">
        <v>0.65</v>
      </c>
      <c r="Q78" s="134">
        <v>3.8</v>
      </c>
    </row>
    <row r="79" spans="1:17" customFormat="1">
      <c r="A79" s="112" t="s">
        <v>2898</v>
      </c>
      <c r="B79" s="134">
        <v>9.8699999999999992</v>
      </c>
      <c r="C79" s="134">
        <v>31.3</v>
      </c>
      <c r="D79" s="134">
        <v>25.62</v>
      </c>
      <c r="E79" s="134">
        <v>7.08</v>
      </c>
      <c r="F79" s="134">
        <v>8.68</v>
      </c>
      <c r="G79" s="134">
        <v>61.18</v>
      </c>
      <c r="H79" s="134">
        <v>28.09</v>
      </c>
      <c r="I79" s="134">
        <v>7.5</v>
      </c>
      <c r="J79" s="134">
        <v>0.37</v>
      </c>
      <c r="K79" s="134">
        <v>57.45</v>
      </c>
      <c r="L79" s="134">
        <v>29.81</v>
      </c>
      <c r="M79" s="134">
        <v>77.98</v>
      </c>
      <c r="N79" s="134">
        <v>0</v>
      </c>
      <c r="O79" s="134">
        <v>0</v>
      </c>
      <c r="P79" s="134">
        <v>0.65</v>
      </c>
      <c r="Q79" s="134">
        <v>3.84</v>
      </c>
    </row>
    <row r="80" spans="1:17" customFormat="1">
      <c r="A80" s="112" t="s">
        <v>2899</v>
      </c>
      <c r="B80" s="134">
        <v>10.42</v>
      </c>
      <c r="C80" s="134">
        <v>31.87</v>
      </c>
      <c r="D80" s="134">
        <v>26.36</v>
      </c>
      <c r="E80" s="134">
        <v>6.83</v>
      </c>
      <c r="F80" s="134">
        <v>6.92</v>
      </c>
      <c r="G80" s="134">
        <v>65.23</v>
      </c>
      <c r="H80" s="134">
        <v>26.6</v>
      </c>
      <c r="I80" s="134">
        <v>7.55</v>
      </c>
      <c r="J80" s="134">
        <v>0.28000000000000003</v>
      </c>
      <c r="K80" s="134">
        <v>43.01</v>
      </c>
      <c r="L80" s="134">
        <v>29.58</v>
      </c>
      <c r="M80" s="134">
        <v>79.59</v>
      </c>
      <c r="N80" s="134">
        <v>0</v>
      </c>
      <c r="O80" s="134">
        <v>0</v>
      </c>
      <c r="P80" s="134">
        <v>0.69</v>
      </c>
      <c r="Q80" s="134">
        <v>3.88</v>
      </c>
    </row>
    <row r="81" spans="1:17" customFormat="1">
      <c r="A81" s="112" t="s">
        <v>2900</v>
      </c>
      <c r="B81" s="134">
        <v>12.13</v>
      </c>
      <c r="C81" s="134">
        <v>33.049999999999997</v>
      </c>
      <c r="D81" s="134">
        <v>28.34</v>
      </c>
      <c r="E81" s="134">
        <v>8.16</v>
      </c>
      <c r="F81" s="134">
        <v>6.12</v>
      </c>
      <c r="G81" s="134">
        <v>65.23</v>
      </c>
      <c r="H81" s="134">
        <v>26.6</v>
      </c>
      <c r="I81" s="134">
        <v>7.31</v>
      </c>
      <c r="J81" s="134">
        <v>0.26</v>
      </c>
      <c r="K81" s="134">
        <v>52.45</v>
      </c>
      <c r="L81" s="134">
        <v>29.42</v>
      </c>
      <c r="M81" s="134">
        <v>81.61</v>
      </c>
      <c r="N81" s="134">
        <v>0</v>
      </c>
      <c r="O81" s="134">
        <v>0</v>
      </c>
      <c r="P81" s="134">
        <v>0.72</v>
      </c>
      <c r="Q81" s="134">
        <v>3.93</v>
      </c>
    </row>
    <row r="82" spans="1:17" customFormat="1">
      <c r="A82" s="112" t="s">
        <v>2901</v>
      </c>
      <c r="B82" s="134">
        <v>12.76</v>
      </c>
      <c r="C82" s="134">
        <v>32.97</v>
      </c>
      <c r="D82" s="134">
        <v>28.81</v>
      </c>
      <c r="E82" s="134">
        <v>8.98</v>
      </c>
      <c r="F82" s="134">
        <v>5.33</v>
      </c>
      <c r="G82" s="134">
        <v>65.23</v>
      </c>
      <c r="H82" s="134">
        <v>26.6</v>
      </c>
      <c r="I82" s="134">
        <v>7.39</v>
      </c>
      <c r="J82" s="134">
        <v>0.27</v>
      </c>
      <c r="K82" s="134">
        <v>51.73</v>
      </c>
      <c r="L82" s="134">
        <v>29.32</v>
      </c>
      <c r="M82" s="134">
        <v>82.53</v>
      </c>
      <c r="N82" s="134">
        <v>0</v>
      </c>
      <c r="O82" s="134">
        <v>0</v>
      </c>
      <c r="P82" s="134">
        <v>0.73</v>
      </c>
      <c r="Q82" s="134">
        <v>4</v>
      </c>
    </row>
    <row r="83" spans="1:17" customFormat="1">
      <c r="A83" s="112" t="s">
        <v>2902</v>
      </c>
      <c r="B83" s="134">
        <v>12.58</v>
      </c>
      <c r="C83" s="134">
        <v>32.14</v>
      </c>
      <c r="D83" s="134">
        <v>28.23</v>
      </c>
      <c r="E83" s="134">
        <v>9.4600000000000009</v>
      </c>
      <c r="F83" s="134">
        <v>4.96</v>
      </c>
      <c r="G83" s="134">
        <v>64.650000000000006</v>
      </c>
      <c r="H83" s="134">
        <v>26.85</v>
      </c>
      <c r="I83" s="134">
        <v>7.35</v>
      </c>
      <c r="J83" s="134">
        <v>0.15</v>
      </c>
      <c r="K83" s="134">
        <v>73.91</v>
      </c>
      <c r="L83" s="134">
        <v>29.27</v>
      </c>
      <c r="M83" s="134">
        <v>83.64</v>
      </c>
      <c r="N83" s="134">
        <v>0</v>
      </c>
      <c r="O83" s="134">
        <v>0</v>
      </c>
      <c r="P83" s="134">
        <v>0.76</v>
      </c>
      <c r="Q83" s="134">
        <v>4.07</v>
      </c>
    </row>
    <row r="84" spans="1:17" customFormat="1">
      <c r="A84" s="112" t="s">
        <v>2903</v>
      </c>
      <c r="B84" s="134">
        <v>12.01</v>
      </c>
      <c r="C84" s="134">
        <v>31.44</v>
      </c>
      <c r="D84" s="134">
        <v>27.4</v>
      </c>
      <c r="E84" s="134">
        <v>9.74</v>
      </c>
      <c r="F84" s="134">
        <v>4.7300000000000004</v>
      </c>
      <c r="G84" s="134">
        <v>62.74</v>
      </c>
      <c r="H84" s="134">
        <v>28.03</v>
      </c>
      <c r="I84" s="134">
        <v>7.38</v>
      </c>
      <c r="J84" s="134">
        <v>0.2</v>
      </c>
      <c r="K84" s="134">
        <v>165.95</v>
      </c>
      <c r="L84" s="134">
        <v>28.99</v>
      </c>
      <c r="M84" s="134">
        <v>86.25</v>
      </c>
      <c r="N84" s="134">
        <v>0</v>
      </c>
      <c r="O84" s="134">
        <v>0</v>
      </c>
      <c r="P84" s="134">
        <v>0.73</v>
      </c>
      <c r="Q84" s="134">
        <v>4.12</v>
      </c>
    </row>
    <row r="85" spans="1:17" customFormat="1">
      <c r="A85" s="112" t="s">
        <v>2904</v>
      </c>
      <c r="B85" s="134">
        <v>12.07</v>
      </c>
      <c r="C85" s="134">
        <v>30.82</v>
      </c>
      <c r="D85" s="134">
        <v>27.14</v>
      </c>
      <c r="E85" s="134">
        <v>9.5399999999999991</v>
      </c>
      <c r="F85" s="134">
        <v>4.6100000000000003</v>
      </c>
      <c r="G85" s="134">
        <v>62.74</v>
      </c>
      <c r="H85" s="134">
        <v>28.03</v>
      </c>
      <c r="I85" s="134">
        <v>7.38</v>
      </c>
      <c r="J85" s="134">
        <v>0.13</v>
      </c>
      <c r="K85" s="134">
        <v>109.06</v>
      </c>
      <c r="L85" s="134">
        <v>28.84</v>
      </c>
      <c r="M85" s="134">
        <v>86.78</v>
      </c>
      <c r="N85" s="134">
        <v>0</v>
      </c>
      <c r="O85" s="134">
        <v>0</v>
      </c>
      <c r="P85" s="134">
        <v>0.74</v>
      </c>
      <c r="Q85" s="134">
        <v>4.12</v>
      </c>
    </row>
    <row r="86" spans="1:17" customFormat="1">
      <c r="A86" s="112" t="s">
        <v>2905</v>
      </c>
      <c r="B86" s="134">
        <v>12.27</v>
      </c>
      <c r="C86" s="134">
        <v>30.46</v>
      </c>
      <c r="D86" s="134">
        <v>27.1</v>
      </c>
      <c r="E86" s="134">
        <v>9.6999999999999993</v>
      </c>
      <c r="F86" s="134">
        <v>6.12</v>
      </c>
      <c r="G86" s="134">
        <v>62.74</v>
      </c>
      <c r="H86" s="134">
        <v>28.03</v>
      </c>
      <c r="I86" s="134">
        <v>7.35</v>
      </c>
      <c r="J86" s="134">
        <v>0.23</v>
      </c>
      <c r="K86" s="134">
        <v>145.9</v>
      </c>
      <c r="L86" s="134">
        <v>28.77</v>
      </c>
      <c r="M86" s="134">
        <v>87.28</v>
      </c>
      <c r="N86" s="134">
        <v>0</v>
      </c>
      <c r="O86" s="134">
        <v>0</v>
      </c>
      <c r="P86" s="134">
        <v>0.73</v>
      </c>
      <c r="Q86" s="134">
        <v>4.13</v>
      </c>
    </row>
    <row r="87" spans="1:17" customFormat="1">
      <c r="A87" s="112" t="s">
        <v>2906</v>
      </c>
      <c r="B87" s="134">
        <v>12.17</v>
      </c>
      <c r="C87" s="134">
        <v>29.45</v>
      </c>
      <c r="D87" s="134">
        <v>26.5</v>
      </c>
      <c r="E87" s="134">
        <v>10.06</v>
      </c>
      <c r="F87" s="134">
        <v>6.23</v>
      </c>
      <c r="G87" s="134">
        <v>60.12</v>
      </c>
      <c r="H87" s="134">
        <v>27.67</v>
      </c>
      <c r="I87" s="134">
        <v>7.28</v>
      </c>
      <c r="J87" s="134">
        <v>0.19</v>
      </c>
      <c r="K87" s="134">
        <v>157.55000000000001</v>
      </c>
      <c r="L87" s="134">
        <v>28.77</v>
      </c>
      <c r="M87" s="134">
        <v>86.76</v>
      </c>
      <c r="N87" s="134">
        <v>0</v>
      </c>
      <c r="O87" s="134">
        <v>0</v>
      </c>
      <c r="P87" s="134">
        <v>0.73</v>
      </c>
      <c r="Q87" s="134">
        <v>4.1399999999999997</v>
      </c>
    </row>
    <row r="88" spans="1:17" customFormat="1">
      <c r="A88" s="112" t="s">
        <v>2907</v>
      </c>
      <c r="B88" s="134">
        <v>11.96</v>
      </c>
      <c r="C88" s="134">
        <v>28.68</v>
      </c>
      <c r="D88" s="134">
        <v>25.93</v>
      </c>
      <c r="E88" s="134">
        <v>9.93</v>
      </c>
      <c r="F88" s="134">
        <v>7.54</v>
      </c>
      <c r="G88" s="134">
        <v>51.49</v>
      </c>
      <c r="H88" s="134">
        <v>26.83</v>
      </c>
      <c r="I88" s="134">
        <v>7.22</v>
      </c>
      <c r="J88" s="134">
        <v>0.16</v>
      </c>
      <c r="K88" s="134">
        <v>172.69</v>
      </c>
      <c r="L88" s="134">
        <v>28.42</v>
      </c>
      <c r="M88" s="134">
        <v>88.62</v>
      </c>
      <c r="N88" s="134">
        <v>0</v>
      </c>
      <c r="O88" s="134">
        <v>0</v>
      </c>
      <c r="P88" s="134">
        <v>0.71</v>
      </c>
      <c r="Q88" s="134">
        <v>4.1399999999999997</v>
      </c>
    </row>
    <row r="89" spans="1:17" customFormat="1">
      <c r="A89" s="112" t="s">
        <v>2908</v>
      </c>
      <c r="B89" s="134">
        <v>12.13</v>
      </c>
      <c r="C89" s="134">
        <v>29.18</v>
      </c>
      <c r="D89" s="134">
        <v>26.32</v>
      </c>
      <c r="E89" s="134">
        <v>9.48</v>
      </c>
      <c r="F89" s="134">
        <v>5.68</v>
      </c>
      <c r="G89" s="134">
        <v>51.49</v>
      </c>
      <c r="H89" s="134">
        <v>26.83</v>
      </c>
      <c r="I89" s="134">
        <v>7.36</v>
      </c>
      <c r="J89" s="134">
        <v>0.17</v>
      </c>
      <c r="K89" s="134">
        <v>169.41</v>
      </c>
      <c r="L89" s="134">
        <v>28.3</v>
      </c>
      <c r="M89" s="134">
        <v>89.15</v>
      </c>
      <c r="N89" s="134">
        <v>0</v>
      </c>
      <c r="O89" s="134">
        <v>0</v>
      </c>
      <c r="P89" s="134">
        <v>0.72</v>
      </c>
      <c r="Q89" s="134">
        <v>4.1399999999999997</v>
      </c>
    </row>
    <row r="90" spans="1:17" customFormat="1">
      <c r="A90" s="112" t="s">
        <v>2909</v>
      </c>
      <c r="B90" s="134">
        <v>12.28</v>
      </c>
      <c r="C90" s="134">
        <v>28.96</v>
      </c>
      <c r="D90" s="134">
        <v>26.33</v>
      </c>
      <c r="E90" s="134">
        <v>9.4600000000000009</v>
      </c>
      <c r="F90" s="134">
        <v>4.7</v>
      </c>
      <c r="G90" s="134">
        <v>51.49</v>
      </c>
      <c r="H90" s="134">
        <v>26.83</v>
      </c>
      <c r="I90" s="134">
        <v>6.91</v>
      </c>
      <c r="J90" s="134">
        <v>0.16</v>
      </c>
      <c r="K90" s="134">
        <v>195.27</v>
      </c>
      <c r="L90" s="134">
        <v>27.96</v>
      </c>
      <c r="M90" s="134">
        <v>90.92</v>
      </c>
      <c r="N90" s="134">
        <v>0</v>
      </c>
      <c r="O90" s="134">
        <v>0</v>
      </c>
      <c r="P90" s="134">
        <v>0.72</v>
      </c>
      <c r="Q90" s="134">
        <v>4.13</v>
      </c>
    </row>
    <row r="91" spans="1:17" customFormat="1">
      <c r="A91" s="112" t="s">
        <v>2910</v>
      </c>
      <c r="B91" s="134">
        <v>12.35</v>
      </c>
      <c r="C91" s="134">
        <v>29.04</v>
      </c>
      <c r="D91" s="134">
        <v>26.43</v>
      </c>
      <c r="E91" s="134">
        <v>9.1199999999999992</v>
      </c>
      <c r="F91" s="134">
        <v>4.17</v>
      </c>
      <c r="G91" s="134">
        <v>49.5</v>
      </c>
      <c r="H91" s="134">
        <v>26.31</v>
      </c>
      <c r="I91" s="134">
        <v>6.89</v>
      </c>
      <c r="J91" s="134">
        <v>0.18</v>
      </c>
      <c r="K91" s="134">
        <v>179.16</v>
      </c>
      <c r="L91" s="134">
        <v>27.87</v>
      </c>
      <c r="M91" s="134">
        <v>92.75</v>
      </c>
      <c r="N91" s="134">
        <v>0</v>
      </c>
      <c r="O91" s="134">
        <v>0</v>
      </c>
      <c r="P91" s="134">
        <v>0.71</v>
      </c>
      <c r="Q91" s="134">
        <v>4.1100000000000003</v>
      </c>
    </row>
    <row r="92" spans="1:17" customFormat="1">
      <c r="A92" s="112" t="s">
        <v>2911</v>
      </c>
      <c r="B92" s="134">
        <v>12.41</v>
      </c>
      <c r="C92" s="134">
        <v>28.83</v>
      </c>
      <c r="D92" s="134">
        <v>26.37</v>
      </c>
      <c r="E92" s="134">
        <v>9.32</v>
      </c>
      <c r="F92" s="134">
        <v>4.0999999999999996</v>
      </c>
      <c r="G92" s="134">
        <v>42.97</v>
      </c>
      <c r="H92" s="134">
        <v>25.07</v>
      </c>
      <c r="I92" s="134">
        <v>7.09</v>
      </c>
      <c r="J92" s="134">
        <v>0.16</v>
      </c>
      <c r="K92" s="134">
        <v>218.44</v>
      </c>
      <c r="L92" s="134">
        <v>27.66</v>
      </c>
      <c r="M92" s="134">
        <v>95.33</v>
      </c>
      <c r="N92" s="134">
        <v>0</v>
      </c>
      <c r="O92" s="134">
        <v>0</v>
      </c>
      <c r="P92" s="134">
        <v>0.7</v>
      </c>
      <c r="Q92" s="134">
        <v>4.12</v>
      </c>
    </row>
    <row r="93" spans="1:17" customFormat="1">
      <c r="A93" s="112" t="s">
        <v>2912</v>
      </c>
      <c r="B93" s="134">
        <v>12.62</v>
      </c>
      <c r="C93" s="134">
        <v>28.9</v>
      </c>
      <c r="D93" s="134">
        <v>26.57</v>
      </c>
      <c r="E93" s="134">
        <v>9.5299999999999994</v>
      </c>
      <c r="F93" s="134">
        <v>3.53</v>
      </c>
      <c r="G93" s="134">
        <v>42.97</v>
      </c>
      <c r="H93" s="134">
        <v>25.07</v>
      </c>
      <c r="I93" s="134">
        <v>6.92</v>
      </c>
      <c r="J93" s="134">
        <v>0.16</v>
      </c>
      <c r="K93" s="134">
        <v>166.21</v>
      </c>
      <c r="L93" s="134">
        <v>27.67</v>
      </c>
      <c r="M93" s="134">
        <v>93.81</v>
      </c>
      <c r="N93" s="134">
        <v>0</v>
      </c>
      <c r="O93" s="134">
        <v>0</v>
      </c>
      <c r="P93" s="134">
        <v>0.71</v>
      </c>
      <c r="Q93" s="134">
        <v>4.0999999999999996</v>
      </c>
    </row>
    <row r="94" spans="1:17" customFormat="1">
      <c r="A94" s="112" t="s">
        <v>2913</v>
      </c>
      <c r="B94" s="134">
        <v>12.74</v>
      </c>
      <c r="C94" s="134">
        <v>27.59</v>
      </c>
      <c r="D94" s="134">
        <v>25.98</v>
      </c>
      <c r="E94" s="134">
        <v>9.1199999999999992</v>
      </c>
      <c r="F94" s="134">
        <v>3.52</v>
      </c>
      <c r="G94" s="134">
        <v>42.97</v>
      </c>
      <c r="H94" s="134">
        <v>25.07</v>
      </c>
      <c r="I94" s="134">
        <v>6.72</v>
      </c>
      <c r="J94" s="134">
        <v>0.14000000000000001</v>
      </c>
      <c r="K94" s="134">
        <v>166.81</v>
      </c>
      <c r="L94" s="134">
        <v>27.53</v>
      </c>
      <c r="M94" s="134">
        <v>97.04</v>
      </c>
      <c r="N94" s="134">
        <v>0</v>
      </c>
      <c r="O94" s="134">
        <v>0</v>
      </c>
      <c r="P94" s="134">
        <v>0.68</v>
      </c>
      <c r="Q94" s="134">
        <v>4.0999999999999996</v>
      </c>
    </row>
    <row r="95" spans="1:17" customFormat="1">
      <c r="A95" s="112" t="s">
        <v>2914</v>
      </c>
      <c r="B95" s="134">
        <v>12.68</v>
      </c>
      <c r="C95" s="134">
        <v>27.65</v>
      </c>
      <c r="D95" s="134">
        <v>25.96</v>
      </c>
      <c r="E95" s="134">
        <v>9.1300000000000008</v>
      </c>
      <c r="F95" s="134">
        <v>3.82</v>
      </c>
      <c r="G95" s="134">
        <v>44.26</v>
      </c>
      <c r="H95" s="134">
        <v>24.8</v>
      </c>
      <c r="I95" s="134">
        <v>6.82</v>
      </c>
      <c r="J95" s="134">
        <v>0.17</v>
      </c>
      <c r="K95" s="134">
        <v>179.06</v>
      </c>
      <c r="L95" s="134">
        <v>27.64</v>
      </c>
      <c r="M95" s="134">
        <v>95.5</v>
      </c>
      <c r="N95" s="134">
        <v>0</v>
      </c>
      <c r="O95" s="134">
        <v>0</v>
      </c>
      <c r="P95" s="134">
        <v>0.69</v>
      </c>
      <c r="Q95" s="134">
        <v>4.0599999999999996</v>
      </c>
    </row>
    <row r="96" spans="1:17" customFormat="1">
      <c r="A96" s="112" t="s">
        <v>2915</v>
      </c>
      <c r="B96" s="134">
        <v>13.06</v>
      </c>
      <c r="C96" s="134">
        <v>28.25</v>
      </c>
      <c r="D96" s="134">
        <v>26.59</v>
      </c>
      <c r="E96" s="134">
        <v>9.57</v>
      </c>
      <c r="F96" s="134">
        <v>3.44</v>
      </c>
      <c r="G96" s="134">
        <v>48.47</v>
      </c>
      <c r="H96" s="134">
        <v>24.16</v>
      </c>
      <c r="I96" s="134">
        <v>6.69</v>
      </c>
      <c r="J96" s="134">
        <v>0.13</v>
      </c>
      <c r="K96" s="134">
        <v>237.89</v>
      </c>
      <c r="L96" s="134">
        <v>27.42</v>
      </c>
      <c r="M96" s="134">
        <v>96.34</v>
      </c>
      <c r="N96" s="134">
        <v>0</v>
      </c>
      <c r="O96" s="134">
        <v>0</v>
      </c>
      <c r="P96" s="134">
        <v>0.7</v>
      </c>
      <c r="Q96" s="134">
        <v>4.09</v>
      </c>
    </row>
    <row r="97" spans="1:22" customFormat="1">
      <c r="A97" s="112" t="s">
        <v>2916</v>
      </c>
      <c r="B97" s="134">
        <v>13.46</v>
      </c>
      <c r="C97" s="134">
        <v>27.28</v>
      </c>
      <c r="D97" s="134">
        <v>26.4</v>
      </c>
      <c r="E97" s="134">
        <v>9.49</v>
      </c>
      <c r="F97" s="134">
        <v>3.13</v>
      </c>
      <c r="G97" s="134">
        <v>48.47</v>
      </c>
      <c r="H97" s="134">
        <v>24.16</v>
      </c>
      <c r="I97" s="134">
        <v>6.51</v>
      </c>
      <c r="J97" s="134">
        <v>0.12</v>
      </c>
      <c r="K97" s="134">
        <v>196.96</v>
      </c>
      <c r="L97" s="134">
        <v>27.27</v>
      </c>
      <c r="M97" s="134">
        <v>98.35</v>
      </c>
      <c r="N97" s="134">
        <v>0</v>
      </c>
      <c r="O97" s="134">
        <v>0</v>
      </c>
      <c r="P97" s="134">
        <v>0.68</v>
      </c>
      <c r="Q97" s="134">
        <v>4.1100000000000003</v>
      </c>
    </row>
    <row r="98" spans="1:22" customFormat="1">
      <c r="A98" s="112" t="s">
        <v>2917</v>
      </c>
      <c r="B98" s="134">
        <v>13.46</v>
      </c>
      <c r="C98" s="134">
        <v>26.24</v>
      </c>
      <c r="D98" s="134">
        <v>25.86</v>
      </c>
      <c r="E98" s="134">
        <v>9.2200000000000006</v>
      </c>
      <c r="F98" s="134">
        <v>3.5</v>
      </c>
      <c r="G98" s="134">
        <v>48.47</v>
      </c>
      <c r="H98" s="134">
        <v>24.16</v>
      </c>
      <c r="I98" s="134">
        <v>6.71</v>
      </c>
      <c r="J98" s="134">
        <v>0.14000000000000001</v>
      </c>
      <c r="K98" s="134">
        <v>174.17</v>
      </c>
      <c r="L98" s="134">
        <v>27.3</v>
      </c>
      <c r="M98" s="134">
        <v>98.99</v>
      </c>
      <c r="N98" s="134">
        <v>0</v>
      </c>
      <c r="O98" s="134">
        <v>0</v>
      </c>
      <c r="P98" s="134">
        <v>0.67</v>
      </c>
      <c r="Q98" s="134">
        <v>4.12</v>
      </c>
    </row>
    <row r="99" spans="1:22" customFormat="1">
      <c r="A99" s="112" t="s">
        <v>2918</v>
      </c>
      <c r="B99" s="134">
        <v>13.19</v>
      </c>
      <c r="C99" s="134">
        <v>23.46</v>
      </c>
      <c r="D99" s="134">
        <v>24.18</v>
      </c>
      <c r="E99" s="134">
        <v>9.23</v>
      </c>
      <c r="F99" s="134">
        <v>4.5199999999999996</v>
      </c>
      <c r="G99" s="134">
        <v>45.82</v>
      </c>
      <c r="H99" s="134">
        <v>23.88</v>
      </c>
      <c r="I99" s="134">
        <v>6.62</v>
      </c>
      <c r="J99" s="134">
        <v>0.11</v>
      </c>
      <c r="K99" s="134">
        <v>203.99</v>
      </c>
      <c r="L99" s="134">
        <v>27.2</v>
      </c>
      <c r="M99" s="134">
        <v>98.31</v>
      </c>
      <c r="N99" s="134">
        <v>0</v>
      </c>
      <c r="O99" s="134">
        <v>0</v>
      </c>
      <c r="P99" s="134">
        <v>0.66</v>
      </c>
      <c r="Q99" s="134">
        <v>4.1399999999999997</v>
      </c>
    </row>
    <row r="100" spans="1:22" customFormat="1">
      <c r="A100" s="112" t="s">
        <v>2919</v>
      </c>
      <c r="B100" s="134">
        <v>13.07</v>
      </c>
      <c r="C100" s="134">
        <v>21.6</v>
      </c>
      <c r="D100" s="134">
        <v>23.12</v>
      </c>
      <c r="E100" s="134">
        <v>8.7899999999999991</v>
      </c>
      <c r="F100" s="134">
        <v>4.8499999999999996</v>
      </c>
      <c r="G100" s="134">
        <v>37.1</v>
      </c>
      <c r="H100" s="134">
        <v>23.22</v>
      </c>
      <c r="I100" s="134">
        <v>6.41</v>
      </c>
      <c r="J100" s="134">
        <v>0.11</v>
      </c>
      <c r="K100" s="134">
        <v>214.89</v>
      </c>
      <c r="L100" s="134">
        <v>27.1</v>
      </c>
      <c r="M100" s="134">
        <v>97.48</v>
      </c>
      <c r="N100" s="134">
        <v>0</v>
      </c>
      <c r="O100" s="134">
        <v>0</v>
      </c>
      <c r="P100" s="134">
        <v>0.66</v>
      </c>
      <c r="Q100" s="134">
        <v>4.09</v>
      </c>
    </row>
    <row r="101" spans="1:22" customFormat="1">
      <c r="A101" s="112" t="s">
        <v>2920</v>
      </c>
      <c r="B101" s="134">
        <v>12.98</v>
      </c>
      <c r="C101" s="134">
        <v>20.68</v>
      </c>
      <c r="D101" s="134">
        <v>22.57</v>
      </c>
      <c r="E101" s="134">
        <v>8.66</v>
      </c>
      <c r="F101" s="134">
        <v>5.23</v>
      </c>
      <c r="G101" s="134">
        <v>37.1</v>
      </c>
      <c r="H101" s="134">
        <v>23.22</v>
      </c>
      <c r="I101" s="134">
        <v>6.18</v>
      </c>
      <c r="J101" s="134">
        <v>0.17</v>
      </c>
      <c r="K101" s="134">
        <v>168.19</v>
      </c>
      <c r="L101" s="134">
        <v>27.09</v>
      </c>
      <c r="M101" s="134">
        <v>96.74</v>
      </c>
      <c r="N101" s="134">
        <v>0</v>
      </c>
      <c r="O101" s="134">
        <v>0</v>
      </c>
      <c r="P101" s="134">
        <v>0.66</v>
      </c>
      <c r="Q101" s="134">
        <v>4.08</v>
      </c>
    </row>
    <row r="102" spans="1:22" customFormat="1">
      <c r="A102" s="112" t="s">
        <v>2921</v>
      </c>
      <c r="B102" s="134">
        <v>12.84</v>
      </c>
      <c r="C102" s="134">
        <v>19.11</v>
      </c>
      <c r="D102" s="134">
        <v>21.63</v>
      </c>
      <c r="E102" s="134">
        <v>8.4600000000000009</v>
      </c>
      <c r="F102" s="134">
        <v>4.87</v>
      </c>
      <c r="G102" s="134">
        <v>37.1</v>
      </c>
      <c r="H102" s="134">
        <v>23.22</v>
      </c>
      <c r="I102" s="134">
        <v>6.23</v>
      </c>
      <c r="J102" s="134">
        <v>0.14000000000000001</v>
      </c>
      <c r="K102" s="134">
        <v>158.1</v>
      </c>
      <c r="L102" s="134">
        <v>27.22</v>
      </c>
      <c r="M102" s="134">
        <v>97.32</v>
      </c>
      <c r="N102" s="134">
        <v>0</v>
      </c>
      <c r="O102" s="134">
        <v>0</v>
      </c>
      <c r="P102" s="134">
        <v>0.65</v>
      </c>
      <c r="Q102" s="134">
        <v>4.0599999999999996</v>
      </c>
    </row>
    <row r="103" spans="1:22" customFormat="1">
      <c r="A103" s="112" t="s">
        <v>2922</v>
      </c>
      <c r="B103" s="134">
        <v>12.47</v>
      </c>
      <c r="C103" s="134">
        <v>18.27</v>
      </c>
      <c r="D103" s="134">
        <v>20.9</v>
      </c>
      <c r="E103" s="134">
        <v>8.2100000000000009</v>
      </c>
      <c r="F103" s="134">
        <v>4.7699999999999996</v>
      </c>
      <c r="G103" s="134">
        <v>39.450000000000003</v>
      </c>
      <c r="H103" s="134">
        <v>22.85</v>
      </c>
      <c r="I103" s="134">
        <v>6.14</v>
      </c>
      <c r="J103" s="134">
        <v>7.0000000000000007E-2</v>
      </c>
      <c r="K103" s="134">
        <v>194.12</v>
      </c>
      <c r="L103" s="134">
        <v>26.99</v>
      </c>
      <c r="M103" s="134">
        <v>97.12</v>
      </c>
      <c r="N103" s="134">
        <v>0</v>
      </c>
      <c r="O103" s="134">
        <v>0</v>
      </c>
      <c r="P103" s="134">
        <v>0.65</v>
      </c>
      <c r="Q103" s="134">
        <v>4.0599999999999996</v>
      </c>
    </row>
    <row r="104" spans="1:22" customFormat="1">
      <c r="A104" s="112" t="s">
        <v>2923</v>
      </c>
      <c r="B104" s="134">
        <v>12.48</v>
      </c>
      <c r="C104" s="134">
        <v>17.850000000000001</v>
      </c>
      <c r="D104" s="134">
        <v>20.69</v>
      </c>
      <c r="E104" s="134">
        <v>7.94</v>
      </c>
      <c r="F104" s="134">
        <v>5.68</v>
      </c>
      <c r="G104" s="134">
        <v>47.17</v>
      </c>
      <c r="H104" s="134">
        <v>21.99</v>
      </c>
      <c r="I104" s="134">
        <v>6</v>
      </c>
      <c r="J104" s="134">
        <v>0.17</v>
      </c>
      <c r="K104" s="134">
        <v>163.07</v>
      </c>
      <c r="L104" s="134">
        <v>26.97</v>
      </c>
      <c r="M104" s="134">
        <v>96.83</v>
      </c>
      <c r="N104" s="134">
        <v>0</v>
      </c>
      <c r="O104" s="134">
        <v>0</v>
      </c>
      <c r="P104" s="134">
        <v>0.64</v>
      </c>
      <c r="Q104" s="134">
        <v>4.05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9.67</v>
      </c>
      <c r="C106" s="183">
        <f>MIN(C9:C104)</f>
        <v>17.850000000000001</v>
      </c>
      <c r="D106" s="183">
        <f t="shared" ref="D106:Q106" si="0">MIN(D9:D104)</f>
        <v>20.69</v>
      </c>
      <c r="E106" s="183">
        <f t="shared" si="0"/>
        <v>4.63</v>
      </c>
      <c r="F106" s="183">
        <f t="shared" si="0"/>
        <v>2.4</v>
      </c>
      <c r="G106" s="183">
        <f t="shared" si="0"/>
        <v>33.17</v>
      </c>
      <c r="H106" s="183">
        <f t="shared" si="0"/>
        <v>17</v>
      </c>
      <c r="I106" s="183">
        <f t="shared" si="0"/>
        <v>6</v>
      </c>
      <c r="J106" s="183">
        <f t="shared" si="0"/>
        <v>0.05</v>
      </c>
      <c r="K106" s="183">
        <f t="shared" si="0"/>
        <v>23.91</v>
      </c>
      <c r="L106" s="183">
        <f t="shared" si="0"/>
        <v>25.24</v>
      </c>
      <c r="M106" s="183">
        <f t="shared" si="0"/>
        <v>62.93</v>
      </c>
      <c r="N106" s="183">
        <f t="shared" si="0"/>
        <v>0</v>
      </c>
      <c r="O106" s="183">
        <f t="shared" si="0"/>
        <v>0</v>
      </c>
      <c r="P106" s="183">
        <f t="shared" si="0"/>
        <v>0.6</v>
      </c>
      <c r="Q106" s="183">
        <f t="shared" si="0"/>
        <v>3.7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22.34</v>
      </c>
      <c r="C107" s="184">
        <f t="shared" ref="C107:Q107" si="1">MAX(C9:C104)</f>
        <v>33.049999999999997</v>
      </c>
      <c r="D107" s="184">
        <f t="shared" si="1"/>
        <v>35.86</v>
      </c>
      <c r="E107" s="184">
        <f t="shared" si="1"/>
        <v>23.5</v>
      </c>
      <c r="F107" s="184">
        <f t="shared" si="1"/>
        <v>18.47</v>
      </c>
      <c r="G107" s="184">
        <f t="shared" si="1"/>
        <v>129.30000000000001</v>
      </c>
      <c r="H107" s="184">
        <f t="shared" si="1"/>
        <v>31.53</v>
      </c>
      <c r="I107" s="184">
        <f t="shared" si="1"/>
        <v>38.79</v>
      </c>
      <c r="J107" s="184">
        <f t="shared" si="1"/>
        <v>0.81</v>
      </c>
      <c r="K107" s="184">
        <f t="shared" si="1"/>
        <v>255.1</v>
      </c>
      <c r="L107" s="184">
        <f t="shared" si="1"/>
        <v>32.840000000000003</v>
      </c>
      <c r="M107" s="184">
        <f t="shared" si="1"/>
        <v>101.07</v>
      </c>
      <c r="N107" s="184">
        <f t="shared" si="1"/>
        <v>691.5</v>
      </c>
      <c r="O107" s="184">
        <f t="shared" si="1"/>
        <v>0</v>
      </c>
      <c r="P107" s="184">
        <f t="shared" si="1"/>
        <v>0.93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15.148229166666667</v>
      </c>
      <c r="C108" s="183">
        <f t="shared" ref="C108:Q108" si="2">AVERAGE(C9:C104)</f>
        <v>27.172395833333336</v>
      </c>
      <c r="D108" s="183">
        <f t="shared" si="2"/>
        <v>27.695208333333326</v>
      </c>
      <c r="E108" s="183">
        <f t="shared" si="2"/>
        <v>8.2161458333333357</v>
      </c>
      <c r="F108" s="183">
        <f t="shared" si="2"/>
        <v>5.7684375000000001</v>
      </c>
      <c r="G108" s="183">
        <f t="shared" si="2"/>
        <v>55.112916666666678</v>
      </c>
      <c r="H108" s="183">
        <f t="shared" si="2"/>
        <v>25.811458333333309</v>
      </c>
      <c r="I108" s="183">
        <f t="shared" si="2"/>
        <v>14.993229166666671</v>
      </c>
      <c r="J108" s="183">
        <f t="shared" si="2"/>
        <v>0.30968750000000017</v>
      </c>
      <c r="K108" s="183">
        <f t="shared" si="2"/>
        <v>114.93302083333329</v>
      </c>
      <c r="L108" s="183">
        <f t="shared" si="2"/>
        <v>28.655312499999997</v>
      </c>
      <c r="M108" s="183">
        <f t="shared" si="2"/>
        <v>85.52885416666669</v>
      </c>
      <c r="N108" s="183">
        <f t="shared" si="2"/>
        <v>149.18229166666669</v>
      </c>
      <c r="O108" s="183">
        <f t="shared" si="2"/>
        <v>0</v>
      </c>
      <c r="P108" s="183">
        <f t="shared" si="2"/>
        <v>0.75656249999999992</v>
      </c>
      <c r="Q108" s="183">
        <f t="shared" si="2"/>
        <v>4.1711458333333322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4.097665315965517</v>
      </c>
      <c r="C109" s="183">
        <f t="shared" ref="C109:Q109" si="3">STDEV(C9:C104)</f>
        <v>3.8095334000212073</v>
      </c>
      <c r="D109" s="183">
        <f t="shared" si="3"/>
        <v>3.7970387295938028</v>
      </c>
      <c r="E109" s="183">
        <f t="shared" si="3"/>
        <v>3.0059041444924932</v>
      </c>
      <c r="F109" s="183">
        <f t="shared" si="3"/>
        <v>3.7644272166874018</v>
      </c>
      <c r="G109" s="183">
        <f t="shared" si="3"/>
        <v>18.276457212644154</v>
      </c>
      <c r="H109" s="183">
        <f t="shared" si="3"/>
        <v>3.8632789397955016</v>
      </c>
      <c r="I109" s="183">
        <f t="shared" si="3"/>
        <v>8.7331870947060448</v>
      </c>
      <c r="J109" s="183">
        <f t="shared" si="3"/>
        <v>0.22236742058323661</v>
      </c>
      <c r="K109" s="183">
        <f t="shared" si="3"/>
        <v>68.708753784128504</v>
      </c>
      <c r="L109" s="183">
        <f t="shared" si="3"/>
        <v>2.4360710183775605</v>
      </c>
      <c r="M109" s="183">
        <f t="shared" si="3"/>
        <v>13.281069620033925</v>
      </c>
      <c r="N109" s="183">
        <f t="shared" si="3"/>
        <v>217.44454053719031</v>
      </c>
      <c r="O109" s="183">
        <f t="shared" si="3"/>
        <v>0</v>
      </c>
      <c r="P109" s="183">
        <f t="shared" si="3"/>
        <v>9.729854356025934E-2</v>
      </c>
      <c r="Q109" s="183">
        <f t="shared" si="3"/>
        <v>0.28239528023369642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29/09/2023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112" t="s">
        <v>2924</v>
      </c>
      <c r="B9" s="134">
        <v>12.81</v>
      </c>
      <c r="C9" s="134">
        <v>17.440000000000001</v>
      </c>
      <c r="D9" s="134">
        <v>20.73</v>
      </c>
      <c r="E9" s="134">
        <v>8.1199999999999992</v>
      </c>
      <c r="F9" s="134">
        <v>6.39</v>
      </c>
      <c r="G9" s="134">
        <v>47.17</v>
      </c>
      <c r="H9" s="134">
        <v>21.99</v>
      </c>
      <c r="I9" s="134">
        <v>5.87</v>
      </c>
      <c r="J9" s="134">
        <v>0.11</v>
      </c>
      <c r="K9" s="134">
        <v>166.24</v>
      </c>
      <c r="L9" s="134">
        <v>26.86</v>
      </c>
      <c r="M9" s="134">
        <v>96.13</v>
      </c>
      <c r="N9" s="134">
        <v>0</v>
      </c>
      <c r="O9" s="134">
        <v>0</v>
      </c>
      <c r="P9" s="134">
        <v>0.62</v>
      </c>
      <c r="Q9" s="134">
        <v>4.05</v>
      </c>
    </row>
    <row r="10" spans="1:21">
      <c r="A10" s="112" t="s">
        <v>2925</v>
      </c>
      <c r="B10" s="134">
        <v>14.9</v>
      </c>
      <c r="C10" s="134">
        <v>21.08</v>
      </c>
      <c r="D10" s="134">
        <v>24.31</v>
      </c>
      <c r="E10" s="134">
        <v>8.0500000000000007</v>
      </c>
      <c r="F10" s="134">
        <v>4.55</v>
      </c>
      <c r="G10" s="134">
        <v>47.17</v>
      </c>
      <c r="H10" s="134">
        <v>21.99</v>
      </c>
      <c r="I10" s="134">
        <v>5.93</v>
      </c>
      <c r="J10" s="134">
        <v>0.13</v>
      </c>
      <c r="K10" s="134">
        <v>161.47</v>
      </c>
      <c r="L10" s="134">
        <v>26.87</v>
      </c>
      <c r="M10" s="134">
        <v>96.06</v>
      </c>
      <c r="N10" s="134">
        <v>0</v>
      </c>
      <c r="O10" s="134">
        <v>0</v>
      </c>
      <c r="P10" s="134">
        <v>0.65</v>
      </c>
      <c r="Q10" s="134">
        <v>4.04</v>
      </c>
    </row>
    <row r="11" spans="1:21">
      <c r="A11" s="112" t="s">
        <v>2926</v>
      </c>
      <c r="B11" s="134">
        <v>14.25</v>
      </c>
      <c r="C11" s="134">
        <v>20.54</v>
      </c>
      <c r="D11" s="134">
        <v>23.51</v>
      </c>
      <c r="E11" s="134">
        <v>8.2899999999999991</v>
      </c>
      <c r="F11" s="134">
        <v>5.33</v>
      </c>
      <c r="G11" s="134">
        <v>46.69</v>
      </c>
      <c r="H11" s="134">
        <v>22.69</v>
      </c>
      <c r="I11" s="134">
        <v>5.99</v>
      </c>
      <c r="J11" s="134">
        <v>0.08</v>
      </c>
      <c r="K11" s="134">
        <v>165.7</v>
      </c>
      <c r="L11" s="134">
        <v>26.74</v>
      </c>
      <c r="M11" s="134">
        <v>96.34</v>
      </c>
      <c r="N11" s="134">
        <v>0</v>
      </c>
      <c r="O11" s="134">
        <v>0</v>
      </c>
      <c r="P11" s="134">
        <v>0.65</v>
      </c>
      <c r="Q11" s="134">
        <v>4.12</v>
      </c>
    </row>
    <row r="12" spans="1:21">
      <c r="A12" s="112" t="s">
        <v>2927</v>
      </c>
      <c r="B12" s="134">
        <v>13.72</v>
      </c>
      <c r="C12" s="134">
        <v>18.399999999999999</v>
      </c>
      <c r="D12" s="134">
        <v>21.97</v>
      </c>
      <c r="E12" s="134">
        <v>8.39</v>
      </c>
      <c r="F12" s="134">
        <v>6.08</v>
      </c>
      <c r="G12" s="134">
        <v>45.12</v>
      </c>
      <c r="H12" s="134">
        <v>25.95</v>
      </c>
      <c r="I12" s="134">
        <v>6.32</v>
      </c>
      <c r="J12" s="134">
        <v>0.04</v>
      </c>
      <c r="K12" s="134">
        <v>168.72</v>
      </c>
      <c r="L12" s="134">
        <v>26.66</v>
      </c>
      <c r="M12" s="134">
        <v>96.26</v>
      </c>
      <c r="N12" s="134">
        <v>0</v>
      </c>
      <c r="O12" s="134">
        <v>0</v>
      </c>
      <c r="P12" s="134">
        <v>0.63</v>
      </c>
      <c r="Q12" s="134">
        <v>4.1399999999999997</v>
      </c>
    </row>
    <row r="13" spans="1:21">
      <c r="A13" s="112" t="s">
        <v>2928</v>
      </c>
      <c r="B13" s="134">
        <v>13.75</v>
      </c>
      <c r="C13" s="134">
        <v>17.7</v>
      </c>
      <c r="D13" s="134">
        <v>21.62</v>
      </c>
      <c r="E13" s="134">
        <v>8.5500000000000007</v>
      </c>
      <c r="F13" s="134">
        <v>6.2</v>
      </c>
      <c r="G13" s="134">
        <v>45.12</v>
      </c>
      <c r="H13" s="134">
        <v>25.95</v>
      </c>
      <c r="I13" s="134">
        <v>5.94</v>
      </c>
      <c r="J13" s="134">
        <v>0.06</v>
      </c>
      <c r="K13" s="134">
        <v>196.45</v>
      </c>
      <c r="L13" s="134">
        <v>26.57</v>
      </c>
      <c r="M13" s="134">
        <v>96.99</v>
      </c>
      <c r="N13" s="134">
        <v>0</v>
      </c>
      <c r="O13" s="134">
        <v>0</v>
      </c>
      <c r="P13" s="134">
        <v>0.62</v>
      </c>
      <c r="Q13" s="134">
        <v>4.13</v>
      </c>
    </row>
    <row r="14" spans="1:21">
      <c r="A14" s="112" t="s">
        <v>2929</v>
      </c>
      <c r="B14" s="134">
        <v>14.78</v>
      </c>
      <c r="C14" s="134">
        <v>18.63</v>
      </c>
      <c r="D14" s="134">
        <v>22.94</v>
      </c>
      <c r="E14" s="134">
        <v>8.0399999999999991</v>
      </c>
      <c r="F14" s="134">
        <v>4.9000000000000004</v>
      </c>
      <c r="G14" s="134">
        <v>45.12</v>
      </c>
      <c r="H14" s="134">
        <v>25.95</v>
      </c>
      <c r="I14" s="134">
        <v>5.78</v>
      </c>
      <c r="J14" s="134">
        <v>0.04</v>
      </c>
      <c r="K14" s="134">
        <v>41.64</v>
      </c>
      <c r="L14" s="134">
        <v>26.51</v>
      </c>
      <c r="M14" s="134">
        <v>98.09</v>
      </c>
      <c r="N14" s="134">
        <v>0</v>
      </c>
      <c r="O14" s="134">
        <v>0</v>
      </c>
      <c r="P14" s="134">
        <v>0.63</v>
      </c>
      <c r="Q14" s="134">
        <v>4.09</v>
      </c>
    </row>
    <row r="15" spans="1:21">
      <c r="A15" s="112" t="s">
        <v>2930</v>
      </c>
      <c r="B15" s="134">
        <v>17.100000000000001</v>
      </c>
      <c r="C15" s="134">
        <v>22.63</v>
      </c>
      <c r="D15" s="134">
        <v>26.89</v>
      </c>
      <c r="E15" s="134">
        <v>8.94</v>
      </c>
      <c r="F15" s="134">
        <v>3.26</v>
      </c>
      <c r="G15" s="134">
        <v>43.31</v>
      </c>
      <c r="H15" s="134">
        <v>25.33</v>
      </c>
      <c r="I15" s="134">
        <v>5.78</v>
      </c>
      <c r="J15" s="134">
        <v>0.19</v>
      </c>
      <c r="K15" s="134">
        <v>25.17</v>
      </c>
      <c r="L15" s="134">
        <v>26.54</v>
      </c>
      <c r="M15" s="134">
        <v>98.03</v>
      </c>
      <c r="N15" s="134">
        <v>0</v>
      </c>
      <c r="O15" s="134">
        <v>0</v>
      </c>
      <c r="P15" s="134">
        <v>0.69</v>
      </c>
      <c r="Q15" s="134">
        <v>4.1100000000000003</v>
      </c>
    </row>
    <row r="16" spans="1:21">
      <c r="A16" s="112" t="s">
        <v>2931</v>
      </c>
      <c r="B16" s="134">
        <v>18.079999999999998</v>
      </c>
      <c r="C16" s="134">
        <v>22.73</v>
      </c>
      <c r="D16" s="134">
        <v>27.73</v>
      </c>
      <c r="E16" s="134">
        <v>10.17</v>
      </c>
      <c r="F16" s="134">
        <v>3.16</v>
      </c>
      <c r="G16" s="134">
        <v>37</v>
      </c>
      <c r="H16" s="134">
        <v>23.82</v>
      </c>
      <c r="I16" s="134">
        <v>6.1</v>
      </c>
      <c r="J16" s="134">
        <v>0.27</v>
      </c>
      <c r="K16" s="134">
        <v>28.99</v>
      </c>
      <c r="L16" s="134">
        <v>26.53</v>
      </c>
      <c r="M16" s="134">
        <v>95.43</v>
      </c>
      <c r="N16" s="134">
        <v>0</v>
      </c>
      <c r="O16" s="134">
        <v>0</v>
      </c>
      <c r="P16" s="134">
        <v>0.7</v>
      </c>
      <c r="Q16" s="134">
        <v>4.2</v>
      </c>
    </row>
    <row r="17" spans="1:17">
      <c r="A17" s="112" t="s">
        <v>2932</v>
      </c>
      <c r="B17" s="134">
        <v>17.84</v>
      </c>
      <c r="C17" s="134">
        <v>21.76</v>
      </c>
      <c r="D17" s="134">
        <v>27.03</v>
      </c>
      <c r="E17" s="134">
        <v>7.69</v>
      </c>
      <c r="F17" s="134">
        <v>3.41</v>
      </c>
      <c r="G17" s="134">
        <v>37</v>
      </c>
      <c r="H17" s="134">
        <v>23.82</v>
      </c>
      <c r="I17" s="134">
        <v>6.28</v>
      </c>
      <c r="J17" s="134">
        <v>0.28999999999999998</v>
      </c>
      <c r="K17" s="134">
        <v>25.82</v>
      </c>
      <c r="L17" s="134">
        <v>26.47</v>
      </c>
      <c r="M17" s="134">
        <v>93.95</v>
      </c>
      <c r="N17" s="134">
        <v>0</v>
      </c>
      <c r="O17" s="134">
        <v>0</v>
      </c>
      <c r="P17" s="134">
        <v>0.69</v>
      </c>
      <c r="Q17" s="134">
        <v>4.2300000000000004</v>
      </c>
    </row>
    <row r="18" spans="1:17">
      <c r="A18" s="112" t="s">
        <v>2933</v>
      </c>
      <c r="B18" s="134">
        <v>17.739999999999998</v>
      </c>
      <c r="C18" s="134">
        <v>21.02</v>
      </c>
      <c r="D18" s="134">
        <v>26.55</v>
      </c>
      <c r="E18" s="134">
        <v>7.87</v>
      </c>
      <c r="F18" s="134">
        <v>3.22</v>
      </c>
      <c r="G18" s="134">
        <v>37</v>
      </c>
      <c r="H18" s="134">
        <v>23.82</v>
      </c>
      <c r="I18" s="134">
        <v>6.29</v>
      </c>
      <c r="J18" s="134">
        <v>0.15</v>
      </c>
      <c r="K18" s="134">
        <v>23.54</v>
      </c>
      <c r="L18" s="134">
        <v>26.39</v>
      </c>
      <c r="M18" s="134">
        <v>94.09</v>
      </c>
      <c r="N18" s="134">
        <v>0</v>
      </c>
      <c r="O18" s="134">
        <v>0</v>
      </c>
      <c r="P18" s="134">
        <v>0.67</v>
      </c>
      <c r="Q18" s="134">
        <v>4.22</v>
      </c>
    </row>
    <row r="19" spans="1:17">
      <c r="A19" s="112" t="s">
        <v>2934</v>
      </c>
      <c r="B19" s="134">
        <v>19.2</v>
      </c>
      <c r="C19" s="134">
        <v>22.84</v>
      </c>
      <c r="D19" s="134">
        <v>28.68</v>
      </c>
      <c r="E19" s="134">
        <v>7.88</v>
      </c>
      <c r="F19" s="134">
        <v>3.04</v>
      </c>
      <c r="G19" s="134">
        <v>44.13</v>
      </c>
      <c r="H19" s="134">
        <v>24.83</v>
      </c>
      <c r="I19" s="134">
        <v>6.31</v>
      </c>
      <c r="J19" s="134">
        <v>0.03</v>
      </c>
      <c r="K19" s="134">
        <v>310.33</v>
      </c>
      <c r="L19" s="134">
        <v>26.29</v>
      </c>
      <c r="M19" s="134">
        <v>94.98</v>
      </c>
      <c r="N19" s="134">
        <v>0</v>
      </c>
      <c r="O19" s="134">
        <v>0</v>
      </c>
      <c r="P19" s="134">
        <v>0.68</v>
      </c>
      <c r="Q19" s="134">
        <v>4.2</v>
      </c>
    </row>
    <row r="20" spans="1:17">
      <c r="A20" s="112" t="s">
        <v>2935</v>
      </c>
      <c r="B20" s="134">
        <v>20.38</v>
      </c>
      <c r="C20" s="134">
        <v>25.2</v>
      </c>
      <c r="D20" s="134">
        <v>30.86</v>
      </c>
      <c r="E20" s="134">
        <v>7.45</v>
      </c>
      <c r="F20" s="134">
        <v>2.79</v>
      </c>
      <c r="G20" s="134">
        <v>69.11</v>
      </c>
      <c r="H20" s="134">
        <v>27.34</v>
      </c>
      <c r="I20" s="134">
        <v>6.39</v>
      </c>
      <c r="J20" s="134">
        <v>0.11</v>
      </c>
      <c r="K20" s="134">
        <v>29.91</v>
      </c>
      <c r="L20" s="134">
        <v>26.21</v>
      </c>
      <c r="M20" s="134">
        <v>95.14</v>
      </c>
      <c r="N20" s="134">
        <v>0</v>
      </c>
      <c r="O20" s="134">
        <v>0</v>
      </c>
      <c r="P20" s="134">
        <v>0.7</v>
      </c>
      <c r="Q20" s="134">
        <v>4.29</v>
      </c>
    </row>
    <row r="21" spans="1:17">
      <c r="A21" s="112" t="s">
        <v>2936</v>
      </c>
      <c r="B21" s="134">
        <v>21.14</v>
      </c>
      <c r="C21" s="134">
        <v>26.09</v>
      </c>
      <c r="D21" s="134">
        <v>31.94</v>
      </c>
      <c r="E21" s="134">
        <v>8.19</v>
      </c>
      <c r="F21" s="134">
        <v>3.2</v>
      </c>
      <c r="G21" s="134">
        <v>69.11</v>
      </c>
      <c r="H21" s="134">
        <v>27.34</v>
      </c>
      <c r="I21" s="134">
        <v>6.62</v>
      </c>
      <c r="J21" s="134">
        <v>0.22</v>
      </c>
      <c r="K21" s="134">
        <v>61.63</v>
      </c>
      <c r="L21" s="134">
        <v>26.22</v>
      </c>
      <c r="M21" s="134">
        <v>94.64</v>
      </c>
      <c r="N21" s="134">
        <v>0</v>
      </c>
      <c r="O21" s="134">
        <v>0</v>
      </c>
      <c r="P21" s="134">
        <v>0.71</v>
      </c>
      <c r="Q21" s="134">
        <v>4.3600000000000003</v>
      </c>
    </row>
    <row r="22" spans="1:17">
      <c r="A22" s="112" t="s">
        <v>2937</v>
      </c>
      <c r="B22" s="134">
        <v>21.25</v>
      </c>
      <c r="C22" s="134">
        <v>26.43</v>
      </c>
      <c r="D22" s="134">
        <v>32.200000000000003</v>
      </c>
      <c r="E22" s="134">
        <v>7.98</v>
      </c>
      <c r="F22" s="134">
        <v>3.17</v>
      </c>
      <c r="G22" s="134">
        <v>69.11</v>
      </c>
      <c r="H22" s="134">
        <v>27.34</v>
      </c>
      <c r="I22" s="134">
        <v>6.65</v>
      </c>
      <c r="J22" s="134">
        <v>0.09</v>
      </c>
      <c r="K22" s="134">
        <v>77.430000000000007</v>
      </c>
      <c r="L22" s="134">
        <v>26.24</v>
      </c>
      <c r="M22" s="134">
        <v>95.19</v>
      </c>
      <c r="N22" s="134">
        <v>0</v>
      </c>
      <c r="O22" s="134">
        <v>0</v>
      </c>
      <c r="P22" s="134">
        <v>0.72</v>
      </c>
      <c r="Q22" s="134">
        <v>4.43</v>
      </c>
    </row>
    <row r="23" spans="1:17">
      <c r="A23" s="112" t="s">
        <v>2938</v>
      </c>
      <c r="B23" s="134">
        <v>21.27</v>
      </c>
      <c r="C23" s="134">
        <v>26.49</v>
      </c>
      <c r="D23" s="134">
        <v>32.25</v>
      </c>
      <c r="E23" s="134">
        <v>7.7</v>
      </c>
      <c r="F23" s="134">
        <v>2.99</v>
      </c>
      <c r="G23" s="134">
        <v>68.66</v>
      </c>
      <c r="H23" s="134">
        <v>27.84</v>
      </c>
      <c r="I23" s="134">
        <v>6.65</v>
      </c>
      <c r="J23" s="134">
        <v>0.12</v>
      </c>
      <c r="K23" s="134">
        <v>143.15</v>
      </c>
      <c r="L23" s="134">
        <v>26.48</v>
      </c>
      <c r="M23" s="134">
        <v>93.66</v>
      </c>
      <c r="N23" s="134">
        <v>0</v>
      </c>
      <c r="O23" s="134">
        <v>0</v>
      </c>
      <c r="P23" s="134">
        <v>0.71</v>
      </c>
      <c r="Q23" s="134">
        <v>4.45</v>
      </c>
    </row>
    <row r="24" spans="1:17">
      <c r="A24" s="112" t="s">
        <v>2939</v>
      </c>
      <c r="B24" s="134">
        <v>21.69</v>
      </c>
      <c r="C24" s="134">
        <v>26.85</v>
      </c>
      <c r="D24" s="134">
        <v>32.770000000000003</v>
      </c>
      <c r="E24" s="134">
        <v>7.57</v>
      </c>
      <c r="F24" s="134">
        <v>2.99</v>
      </c>
      <c r="G24" s="134">
        <v>67.099999999999994</v>
      </c>
      <c r="H24" s="134">
        <v>28.99</v>
      </c>
      <c r="I24" s="134">
        <v>6.61</v>
      </c>
      <c r="J24" s="134">
        <v>0.2</v>
      </c>
      <c r="K24" s="134">
        <v>56.76</v>
      </c>
      <c r="L24" s="134">
        <v>26.24</v>
      </c>
      <c r="M24" s="134">
        <v>94.17</v>
      </c>
      <c r="N24" s="134">
        <v>0</v>
      </c>
      <c r="O24" s="134">
        <v>0</v>
      </c>
      <c r="P24" s="134">
        <v>0.72</v>
      </c>
      <c r="Q24" s="134">
        <v>4.5</v>
      </c>
    </row>
    <row r="25" spans="1:17">
      <c r="A25" s="112" t="s">
        <v>2940</v>
      </c>
      <c r="B25" s="134">
        <v>22.2</v>
      </c>
      <c r="C25" s="134">
        <v>27.28</v>
      </c>
      <c r="D25" s="134">
        <v>33.409999999999997</v>
      </c>
      <c r="E25" s="134">
        <v>7.34</v>
      </c>
      <c r="F25" s="134">
        <v>3.04</v>
      </c>
      <c r="G25" s="134">
        <v>67.099999999999994</v>
      </c>
      <c r="H25" s="134">
        <v>28.99</v>
      </c>
      <c r="I25" s="134">
        <v>6.49</v>
      </c>
      <c r="J25" s="134">
        <v>0.25</v>
      </c>
      <c r="K25" s="134">
        <v>51.3</v>
      </c>
      <c r="L25" s="134">
        <v>26.18</v>
      </c>
      <c r="M25" s="134">
        <v>93.9</v>
      </c>
      <c r="N25" s="134">
        <v>0</v>
      </c>
      <c r="O25" s="134">
        <v>0</v>
      </c>
      <c r="P25" s="134">
        <v>0.71</v>
      </c>
      <c r="Q25" s="134">
        <v>4.58</v>
      </c>
    </row>
    <row r="26" spans="1:17">
      <c r="A26" s="112" t="s">
        <v>2941</v>
      </c>
      <c r="B26" s="134">
        <v>22.47</v>
      </c>
      <c r="C26" s="134">
        <v>27.41</v>
      </c>
      <c r="D26" s="134">
        <v>33.69</v>
      </c>
      <c r="E26" s="134">
        <v>7.29</v>
      </c>
      <c r="F26" s="134">
        <v>2.95</v>
      </c>
      <c r="G26" s="134">
        <v>67.099999999999994</v>
      </c>
      <c r="H26" s="134">
        <v>28.99</v>
      </c>
      <c r="I26" s="134">
        <v>6.51</v>
      </c>
      <c r="J26" s="134">
        <v>0.28000000000000003</v>
      </c>
      <c r="K26" s="134">
        <v>77.27</v>
      </c>
      <c r="L26" s="134">
        <v>26.23</v>
      </c>
      <c r="M26" s="134">
        <v>93.18</v>
      </c>
      <c r="N26" s="134">
        <v>0</v>
      </c>
      <c r="O26" s="134">
        <v>0</v>
      </c>
      <c r="P26" s="134">
        <v>0.71</v>
      </c>
      <c r="Q26" s="134">
        <v>4.59</v>
      </c>
    </row>
    <row r="27" spans="1:17">
      <c r="A27" s="112" t="s">
        <v>2942</v>
      </c>
      <c r="B27" s="134">
        <v>22.26</v>
      </c>
      <c r="C27" s="134">
        <v>27.47</v>
      </c>
      <c r="D27" s="134">
        <v>33.549999999999997</v>
      </c>
      <c r="E27" s="134">
        <v>7.08</v>
      </c>
      <c r="F27" s="134">
        <v>2.89</v>
      </c>
      <c r="G27" s="134">
        <v>64.8</v>
      </c>
      <c r="H27" s="134">
        <v>27.75</v>
      </c>
      <c r="I27" s="134">
        <v>6.51</v>
      </c>
      <c r="J27" s="134">
        <v>0.18</v>
      </c>
      <c r="K27" s="134">
        <v>65.67</v>
      </c>
      <c r="L27" s="134">
        <v>26.11</v>
      </c>
      <c r="M27" s="134">
        <v>94.09</v>
      </c>
      <c r="N27" s="134">
        <v>0</v>
      </c>
      <c r="O27" s="134">
        <v>0</v>
      </c>
      <c r="P27" s="134">
        <v>0.69</v>
      </c>
      <c r="Q27" s="134">
        <v>4.5999999999999996</v>
      </c>
    </row>
    <row r="28" spans="1:17">
      <c r="A28" s="112" t="s">
        <v>2943</v>
      </c>
      <c r="B28" s="134">
        <v>22.41</v>
      </c>
      <c r="C28" s="134">
        <v>27.89</v>
      </c>
      <c r="D28" s="134">
        <v>33.9</v>
      </c>
      <c r="E28" s="134">
        <v>7.97</v>
      </c>
      <c r="F28" s="134">
        <v>2.79</v>
      </c>
      <c r="G28" s="134">
        <v>56.76</v>
      </c>
      <c r="H28" s="134">
        <v>24.82</v>
      </c>
      <c r="I28" s="134">
        <v>6.48</v>
      </c>
      <c r="J28" s="134">
        <v>7.0000000000000007E-2</v>
      </c>
      <c r="K28" s="134">
        <v>126.89</v>
      </c>
      <c r="L28" s="134">
        <v>26.2</v>
      </c>
      <c r="M28" s="134">
        <v>93.68</v>
      </c>
      <c r="N28" s="134">
        <v>0</v>
      </c>
      <c r="O28" s="134">
        <v>0</v>
      </c>
      <c r="P28" s="134">
        <v>0.69</v>
      </c>
      <c r="Q28" s="134">
        <v>4.5999999999999996</v>
      </c>
    </row>
    <row r="29" spans="1:17">
      <c r="A29" s="112" t="s">
        <v>2944</v>
      </c>
      <c r="B29" s="134">
        <v>22.73</v>
      </c>
      <c r="C29" s="134">
        <v>28.42</v>
      </c>
      <c r="D29" s="134">
        <v>34.42</v>
      </c>
      <c r="E29" s="134">
        <v>7.88</v>
      </c>
      <c r="F29" s="134">
        <v>2.68</v>
      </c>
      <c r="G29" s="134">
        <v>56.76</v>
      </c>
      <c r="H29" s="134">
        <v>24.82</v>
      </c>
      <c r="I29" s="134">
        <v>6.32</v>
      </c>
      <c r="J29" s="134">
        <v>0.17</v>
      </c>
      <c r="K29" s="134">
        <v>35.869999999999997</v>
      </c>
      <c r="L29" s="134">
        <v>25.99</v>
      </c>
      <c r="M29" s="134">
        <v>94.67</v>
      </c>
      <c r="N29" s="134">
        <v>0</v>
      </c>
      <c r="O29" s="134">
        <v>0</v>
      </c>
      <c r="P29" s="134">
        <v>0.68</v>
      </c>
      <c r="Q29" s="134">
        <v>4.59</v>
      </c>
    </row>
    <row r="30" spans="1:17">
      <c r="A30" s="112" t="s">
        <v>2945</v>
      </c>
      <c r="B30" s="134">
        <v>23.29</v>
      </c>
      <c r="C30" s="134">
        <v>28.64</v>
      </c>
      <c r="D30" s="134">
        <v>34.99</v>
      </c>
      <c r="E30" s="134">
        <v>8.24</v>
      </c>
      <c r="F30" s="134">
        <v>2.66</v>
      </c>
      <c r="G30" s="134">
        <v>56.76</v>
      </c>
      <c r="H30" s="134">
        <v>24.82</v>
      </c>
      <c r="I30" s="134">
        <v>6.38</v>
      </c>
      <c r="J30" s="134">
        <v>0.13</v>
      </c>
      <c r="K30" s="134">
        <v>146.46</v>
      </c>
      <c r="L30" s="134">
        <v>26.15</v>
      </c>
      <c r="M30" s="134">
        <v>93.69</v>
      </c>
      <c r="N30" s="134">
        <v>0</v>
      </c>
      <c r="O30" s="134">
        <v>0</v>
      </c>
      <c r="P30" s="134">
        <v>0.68</v>
      </c>
      <c r="Q30" s="134">
        <v>4.63</v>
      </c>
    </row>
    <row r="31" spans="1:17">
      <c r="A31" s="112" t="s">
        <v>2946</v>
      </c>
      <c r="B31" s="134">
        <v>23.34</v>
      </c>
      <c r="C31" s="134">
        <v>28.43</v>
      </c>
      <c r="D31" s="134">
        <v>34.92</v>
      </c>
      <c r="E31" s="134">
        <v>7.95</v>
      </c>
      <c r="F31" s="134">
        <v>2.7</v>
      </c>
      <c r="G31" s="134">
        <v>55.55</v>
      </c>
      <c r="H31" s="134">
        <v>24.84</v>
      </c>
      <c r="I31" s="134">
        <v>6.3</v>
      </c>
      <c r="J31" s="134">
        <v>7.0000000000000007E-2</v>
      </c>
      <c r="K31" s="134">
        <v>182.18</v>
      </c>
      <c r="L31" s="134">
        <v>25.9</v>
      </c>
      <c r="M31" s="134">
        <v>94.76</v>
      </c>
      <c r="N31" s="134">
        <v>0</v>
      </c>
      <c r="O31" s="134">
        <v>0</v>
      </c>
      <c r="P31" s="134">
        <v>0.67</v>
      </c>
      <c r="Q31" s="134">
        <v>4.67</v>
      </c>
    </row>
    <row r="32" spans="1:17">
      <c r="A32" s="112" t="s">
        <v>2947</v>
      </c>
      <c r="B32" s="134">
        <v>23.62</v>
      </c>
      <c r="C32" s="134">
        <v>28.72</v>
      </c>
      <c r="D32" s="134">
        <v>35.299999999999997</v>
      </c>
      <c r="E32" s="134">
        <v>7.91</v>
      </c>
      <c r="F32" s="134">
        <v>2.59</v>
      </c>
      <c r="G32" s="134">
        <v>51.33</v>
      </c>
      <c r="H32" s="134">
        <v>24.88</v>
      </c>
      <c r="I32" s="134">
        <v>6.28</v>
      </c>
      <c r="J32" s="134">
        <v>0.11</v>
      </c>
      <c r="K32" s="134">
        <v>79.64</v>
      </c>
      <c r="L32" s="134">
        <v>25.93</v>
      </c>
      <c r="M32" s="134">
        <v>95.15</v>
      </c>
      <c r="N32" s="134">
        <v>0</v>
      </c>
      <c r="O32" s="134">
        <v>0</v>
      </c>
      <c r="P32" s="134">
        <v>0.66</v>
      </c>
      <c r="Q32" s="134">
        <v>4.6900000000000004</v>
      </c>
    </row>
    <row r="33" spans="1:17">
      <c r="A33" s="112" t="s">
        <v>2948</v>
      </c>
      <c r="B33" s="134">
        <v>24.43</v>
      </c>
      <c r="C33" s="134">
        <v>28.77</v>
      </c>
      <c r="D33" s="134">
        <v>35.979999999999997</v>
      </c>
      <c r="E33" s="134">
        <v>8.2100000000000009</v>
      </c>
      <c r="F33" s="134">
        <v>2.5099999999999998</v>
      </c>
      <c r="G33" s="134">
        <v>51.33</v>
      </c>
      <c r="H33" s="134">
        <v>24.88</v>
      </c>
      <c r="I33" s="134">
        <v>6.25</v>
      </c>
      <c r="J33" s="134">
        <v>0.18</v>
      </c>
      <c r="K33" s="134">
        <v>144.83000000000001</v>
      </c>
      <c r="L33" s="134">
        <v>26.11</v>
      </c>
      <c r="M33" s="134">
        <v>94.8</v>
      </c>
      <c r="N33" s="134">
        <v>5.6</v>
      </c>
      <c r="O33" s="134">
        <v>0</v>
      </c>
      <c r="P33" s="134">
        <v>0.66</v>
      </c>
      <c r="Q33" s="134">
        <v>4.71</v>
      </c>
    </row>
    <row r="34" spans="1:17">
      <c r="A34" s="112" t="s">
        <v>2949</v>
      </c>
      <c r="B34" s="134">
        <v>24.85</v>
      </c>
      <c r="C34" s="134">
        <v>28.81</v>
      </c>
      <c r="D34" s="134">
        <v>36.33</v>
      </c>
      <c r="E34" s="134">
        <v>7.91</v>
      </c>
      <c r="F34" s="134">
        <v>2.64</v>
      </c>
      <c r="G34" s="134">
        <v>51.33</v>
      </c>
      <c r="H34" s="134">
        <v>24.88</v>
      </c>
      <c r="I34" s="134">
        <v>6.22</v>
      </c>
      <c r="J34" s="134">
        <v>0.02</v>
      </c>
      <c r="K34" s="134">
        <v>168.39</v>
      </c>
      <c r="L34" s="134">
        <v>26.26</v>
      </c>
      <c r="M34" s="134">
        <v>93.73</v>
      </c>
      <c r="N34" s="134">
        <v>13.3</v>
      </c>
      <c r="O34" s="134">
        <v>0</v>
      </c>
      <c r="P34" s="134">
        <v>0.67</v>
      </c>
      <c r="Q34" s="134">
        <v>4.75</v>
      </c>
    </row>
    <row r="35" spans="1:17">
      <c r="A35" s="112" t="s">
        <v>2950</v>
      </c>
      <c r="B35" s="134">
        <v>25.21</v>
      </c>
      <c r="C35" s="134">
        <v>28.9</v>
      </c>
      <c r="D35" s="134">
        <v>36.659999999999997</v>
      </c>
      <c r="E35" s="134">
        <v>8.17</v>
      </c>
      <c r="F35" s="134">
        <v>2.5</v>
      </c>
      <c r="G35" s="134">
        <v>50.65</v>
      </c>
      <c r="H35" s="134">
        <v>24.3</v>
      </c>
      <c r="I35" s="134">
        <v>6.21</v>
      </c>
      <c r="J35" s="134">
        <v>0.21</v>
      </c>
      <c r="K35" s="134">
        <v>63.43</v>
      </c>
      <c r="L35" s="134">
        <v>26.35</v>
      </c>
      <c r="M35" s="134">
        <v>92.97</v>
      </c>
      <c r="N35" s="134">
        <v>24</v>
      </c>
      <c r="O35" s="134">
        <v>0</v>
      </c>
      <c r="P35" s="134">
        <v>0.67</v>
      </c>
      <c r="Q35" s="134">
        <v>4.75</v>
      </c>
    </row>
    <row r="36" spans="1:17">
      <c r="A36" s="112" t="s">
        <v>2951</v>
      </c>
      <c r="B36" s="134">
        <v>25.69</v>
      </c>
      <c r="C36" s="134">
        <v>29.41</v>
      </c>
      <c r="D36" s="134">
        <v>37.32</v>
      </c>
      <c r="E36" s="134">
        <v>8.52</v>
      </c>
      <c r="F36" s="134">
        <v>2.48</v>
      </c>
      <c r="G36" s="134">
        <v>48.43</v>
      </c>
      <c r="H36" s="134">
        <v>22.68</v>
      </c>
      <c r="I36" s="134">
        <v>6.21</v>
      </c>
      <c r="J36" s="134">
        <v>0.11</v>
      </c>
      <c r="K36" s="134">
        <v>77.77</v>
      </c>
      <c r="L36" s="134">
        <v>26.6</v>
      </c>
      <c r="M36" s="134">
        <v>92.76</v>
      </c>
      <c r="N36" s="134">
        <v>43.2</v>
      </c>
      <c r="O36" s="134">
        <v>0</v>
      </c>
      <c r="P36" s="134">
        <v>0.67</v>
      </c>
      <c r="Q36" s="134">
        <v>4.7699999999999996</v>
      </c>
    </row>
    <row r="37" spans="1:17">
      <c r="A37" s="112" t="s">
        <v>2952</v>
      </c>
      <c r="B37" s="134">
        <v>26.03</v>
      </c>
      <c r="C37" s="134">
        <v>29.48</v>
      </c>
      <c r="D37" s="134">
        <v>37.630000000000003</v>
      </c>
      <c r="E37" s="134">
        <v>8.25</v>
      </c>
      <c r="F37" s="134">
        <v>2.54</v>
      </c>
      <c r="G37" s="134">
        <v>48.43</v>
      </c>
      <c r="H37" s="134">
        <v>22.68</v>
      </c>
      <c r="I37" s="134">
        <v>6.2</v>
      </c>
      <c r="J37" s="134">
        <v>0.16</v>
      </c>
      <c r="K37" s="134">
        <v>33.32</v>
      </c>
      <c r="L37" s="134">
        <v>26.87</v>
      </c>
      <c r="M37" s="134">
        <v>92.26</v>
      </c>
      <c r="N37" s="134">
        <v>65.2</v>
      </c>
      <c r="O37" s="134">
        <v>0</v>
      </c>
      <c r="P37" s="134">
        <v>0.67</v>
      </c>
      <c r="Q37" s="134">
        <v>4.78</v>
      </c>
    </row>
    <row r="38" spans="1:17">
      <c r="A38" s="112" t="s">
        <v>2953</v>
      </c>
      <c r="B38" s="134">
        <v>26.18</v>
      </c>
      <c r="C38" s="134">
        <v>29.07</v>
      </c>
      <c r="D38" s="134">
        <v>37.53</v>
      </c>
      <c r="E38" s="134">
        <v>8.3800000000000008</v>
      </c>
      <c r="F38" s="134">
        <v>2.64</v>
      </c>
      <c r="G38" s="134">
        <v>48.43</v>
      </c>
      <c r="H38" s="134">
        <v>22.68</v>
      </c>
      <c r="I38" s="134">
        <v>6.23</v>
      </c>
      <c r="J38" s="134">
        <v>0.16</v>
      </c>
      <c r="K38" s="134">
        <v>46.18</v>
      </c>
      <c r="L38" s="134">
        <v>27.28</v>
      </c>
      <c r="M38" s="134">
        <v>91.91</v>
      </c>
      <c r="N38" s="134">
        <v>87.8</v>
      </c>
      <c r="O38" s="134">
        <v>0</v>
      </c>
      <c r="P38" s="134">
        <v>0.68</v>
      </c>
      <c r="Q38" s="134">
        <v>4.8099999999999996</v>
      </c>
    </row>
    <row r="39" spans="1:17">
      <c r="A39" s="112" t="s">
        <v>2954</v>
      </c>
      <c r="B39" s="134">
        <v>26.49</v>
      </c>
      <c r="C39" s="134">
        <v>28.75</v>
      </c>
      <c r="D39" s="134">
        <v>37.619999999999997</v>
      </c>
      <c r="E39" s="134">
        <v>8.4700000000000006</v>
      </c>
      <c r="F39" s="134">
        <v>2.75</v>
      </c>
      <c r="G39" s="134">
        <v>47.63</v>
      </c>
      <c r="H39" s="134">
        <v>22.41</v>
      </c>
      <c r="I39" s="134">
        <v>6.31</v>
      </c>
      <c r="J39" s="134">
        <v>0.46</v>
      </c>
      <c r="K39" s="134">
        <v>35.86</v>
      </c>
      <c r="L39" s="134">
        <v>27.59</v>
      </c>
      <c r="M39" s="134">
        <v>90.9</v>
      </c>
      <c r="N39" s="134">
        <v>109.6</v>
      </c>
      <c r="O39" s="134">
        <v>0</v>
      </c>
      <c r="P39" s="134">
        <v>0.67</v>
      </c>
      <c r="Q39" s="134">
        <v>4.8099999999999996</v>
      </c>
    </row>
    <row r="40" spans="1:17">
      <c r="A40" s="112" t="s">
        <v>2955</v>
      </c>
      <c r="B40" s="134">
        <v>26.5</v>
      </c>
      <c r="C40" s="134">
        <v>29.2</v>
      </c>
      <c r="D40" s="134">
        <v>37.86</v>
      </c>
      <c r="E40" s="134">
        <v>8.5399999999999991</v>
      </c>
      <c r="F40" s="134">
        <v>2.78</v>
      </c>
      <c r="G40" s="134">
        <v>44.84</v>
      </c>
      <c r="H40" s="134">
        <v>21.77</v>
      </c>
      <c r="I40" s="134">
        <v>6.34</v>
      </c>
      <c r="J40" s="134">
        <v>0.54</v>
      </c>
      <c r="K40" s="134">
        <v>44.6</v>
      </c>
      <c r="L40" s="134">
        <v>27.66</v>
      </c>
      <c r="M40" s="134">
        <v>91.12</v>
      </c>
      <c r="N40" s="134">
        <v>138.30000000000001</v>
      </c>
      <c r="O40" s="134">
        <v>0</v>
      </c>
      <c r="P40" s="134">
        <v>0.68</v>
      </c>
      <c r="Q40" s="134">
        <v>4.82</v>
      </c>
    </row>
    <row r="41" spans="1:17">
      <c r="A41" s="112" t="s">
        <v>2956</v>
      </c>
      <c r="B41" s="134">
        <v>26.7</v>
      </c>
      <c r="C41" s="134">
        <v>29.56</v>
      </c>
      <c r="D41" s="134">
        <v>38.200000000000003</v>
      </c>
      <c r="E41" s="134">
        <v>8.59</v>
      </c>
      <c r="F41" s="134">
        <v>2.76</v>
      </c>
      <c r="G41" s="134">
        <v>44.84</v>
      </c>
      <c r="H41" s="134">
        <v>21.77</v>
      </c>
      <c r="I41" s="134">
        <v>6.3</v>
      </c>
      <c r="J41" s="134">
        <v>0.39</v>
      </c>
      <c r="K41" s="134">
        <v>57.3</v>
      </c>
      <c r="L41" s="134">
        <v>28.03</v>
      </c>
      <c r="M41" s="134">
        <v>88.88</v>
      </c>
      <c r="N41" s="134">
        <v>176.7</v>
      </c>
      <c r="O41" s="134">
        <v>0</v>
      </c>
      <c r="P41" s="134">
        <v>0.68</v>
      </c>
      <c r="Q41" s="134">
        <v>4.8499999999999996</v>
      </c>
    </row>
    <row r="42" spans="1:17">
      <c r="A42" s="112" t="s">
        <v>2957</v>
      </c>
      <c r="B42" s="134">
        <v>26.8</v>
      </c>
      <c r="C42" s="134">
        <v>28.19</v>
      </c>
      <c r="D42" s="134">
        <v>37.57</v>
      </c>
      <c r="E42" s="134">
        <v>8.7899999999999991</v>
      </c>
      <c r="F42" s="134">
        <v>3.62</v>
      </c>
      <c r="G42" s="134">
        <v>44.84</v>
      </c>
      <c r="H42" s="134">
        <v>21.77</v>
      </c>
      <c r="I42" s="134">
        <v>6.24</v>
      </c>
      <c r="J42" s="134">
        <v>0.42</v>
      </c>
      <c r="K42" s="134">
        <v>40.01</v>
      </c>
      <c r="L42" s="134">
        <v>28.68</v>
      </c>
      <c r="M42" s="134">
        <v>87.58</v>
      </c>
      <c r="N42" s="134">
        <v>223.5</v>
      </c>
      <c r="O42" s="134">
        <v>0</v>
      </c>
      <c r="P42" s="134">
        <v>0.66</v>
      </c>
      <c r="Q42" s="134">
        <v>4.84</v>
      </c>
    </row>
    <row r="43" spans="1:17">
      <c r="A43" s="112" t="s">
        <v>2958</v>
      </c>
      <c r="B43" s="134">
        <v>26.8</v>
      </c>
      <c r="C43" s="134">
        <v>25.63</v>
      </c>
      <c r="D43" s="134">
        <v>36.229999999999997</v>
      </c>
      <c r="E43" s="134">
        <v>9.06</v>
      </c>
      <c r="F43" s="134">
        <v>4.51</v>
      </c>
      <c r="G43" s="134">
        <v>47.02</v>
      </c>
      <c r="H43" s="134">
        <v>21.76</v>
      </c>
      <c r="I43" s="134">
        <v>6.31</v>
      </c>
      <c r="J43" s="134">
        <v>0.39</v>
      </c>
      <c r="K43" s="134">
        <v>45.49</v>
      </c>
      <c r="L43" s="134">
        <v>28.97</v>
      </c>
      <c r="M43" s="134">
        <v>86.86</v>
      </c>
      <c r="N43" s="134">
        <v>263.89999999999998</v>
      </c>
      <c r="O43" s="134">
        <v>0</v>
      </c>
      <c r="P43" s="134">
        <v>0.65</v>
      </c>
      <c r="Q43" s="134">
        <v>4.83</v>
      </c>
    </row>
    <row r="44" spans="1:17">
      <c r="A44" s="112" t="s">
        <v>2959</v>
      </c>
      <c r="B44" s="134">
        <v>26.63</v>
      </c>
      <c r="C44" s="134">
        <v>24.2</v>
      </c>
      <c r="D44" s="134">
        <v>35.35</v>
      </c>
      <c r="E44" s="134">
        <v>8.6300000000000008</v>
      </c>
      <c r="F44" s="134">
        <v>4.55</v>
      </c>
      <c r="G44" s="134">
        <v>54.16</v>
      </c>
      <c r="H44" s="134">
        <v>21.74</v>
      </c>
      <c r="I44" s="134">
        <v>6.19</v>
      </c>
      <c r="J44" s="134">
        <v>0.32</v>
      </c>
      <c r="K44" s="134">
        <v>58.64</v>
      </c>
      <c r="L44" s="134">
        <v>29.54</v>
      </c>
      <c r="M44" s="134">
        <v>85.53</v>
      </c>
      <c r="N44" s="134">
        <v>327.10000000000002</v>
      </c>
      <c r="O44" s="134">
        <v>0</v>
      </c>
      <c r="P44" s="134">
        <v>0.64</v>
      </c>
      <c r="Q44" s="134">
        <v>4.7699999999999996</v>
      </c>
    </row>
    <row r="45" spans="1:17">
      <c r="A45" s="112" t="s">
        <v>2960</v>
      </c>
      <c r="B45" s="134">
        <v>26.11</v>
      </c>
      <c r="C45" s="134">
        <v>24.04</v>
      </c>
      <c r="D45" s="134">
        <v>34.85</v>
      </c>
      <c r="E45" s="134">
        <v>9.7799999999999994</v>
      </c>
      <c r="F45" s="134">
        <v>4.93</v>
      </c>
      <c r="G45" s="134">
        <v>54.16</v>
      </c>
      <c r="H45" s="134">
        <v>21.74</v>
      </c>
      <c r="I45" s="134">
        <v>6.07</v>
      </c>
      <c r="J45" s="134">
        <v>0.4</v>
      </c>
      <c r="K45" s="134">
        <v>50.1</v>
      </c>
      <c r="L45" s="134">
        <v>30.16</v>
      </c>
      <c r="M45" s="134">
        <v>82.06</v>
      </c>
      <c r="N45" s="134">
        <v>371.5</v>
      </c>
      <c r="O45" s="134">
        <v>0</v>
      </c>
      <c r="P45" s="134">
        <v>0.64</v>
      </c>
      <c r="Q45" s="134">
        <v>4.7300000000000004</v>
      </c>
    </row>
    <row r="46" spans="1:17">
      <c r="A46" s="112" t="s">
        <v>2961</v>
      </c>
      <c r="B46" s="134">
        <v>25.93</v>
      </c>
      <c r="C46" s="134">
        <v>24.23</v>
      </c>
      <c r="D46" s="134">
        <v>34.799999999999997</v>
      </c>
      <c r="E46" s="134">
        <v>9.56</v>
      </c>
      <c r="F46" s="134">
        <v>4.5599999999999996</v>
      </c>
      <c r="G46" s="134">
        <v>54.16</v>
      </c>
      <c r="H46" s="134">
        <v>21.74</v>
      </c>
      <c r="I46" s="134">
        <v>6.12</v>
      </c>
      <c r="J46" s="134">
        <v>0.21</v>
      </c>
      <c r="K46" s="134">
        <v>118.88</v>
      </c>
      <c r="L46" s="134">
        <v>30.9</v>
      </c>
      <c r="M46" s="134">
        <v>79.790000000000006</v>
      </c>
      <c r="N46" s="134">
        <v>392.4</v>
      </c>
      <c r="O46" s="134">
        <v>0</v>
      </c>
      <c r="P46" s="134">
        <v>0.63</v>
      </c>
      <c r="Q46" s="134">
        <v>4.68</v>
      </c>
    </row>
    <row r="47" spans="1:17">
      <c r="A47" s="112" t="s">
        <v>2962</v>
      </c>
      <c r="B47" s="134">
        <v>25.01</v>
      </c>
      <c r="C47" s="134">
        <v>23.86</v>
      </c>
      <c r="D47" s="134">
        <v>33.869999999999997</v>
      </c>
      <c r="E47" s="134">
        <v>13.06</v>
      </c>
      <c r="F47" s="134">
        <v>6.12</v>
      </c>
      <c r="G47" s="134">
        <v>55.49</v>
      </c>
      <c r="H47" s="134">
        <v>22.75</v>
      </c>
      <c r="I47" s="134">
        <v>6.06</v>
      </c>
      <c r="J47" s="134">
        <v>0.4</v>
      </c>
      <c r="K47" s="134">
        <v>29.97</v>
      </c>
      <c r="L47" s="134">
        <v>30.79</v>
      </c>
      <c r="M47" s="134">
        <v>79.790000000000006</v>
      </c>
      <c r="N47" s="134">
        <v>282.8</v>
      </c>
      <c r="O47" s="134">
        <v>0</v>
      </c>
      <c r="P47" s="134">
        <v>0.66</v>
      </c>
      <c r="Q47" s="134">
        <v>4.63</v>
      </c>
    </row>
    <row r="48" spans="1:17">
      <c r="A48" s="112" t="s">
        <v>2963</v>
      </c>
      <c r="B48" s="134">
        <v>24.61</v>
      </c>
      <c r="C48" s="134">
        <v>24.02</v>
      </c>
      <c r="D48" s="134">
        <v>33.64</v>
      </c>
      <c r="E48" s="134">
        <v>12.89</v>
      </c>
      <c r="F48" s="134">
        <v>6.82</v>
      </c>
      <c r="G48" s="134">
        <v>59.86</v>
      </c>
      <c r="H48" s="134">
        <v>25.28</v>
      </c>
      <c r="I48" s="134">
        <v>6.12</v>
      </c>
      <c r="J48" s="134">
        <v>0.23</v>
      </c>
      <c r="K48" s="134">
        <v>39.79</v>
      </c>
      <c r="L48" s="134">
        <v>30.89</v>
      </c>
      <c r="M48" s="134">
        <v>78.790000000000006</v>
      </c>
      <c r="N48" s="134">
        <v>292.3</v>
      </c>
      <c r="O48" s="134">
        <v>0</v>
      </c>
      <c r="P48" s="134">
        <v>0.66</v>
      </c>
      <c r="Q48" s="134">
        <v>4.59</v>
      </c>
    </row>
    <row r="49" spans="1:17">
      <c r="A49" s="112" t="s">
        <v>2964</v>
      </c>
      <c r="B49" s="134">
        <v>24.27</v>
      </c>
      <c r="C49" s="134">
        <v>23.97</v>
      </c>
      <c r="D49" s="134">
        <v>33.33</v>
      </c>
      <c r="E49" s="134">
        <v>11.14</v>
      </c>
      <c r="F49" s="134">
        <v>6.24</v>
      </c>
      <c r="G49" s="134">
        <v>59.86</v>
      </c>
      <c r="H49" s="134">
        <v>25.28</v>
      </c>
      <c r="I49" s="134">
        <v>5.93</v>
      </c>
      <c r="J49" s="134">
        <v>0.2</v>
      </c>
      <c r="K49" s="134">
        <v>76.7</v>
      </c>
      <c r="L49" s="134">
        <v>31.27</v>
      </c>
      <c r="M49" s="134">
        <v>75.83</v>
      </c>
      <c r="N49" s="134">
        <v>287.39999999999998</v>
      </c>
      <c r="O49" s="134">
        <v>0</v>
      </c>
      <c r="P49" s="134">
        <v>0.65</v>
      </c>
      <c r="Q49" s="134">
        <v>4.5999999999999996</v>
      </c>
    </row>
    <row r="50" spans="1:17">
      <c r="A50" s="112" t="s">
        <v>2965</v>
      </c>
      <c r="B50" s="134">
        <v>23.29</v>
      </c>
      <c r="C50" s="134">
        <v>23.42</v>
      </c>
      <c r="D50" s="134">
        <v>32.26</v>
      </c>
      <c r="E50" s="134">
        <v>12.58</v>
      </c>
      <c r="F50" s="134">
        <v>6.99</v>
      </c>
      <c r="G50" s="134">
        <v>59.86</v>
      </c>
      <c r="H50" s="134">
        <v>25.28</v>
      </c>
      <c r="I50" s="134">
        <v>6</v>
      </c>
      <c r="J50" s="134">
        <v>0.22</v>
      </c>
      <c r="K50" s="134">
        <v>153.13999999999999</v>
      </c>
      <c r="L50" s="134">
        <v>30.96</v>
      </c>
      <c r="M50" s="134">
        <v>77.12</v>
      </c>
      <c r="N50" s="134">
        <v>242.4</v>
      </c>
      <c r="O50" s="134">
        <v>0</v>
      </c>
      <c r="P50" s="134">
        <v>0.63</v>
      </c>
      <c r="Q50" s="134">
        <v>4.55</v>
      </c>
    </row>
    <row r="51" spans="1:17">
      <c r="A51" s="112" t="s">
        <v>2966</v>
      </c>
      <c r="B51" s="134">
        <v>21.88</v>
      </c>
      <c r="C51" s="134">
        <v>22.93</v>
      </c>
      <c r="D51" s="134">
        <v>30.88</v>
      </c>
      <c r="E51" s="134">
        <v>13.26</v>
      </c>
      <c r="F51" s="134">
        <v>8.86</v>
      </c>
      <c r="G51" s="134">
        <v>57.18</v>
      </c>
      <c r="H51" s="134">
        <v>25</v>
      </c>
      <c r="I51" s="134">
        <v>5.99</v>
      </c>
      <c r="J51" s="134">
        <v>0.2</v>
      </c>
      <c r="K51" s="134">
        <v>95.12</v>
      </c>
      <c r="L51" s="134">
        <v>31.2</v>
      </c>
      <c r="M51" s="134">
        <v>74.2</v>
      </c>
      <c r="N51" s="134">
        <v>481.3</v>
      </c>
      <c r="O51" s="134">
        <v>0</v>
      </c>
      <c r="P51" s="134">
        <v>0.63</v>
      </c>
      <c r="Q51" s="134">
        <v>4.46</v>
      </c>
    </row>
    <row r="52" spans="1:17">
      <c r="A52" s="112" t="s">
        <v>2967</v>
      </c>
      <c r="B52" s="134">
        <v>21.1</v>
      </c>
      <c r="C52" s="134">
        <v>23.35</v>
      </c>
      <c r="D52" s="134">
        <v>30.47</v>
      </c>
      <c r="E52" s="134">
        <v>14.98</v>
      </c>
      <c r="F52" s="134">
        <v>7.6</v>
      </c>
      <c r="G52" s="134">
        <v>47.8</v>
      </c>
      <c r="H52" s="134">
        <v>24.35</v>
      </c>
      <c r="I52" s="134">
        <v>5.92</v>
      </c>
      <c r="J52" s="134">
        <v>0.21</v>
      </c>
      <c r="K52" s="134">
        <v>101.36</v>
      </c>
      <c r="L52" s="134">
        <v>32.090000000000003</v>
      </c>
      <c r="M52" s="134">
        <v>69.81</v>
      </c>
      <c r="N52" s="134">
        <v>581.6</v>
      </c>
      <c r="O52" s="134">
        <v>0</v>
      </c>
      <c r="P52" s="134">
        <v>0.62</v>
      </c>
      <c r="Q52" s="134">
        <v>4.43</v>
      </c>
    </row>
    <row r="53" spans="1:17">
      <c r="A53" s="112" t="s">
        <v>2968</v>
      </c>
      <c r="B53" s="134">
        <v>20.3</v>
      </c>
      <c r="C53" s="134">
        <v>23.71</v>
      </c>
      <c r="D53" s="134">
        <v>30.01</v>
      </c>
      <c r="E53" s="134">
        <v>14.73</v>
      </c>
      <c r="F53" s="134">
        <v>7.98</v>
      </c>
      <c r="G53" s="134">
        <v>47.8</v>
      </c>
      <c r="H53" s="134">
        <v>24.35</v>
      </c>
      <c r="I53" s="134">
        <v>5.8</v>
      </c>
      <c r="J53" s="134">
        <v>0.28999999999999998</v>
      </c>
      <c r="K53" s="134">
        <v>62.24</v>
      </c>
      <c r="L53" s="134">
        <v>32.47</v>
      </c>
      <c r="M53" s="134">
        <v>67.650000000000006</v>
      </c>
      <c r="N53" s="134">
        <v>406.5</v>
      </c>
      <c r="O53" s="134">
        <v>0</v>
      </c>
      <c r="P53" s="134">
        <v>0.62</v>
      </c>
      <c r="Q53" s="134">
        <v>4.38</v>
      </c>
    </row>
    <row r="54" spans="1:17">
      <c r="A54" s="112" t="s">
        <v>2969</v>
      </c>
      <c r="B54" s="134">
        <v>19.899999999999999</v>
      </c>
      <c r="C54" s="134">
        <v>24.04</v>
      </c>
      <c r="D54" s="134">
        <v>29.87</v>
      </c>
      <c r="E54" s="134">
        <v>13.44</v>
      </c>
      <c r="F54" s="134">
        <v>7.1</v>
      </c>
      <c r="G54" s="134">
        <v>47.8</v>
      </c>
      <c r="H54" s="134">
        <v>24.35</v>
      </c>
      <c r="I54" s="134">
        <v>5.74</v>
      </c>
      <c r="J54" s="134">
        <v>1</v>
      </c>
      <c r="K54" s="134">
        <v>38.06</v>
      </c>
      <c r="L54" s="134">
        <v>31.35</v>
      </c>
      <c r="M54" s="134">
        <v>70.09</v>
      </c>
      <c r="N54" s="134">
        <v>453.9</v>
      </c>
      <c r="O54" s="134">
        <v>0</v>
      </c>
      <c r="P54" s="134">
        <v>0.62</v>
      </c>
      <c r="Q54" s="134">
        <v>4.3099999999999996</v>
      </c>
    </row>
    <row r="55" spans="1:17">
      <c r="A55" s="112" t="s">
        <v>2970</v>
      </c>
      <c r="B55" s="134">
        <v>19.079999999999998</v>
      </c>
      <c r="C55" s="134">
        <v>23.77</v>
      </c>
      <c r="D55" s="134">
        <v>29.07</v>
      </c>
      <c r="E55" s="134">
        <v>10.039999999999999</v>
      </c>
      <c r="F55" s="134">
        <v>7.81</v>
      </c>
      <c r="G55" s="134">
        <v>49.88</v>
      </c>
      <c r="H55" s="134">
        <v>25.02</v>
      </c>
      <c r="I55" s="134">
        <v>5.66</v>
      </c>
      <c r="J55" s="134">
        <v>1.36</v>
      </c>
      <c r="K55" s="134">
        <v>27.59</v>
      </c>
      <c r="L55" s="134">
        <v>29.06</v>
      </c>
      <c r="M55" s="134">
        <v>77.900000000000006</v>
      </c>
      <c r="N55" s="134">
        <v>338.4</v>
      </c>
      <c r="O55" s="134">
        <v>0</v>
      </c>
      <c r="P55" s="134">
        <v>0.6</v>
      </c>
      <c r="Q55" s="134">
        <v>4.26</v>
      </c>
    </row>
    <row r="56" spans="1:17">
      <c r="A56" s="112" t="s">
        <v>2971</v>
      </c>
      <c r="B56" s="134">
        <v>18.36</v>
      </c>
      <c r="C56" s="134">
        <v>23.31</v>
      </c>
      <c r="D56" s="134">
        <v>28.25</v>
      </c>
      <c r="E56" s="134">
        <v>9.6</v>
      </c>
      <c r="F56" s="134">
        <v>8.11</v>
      </c>
      <c r="G56" s="134">
        <v>57.15</v>
      </c>
      <c r="H56" s="134">
        <v>26.6</v>
      </c>
      <c r="I56" s="134">
        <v>5.68</v>
      </c>
      <c r="J56" s="134">
        <v>1.34</v>
      </c>
      <c r="K56" s="134">
        <v>23.99</v>
      </c>
      <c r="L56" s="134">
        <v>28.43</v>
      </c>
      <c r="M56" s="134">
        <v>78.84</v>
      </c>
      <c r="N56" s="134">
        <v>287.89999999999998</v>
      </c>
      <c r="O56" s="134">
        <v>0</v>
      </c>
      <c r="P56" s="134">
        <v>0.59</v>
      </c>
      <c r="Q56" s="134">
        <v>4.1900000000000004</v>
      </c>
    </row>
    <row r="57" spans="1:17">
      <c r="A57" s="112" t="s">
        <v>2972</v>
      </c>
      <c r="B57" s="134">
        <v>18</v>
      </c>
      <c r="C57" s="134">
        <v>23.11</v>
      </c>
      <c r="D57" s="134">
        <v>27.86</v>
      </c>
      <c r="E57" s="134">
        <v>8.84</v>
      </c>
      <c r="F57" s="134">
        <v>6.93</v>
      </c>
      <c r="G57" s="134">
        <v>57.15</v>
      </c>
      <c r="H57" s="134">
        <v>26.6</v>
      </c>
      <c r="I57" s="134">
        <v>5.47</v>
      </c>
      <c r="J57" s="134">
        <v>0.93</v>
      </c>
      <c r="K57" s="134">
        <v>25.59</v>
      </c>
      <c r="L57" s="134">
        <v>28.83</v>
      </c>
      <c r="M57" s="134">
        <v>78.13</v>
      </c>
      <c r="N57" s="134">
        <v>639.70000000000005</v>
      </c>
      <c r="O57" s="134">
        <v>0</v>
      </c>
      <c r="P57" s="134">
        <v>0.57999999999999996</v>
      </c>
      <c r="Q57" s="134">
        <v>4.16</v>
      </c>
    </row>
    <row r="58" spans="1:17">
      <c r="A58" s="112" t="s">
        <v>2973</v>
      </c>
      <c r="B58" s="134">
        <v>17.37</v>
      </c>
      <c r="C58" s="134">
        <v>23.58</v>
      </c>
      <c r="D58" s="134">
        <v>27.6</v>
      </c>
      <c r="E58" s="134">
        <v>8.98</v>
      </c>
      <c r="F58" s="134">
        <v>6.68</v>
      </c>
      <c r="G58" s="134">
        <v>57.15</v>
      </c>
      <c r="H58" s="134">
        <v>26.6</v>
      </c>
      <c r="I58" s="134">
        <v>5.4</v>
      </c>
      <c r="J58" s="134">
        <v>0.56000000000000005</v>
      </c>
      <c r="K58" s="134">
        <v>337.7</v>
      </c>
      <c r="L58" s="134">
        <v>30.01</v>
      </c>
      <c r="M58" s="134">
        <v>75.03</v>
      </c>
      <c r="N58" s="134">
        <v>677.7</v>
      </c>
      <c r="O58" s="134">
        <v>0</v>
      </c>
      <c r="P58" s="134">
        <v>0.56999999999999995</v>
      </c>
      <c r="Q58" s="134">
        <v>4.12</v>
      </c>
    </row>
    <row r="59" spans="1:17">
      <c r="A59" s="112" t="s">
        <v>2974</v>
      </c>
      <c r="B59" s="134">
        <v>16.62</v>
      </c>
      <c r="C59" s="134">
        <v>23.89</v>
      </c>
      <c r="D59" s="134">
        <v>27.16</v>
      </c>
      <c r="E59" s="134">
        <v>9.43</v>
      </c>
      <c r="F59" s="134">
        <v>7.95</v>
      </c>
      <c r="G59" s="134">
        <v>55.43</v>
      </c>
      <c r="H59" s="134">
        <v>24.98</v>
      </c>
      <c r="I59" s="134">
        <v>5.37</v>
      </c>
      <c r="J59" s="134">
        <v>0.83</v>
      </c>
      <c r="K59" s="134">
        <v>22.36</v>
      </c>
      <c r="L59" s="134">
        <v>30.61</v>
      </c>
      <c r="M59" s="134">
        <v>70.260000000000005</v>
      </c>
      <c r="N59" s="134">
        <v>684.9</v>
      </c>
      <c r="O59" s="134">
        <v>0</v>
      </c>
      <c r="P59" s="134">
        <v>0.57999999999999996</v>
      </c>
      <c r="Q59" s="134">
        <v>4.08</v>
      </c>
    </row>
    <row r="60" spans="1:17">
      <c r="A60" s="112" t="s">
        <v>2975</v>
      </c>
      <c r="B60" s="134">
        <v>15.87</v>
      </c>
      <c r="C60" s="134">
        <v>23.82</v>
      </c>
      <c r="D60" s="134">
        <v>26.52</v>
      </c>
      <c r="E60" s="134">
        <v>9.14</v>
      </c>
      <c r="F60" s="134">
        <v>8.2799999999999994</v>
      </c>
      <c r="G60" s="134">
        <v>49.39</v>
      </c>
      <c r="H60" s="134">
        <v>18.04</v>
      </c>
      <c r="I60" s="134">
        <v>5.38</v>
      </c>
      <c r="J60" s="134">
        <v>0.42</v>
      </c>
      <c r="K60" s="134">
        <v>346.49</v>
      </c>
      <c r="L60" s="134">
        <v>30.94</v>
      </c>
      <c r="M60" s="134">
        <v>68.78</v>
      </c>
      <c r="N60" s="134">
        <v>652.4</v>
      </c>
      <c r="O60" s="134">
        <v>0</v>
      </c>
      <c r="P60" s="134">
        <v>0.56999999999999995</v>
      </c>
      <c r="Q60" s="134">
        <v>4.04</v>
      </c>
    </row>
    <row r="61" spans="1:17">
      <c r="A61" s="112" t="s">
        <v>2976</v>
      </c>
      <c r="B61" s="134">
        <v>15.53</v>
      </c>
      <c r="C61" s="134">
        <v>25.46</v>
      </c>
      <c r="D61" s="134">
        <v>27.1</v>
      </c>
      <c r="E61" s="134">
        <v>12.87</v>
      </c>
      <c r="F61" s="134">
        <v>6.51</v>
      </c>
      <c r="G61" s="134">
        <v>49.39</v>
      </c>
      <c r="H61" s="134">
        <v>18.04</v>
      </c>
      <c r="I61" s="134">
        <v>5.22</v>
      </c>
      <c r="J61" s="134">
        <v>0.4</v>
      </c>
      <c r="K61" s="134">
        <v>7.8</v>
      </c>
      <c r="L61" s="134">
        <v>31.33</v>
      </c>
      <c r="M61" s="134">
        <v>69.33</v>
      </c>
      <c r="N61" s="134">
        <v>622.9</v>
      </c>
      <c r="O61" s="134">
        <v>0</v>
      </c>
      <c r="P61" s="134">
        <v>0.56999999999999995</v>
      </c>
      <c r="Q61" s="134">
        <v>4.01</v>
      </c>
    </row>
    <row r="62" spans="1:17">
      <c r="A62" s="112" t="s">
        <v>2977</v>
      </c>
      <c r="B62" s="134">
        <v>15.53</v>
      </c>
      <c r="C62" s="134">
        <v>27.28</v>
      </c>
      <c r="D62" s="134">
        <v>28.06</v>
      </c>
      <c r="E62" s="134">
        <v>21.33</v>
      </c>
      <c r="F62" s="134">
        <v>5.38</v>
      </c>
      <c r="G62" s="134">
        <v>49.39</v>
      </c>
      <c r="H62" s="134">
        <v>18.04</v>
      </c>
      <c r="I62" s="134">
        <v>5.22</v>
      </c>
      <c r="J62" s="134">
        <v>0.85</v>
      </c>
      <c r="K62" s="134">
        <v>24.08</v>
      </c>
      <c r="L62" s="134">
        <v>31.14</v>
      </c>
      <c r="M62" s="134">
        <v>69.06</v>
      </c>
      <c r="N62" s="134">
        <v>555.6</v>
      </c>
      <c r="O62" s="134">
        <v>0</v>
      </c>
      <c r="P62" s="134">
        <v>0.6</v>
      </c>
      <c r="Q62" s="134">
        <v>4.01</v>
      </c>
    </row>
    <row r="63" spans="1:17">
      <c r="A63" s="112" t="s">
        <v>2978</v>
      </c>
      <c r="B63" s="134">
        <v>15.77</v>
      </c>
      <c r="C63" s="134">
        <v>28.3</v>
      </c>
      <c r="D63" s="134">
        <v>28.78</v>
      </c>
      <c r="E63" s="134">
        <v>21.95</v>
      </c>
      <c r="F63" s="134">
        <v>6.5</v>
      </c>
      <c r="G63" s="134">
        <v>49.44</v>
      </c>
      <c r="H63" s="134">
        <v>17.579999999999998</v>
      </c>
      <c r="I63" s="134">
        <v>5.13</v>
      </c>
      <c r="J63" s="134">
        <v>0.63</v>
      </c>
      <c r="K63" s="134">
        <v>5.66</v>
      </c>
      <c r="L63" s="134">
        <v>31.29</v>
      </c>
      <c r="M63" s="134">
        <v>70.27</v>
      </c>
      <c r="N63" s="134">
        <v>498.7</v>
      </c>
      <c r="O63" s="134">
        <v>0</v>
      </c>
      <c r="P63" s="134">
        <v>0.63</v>
      </c>
      <c r="Q63" s="134">
        <v>4.04</v>
      </c>
    </row>
    <row r="64" spans="1:17">
      <c r="A64" s="112" t="s">
        <v>2979</v>
      </c>
      <c r="B64" s="134">
        <v>16.07</v>
      </c>
      <c r="C64" s="134">
        <v>28.76</v>
      </c>
      <c r="D64" s="134">
        <v>29.27</v>
      </c>
      <c r="E64" s="134">
        <v>24.05</v>
      </c>
      <c r="F64" s="134">
        <v>6.89</v>
      </c>
      <c r="G64" s="134">
        <v>49.58</v>
      </c>
      <c r="H64" s="134">
        <v>16.62</v>
      </c>
      <c r="I64" s="134">
        <v>5.14</v>
      </c>
      <c r="J64" s="134">
        <v>0.61</v>
      </c>
      <c r="K64" s="134">
        <v>17.21</v>
      </c>
      <c r="L64" s="134">
        <v>31.39</v>
      </c>
      <c r="M64" s="134">
        <v>70.819999999999993</v>
      </c>
      <c r="N64" s="134">
        <v>491.9</v>
      </c>
      <c r="O64" s="134">
        <v>0</v>
      </c>
      <c r="P64" s="134">
        <v>0.65</v>
      </c>
      <c r="Q64" s="134">
        <v>4.09</v>
      </c>
    </row>
    <row r="65" spans="1:17">
      <c r="A65" s="112" t="s">
        <v>2980</v>
      </c>
      <c r="B65" s="134">
        <v>16.059999999999999</v>
      </c>
      <c r="C65" s="134">
        <v>29.19</v>
      </c>
      <c r="D65" s="134">
        <v>29.48</v>
      </c>
      <c r="E65" s="134">
        <v>22.68</v>
      </c>
      <c r="F65" s="134">
        <v>6.01</v>
      </c>
      <c r="G65" s="134">
        <v>49.58</v>
      </c>
      <c r="H65" s="134">
        <v>16.62</v>
      </c>
      <c r="I65" s="134">
        <v>5.16</v>
      </c>
      <c r="J65" s="134">
        <v>0.77</v>
      </c>
      <c r="K65" s="134">
        <v>26.53</v>
      </c>
      <c r="L65" s="134">
        <v>31.49</v>
      </c>
      <c r="M65" s="134">
        <v>71.900000000000006</v>
      </c>
      <c r="N65" s="134">
        <v>443.2</v>
      </c>
      <c r="O65" s="134">
        <v>0</v>
      </c>
      <c r="P65" s="134">
        <v>0.63</v>
      </c>
      <c r="Q65" s="134">
        <v>4.12</v>
      </c>
    </row>
    <row r="66" spans="1:17">
      <c r="A66" s="112" t="s">
        <v>2981</v>
      </c>
      <c r="B66" s="134">
        <v>15.99</v>
      </c>
      <c r="C66" s="134">
        <v>29.54</v>
      </c>
      <c r="D66" s="134">
        <v>29.61</v>
      </c>
      <c r="E66" s="134">
        <v>18.75</v>
      </c>
      <c r="F66" s="134">
        <v>6.71</v>
      </c>
      <c r="G66" s="134">
        <v>49.58</v>
      </c>
      <c r="H66" s="134">
        <v>16.62</v>
      </c>
      <c r="I66" s="134">
        <v>5.19</v>
      </c>
      <c r="J66" s="134">
        <v>0.49</v>
      </c>
      <c r="K66" s="134">
        <v>19.850000000000001</v>
      </c>
      <c r="L66" s="134">
        <v>31.26</v>
      </c>
      <c r="M66" s="134">
        <v>73.62</v>
      </c>
      <c r="N66" s="134">
        <v>257.89999999999998</v>
      </c>
      <c r="O66" s="134">
        <v>0</v>
      </c>
      <c r="P66" s="134">
        <v>0.69</v>
      </c>
      <c r="Q66" s="134">
        <v>4.1100000000000003</v>
      </c>
    </row>
    <row r="67" spans="1:17">
      <c r="A67" s="112" t="s">
        <v>2982</v>
      </c>
      <c r="B67" s="134">
        <v>15.51</v>
      </c>
      <c r="C67" s="134">
        <v>29.45</v>
      </c>
      <c r="D67" s="134">
        <v>29.18</v>
      </c>
      <c r="E67" s="134">
        <v>16.37</v>
      </c>
      <c r="F67" s="134">
        <v>8.6999999999999993</v>
      </c>
      <c r="G67" s="134">
        <v>53.01</v>
      </c>
      <c r="H67" s="134">
        <v>18.96</v>
      </c>
      <c r="I67" s="134">
        <v>5.25</v>
      </c>
      <c r="J67" s="134">
        <v>0.42</v>
      </c>
      <c r="K67" s="134">
        <v>35.39</v>
      </c>
      <c r="L67" s="134">
        <v>31.28</v>
      </c>
      <c r="M67" s="134">
        <v>73.69</v>
      </c>
      <c r="N67" s="134">
        <v>207.4</v>
      </c>
      <c r="O67" s="134">
        <v>0</v>
      </c>
      <c r="P67" s="134">
        <v>0.7</v>
      </c>
      <c r="Q67" s="134">
        <v>4.1399999999999997</v>
      </c>
    </row>
    <row r="68" spans="1:17">
      <c r="A68" s="112" t="s">
        <v>2983</v>
      </c>
      <c r="B68" s="134">
        <v>15.03</v>
      </c>
      <c r="C68" s="134">
        <v>29.58</v>
      </c>
      <c r="D68" s="134">
        <v>28.86</v>
      </c>
      <c r="E68" s="134">
        <v>14.06</v>
      </c>
      <c r="F68" s="134">
        <v>8.44</v>
      </c>
      <c r="G68" s="134">
        <v>65.010000000000005</v>
      </c>
      <c r="H68" s="134">
        <v>24.48</v>
      </c>
      <c r="I68" s="134">
        <v>5.23</v>
      </c>
      <c r="J68" s="134">
        <v>0.57999999999999996</v>
      </c>
      <c r="K68" s="134">
        <v>28.19</v>
      </c>
      <c r="L68" s="134">
        <v>30.85</v>
      </c>
      <c r="M68" s="134">
        <v>74.150000000000006</v>
      </c>
      <c r="N68" s="134">
        <v>135.19999999999999</v>
      </c>
      <c r="O68" s="134">
        <v>0</v>
      </c>
      <c r="P68" s="134">
        <v>0.69</v>
      </c>
      <c r="Q68" s="134">
        <v>4.12</v>
      </c>
    </row>
    <row r="69" spans="1:17">
      <c r="A69" s="112" t="s">
        <v>2984</v>
      </c>
      <c r="B69" s="134">
        <v>14.74</v>
      </c>
      <c r="C69" s="134">
        <v>30.13</v>
      </c>
      <c r="D69" s="134">
        <v>28.92</v>
      </c>
      <c r="E69" s="134">
        <v>14.7</v>
      </c>
      <c r="F69" s="134">
        <v>8.9499999999999993</v>
      </c>
      <c r="G69" s="134">
        <v>65.010000000000005</v>
      </c>
      <c r="H69" s="134">
        <v>24.48</v>
      </c>
      <c r="I69" s="134">
        <v>5.08</v>
      </c>
      <c r="J69" s="134">
        <v>0.37</v>
      </c>
      <c r="K69" s="134">
        <v>32.14</v>
      </c>
      <c r="L69" s="134">
        <v>30.38</v>
      </c>
      <c r="M69" s="134">
        <v>76.08</v>
      </c>
      <c r="N69" s="134">
        <v>96.5</v>
      </c>
      <c r="O69" s="134">
        <v>0</v>
      </c>
      <c r="P69" s="134">
        <v>0.71</v>
      </c>
      <c r="Q69" s="134">
        <v>4.0999999999999996</v>
      </c>
    </row>
    <row r="70" spans="1:17">
      <c r="A70" s="112" t="s">
        <v>2985</v>
      </c>
      <c r="B70" s="134">
        <v>14.69</v>
      </c>
      <c r="C70" s="134">
        <v>30.81</v>
      </c>
      <c r="D70" s="134">
        <v>29.23</v>
      </c>
      <c r="E70" s="134">
        <v>15.48</v>
      </c>
      <c r="F70" s="134">
        <v>6.35</v>
      </c>
      <c r="G70" s="134">
        <v>65.010000000000005</v>
      </c>
      <c r="H70" s="134">
        <v>24.48</v>
      </c>
      <c r="I70" s="134">
        <v>5.16</v>
      </c>
      <c r="J70" s="134">
        <v>0.26</v>
      </c>
      <c r="K70" s="134">
        <v>14.26</v>
      </c>
      <c r="L70" s="134">
        <v>30.27</v>
      </c>
      <c r="M70" s="134">
        <v>77.150000000000006</v>
      </c>
      <c r="N70" s="134">
        <v>82.7</v>
      </c>
      <c r="O70" s="134">
        <v>0</v>
      </c>
      <c r="P70" s="134">
        <v>0.74</v>
      </c>
      <c r="Q70" s="134">
        <v>4.09</v>
      </c>
    </row>
    <row r="71" spans="1:17">
      <c r="A71" s="112" t="s">
        <v>2986</v>
      </c>
      <c r="B71" s="134">
        <v>15.08</v>
      </c>
      <c r="C71" s="134">
        <v>31.46</v>
      </c>
      <c r="D71" s="134">
        <v>29.88</v>
      </c>
      <c r="E71" s="134">
        <v>16.09</v>
      </c>
      <c r="F71" s="134">
        <v>6.15</v>
      </c>
      <c r="G71" s="134">
        <v>68.52</v>
      </c>
      <c r="H71" s="134">
        <v>25.22</v>
      </c>
      <c r="I71" s="134">
        <v>5.1100000000000003</v>
      </c>
      <c r="J71" s="134">
        <v>0.28999999999999998</v>
      </c>
      <c r="K71" s="134">
        <v>33.549999999999997</v>
      </c>
      <c r="L71" s="134">
        <v>30.23</v>
      </c>
      <c r="M71" s="134">
        <v>78.290000000000006</v>
      </c>
      <c r="N71" s="134">
        <v>72.599999999999994</v>
      </c>
      <c r="O71" s="134">
        <v>0</v>
      </c>
      <c r="P71" s="134">
        <v>0.76</v>
      </c>
      <c r="Q71" s="134">
        <v>4.0999999999999996</v>
      </c>
    </row>
    <row r="72" spans="1:17">
      <c r="A72" s="112" t="s">
        <v>2987</v>
      </c>
      <c r="B72" s="134">
        <v>15.63</v>
      </c>
      <c r="C72" s="134">
        <v>31.99</v>
      </c>
      <c r="D72" s="134">
        <v>30.6</v>
      </c>
      <c r="E72" s="134">
        <v>15.85</v>
      </c>
      <c r="F72" s="134">
        <v>5.54</v>
      </c>
      <c r="G72" s="134">
        <v>80.06</v>
      </c>
      <c r="H72" s="134">
        <v>26.94</v>
      </c>
      <c r="I72" s="134">
        <v>5.29</v>
      </c>
      <c r="J72" s="134">
        <v>0.27</v>
      </c>
      <c r="K72" s="134">
        <v>22.47</v>
      </c>
      <c r="L72" s="134">
        <v>30.16</v>
      </c>
      <c r="M72" s="134">
        <v>78.08</v>
      </c>
      <c r="N72" s="134">
        <v>56.8</v>
      </c>
      <c r="O72" s="134">
        <v>0</v>
      </c>
      <c r="P72" s="134">
        <v>0.76</v>
      </c>
      <c r="Q72" s="134">
        <v>4.1399999999999997</v>
      </c>
    </row>
    <row r="73" spans="1:17">
      <c r="A73" s="112" t="s">
        <v>2988</v>
      </c>
      <c r="B73" s="134">
        <v>15.45</v>
      </c>
      <c r="C73" s="134">
        <v>31.43</v>
      </c>
      <c r="D73" s="134">
        <v>30.16</v>
      </c>
      <c r="E73" s="134">
        <v>13.6</v>
      </c>
      <c r="F73" s="134">
        <v>8.32</v>
      </c>
      <c r="G73" s="134">
        <v>80.06</v>
      </c>
      <c r="H73" s="134">
        <v>26.94</v>
      </c>
      <c r="I73" s="134">
        <v>5.35</v>
      </c>
      <c r="J73" s="134">
        <v>0.1</v>
      </c>
      <c r="K73" s="134">
        <v>33.200000000000003</v>
      </c>
      <c r="L73" s="134">
        <v>30.17</v>
      </c>
      <c r="M73" s="134">
        <v>79.34</v>
      </c>
      <c r="N73" s="134">
        <v>39.799999999999997</v>
      </c>
      <c r="O73" s="134">
        <v>0</v>
      </c>
      <c r="P73" s="134">
        <v>0.75</v>
      </c>
      <c r="Q73" s="134">
        <v>4.18</v>
      </c>
    </row>
    <row r="74" spans="1:17">
      <c r="A74" s="112" t="s">
        <v>2989</v>
      </c>
      <c r="B74" s="134">
        <v>15.52</v>
      </c>
      <c r="C74" s="134">
        <v>31.48</v>
      </c>
      <c r="D74" s="134">
        <v>30.24</v>
      </c>
      <c r="E74" s="134">
        <v>11.97</v>
      </c>
      <c r="F74" s="134">
        <v>6.6</v>
      </c>
      <c r="G74" s="134">
        <v>80.06</v>
      </c>
      <c r="H74" s="134">
        <v>26.94</v>
      </c>
      <c r="I74" s="134">
        <v>5.28</v>
      </c>
      <c r="J74" s="134">
        <v>0.31</v>
      </c>
      <c r="K74" s="134">
        <v>18.68</v>
      </c>
      <c r="L74" s="134">
        <v>29.93</v>
      </c>
      <c r="M74" s="134">
        <v>80.77</v>
      </c>
      <c r="N74" s="134">
        <v>29.8</v>
      </c>
      <c r="O74" s="134">
        <v>0</v>
      </c>
      <c r="P74" s="134">
        <v>0.75</v>
      </c>
      <c r="Q74" s="134">
        <v>4.22</v>
      </c>
    </row>
    <row r="75" spans="1:17">
      <c r="A75" s="112" t="s">
        <v>2990</v>
      </c>
      <c r="B75" s="134">
        <v>15.62</v>
      </c>
      <c r="C75" s="134">
        <v>31.76</v>
      </c>
      <c r="D75" s="134">
        <v>30.47</v>
      </c>
      <c r="E75" s="134">
        <v>12.32</v>
      </c>
      <c r="F75" s="134">
        <v>6.04</v>
      </c>
      <c r="G75" s="134">
        <v>79.510000000000005</v>
      </c>
      <c r="H75" s="134">
        <v>27.24</v>
      </c>
      <c r="I75" s="134">
        <v>5.09</v>
      </c>
      <c r="J75" s="134">
        <v>0.34</v>
      </c>
      <c r="K75" s="134">
        <v>21.4</v>
      </c>
      <c r="L75" s="134">
        <v>29.73</v>
      </c>
      <c r="M75" s="134">
        <v>82.91</v>
      </c>
      <c r="N75" s="134">
        <v>24.9</v>
      </c>
      <c r="O75" s="134">
        <v>0</v>
      </c>
      <c r="P75" s="134">
        <v>0.76</v>
      </c>
      <c r="Q75" s="134">
        <v>4.24</v>
      </c>
    </row>
    <row r="76" spans="1:17">
      <c r="A76" s="112" t="s">
        <v>2991</v>
      </c>
      <c r="B76" s="134">
        <v>17.36</v>
      </c>
      <c r="C76" s="134">
        <v>33.590000000000003</v>
      </c>
      <c r="D76" s="134">
        <v>32.83</v>
      </c>
      <c r="E76" s="134">
        <v>12.87</v>
      </c>
      <c r="F76" s="134">
        <v>5.73</v>
      </c>
      <c r="G76" s="134">
        <v>77.58</v>
      </c>
      <c r="H76" s="134">
        <v>27.94</v>
      </c>
      <c r="I76" s="134">
        <v>5.25</v>
      </c>
      <c r="J76" s="134">
        <v>0.28000000000000003</v>
      </c>
      <c r="K76" s="134">
        <v>27.92</v>
      </c>
      <c r="L76" s="134">
        <v>29.43</v>
      </c>
      <c r="M76" s="134">
        <v>85.11</v>
      </c>
      <c r="N76" s="134">
        <v>20.6</v>
      </c>
      <c r="O76" s="134">
        <v>0</v>
      </c>
      <c r="P76" s="134">
        <v>0.79</v>
      </c>
      <c r="Q76" s="134">
        <v>4.2300000000000004</v>
      </c>
    </row>
    <row r="77" spans="1:17">
      <c r="A77" s="112" t="s">
        <v>2992</v>
      </c>
      <c r="B77" s="134">
        <v>16.7</v>
      </c>
      <c r="C77" s="134">
        <v>33.17</v>
      </c>
      <c r="D77" s="134">
        <v>32.07</v>
      </c>
      <c r="E77" s="134">
        <v>12.63</v>
      </c>
      <c r="F77" s="134">
        <v>4.62</v>
      </c>
      <c r="G77" s="134">
        <v>77.58</v>
      </c>
      <c r="H77" s="134">
        <v>27.94</v>
      </c>
      <c r="I77" s="134">
        <v>5.26</v>
      </c>
      <c r="J77" s="134">
        <v>0.17</v>
      </c>
      <c r="K77" s="134">
        <v>309.61</v>
      </c>
      <c r="L77" s="134">
        <v>29.31</v>
      </c>
      <c r="M77" s="134">
        <v>85.67</v>
      </c>
      <c r="N77" s="134">
        <v>7.4</v>
      </c>
      <c r="O77" s="134">
        <v>0</v>
      </c>
      <c r="P77" s="134">
        <v>0.8</v>
      </c>
      <c r="Q77" s="134">
        <v>4.2300000000000004</v>
      </c>
    </row>
    <row r="78" spans="1:17">
      <c r="A78" s="112" t="s">
        <v>2993</v>
      </c>
      <c r="B78" s="134">
        <v>16.739999999999998</v>
      </c>
      <c r="C78" s="134">
        <v>32.65</v>
      </c>
      <c r="D78" s="134">
        <v>31.84</v>
      </c>
      <c r="E78" s="134">
        <v>12.32</v>
      </c>
      <c r="F78" s="134">
        <v>4.12</v>
      </c>
      <c r="G78" s="134">
        <v>77.58</v>
      </c>
      <c r="H78" s="134">
        <v>27.94</v>
      </c>
      <c r="I78" s="134">
        <v>5.34</v>
      </c>
      <c r="J78" s="134">
        <v>0.25</v>
      </c>
      <c r="K78" s="134">
        <v>20.329999999999998</v>
      </c>
      <c r="L78" s="134">
        <v>29.21</v>
      </c>
      <c r="M78" s="134">
        <v>85.58</v>
      </c>
      <c r="N78" s="134">
        <v>0.8</v>
      </c>
      <c r="O78" s="134">
        <v>0</v>
      </c>
      <c r="P78" s="134">
        <v>0.81</v>
      </c>
      <c r="Q78" s="134">
        <v>4.2699999999999996</v>
      </c>
    </row>
    <row r="79" spans="1:17">
      <c r="A79" s="112" t="s">
        <v>2994</v>
      </c>
      <c r="B79" s="134">
        <v>17.52</v>
      </c>
      <c r="C79" s="134">
        <v>33.31</v>
      </c>
      <c r="D79" s="134">
        <v>32.81</v>
      </c>
      <c r="E79" s="134">
        <v>14.08</v>
      </c>
      <c r="F79" s="134">
        <v>4.3099999999999996</v>
      </c>
      <c r="G79" s="134">
        <v>80.180000000000007</v>
      </c>
      <c r="H79" s="134">
        <v>28.66</v>
      </c>
      <c r="I79" s="134">
        <v>5.49</v>
      </c>
      <c r="J79" s="134">
        <v>0.23</v>
      </c>
      <c r="K79" s="134">
        <v>22</v>
      </c>
      <c r="L79" s="134">
        <v>28.95</v>
      </c>
      <c r="M79" s="134">
        <v>86.8</v>
      </c>
      <c r="N79" s="134">
        <v>0</v>
      </c>
      <c r="O79" s="134">
        <v>0</v>
      </c>
      <c r="P79" s="134">
        <v>0.86</v>
      </c>
      <c r="Q79" s="134">
        <v>4.33</v>
      </c>
    </row>
    <row r="80" spans="1:17">
      <c r="A80" s="112" t="s">
        <v>2995</v>
      </c>
      <c r="B80" s="134">
        <v>17.98</v>
      </c>
      <c r="C80" s="134">
        <v>34.020000000000003</v>
      </c>
      <c r="D80" s="134">
        <v>33.54</v>
      </c>
      <c r="E80" s="134">
        <v>12.23</v>
      </c>
      <c r="F80" s="134">
        <v>3.21</v>
      </c>
      <c r="G80" s="134">
        <v>88.74</v>
      </c>
      <c r="H80" s="134">
        <v>30.36</v>
      </c>
      <c r="I80" s="134">
        <v>5.63</v>
      </c>
      <c r="J80" s="134">
        <v>0.3</v>
      </c>
      <c r="K80" s="134">
        <v>258.07</v>
      </c>
      <c r="L80" s="134">
        <v>28.85</v>
      </c>
      <c r="M80" s="134">
        <v>87.7</v>
      </c>
      <c r="N80" s="134">
        <v>0</v>
      </c>
      <c r="O80" s="134">
        <v>0</v>
      </c>
      <c r="P80" s="134">
        <v>0.86</v>
      </c>
      <c r="Q80" s="134">
        <v>4.3499999999999996</v>
      </c>
    </row>
    <row r="81" spans="1:17">
      <c r="A81" s="112" t="s">
        <v>2996</v>
      </c>
      <c r="B81" s="134">
        <v>18.420000000000002</v>
      </c>
      <c r="C81" s="134">
        <v>32.68</v>
      </c>
      <c r="D81" s="134">
        <v>33.200000000000003</v>
      </c>
      <c r="E81" s="134">
        <v>8.33</v>
      </c>
      <c r="F81" s="134">
        <v>3.53</v>
      </c>
      <c r="G81" s="134">
        <v>88.74</v>
      </c>
      <c r="H81" s="134">
        <v>30.36</v>
      </c>
      <c r="I81" s="134">
        <v>5.75</v>
      </c>
      <c r="J81" s="134">
        <v>0.92</v>
      </c>
      <c r="K81" s="134">
        <v>260.47000000000003</v>
      </c>
      <c r="L81" s="134">
        <v>27.72</v>
      </c>
      <c r="M81" s="134">
        <v>86.2</v>
      </c>
      <c r="N81" s="134">
        <v>0</v>
      </c>
      <c r="O81" s="134">
        <v>0</v>
      </c>
      <c r="P81" s="134">
        <v>0.84</v>
      </c>
      <c r="Q81" s="134">
        <v>4.3600000000000003</v>
      </c>
    </row>
    <row r="82" spans="1:17">
      <c r="A82" s="112" t="s">
        <v>2997</v>
      </c>
      <c r="B82" s="134">
        <v>18.68</v>
      </c>
      <c r="C82" s="134">
        <v>30.15</v>
      </c>
      <c r="D82" s="134">
        <v>32.090000000000003</v>
      </c>
      <c r="E82" s="134">
        <v>7.29</v>
      </c>
      <c r="F82" s="134">
        <v>3.92</v>
      </c>
      <c r="G82" s="134">
        <v>88.74</v>
      </c>
      <c r="H82" s="134">
        <v>30.36</v>
      </c>
      <c r="I82" s="134">
        <v>5.93</v>
      </c>
      <c r="J82" s="134">
        <v>0.74</v>
      </c>
      <c r="K82" s="134">
        <v>262.39999999999998</v>
      </c>
      <c r="L82" s="134">
        <v>26.33</v>
      </c>
      <c r="M82" s="134">
        <v>85.82</v>
      </c>
      <c r="N82" s="134">
        <v>0</v>
      </c>
      <c r="O82" s="134">
        <v>0</v>
      </c>
      <c r="P82" s="134">
        <v>0.8</v>
      </c>
      <c r="Q82" s="134">
        <v>4.3499999999999996</v>
      </c>
    </row>
    <row r="83" spans="1:17">
      <c r="A83" s="112" t="s">
        <v>2998</v>
      </c>
      <c r="B83" s="134">
        <v>18.47</v>
      </c>
      <c r="C83" s="134">
        <v>27.91</v>
      </c>
      <c r="D83" s="134">
        <v>30.75</v>
      </c>
      <c r="E83" s="134">
        <v>6.66</v>
      </c>
      <c r="F83" s="134">
        <v>3.83</v>
      </c>
      <c r="G83" s="134">
        <v>83.38</v>
      </c>
      <c r="H83" s="134">
        <v>28.77</v>
      </c>
      <c r="I83" s="134">
        <v>5.86</v>
      </c>
      <c r="J83" s="134">
        <v>0.43</v>
      </c>
      <c r="K83" s="134">
        <v>252.33</v>
      </c>
      <c r="L83" s="134">
        <v>26.23</v>
      </c>
      <c r="M83" s="134">
        <v>79.510000000000005</v>
      </c>
      <c r="N83" s="134">
        <v>0</v>
      </c>
      <c r="O83" s="134">
        <v>0</v>
      </c>
      <c r="P83" s="134">
        <v>0.77</v>
      </c>
      <c r="Q83" s="134">
        <v>4.32</v>
      </c>
    </row>
    <row r="84" spans="1:17">
      <c r="A84" s="112" t="s">
        <v>2999</v>
      </c>
      <c r="B84" s="134">
        <v>18.2</v>
      </c>
      <c r="C84" s="134">
        <v>26.39</v>
      </c>
      <c r="D84" s="134">
        <v>29.74</v>
      </c>
      <c r="E84" s="134">
        <v>6.06</v>
      </c>
      <c r="F84" s="134">
        <v>4.03</v>
      </c>
      <c r="G84" s="134">
        <v>65.77</v>
      </c>
      <c r="H84" s="134">
        <v>21.33</v>
      </c>
      <c r="I84" s="134">
        <v>5.82</v>
      </c>
      <c r="J84" s="134">
        <v>0.54</v>
      </c>
      <c r="K84" s="134">
        <v>261.95999999999998</v>
      </c>
      <c r="L84" s="134">
        <v>25.32</v>
      </c>
      <c r="M84" s="134">
        <v>82.1</v>
      </c>
      <c r="N84" s="134">
        <v>0</v>
      </c>
      <c r="O84" s="134">
        <v>0</v>
      </c>
      <c r="P84" s="134">
        <v>0.75</v>
      </c>
      <c r="Q84" s="134">
        <v>4.26</v>
      </c>
    </row>
    <row r="85" spans="1:17">
      <c r="A85" s="112" t="s">
        <v>3000</v>
      </c>
      <c r="B85" s="134">
        <v>17.91</v>
      </c>
      <c r="C85" s="134">
        <v>25.43</v>
      </c>
      <c r="D85" s="134">
        <v>29</v>
      </c>
      <c r="E85" s="134">
        <v>5.49</v>
      </c>
      <c r="F85" s="134">
        <v>3.74</v>
      </c>
      <c r="G85" s="134">
        <v>65.77</v>
      </c>
      <c r="H85" s="134">
        <v>21.33</v>
      </c>
      <c r="I85" s="134">
        <v>5.69</v>
      </c>
      <c r="J85" s="134">
        <v>0.11</v>
      </c>
      <c r="K85" s="134">
        <v>161.32</v>
      </c>
      <c r="L85" s="134">
        <v>25.35</v>
      </c>
      <c r="M85" s="134">
        <v>83.84</v>
      </c>
      <c r="N85" s="134">
        <v>0</v>
      </c>
      <c r="O85" s="134">
        <v>0</v>
      </c>
      <c r="P85" s="134">
        <v>0.72</v>
      </c>
      <c r="Q85" s="134">
        <v>4.18</v>
      </c>
    </row>
    <row r="86" spans="1:17">
      <c r="A86" s="112" t="s">
        <v>3001</v>
      </c>
      <c r="B86" s="134">
        <v>17.600000000000001</v>
      </c>
      <c r="C86" s="134">
        <v>24.53</v>
      </c>
      <c r="D86" s="134">
        <v>28.28</v>
      </c>
      <c r="E86" s="134">
        <v>5.44</v>
      </c>
      <c r="F86" s="134">
        <v>3.88</v>
      </c>
      <c r="G86" s="134">
        <v>65.77</v>
      </c>
      <c r="H86" s="134">
        <v>21.33</v>
      </c>
      <c r="I86" s="134">
        <v>5.66</v>
      </c>
      <c r="J86" s="134">
        <v>7.0000000000000007E-2</v>
      </c>
      <c r="K86" s="134">
        <v>203.44</v>
      </c>
      <c r="L86" s="134">
        <v>25.07</v>
      </c>
      <c r="M86" s="134">
        <v>85.23</v>
      </c>
      <c r="N86" s="134">
        <v>0</v>
      </c>
      <c r="O86" s="134">
        <v>0</v>
      </c>
      <c r="P86" s="134">
        <v>0.7</v>
      </c>
      <c r="Q86" s="134">
        <v>4.13</v>
      </c>
    </row>
    <row r="87" spans="1:17">
      <c r="A87" s="112" t="s">
        <v>3002</v>
      </c>
      <c r="B87" s="134">
        <v>17.38</v>
      </c>
      <c r="C87" s="134">
        <v>24.75</v>
      </c>
      <c r="D87" s="134">
        <v>28.23</v>
      </c>
      <c r="E87" s="134">
        <v>5.92</v>
      </c>
      <c r="F87" s="134">
        <v>3.33</v>
      </c>
      <c r="G87" s="134">
        <v>58.9</v>
      </c>
      <c r="H87" s="134">
        <v>18.809999999999999</v>
      </c>
      <c r="I87" s="134">
        <v>5.56</v>
      </c>
      <c r="J87" s="134">
        <v>0.15</v>
      </c>
      <c r="K87" s="134">
        <v>186.12</v>
      </c>
      <c r="L87" s="134">
        <v>24.98</v>
      </c>
      <c r="M87" s="134">
        <v>85.95</v>
      </c>
      <c r="N87" s="134">
        <v>0</v>
      </c>
      <c r="O87" s="134">
        <v>0</v>
      </c>
      <c r="P87" s="134">
        <v>0.7</v>
      </c>
      <c r="Q87" s="134">
        <v>4.09</v>
      </c>
    </row>
    <row r="88" spans="1:17">
      <c r="A88" s="112" t="s">
        <v>3003</v>
      </c>
      <c r="B88" s="134">
        <v>17.27</v>
      </c>
      <c r="C88" s="134">
        <v>27.02</v>
      </c>
      <c r="D88" s="134">
        <v>29.31</v>
      </c>
      <c r="E88" s="134">
        <v>6.14</v>
      </c>
      <c r="F88" s="134">
        <v>2.58</v>
      </c>
      <c r="G88" s="134">
        <v>36.31</v>
      </c>
      <c r="H88" s="134">
        <v>12.88</v>
      </c>
      <c r="I88" s="134">
        <v>5.48</v>
      </c>
      <c r="J88" s="134">
        <v>0.15</v>
      </c>
      <c r="K88" s="134">
        <v>186.12</v>
      </c>
      <c r="L88" s="134">
        <v>24.8</v>
      </c>
      <c r="M88" s="134">
        <v>90.15</v>
      </c>
      <c r="N88" s="134">
        <v>0</v>
      </c>
      <c r="O88" s="134">
        <v>0</v>
      </c>
      <c r="P88" s="134">
        <v>0.72</v>
      </c>
      <c r="Q88" s="134">
        <v>4.09</v>
      </c>
    </row>
    <row r="89" spans="1:17">
      <c r="A89" s="112" t="s">
        <v>3004</v>
      </c>
      <c r="B89" s="134">
        <v>17.399999999999999</v>
      </c>
      <c r="C89" s="134">
        <v>25.8</v>
      </c>
      <c r="D89" s="134">
        <v>28.79</v>
      </c>
      <c r="E89" s="134">
        <v>5.74</v>
      </c>
      <c r="F89" s="134">
        <v>3.01</v>
      </c>
      <c r="G89" s="134">
        <v>36.31</v>
      </c>
      <c r="H89" s="134">
        <v>12.88</v>
      </c>
      <c r="I89" s="134">
        <v>5.45</v>
      </c>
      <c r="J89" s="134">
        <v>7.0000000000000007E-2</v>
      </c>
      <c r="K89" s="134">
        <v>163.22999999999999</v>
      </c>
      <c r="L89" s="134">
        <v>24.79</v>
      </c>
      <c r="M89" s="134">
        <v>93.2</v>
      </c>
      <c r="N89" s="134">
        <v>0</v>
      </c>
      <c r="O89" s="134">
        <v>0</v>
      </c>
      <c r="P89" s="134">
        <v>0.7</v>
      </c>
      <c r="Q89" s="134">
        <v>4.1399999999999997</v>
      </c>
    </row>
    <row r="90" spans="1:17">
      <c r="A90" s="112" t="s">
        <v>3005</v>
      </c>
      <c r="B90" s="134">
        <v>17.350000000000001</v>
      </c>
      <c r="C90" s="134">
        <v>24.29</v>
      </c>
      <c r="D90" s="134">
        <v>27.95</v>
      </c>
      <c r="E90" s="134">
        <v>5.52</v>
      </c>
      <c r="F90" s="134">
        <v>3.86</v>
      </c>
      <c r="G90" s="134">
        <v>36.31</v>
      </c>
      <c r="H90" s="134">
        <v>12.88</v>
      </c>
      <c r="I90" s="134">
        <v>5.49</v>
      </c>
      <c r="J90" s="134">
        <v>0.13</v>
      </c>
      <c r="K90" s="134">
        <v>36.58</v>
      </c>
      <c r="L90" s="134">
        <v>24.83</v>
      </c>
      <c r="M90" s="134">
        <v>90.43</v>
      </c>
      <c r="N90" s="134">
        <v>0</v>
      </c>
      <c r="O90" s="134">
        <v>0</v>
      </c>
      <c r="P90" s="134">
        <v>0.69</v>
      </c>
      <c r="Q90" s="134">
        <v>4.12</v>
      </c>
    </row>
    <row r="91" spans="1:17">
      <c r="A91" s="112" t="s">
        <v>3006</v>
      </c>
      <c r="B91" s="134">
        <v>17.41</v>
      </c>
      <c r="C91" s="134">
        <v>25.19</v>
      </c>
      <c r="D91" s="134">
        <v>28.47</v>
      </c>
      <c r="E91" s="134">
        <v>5.43</v>
      </c>
      <c r="F91" s="134">
        <v>3.11</v>
      </c>
      <c r="G91" s="134">
        <v>34.979999999999997</v>
      </c>
      <c r="H91" s="134">
        <v>12.99</v>
      </c>
      <c r="I91" s="134">
        <v>5.39</v>
      </c>
      <c r="J91" s="134">
        <v>0.16</v>
      </c>
      <c r="K91" s="134">
        <v>140.53</v>
      </c>
      <c r="L91" s="134">
        <v>24.78</v>
      </c>
      <c r="M91" s="134">
        <v>91.9</v>
      </c>
      <c r="N91" s="134">
        <v>0</v>
      </c>
      <c r="O91" s="134">
        <v>0</v>
      </c>
      <c r="P91" s="134">
        <v>0.69</v>
      </c>
      <c r="Q91" s="134">
        <v>4.07</v>
      </c>
    </row>
    <row r="92" spans="1:17">
      <c r="A92" s="112" t="s">
        <v>3007</v>
      </c>
      <c r="B92" s="134">
        <v>17.489999999999998</v>
      </c>
      <c r="C92" s="134">
        <v>26.58</v>
      </c>
      <c r="D92" s="134">
        <v>29.26</v>
      </c>
      <c r="E92" s="134">
        <v>5.89</v>
      </c>
      <c r="F92" s="134">
        <v>2.63</v>
      </c>
      <c r="G92" s="134">
        <v>30.6</v>
      </c>
      <c r="H92" s="134">
        <v>13.25</v>
      </c>
      <c r="I92" s="134">
        <v>5.23</v>
      </c>
      <c r="J92" s="134">
        <v>0.1</v>
      </c>
      <c r="K92" s="134">
        <v>341.58</v>
      </c>
      <c r="L92" s="134">
        <v>24.71</v>
      </c>
      <c r="M92" s="134">
        <v>93.44</v>
      </c>
      <c r="N92" s="134">
        <v>0</v>
      </c>
      <c r="O92" s="134">
        <v>0.2</v>
      </c>
      <c r="P92" s="134">
        <v>0.7</v>
      </c>
      <c r="Q92" s="134">
        <v>4.13</v>
      </c>
    </row>
    <row r="93" spans="1:17">
      <c r="A93" s="112" t="s">
        <v>3008</v>
      </c>
      <c r="B93" s="134">
        <v>18.36</v>
      </c>
      <c r="C93" s="134">
        <v>25.66</v>
      </c>
      <c r="D93" s="134">
        <v>29.48</v>
      </c>
      <c r="E93" s="134">
        <v>6.04</v>
      </c>
      <c r="F93" s="134">
        <v>3.18</v>
      </c>
      <c r="G93" s="134">
        <v>30.6</v>
      </c>
      <c r="H93" s="134">
        <v>13.25</v>
      </c>
      <c r="I93" s="134">
        <v>5.34</v>
      </c>
      <c r="J93" s="134">
        <v>0.08</v>
      </c>
      <c r="K93" s="134">
        <v>355.34</v>
      </c>
      <c r="L93" s="134">
        <v>24.79</v>
      </c>
      <c r="M93" s="134">
        <v>95.04</v>
      </c>
      <c r="N93" s="134">
        <v>0</v>
      </c>
      <c r="O93" s="134">
        <v>0</v>
      </c>
      <c r="P93" s="134">
        <v>0.68</v>
      </c>
      <c r="Q93" s="134">
        <v>4.16</v>
      </c>
    </row>
    <row r="94" spans="1:17">
      <c r="A94" s="112" t="s">
        <v>3009</v>
      </c>
      <c r="B94" s="134">
        <v>19.32</v>
      </c>
      <c r="C94" s="134">
        <v>25.22</v>
      </c>
      <c r="D94" s="134">
        <v>30.02</v>
      </c>
      <c r="E94" s="134">
        <v>5.74</v>
      </c>
      <c r="F94" s="134">
        <v>3.48</v>
      </c>
      <c r="G94" s="134">
        <v>30.6</v>
      </c>
      <c r="H94" s="134">
        <v>13.25</v>
      </c>
      <c r="I94" s="134">
        <v>5.3</v>
      </c>
      <c r="J94" s="134">
        <v>0.15</v>
      </c>
      <c r="K94" s="134">
        <v>27.49</v>
      </c>
      <c r="L94" s="134">
        <v>24.72</v>
      </c>
      <c r="M94" s="134">
        <v>94.29</v>
      </c>
      <c r="N94" s="134">
        <v>0</v>
      </c>
      <c r="O94" s="134">
        <v>0</v>
      </c>
      <c r="P94" s="134">
        <v>0.66</v>
      </c>
      <c r="Q94" s="134">
        <v>4.18</v>
      </c>
    </row>
    <row r="95" spans="1:17">
      <c r="A95" s="112" t="s">
        <v>3010</v>
      </c>
      <c r="B95" s="134">
        <v>19.28</v>
      </c>
      <c r="C95" s="134">
        <v>26.09</v>
      </c>
      <c r="D95" s="134">
        <v>30.44</v>
      </c>
      <c r="E95" s="134">
        <v>5.85</v>
      </c>
      <c r="F95" s="134">
        <v>2.78</v>
      </c>
      <c r="G95" s="134">
        <v>29.07</v>
      </c>
      <c r="H95" s="134">
        <v>12.91</v>
      </c>
      <c r="I95" s="134">
        <v>5.21</v>
      </c>
      <c r="J95" s="134">
        <v>0.11</v>
      </c>
      <c r="K95" s="134">
        <v>144.59</v>
      </c>
      <c r="L95" s="134">
        <v>24.84</v>
      </c>
      <c r="M95" s="134">
        <v>93.94</v>
      </c>
      <c r="N95" s="134">
        <v>0</v>
      </c>
      <c r="O95" s="134">
        <v>0</v>
      </c>
      <c r="P95" s="134">
        <v>0.68</v>
      </c>
      <c r="Q95" s="134">
        <v>4.17</v>
      </c>
    </row>
    <row r="96" spans="1:17">
      <c r="A96" s="112" t="s">
        <v>3011</v>
      </c>
      <c r="B96" s="134">
        <v>19.64</v>
      </c>
      <c r="C96" s="134">
        <v>27.26</v>
      </c>
      <c r="D96" s="134">
        <v>31.34</v>
      </c>
      <c r="E96" s="134">
        <v>6.06</v>
      </c>
      <c r="F96" s="134">
        <v>2.48</v>
      </c>
      <c r="G96" s="134">
        <v>24.06</v>
      </c>
      <c r="H96" s="134">
        <v>12.1</v>
      </c>
      <c r="I96" s="134">
        <v>5.15</v>
      </c>
      <c r="J96" s="134">
        <v>0.11</v>
      </c>
      <c r="K96" s="134">
        <v>180.67</v>
      </c>
      <c r="L96" s="134">
        <v>24.93</v>
      </c>
      <c r="M96" s="134">
        <v>94.01</v>
      </c>
      <c r="N96" s="134">
        <v>0</v>
      </c>
      <c r="O96" s="134">
        <v>0.2</v>
      </c>
      <c r="P96" s="134">
        <v>0.7</v>
      </c>
      <c r="Q96" s="134">
        <v>4.25</v>
      </c>
    </row>
    <row r="97" spans="1:21">
      <c r="A97" s="112" t="s">
        <v>3012</v>
      </c>
      <c r="B97" s="134">
        <v>19.87</v>
      </c>
      <c r="C97" s="134">
        <v>25.67</v>
      </c>
      <c r="D97" s="134">
        <v>30.69</v>
      </c>
      <c r="E97" s="134">
        <v>6.26</v>
      </c>
      <c r="F97" s="134">
        <v>3.15</v>
      </c>
      <c r="G97" s="134">
        <v>24.06</v>
      </c>
      <c r="H97" s="134">
        <v>12.1</v>
      </c>
      <c r="I97" s="134">
        <v>5.26</v>
      </c>
      <c r="J97" s="134">
        <v>0.17</v>
      </c>
      <c r="K97" s="134">
        <v>186.64</v>
      </c>
      <c r="L97" s="134">
        <v>24.74</v>
      </c>
      <c r="M97" s="134">
        <v>96.13</v>
      </c>
      <c r="N97" s="134">
        <v>0</v>
      </c>
      <c r="O97" s="134">
        <v>0.6</v>
      </c>
      <c r="P97" s="134">
        <v>0.67</v>
      </c>
      <c r="Q97" s="134">
        <v>4.3</v>
      </c>
    </row>
    <row r="98" spans="1:21">
      <c r="A98" s="112" t="s">
        <v>3013</v>
      </c>
      <c r="B98" s="134">
        <v>19.87</v>
      </c>
      <c r="C98" s="134">
        <v>24.37</v>
      </c>
      <c r="D98" s="134">
        <v>30.02</v>
      </c>
      <c r="E98" s="134">
        <v>5.71</v>
      </c>
      <c r="F98" s="134">
        <v>3.32</v>
      </c>
      <c r="G98" s="134">
        <v>24.06</v>
      </c>
      <c r="H98" s="134">
        <v>12.1</v>
      </c>
      <c r="I98" s="134">
        <v>5.25</v>
      </c>
      <c r="J98" s="134">
        <v>0.21</v>
      </c>
      <c r="K98" s="134">
        <v>254.66</v>
      </c>
      <c r="L98" s="134">
        <v>24.64</v>
      </c>
      <c r="M98" s="134">
        <v>97.55</v>
      </c>
      <c r="N98" s="134">
        <v>0</v>
      </c>
      <c r="O98" s="134">
        <v>0.4</v>
      </c>
      <c r="P98" s="134">
        <v>0.66</v>
      </c>
      <c r="Q98" s="134">
        <v>4.2699999999999996</v>
      </c>
    </row>
    <row r="99" spans="1:21">
      <c r="A99" s="112" t="s">
        <v>3014</v>
      </c>
      <c r="B99" s="134">
        <v>19.79</v>
      </c>
      <c r="C99" s="134">
        <v>26.21</v>
      </c>
      <c r="D99" s="134">
        <v>30.91</v>
      </c>
      <c r="E99" s="134">
        <v>6.2</v>
      </c>
      <c r="F99" s="134">
        <v>2.54</v>
      </c>
      <c r="G99" s="134">
        <v>24.81</v>
      </c>
      <c r="H99" s="134">
        <v>11.91</v>
      </c>
      <c r="I99" s="134">
        <v>5.16</v>
      </c>
      <c r="J99" s="134">
        <v>0.14000000000000001</v>
      </c>
      <c r="K99" s="134">
        <v>172.31</v>
      </c>
      <c r="L99" s="134">
        <v>24.79</v>
      </c>
      <c r="M99" s="134">
        <v>97.37</v>
      </c>
      <c r="N99" s="134">
        <v>0</v>
      </c>
      <c r="O99" s="134">
        <v>0.2</v>
      </c>
      <c r="P99" s="134">
        <v>0.68</v>
      </c>
      <c r="Q99" s="134">
        <v>4.25</v>
      </c>
    </row>
    <row r="100" spans="1:21">
      <c r="A100" s="112" t="s">
        <v>3015</v>
      </c>
      <c r="B100" s="134">
        <v>19.7</v>
      </c>
      <c r="C100" s="134">
        <v>27.17</v>
      </c>
      <c r="D100" s="134">
        <v>31.34</v>
      </c>
      <c r="E100" s="134">
        <v>6.16</v>
      </c>
      <c r="F100" s="134">
        <v>2.6</v>
      </c>
      <c r="G100" s="134">
        <v>27.26</v>
      </c>
      <c r="H100" s="134">
        <v>11.44</v>
      </c>
      <c r="I100" s="134">
        <v>5.1100000000000003</v>
      </c>
      <c r="J100" s="134">
        <v>0.1</v>
      </c>
      <c r="K100" s="134">
        <v>194.57</v>
      </c>
      <c r="L100" s="134">
        <v>24.81</v>
      </c>
      <c r="M100" s="134">
        <v>97.85</v>
      </c>
      <c r="N100" s="134">
        <v>0</v>
      </c>
      <c r="O100" s="134">
        <v>0</v>
      </c>
      <c r="P100" s="134">
        <v>0.66</v>
      </c>
      <c r="Q100" s="134">
        <v>4.2699999999999996</v>
      </c>
    </row>
    <row r="101" spans="1:21">
      <c r="A101" s="112" t="s">
        <v>3016</v>
      </c>
      <c r="B101" s="134">
        <v>19.3</v>
      </c>
      <c r="C101" s="134">
        <v>27.19</v>
      </c>
      <c r="D101" s="134">
        <v>31.04</v>
      </c>
      <c r="E101" s="134">
        <v>6.33</v>
      </c>
      <c r="F101" s="134">
        <v>2.74</v>
      </c>
      <c r="G101" s="134">
        <v>27.26</v>
      </c>
      <c r="H101" s="134">
        <v>11.44</v>
      </c>
      <c r="I101" s="134">
        <v>5.16</v>
      </c>
      <c r="J101" s="134">
        <v>0.05</v>
      </c>
      <c r="K101" s="134">
        <v>212.36</v>
      </c>
      <c r="L101" s="134">
        <v>24.8</v>
      </c>
      <c r="M101" s="134">
        <v>98.09</v>
      </c>
      <c r="N101" s="134">
        <v>0</v>
      </c>
      <c r="O101" s="134">
        <v>0</v>
      </c>
      <c r="P101" s="134">
        <v>0.67</v>
      </c>
      <c r="Q101" s="134">
        <v>4.28</v>
      </c>
    </row>
    <row r="102" spans="1:21">
      <c r="A102" s="112" t="s">
        <v>3017</v>
      </c>
      <c r="B102" s="134">
        <v>19.07</v>
      </c>
      <c r="C102" s="134">
        <v>27.27</v>
      </c>
      <c r="D102" s="134">
        <v>30.89</v>
      </c>
      <c r="E102" s="134">
        <v>6.09</v>
      </c>
      <c r="F102" s="134">
        <v>2.5299999999999998</v>
      </c>
      <c r="G102" s="134">
        <v>27.26</v>
      </c>
      <c r="H102" s="134">
        <v>11.44</v>
      </c>
      <c r="I102" s="134">
        <v>5.13</v>
      </c>
      <c r="J102" s="134">
        <v>0.09</v>
      </c>
      <c r="K102" s="134">
        <v>182.02</v>
      </c>
      <c r="L102" s="134">
        <v>24.86</v>
      </c>
      <c r="M102" s="134">
        <v>97.74</v>
      </c>
      <c r="N102" s="134">
        <v>0</v>
      </c>
      <c r="O102" s="134">
        <v>0</v>
      </c>
      <c r="P102" s="134">
        <v>0.67</v>
      </c>
      <c r="Q102" s="134">
        <v>4.2699999999999996</v>
      </c>
    </row>
    <row r="103" spans="1:21">
      <c r="A103" s="112" t="s">
        <v>3018</v>
      </c>
      <c r="B103" s="134">
        <v>18.96</v>
      </c>
      <c r="C103" s="134">
        <v>27.39</v>
      </c>
      <c r="D103" s="134">
        <v>30.87</v>
      </c>
      <c r="E103" s="134">
        <v>6.43</v>
      </c>
      <c r="F103" s="134">
        <v>2.65</v>
      </c>
      <c r="G103" s="134">
        <v>26.89</v>
      </c>
      <c r="H103" s="134">
        <v>11.46</v>
      </c>
      <c r="I103" s="134">
        <v>5.04</v>
      </c>
      <c r="J103" s="134">
        <v>0.18</v>
      </c>
      <c r="K103" s="134">
        <v>153.96</v>
      </c>
      <c r="L103" s="134">
        <v>25.06</v>
      </c>
      <c r="M103" s="134">
        <v>97.45</v>
      </c>
      <c r="N103" s="134">
        <v>0</v>
      </c>
      <c r="O103" s="134">
        <v>0</v>
      </c>
      <c r="P103" s="134">
        <v>0.67</v>
      </c>
      <c r="Q103" s="134">
        <v>4.28</v>
      </c>
    </row>
    <row r="104" spans="1:21">
      <c r="A104" s="112" t="s">
        <v>3019</v>
      </c>
      <c r="B104" s="134">
        <v>18.72</v>
      </c>
      <c r="C104" s="134">
        <v>27.75</v>
      </c>
      <c r="D104" s="134">
        <v>30.86</v>
      </c>
      <c r="E104" s="134">
        <v>6.17</v>
      </c>
      <c r="F104" s="134">
        <v>2.67</v>
      </c>
      <c r="G104" s="134">
        <v>25.62</v>
      </c>
      <c r="H104" s="134">
        <v>11.51</v>
      </c>
      <c r="I104" s="134">
        <v>5.01</v>
      </c>
      <c r="J104" s="134">
        <v>0.08</v>
      </c>
      <c r="K104" s="134">
        <v>170.93</v>
      </c>
      <c r="L104" s="134">
        <v>24.99</v>
      </c>
      <c r="M104" s="134">
        <v>97.71</v>
      </c>
      <c r="N104" s="134">
        <v>0</v>
      </c>
      <c r="O104" s="134">
        <v>0</v>
      </c>
      <c r="P104" s="134">
        <v>0.67</v>
      </c>
      <c r="Q104" s="134">
        <v>4.28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12.81</v>
      </c>
      <c r="C106" s="183">
        <f>MIN(C9:C104)</f>
        <v>17.440000000000001</v>
      </c>
      <c r="D106" s="183">
        <f t="shared" ref="D106:Q106" si="0">MIN(D9:D104)</f>
        <v>20.73</v>
      </c>
      <c r="E106" s="183">
        <f t="shared" si="0"/>
        <v>5.43</v>
      </c>
      <c r="F106" s="183">
        <f t="shared" si="0"/>
        <v>2.48</v>
      </c>
      <c r="G106" s="183">
        <f t="shared" si="0"/>
        <v>24.06</v>
      </c>
      <c r="H106" s="183">
        <f t="shared" si="0"/>
        <v>11.44</v>
      </c>
      <c r="I106" s="183">
        <f t="shared" si="0"/>
        <v>5.01</v>
      </c>
      <c r="J106" s="183">
        <f t="shared" si="0"/>
        <v>0.02</v>
      </c>
      <c r="K106" s="183">
        <f t="shared" si="0"/>
        <v>5.66</v>
      </c>
      <c r="L106" s="183">
        <f t="shared" si="0"/>
        <v>24.64</v>
      </c>
      <c r="M106" s="183">
        <f t="shared" si="0"/>
        <v>67.650000000000006</v>
      </c>
      <c r="N106" s="183">
        <f t="shared" si="0"/>
        <v>0</v>
      </c>
      <c r="O106" s="183">
        <f t="shared" si="0"/>
        <v>0</v>
      </c>
      <c r="P106" s="183">
        <f t="shared" si="0"/>
        <v>0.56999999999999995</v>
      </c>
      <c r="Q106" s="183">
        <f t="shared" si="0"/>
        <v>4.01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26.8</v>
      </c>
      <c r="C107" s="184">
        <f t="shared" ref="C107:Q107" si="1">MAX(C9:C104)</f>
        <v>34.020000000000003</v>
      </c>
      <c r="D107" s="184">
        <f t="shared" si="1"/>
        <v>38.200000000000003</v>
      </c>
      <c r="E107" s="184">
        <f t="shared" si="1"/>
        <v>24.05</v>
      </c>
      <c r="F107" s="184">
        <f t="shared" si="1"/>
        <v>8.9499999999999993</v>
      </c>
      <c r="G107" s="184">
        <f t="shared" si="1"/>
        <v>88.74</v>
      </c>
      <c r="H107" s="184">
        <f t="shared" si="1"/>
        <v>30.36</v>
      </c>
      <c r="I107" s="184">
        <f t="shared" si="1"/>
        <v>6.65</v>
      </c>
      <c r="J107" s="184">
        <f t="shared" si="1"/>
        <v>1.36</v>
      </c>
      <c r="K107" s="184">
        <f t="shared" si="1"/>
        <v>355.34</v>
      </c>
      <c r="L107" s="184">
        <f t="shared" si="1"/>
        <v>32.47</v>
      </c>
      <c r="M107" s="184">
        <f t="shared" si="1"/>
        <v>98.09</v>
      </c>
      <c r="N107" s="184">
        <f t="shared" si="1"/>
        <v>684.9</v>
      </c>
      <c r="O107" s="184">
        <f t="shared" si="1"/>
        <v>0.6</v>
      </c>
      <c r="P107" s="184">
        <f t="shared" si="1"/>
        <v>0.86</v>
      </c>
      <c r="Q107" s="184">
        <f t="shared" si="1"/>
        <v>4.8499999999999996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19.543854166666659</v>
      </c>
      <c r="C108" s="183">
        <f t="shared" ref="C108:Q108" si="2">AVERAGE(C9:C104)</f>
        <v>26.56708333333334</v>
      </c>
      <c r="D108" s="183">
        <f t="shared" si="2"/>
        <v>30.903958333333321</v>
      </c>
      <c r="E108" s="183">
        <f t="shared" si="2"/>
        <v>9.777708333333333</v>
      </c>
      <c r="F108" s="183">
        <f t="shared" si="2"/>
        <v>4.5507291666666667</v>
      </c>
      <c r="G108" s="183">
        <f t="shared" si="2"/>
        <v>53.063854166666722</v>
      </c>
      <c r="H108" s="183">
        <f t="shared" si="2"/>
        <v>22.190624999999994</v>
      </c>
      <c r="I108" s="183">
        <f t="shared" si="2"/>
        <v>5.7583333333333337</v>
      </c>
      <c r="J108" s="183">
        <f t="shared" si="2"/>
        <v>0.29697916666666663</v>
      </c>
      <c r="K108" s="183">
        <f t="shared" si="2"/>
        <v>109.19885416666664</v>
      </c>
      <c r="L108" s="183">
        <f t="shared" si="2"/>
        <v>27.728541666666668</v>
      </c>
      <c r="M108" s="183">
        <f t="shared" si="2"/>
        <v>86.842708333333306</v>
      </c>
      <c r="N108" s="183">
        <f t="shared" si="2"/>
        <v>127.04166666666664</v>
      </c>
      <c r="O108" s="183">
        <f t="shared" si="2"/>
        <v>1.6666666666666666E-2</v>
      </c>
      <c r="P108" s="183">
        <f t="shared" si="2"/>
        <v>0.68218750000000006</v>
      </c>
      <c r="Q108" s="183">
        <f t="shared" si="2"/>
        <v>4.3388541666666658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3.7644177210438357</v>
      </c>
      <c r="C109" s="183">
        <f t="shared" ref="C109:Q109" si="3">STDEV(C9:C104)</f>
        <v>3.5448004670047233</v>
      </c>
      <c r="D109" s="183">
        <f t="shared" si="3"/>
        <v>3.6961816653825204</v>
      </c>
      <c r="E109" s="183">
        <f t="shared" si="3"/>
        <v>4.046229038231095</v>
      </c>
      <c r="F109" s="183">
        <f t="shared" si="3"/>
        <v>1.9673665244856302</v>
      </c>
      <c r="G109" s="183">
        <f t="shared" si="3"/>
        <v>16.272594615344662</v>
      </c>
      <c r="H109" s="183">
        <f t="shared" si="3"/>
        <v>5.5059645768069503</v>
      </c>
      <c r="I109" s="183">
        <f t="shared" si="3"/>
        <v>0.49186362394611099</v>
      </c>
      <c r="J109" s="183">
        <f t="shared" si="3"/>
        <v>0.26819128990788682</v>
      </c>
      <c r="K109" s="183">
        <f t="shared" si="3"/>
        <v>93.91920287779044</v>
      </c>
      <c r="L109" s="183">
        <f t="shared" si="3"/>
        <v>2.382207282141402</v>
      </c>
      <c r="M109" s="183">
        <f t="shared" si="3"/>
        <v>9.254687970419532</v>
      </c>
      <c r="N109" s="183">
        <f t="shared" si="3"/>
        <v>199.85582733385149</v>
      </c>
      <c r="O109" s="183">
        <f t="shared" si="3"/>
        <v>8.0350111081921943E-2</v>
      </c>
      <c r="P109" s="183">
        <f t="shared" si="3"/>
        <v>5.9208874245959608E-2</v>
      </c>
      <c r="Q109" s="183">
        <f t="shared" si="3"/>
        <v>0.24796803610512486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1" t="s">
        <v>56</v>
      </c>
      <c r="C115" s="191"/>
      <c r="D115" s="19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2" activePane="bottomLeft" state="frozen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30/09/2023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3020</v>
      </c>
      <c r="B9" s="134">
        <v>17.48</v>
      </c>
      <c r="C9" s="134">
        <v>26.57</v>
      </c>
      <c r="D9" s="134">
        <v>29.25</v>
      </c>
      <c r="E9" s="134">
        <v>6.38</v>
      </c>
      <c r="F9" s="134">
        <v>2.72</v>
      </c>
      <c r="G9" s="134">
        <v>25.62</v>
      </c>
      <c r="H9" s="134">
        <v>11.51</v>
      </c>
      <c r="I9" s="134">
        <v>5</v>
      </c>
      <c r="J9" s="134">
        <v>7.0000000000000007E-2</v>
      </c>
      <c r="K9" s="134">
        <v>163.96</v>
      </c>
      <c r="L9" s="134">
        <v>24.97</v>
      </c>
      <c r="M9" s="134">
        <v>97.29</v>
      </c>
      <c r="N9" s="134">
        <v>0</v>
      </c>
      <c r="O9" s="134">
        <v>0</v>
      </c>
      <c r="P9" s="134">
        <v>0.67</v>
      </c>
      <c r="Q9" s="134">
        <v>4.3099999999999996</v>
      </c>
    </row>
    <row r="10" spans="1:21" customFormat="1">
      <c r="A10" s="112" t="s">
        <v>3021</v>
      </c>
      <c r="B10" s="134">
        <v>17.52</v>
      </c>
      <c r="C10" s="134">
        <v>27.46</v>
      </c>
      <c r="D10" s="134">
        <v>29.75</v>
      </c>
      <c r="E10" s="134">
        <v>6.33</v>
      </c>
      <c r="F10" s="134">
        <v>2.54</v>
      </c>
      <c r="G10" s="134">
        <v>25.62</v>
      </c>
      <c r="H10" s="134">
        <v>11.51</v>
      </c>
      <c r="I10" s="134">
        <v>5</v>
      </c>
      <c r="J10" s="134">
        <v>0.17</v>
      </c>
      <c r="K10" s="134">
        <v>234.41</v>
      </c>
      <c r="L10" s="134">
        <v>24.94</v>
      </c>
      <c r="M10" s="134">
        <v>97.28</v>
      </c>
      <c r="N10" s="134">
        <v>0</v>
      </c>
      <c r="O10" s="134">
        <v>0</v>
      </c>
      <c r="P10" s="134">
        <v>0.68</v>
      </c>
      <c r="Q10" s="134">
        <v>4.34</v>
      </c>
    </row>
    <row r="11" spans="1:21" customFormat="1">
      <c r="A11" s="112" t="s">
        <v>3022</v>
      </c>
      <c r="B11" s="134">
        <v>17.72</v>
      </c>
      <c r="C11" s="134">
        <v>27.75</v>
      </c>
      <c r="D11" s="134">
        <v>30.06</v>
      </c>
      <c r="E11" s="134">
        <v>6.48</v>
      </c>
      <c r="F11" s="134">
        <v>2.63</v>
      </c>
      <c r="G11" s="134">
        <v>25</v>
      </c>
      <c r="H11" s="134">
        <v>11.4</v>
      </c>
      <c r="I11" s="134">
        <v>5.03</v>
      </c>
      <c r="J11" s="134">
        <v>0.12</v>
      </c>
      <c r="K11" s="134">
        <v>163.81</v>
      </c>
      <c r="L11" s="134">
        <v>24.96</v>
      </c>
      <c r="M11" s="134">
        <v>97.97</v>
      </c>
      <c r="N11" s="134">
        <v>0</v>
      </c>
      <c r="O11" s="134">
        <v>0</v>
      </c>
      <c r="P11" s="134">
        <v>0.69</v>
      </c>
      <c r="Q11" s="134">
        <v>4.3499999999999996</v>
      </c>
    </row>
    <row r="12" spans="1:21" customFormat="1">
      <c r="A12" s="112" t="s">
        <v>3023</v>
      </c>
      <c r="B12" s="134">
        <v>17.649999999999999</v>
      </c>
      <c r="C12" s="134">
        <v>27.98</v>
      </c>
      <c r="D12" s="134">
        <v>30.12</v>
      </c>
      <c r="E12" s="134">
        <v>6.61</v>
      </c>
      <c r="F12" s="134">
        <v>2.5499999999999998</v>
      </c>
      <c r="G12" s="134">
        <v>22.83</v>
      </c>
      <c r="H12" s="134">
        <v>10.86</v>
      </c>
      <c r="I12" s="134">
        <v>5.0599999999999996</v>
      </c>
      <c r="J12" s="134">
        <v>0.02</v>
      </c>
      <c r="K12" s="134">
        <v>247.61</v>
      </c>
      <c r="L12" s="134">
        <v>24.87</v>
      </c>
      <c r="M12" s="134">
        <v>97.94</v>
      </c>
      <c r="N12" s="134">
        <v>0</v>
      </c>
      <c r="O12" s="134">
        <v>0</v>
      </c>
      <c r="P12" s="134">
        <v>0.68</v>
      </c>
      <c r="Q12" s="134">
        <v>4.3499999999999996</v>
      </c>
    </row>
    <row r="13" spans="1:21" customFormat="1">
      <c r="A13" s="112" t="s">
        <v>3024</v>
      </c>
      <c r="B13" s="134">
        <v>17.690000000000001</v>
      </c>
      <c r="C13" s="134">
        <v>27.83</v>
      </c>
      <c r="D13" s="134">
        <v>30.08</v>
      </c>
      <c r="E13" s="134">
        <v>6.49</v>
      </c>
      <c r="F13" s="134">
        <v>2.46</v>
      </c>
      <c r="G13" s="134">
        <v>22.83</v>
      </c>
      <c r="H13" s="134">
        <v>10.86</v>
      </c>
      <c r="I13" s="134">
        <v>5.04</v>
      </c>
      <c r="J13" s="134">
        <v>0.09</v>
      </c>
      <c r="K13" s="134">
        <v>199.85</v>
      </c>
      <c r="L13" s="134">
        <v>24.87</v>
      </c>
      <c r="M13" s="134">
        <v>98.13</v>
      </c>
      <c r="N13" s="134">
        <v>0</v>
      </c>
      <c r="O13" s="134">
        <v>0</v>
      </c>
      <c r="P13" s="134">
        <v>0.68</v>
      </c>
      <c r="Q13" s="134">
        <v>4.3600000000000003</v>
      </c>
    </row>
    <row r="14" spans="1:21" customFormat="1">
      <c r="A14" s="112" t="s">
        <v>3025</v>
      </c>
      <c r="B14" s="134">
        <v>17.54</v>
      </c>
      <c r="C14" s="134">
        <v>27.97</v>
      </c>
      <c r="D14" s="134">
        <v>30.03</v>
      </c>
      <c r="E14" s="134">
        <v>6.51</v>
      </c>
      <c r="F14" s="134">
        <v>2.4</v>
      </c>
      <c r="G14" s="134">
        <v>22.83</v>
      </c>
      <c r="H14" s="134">
        <v>10.86</v>
      </c>
      <c r="I14" s="134">
        <v>5.08</v>
      </c>
      <c r="J14" s="134">
        <v>0.15</v>
      </c>
      <c r="K14" s="134">
        <v>242.51</v>
      </c>
      <c r="L14" s="134">
        <v>24.88</v>
      </c>
      <c r="M14" s="134">
        <v>98.36</v>
      </c>
      <c r="N14" s="134">
        <v>0</v>
      </c>
      <c r="O14" s="134">
        <v>0</v>
      </c>
      <c r="P14" s="134">
        <v>0.68</v>
      </c>
      <c r="Q14" s="134">
        <v>4.3499999999999996</v>
      </c>
    </row>
    <row r="15" spans="1:21" customFormat="1">
      <c r="A15" s="112" t="s">
        <v>3026</v>
      </c>
      <c r="B15" s="134">
        <v>17.489999999999998</v>
      </c>
      <c r="C15" s="134">
        <v>27.88</v>
      </c>
      <c r="D15" s="134">
        <v>29.95</v>
      </c>
      <c r="E15" s="134">
        <v>6.84</v>
      </c>
      <c r="F15" s="134">
        <v>2.36</v>
      </c>
      <c r="G15" s="134">
        <v>22.11</v>
      </c>
      <c r="H15" s="134">
        <v>9.92</v>
      </c>
      <c r="I15" s="134">
        <v>5.1100000000000003</v>
      </c>
      <c r="J15" s="134">
        <v>0.09</v>
      </c>
      <c r="K15" s="134">
        <v>167.66</v>
      </c>
      <c r="L15" s="134">
        <v>24.9</v>
      </c>
      <c r="M15" s="134">
        <v>98.49</v>
      </c>
      <c r="N15" s="134">
        <v>0</v>
      </c>
      <c r="O15" s="134">
        <v>0</v>
      </c>
      <c r="P15" s="134">
        <v>0.68</v>
      </c>
      <c r="Q15" s="134">
        <v>4.3499999999999996</v>
      </c>
    </row>
    <row r="16" spans="1:21" customFormat="1">
      <c r="A16" s="112" t="s">
        <v>3027</v>
      </c>
      <c r="B16" s="134">
        <v>17.670000000000002</v>
      </c>
      <c r="C16" s="134">
        <v>27.77</v>
      </c>
      <c r="D16" s="134">
        <v>30.03</v>
      </c>
      <c r="E16" s="134">
        <v>6.74</v>
      </c>
      <c r="F16" s="134">
        <v>2.39</v>
      </c>
      <c r="G16" s="134">
        <v>19.600000000000001</v>
      </c>
      <c r="H16" s="134">
        <v>7.71</v>
      </c>
      <c r="I16" s="134">
        <v>5.13</v>
      </c>
      <c r="J16" s="134">
        <v>0.15</v>
      </c>
      <c r="K16" s="134">
        <v>202.05</v>
      </c>
      <c r="L16" s="134">
        <v>24.87</v>
      </c>
      <c r="M16" s="134">
        <v>98.15</v>
      </c>
      <c r="N16" s="134">
        <v>0</v>
      </c>
      <c r="O16" s="134">
        <v>0</v>
      </c>
      <c r="P16" s="134">
        <v>0.68</v>
      </c>
      <c r="Q16" s="134">
        <v>4.37</v>
      </c>
    </row>
    <row r="17" spans="1:17" customFormat="1">
      <c r="A17" s="112" t="s">
        <v>3028</v>
      </c>
      <c r="B17" s="134">
        <v>17.96</v>
      </c>
      <c r="C17" s="134">
        <v>27.98</v>
      </c>
      <c r="D17" s="134">
        <v>30.38</v>
      </c>
      <c r="E17" s="134">
        <v>6.79</v>
      </c>
      <c r="F17" s="134">
        <v>2.4</v>
      </c>
      <c r="G17" s="134">
        <v>19.600000000000001</v>
      </c>
      <c r="H17" s="134">
        <v>7.71</v>
      </c>
      <c r="I17" s="134">
        <v>5.14</v>
      </c>
      <c r="J17" s="134">
        <v>0.12</v>
      </c>
      <c r="K17" s="134">
        <v>220.54</v>
      </c>
      <c r="L17" s="134">
        <v>24.78</v>
      </c>
      <c r="M17" s="134">
        <v>98.01</v>
      </c>
      <c r="N17" s="134">
        <v>0</v>
      </c>
      <c r="O17" s="134">
        <v>0</v>
      </c>
      <c r="P17" s="134">
        <v>0.68</v>
      </c>
      <c r="Q17" s="134">
        <v>4.3899999999999997</v>
      </c>
    </row>
    <row r="18" spans="1:17" customFormat="1">
      <c r="A18" s="112" t="s">
        <v>3029</v>
      </c>
      <c r="B18" s="134">
        <v>17.97</v>
      </c>
      <c r="C18" s="134">
        <v>28.21</v>
      </c>
      <c r="D18" s="134">
        <v>30.5</v>
      </c>
      <c r="E18" s="134">
        <v>8.08</v>
      </c>
      <c r="F18" s="134">
        <v>2.4</v>
      </c>
      <c r="G18" s="134">
        <v>19.600000000000001</v>
      </c>
      <c r="H18" s="134">
        <v>7.71</v>
      </c>
      <c r="I18" s="134">
        <v>5.16</v>
      </c>
      <c r="J18" s="134">
        <v>0.13</v>
      </c>
      <c r="K18" s="134">
        <v>159.68</v>
      </c>
      <c r="L18" s="134">
        <v>24.75</v>
      </c>
      <c r="M18" s="134">
        <v>98.87</v>
      </c>
      <c r="N18" s="134">
        <v>0</v>
      </c>
      <c r="O18" s="134">
        <v>0</v>
      </c>
      <c r="P18" s="134">
        <v>0.67</v>
      </c>
      <c r="Q18" s="134">
        <v>4.37</v>
      </c>
    </row>
    <row r="19" spans="1:17" customFormat="1">
      <c r="A19" s="112" t="s">
        <v>3030</v>
      </c>
      <c r="B19" s="134">
        <v>17.98</v>
      </c>
      <c r="C19" s="134">
        <v>27.81</v>
      </c>
      <c r="D19" s="134">
        <v>30.3</v>
      </c>
      <c r="E19" s="134">
        <v>7.74</v>
      </c>
      <c r="F19" s="134">
        <v>2.4700000000000002</v>
      </c>
      <c r="G19" s="134">
        <v>19.37</v>
      </c>
      <c r="H19" s="134">
        <v>7.56</v>
      </c>
      <c r="I19" s="134">
        <v>5.18</v>
      </c>
      <c r="J19" s="134">
        <v>0.09</v>
      </c>
      <c r="K19" s="134">
        <v>165.87</v>
      </c>
      <c r="L19" s="134">
        <v>24.63</v>
      </c>
      <c r="M19" s="134">
        <v>98.33</v>
      </c>
      <c r="N19" s="134">
        <v>0</v>
      </c>
      <c r="O19" s="134">
        <v>0</v>
      </c>
      <c r="P19" s="134">
        <v>0.66</v>
      </c>
      <c r="Q19" s="134">
        <v>4.3899999999999997</v>
      </c>
    </row>
    <row r="20" spans="1:17" customFormat="1">
      <c r="A20" s="112" t="s">
        <v>3031</v>
      </c>
      <c r="B20" s="134">
        <v>17.89</v>
      </c>
      <c r="C20" s="134">
        <v>27.78</v>
      </c>
      <c r="D20" s="134">
        <v>30.21</v>
      </c>
      <c r="E20" s="134">
        <v>8.16</v>
      </c>
      <c r="F20" s="134">
        <v>2.56</v>
      </c>
      <c r="G20" s="134">
        <v>18.579999999999998</v>
      </c>
      <c r="H20" s="134">
        <v>7.2</v>
      </c>
      <c r="I20" s="134">
        <v>5.23</v>
      </c>
      <c r="J20" s="134">
        <v>0.12</v>
      </c>
      <c r="K20" s="134">
        <v>166.1</v>
      </c>
      <c r="L20" s="134">
        <v>24.62</v>
      </c>
      <c r="M20" s="134">
        <v>99.53</v>
      </c>
      <c r="N20" s="134">
        <v>0</v>
      </c>
      <c r="O20" s="134">
        <v>0</v>
      </c>
      <c r="P20" s="134">
        <v>0.66</v>
      </c>
      <c r="Q20" s="134">
        <v>4.38</v>
      </c>
    </row>
    <row r="21" spans="1:17" customFormat="1">
      <c r="A21" s="112" t="s">
        <v>3032</v>
      </c>
      <c r="B21" s="134">
        <v>17.78</v>
      </c>
      <c r="C21" s="134">
        <v>27.7</v>
      </c>
      <c r="D21" s="134">
        <v>30.08</v>
      </c>
      <c r="E21" s="134">
        <v>8.09</v>
      </c>
      <c r="F21" s="134">
        <v>2.4300000000000002</v>
      </c>
      <c r="G21" s="134">
        <v>18.579999999999998</v>
      </c>
      <c r="H21" s="134">
        <v>7.2</v>
      </c>
      <c r="I21" s="134">
        <v>5.15</v>
      </c>
      <c r="J21" s="134">
        <v>0.14000000000000001</v>
      </c>
      <c r="K21" s="134">
        <v>154.27000000000001</v>
      </c>
      <c r="L21" s="134">
        <v>24.54</v>
      </c>
      <c r="M21" s="134">
        <v>100.02</v>
      </c>
      <c r="N21" s="134">
        <v>0</v>
      </c>
      <c r="O21" s="134">
        <v>0</v>
      </c>
      <c r="P21" s="134">
        <v>0.64</v>
      </c>
      <c r="Q21" s="134">
        <v>4.3499999999999996</v>
      </c>
    </row>
    <row r="22" spans="1:17" customFormat="1">
      <c r="A22" s="112" t="s">
        <v>3033</v>
      </c>
      <c r="B22" s="134">
        <v>17.61</v>
      </c>
      <c r="C22" s="134">
        <v>27.66</v>
      </c>
      <c r="D22" s="134">
        <v>29.92</v>
      </c>
      <c r="E22" s="134">
        <v>8.1300000000000008</v>
      </c>
      <c r="F22" s="134">
        <v>2.4300000000000002</v>
      </c>
      <c r="G22" s="134">
        <v>18.579999999999998</v>
      </c>
      <c r="H22" s="134">
        <v>7.2</v>
      </c>
      <c r="I22" s="134">
        <v>5.12</v>
      </c>
      <c r="J22" s="134">
        <v>0.13</v>
      </c>
      <c r="K22" s="134">
        <v>156.9</v>
      </c>
      <c r="L22" s="134">
        <v>24.48</v>
      </c>
      <c r="M22" s="134">
        <v>99.71</v>
      </c>
      <c r="N22" s="134">
        <v>0</v>
      </c>
      <c r="O22" s="134">
        <v>0</v>
      </c>
      <c r="P22" s="134">
        <v>0.63</v>
      </c>
      <c r="Q22" s="134">
        <v>4.3600000000000003</v>
      </c>
    </row>
    <row r="23" spans="1:17" customFormat="1">
      <c r="A23" s="112" t="s">
        <v>3034</v>
      </c>
      <c r="B23" s="134">
        <v>17.43</v>
      </c>
      <c r="C23" s="134">
        <v>27.59</v>
      </c>
      <c r="D23" s="134">
        <v>29.75</v>
      </c>
      <c r="E23" s="134">
        <v>8.23</v>
      </c>
      <c r="F23" s="134">
        <v>2.39</v>
      </c>
      <c r="G23" s="134">
        <v>18.66</v>
      </c>
      <c r="H23" s="134">
        <v>7.22</v>
      </c>
      <c r="I23" s="134">
        <v>5.0199999999999996</v>
      </c>
      <c r="J23" s="134">
        <v>0.13</v>
      </c>
      <c r="K23" s="134">
        <v>163.5</v>
      </c>
      <c r="L23" s="134">
        <v>24.42</v>
      </c>
      <c r="M23" s="134">
        <v>99.13</v>
      </c>
      <c r="N23" s="134">
        <v>0</v>
      </c>
      <c r="O23" s="134">
        <v>0</v>
      </c>
      <c r="P23" s="134">
        <v>0.61</v>
      </c>
      <c r="Q23" s="134">
        <v>4.3600000000000003</v>
      </c>
    </row>
    <row r="24" spans="1:17" customFormat="1">
      <c r="A24" s="112" t="s">
        <v>3035</v>
      </c>
      <c r="B24" s="134">
        <v>17.34</v>
      </c>
      <c r="C24" s="134">
        <v>28.32</v>
      </c>
      <c r="D24" s="134">
        <v>30.06</v>
      </c>
      <c r="E24" s="134">
        <v>8.2799999999999994</v>
      </c>
      <c r="F24" s="134">
        <v>2.37</v>
      </c>
      <c r="G24" s="134">
        <v>18.920000000000002</v>
      </c>
      <c r="H24" s="134">
        <v>7.28</v>
      </c>
      <c r="I24" s="134">
        <v>4.93</v>
      </c>
      <c r="J24" s="134">
        <v>0.1</v>
      </c>
      <c r="K24" s="134">
        <v>237.9</v>
      </c>
      <c r="L24" s="134">
        <v>24.47</v>
      </c>
      <c r="M24" s="134">
        <v>99.44</v>
      </c>
      <c r="N24" s="134">
        <v>0</v>
      </c>
      <c r="O24" s="134">
        <v>0</v>
      </c>
      <c r="P24" s="134">
        <v>0.61</v>
      </c>
      <c r="Q24" s="134">
        <v>4.34</v>
      </c>
    </row>
    <row r="25" spans="1:17" customFormat="1">
      <c r="A25" s="112" t="s">
        <v>3036</v>
      </c>
      <c r="B25" s="134">
        <v>17.84</v>
      </c>
      <c r="C25" s="134">
        <v>27.62</v>
      </c>
      <c r="D25" s="134">
        <v>30.08</v>
      </c>
      <c r="E25" s="134">
        <v>8.17</v>
      </c>
      <c r="F25" s="134">
        <v>2.92</v>
      </c>
      <c r="G25" s="134">
        <v>18.920000000000002</v>
      </c>
      <c r="H25" s="134">
        <v>7.28</v>
      </c>
      <c r="I25" s="134">
        <v>4.8600000000000003</v>
      </c>
      <c r="J25" s="134">
        <v>0.14000000000000001</v>
      </c>
      <c r="K25" s="134">
        <v>161.72999999999999</v>
      </c>
      <c r="L25" s="134">
        <v>24.51</v>
      </c>
      <c r="M25" s="134">
        <v>100.27</v>
      </c>
      <c r="N25" s="134">
        <v>0</v>
      </c>
      <c r="O25" s="134">
        <v>0</v>
      </c>
      <c r="P25" s="134">
        <v>0.57999999999999996</v>
      </c>
      <c r="Q25" s="134">
        <v>4.37</v>
      </c>
    </row>
    <row r="26" spans="1:17" customFormat="1">
      <c r="A26" s="112" t="s">
        <v>3037</v>
      </c>
      <c r="B26" s="134">
        <v>18.38</v>
      </c>
      <c r="C26" s="134">
        <v>25.29</v>
      </c>
      <c r="D26" s="134">
        <v>29.31</v>
      </c>
      <c r="E26" s="134">
        <v>7.34</v>
      </c>
      <c r="F26" s="134">
        <v>3.33</v>
      </c>
      <c r="G26" s="134">
        <v>18.920000000000002</v>
      </c>
      <c r="H26" s="134">
        <v>7.28</v>
      </c>
      <c r="I26" s="134">
        <v>4.8099999999999996</v>
      </c>
      <c r="J26" s="134">
        <v>0.11</v>
      </c>
      <c r="K26" s="134">
        <v>171.02</v>
      </c>
      <c r="L26" s="134">
        <v>24.29</v>
      </c>
      <c r="M26" s="134">
        <v>101.15</v>
      </c>
      <c r="N26" s="134">
        <v>0</v>
      </c>
      <c r="O26" s="134">
        <v>0</v>
      </c>
      <c r="P26" s="134">
        <v>0.56000000000000005</v>
      </c>
      <c r="Q26" s="134">
        <v>4.3600000000000003</v>
      </c>
    </row>
    <row r="27" spans="1:17" customFormat="1">
      <c r="A27" s="112" t="s">
        <v>3038</v>
      </c>
      <c r="B27" s="134">
        <v>18.79</v>
      </c>
      <c r="C27" s="134">
        <v>23.58</v>
      </c>
      <c r="D27" s="134">
        <v>28.74</v>
      </c>
      <c r="E27" s="134">
        <v>6.96</v>
      </c>
      <c r="F27" s="134">
        <v>3.36</v>
      </c>
      <c r="G27" s="134">
        <v>18.48</v>
      </c>
      <c r="H27" s="134">
        <v>6.68</v>
      </c>
      <c r="I27" s="134">
        <v>4.8</v>
      </c>
      <c r="J27" s="134">
        <v>0.09</v>
      </c>
      <c r="K27" s="134">
        <v>214.63</v>
      </c>
      <c r="L27" s="134">
        <v>24.34</v>
      </c>
      <c r="M27" s="134">
        <v>98.9</v>
      </c>
      <c r="N27" s="134">
        <v>0</v>
      </c>
      <c r="O27" s="134">
        <v>0</v>
      </c>
      <c r="P27" s="134">
        <v>0.54</v>
      </c>
      <c r="Q27" s="134">
        <v>4.3</v>
      </c>
    </row>
    <row r="28" spans="1:17" customFormat="1">
      <c r="A28" s="112" t="s">
        <v>3039</v>
      </c>
      <c r="B28" s="134">
        <v>18.96</v>
      </c>
      <c r="C28" s="134">
        <v>22.61</v>
      </c>
      <c r="D28" s="134">
        <v>28.37</v>
      </c>
      <c r="E28" s="134">
        <v>6.8</v>
      </c>
      <c r="F28" s="134">
        <v>3.27</v>
      </c>
      <c r="G28" s="134">
        <v>16.91</v>
      </c>
      <c r="H28" s="134">
        <v>5.25</v>
      </c>
      <c r="I28" s="134">
        <v>4.76</v>
      </c>
      <c r="J28" s="134">
        <v>0.18</v>
      </c>
      <c r="K28" s="134">
        <v>170.75</v>
      </c>
      <c r="L28" s="134">
        <v>24.35</v>
      </c>
      <c r="M28" s="134">
        <v>99.48</v>
      </c>
      <c r="N28" s="134">
        <v>0</v>
      </c>
      <c r="O28" s="134">
        <v>0</v>
      </c>
      <c r="P28" s="134">
        <v>0.52</v>
      </c>
      <c r="Q28" s="134">
        <v>4.29</v>
      </c>
    </row>
    <row r="29" spans="1:17" customFormat="1">
      <c r="A29" s="112" t="s">
        <v>3040</v>
      </c>
      <c r="B29" s="134">
        <v>18.93</v>
      </c>
      <c r="C29" s="134">
        <v>23.8</v>
      </c>
      <c r="D29" s="134">
        <v>28.96</v>
      </c>
      <c r="E29" s="134">
        <v>6.7</v>
      </c>
      <c r="F29" s="134">
        <v>2.71</v>
      </c>
      <c r="G29" s="134">
        <v>16.91</v>
      </c>
      <c r="H29" s="134">
        <v>5.25</v>
      </c>
      <c r="I29" s="134">
        <v>4.71</v>
      </c>
      <c r="J29" s="134">
        <v>0.12</v>
      </c>
      <c r="K29" s="134">
        <v>232.17</v>
      </c>
      <c r="L29" s="134">
        <v>24.4</v>
      </c>
      <c r="M29" s="134">
        <v>98.62</v>
      </c>
      <c r="N29" s="134">
        <v>0</v>
      </c>
      <c r="O29" s="134">
        <v>0</v>
      </c>
      <c r="P29" s="134">
        <v>0.54</v>
      </c>
      <c r="Q29" s="134">
        <v>4.2300000000000004</v>
      </c>
    </row>
    <row r="30" spans="1:17" customFormat="1">
      <c r="A30" s="112" t="s">
        <v>3041</v>
      </c>
      <c r="B30" s="134">
        <v>19.16</v>
      </c>
      <c r="C30" s="134">
        <v>24.08</v>
      </c>
      <c r="D30" s="134">
        <v>29.29</v>
      </c>
      <c r="E30" s="134">
        <v>6.88</v>
      </c>
      <c r="F30" s="134">
        <v>2.86</v>
      </c>
      <c r="G30" s="134">
        <v>16.91</v>
      </c>
      <c r="H30" s="134">
        <v>5.25</v>
      </c>
      <c r="I30" s="134">
        <v>4.6900000000000004</v>
      </c>
      <c r="J30" s="134">
        <v>0.1</v>
      </c>
      <c r="K30" s="134">
        <v>201.19</v>
      </c>
      <c r="L30" s="134">
        <v>24.5</v>
      </c>
      <c r="M30" s="134">
        <v>98.88</v>
      </c>
      <c r="N30" s="134">
        <v>0</v>
      </c>
      <c r="O30" s="134">
        <v>0</v>
      </c>
      <c r="P30" s="134">
        <v>0.54</v>
      </c>
      <c r="Q30" s="134">
        <v>4.28</v>
      </c>
    </row>
    <row r="31" spans="1:17" customFormat="1">
      <c r="A31" s="112" t="s">
        <v>3042</v>
      </c>
      <c r="B31" s="134">
        <v>19.07</v>
      </c>
      <c r="C31" s="134">
        <v>22.23</v>
      </c>
      <c r="D31" s="134">
        <v>28.26</v>
      </c>
      <c r="E31" s="134">
        <v>6.41</v>
      </c>
      <c r="F31" s="134">
        <v>3.54</v>
      </c>
      <c r="G31" s="134">
        <v>15.99</v>
      </c>
      <c r="H31" s="134">
        <v>5.14</v>
      </c>
      <c r="I31" s="134">
        <v>4.78</v>
      </c>
      <c r="J31" s="134">
        <v>0.03</v>
      </c>
      <c r="K31" s="134">
        <v>134.27000000000001</v>
      </c>
      <c r="L31" s="134">
        <v>24.53</v>
      </c>
      <c r="M31" s="134">
        <v>99.3</v>
      </c>
      <c r="N31" s="134">
        <v>0</v>
      </c>
      <c r="O31" s="134">
        <v>0</v>
      </c>
      <c r="P31" s="134">
        <v>0.51</v>
      </c>
      <c r="Q31" s="134">
        <v>4.28</v>
      </c>
    </row>
    <row r="32" spans="1:17" customFormat="1">
      <c r="A32" s="112" t="s">
        <v>3043</v>
      </c>
      <c r="B32" s="134">
        <v>19.14</v>
      </c>
      <c r="C32" s="134">
        <v>23.34</v>
      </c>
      <c r="D32" s="134">
        <v>28.89</v>
      </c>
      <c r="E32" s="134">
        <v>6.65</v>
      </c>
      <c r="F32" s="134">
        <v>3</v>
      </c>
      <c r="G32" s="134">
        <v>12.75</v>
      </c>
      <c r="H32" s="134">
        <v>4.87</v>
      </c>
      <c r="I32" s="134">
        <v>4.7300000000000004</v>
      </c>
      <c r="J32" s="134">
        <v>0.1</v>
      </c>
      <c r="K32" s="134">
        <v>231.13</v>
      </c>
      <c r="L32" s="134">
        <v>24.59</v>
      </c>
      <c r="M32" s="134">
        <v>98.8</v>
      </c>
      <c r="N32" s="134">
        <v>0</v>
      </c>
      <c r="O32" s="134">
        <v>0</v>
      </c>
      <c r="P32" s="134">
        <v>0.52</v>
      </c>
      <c r="Q32" s="134">
        <v>4.2699999999999996</v>
      </c>
    </row>
    <row r="33" spans="1:17" customFormat="1">
      <c r="A33" s="112" t="s">
        <v>3044</v>
      </c>
      <c r="B33" s="134">
        <v>19.59</v>
      </c>
      <c r="C33" s="134">
        <v>23.38</v>
      </c>
      <c r="D33" s="134">
        <v>29.28</v>
      </c>
      <c r="E33" s="134">
        <v>6.78</v>
      </c>
      <c r="F33" s="134">
        <v>2.86</v>
      </c>
      <c r="G33" s="134">
        <v>12.75</v>
      </c>
      <c r="H33" s="134">
        <v>4.87</v>
      </c>
      <c r="I33" s="134">
        <v>4.54</v>
      </c>
      <c r="J33" s="134">
        <v>0.2</v>
      </c>
      <c r="K33" s="134">
        <v>247.02</v>
      </c>
      <c r="L33" s="134">
        <v>24.54</v>
      </c>
      <c r="M33" s="134">
        <v>98.28</v>
      </c>
      <c r="N33" s="134">
        <v>2.5</v>
      </c>
      <c r="O33" s="134">
        <v>0</v>
      </c>
      <c r="P33" s="134">
        <v>0.52</v>
      </c>
      <c r="Q33" s="134">
        <v>4.3099999999999996</v>
      </c>
    </row>
    <row r="34" spans="1:17" customFormat="1">
      <c r="A34" s="112" t="s">
        <v>3045</v>
      </c>
      <c r="B34" s="134">
        <v>19.86</v>
      </c>
      <c r="C34" s="134">
        <v>21.91</v>
      </c>
      <c r="D34" s="134">
        <v>28.72</v>
      </c>
      <c r="E34" s="134">
        <v>6.34</v>
      </c>
      <c r="F34" s="134">
        <v>3.21</v>
      </c>
      <c r="G34" s="134">
        <v>12.75</v>
      </c>
      <c r="H34" s="134">
        <v>4.87</v>
      </c>
      <c r="I34" s="134">
        <v>4.72</v>
      </c>
      <c r="J34" s="134">
        <v>0.13</v>
      </c>
      <c r="K34" s="134">
        <v>240.41</v>
      </c>
      <c r="L34" s="134">
        <v>24.61</v>
      </c>
      <c r="M34" s="134">
        <v>98.15</v>
      </c>
      <c r="N34" s="134">
        <v>5.8</v>
      </c>
      <c r="O34" s="134">
        <v>0</v>
      </c>
      <c r="P34" s="134">
        <v>0.5</v>
      </c>
      <c r="Q34" s="134">
        <v>4.3499999999999996</v>
      </c>
    </row>
    <row r="35" spans="1:17" customFormat="1">
      <c r="A35" s="112" t="s">
        <v>3046</v>
      </c>
      <c r="B35" s="134">
        <v>19.829999999999998</v>
      </c>
      <c r="C35" s="134">
        <v>23.04</v>
      </c>
      <c r="D35" s="134">
        <v>29.29</v>
      </c>
      <c r="E35" s="134">
        <v>6.89</v>
      </c>
      <c r="F35" s="134">
        <v>2.65</v>
      </c>
      <c r="G35" s="134">
        <v>12.8</v>
      </c>
      <c r="H35" s="134">
        <v>5.16</v>
      </c>
      <c r="I35" s="134">
        <v>4.6900000000000004</v>
      </c>
      <c r="J35" s="134">
        <v>0.15</v>
      </c>
      <c r="K35" s="134">
        <v>257.72000000000003</v>
      </c>
      <c r="L35" s="134">
        <v>24.71</v>
      </c>
      <c r="M35" s="134">
        <v>98.1</v>
      </c>
      <c r="N35" s="134">
        <v>8.1</v>
      </c>
      <c r="O35" s="134">
        <v>0</v>
      </c>
      <c r="P35" s="134">
        <v>0.52</v>
      </c>
      <c r="Q35" s="134">
        <v>4.3</v>
      </c>
    </row>
    <row r="36" spans="1:17" customFormat="1">
      <c r="A36" s="112" t="s">
        <v>3047</v>
      </c>
      <c r="B36" s="134">
        <v>20.02</v>
      </c>
      <c r="C36" s="134">
        <v>22.58</v>
      </c>
      <c r="D36" s="134">
        <v>29.2</v>
      </c>
      <c r="E36" s="134">
        <v>6.48</v>
      </c>
      <c r="F36" s="134">
        <v>2.96</v>
      </c>
      <c r="G36" s="134">
        <v>12.98</v>
      </c>
      <c r="H36" s="134">
        <v>6.48</v>
      </c>
      <c r="I36" s="134">
        <v>4.66</v>
      </c>
      <c r="J36" s="134">
        <v>0.31</v>
      </c>
      <c r="K36" s="134">
        <v>260.24</v>
      </c>
      <c r="L36" s="134">
        <v>24.74</v>
      </c>
      <c r="M36" s="134">
        <v>97.77</v>
      </c>
      <c r="N36" s="134">
        <v>18.600000000000001</v>
      </c>
      <c r="O36" s="134">
        <v>0</v>
      </c>
      <c r="P36" s="134">
        <v>0.52</v>
      </c>
      <c r="Q36" s="134">
        <v>4.3499999999999996</v>
      </c>
    </row>
    <row r="37" spans="1:17" customFormat="1">
      <c r="A37" s="112" t="s">
        <v>3048</v>
      </c>
      <c r="B37" s="134">
        <v>19.989999999999998</v>
      </c>
      <c r="C37" s="134">
        <v>21.79</v>
      </c>
      <c r="D37" s="134">
        <v>28.77</v>
      </c>
      <c r="E37" s="134">
        <v>7.3</v>
      </c>
      <c r="F37" s="134">
        <v>3.15</v>
      </c>
      <c r="G37" s="134">
        <v>12.98</v>
      </c>
      <c r="H37" s="134">
        <v>6.48</v>
      </c>
      <c r="I37" s="134">
        <v>4.7699999999999996</v>
      </c>
      <c r="J37" s="134">
        <v>0.22</v>
      </c>
      <c r="K37" s="134">
        <v>254.34</v>
      </c>
      <c r="L37" s="134">
        <v>24.84</v>
      </c>
      <c r="M37" s="134">
        <v>97.75</v>
      </c>
      <c r="N37" s="134">
        <v>28.8</v>
      </c>
      <c r="O37" s="134">
        <v>0</v>
      </c>
      <c r="P37" s="134">
        <v>0.5</v>
      </c>
      <c r="Q37" s="134">
        <v>4.34</v>
      </c>
    </row>
    <row r="38" spans="1:17" customFormat="1">
      <c r="A38" s="112" t="s">
        <v>3049</v>
      </c>
      <c r="B38" s="134">
        <v>20</v>
      </c>
      <c r="C38" s="134">
        <v>23.47</v>
      </c>
      <c r="D38" s="134">
        <v>29.65</v>
      </c>
      <c r="E38" s="134">
        <v>7.34</v>
      </c>
      <c r="F38" s="134">
        <v>2.5499999999999998</v>
      </c>
      <c r="G38" s="134">
        <v>12.98</v>
      </c>
      <c r="H38" s="134">
        <v>6.48</v>
      </c>
      <c r="I38" s="134">
        <v>4.74</v>
      </c>
      <c r="J38" s="134">
        <v>0.19</v>
      </c>
      <c r="K38" s="134">
        <v>249.42</v>
      </c>
      <c r="L38" s="134">
        <v>24.98</v>
      </c>
      <c r="M38" s="134">
        <v>98.75</v>
      </c>
      <c r="N38" s="134">
        <v>34</v>
      </c>
      <c r="O38" s="134">
        <v>0</v>
      </c>
      <c r="P38" s="134">
        <v>0.53</v>
      </c>
      <c r="Q38" s="134">
        <v>4.3</v>
      </c>
    </row>
    <row r="39" spans="1:17" customFormat="1">
      <c r="A39" s="112" t="s">
        <v>3050</v>
      </c>
      <c r="B39" s="134">
        <v>20.13</v>
      </c>
      <c r="C39" s="134">
        <v>22.69</v>
      </c>
      <c r="D39" s="134">
        <v>29.35</v>
      </c>
      <c r="E39" s="134">
        <v>7.05</v>
      </c>
      <c r="F39" s="134">
        <v>2.89</v>
      </c>
      <c r="G39" s="134">
        <v>13.59</v>
      </c>
      <c r="H39" s="134">
        <v>6.22</v>
      </c>
      <c r="I39" s="134">
        <v>4.78</v>
      </c>
      <c r="J39" s="134">
        <v>0.3</v>
      </c>
      <c r="K39" s="134">
        <v>252.05</v>
      </c>
      <c r="L39" s="134">
        <v>25.08</v>
      </c>
      <c r="M39" s="134">
        <v>97.15</v>
      </c>
      <c r="N39" s="134">
        <v>75.5</v>
      </c>
      <c r="O39" s="134">
        <v>0</v>
      </c>
      <c r="P39" s="134">
        <v>0.54</v>
      </c>
      <c r="Q39" s="134">
        <v>4.34</v>
      </c>
    </row>
    <row r="40" spans="1:17" customFormat="1">
      <c r="A40" s="112" t="s">
        <v>3051</v>
      </c>
      <c r="B40" s="134">
        <v>20.14</v>
      </c>
      <c r="C40" s="134">
        <v>21.51</v>
      </c>
      <c r="D40" s="134">
        <v>28.74</v>
      </c>
      <c r="E40" s="134">
        <v>6.3</v>
      </c>
      <c r="F40" s="134">
        <v>3.29</v>
      </c>
      <c r="G40" s="134">
        <v>15.75</v>
      </c>
      <c r="H40" s="134">
        <v>5.58</v>
      </c>
      <c r="I40" s="134">
        <v>4.9400000000000004</v>
      </c>
      <c r="J40" s="134">
        <v>0.28000000000000003</v>
      </c>
      <c r="K40" s="134">
        <v>265.68</v>
      </c>
      <c r="L40" s="134">
        <v>25.24</v>
      </c>
      <c r="M40" s="134">
        <v>95.55</v>
      </c>
      <c r="N40" s="134">
        <v>88.8</v>
      </c>
      <c r="O40" s="134">
        <v>0</v>
      </c>
      <c r="P40" s="134">
        <v>0.54</v>
      </c>
      <c r="Q40" s="134">
        <v>4.37</v>
      </c>
    </row>
    <row r="41" spans="1:17" customFormat="1">
      <c r="A41" s="112" t="s">
        <v>3052</v>
      </c>
      <c r="B41" s="134">
        <v>20.16</v>
      </c>
      <c r="C41" s="134">
        <v>23.33</v>
      </c>
      <c r="D41" s="134">
        <v>29.71</v>
      </c>
      <c r="E41" s="134">
        <v>6.42</v>
      </c>
      <c r="F41" s="134">
        <v>2.62</v>
      </c>
      <c r="G41" s="134">
        <v>15.75</v>
      </c>
      <c r="H41" s="134">
        <v>5.58</v>
      </c>
      <c r="I41" s="134">
        <v>4.99</v>
      </c>
      <c r="J41" s="134">
        <v>0.35</v>
      </c>
      <c r="K41" s="134">
        <v>265.18</v>
      </c>
      <c r="L41" s="134">
        <v>25.45</v>
      </c>
      <c r="M41" s="134">
        <v>94.56</v>
      </c>
      <c r="N41" s="134">
        <v>124.3</v>
      </c>
      <c r="O41" s="134">
        <v>0</v>
      </c>
      <c r="P41" s="134">
        <v>0.56000000000000005</v>
      </c>
      <c r="Q41" s="134">
        <v>4.34</v>
      </c>
    </row>
    <row r="42" spans="1:17" customFormat="1">
      <c r="A42" s="112" t="s">
        <v>3053</v>
      </c>
      <c r="B42" s="134">
        <v>20.149999999999999</v>
      </c>
      <c r="C42" s="134">
        <v>22.93</v>
      </c>
      <c r="D42" s="134">
        <v>29.49</v>
      </c>
      <c r="E42" s="134">
        <v>6.72</v>
      </c>
      <c r="F42" s="134">
        <v>2.82</v>
      </c>
      <c r="G42" s="134">
        <v>15.75</v>
      </c>
      <c r="H42" s="134">
        <v>5.58</v>
      </c>
      <c r="I42" s="134">
        <v>5.0599999999999996</v>
      </c>
      <c r="J42" s="134">
        <v>0.19</v>
      </c>
      <c r="K42" s="134">
        <v>261.95999999999998</v>
      </c>
      <c r="L42" s="134">
        <v>25.93</v>
      </c>
      <c r="M42" s="134">
        <v>92.99</v>
      </c>
      <c r="N42" s="134">
        <v>156.80000000000001</v>
      </c>
      <c r="O42" s="134">
        <v>0</v>
      </c>
      <c r="P42" s="134">
        <v>0.56000000000000005</v>
      </c>
      <c r="Q42" s="134">
        <v>4.3600000000000003</v>
      </c>
    </row>
    <row r="43" spans="1:17" customFormat="1">
      <c r="A43" s="112" t="s">
        <v>3054</v>
      </c>
      <c r="B43" s="134">
        <v>20.07</v>
      </c>
      <c r="C43" s="134">
        <v>21.89</v>
      </c>
      <c r="D43" s="134">
        <v>28.88</v>
      </c>
      <c r="E43" s="134">
        <v>7.05</v>
      </c>
      <c r="F43" s="134">
        <v>2.96</v>
      </c>
      <c r="G43" s="134">
        <v>17.05</v>
      </c>
      <c r="H43" s="134">
        <v>6.08</v>
      </c>
      <c r="I43" s="134">
        <v>5.17</v>
      </c>
      <c r="J43" s="134">
        <v>0.17</v>
      </c>
      <c r="K43" s="134">
        <v>241.9</v>
      </c>
      <c r="L43" s="134">
        <v>26.27</v>
      </c>
      <c r="M43" s="134">
        <v>90.94</v>
      </c>
      <c r="N43" s="134">
        <v>168</v>
      </c>
      <c r="O43" s="134">
        <v>0</v>
      </c>
      <c r="P43" s="134">
        <v>0.56000000000000005</v>
      </c>
      <c r="Q43" s="134">
        <v>4.32</v>
      </c>
    </row>
    <row r="44" spans="1:17" customFormat="1">
      <c r="A44" s="112" t="s">
        <v>3055</v>
      </c>
      <c r="B44" s="134">
        <v>19.48</v>
      </c>
      <c r="C44" s="134">
        <v>22.31</v>
      </c>
      <c r="D44" s="134">
        <v>28.63</v>
      </c>
      <c r="E44" s="134">
        <v>6.3</v>
      </c>
      <c r="F44" s="134">
        <v>3.18</v>
      </c>
      <c r="G44" s="134">
        <v>21.61</v>
      </c>
      <c r="H44" s="134">
        <v>7.23</v>
      </c>
      <c r="I44" s="134">
        <v>5.18</v>
      </c>
      <c r="J44" s="134">
        <v>0.2</v>
      </c>
      <c r="K44" s="134">
        <v>236.98</v>
      </c>
      <c r="L44" s="134">
        <v>26.84</v>
      </c>
      <c r="M44" s="134">
        <v>89.03</v>
      </c>
      <c r="N44" s="134">
        <v>295.7</v>
      </c>
      <c r="O44" s="134">
        <v>0</v>
      </c>
      <c r="P44" s="134">
        <v>0.57999999999999996</v>
      </c>
      <c r="Q44" s="134">
        <v>4.2699999999999996</v>
      </c>
    </row>
    <row r="45" spans="1:17" customFormat="1">
      <c r="A45" s="112" t="s">
        <v>3056</v>
      </c>
      <c r="B45" s="134">
        <v>18.670000000000002</v>
      </c>
      <c r="C45" s="134">
        <v>23.01</v>
      </c>
      <c r="D45" s="134">
        <v>28.35</v>
      </c>
      <c r="E45" s="134">
        <v>6.15</v>
      </c>
      <c r="F45" s="134">
        <v>3.09</v>
      </c>
      <c r="G45" s="134">
        <v>21.61</v>
      </c>
      <c r="H45" s="134">
        <v>7.23</v>
      </c>
      <c r="I45" s="134">
        <v>5.28</v>
      </c>
      <c r="J45" s="134">
        <v>0.18</v>
      </c>
      <c r="K45" s="134">
        <v>201.81</v>
      </c>
      <c r="L45" s="134">
        <v>27.81</v>
      </c>
      <c r="M45" s="134">
        <v>85.27</v>
      </c>
      <c r="N45" s="134">
        <v>300.89999999999998</v>
      </c>
      <c r="O45" s="134">
        <v>0</v>
      </c>
      <c r="P45" s="134">
        <v>0.6</v>
      </c>
      <c r="Q45" s="134">
        <v>4.22</v>
      </c>
    </row>
    <row r="46" spans="1:17" customFormat="1">
      <c r="A46" s="112" t="s">
        <v>3057</v>
      </c>
      <c r="B46" s="134">
        <v>17.96</v>
      </c>
      <c r="C46" s="134">
        <v>23.37</v>
      </c>
      <c r="D46" s="134">
        <v>27.96</v>
      </c>
      <c r="E46" s="134">
        <v>6.36</v>
      </c>
      <c r="F46" s="134">
        <v>3.05</v>
      </c>
      <c r="G46" s="134">
        <v>21.61</v>
      </c>
      <c r="H46" s="134">
        <v>7.23</v>
      </c>
      <c r="I46" s="134">
        <v>5.34</v>
      </c>
      <c r="J46" s="134">
        <v>0.06</v>
      </c>
      <c r="K46" s="134">
        <v>266.27999999999997</v>
      </c>
      <c r="L46" s="134">
        <v>28.08</v>
      </c>
      <c r="M46" s="134">
        <v>83.59</v>
      </c>
      <c r="N46" s="134">
        <v>308.5</v>
      </c>
      <c r="O46" s="134">
        <v>0</v>
      </c>
      <c r="P46" s="134">
        <v>0.6</v>
      </c>
      <c r="Q46" s="134">
        <v>4.1900000000000004</v>
      </c>
    </row>
    <row r="47" spans="1:17" customFormat="1">
      <c r="A47" s="112" t="s">
        <v>3058</v>
      </c>
      <c r="B47" s="134">
        <v>17.149999999999999</v>
      </c>
      <c r="C47" s="134">
        <v>24.14</v>
      </c>
      <c r="D47" s="134">
        <v>27.71</v>
      </c>
      <c r="E47" s="134">
        <v>6.69</v>
      </c>
      <c r="F47" s="134">
        <v>2.91</v>
      </c>
      <c r="G47" s="134">
        <v>22.69</v>
      </c>
      <c r="H47" s="134">
        <v>8.15</v>
      </c>
      <c r="I47" s="134">
        <v>5.33</v>
      </c>
      <c r="J47" s="134">
        <v>0.16</v>
      </c>
      <c r="K47" s="134">
        <v>244.77</v>
      </c>
      <c r="L47" s="134">
        <v>28.66</v>
      </c>
      <c r="M47" s="134">
        <v>82.04</v>
      </c>
      <c r="N47" s="134">
        <v>349.3</v>
      </c>
      <c r="O47" s="134">
        <v>0</v>
      </c>
      <c r="P47" s="134">
        <v>0.61</v>
      </c>
      <c r="Q47" s="134">
        <v>4.17</v>
      </c>
    </row>
    <row r="48" spans="1:17" customFormat="1">
      <c r="A48" s="112" t="s">
        <v>3059</v>
      </c>
      <c r="B48" s="134">
        <v>16.39</v>
      </c>
      <c r="C48" s="134">
        <v>24.58</v>
      </c>
      <c r="D48" s="134">
        <v>27.34</v>
      </c>
      <c r="E48" s="134">
        <v>6.43</v>
      </c>
      <c r="F48" s="134">
        <v>2.93</v>
      </c>
      <c r="G48" s="134">
        <v>26.22</v>
      </c>
      <c r="H48" s="134">
        <v>10.32</v>
      </c>
      <c r="I48" s="134">
        <v>5.37</v>
      </c>
      <c r="J48" s="134">
        <v>0.31</v>
      </c>
      <c r="K48" s="134">
        <v>150.09</v>
      </c>
      <c r="L48" s="134">
        <v>28.84</v>
      </c>
      <c r="M48" s="134">
        <v>81.08</v>
      </c>
      <c r="N48" s="134">
        <v>251.7</v>
      </c>
      <c r="O48" s="134">
        <v>0</v>
      </c>
      <c r="P48" s="134">
        <v>0.61</v>
      </c>
      <c r="Q48" s="134">
        <v>4.16</v>
      </c>
    </row>
    <row r="49" spans="1:17" customFormat="1">
      <c r="A49" s="112" t="s">
        <v>3060</v>
      </c>
      <c r="B49" s="134">
        <v>15.55</v>
      </c>
      <c r="C49" s="134">
        <v>24.89</v>
      </c>
      <c r="D49" s="134">
        <v>26.83</v>
      </c>
      <c r="E49" s="134">
        <v>6.97</v>
      </c>
      <c r="F49" s="134">
        <v>2.98</v>
      </c>
      <c r="G49" s="134">
        <v>26.22</v>
      </c>
      <c r="H49" s="134">
        <v>10.32</v>
      </c>
      <c r="I49" s="134">
        <v>5.38</v>
      </c>
      <c r="J49" s="134">
        <v>0.17</v>
      </c>
      <c r="K49" s="134">
        <v>214.99</v>
      </c>
      <c r="L49" s="134">
        <v>29.19</v>
      </c>
      <c r="M49" s="134">
        <v>80.8</v>
      </c>
      <c r="N49" s="134">
        <v>398</v>
      </c>
      <c r="O49" s="134">
        <v>0</v>
      </c>
      <c r="P49" s="134">
        <v>0.62</v>
      </c>
      <c r="Q49" s="134">
        <v>4.12</v>
      </c>
    </row>
    <row r="50" spans="1:17" customFormat="1">
      <c r="A50" s="112" t="s">
        <v>3061</v>
      </c>
      <c r="B50" s="134">
        <v>14.74</v>
      </c>
      <c r="C50" s="134">
        <v>25.06</v>
      </c>
      <c r="D50" s="134">
        <v>26.26</v>
      </c>
      <c r="E50" s="134">
        <v>7.96</v>
      </c>
      <c r="F50" s="134">
        <v>2.93</v>
      </c>
      <c r="G50" s="134">
        <v>26.22</v>
      </c>
      <c r="H50" s="134">
        <v>10.32</v>
      </c>
      <c r="I50" s="134">
        <v>5.39</v>
      </c>
      <c r="J50" s="134">
        <v>0.28000000000000003</v>
      </c>
      <c r="K50" s="134">
        <v>259.99</v>
      </c>
      <c r="L50" s="134">
        <v>29.37</v>
      </c>
      <c r="M50" s="134">
        <v>80.36</v>
      </c>
      <c r="N50" s="134">
        <v>435.3</v>
      </c>
      <c r="O50" s="134">
        <v>0</v>
      </c>
      <c r="P50" s="134">
        <v>0.63</v>
      </c>
      <c r="Q50" s="134">
        <v>4.1100000000000003</v>
      </c>
    </row>
    <row r="51" spans="1:17" customFormat="1">
      <c r="A51" s="112" t="s">
        <v>3062</v>
      </c>
      <c r="B51" s="134">
        <v>13.92</v>
      </c>
      <c r="C51" s="134">
        <v>25.17</v>
      </c>
      <c r="D51" s="134">
        <v>25.66</v>
      </c>
      <c r="E51" s="134">
        <v>7.64</v>
      </c>
      <c r="F51" s="134">
        <v>3</v>
      </c>
      <c r="G51" s="134">
        <v>26.09</v>
      </c>
      <c r="H51" s="134">
        <v>10.87</v>
      </c>
      <c r="I51" s="134">
        <v>5.38</v>
      </c>
      <c r="J51" s="134">
        <v>0.17</v>
      </c>
      <c r="K51" s="134">
        <v>230.63</v>
      </c>
      <c r="L51" s="134">
        <v>29.79</v>
      </c>
      <c r="M51" s="134">
        <v>78.790000000000006</v>
      </c>
      <c r="N51" s="134">
        <v>325.8</v>
      </c>
      <c r="O51" s="134">
        <v>0</v>
      </c>
      <c r="P51" s="134">
        <v>0.65</v>
      </c>
      <c r="Q51" s="134">
        <v>4.04</v>
      </c>
    </row>
    <row r="52" spans="1:17" customFormat="1">
      <c r="A52" s="112" t="s">
        <v>3063</v>
      </c>
      <c r="B52" s="134">
        <v>13.12</v>
      </c>
      <c r="C52" s="134">
        <v>25.74</v>
      </c>
      <c r="D52" s="134">
        <v>25.32</v>
      </c>
      <c r="E52" s="134">
        <v>8.2899999999999991</v>
      </c>
      <c r="F52" s="134">
        <v>2.99</v>
      </c>
      <c r="G52" s="134">
        <v>25.63</v>
      </c>
      <c r="H52" s="134">
        <v>12.15</v>
      </c>
      <c r="I52" s="134">
        <v>5.48</v>
      </c>
      <c r="J52" s="134">
        <v>0.17</v>
      </c>
      <c r="K52" s="134">
        <v>262.39999999999998</v>
      </c>
      <c r="L52" s="134">
        <v>29.97</v>
      </c>
      <c r="M52" s="134">
        <v>77.599999999999994</v>
      </c>
      <c r="N52" s="134">
        <v>429.4</v>
      </c>
      <c r="O52" s="134">
        <v>0</v>
      </c>
      <c r="P52" s="134">
        <v>0.66</v>
      </c>
      <c r="Q52" s="134">
        <v>4.0199999999999996</v>
      </c>
    </row>
    <row r="53" spans="1:17" customFormat="1">
      <c r="A53" s="112" t="s">
        <v>3064</v>
      </c>
      <c r="B53" s="134">
        <v>12.34</v>
      </c>
      <c r="C53" s="134">
        <v>25.92</v>
      </c>
      <c r="D53" s="134">
        <v>24.79</v>
      </c>
      <c r="E53" s="134">
        <v>8.02</v>
      </c>
      <c r="F53" s="134">
        <v>3.11</v>
      </c>
      <c r="G53" s="134">
        <v>25.63</v>
      </c>
      <c r="H53" s="134">
        <v>12.15</v>
      </c>
      <c r="I53" s="134">
        <v>5.61</v>
      </c>
      <c r="J53" s="134">
        <v>0.24</v>
      </c>
      <c r="K53" s="134">
        <v>319.88</v>
      </c>
      <c r="L53" s="134">
        <v>30.22</v>
      </c>
      <c r="M53" s="134">
        <v>75.510000000000005</v>
      </c>
      <c r="N53" s="134">
        <v>498.9</v>
      </c>
      <c r="O53" s="134">
        <v>0</v>
      </c>
      <c r="P53" s="134">
        <v>0.68</v>
      </c>
      <c r="Q53" s="134">
        <v>4</v>
      </c>
    </row>
    <row r="54" spans="1:17" customFormat="1">
      <c r="A54" s="112" t="s">
        <v>3065</v>
      </c>
      <c r="B54" s="134">
        <v>11.72</v>
      </c>
      <c r="C54" s="134">
        <v>26.32</v>
      </c>
      <c r="D54" s="134">
        <v>24.5</v>
      </c>
      <c r="E54" s="134">
        <v>8.66</v>
      </c>
      <c r="F54" s="134">
        <v>3.41</v>
      </c>
      <c r="G54" s="134">
        <v>25.63</v>
      </c>
      <c r="H54" s="134">
        <v>12.15</v>
      </c>
      <c r="I54" s="134">
        <v>5.74</v>
      </c>
      <c r="J54" s="134">
        <v>0.28999999999999998</v>
      </c>
      <c r="K54" s="134">
        <v>341.48</v>
      </c>
      <c r="L54" s="134">
        <v>30.49</v>
      </c>
      <c r="M54" s="134">
        <v>74.92</v>
      </c>
      <c r="N54" s="134">
        <v>364.3</v>
      </c>
      <c r="O54" s="134">
        <v>0</v>
      </c>
      <c r="P54" s="134">
        <v>0.72</v>
      </c>
      <c r="Q54" s="134">
        <v>3.97</v>
      </c>
    </row>
    <row r="55" spans="1:17" customFormat="1">
      <c r="A55" s="112" t="s">
        <v>3066</v>
      </c>
      <c r="B55" s="134">
        <v>10.66</v>
      </c>
      <c r="C55" s="134">
        <v>26.23</v>
      </c>
      <c r="D55" s="134">
        <v>23.6</v>
      </c>
      <c r="E55" s="134">
        <v>8.82</v>
      </c>
      <c r="F55" s="134">
        <v>4.45</v>
      </c>
      <c r="G55" s="134">
        <v>28.21</v>
      </c>
      <c r="H55" s="134">
        <v>13.33</v>
      </c>
      <c r="I55" s="134">
        <v>5.91</v>
      </c>
      <c r="J55" s="134">
        <v>0.18</v>
      </c>
      <c r="K55" s="134">
        <v>6.98</v>
      </c>
      <c r="L55" s="134">
        <v>30.33</v>
      </c>
      <c r="M55" s="134">
        <v>74.95</v>
      </c>
      <c r="N55" s="134">
        <v>335.1</v>
      </c>
      <c r="O55" s="134">
        <v>0</v>
      </c>
      <c r="P55" s="134">
        <v>0.77</v>
      </c>
      <c r="Q55" s="134">
        <v>3.92</v>
      </c>
    </row>
    <row r="56" spans="1:17" customFormat="1">
      <c r="A56" s="112" t="s">
        <v>3067</v>
      </c>
      <c r="B56" s="134">
        <v>9.6199999999999992</v>
      </c>
      <c r="C56" s="134">
        <v>24.82</v>
      </c>
      <c r="D56" s="134">
        <v>22.03</v>
      </c>
      <c r="E56" s="134">
        <v>8.2200000000000006</v>
      </c>
      <c r="F56" s="134">
        <v>3.96</v>
      </c>
      <c r="G56" s="134">
        <v>37.26</v>
      </c>
      <c r="H56" s="134">
        <v>16.260000000000002</v>
      </c>
      <c r="I56" s="134">
        <v>6.1</v>
      </c>
      <c r="J56" s="134">
        <v>0.13</v>
      </c>
      <c r="K56" s="134">
        <v>299.08</v>
      </c>
      <c r="L56" s="134">
        <v>30.74</v>
      </c>
      <c r="M56" s="134">
        <v>72.52</v>
      </c>
      <c r="N56" s="134">
        <v>536.5</v>
      </c>
      <c r="O56" s="134">
        <v>0</v>
      </c>
      <c r="P56" s="134">
        <v>0.79</v>
      </c>
      <c r="Q56" s="134">
        <v>3.86</v>
      </c>
    </row>
    <row r="57" spans="1:17" customFormat="1">
      <c r="A57" s="112" t="s">
        <v>3068</v>
      </c>
      <c r="B57" s="134">
        <v>8.6300000000000008</v>
      </c>
      <c r="C57" s="134">
        <v>25.36</v>
      </c>
      <c r="D57" s="134">
        <v>21.52</v>
      </c>
      <c r="E57" s="134">
        <v>8.11</v>
      </c>
      <c r="F57" s="134">
        <v>3.39</v>
      </c>
      <c r="G57" s="134">
        <v>37.26</v>
      </c>
      <c r="H57" s="134">
        <v>16.260000000000002</v>
      </c>
      <c r="I57" s="134">
        <v>6.53</v>
      </c>
      <c r="J57" s="134">
        <v>0.18</v>
      </c>
      <c r="K57" s="134">
        <v>289.37</v>
      </c>
      <c r="L57" s="134">
        <v>31.11</v>
      </c>
      <c r="M57" s="134">
        <v>72.98</v>
      </c>
      <c r="N57" s="134">
        <v>445.7</v>
      </c>
      <c r="O57" s="134">
        <v>0</v>
      </c>
      <c r="P57" s="134">
        <v>0.8</v>
      </c>
      <c r="Q57" s="134">
        <v>3.83</v>
      </c>
    </row>
    <row r="58" spans="1:17" customFormat="1">
      <c r="A58" s="112" t="s">
        <v>3069</v>
      </c>
      <c r="B58" s="134">
        <v>7.64</v>
      </c>
      <c r="C58" s="134">
        <v>24.29</v>
      </c>
      <c r="D58" s="134">
        <v>20.170000000000002</v>
      </c>
      <c r="E58" s="134">
        <v>7.82</v>
      </c>
      <c r="F58" s="134">
        <v>3.76</v>
      </c>
      <c r="G58" s="134">
        <v>37.26</v>
      </c>
      <c r="H58" s="134">
        <v>16.260000000000002</v>
      </c>
      <c r="I58" s="134">
        <v>6.65</v>
      </c>
      <c r="J58" s="134">
        <v>0.4</v>
      </c>
      <c r="K58" s="134">
        <v>190.05</v>
      </c>
      <c r="L58" s="134">
        <v>31.51</v>
      </c>
      <c r="M58" s="134">
        <v>71.12</v>
      </c>
      <c r="N58" s="134">
        <v>568.9</v>
      </c>
      <c r="O58" s="134">
        <v>0</v>
      </c>
      <c r="P58" s="134">
        <v>0.82</v>
      </c>
      <c r="Q58" s="134">
        <v>3.81</v>
      </c>
    </row>
    <row r="59" spans="1:17" customFormat="1">
      <c r="A59" s="112" t="s">
        <v>3070</v>
      </c>
      <c r="B59" s="134">
        <v>6.71</v>
      </c>
      <c r="C59" s="134">
        <v>25.14</v>
      </c>
      <c r="D59" s="134">
        <v>19.87</v>
      </c>
      <c r="E59" s="134">
        <v>8.2899999999999991</v>
      </c>
      <c r="F59" s="134">
        <v>6.6</v>
      </c>
      <c r="G59" s="134">
        <v>41.07</v>
      </c>
      <c r="H59" s="134">
        <v>17.04</v>
      </c>
      <c r="I59" s="134">
        <v>6.83</v>
      </c>
      <c r="J59" s="134">
        <v>0.28999999999999998</v>
      </c>
      <c r="K59" s="134">
        <v>210.16</v>
      </c>
      <c r="L59" s="134">
        <v>31.6</v>
      </c>
      <c r="M59" s="134">
        <v>70.400000000000006</v>
      </c>
      <c r="N59" s="134">
        <v>306</v>
      </c>
      <c r="O59" s="134">
        <v>0</v>
      </c>
      <c r="P59" s="134">
        <v>0.84</v>
      </c>
      <c r="Q59" s="134">
        <v>3.74</v>
      </c>
    </row>
    <row r="60" spans="1:17" customFormat="1">
      <c r="A60" s="112" t="s">
        <v>3071</v>
      </c>
      <c r="B60" s="134">
        <v>5.74</v>
      </c>
      <c r="C60" s="134">
        <v>24.31</v>
      </c>
      <c r="D60" s="134">
        <v>18.66</v>
      </c>
      <c r="E60" s="134">
        <v>8.86</v>
      </c>
      <c r="F60" s="134">
        <v>6.41</v>
      </c>
      <c r="G60" s="134">
        <v>53.58</v>
      </c>
      <c r="H60" s="134">
        <v>20.71</v>
      </c>
      <c r="I60" s="134">
        <v>6.99</v>
      </c>
      <c r="J60" s="134">
        <v>0.04</v>
      </c>
      <c r="K60" s="134">
        <v>251.42</v>
      </c>
      <c r="L60" s="134">
        <v>30.89</v>
      </c>
      <c r="M60" s="134">
        <v>74.7</v>
      </c>
      <c r="N60" s="134">
        <v>296</v>
      </c>
      <c r="O60" s="134">
        <v>0</v>
      </c>
      <c r="P60" s="134">
        <v>0.84</v>
      </c>
      <c r="Q60" s="134">
        <v>3.75</v>
      </c>
    </row>
    <row r="61" spans="1:17" customFormat="1">
      <c r="A61" s="112" t="s">
        <v>3072</v>
      </c>
      <c r="B61" s="134">
        <v>5.2</v>
      </c>
      <c r="C61" s="134">
        <v>25.18</v>
      </c>
      <c r="D61" s="134">
        <v>18.68</v>
      </c>
      <c r="E61" s="134">
        <v>8.57</v>
      </c>
      <c r="F61" s="134">
        <v>4.2699999999999996</v>
      </c>
      <c r="G61" s="134">
        <v>53.58</v>
      </c>
      <c r="H61" s="134">
        <v>20.71</v>
      </c>
      <c r="I61" s="134">
        <v>7.14</v>
      </c>
      <c r="J61" s="134">
        <v>0.12</v>
      </c>
      <c r="K61" s="134">
        <v>201.02</v>
      </c>
      <c r="L61" s="134">
        <v>31.49</v>
      </c>
      <c r="M61" s="134">
        <v>72.58</v>
      </c>
      <c r="N61" s="134">
        <v>385.9</v>
      </c>
      <c r="O61" s="134">
        <v>0</v>
      </c>
      <c r="P61" s="134">
        <v>0.86</v>
      </c>
      <c r="Q61" s="134">
        <v>3.72</v>
      </c>
    </row>
    <row r="62" spans="1:17" customFormat="1">
      <c r="A62" s="112" t="s">
        <v>3073</v>
      </c>
      <c r="B62" s="134">
        <v>4.71</v>
      </c>
      <c r="C62" s="134">
        <v>23.61</v>
      </c>
      <c r="D62" s="134">
        <v>17.46</v>
      </c>
      <c r="E62" s="134">
        <v>8.18</v>
      </c>
      <c r="F62" s="134">
        <v>5.0999999999999996</v>
      </c>
      <c r="G62" s="134">
        <v>53.58</v>
      </c>
      <c r="H62" s="134">
        <v>20.71</v>
      </c>
      <c r="I62" s="134">
        <v>7.22</v>
      </c>
      <c r="J62" s="134">
        <v>0.2</v>
      </c>
      <c r="K62" s="134">
        <v>200.26</v>
      </c>
      <c r="L62" s="134">
        <v>32.08</v>
      </c>
      <c r="M62" s="134">
        <v>71.53</v>
      </c>
      <c r="N62" s="134">
        <v>481.8</v>
      </c>
      <c r="O62" s="134">
        <v>0</v>
      </c>
      <c r="P62" s="134">
        <v>0.86</v>
      </c>
      <c r="Q62" s="134">
        <v>3.69</v>
      </c>
    </row>
    <row r="63" spans="1:17" customFormat="1">
      <c r="A63" s="112" t="s">
        <v>3074</v>
      </c>
      <c r="B63" s="134">
        <v>4.28</v>
      </c>
      <c r="C63" s="134">
        <v>24.69</v>
      </c>
      <c r="D63" s="134">
        <v>17.68</v>
      </c>
      <c r="E63" s="134">
        <v>8.35</v>
      </c>
      <c r="F63" s="134">
        <v>5.52</v>
      </c>
      <c r="G63" s="134">
        <v>55.12</v>
      </c>
      <c r="H63" s="134">
        <v>20.420000000000002</v>
      </c>
      <c r="I63" s="134">
        <v>7.37</v>
      </c>
      <c r="J63" s="134">
        <v>0.25</v>
      </c>
      <c r="K63" s="134">
        <v>217.98</v>
      </c>
      <c r="L63" s="134">
        <v>31.68</v>
      </c>
      <c r="M63" s="134">
        <v>72.91</v>
      </c>
      <c r="N63" s="134">
        <v>243.6</v>
      </c>
      <c r="O63" s="134">
        <v>0</v>
      </c>
      <c r="P63" s="134">
        <v>0.9</v>
      </c>
      <c r="Q63" s="134">
        <v>3.62</v>
      </c>
    </row>
    <row r="64" spans="1:17" customFormat="1">
      <c r="A64" s="112" t="s">
        <v>3075</v>
      </c>
      <c r="B64" s="134">
        <v>4.04</v>
      </c>
      <c r="C64" s="134">
        <v>26.21</v>
      </c>
      <c r="D64" s="134">
        <v>18.29</v>
      </c>
      <c r="E64" s="134">
        <v>9.14</v>
      </c>
      <c r="F64" s="134">
        <v>8.86</v>
      </c>
      <c r="G64" s="134">
        <v>59.83</v>
      </c>
      <c r="H64" s="134">
        <v>19.760000000000002</v>
      </c>
      <c r="I64" s="134">
        <v>7.49</v>
      </c>
      <c r="J64" s="134">
        <v>0.16</v>
      </c>
      <c r="K64" s="134">
        <v>279.44</v>
      </c>
      <c r="L64" s="134">
        <v>31.02</v>
      </c>
      <c r="M64" s="134">
        <v>74.31</v>
      </c>
      <c r="N64" s="134">
        <v>241.7</v>
      </c>
      <c r="O64" s="134">
        <v>0</v>
      </c>
      <c r="P64" s="134">
        <v>0.9</v>
      </c>
      <c r="Q64" s="134">
        <v>3.63</v>
      </c>
    </row>
    <row r="65" spans="1:17" customFormat="1">
      <c r="A65" s="112" t="s">
        <v>3076</v>
      </c>
      <c r="B65" s="134">
        <v>4</v>
      </c>
      <c r="C65" s="134">
        <v>25.34</v>
      </c>
      <c r="D65" s="134">
        <v>17.8</v>
      </c>
      <c r="E65" s="134">
        <v>9.2799999999999994</v>
      </c>
      <c r="F65" s="134">
        <v>10.63</v>
      </c>
      <c r="G65" s="134">
        <v>59.83</v>
      </c>
      <c r="H65" s="134">
        <v>19.760000000000002</v>
      </c>
      <c r="I65" s="134">
        <v>7.6</v>
      </c>
      <c r="J65" s="134">
        <v>0.34</v>
      </c>
      <c r="K65" s="134">
        <v>281.23</v>
      </c>
      <c r="L65" s="134">
        <v>31.08</v>
      </c>
      <c r="M65" s="134">
        <v>73.260000000000005</v>
      </c>
      <c r="N65" s="134">
        <v>259</v>
      </c>
      <c r="O65" s="134">
        <v>0</v>
      </c>
      <c r="P65" s="134">
        <v>0.87</v>
      </c>
      <c r="Q65" s="134">
        <v>3.64</v>
      </c>
    </row>
    <row r="66" spans="1:17" customFormat="1">
      <c r="A66" s="112" t="s">
        <v>3077</v>
      </c>
      <c r="B66" s="134">
        <v>4.1100000000000003</v>
      </c>
      <c r="C66" s="134">
        <v>24.15</v>
      </c>
      <c r="D66" s="134">
        <v>17.260000000000002</v>
      </c>
      <c r="E66" s="134">
        <v>9.5</v>
      </c>
      <c r="F66" s="134">
        <v>11.83</v>
      </c>
      <c r="G66" s="134">
        <v>59.83</v>
      </c>
      <c r="H66" s="134">
        <v>19.760000000000002</v>
      </c>
      <c r="I66" s="134">
        <v>7.48</v>
      </c>
      <c r="J66" s="134">
        <v>0.3</v>
      </c>
      <c r="K66" s="134">
        <v>247.35</v>
      </c>
      <c r="L66" s="134">
        <v>31.08</v>
      </c>
      <c r="M66" s="134">
        <v>73.790000000000006</v>
      </c>
      <c r="N66" s="134">
        <v>209.7</v>
      </c>
      <c r="O66" s="134">
        <v>0</v>
      </c>
      <c r="P66" s="134">
        <v>0.86</v>
      </c>
      <c r="Q66" s="134">
        <v>3.6</v>
      </c>
    </row>
    <row r="67" spans="1:17" customFormat="1">
      <c r="A67" s="112" t="s">
        <v>3078</v>
      </c>
      <c r="B67" s="134">
        <v>3.65</v>
      </c>
      <c r="C67" s="134">
        <v>22.93</v>
      </c>
      <c r="D67" s="134">
        <v>16.25</v>
      </c>
      <c r="E67" s="134">
        <v>9.42</v>
      </c>
      <c r="F67" s="134">
        <v>25.37</v>
      </c>
      <c r="G67" s="134">
        <v>58.82</v>
      </c>
      <c r="H67" s="134">
        <v>20.76</v>
      </c>
      <c r="I67" s="134">
        <v>7.25</v>
      </c>
      <c r="J67" s="134">
        <v>0.47</v>
      </c>
      <c r="K67" s="134">
        <v>273.41000000000003</v>
      </c>
      <c r="L67" s="134">
        <v>31</v>
      </c>
      <c r="M67" s="134">
        <v>73.180000000000007</v>
      </c>
      <c r="N67" s="134">
        <v>174.1</v>
      </c>
      <c r="O67" s="134">
        <v>0</v>
      </c>
      <c r="P67" s="134">
        <v>0.83</v>
      </c>
      <c r="Q67" s="134">
        <v>3.52</v>
      </c>
    </row>
    <row r="68" spans="1:17" customFormat="1">
      <c r="A68" s="112" t="s">
        <v>3079</v>
      </c>
      <c r="B68" s="134">
        <v>2.0699999999999998</v>
      </c>
      <c r="C68" s="134">
        <v>21.64</v>
      </c>
      <c r="D68" s="134">
        <v>14.31</v>
      </c>
      <c r="E68" s="134">
        <v>9.75</v>
      </c>
      <c r="F68" s="134">
        <v>17.96</v>
      </c>
      <c r="G68" s="134">
        <v>55.51</v>
      </c>
      <c r="H68" s="134">
        <v>23.24</v>
      </c>
      <c r="I68" s="134">
        <v>7.04</v>
      </c>
      <c r="J68" s="134">
        <v>0.26</v>
      </c>
      <c r="K68" s="134">
        <v>258.04000000000002</v>
      </c>
      <c r="L68" s="134">
        <v>30.43</v>
      </c>
      <c r="M68" s="134">
        <v>76.75</v>
      </c>
      <c r="N68" s="134">
        <v>90.7</v>
      </c>
      <c r="O68" s="134">
        <v>0</v>
      </c>
      <c r="P68" s="134">
        <v>0.79</v>
      </c>
      <c r="Q68" s="134">
        <v>3.38</v>
      </c>
    </row>
    <row r="69" spans="1:17" customFormat="1">
      <c r="A69" s="112" t="s">
        <v>3080</v>
      </c>
      <c r="B69" s="134">
        <v>2</v>
      </c>
      <c r="C69" s="134">
        <v>20.81</v>
      </c>
      <c r="D69" s="134">
        <v>13.83</v>
      </c>
      <c r="E69" s="134">
        <v>8.91</v>
      </c>
      <c r="F69" s="134">
        <v>14.71</v>
      </c>
      <c r="G69" s="134">
        <v>55.51</v>
      </c>
      <c r="H69" s="134">
        <v>23.24</v>
      </c>
      <c r="I69" s="134">
        <v>6.5</v>
      </c>
      <c r="J69" s="134">
        <v>0.55000000000000004</v>
      </c>
      <c r="K69" s="134">
        <v>261.83</v>
      </c>
      <c r="L69" s="134">
        <v>30.34</v>
      </c>
      <c r="M69" s="134">
        <v>78.66</v>
      </c>
      <c r="N69" s="134">
        <v>117.7</v>
      </c>
      <c r="O69" s="134">
        <v>0</v>
      </c>
      <c r="P69" s="134">
        <v>0.77</v>
      </c>
      <c r="Q69" s="134">
        <v>3.31</v>
      </c>
    </row>
    <row r="70" spans="1:17" customFormat="1">
      <c r="A70" s="112" t="s">
        <v>3081</v>
      </c>
      <c r="B70" s="134">
        <v>2</v>
      </c>
      <c r="C70" s="134">
        <v>20.55</v>
      </c>
      <c r="D70" s="134">
        <v>13.69</v>
      </c>
      <c r="E70" s="134">
        <v>8.52</v>
      </c>
      <c r="F70" s="134">
        <v>12.53</v>
      </c>
      <c r="G70" s="134">
        <v>55.51</v>
      </c>
      <c r="H70" s="134">
        <v>23.24</v>
      </c>
      <c r="I70" s="134">
        <v>6.3</v>
      </c>
      <c r="J70" s="134">
        <v>0.51</v>
      </c>
      <c r="K70" s="134">
        <v>267.92</v>
      </c>
      <c r="L70" s="134">
        <v>30.09</v>
      </c>
      <c r="M70" s="134">
        <v>79.64</v>
      </c>
      <c r="N70" s="134">
        <v>150.19999999999999</v>
      </c>
      <c r="O70" s="134">
        <v>0</v>
      </c>
      <c r="P70" s="134">
        <v>0.75</v>
      </c>
      <c r="Q70" s="134">
        <v>3.29</v>
      </c>
    </row>
    <row r="71" spans="1:17" customFormat="1">
      <c r="A71" s="112" t="s">
        <v>3082</v>
      </c>
      <c r="B71" s="134">
        <v>2</v>
      </c>
      <c r="C71" s="134">
        <v>20.72</v>
      </c>
      <c r="D71" s="134">
        <v>13.78</v>
      </c>
      <c r="E71" s="134">
        <v>9.24</v>
      </c>
      <c r="F71" s="134">
        <v>13.49</v>
      </c>
      <c r="G71" s="134">
        <v>54.21</v>
      </c>
      <c r="H71" s="134">
        <v>23.15</v>
      </c>
      <c r="I71" s="134">
        <v>6.1</v>
      </c>
      <c r="J71" s="134">
        <v>0.8</v>
      </c>
      <c r="K71" s="134">
        <v>269.32</v>
      </c>
      <c r="L71" s="134">
        <v>30.21</v>
      </c>
      <c r="M71" s="134">
        <v>76.39</v>
      </c>
      <c r="N71" s="134">
        <v>161.30000000000001</v>
      </c>
      <c r="O71" s="134">
        <v>0</v>
      </c>
      <c r="P71" s="134">
        <v>0.75</v>
      </c>
      <c r="Q71" s="134">
        <v>3.29</v>
      </c>
    </row>
    <row r="72" spans="1:17" customFormat="1">
      <c r="A72" s="112" t="s">
        <v>3083</v>
      </c>
      <c r="B72" s="134">
        <v>2.13</v>
      </c>
      <c r="C72" s="134">
        <v>21.25</v>
      </c>
      <c r="D72" s="134">
        <v>14.16</v>
      </c>
      <c r="E72" s="134">
        <v>8.91</v>
      </c>
      <c r="F72" s="134">
        <v>12.11</v>
      </c>
      <c r="G72" s="134">
        <v>49.94</v>
      </c>
      <c r="H72" s="134">
        <v>22.95</v>
      </c>
      <c r="I72" s="134">
        <v>6.05</v>
      </c>
      <c r="J72" s="134">
        <v>0.73</v>
      </c>
      <c r="K72" s="134">
        <v>269.89999999999998</v>
      </c>
      <c r="L72" s="134">
        <v>29.99</v>
      </c>
      <c r="M72" s="134">
        <v>74.95</v>
      </c>
      <c r="N72" s="134">
        <v>117.2</v>
      </c>
      <c r="O72" s="134">
        <v>0</v>
      </c>
      <c r="P72" s="134">
        <v>0.75</v>
      </c>
      <c r="Q72" s="134">
        <v>3.29</v>
      </c>
    </row>
    <row r="73" spans="1:17" customFormat="1">
      <c r="A73" s="112" t="s">
        <v>3084</v>
      </c>
      <c r="B73" s="134">
        <v>2.39</v>
      </c>
      <c r="C73" s="134">
        <v>21.1</v>
      </c>
      <c r="D73" s="134">
        <v>14.29</v>
      </c>
      <c r="E73" s="134">
        <v>8.73</v>
      </c>
      <c r="F73" s="134">
        <v>12.35</v>
      </c>
      <c r="G73" s="134">
        <v>49.94</v>
      </c>
      <c r="H73" s="134">
        <v>22.95</v>
      </c>
      <c r="I73" s="134">
        <v>6.08</v>
      </c>
      <c r="J73" s="134">
        <v>0.72</v>
      </c>
      <c r="K73" s="134">
        <v>271.58999999999997</v>
      </c>
      <c r="L73" s="134">
        <v>29.96</v>
      </c>
      <c r="M73" s="134">
        <v>76.489999999999995</v>
      </c>
      <c r="N73" s="134">
        <v>98.3</v>
      </c>
      <c r="O73" s="134">
        <v>0</v>
      </c>
      <c r="P73" s="134">
        <v>0.73</v>
      </c>
      <c r="Q73" s="134">
        <v>3.33</v>
      </c>
    </row>
    <row r="74" spans="1:17" customFormat="1">
      <c r="A74" s="112" t="s">
        <v>3085</v>
      </c>
      <c r="B74" s="134">
        <v>2.61</v>
      </c>
      <c r="C74" s="134">
        <v>21.11</v>
      </c>
      <c r="D74" s="134">
        <v>14.47</v>
      </c>
      <c r="E74" s="134">
        <v>8.9499999999999993</v>
      </c>
      <c r="F74" s="134">
        <v>10.87</v>
      </c>
      <c r="G74" s="134">
        <v>49.94</v>
      </c>
      <c r="H74" s="134">
        <v>22.95</v>
      </c>
      <c r="I74" s="134">
        <v>6.14</v>
      </c>
      <c r="J74" s="134">
        <v>0.82</v>
      </c>
      <c r="K74" s="134">
        <v>265.05</v>
      </c>
      <c r="L74" s="134">
        <v>29.84</v>
      </c>
      <c r="M74" s="134">
        <v>76.39</v>
      </c>
      <c r="N74" s="134">
        <v>69.5</v>
      </c>
      <c r="O74" s="134">
        <v>0</v>
      </c>
      <c r="P74" s="134">
        <v>0.74</v>
      </c>
      <c r="Q74" s="134">
        <v>3.33</v>
      </c>
    </row>
    <row r="75" spans="1:17" customFormat="1">
      <c r="A75" s="112" t="s">
        <v>3086</v>
      </c>
      <c r="B75" s="134">
        <v>2.81</v>
      </c>
      <c r="C75" s="134">
        <v>20.89</v>
      </c>
      <c r="D75" s="134">
        <v>14.52</v>
      </c>
      <c r="E75" s="134">
        <v>10.33</v>
      </c>
      <c r="F75" s="134">
        <v>11.87</v>
      </c>
      <c r="G75" s="134">
        <v>48.67</v>
      </c>
      <c r="H75" s="134">
        <v>22.32</v>
      </c>
      <c r="I75" s="134">
        <v>6.03</v>
      </c>
      <c r="J75" s="134">
        <v>0.84</v>
      </c>
      <c r="K75" s="134">
        <v>264</v>
      </c>
      <c r="L75" s="134">
        <v>29.55</v>
      </c>
      <c r="M75" s="134">
        <v>76.16</v>
      </c>
      <c r="N75" s="134">
        <v>46.6</v>
      </c>
      <c r="O75" s="134">
        <v>0</v>
      </c>
      <c r="P75" s="134">
        <v>0.74</v>
      </c>
      <c r="Q75" s="134">
        <v>3.32</v>
      </c>
    </row>
    <row r="76" spans="1:17" customFormat="1">
      <c r="A76" s="112" t="s">
        <v>3087</v>
      </c>
      <c r="B76" s="134">
        <v>2.95</v>
      </c>
      <c r="C76" s="134">
        <v>20.66</v>
      </c>
      <c r="D76" s="134">
        <v>14.51</v>
      </c>
      <c r="E76" s="134">
        <v>10.83</v>
      </c>
      <c r="F76" s="134">
        <v>11.03</v>
      </c>
      <c r="G76" s="134">
        <v>44.22</v>
      </c>
      <c r="H76" s="134">
        <v>20.82</v>
      </c>
      <c r="I76" s="134">
        <v>6.09</v>
      </c>
      <c r="J76" s="134">
        <v>0.6</v>
      </c>
      <c r="K76" s="134">
        <v>263.01</v>
      </c>
      <c r="L76" s="134">
        <v>29.1</v>
      </c>
      <c r="M76" s="134">
        <v>79.38</v>
      </c>
      <c r="N76" s="134">
        <v>14.2</v>
      </c>
      <c r="O76" s="134">
        <v>0</v>
      </c>
      <c r="P76" s="134">
        <v>0.7</v>
      </c>
      <c r="Q76" s="134">
        <v>3.34</v>
      </c>
    </row>
    <row r="77" spans="1:17" customFormat="1">
      <c r="A77" s="112" t="s">
        <v>3088</v>
      </c>
      <c r="B77" s="134">
        <v>3.15</v>
      </c>
      <c r="C77" s="134">
        <v>19.54</v>
      </c>
      <c r="D77" s="134">
        <v>14.09</v>
      </c>
      <c r="E77" s="134">
        <v>8.1300000000000008</v>
      </c>
      <c r="F77" s="134">
        <v>11.27</v>
      </c>
      <c r="G77" s="134">
        <v>44.22</v>
      </c>
      <c r="H77" s="134">
        <v>20.82</v>
      </c>
      <c r="I77" s="134">
        <v>5.9</v>
      </c>
      <c r="J77" s="134">
        <v>0.62</v>
      </c>
      <c r="K77" s="134">
        <v>266.19</v>
      </c>
      <c r="L77" s="134">
        <v>28.78</v>
      </c>
      <c r="M77" s="134">
        <v>82.49</v>
      </c>
      <c r="N77" s="134">
        <v>7.6</v>
      </c>
      <c r="O77" s="134">
        <v>0</v>
      </c>
      <c r="P77" s="134">
        <v>0.66</v>
      </c>
      <c r="Q77" s="134">
        <v>3.39</v>
      </c>
    </row>
    <row r="78" spans="1:17" customFormat="1">
      <c r="A78" s="112" t="s">
        <v>3089</v>
      </c>
      <c r="B78" s="134">
        <v>3.51</v>
      </c>
      <c r="C78" s="134">
        <v>19.38</v>
      </c>
      <c r="D78" s="134">
        <v>14.3</v>
      </c>
      <c r="E78" s="134">
        <v>7.38</v>
      </c>
      <c r="F78" s="134">
        <v>9.32</v>
      </c>
      <c r="G78" s="134">
        <v>44.22</v>
      </c>
      <c r="H78" s="134">
        <v>20.82</v>
      </c>
      <c r="I78" s="134">
        <v>5.68</v>
      </c>
      <c r="J78" s="134">
        <v>0.63</v>
      </c>
      <c r="K78" s="134">
        <v>260.8</v>
      </c>
      <c r="L78" s="134">
        <v>28.54</v>
      </c>
      <c r="M78" s="134">
        <v>83.46</v>
      </c>
      <c r="N78" s="134">
        <v>1.7</v>
      </c>
      <c r="O78" s="134">
        <v>0</v>
      </c>
      <c r="P78" s="134">
        <v>0.67</v>
      </c>
      <c r="Q78" s="134">
        <v>3.43</v>
      </c>
    </row>
    <row r="79" spans="1:17" customFormat="1">
      <c r="A79" s="112" t="s">
        <v>3090</v>
      </c>
      <c r="B79" s="134">
        <v>3.76</v>
      </c>
      <c r="C79" s="134">
        <v>18.96</v>
      </c>
      <c r="D79" s="134">
        <v>14.27</v>
      </c>
      <c r="E79" s="134">
        <v>7.53</v>
      </c>
      <c r="F79" s="134">
        <v>9.9</v>
      </c>
      <c r="G79" s="134">
        <v>43.98</v>
      </c>
      <c r="H79" s="134">
        <v>20.72</v>
      </c>
      <c r="I79" s="134">
        <v>5.35</v>
      </c>
      <c r="J79" s="134">
        <v>0.62</v>
      </c>
      <c r="K79" s="134">
        <v>268.81</v>
      </c>
      <c r="L79" s="134">
        <v>28.3</v>
      </c>
      <c r="M79" s="134">
        <v>83.23</v>
      </c>
      <c r="N79" s="134">
        <v>0</v>
      </c>
      <c r="O79" s="134">
        <v>0</v>
      </c>
      <c r="P79" s="134">
        <v>0.66</v>
      </c>
      <c r="Q79" s="134">
        <v>3.5</v>
      </c>
    </row>
    <row r="80" spans="1:17" customFormat="1">
      <c r="A80" s="112" t="s">
        <v>3091</v>
      </c>
      <c r="B80" s="134">
        <v>4.38</v>
      </c>
      <c r="C80" s="134">
        <v>21.56</v>
      </c>
      <c r="D80" s="134">
        <v>16.13</v>
      </c>
      <c r="E80" s="134">
        <v>7.72</v>
      </c>
      <c r="F80" s="134">
        <v>6.28</v>
      </c>
      <c r="G80" s="134">
        <v>43.2</v>
      </c>
      <c r="H80" s="134">
        <v>20.51</v>
      </c>
      <c r="I80" s="134">
        <v>5.49</v>
      </c>
      <c r="J80" s="134">
        <v>0.43</v>
      </c>
      <c r="K80" s="134">
        <v>284.05</v>
      </c>
      <c r="L80" s="134">
        <v>28.12</v>
      </c>
      <c r="M80" s="134">
        <v>83.2</v>
      </c>
      <c r="N80" s="134">
        <v>0</v>
      </c>
      <c r="O80" s="134">
        <v>0</v>
      </c>
      <c r="P80" s="134">
        <v>0.7</v>
      </c>
      <c r="Q80" s="134">
        <v>3.53</v>
      </c>
    </row>
    <row r="81" spans="1:17" customFormat="1">
      <c r="A81" s="112" t="s">
        <v>3092</v>
      </c>
      <c r="B81" s="134">
        <v>5.17</v>
      </c>
      <c r="C81" s="134">
        <v>22.43</v>
      </c>
      <c r="D81" s="134">
        <v>17.22</v>
      </c>
      <c r="E81" s="134">
        <v>6.19</v>
      </c>
      <c r="F81" s="134">
        <v>6.08</v>
      </c>
      <c r="G81" s="134">
        <v>43.2</v>
      </c>
      <c r="H81" s="134">
        <v>20.51</v>
      </c>
      <c r="I81" s="134">
        <v>5.4</v>
      </c>
      <c r="J81" s="134">
        <v>0.49</v>
      </c>
      <c r="K81" s="134">
        <v>294.91000000000003</v>
      </c>
      <c r="L81" s="134">
        <v>27.7</v>
      </c>
      <c r="M81" s="134">
        <v>83.89</v>
      </c>
      <c r="N81" s="134">
        <v>0</v>
      </c>
      <c r="O81" s="134">
        <v>0</v>
      </c>
      <c r="P81" s="134">
        <v>0.71</v>
      </c>
      <c r="Q81" s="134">
        <v>3.6</v>
      </c>
    </row>
    <row r="82" spans="1:17" customFormat="1">
      <c r="A82" s="112" t="s">
        <v>3093</v>
      </c>
      <c r="B82" s="134">
        <v>5.76</v>
      </c>
      <c r="C82" s="134">
        <v>22.19</v>
      </c>
      <c r="D82" s="134">
        <v>17.57</v>
      </c>
      <c r="E82" s="134">
        <v>6.4</v>
      </c>
      <c r="F82" s="134">
        <v>5.52</v>
      </c>
      <c r="G82" s="134">
        <v>43.2</v>
      </c>
      <c r="H82" s="134">
        <v>20.51</v>
      </c>
      <c r="I82" s="134">
        <v>5.61</v>
      </c>
      <c r="J82" s="134">
        <v>0.45</v>
      </c>
      <c r="K82" s="134">
        <v>278.94</v>
      </c>
      <c r="L82" s="134">
        <v>27.29</v>
      </c>
      <c r="M82" s="134">
        <v>83.94</v>
      </c>
      <c r="N82" s="134">
        <v>0</v>
      </c>
      <c r="O82" s="134">
        <v>0</v>
      </c>
      <c r="P82" s="134">
        <v>0.7</v>
      </c>
      <c r="Q82" s="134">
        <v>3.65</v>
      </c>
    </row>
    <row r="83" spans="1:17" customFormat="1">
      <c r="A83" s="112" t="s">
        <v>3094</v>
      </c>
      <c r="B83" s="134">
        <v>6.14</v>
      </c>
      <c r="C83" s="134">
        <v>25.52</v>
      </c>
      <c r="D83" s="134">
        <v>19.61</v>
      </c>
      <c r="E83" s="134">
        <v>6.54</v>
      </c>
      <c r="F83" s="134">
        <v>4.7</v>
      </c>
      <c r="G83" s="134">
        <v>41.27</v>
      </c>
      <c r="H83" s="134">
        <v>19.97</v>
      </c>
      <c r="I83" s="134">
        <v>5.7</v>
      </c>
      <c r="J83" s="134">
        <v>0.41</v>
      </c>
      <c r="K83" s="134">
        <v>277.97000000000003</v>
      </c>
      <c r="L83" s="134">
        <v>27.1</v>
      </c>
      <c r="M83" s="134">
        <v>83.39</v>
      </c>
      <c r="N83" s="134">
        <v>0</v>
      </c>
      <c r="O83" s="134">
        <v>0</v>
      </c>
      <c r="P83" s="134">
        <v>0.71</v>
      </c>
      <c r="Q83" s="134">
        <v>3.71</v>
      </c>
    </row>
    <row r="84" spans="1:17" customFormat="1">
      <c r="A84" s="112" t="s">
        <v>3095</v>
      </c>
      <c r="B84" s="134">
        <v>6.68</v>
      </c>
      <c r="C84" s="134">
        <v>27.61</v>
      </c>
      <c r="D84" s="134">
        <v>21.13</v>
      </c>
      <c r="E84" s="134">
        <v>6.9</v>
      </c>
      <c r="F84" s="134">
        <v>4.8099999999999996</v>
      </c>
      <c r="G84" s="134">
        <v>34.5</v>
      </c>
      <c r="H84" s="134">
        <v>17.43</v>
      </c>
      <c r="I84" s="134">
        <v>5.68</v>
      </c>
      <c r="J84" s="134">
        <v>0.14000000000000001</v>
      </c>
      <c r="K84" s="134">
        <v>353.11</v>
      </c>
      <c r="L84" s="134">
        <v>27.08</v>
      </c>
      <c r="M84" s="134">
        <v>83.17</v>
      </c>
      <c r="N84" s="134">
        <v>0</v>
      </c>
      <c r="O84" s="134">
        <v>0</v>
      </c>
      <c r="P84" s="134">
        <v>0.74</v>
      </c>
      <c r="Q84" s="134">
        <v>3.8</v>
      </c>
    </row>
    <row r="85" spans="1:17" customFormat="1">
      <c r="A85" s="112" t="s">
        <v>3096</v>
      </c>
      <c r="B85" s="134">
        <v>7.97</v>
      </c>
      <c r="C85" s="134">
        <v>28.65</v>
      </c>
      <c r="D85" s="134">
        <v>22.71</v>
      </c>
      <c r="E85" s="134">
        <v>7.03</v>
      </c>
      <c r="F85" s="134">
        <v>3.52</v>
      </c>
      <c r="G85" s="134">
        <v>34.5</v>
      </c>
      <c r="H85" s="134">
        <v>17.43</v>
      </c>
      <c r="I85" s="134">
        <v>5.74</v>
      </c>
      <c r="J85" s="134">
        <v>0.32</v>
      </c>
      <c r="K85" s="134">
        <v>265.14999999999998</v>
      </c>
      <c r="L85" s="134">
        <v>27.04</v>
      </c>
      <c r="M85" s="134">
        <v>82.93</v>
      </c>
      <c r="N85" s="134">
        <v>0</v>
      </c>
      <c r="O85" s="134">
        <v>0</v>
      </c>
      <c r="P85" s="134">
        <v>0.75</v>
      </c>
      <c r="Q85" s="134">
        <v>3.89</v>
      </c>
    </row>
    <row r="86" spans="1:17" customFormat="1">
      <c r="A86" s="112" t="s">
        <v>3097</v>
      </c>
      <c r="B86" s="134">
        <v>8.26</v>
      </c>
      <c r="C86" s="134">
        <v>28.53</v>
      </c>
      <c r="D86" s="134">
        <v>22.88</v>
      </c>
      <c r="E86" s="134">
        <v>6.92</v>
      </c>
      <c r="F86" s="134">
        <v>3.53</v>
      </c>
      <c r="G86" s="134">
        <v>34.5</v>
      </c>
      <c r="H86" s="134">
        <v>17.43</v>
      </c>
      <c r="I86" s="134">
        <v>5.72</v>
      </c>
      <c r="J86" s="134">
        <v>0.25</v>
      </c>
      <c r="K86" s="134">
        <v>246.63</v>
      </c>
      <c r="L86" s="134">
        <v>27.04</v>
      </c>
      <c r="M86" s="134">
        <v>81.569999999999993</v>
      </c>
      <c r="N86" s="134">
        <v>0</v>
      </c>
      <c r="O86" s="134">
        <v>0</v>
      </c>
      <c r="P86" s="134">
        <v>0.75</v>
      </c>
      <c r="Q86" s="134">
        <v>3.96</v>
      </c>
    </row>
    <row r="87" spans="1:17" customFormat="1">
      <c r="A87" s="112" t="s">
        <v>3098</v>
      </c>
      <c r="B87" s="134">
        <v>8.41</v>
      </c>
      <c r="C87" s="134">
        <v>28.29</v>
      </c>
      <c r="D87" s="134">
        <v>22.87</v>
      </c>
      <c r="E87" s="134">
        <v>6.92</v>
      </c>
      <c r="F87" s="134">
        <v>3.93</v>
      </c>
      <c r="G87" s="134">
        <v>35.49</v>
      </c>
      <c r="H87" s="134">
        <v>16.12</v>
      </c>
      <c r="I87" s="134">
        <v>5.77</v>
      </c>
      <c r="J87" s="134">
        <v>0.3</v>
      </c>
      <c r="K87" s="134">
        <v>258.83999999999997</v>
      </c>
      <c r="L87" s="134">
        <v>26.81</v>
      </c>
      <c r="M87" s="134">
        <v>82.93</v>
      </c>
      <c r="N87" s="134">
        <v>0</v>
      </c>
      <c r="O87" s="134">
        <v>0</v>
      </c>
      <c r="P87" s="134">
        <v>0.76</v>
      </c>
      <c r="Q87" s="134">
        <v>4.04</v>
      </c>
    </row>
    <row r="88" spans="1:17" customFormat="1">
      <c r="A88" s="112" t="s">
        <v>3099</v>
      </c>
      <c r="B88" s="134">
        <v>8.6999999999999993</v>
      </c>
      <c r="C88" s="134">
        <v>28.28</v>
      </c>
      <c r="D88" s="134">
        <v>23.1</v>
      </c>
      <c r="E88" s="134">
        <v>7.01</v>
      </c>
      <c r="F88" s="134">
        <v>3.37</v>
      </c>
      <c r="G88" s="134">
        <v>38.729999999999997</v>
      </c>
      <c r="H88" s="134">
        <v>13.04</v>
      </c>
      <c r="I88" s="134">
        <v>5.78</v>
      </c>
      <c r="J88" s="134">
        <v>0.13</v>
      </c>
      <c r="K88" s="134">
        <v>216.69</v>
      </c>
      <c r="L88" s="134">
        <v>26.66</v>
      </c>
      <c r="M88" s="134">
        <v>85.52</v>
      </c>
      <c r="N88" s="134">
        <v>0</v>
      </c>
      <c r="O88" s="134">
        <v>0</v>
      </c>
      <c r="P88" s="134">
        <v>0.75</v>
      </c>
      <c r="Q88" s="134">
        <v>4.08</v>
      </c>
    </row>
    <row r="89" spans="1:17" customFormat="1">
      <c r="A89" s="112" t="s">
        <v>3100</v>
      </c>
      <c r="B89" s="134">
        <v>8.9600000000000009</v>
      </c>
      <c r="C89" s="134">
        <v>28.41</v>
      </c>
      <c r="D89" s="134">
        <v>23.38</v>
      </c>
      <c r="E89" s="134">
        <v>7.41</v>
      </c>
      <c r="F89" s="134">
        <v>2.95</v>
      </c>
      <c r="G89" s="134">
        <v>38.729999999999997</v>
      </c>
      <c r="H89" s="134">
        <v>13.04</v>
      </c>
      <c r="I89" s="134">
        <v>5.7</v>
      </c>
      <c r="J89" s="134">
        <v>0.16</v>
      </c>
      <c r="K89" s="134">
        <v>236.21</v>
      </c>
      <c r="L89" s="134">
        <v>26.54</v>
      </c>
      <c r="M89" s="134">
        <v>86.95</v>
      </c>
      <c r="N89" s="134">
        <v>0</v>
      </c>
      <c r="O89" s="134">
        <v>0</v>
      </c>
      <c r="P89" s="134">
        <v>0.75</v>
      </c>
      <c r="Q89" s="134">
        <v>4.1100000000000003</v>
      </c>
    </row>
    <row r="90" spans="1:17" customFormat="1">
      <c r="A90" s="112" t="s">
        <v>3101</v>
      </c>
      <c r="B90" s="134">
        <v>9.4</v>
      </c>
      <c r="C90" s="134">
        <v>28.06</v>
      </c>
      <c r="D90" s="134">
        <v>23.55</v>
      </c>
      <c r="E90" s="134">
        <v>7.25</v>
      </c>
      <c r="F90" s="134">
        <v>2.95</v>
      </c>
      <c r="G90" s="134">
        <v>38.729999999999997</v>
      </c>
      <c r="H90" s="134">
        <v>13.04</v>
      </c>
      <c r="I90" s="134">
        <v>5.75</v>
      </c>
      <c r="J90" s="134">
        <v>0.33</v>
      </c>
      <c r="K90" s="134">
        <v>263.17</v>
      </c>
      <c r="L90" s="134">
        <v>26.39</v>
      </c>
      <c r="M90" s="134">
        <v>89.15</v>
      </c>
      <c r="N90" s="134">
        <v>0</v>
      </c>
      <c r="O90" s="134">
        <v>0</v>
      </c>
      <c r="P90" s="134">
        <v>0.77</v>
      </c>
      <c r="Q90" s="134">
        <v>4.12</v>
      </c>
    </row>
    <row r="91" spans="1:17" customFormat="1">
      <c r="A91" s="112" t="s">
        <v>3102</v>
      </c>
      <c r="B91" s="134">
        <v>9.61</v>
      </c>
      <c r="C91" s="134">
        <v>27.91</v>
      </c>
      <c r="D91" s="134">
        <v>23.64</v>
      </c>
      <c r="E91" s="134">
        <v>7.42</v>
      </c>
      <c r="F91" s="134">
        <v>2.91</v>
      </c>
      <c r="G91" s="134">
        <v>37.659999999999997</v>
      </c>
      <c r="H91" s="134">
        <v>13.06</v>
      </c>
      <c r="I91" s="134">
        <v>5.86</v>
      </c>
      <c r="J91" s="134">
        <v>0.12</v>
      </c>
      <c r="K91" s="134">
        <v>194.24</v>
      </c>
      <c r="L91" s="134">
        <v>26.44</v>
      </c>
      <c r="M91" s="134">
        <v>90.21</v>
      </c>
      <c r="N91" s="134">
        <v>0</v>
      </c>
      <c r="O91" s="134">
        <v>0</v>
      </c>
      <c r="P91" s="134">
        <v>0.79</v>
      </c>
      <c r="Q91" s="134">
        <v>4.12</v>
      </c>
    </row>
    <row r="92" spans="1:17" customFormat="1">
      <c r="A92" s="112" t="s">
        <v>3103</v>
      </c>
      <c r="B92" s="134">
        <v>9.83</v>
      </c>
      <c r="C92" s="134">
        <v>27.76</v>
      </c>
      <c r="D92" s="134">
        <v>23.74</v>
      </c>
      <c r="E92" s="134">
        <v>7.55</v>
      </c>
      <c r="F92" s="134">
        <v>3.1</v>
      </c>
      <c r="G92" s="134">
        <v>34.14</v>
      </c>
      <c r="H92" s="134">
        <v>13.11</v>
      </c>
      <c r="I92" s="134">
        <v>6.18</v>
      </c>
      <c r="J92" s="134">
        <v>0.21</v>
      </c>
      <c r="K92" s="134">
        <v>253.02</v>
      </c>
      <c r="L92" s="134">
        <v>26.18</v>
      </c>
      <c r="M92" s="134">
        <v>91.05</v>
      </c>
      <c r="N92" s="134">
        <v>0</v>
      </c>
      <c r="O92" s="134">
        <v>0</v>
      </c>
      <c r="P92" s="134">
        <v>0.81</v>
      </c>
      <c r="Q92" s="134">
        <v>4.1500000000000004</v>
      </c>
    </row>
    <row r="93" spans="1:17" customFormat="1">
      <c r="A93" s="112" t="s">
        <v>3104</v>
      </c>
      <c r="B93" s="134">
        <v>10.08</v>
      </c>
      <c r="C93" s="134">
        <v>27.63</v>
      </c>
      <c r="D93" s="134">
        <v>23.87</v>
      </c>
      <c r="E93" s="134">
        <v>7.25</v>
      </c>
      <c r="F93" s="134">
        <v>2.87</v>
      </c>
      <c r="G93" s="134">
        <v>34.14</v>
      </c>
      <c r="H93" s="134">
        <v>13.11</v>
      </c>
      <c r="I93" s="134">
        <v>6.38</v>
      </c>
      <c r="J93" s="134">
        <v>0.1</v>
      </c>
      <c r="K93" s="134">
        <v>206.64</v>
      </c>
      <c r="L93" s="134">
        <v>26.17</v>
      </c>
      <c r="M93" s="134">
        <v>91.5</v>
      </c>
      <c r="N93" s="134">
        <v>0</v>
      </c>
      <c r="O93" s="134">
        <v>0</v>
      </c>
      <c r="P93" s="134">
        <v>0.82</v>
      </c>
      <c r="Q93" s="134">
        <v>4.16</v>
      </c>
    </row>
    <row r="94" spans="1:17" customFormat="1">
      <c r="A94" s="112" t="s">
        <v>3105</v>
      </c>
      <c r="B94" s="134">
        <v>10.27</v>
      </c>
      <c r="C94" s="134">
        <v>27.49</v>
      </c>
      <c r="D94" s="134">
        <v>23.95</v>
      </c>
      <c r="E94" s="134">
        <v>7.59</v>
      </c>
      <c r="F94" s="134">
        <v>2.76</v>
      </c>
      <c r="G94" s="134">
        <v>34.14</v>
      </c>
      <c r="H94" s="134">
        <v>13.11</v>
      </c>
      <c r="I94" s="134">
        <v>6.61</v>
      </c>
      <c r="J94" s="134">
        <v>0.24</v>
      </c>
      <c r="K94" s="134">
        <v>271.32</v>
      </c>
      <c r="L94" s="134">
        <v>26.12</v>
      </c>
      <c r="M94" s="134">
        <v>91.24</v>
      </c>
      <c r="N94" s="134">
        <v>0</v>
      </c>
      <c r="O94" s="134">
        <v>0</v>
      </c>
      <c r="P94" s="134">
        <v>0.82</v>
      </c>
      <c r="Q94" s="134">
        <v>4.1399999999999997</v>
      </c>
    </row>
    <row r="95" spans="1:17" customFormat="1">
      <c r="A95" s="112" t="s">
        <v>3106</v>
      </c>
      <c r="B95" s="134">
        <v>10.32</v>
      </c>
      <c r="C95" s="134">
        <v>27.39</v>
      </c>
      <c r="D95" s="134">
        <v>23.94</v>
      </c>
      <c r="E95" s="134">
        <v>7.71</v>
      </c>
      <c r="F95" s="134">
        <v>2.95</v>
      </c>
      <c r="G95" s="134">
        <v>34.799999999999997</v>
      </c>
      <c r="H95" s="134">
        <v>13.8</v>
      </c>
      <c r="I95" s="134">
        <v>6.77</v>
      </c>
      <c r="J95" s="134">
        <v>0.17</v>
      </c>
      <c r="K95" s="134">
        <v>222.14</v>
      </c>
      <c r="L95" s="134">
        <v>26.2</v>
      </c>
      <c r="M95" s="134">
        <v>91.7</v>
      </c>
      <c r="N95" s="134">
        <v>0</v>
      </c>
      <c r="O95" s="134">
        <v>0</v>
      </c>
      <c r="P95" s="134">
        <v>0.82</v>
      </c>
      <c r="Q95" s="134">
        <v>4.12</v>
      </c>
    </row>
    <row r="96" spans="1:17" customFormat="1">
      <c r="A96" s="112" t="s">
        <v>3107</v>
      </c>
      <c r="B96" s="134">
        <v>10.5</v>
      </c>
      <c r="C96" s="134">
        <v>27.23</v>
      </c>
      <c r="D96" s="134">
        <v>24</v>
      </c>
      <c r="E96" s="134">
        <v>7.85</v>
      </c>
      <c r="F96" s="134">
        <v>2.81</v>
      </c>
      <c r="G96" s="134">
        <v>37.119999999999997</v>
      </c>
      <c r="H96" s="134">
        <v>15.51</v>
      </c>
      <c r="I96" s="134">
        <v>6.85</v>
      </c>
      <c r="J96" s="134">
        <v>0.23</v>
      </c>
      <c r="K96" s="134">
        <v>258.70999999999998</v>
      </c>
      <c r="L96" s="134">
        <v>26.05</v>
      </c>
      <c r="M96" s="134">
        <v>93.03</v>
      </c>
      <c r="N96" s="134">
        <v>0</v>
      </c>
      <c r="O96" s="134">
        <v>0</v>
      </c>
      <c r="P96" s="134">
        <v>0.8</v>
      </c>
      <c r="Q96" s="134">
        <v>4.12</v>
      </c>
    </row>
    <row r="97" spans="1:22" customFormat="1">
      <c r="A97" s="112" t="s">
        <v>3108</v>
      </c>
      <c r="B97" s="134">
        <v>10.68</v>
      </c>
      <c r="C97" s="134">
        <v>27.18</v>
      </c>
      <c r="D97" s="134">
        <v>24.11</v>
      </c>
      <c r="E97" s="134">
        <v>7.79</v>
      </c>
      <c r="F97" s="134">
        <v>2.57</v>
      </c>
      <c r="G97" s="134">
        <v>37.119999999999997</v>
      </c>
      <c r="H97" s="134">
        <v>15.51</v>
      </c>
      <c r="I97" s="134">
        <v>6.77</v>
      </c>
      <c r="J97" s="134">
        <v>0.4</v>
      </c>
      <c r="K97" s="134">
        <v>258.39</v>
      </c>
      <c r="L97" s="134">
        <v>26.14</v>
      </c>
      <c r="M97" s="134">
        <v>92.8</v>
      </c>
      <c r="N97" s="134">
        <v>0</v>
      </c>
      <c r="O97" s="134">
        <v>0</v>
      </c>
      <c r="P97" s="134">
        <v>0.81</v>
      </c>
      <c r="Q97" s="134">
        <v>4.09</v>
      </c>
    </row>
    <row r="98" spans="1:22" customFormat="1">
      <c r="A98" s="112" t="s">
        <v>3109</v>
      </c>
      <c r="B98" s="134">
        <v>10.77</v>
      </c>
      <c r="C98" s="134">
        <v>27.15</v>
      </c>
      <c r="D98" s="134">
        <v>24.18</v>
      </c>
      <c r="E98" s="134">
        <v>7.55</v>
      </c>
      <c r="F98" s="134">
        <v>2.71</v>
      </c>
      <c r="G98" s="134">
        <v>37.119999999999997</v>
      </c>
      <c r="H98" s="134">
        <v>15.51</v>
      </c>
      <c r="I98" s="134">
        <v>6.71</v>
      </c>
      <c r="J98" s="134">
        <v>0.33</v>
      </c>
      <c r="K98" s="134">
        <v>264.88</v>
      </c>
      <c r="L98" s="134">
        <v>26.19</v>
      </c>
      <c r="M98" s="134">
        <v>91.39</v>
      </c>
      <c r="N98" s="134">
        <v>0</v>
      </c>
      <c r="O98" s="134">
        <v>0</v>
      </c>
      <c r="P98" s="134">
        <v>0.82</v>
      </c>
      <c r="Q98" s="134">
        <v>4.07</v>
      </c>
    </row>
    <row r="99" spans="1:22" customFormat="1">
      <c r="A99" s="112" t="s">
        <v>3110</v>
      </c>
      <c r="B99" s="134">
        <v>11.01</v>
      </c>
      <c r="C99" s="134">
        <v>27.31</v>
      </c>
      <c r="D99" s="134">
        <v>24.45</v>
      </c>
      <c r="E99" s="134">
        <v>7.66</v>
      </c>
      <c r="F99" s="134">
        <v>2.61</v>
      </c>
      <c r="G99" s="134">
        <v>36.28</v>
      </c>
      <c r="H99" s="134">
        <v>15.14</v>
      </c>
      <c r="I99" s="134">
        <v>6.7</v>
      </c>
      <c r="J99" s="134">
        <v>0.16</v>
      </c>
      <c r="K99" s="134">
        <v>275.79000000000002</v>
      </c>
      <c r="L99" s="134">
        <v>26.17</v>
      </c>
      <c r="M99" s="134">
        <v>91.29</v>
      </c>
      <c r="N99" s="134">
        <v>0</v>
      </c>
      <c r="O99" s="134">
        <v>0</v>
      </c>
      <c r="P99" s="134">
        <v>0.83</v>
      </c>
      <c r="Q99" s="134">
        <v>4.03</v>
      </c>
    </row>
    <row r="100" spans="1:22" customFormat="1">
      <c r="A100" s="112" t="s">
        <v>3111</v>
      </c>
      <c r="B100" s="134">
        <v>11.58</v>
      </c>
      <c r="C100" s="134">
        <v>27.89</v>
      </c>
      <c r="D100" s="134">
        <v>25.21</v>
      </c>
      <c r="E100" s="134">
        <v>8.43</v>
      </c>
      <c r="F100" s="134">
        <v>2.5099999999999998</v>
      </c>
      <c r="G100" s="134">
        <v>33.54</v>
      </c>
      <c r="H100" s="134">
        <v>14.26</v>
      </c>
      <c r="I100" s="134">
        <v>6.8</v>
      </c>
      <c r="J100" s="134">
        <v>0.27</v>
      </c>
      <c r="K100" s="134">
        <v>251.68</v>
      </c>
      <c r="L100" s="134">
        <v>26.29</v>
      </c>
      <c r="M100" s="134">
        <v>90.39</v>
      </c>
      <c r="N100" s="134">
        <v>0</v>
      </c>
      <c r="O100" s="134">
        <v>0</v>
      </c>
      <c r="P100" s="134">
        <v>0.85</v>
      </c>
      <c r="Q100" s="134">
        <v>4.05</v>
      </c>
    </row>
    <row r="101" spans="1:22" customFormat="1">
      <c r="A101" s="112" t="s">
        <v>3112</v>
      </c>
      <c r="B101" s="134">
        <v>11.94</v>
      </c>
      <c r="C101" s="134">
        <v>28.22</v>
      </c>
      <c r="D101" s="134">
        <v>25.67</v>
      </c>
      <c r="E101" s="134">
        <v>8.07</v>
      </c>
      <c r="F101" s="134">
        <v>2.39</v>
      </c>
      <c r="G101" s="134">
        <v>33.54</v>
      </c>
      <c r="H101" s="134">
        <v>14.26</v>
      </c>
      <c r="I101" s="134">
        <v>6.9</v>
      </c>
      <c r="J101" s="134">
        <v>0.22</v>
      </c>
      <c r="K101" s="134">
        <v>253.75</v>
      </c>
      <c r="L101" s="134">
        <v>26.1</v>
      </c>
      <c r="M101" s="134">
        <v>91.69</v>
      </c>
      <c r="N101" s="134">
        <v>0</v>
      </c>
      <c r="O101" s="134">
        <v>0</v>
      </c>
      <c r="P101" s="134">
        <v>0.85</v>
      </c>
      <c r="Q101" s="134">
        <v>4.0599999999999996</v>
      </c>
    </row>
    <row r="102" spans="1:22" customFormat="1">
      <c r="A102" s="112" t="s">
        <v>3113</v>
      </c>
      <c r="B102" s="134">
        <v>12.2</v>
      </c>
      <c r="C102" s="134">
        <v>27.97</v>
      </c>
      <c r="D102" s="134">
        <v>25.75</v>
      </c>
      <c r="E102" s="134">
        <v>8.39</v>
      </c>
      <c r="F102" s="134">
        <v>2.4700000000000002</v>
      </c>
      <c r="G102" s="134">
        <v>33.54</v>
      </c>
      <c r="H102" s="134">
        <v>14.26</v>
      </c>
      <c r="I102" s="134">
        <v>7.05</v>
      </c>
      <c r="J102" s="134">
        <v>0.2</v>
      </c>
      <c r="K102" s="134">
        <v>245.82</v>
      </c>
      <c r="L102" s="134">
        <v>26.07</v>
      </c>
      <c r="M102" s="134">
        <v>92.91</v>
      </c>
      <c r="N102" s="134">
        <v>0</v>
      </c>
      <c r="O102" s="134">
        <v>0</v>
      </c>
      <c r="P102" s="134">
        <v>0.86</v>
      </c>
      <c r="Q102" s="134">
        <v>4.05</v>
      </c>
    </row>
    <row r="103" spans="1:22" customFormat="1">
      <c r="A103" s="112" t="s">
        <v>3114</v>
      </c>
      <c r="B103" s="134">
        <v>12.37</v>
      </c>
      <c r="C103" s="134">
        <v>28.18</v>
      </c>
      <c r="D103" s="134">
        <v>26</v>
      </c>
      <c r="E103" s="134">
        <v>8.14</v>
      </c>
      <c r="F103" s="134">
        <v>2.54</v>
      </c>
      <c r="G103" s="134">
        <v>33.659999999999997</v>
      </c>
      <c r="H103" s="134">
        <v>14.65</v>
      </c>
      <c r="I103" s="134">
        <v>7.18</v>
      </c>
      <c r="J103" s="134">
        <v>0.14000000000000001</v>
      </c>
      <c r="K103" s="134">
        <v>240.43</v>
      </c>
      <c r="L103" s="134">
        <v>25.92</v>
      </c>
      <c r="M103" s="134">
        <v>94.14</v>
      </c>
      <c r="N103" s="134">
        <v>0</v>
      </c>
      <c r="O103" s="134">
        <v>0</v>
      </c>
      <c r="P103" s="134">
        <v>0.86</v>
      </c>
      <c r="Q103" s="134">
        <v>4.03</v>
      </c>
    </row>
    <row r="104" spans="1:22" customFormat="1">
      <c r="A104" s="112" t="s">
        <v>3115</v>
      </c>
      <c r="B104" s="134">
        <v>12.92</v>
      </c>
      <c r="C104" s="134">
        <v>27.37</v>
      </c>
      <c r="D104" s="134">
        <v>26.02</v>
      </c>
      <c r="E104" s="134">
        <v>8.2200000000000006</v>
      </c>
      <c r="F104" s="134">
        <v>2.82</v>
      </c>
      <c r="G104" s="134">
        <v>34.049999999999997</v>
      </c>
      <c r="H104" s="134">
        <v>15.56</v>
      </c>
      <c r="I104" s="134">
        <v>7.25</v>
      </c>
      <c r="J104" s="134">
        <v>0.31</v>
      </c>
      <c r="K104" s="134">
        <v>254.07</v>
      </c>
      <c r="L104" s="134">
        <v>25.84</v>
      </c>
      <c r="M104" s="134">
        <v>95.07</v>
      </c>
      <c r="N104" s="134">
        <v>0</v>
      </c>
      <c r="O104" s="134">
        <v>0</v>
      </c>
      <c r="P104" s="134">
        <v>0.85</v>
      </c>
      <c r="Q104" s="134">
        <v>4.05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</v>
      </c>
      <c r="C106" s="183">
        <f>MIN(C9:C104)</f>
        <v>18.96</v>
      </c>
      <c r="D106" s="183">
        <f t="shared" ref="D106:Q106" si="0">MIN(D9:D104)</f>
        <v>13.69</v>
      </c>
      <c r="E106" s="183">
        <f t="shared" si="0"/>
        <v>6.15</v>
      </c>
      <c r="F106" s="183">
        <f t="shared" si="0"/>
        <v>2.36</v>
      </c>
      <c r="G106" s="183">
        <f t="shared" si="0"/>
        <v>12.75</v>
      </c>
      <c r="H106" s="183">
        <f t="shared" si="0"/>
        <v>4.87</v>
      </c>
      <c r="I106" s="183">
        <f t="shared" si="0"/>
        <v>4.54</v>
      </c>
      <c r="J106" s="183">
        <f t="shared" si="0"/>
        <v>0.02</v>
      </c>
      <c r="K106" s="183">
        <f t="shared" si="0"/>
        <v>6.98</v>
      </c>
      <c r="L106" s="183">
        <f t="shared" si="0"/>
        <v>24.29</v>
      </c>
      <c r="M106" s="183">
        <f t="shared" si="0"/>
        <v>70.400000000000006</v>
      </c>
      <c r="N106" s="183">
        <f t="shared" si="0"/>
        <v>0</v>
      </c>
      <c r="O106" s="183">
        <f t="shared" si="0"/>
        <v>0</v>
      </c>
      <c r="P106" s="183">
        <f t="shared" si="0"/>
        <v>0.5</v>
      </c>
      <c r="Q106" s="183">
        <f t="shared" si="0"/>
        <v>3.29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20.16</v>
      </c>
      <c r="C107" s="184">
        <f t="shared" ref="C107:Q107" si="1">MAX(C9:C104)</f>
        <v>28.65</v>
      </c>
      <c r="D107" s="184">
        <f t="shared" si="1"/>
        <v>30.5</v>
      </c>
      <c r="E107" s="184">
        <f t="shared" si="1"/>
        <v>10.83</v>
      </c>
      <c r="F107" s="184">
        <f t="shared" si="1"/>
        <v>25.37</v>
      </c>
      <c r="G107" s="184">
        <f t="shared" si="1"/>
        <v>59.83</v>
      </c>
      <c r="H107" s="184">
        <f t="shared" si="1"/>
        <v>23.24</v>
      </c>
      <c r="I107" s="184">
        <f t="shared" si="1"/>
        <v>7.6</v>
      </c>
      <c r="J107" s="184">
        <f t="shared" si="1"/>
        <v>0.84</v>
      </c>
      <c r="K107" s="184">
        <f t="shared" si="1"/>
        <v>353.11</v>
      </c>
      <c r="L107" s="184">
        <f t="shared" si="1"/>
        <v>32.08</v>
      </c>
      <c r="M107" s="184">
        <f t="shared" si="1"/>
        <v>101.15</v>
      </c>
      <c r="N107" s="184">
        <f t="shared" si="1"/>
        <v>568.9</v>
      </c>
      <c r="O107" s="184">
        <f t="shared" si="1"/>
        <v>0</v>
      </c>
      <c r="P107" s="184">
        <f t="shared" si="1"/>
        <v>0.9</v>
      </c>
      <c r="Q107" s="184">
        <f t="shared" si="1"/>
        <v>4.3899999999999997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12.16927083333333</v>
      </c>
      <c r="C108" s="183">
        <f t="shared" ref="C108:Q108" si="2">AVERAGE(C9:C104)</f>
        <v>25.009583333333325</v>
      </c>
      <c r="D108" s="183">
        <f t="shared" si="2"/>
        <v>24.176770833333332</v>
      </c>
      <c r="E108" s="183">
        <f t="shared" si="2"/>
        <v>7.6209374999999993</v>
      </c>
      <c r="F108" s="183">
        <f t="shared" si="2"/>
        <v>4.8255208333333313</v>
      </c>
      <c r="G108" s="183">
        <f t="shared" si="2"/>
        <v>31.73343749999999</v>
      </c>
      <c r="H108" s="183">
        <f t="shared" si="2"/>
        <v>13.135937499999997</v>
      </c>
      <c r="I108" s="183">
        <f t="shared" si="2"/>
        <v>5.752395833333332</v>
      </c>
      <c r="J108" s="183">
        <f t="shared" si="2"/>
        <v>0.25708333333333327</v>
      </c>
      <c r="K108" s="183">
        <f t="shared" si="2"/>
        <v>235.93218749999997</v>
      </c>
      <c r="L108" s="183">
        <f t="shared" si="2"/>
        <v>27.203124999999989</v>
      </c>
      <c r="M108" s="183">
        <f t="shared" si="2"/>
        <v>87.794791666666683</v>
      </c>
      <c r="N108" s="183">
        <f t="shared" si="2"/>
        <v>104.45833333333339</v>
      </c>
      <c r="O108" s="183">
        <f t="shared" si="2"/>
        <v>0</v>
      </c>
      <c r="P108" s="183">
        <f t="shared" si="2"/>
        <v>0.69843749999999982</v>
      </c>
      <c r="Q108" s="183">
        <f t="shared" si="2"/>
        <v>4.0136458333333325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6.2244303471827722</v>
      </c>
      <c r="C109" s="183">
        <f t="shared" ref="C109:Q109" si="3">STDEV(C9:C104)</f>
        <v>2.7042177258445803</v>
      </c>
      <c r="D109" s="183">
        <f t="shared" si="3"/>
        <v>5.516794930466844</v>
      </c>
      <c r="E109" s="183">
        <f t="shared" si="3"/>
        <v>1.0031393649569982</v>
      </c>
      <c r="F109" s="183">
        <f t="shared" si="3"/>
        <v>4.0095979243997641</v>
      </c>
      <c r="G109" s="183">
        <f t="shared" si="3"/>
        <v>13.753476102473742</v>
      </c>
      <c r="H109" s="183">
        <f t="shared" si="3"/>
        <v>5.8960126719361456</v>
      </c>
      <c r="I109" s="183">
        <f t="shared" si="3"/>
        <v>0.84210606256815279</v>
      </c>
      <c r="J109" s="183">
        <f t="shared" si="3"/>
        <v>0.18446461173476125</v>
      </c>
      <c r="K109" s="183">
        <f t="shared" si="3"/>
        <v>48.92508884327529</v>
      </c>
      <c r="L109" s="183">
        <f t="shared" si="3"/>
        <v>2.4313973943956997</v>
      </c>
      <c r="M109" s="183">
        <f t="shared" si="3"/>
        <v>9.721577950665985</v>
      </c>
      <c r="N109" s="183">
        <f t="shared" si="3"/>
        <v>157.6302793959845</v>
      </c>
      <c r="O109" s="183">
        <f t="shared" si="3"/>
        <v>0</v>
      </c>
      <c r="P109" s="183">
        <f t="shared" si="3"/>
        <v>0.11195232185364196</v>
      </c>
      <c r="Q109" s="183">
        <f t="shared" si="3"/>
        <v>0.34579312279445917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54"/>
  <sheetViews>
    <sheetView tabSelected="1" zoomScale="85" zoomScaleNormal="85" workbookViewId="0">
      <pane xSplit="1" ySplit="8" topLeftCell="B15" activePane="bottomRight" state="frozen"/>
      <selection pane="topRight"/>
      <selection pane="bottomLeft"/>
      <selection pane="bottomRight" activeCell="S33" sqref="S33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 t="str">
        <f>$A$9</f>
        <v>01/09/2023 00:15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 t="str">
        <f>'01'!$B$2</f>
        <v>01/09/2023 00:15</v>
      </c>
      <c r="B9" s="95">
        <f>'01'!B108</f>
        <v>9.0527083333333298</v>
      </c>
      <c r="C9" s="95">
        <f>'01'!C108</f>
        <v>16.393333333333338</v>
      </c>
      <c r="D9" s="95">
        <f>'01'!D108</f>
        <v>17.17552083333333</v>
      </c>
      <c r="E9" s="95">
        <f>'01'!E108</f>
        <v>9.6008333333333304</v>
      </c>
      <c r="F9" s="95">
        <f>'01'!F108</f>
        <v>9.6631250000000026</v>
      </c>
      <c r="G9" s="95">
        <f>'01'!G108</f>
        <v>51.051250000000003</v>
      </c>
      <c r="H9" s="95">
        <f>'01'!H108</f>
        <v>16.960312500000004</v>
      </c>
      <c r="I9" s="95">
        <f>'01'!I108</f>
        <v>10.180520833333336</v>
      </c>
      <c r="J9" s="95">
        <f>'01'!J108</f>
        <v>0.21291666666666667</v>
      </c>
      <c r="K9" s="95">
        <f>'01'!K108</f>
        <v>194.46135416666675</v>
      </c>
      <c r="L9" s="95">
        <f>'01'!L108</f>
        <v>29.90343750000001</v>
      </c>
      <c r="M9" s="95">
        <f>'01'!M108</f>
        <v>81.057604166666707</v>
      </c>
      <c r="N9" s="95">
        <f>'01'!N108</f>
        <v>148.25833333333335</v>
      </c>
      <c r="O9" s="95">
        <f>'01'!O108</f>
        <v>0</v>
      </c>
      <c r="P9" s="95">
        <f>'01'!P108</f>
        <v>0.70437500000000008</v>
      </c>
      <c r="Q9" s="95">
        <f>'01'!Q108</f>
        <v>4.5230208333333328</v>
      </c>
      <c r="R9" s="160"/>
      <c r="S9" s="160"/>
      <c r="T9" s="160"/>
      <c r="U9" s="160"/>
    </row>
    <row r="10" spans="1:21">
      <c r="A10" s="157" t="str">
        <f>'02'!$B$2</f>
        <v>02/09/2023 00:15</v>
      </c>
      <c r="B10" s="95">
        <f>'02'!B108</f>
        <v>10.461250000000001</v>
      </c>
      <c r="C10" s="95">
        <f>'02'!C108</f>
        <v>17.144479166666663</v>
      </c>
      <c r="D10" s="95">
        <f>'02'!D108</f>
        <v>18.697916666666664</v>
      </c>
      <c r="E10" s="95">
        <f>'02'!E108</f>
        <v>10.7909375</v>
      </c>
      <c r="F10" s="95">
        <f>'02'!F108</f>
        <v>9.1430208333333294</v>
      </c>
      <c r="G10" s="95">
        <f>'02'!G108</f>
        <v>51.311979166666674</v>
      </c>
      <c r="H10" s="95">
        <f>'02'!H108</f>
        <v>16.05864583333334</v>
      </c>
      <c r="I10" s="95">
        <f>'02'!I108</f>
        <v>5.8125000000000027</v>
      </c>
      <c r="J10" s="95">
        <f>'02'!J108</f>
        <v>0.27729166666666666</v>
      </c>
      <c r="K10" s="95">
        <f>'02'!K108</f>
        <v>175.56729166666665</v>
      </c>
      <c r="L10" s="95">
        <f>'02'!L108</f>
        <v>29.24197916666667</v>
      </c>
      <c r="M10" s="95">
        <f>'02'!M108</f>
        <v>80.909791666666678</v>
      </c>
      <c r="N10" s="95">
        <f>'02'!N108</f>
        <v>150.86354166666669</v>
      </c>
      <c r="O10" s="95">
        <f>'02'!O108</f>
        <v>0.13958333333333331</v>
      </c>
      <c r="P10" s="95">
        <f>'02'!P108</f>
        <v>0.6494791666666665</v>
      </c>
      <c r="Q10" s="95">
        <f>'02'!Q108</f>
        <v>4.6569791666666669</v>
      </c>
      <c r="R10" s="160"/>
      <c r="S10" s="160"/>
      <c r="T10" s="160"/>
      <c r="U10" s="160"/>
    </row>
    <row r="11" spans="1:21">
      <c r="A11" s="157" t="str">
        <f>'03'!$B$2</f>
        <v>03/09/2023 00:15</v>
      </c>
      <c r="B11" s="95">
        <f>'03'!B108</f>
        <v>9.1660416666666684</v>
      </c>
      <c r="C11" s="95">
        <f>'03'!C108</f>
        <v>16.950416666666666</v>
      </c>
      <c r="D11" s="95">
        <f>'03'!D108</f>
        <v>17.556874999999998</v>
      </c>
      <c r="E11" s="95">
        <f>'03'!E108</f>
        <v>8.0164583333333308</v>
      </c>
      <c r="F11" s="95">
        <f>'03'!F108</f>
        <v>5.5287500000000032</v>
      </c>
      <c r="G11" s="95">
        <f>'03'!G108</f>
        <v>17.096979166666653</v>
      </c>
      <c r="H11" s="95">
        <f>'03'!H108</f>
        <v>6.2887500000000047</v>
      </c>
      <c r="I11" s="95">
        <f>'03'!I108</f>
        <v>4.8973958333333334</v>
      </c>
      <c r="J11" s="95">
        <f>'03'!J108</f>
        <v>0.28937499999999988</v>
      </c>
      <c r="K11" s="95">
        <f>'03'!K108</f>
        <v>241.40927083333335</v>
      </c>
      <c r="L11" s="95">
        <f>'03'!L108</f>
        <v>26.146041666666676</v>
      </c>
      <c r="M11" s="95">
        <f>'03'!M108</f>
        <v>92.385000000000005</v>
      </c>
      <c r="N11" s="95">
        <f>'03'!N108</f>
        <v>82.368750000000006</v>
      </c>
      <c r="O11" s="95">
        <f>'03'!O108</f>
        <v>0.1270833333333333</v>
      </c>
      <c r="P11" s="95">
        <f>'03'!P108</f>
        <v>0.58656249999999999</v>
      </c>
      <c r="Q11" s="95">
        <f>'03'!Q108</f>
        <v>4.4437500000000023</v>
      </c>
      <c r="R11" s="160"/>
      <c r="S11" s="160"/>
      <c r="T11" s="160"/>
      <c r="U11" s="160"/>
    </row>
    <row r="12" spans="1:21">
      <c r="A12" s="157" t="str">
        <f>'04'!$B$2</f>
        <v>04/09/2023 00:15</v>
      </c>
      <c r="B12" s="95">
        <f>'04'!B108</f>
        <v>8.2954166666666662</v>
      </c>
      <c r="C12" s="95">
        <f>'04'!C108</f>
        <v>18.194791666666671</v>
      </c>
      <c r="D12" s="95">
        <f>'04'!D108</f>
        <v>17.509479166666669</v>
      </c>
      <c r="E12" s="95">
        <f>'04'!E108</f>
        <v>7.9597916666666677</v>
      </c>
      <c r="F12" s="95">
        <f>'04'!F108</f>
        <v>5.916354166666669</v>
      </c>
      <c r="G12" s="95">
        <f>'04'!G108</f>
        <v>26.102187499999996</v>
      </c>
      <c r="H12" s="95">
        <f>'04'!H108</f>
        <v>9.2986458333333406</v>
      </c>
      <c r="I12" s="95">
        <f>'04'!I108</f>
        <v>5.7428125000000003</v>
      </c>
      <c r="J12" s="95">
        <f>'04'!J108</f>
        <v>0.25812500000000016</v>
      </c>
      <c r="K12" s="95">
        <f>'04'!K108</f>
        <v>203.96510416666661</v>
      </c>
      <c r="L12" s="95">
        <f>'04'!L108</f>
        <v>25.634583333333339</v>
      </c>
      <c r="M12" s="95">
        <f>'04'!M108</f>
        <v>93.724166666666676</v>
      </c>
      <c r="N12" s="95">
        <f>'04'!N108</f>
        <v>75.981250000000003</v>
      </c>
      <c r="O12" s="95">
        <f>'04'!O108</f>
        <v>0.17916666666666667</v>
      </c>
      <c r="P12" s="95">
        <f>'04'!P108</f>
        <v>0.76343749999999977</v>
      </c>
      <c r="Q12" s="95">
        <f>'04'!Q108</f>
        <v>4.462083333333335</v>
      </c>
      <c r="R12" s="160"/>
      <c r="S12" s="160"/>
      <c r="T12" s="160"/>
      <c r="U12" s="160"/>
    </row>
    <row r="13" spans="1:21">
      <c r="A13" s="157" t="str">
        <f>'05'!$B$2</f>
        <v>05/09/2023 00:15</v>
      </c>
      <c r="B13" s="95">
        <f>'05'!B108</f>
        <v>11.741562500000001</v>
      </c>
      <c r="C13" s="95">
        <f>'05'!C108</f>
        <v>19.435104166666669</v>
      </c>
      <c r="D13" s="95">
        <f>'05'!D108</f>
        <v>20.920520833333327</v>
      </c>
      <c r="E13" s="95">
        <f>'05'!E108</f>
        <v>8.4407291666666655</v>
      </c>
      <c r="F13" s="95">
        <f>'05'!F108</f>
        <v>7.0943749999999985</v>
      </c>
      <c r="G13" s="95">
        <f>'05'!G108</f>
        <v>41.527708333333322</v>
      </c>
      <c r="H13" s="95">
        <f>'05'!H108</f>
        <v>15.932291666666666</v>
      </c>
      <c r="I13" s="95">
        <f>'05'!I108</f>
        <v>5.1390624999999979</v>
      </c>
      <c r="J13" s="95">
        <f>'05'!J108</f>
        <v>0.23822916666666669</v>
      </c>
      <c r="K13" s="95">
        <f>'05'!K108</f>
        <v>114.88166666666665</v>
      </c>
      <c r="L13" s="95">
        <f>'05'!L108</f>
        <v>26.973125</v>
      </c>
      <c r="M13" s="95">
        <f>'05'!M108</f>
        <v>87.465000000000018</v>
      </c>
      <c r="N13" s="95">
        <f>'05'!N108</f>
        <v>124.53020833333333</v>
      </c>
      <c r="O13" s="95">
        <f>'05'!O108</f>
        <v>6.2500000000000012E-3</v>
      </c>
      <c r="P13" s="95">
        <f>'05'!P108</f>
        <v>0.74385416666666704</v>
      </c>
      <c r="Q13" s="95">
        <f>'05'!Q108</f>
        <v>5.0737499999999986</v>
      </c>
      <c r="R13" s="160"/>
      <c r="S13" s="160"/>
      <c r="T13" s="160"/>
      <c r="U13" s="160"/>
    </row>
    <row r="14" spans="1:21">
      <c r="A14" s="157" t="str">
        <f>'06'!$B$2</f>
        <v>06/09/2023 00:15</v>
      </c>
      <c r="B14" s="95">
        <f>'06'!B108</f>
        <v>13.492708333333338</v>
      </c>
      <c r="C14" s="95">
        <f>'06'!C108</f>
        <v>17.658125000000009</v>
      </c>
      <c r="D14" s="95">
        <f>'06'!D108</f>
        <v>21.397499999999994</v>
      </c>
      <c r="E14" s="95">
        <f>'06'!E108</f>
        <v>7.7060416666666667</v>
      </c>
      <c r="F14" s="95">
        <f>'06'!F108</f>
        <v>6.2534375000000013</v>
      </c>
      <c r="G14" s="95">
        <f>'06'!G108</f>
        <v>23.864479166666673</v>
      </c>
      <c r="H14" s="95">
        <f>'06'!H108</f>
        <v>8.3587499999999935</v>
      </c>
      <c r="I14" s="95">
        <f>'06'!I108</f>
        <v>3.8685416666666668</v>
      </c>
      <c r="J14" s="95">
        <f>'06'!J108</f>
        <v>0.25114583333333335</v>
      </c>
      <c r="K14" s="95">
        <f>'06'!K108</f>
        <v>110.78145833333333</v>
      </c>
      <c r="L14" s="95">
        <f>'06'!L108</f>
        <v>27.416145833333317</v>
      </c>
      <c r="M14" s="95">
        <f>'06'!M108</f>
        <v>87.241354166666682</v>
      </c>
      <c r="N14" s="95">
        <f>'06'!N108</f>
        <v>113.43541666666665</v>
      </c>
      <c r="O14" s="95">
        <f>'06'!O108</f>
        <v>0.48958333333333326</v>
      </c>
      <c r="P14" s="95">
        <f>'06'!P108</f>
        <v>0.58614583333333348</v>
      </c>
      <c r="Q14" s="95">
        <f>'06'!Q108</f>
        <v>5.7560416666666674</v>
      </c>
      <c r="R14" s="160"/>
      <c r="S14" s="160"/>
      <c r="T14" s="160"/>
      <c r="U14" s="160"/>
    </row>
    <row r="15" spans="1:21">
      <c r="A15" s="157" t="str">
        <f>'07'!$B$2</f>
        <v>07/09/2023 00:15</v>
      </c>
      <c r="B15" s="95">
        <f>'07'!B108</f>
        <v>10.547395833333335</v>
      </c>
      <c r="C15" s="95">
        <f>'07'!C108</f>
        <v>15.933749999999998</v>
      </c>
      <c r="D15" s="95">
        <f>'07'!D108</f>
        <v>18.134687500000002</v>
      </c>
      <c r="E15" s="95">
        <f>'07'!E108</f>
        <v>7.717604166666665</v>
      </c>
      <c r="F15" s="95">
        <f>'07'!F108</f>
        <v>5.453645833333332</v>
      </c>
      <c r="G15" s="95">
        <f>'07'!G108</f>
        <v>7.1947916666666671</v>
      </c>
      <c r="H15" s="95">
        <f>'07'!H108</f>
        <v>2.3279166666666646</v>
      </c>
      <c r="I15" s="95">
        <f>'07'!I108</f>
        <v>3.5977083333333351</v>
      </c>
      <c r="J15" s="95">
        <f>'07'!J108</f>
        <v>0.15541666666666668</v>
      </c>
      <c r="K15" s="95">
        <f>'07'!K108</f>
        <v>171.33062500000003</v>
      </c>
      <c r="L15" s="95">
        <f>'07'!L108</f>
        <v>26.215833333333347</v>
      </c>
      <c r="M15" s="95">
        <f>'07'!M108</f>
        <v>94.164166666666674</v>
      </c>
      <c r="N15" s="95">
        <f>'07'!N108</f>
        <v>97.861458333333346</v>
      </c>
      <c r="O15" s="95">
        <f>'07'!O108</f>
        <v>0.10416666666666664</v>
      </c>
      <c r="P15" s="95">
        <f>'07'!P108</f>
        <v>0.50250000000000006</v>
      </c>
      <c r="Q15" s="95">
        <f>'07'!Q108</f>
        <v>5.5995833333333325</v>
      </c>
      <c r="R15" s="160"/>
      <c r="S15" s="160"/>
      <c r="T15" s="160"/>
      <c r="U15" s="160"/>
    </row>
    <row r="16" spans="1:21">
      <c r="A16" s="157" t="str">
        <f>'08'!$B$2</f>
        <v>08/09/2023 00:15</v>
      </c>
      <c r="B16" s="95">
        <f>'08'!B108</f>
        <v>9.412842105263163</v>
      </c>
      <c r="C16" s="95">
        <f>'08'!C108</f>
        <v>15.902947368421055</v>
      </c>
      <c r="D16" s="95">
        <f>'08'!D108</f>
        <v>17.208631578947372</v>
      </c>
      <c r="E16" s="95">
        <f>'08'!E108</f>
        <v>7.5636842105263149</v>
      </c>
      <c r="F16" s="95">
        <f>'08'!F108</f>
        <v>5.2153684210526308</v>
      </c>
      <c r="G16" s="95">
        <f>'08'!G108</f>
        <v>5.0534523809523808</v>
      </c>
      <c r="H16" s="95">
        <f>'08'!H108</f>
        <v>1.8905952380952367</v>
      </c>
      <c r="I16" s="95">
        <f>'08'!I108</f>
        <v>3.0730526315789484</v>
      </c>
      <c r="J16" s="95">
        <f>'08'!J108</f>
        <v>0.26368421052631569</v>
      </c>
      <c r="K16" s="95">
        <f>'08'!K108</f>
        <v>237.73915789473682</v>
      </c>
      <c r="L16" s="95">
        <f>'08'!L108</f>
        <v>26.163789473684229</v>
      </c>
      <c r="M16" s="95">
        <f>'08'!M108</f>
        <v>91.357473684210532</v>
      </c>
      <c r="N16" s="95">
        <f>'08'!N108</f>
        <v>63.557894736842108</v>
      </c>
      <c r="O16" s="95">
        <f>'08'!O108</f>
        <v>8.4210526315789472E-3</v>
      </c>
      <c r="P16" s="95">
        <f>'08'!P108</f>
        <v>0.43052631578947359</v>
      </c>
      <c r="Q16" s="95">
        <f>'08'!Q108</f>
        <v>5.5397894736842117</v>
      </c>
      <c r="R16" s="160"/>
      <c r="S16" s="160"/>
      <c r="T16" s="160"/>
      <c r="U16" s="160"/>
    </row>
    <row r="17" spans="1:21">
      <c r="A17" s="157" t="str">
        <f>'09'!$B$2</f>
        <v>09/09/2023 00:15</v>
      </c>
      <c r="B17" s="95">
        <f>'09'!B108</f>
        <v>10.194895833333332</v>
      </c>
      <c r="C17" s="95">
        <f>'09'!C108</f>
        <v>14.904999999999999</v>
      </c>
      <c r="D17" s="95">
        <f>'09'!D108</f>
        <v>17.314479166666672</v>
      </c>
      <c r="E17" s="95">
        <f>'09'!E108</f>
        <v>7.87</v>
      </c>
      <c r="F17" s="95">
        <f>'09'!F108</f>
        <v>5.9655208333333318</v>
      </c>
      <c r="G17" s="95">
        <f>'09'!G108</f>
        <v>7.7122916666666725</v>
      </c>
      <c r="H17" s="95">
        <f>'09'!H108</f>
        <v>2.522916666666668</v>
      </c>
      <c r="I17" s="95">
        <f>'09'!I108</f>
        <v>2.7494791666666676</v>
      </c>
      <c r="J17" s="95">
        <f>'09'!J108</f>
        <v>0.24197916666666672</v>
      </c>
      <c r="K17" s="95">
        <f>'09'!K108</f>
        <v>247.8110416666666</v>
      </c>
      <c r="L17" s="95">
        <f>'09'!L108</f>
        <v>27.095729166666661</v>
      </c>
      <c r="M17" s="95">
        <f>'09'!M108</f>
        <v>85.481041666666684</v>
      </c>
      <c r="N17" s="95">
        <f>'09'!N108</f>
        <v>89.338541666666671</v>
      </c>
      <c r="O17" s="95">
        <f>'09'!O108</f>
        <v>0</v>
      </c>
      <c r="P17" s="95">
        <f>'09'!P108</f>
        <v>0.37291666666666662</v>
      </c>
      <c r="Q17" s="95">
        <f>'09'!Q108</f>
        <v>5.4418749999999987</v>
      </c>
      <c r="R17" s="160"/>
      <c r="S17" s="160"/>
      <c r="T17" s="160"/>
      <c r="U17" s="160"/>
    </row>
    <row r="18" spans="1:21">
      <c r="A18" s="157" t="str">
        <f>'10'!$B$2</f>
        <v>10/09/2023 00:15</v>
      </c>
      <c r="B18" s="95">
        <f>'10'!B108</f>
        <v>9.5640624999999968</v>
      </c>
      <c r="C18" s="95">
        <f>'10'!C108</f>
        <v>14.256979166666673</v>
      </c>
      <c r="D18" s="95">
        <f>'10'!D108</f>
        <v>16.469583333333325</v>
      </c>
      <c r="E18" s="95">
        <f>'10'!E108</f>
        <v>8.640208333333339</v>
      </c>
      <c r="F18" s="95">
        <f>'10'!F108</f>
        <v>5.826041666666665</v>
      </c>
      <c r="G18" s="95">
        <f>'10'!G108</f>
        <v>9.992291666666663</v>
      </c>
      <c r="H18" s="95">
        <f>'10'!H108</f>
        <v>4.7530208333333341</v>
      </c>
      <c r="I18" s="95">
        <f>'10'!I108</f>
        <v>2.8603124999999996</v>
      </c>
      <c r="J18" s="95">
        <f>'10'!J108</f>
        <v>0.32500000000000001</v>
      </c>
      <c r="K18" s="95">
        <f>'10'!K108</f>
        <v>239.23645833333339</v>
      </c>
      <c r="L18" s="95">
        <f>'10'!L108</f>
        <v>27.46489583333333</v>
      </c>
      <c r="M18" s="95">
        <f>'10'!M108</f>
        <v>86.487499999999969</v>
      </c>
      <c r="N18" s="95">
        <f>'10'!N108</f>
        <v>129.02916666666667</v>
      </c>
      <c r="O18" s="95">
        <f>'10'!O108</f>
        <v>4.1666666666666666E-3</v>
      </c>
      <c r="P18" s="95">
        <f>'10'!P108</f>
        <v>0.35958333333333331</v>
      </c>
      <c r="Q18" s="95">
        <f>'10'!Q108</f>
        <v>5.0225</v>
      </c>
      <c r="R18" s="160"/>
      <c r="S18" s="160"/>
      <c r="T18" s="160"/>
      <c r="U18" s="160"/>
    </row>
    <row r="19" spans="1:21">
      <c r="A19" s="157" t="str">
        <f>'11'!$B$2</f>
        <v>11/09/2023 00:15</v>
      </c>
      <c r="B19" s="95">
        <f>'11'!B108</f>
        <v>9.6281250000000007</v>
      </c>
      <c r="C19" s="95">
        <f>'11'!C108</f>
        <v>15.580312499999998</v>
      </c>
      <c r="D19" s="95">
        <f>'11'!D108</f>
        <v>17.212812499999998</v>
      </c>
      <c r="E19" s="95">
        <f>'11'!E108</f>
        <v>7.722604166666664</v>
      </c>
      <c r="F19" s="95">
        <f>'11'!F108</f>
        <v>5.7079166666666667</v>
      </c>
      <c r="G19" s="95">
        <f>'11'!G108</f>
        <v>21.091979166666672</v>
      </c>
      <c r="H19" s="95">
        <f>'11'!H108</f>
        <v>8.8322916666666629</v>
      </c>
      <c r="I19" s="95">
        <f>'11'!I108</f>
        <v>3.6336458333333348</v>
      </c>
      <c r="J19" s="95">
        <f>'11'!J108</f>
        <v>0.42927083333333349</v>
      </c>
      <c r="K19" s="95">
        <f>'11'!K108</f>
        <v>262.16906249999994</v>
      </c>
      <c r="L19" s="95">
        <f>'11'!L108</f>
        <v>27.463229166666661</v>
      </c>
      <c r="M19" s="95">
        <f>'11'!M108</f>
        <v>86.451354166666647</v>
      </c>
      <c r="N19" s="95">
        <f>'11'!N108</f>
        <v>109.15208333333335</v>
      </c>
      <c r="O19" s="95">
        <f>'11'!O108</f>
        <v>0</v>
      </c>
      <c r="P19" s="95">
        <f>'11'!P108</f>
        <v>0.48531250000000031</v>
      </c>
      <c r="Q19" s="95">
        <f>'11'!Q108</f>
        <v>4.9305208333333326</v>
      </c>
      <c r="R19" s="160"/>
      <c r="S19" s="160"/>
      <c r="T19" s="160"/>
      <c r="U19" s="160"/>
    </row>
    <row r="20" spans="1:21">
      <c r="A20" s="157" t="str">
        <f>'12'!$B$2</f>
        <v>12/09/2023 00:15</v>
      </c>
      <c r="B20" s="95">
        <f>'12'!B108</f>
        <v>8.7882291666666656</v>
      </c>
      <c r="C20" s="95">
        <f>'12'!C108</f>
        <v>15.694583333333336</v>
      </c>
      <c r="D20" s="95">
        <f>'12'!D108</f>
        <v>16.598541666666669</v>
      </c>
      <c r="E20" s="95">
        <f>'12'!E108</f>
        <v>8.480104166666667</v>
      </c>
      <c r="F20" s="95">
        <f>'12'!F108</f>
        <v>5.9741666666666662</v>
      </c>
      <c r="G20" s="95">
        <f>'12'!G108</f>
        <v>30.605312500000014</v>
      </c>
      <c r="H20" s="95">
        <f>'12'!H108</f>
        <v>9.9663541666666706</v>
      </c>
      <c r="I20" s="95">
        <f>'12'!I108</f>
        <v>4.6526041666666682</v>
      </c>
      <c r="J20" s="95">
        <f>'12'!J108</f>
        <v>0.44583333333333347</v>
      </c>
      <c r="K20" s="95">
        <f>'12'!K108</f>
        <v>262.88124999999997</v>
      </c>
      <c r="L20" s="95">
        <f>'12'!L108</f>
        <v>27.724270833333321</v>
      </c>
      <c r="M20" s="95">
        <f>'12'!M108</f>
        <v>86.330312499999991</v>
      </c>
      <c r="N20" s="95">
        <f>'12'!N108</f>
        <v>139.36875000000001</v>
      </c>
      <c r="O20" s="95">
        <f>'12'!O108</f>
        <v>3.7500000000000012E-2</v>
      </c>
      <c r="P20" s="95">
        <f>'12'!P108</f>
        <v>0.60843750000000019</v>
      </c>
      <c r="Q20" s="95">
        <f>'12'!Q108</f>
        <v>5.1494791666666675</v>
      </c>
      <c r="R20" s="160"/>
      <c r="S20" s="160"/>
      <c r="T20" s="160"/>
      <c r="U20" s="160"/>
    </row>
    <row r="21" spans="1:21" s="142" customFormat="1">
      <c r="A21" s="157" t="str">
        <f>'13'!$B$2</f>
        <v>13/09/2023 00:15</v>
      </c>
      <c r="B21" s="158">
        <f>'13'!B108</f>
        <v>11.773854166666668</v>
      </c>
      <c r="C21" s="158">
        <f>'13'!C108</f>
        <v>18.249166666666664</v>
      </c>
      <c r="D21" s="158">
        <f>'13'!D108</f>
        <v>20.327083333333338</v>
      </c>
      <c r="E21" s="158">
        <f>'13'!E108</f>
        <v>8.0067708333333325</v>
      </c>
      <c r="F21" s="158">
        <f>'13'!F108</f>
        <v>5.2794791666666665</v>
      </c>
      <c r="G21" s="158">
        <f>'13'!G108</f>
        <v>26.156562499999996</v>
      </c>
      <c r="H21" s="158">
        <f>'13'!H108</f>
        <v>8.1754166666666652</v>
      </c>
      <c r="I21" s="158">
        <f>'13'!I108</f>
        <v>4.7536458333333336</v>
      </c>
      <c r="J21" s="158">
        <f>'13'!J108</f>
        <v>0.41447916666666673</v>
      </c>
      <c r="K21" s="158">
        <f>'13'!K108</f>
        <v>273.71937500000007</v>
      </c>
      <c r="L21" s="158">
        <f>'13'!L108</f>
        <v>26.331041666666678</v>
      </c>
      <c r="M21" s="158">
        <f>'13'!M108</f>
        <v>90.617812499999971</v>
      </c>
      <c r="N21" s="158">
        <f>'13'!N108</f>
        <v>95.223958333333329</v>
      </c>
      <c r="O21" s="158">
        <f>'13'!O108</f>
        <v>1.0145833333333334</v>
      </c>
      <c r="P21" s="158">
        <f>'13'!P108</f>
        <v>0.58437500000000009</v>
      </c>
      <c r="Q21" s="158">
        <f>'13'!Q108</f>
        <v>5.584791666666665</v>
      </c>
      <c r="R21" s="176"/>
      <c r="S21" s="176"/>
      <c r="T21" s="176"/>
      <c r="U21" s="176"/>
    </row>
    <row r="22" spans="1:21" s="142" customFormat="1">
      <c r="A22" s="157" t="str">
        <f>'14'!$B$2</f>
        <v>14/09/2023 00:15</v>
      </c>
      <c r="B22" s="159">
        <f>'14'!B108</f>
        <v>12.308202247191012</v>
      </c>
      <c r="C22" s="159">
        <f>'14'!C108</f>
        <v>18.455955056179778</v>
      </c>
      <c r="D22" s="159">
        <f>'14'!D108</f>
        <v>20.863707865168539</v>
      </c>
      <c r="E22" s="159">
        <f>'14'!E108</f>
        <v>8.6131249999999984</v>
      </c>
      <c r="F22" s="159">
        <f>'14'!F108</f>
        <v>6.2679787234042523</v>
      </c>
      <c r="G22" s="159">
        <f>'14'!G108</f>
        <v>19.029222222222227</v>
      </c>
      <c r="H22" s="159">
        <f>'14'!H108</f>
        <v>8.4195555555555561</v>
      </c>
      <c r="I22" s="159">
        <f>'14'!I108</f>
        <v>10.786354166666667</v>
      </c>
      <c r="J22" s="159">
        <f>'14'!J108</f>
        <v>0.37354166666666666</v>
      </c>
      <c r="K22" s="159">
        <f>'14'!K108</f>
        <v>262.31395833333335</v>
      </c>
      <c r="L22" s="159">
        <f>'14'!L108</f>
        <v>25.569791666666674</v>
      </c>
      <c r="M22" s="159">
        <f>'14'!M108</f>
        <v>97.275520833333317</v>
      </c>
      <c r="N22" s="159">
        <f>'14'!N108</f>
        <v>46.53125</v>
      </c>
      <c r="O22" s="159">
        <f>'14'!O108</f>
        <v>0.93958333333333355</v>
      </c>
      <c r="P22" s="159">
        <f>'14'!P108</f>
        <v>0.54340425531914904</v>
      </c>
      <c r="Q22" s="159">
        <f>'14'!Q108</f>
        <v>5.3153125000000019</v>
      </c>
      <c r="R22" s="177"/>
      <c r="S22" s="177"/>
      <c r="T22" s="177"/>
      <c r="U22" s="177"/>
    </row>
    <row r="23" spans="1:21">
      <c r="A23" s="157" t="str">
        <f>'15'!$B$2</f>
        <v>15/09/2023 00:15</v>
      </c>
      <c r="B23" s="95">
        <f>'15'!B108</f>
        <v>9.1600000000000019</v>
      </c>
      <c r="C23" s="95">
        <f>'15'!C108</f>
        <v>17.070416666666667</v>
      </c>
      <c r="D23" s="95">
        <f>'15'!D108</f>
        <v>17.615312500000005</v>
      </c>
      <c r="E23" s="95">
        <f>'15'!E108</f>
        <v>8.621458333333333</v>
      </c>
      <c r="F23" s="95">
        <f>'15'!F108</f>
        <v>5.2958333333333352</v>
      </c>
      <c r="G23" s="95">
        <f>'15'!G108</f>
        <v>4.1827083333333324</v>
      </c>
      <c r="H23" s="95">
        <f>'15'!H108</f>
        <v>2.791250000000002</v>
      </c>
      <c r="I23" s="95">
        <f>'15'!I108</f>
        <v>4.9543749999999998</v>
      </c>
      <c r="J23" s="95">
        <f>'15'!J108</f>
        <v>0.40447916666666689</v>
      </c>
      <c r="K23" s="95">
        <f>'15'!K108</f>
        <v>261.6647916666667</v>
      </c>
      <c r="L23" s="95">
        <f>'15'!L108</f>
        <v>25.720208333333328</v>
      </c>
      <c r="M23" s="95">
        <f>'15'!M108</f>
        <v>92.968541666666681</v>
      </c>
      <c r="N23" s="95">
        <f>'15'!N108</f>
        <v>75.821874999999991</v>
      </c>
      <c r="O23" s="95">
        <f>'15'!O108</f>
        <v>0.18333333333333326</v>
      </c>
      <c r="P23" s="95">
        <f>'15'!P108</f>
        <v>0.40812500000000002</v>
      </c>
      <c r="Q23" s="95">
        <f>'15'!Q108</f>
        <v>5.1055208333333342</v>
      </c>
      <c r="R23" s="160"/>
      <c r="S23" s="160"/>
      <c r="T23" s="160"/>
      <c r="U23" s="160"/>
    </row>
    <row r="24" spans="1:21">
      <c r="A24" s="157" t="str">
        <f>'16'!$B$2</f>
        <v>16/09/2023 00:15</v>
      </c>
      <c r="B24" s="95">
        <f>'16'!B108</f>
        <v>10.935624999999996</v>
      </c>
      <c r="C24" s="95">
        <f>'16'!C108</f>
        <v>16.997291666666662</v>
      </c>
      <c r="D24" s="95">
        <f>'16'!D108</f>
        <v>19.001458333333332</v>
      </c>
      <c r="E24" s="95">
        <f>'16'!E108</f>
        <v>8.2287499999999998</v>
      </c>
      <c r="F24" s="95">
        <f>'16'!F108</f>
        <v>5.3345833333333319</v>
      </c>
      <c r="G24" s="95">
        <f>'16'!G108</f>
        <v>10.581249999999999</v>
      </c>
      <c r="H24" s="95">
        <f>'16'!H108</f>
        <v>4.2630208333333348</v>
      </c>
      <c r="I24" s="95">
        <f>'16'!I108</f>
        <v>3.1781249999999992</v>
      </c>
      <c r="J24" s="95">
        <f>'16'!J108</f>
        <v>0.25791666666666663</v>
      </c>
      <c r="K24" s="95">
        <f>'16'!K108</f>
        <v>241.26093749999995</v>
      </c>
      <c r="L24" s="95">
        <f>'16'!L108</f>
        <v>27.000312500000003</v>
      </c>
      <c r="M24" s="95">
        <f>'16'!M108</f>
        <v>86.308854166666677</v>
      </c>
      <c r="N24" s="95">
        <f>'16'!N108</f>
        <v>126.253125</v>
      </c>
      <c r="O24" s="95">
        <f>'16'!O108</f>
        <v>0</v>
      </c>
      <c r="P24" s="95">
        <f>'16'!P108</f>
        <v>0.36031249999999976</v>
      </c>
      <c r="Q24" s="95">
        <f>'16'!Q108</f>
        <v>5.274375</v>
      </c>
      <c r="R24" s="160"/>
      <c r="S24" s="160"/>
      <c r="T24" s="160"/>
      <c r="U24" s="160"/>
    </row>
    <row r="25" spans="1:21">
      <c r="A25" s="157" t="str">
        <f>'17'!$B$2</f>
        <v>17/09/2023 00:15</v>
      </c>
      <c r="B25" s="95">
        <f>'17'!B108</f>
        <v>11.089166666666662</v>
      </c>
      <c r="C25" s="95">
        <f>'17'!C108</f>
        <v>18.218437499999997</v>
      </c>
      <c r="D25" s="95">
        <f>'17'!D108</f>
        <v>19.763124999999999</v>
      </c>
      <c r="E25" s="95">
        <f>'17'!E108</f>
        <v>7.2807291666666645</v>
      </c>
      <c r="F25" s="95">
        <f>'17'!F108</f>
        <v>6.2697916666666655</v>
      </c>
      <c r="G25" s="95">
        <f>'17'!G108</f>
        <v>13.990000000000011</v>
      </c>
      <c r="H25" s="95">
        <f>'17'!H108</f>
        <v>4.9785416666666658</v>
      </c>
      <c r="I25" s="95">
        <f>'17'!I108</f>
        <v>3.7877083333333341</v>
      </c>
      <c r="J25" s="95">
        <f>'17'!J108</f>
        <v>0.27145833333333341</v>
      </c>
      <c r="K25" s="95">
        <f>'17'!K108</f>
        <v>227.55458333333323</v>
      </c>
      <c r="L25" s="95">
        <f>'17'!L108</f>
        <v>28.068437499999998</v>
      </c>
      <c r="M25" s="95">
        <f>'17'!M108</f>
        <v>80.71687500000003</v>
      </c>
      <c r="N25" s="95">
        <f>'17'!N108</f>
        <v>204.67604166666663</v>
      </c>
      <c r="O25" s="95">
        <f>'17'!O108</f>
        <v>0</v>
      </c>
      <c r="P25" s="95">
        <f>'17'!P108</f>
        <v>0.41812499999999969</v>
      </c>
      <c r="Q25" s="95">
        <f>'17'!Q108</f>
        <v>5.3413541666666662</v>
      </c>
      <c r="R25" s="160"/>
      <c r="S25" s="160"/>
      <c r="T25" s="160"/>
      <c r="U25" s="160"/>
    </row>
    <row r="26" spans="1:21">
      <c r="A26" s="157" t="str">
        <f>'18'!$B$2</f>
        <v>18/09/2023 00:15</v>
      </c>
      <c r="B26" s="95">
        <f>'18'!B108</f>
        <v>12.276354166666669</v>
      </c>
      <c r="C26" s="95">
        <f>'18'!C108</f>
        <v>20.321145833333329</v>
      </c>
      <c r="D26" s="95">
        <f>'18'!D108</f>
        <v>21.811979166666664</v>
      </c>
      <c r="E26" s="95">
        <f>'18'!E108</f>
        <v>8.0680208333333301</v>
      </c>
      <c r="F26" s="95">
        <f>'18'!F108</f>
        <v>6.9798958333333365</v>
      </c>
      <c r="G26" s="95">
        <f>'18'!G108</f>
        <v>25.014270833333352</v>
      </c>
      <c r="H26" s="95">
        <f>'18'!H108</f>
        <v>7.5368749999999975</v>
      </c>
      <c r="I26" s="95">
        <f>'18'!I108</f>
        <v>4.6602083333333306</v>
      </c>
      <c r="J26" s="95">
        <f>'18'!J108</f>
        <v>0.2264583333333334</v>
      </c>
      <c r="K26" s="95">
        <f>'18'!K108</f>
        <v>231.97812500000001</v>
      </c>
      <c r="L26" s="95">
        <f>'18'!L108</f>
        <v>28.58927083333333</v>
      </c>
      <c r="M26" s="95">
        <f>'18'!M108</f>
        <v>80.185104166666648</v>
      </c>
      <c r="N26" s="95">
        <f>'18'!N108</f>
        <v>146.25937500000001</v>
      </c>
      <c r="O26" s="95">
        <f>'18'!O108</f>
        <v>0</v>
      </c>
      <c r="P26" s="95">
        <f>'18'!P108</f>
        <v>0.52197916666666677</v>
      </c>
      <c r="Q26" s="95">
        <f>'18'!Q108</f>
        <v>5.4926041666666672</v>
      </c>
      <c r="R26" s="160"/>
      <c r="S26" s="160"/>
      <c r="T26" s="160"/>
      <c r="U26" s="160"/>
    </row>
    <row r="27" spans="1:21">
      <c r="A27" s="157" t="str">
        <f>'19'!$B$2</f>
        <v>19/09/2023 00:15</v>
      </c>
      <c r="B27" s="95">
        <f>'19'!B108</f>
        <v>14.793020833333342</v>
      </c>
      <c r="C27" s="95">
        <f>'19'!C108</f>
        <v>21.99708333333334</v>
      </c>
      <c r="D27" s="95">
        <f>'19'!D108</f>
        <v>24.706979166666667</v>
      </c>
      <c r="E27" s="95">
        <f>'19'!E108</f>
        <v>10.158541666666666</v>
      </c>
      <c r="F27" s="95">
        <f>'19'!F108</f>
        <v>7.1207291666666679</v>
      </c>
      <c r="G27" s="95">
        <f>'19'!G108</f>
        <v>33.732708333333314</v>
      </c>
      <c r="H27" s="95">
        <f>'19'!H108</f>
        <v>10.916979166666664</v>
      </c>
      <c r="I27" s="95">
        <f>'19'!I108</f>
        <v>4.4040625000000002</v>
      </c>
      <c r="J27" s="95">
        <f>'19'!J108</f>
        <v>0.30697916666666658</v>
      </c>
      <c r="K27" s="95">
        <f>'19'!K108</f>
        <v>194.38468749999993</v>
      </c>
      <c r="L27" s="95">
        <f>'19'!L108</f>
        <v>29.21916666666668</v>
      </c>
      <c r="M27" s="95">
        <f>'19'!M108</f>
        <v>78.13229166666666</v>
      </c>
      <c r="N27" s="95">
        <f>'19'!N108</f>
        <v>152.59479166666671</v>
      </c>
      <c r="O27" s="95">
        <f>'19'!O108</f>
        <v>0</v>
      </c>
      <c r="P27" s="95">
        <f>'19'!P108</f>
        <v>0.54729166666666662</v>
      </c>
      <c r="Q27" s="95">
        <f>'19'!Q108</f>
        <v>5.6661458333333323</v>
      </c>
      <c r="R27" s="160"/>
      <c r="S27" s="160"/>
      <c r="T27" s="160"/>
      <c r="U27" s="160"/>
    </row>
    <row r="28" spans="1:21">
      <c r="A28" s="157" t="str">
        <f>'20'!$B$2</f>
        <v>20/09/2023 00:15</v>
      </c>
      <c r="B28" s="95">
        <f>'20'!B108</f>
        <v>13.942473118279572</v>
      </c>
      <c r="C28" s="95">
        <f>'20'!C108</f>
        <v>23.528817204301077</v>
      </c>
      <c r="D28" s="95">
        <f>'20'!D108</f>
        <v>24.825268817204293</v>
      </c>
      <c r="E28" s="95">
        <f>'20'!E108</f>
        <v>10.118311688311689</v>
      </c>
      <c r="F28" s="95">
        <f>'20'!F108</f>
        <v>6.7934408602150542</v>
      </c>
      <c r="G28" s="95">
        <f>'20'!G108</f>
        <v>34.534042553191505</v>
      </c>
      <c r="H28" s="95">
        <f>'20'!H108</f>
        <v>13.244255319148946</v>
      </c>
      <c r="I28" s="95">
        <f>'20'!I108</f>
        <v>4.6157608695652161</v>
      </c>
      <c r="J28" s="95">
        <f>'20'!J108</f>
        <v>0.31574468085106372</v>
      </c>
      <c r="K28" s="95">
        <f>'20'!K108</f>
        <v>184.70138297872342</v>
      </c>
      <c r="L28" s="95">
        <f>'20'!L108</f>
        <v>27.566170212765961</v>
      </c>
      <c r="M28" s="95">
        <f>'20'!M108</f>
        <v>86.386063829787204</v>
      </c>
      <c r="N28" s="95">
        <f>'20'!N108</f>
        <v>101.49255319148934</v>
      </c>
      <c r="O28" s="95">
        <f>'20'!O108</f>
        <v>0.52765957446808531</v>
      </c>
      <c r="P28" s="95">
        <f>'20'!P108</f>
        <v>0.57648936170212783</v>
      </c>
      <c r="Q28" s="95">
        <f>'20'!Q108</f>
        <v>5.068478260869564</v>
      </c>
      <c r="R28" s="160"/>
      <c r="S28" s="160"/>
      <c r="T28" s="160"/>
      <c r="U28" s="160"/>
    </row>
    <row r="29" spans="1:21">
      <c r="A29" s="157" t="str">
        <f>'21'!$B$2</f>
        <v>21/09/2023 00:15</v>
      </c>
      <c r="B29" s="95">
        <f>'21'!B108</f>
        <v>15.945000000000006</v>
      </c>
      <c r="C29" s="95">
        <f>'21'!C108</f>
        <v>24.445104166666663</v>
      </c>
      <c r="D29" s="95">
        <f>'21'!D108</f>
        <v>26.90958333333333</v>
      </c>
      <c r="E29" s="95">
        <f>'21'!E108</f>
        <v>7.6596875000000013</v>
      </c>
      <c r="F29" s="95">
        <f>'21'!F108</f>
        <v>4.8443750000000021</v>
      </c>
      <c r="G29" s="95">
        <f>'21'!G108</f>
        <v>13.60177083333334</v>
      </c>
      <c r="H29" s="95">
        <f>'21'!H108</f>
        <v>6.1607291666666697</v>
      </c>
      <c r="I29" s="95">
        <f>'21'!I108</f>
        <v>4.308958333333333</v>
      </c>
      <c r="J29" s="95">
        <f>'21'!J108</f>
        <v>0.33041666666666664</v>
      </c>
      <c r="K29" s="95">
        <f>'21'!K108</f>
        <v>262.04666666666668</v>
      </c>
      <c r="L29" s="95">
        <f>'21'!L108</f>
        <v>25.42635416666667</v>
      </c>
      <c r="M29" s="95">
        <f>'21'!M108</f>
        <v>96.517291666666623</v>
      </c>
      <c r="N29" s="95">
        <f>'21'!N108</f>
        <v>49.464583333333344</v>
      </c>
      <c r="O29" s="95">
        <f>'21'!O108</f>
        <v>0.35208333333333353</v>
      </c>
      <c r="P29" s="95">
        <f>'21'!P108</f>
        <v>0.50854166666666689</v>
      </c>
      <c r="Q29" s="95">
        <f>'21'!Q108</f>
        <v>4.236041666666666</v>
      </c>
      <c r="R29" s="160"/>
      <c r="S29" s="160"/>
      <c r="T29" s="160"/>
      <c r="U29" s="160"/>
    </row>
    <row r="30" spans="1:21">
      <c r="A30" s="157" t="str">
        <f>'22'!$B$2</f>
        <v>22/09/2023 00:15</v>
      </c>
      <c r="B30" s="95">
        <f>'22'!B108</f>
        <v>15.345104166666664</v>
      </c>
      <c r="C30" s="95">
        <f>'22'!C108</f>
        <v>23.852291666666673</v>
      </c>
      <c r="D30" s="95">
        <f>'22'!D108</f>
        <v>26.118958333333339</v>
      </c>
      <c r="E30" s="95">
        <f>'22'!E108</f>
        <v>8.6156250000000032</v>
      </c>
      <c r="F30" s="95">
        <f>'22'!F108</f>
        <v>4.3555208333333324</v>
      </c>
      <c r="G30" s="95">
        <f>'22'!G108</f>
        <v>13.26979166666667</v>
      </c>
      <c r="H30" s="95">
        <f>'22'!H108</f>
        <v>5.0436458333333283</v>
      </c>
      <c r="I30" s="95">
        <f>'22'!I108</f>
        <v>4.6691666666666682</v>
      </c>
      <c r="J30" s="95">
        <f>'22'!J108</f>
        <v>0.41354166666666653</v>
      </c>
      <c r="K30" s="95">
        <f>'22'!K108</f>
        <v>257.29687500000006</v>
      </c>
      <c r="L30" s="95">
        <f>'22'!L108</f>
        <v>24.904166666666665</v>
      </c>
      <c r="M30" s="95">
        <f>'22'!M108</f>
        <v>96.35114583333332</v>
      </c>
      <c r="N30" s="95">
        <f>'22'!N108</f>
        <v>27.301041666666666</v>
      </c>
      <c r="O30" s="95">
        <f>'22'!O108</f>
        <v>5.000000000000001E-2</v>
      </c>
      <c r="P30" s="95">
        <f>'22'!P108</f>
        <v>0.53520833333333351</v>
      </c>
      <c r="Q30" s="95">
        <f>'22'!Q108</f>
        <v>4.2187500000000009</v>
      </c>
      <c r="R30" s="160"/>
      <c r="S30" s="160"/>
      <c r="T30" s="160"/>
      <c r="U30" s="160"/>
    </row>
    <row r="31" spans="1:21">
      <c r="A31" s="157" t="str">
        <f>'23'!$B$2</f>
        <v>23/09/2023 00:15</v>
      </c>
      <c r="B31" s="95">
        <f>'23'!B108</f>
        <v>12.00260416666667</v>
      </c>
      <c r="C31" s="95">
        <f>'23'!C108</f>
        <v>22.301145833333326</v>
      </c>
      <c r="D31" s="95">
        <f>'23'!D108</f>
        <v>22.628020833333341</v>
      </c>
      <c r="E31" s="95">
        <f>'23'!E108</f>
        <v>7.4732291666666697</v>
      </c>
      <c r="F31" s="95">
        <f>'23'!F108</f>
        <v>4.6970833333333326</v>
      </c>
      <c r="G31" s="95">
        <f>'23'!G108</f>
        <v>8.7263541666666704</v>
      </c>
      <c r="H31" s="95">
        <f>'23'!H108</f>
        <v>3.3107291666666669</v>
      </c>
      <c r="I31" s="95">
        <f>'23'!I108</f>
        <v>3.5162500000000008</v>
      </c>
      <c r="J31" s="95">
        <f>'23'!J108</f>
        <v>0.48270833333333329</v>
      </c>
      <c r="K31" s="95">
        <f>'23'!K108</f>
        <v>254.41364583333333</v>
      </c>
      <c r="L31" s="95">
        <f>'23'!L108</f>
        <v>25.844062500000007</v>
      </c>
      <c r="M31" s="95">
        <f>'23'!M108</f>
        <v>92.976874999999964</v>
      </c>
      <c r="N31" s="95">
        <f>'23'!N108</f>
        <v>67.359374999999986</v>
      </c>
      <c r="O31" s="95">
        <f>'23'!O108</f>
        <v>2.0833333333333333E-3</v>
      </c>
      <c r="P31" s="95">
        <f>'23'!P108</f>
        <v>0.45427083333333335</v>
      </c>
      <c r="Q31" s="95">
        <f>'23'!Q108</f>
        <v>3.8159375000000022</v>
      </c>
      <c r="R31" s="160"/>
      <c r="S31" s="178"/>
      <c r="T31" s="160"/>
      <c r="U31" s="160"/>
    </row>
    <row r="32" spans="1:21">
      <c r="A32" s="157" t="str">
        <f>'24'!$B$2</f>
        <v>24/09/2023 00:15</v>
      </c>
      <c r="B32" s="95">
        <f>'24'!B108</f>
        <v>13.341979166666674</v>
      </c>
      <c r="C32" s="95">
        <f>'24'!C108</f>
        <v>22.786979166666665</v>
      </c>
      <c r="D32" s="95">
        <f>'24'!D108</f>
        <v>23.955833333333327</v>
      </c>
      <c r="E32" s="95">
        <f>'24'!E108</f>
        <v>7.918854166666665</v>
      </c>
      <c r="F32" s="95">
        <f>'24'!F108</f>
        <v>4.9455208333333358</v>
      </c>
      <c r="G32" s="95">
        <f>'24'!G108</f>
        <v>16.474062500000006</v>
      </c>
      <c r="H32" s="95">
        <f>'24'!H108</f>
        <v>7.0546874999999964</v>
      </c>
      <c r="I32" s="95">
        <f>'24'!I108</f>
        <v>3.663333333333334</v>
      </c>
      <c r="J32" s="95">
        <f>'24'!J108</f>
        <v>0.27281250000000001</v>
      </c>
      <c r="K32" s="95">
        <f>'24'!K108</f>
        <v>230.97489583333342</v>
      </c>
      <c r="L32" s="95">
        <f>'24'!L108</f>
        <v>26.762291666666655</v>
      </c>
      <c r="M32" s="95">
        <f>'24'!M108</f>
        <v>91.911458333333272</v>
      </c>
      <c r="N32" s="95">
        <f>'24'!N108</f>
        <v>120.89687500000001</v>
      </c>
      <c r="O32" s="95">
        <f>'24'!O108</f>
        <v>5.4166666666666675E-2</v>
      </c>
      <c r="P32" s="95">
        <f>'24'!P108</f>
        <v>0.46374999999999988</v>
      </c>
      <c r="Q32" s="95">
        <f>'24'!Q108</f>
        <v>3.9770833333333329</v>
      </c>
      <c r="R32" s="160"/>
      <c r="S32" s="160"/>
      <c r="T32" s="160"/>
      <c r="U32" s="160"/>
    </row>
    <row r="33" spans="1:21">
      <c r="A33" s="157" t="str">
        <f>'25'!$B$2</f>
        <v>25/09/2023 00:15</v>
      </c>
      <c r="B33" s="95">
        <f>'25'!B108</f>
        <v>14.992604166666668</v>
      </c>
      <c r="C33" s="95">
        <f>'25'!C108</f>
        <v>26.182499999999994</v>
      </c>
      <c r="D33" s="95">
        <f>'25'!D108</f>
        <v>27.053437500000005</v>
      </c>
      <c r="E33" s="95">
        <f>'25'!E108</f>
        <v>8.3219791666666723</v>
      </c>
      <c r="F33" s="95">
        <f>'25'!F108</f>
        <v>4.4236458333333344</v>
      </c>
      <c r="G33" s="95">
        <f>'25'!G108</f>
        <v>35.645833333333336</v>
      </c>
      <c r="H33" s="95">
        <f>'25'!H108</f>
        <v>13.408437500000007</v>
      </c>
      <c r="I33" s="95">
        <f>'25'!I108</f>
        <v>4.7064583333333321</v>
      </c>
      <c r="J33" s="95">
        <f>'25'!J108</f>
        <v>0.16114583333333332</v>
      </c>
      <c r="K33" s="95">
        <f>'25'!K108</f>
        <v>188.96718749999999</v>
      </c>
      <c r="L33" s="95">
        <f>'25'!L108</f>
        <v>26.011458333333334</v>
      </c>
      <c r="M33" s="95">
        <f>'25'!M108</f>
        <v>93.975833333333355</v>
      </c>
      <c r="N33" s="95">
        <f>'25'!N108</f>
        <v>87.53958333333334</v>
      </c>
      <c r="O33" s="95">
        <f>'25'!O108</f>
        <v>0.13541666666666666</v>
      </c>
      <c r="P33" s="95">
        <f>'25'!P108</f>
        <v>0.60291666666666688</v>
      </c>
      <c r="Q33" s="95">
        <f>'25'!Q108</f>
        <v>4.1484375000000009</v>
      </c>
      <c r="R33" s="160"/>
      <c r="S33" s="178"/>
      <c r="T33" s="160"/>
      <c r="U33" s="160"/>
    </row>
    <row r="34" spans="1:21">
      <c r="A34" s="157" t="str">
        <f>'26'!$B$2</f>
        <v>26/09/2023 00:15</v>
      </c>
      <c r="B34" s="95">
        <f>'26'!B108</f>
        <v>19.057395833333342</v>
      </c>
      <c r="C34" s="95">
        <f>'26'!C108</f>
        <v>26.528229166666673</v>
      </c>
      <c r="D34" s="95">
        <f>'26'!D108</f>
        <v>30.493437499999999</v>
      </c>
      <c r="E34" s="95">
        <f>'26'!E108</f>
        <v>7.2467708333333354</v>
      </c>
      <c r="F34" s="95">
        <f>'26'!F108</f>
        <v>5.1570833333333352</v>
      </c>
      <c r="G34" s="95">
        <f>'26'!G108</f>
        <v>38.155624999999993</v>
      </c>
      <c r="H34" s="95">
        <f>'26'!H108</f>
        <v>15.502499999999992</v>
      </c>
      <c r="I34" s="95">
        <f>'26'!I108</f>
        <v>6.7226041666666676</v>
      </c>
      <c r="J34" s="95">
        <f>'26'!J108</f>
        <v>0.19406249999999994</v>
      </c>
      <c r="K34" s="95">
        <f>'26'!K108</f>
        <v>161.32020833333331</v>
      </c>
      <c r="L34" s="95">
        <f>'26'!L108</f>
        <v>26.649374999999992</v>
      </c>
      <c r="M34" s="95">
        <f>'26'!M108</f>
        <v>91.704687499999935</v>
      </c>
      <c r="N34" s="95">
        <f>'26'!N108</f>
        <v>106.42083333333333</v>
      </c>
      <c r="O34" s="95">
        <f>'26'!O108</f>
        <v>8.3333333333333332E-3</v>
      </c>
      <c r="P34" s="95">
        <f>'26'!P108</f>
        <v>0.68958333333333321</v>
      </c>
      <c r="Q34" s="95">
        <f>'26'!Q108</f>
        <v>4.4117708333333345</v>
      </c>
      <c r="R34" s="160"/>
      <c r="S34" s="160"/>
      <c r="T34" s="160"/>
      <c r="U34" s="160"/>
    </row>
    <row r="35" spans="1:21">
      <c r="A35" s="157" t="str">
        <f>'27'!$B$2</f>
        <v>27/09/2023 00:15</v>
      </c>
      <c r="B35" s="95">
        <f>'27'!B108</f>
        <v>16.502527472527483</v>
      </c>
      <c r="C35" s="95">
        <f>'27'!C108</f>
        <v>27.233406593406585</v>
      </c>
      <c r="D35" s="95">
        <f>'27'!D108</f>
        <v>28.812967032967027</v>
      </c>
      <c r="E35" s="95">
        <f>'27'!E108</f>
        <v>8.9267816091954</v>
      </c>
      <c r="F35" s="95">
        <f>'27'!F108</f>
        <v>7.4067021276595737</v>
      </c>
      <c r="G35" s="95">
        <f>'27'!G108</f>
        <v>45.057640449438217</v>
      </c>
      <c r="H35" s="95">
        <f>'27'!H108</f>
        <v>17.63617977528089</v>
      </c>
      <c r="I35" s="95">
        <f>'27'!I108</f>
        <v>31.679270833333344</v>
      </c>
      <c r="J35" s="95">
        <f>'27'!J108</f>
        <v>0.1990625</v>
      </c>
      <c r="K35" s="95">
        <f>'27'!K108</f>
        <v>120.40229166666666</v>
      </c>
      <c r="L35" s="95">
        <f>'27'!L108</f>
        <v>27.788437499999997</v>
      </c>
      <c r="M35" s="95">
        <f>'27'!M108</f>
        <v>88.944479166666653</v>
      </c>
      <c r="N35" s="95">
        <f>'27'!N108</f>
        <v>126.93020833333334</v>
      </c>
      <c r="O35" s="95">
        <f>'27'!O108</f>
        <v>0</v>
      </c>
      <c r="P35" s="95">
        <f>'27'!P108</f>
        <v>0.61180851063829733</v>
      </c>
      <c r="Q35" s="95">
        <f>'27'!Q108</f>
        <v>4.2317708333333321</v>
      </c>
      <c r="R35" s="160"/>
      <c r="S35" s="160"/>
      <c r="T35" s="160"/>
      <c r="U35" s="160"/>
    </row>
    <row r="36" spans="1:21">
      <c r="A36" s="157" t="str">
        <f>'28'!$B$2</f>
        <v>28/09/2023 00:15</v>
      </c>
      <c r="B36" s="95">
        <f>'28'!B108</f>
        <v>15.148229166666667</v>
      </c>
      <c r="C36" s="95">
        <f>'28'!C108</f>
        <v>27.172395833333336</v>
      </c>
      <c r="D36" s="95">
        <f>'28'!D108</f>
        <v>27.695208333333326</v>
      </c>
      <c r="E36" s="95">
        <f>'28'!E108</f>
        <v>8.2161458333333357</v>
      </c>
      <c r="F36" s="95">
        <f>'28'!F108</f>
        <v>5.7684375000000001</v>
      </c>
      <c r="G36" s="95">
        <f>'28'!G108</f>
        <v>55.112916666666678</v>
      </c>
      <c r="H36" s="95">
        <f>'28'!H108</f>
        <v>25.811458333333309</v>
      </c>
      <c r="I36" s="95">
        <f>'28'!I108</f>
        <v>14.993229166666671</v>
      </c>
      <c r="J36" s="95">
        <f>'28'!J108</f>
        <v>0.30968750000000017</v>
      </c>
      <c r="K36" s="95">
        <f>'28'!K108</f>
        <v>114.93302083333329</v>
      </c>
      <c r="L36" s="95">
        <f>'28'!L108</f>
        <v>28.655312499999997</v>
      </c>
      <c r="M36" s="95">
        <f>'28'!M108</f>
        <v>85.52885416666669</v>
      </c>
      <c r="N36" s="95">
        <f>'28'!N108</f>
        <v>149.18229166666669</v>
      </c>
      <c r="O36" s="95">
        <f>'28'!O108</f>
        <v>0</v>
      </c>
      <c r="P36" s="95">
        <f>'28'!P108</f>
        <v>0.75656249999999992</v>
      </c>
      <c r="Q36" s="95">
        <f>'28'!Q108</f>
        <v>4.1711458333333322</v>
      </c>
      <c r="R36" s="160"/>
      <c r="S36" s="160"/>
      <c r="T36" s="160"/>
      <c r="U36" s="160"/>
    </row>
    <row r="37" spans="1:21" s="2" customFormat="1">
      <c r="A37" s="157" t="str">
        <f>'29'!$B$2</f>
        <v>29/09/2023 00:15</v>
      </c>
      <c r="B37" s="95">
        <f>'29'!B108</f>
        <v>19.543854166666659</v>
      </c>
      <c r="C37" s="95">
        <f>'29'!C108</f>
        <v>26.56708333333334</v>
      </c>
      <c r="D37" s="95">
        <f>'29'!D108</f>
        <v>30.903958333333321</v>
      </c>
      <c r="E37" s="95">
        <f>'29'!E108</f>
        <v>9.777708333333333</v>
      </c>
      <c r="F37" s="95">
        <f>'29'!F108</f>
        <v>4.5507291666666667</v>
      </c>
      <c r="G37" s="95">
        <f>'29'!G108</f>
        <v>53.063854166666722</v>
      </c>
      <c r="H37" s="95">
        <f>'29'!H108</f>
        <v>22.190624999999994</v>
      </c>
      <c r="I37" s="95">
        <f>'29'!I108</f>
        <v>5.7583333333333337</v>
      </c>
      <c r="J37" s="95">
        <f>'29'!J108</f>
        <v>0.29697916666666663</v>
      </c>
      <c r="K37" s="95">
        <f>'29'!K108</f>
        <v>109.19885416666664</v>
      </c>
      <c r="L37" s="95">
        <f>'29'!L108</f>
        <v>27.728541666666668</v>
      </c>
      <c r="M37" s="95">
        <f>'29'!M108</f>
        <v>86.842708333333306</v>
      </c>
      <c r="N37" s="95">
        <f>'29'!N108</f>
        <v>127.04166666666664</v>
      </c>
      <c r="O37" s="95">
        <f>'29'!O108</f>
        <v>1.6666666666666666E-2</v>
      </c>
      <c r="P37" s="95">
        <f>'29'!P108</f>
        <v>0.68218750000000006</v>
      </c>
      <c r="Q37" s="95">
        <f>'29'!Q108</f>
        <v>4.3388541666666658</v>
      </c>
      <c r="R37" s="160"/>
      <c r="S37" s="160"/>
      <c r="T37" s="160"/>
      <c r="U37" s="160"/>
    </row>
    <row r="38" spans="1:21" s="2" customFormat="1">
      <c r="A38" s="157" t="str">
        <f>'30'!$B$2</f>
        <v>30/09/2023 00:15</v>
      </c>
      <c r="B38" s="95">
        <f>'30'!B108</f>
        <v>12.16927083333333</v>
      </c>
      <c r="C38" s="95">
        <f>'30'!C108</f>
        <v>25.009583333333325</v>
      </c>
      <c r="D38" s="95">
        <f>'30'!D108</f>
        <v>24.176770833333332</v>
      </c>
      <c r="E38" s="95">
        <f>'30'!E108</f>
        <v>7.6209374999999993</v>
      </c>
      <c r="F38" s="95">
        <f>'30'!F108</f>
        <v>4.8255208333333313</v>
      </c>
      <c r="G38" s="95">
        <f>'30'!G108</f>
        <v>31.73343749999999</v>
      </c>
      <c r="H38" s="95">
        <f>'30'!H108</f>
        <v>13.135937499999997</v>
      </c>
      <c r="I38" s="95">
        <f>'30'!I108</f>
        <v>5.752395833333332</v>
      </c>
      <c r="J38" s="95">
        <f>'30'!J108</f>
        <v>0.25708333333333327</v>
      </c>
      <c r="K38" s="95">
        <f>'30'!K108</f>
        <v>235.93218749999997</v>
      </c>
      <c r="L38" s="95">
        <f>'30'!L108</f>
        <v>27.203124999999989</v>
      </c>
      <c r="M38" s="95">
        <f>'30'!M108</f>
        <v>87.794791666666683</v>
      </c>
      <c r="N38" s="95">
        <f>'30'!N108</f>
        <v>104.45833333333339</v>
      </c>
      <c r="O38" s="95">
        <f>'30'!O108</f>
        <v>0</v>
      </c>
      <c r="P38" s="95">
        <f>'30'!P108</f>
        <v>0.69843749999999982</v>
      </c>
      <c r="Q38" s="95">
        <f>'30'!Q108</f>
        <v>4.0136458333333325</v>
      </c>
      <c r="R38" s="160"/>
      <c r="S38" s="160"/>
      <c r="T38" s="160"/>
      <c r="U38" s="160"/>
    </row>
    <row r="39" spans="1:21" s="2" customFormat="1">
      <c r="A39" s="144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</row>
    <row r="40" spans="1:21" s="2" customFormat="1">
      <c r="A40" s="144" t="s">
        <v>48</v>
      </c>
      <c r="B40" s="161">
        <f t="shared" ref="B40:Q40" si="0">MIN(B9:B38)</f>
        <v>8.2954166666666662</v>
      </c>
      <c r="C40" s="161">
        <f t="shared" si="0"/>
        <v>14.256979166666673</v>
      </c>
      <c r="D40" s="161">
        <f t="shared" si="0"/>
        <v>16.469583333333325</v>
      </c>
      <c r="E40" s="161">
        <f t="shared" si="0"/>
        <v>7.2467708333333354</v>
      </c>
      <c r="F40" s="161">
        <f t="shared" si="0"/>
        <v>4.3555208333333324</v>
      </c>
      <c r="G40" s="161">
        <f t="shared" si="0"/>
        <v>4.1827083333333324</v>
      </c>
      <c r="H40" s="161">
        <f t="shared" si="0"/>
        <v>1.8905952380952367</v>
      </c>
      <c r="I40" s="161">
        <f t="shared" si="0"/>
        <v>2.7494791666666676</v>
      </c>
      <c r="J40" s="161">
        <f t="shared" si="0"/>
        <v>0.15541666666666668</v>
      </c>
      <c r="K40" s="161">
        <f t="shared" si="0"/>
        <v>109.19885416666664</v>
      </c>
      <c r="L40" s="161">
        <f t="shared" si="0"/>
        <v>24.904166666666665</v>
      </c>
      <c r="M40" s="161">
        <f t="shared" si="0"/>
        <v>78.13229166666666</v>
      </c>
      <c r="N40" s="161">
        <f t="shared" si="0"/>
        <v>27.301041666666666</v>
      </c>
      <c r="O40" s="161">
        <f t="shared" si="0"/>
        <v>0</v>
      </c>
      <c r="P40" s="161">
        <f t="shared" si="0"/>
        <v>0.35958333333333331</v>
      </c>
      <c r="Q40" s="161">
        <f t="shared" si="0"/>
        <v>3.8159375000000022</v>
      </c>
      <c r="R40" s="161"/>
      <c r="S40" s="161"/>
      <c r="T40" s="161"/>
      <c r="U40" s="161"/>
    </row>
    <row r="41" spans="1:21" s="2" customFormat="1">
      <c r="A41" s="144" t="s">
        <v>49</v>
      </c>
      <c r="B41" s="161">
        <f t="shared" ref="B41:Q41" si="1">MAX(B9:B38)</f>
        <v>19.543854166666659</v>
      </c>
      <c r="C41" s="161">
        <f t="shared" si="1"/>
        <v>27.233406593406585</v>
      </c>
      <c r="D41" s="161">
        <f t="shared" si="1"/>
        <v>30.903958333333321</v>
      </c>
      <c r="E41" s="161">
        <f t="shared" si="1"/>
        <v>10.7909375</v>
      </c>
      <c r="F41" s="161">
        <f t="shared" si="1"/>
        <v>9.6631250000000026</v>
      </c>
      <c r="G41" s="161">
        <f t="shared" si="1"/>
        <v>55.112916666666678</v>
      </c>
      <c r="H41" s="161">
        <f t="shared" si="1"/>
        <v>25.811458333333309</v>
      </c>
      <c r="I41" s="161">
        <f t="shared" si="1"/>
        <v>31.679270833333344</v>
      </c>
      <c r="J41" s="161">
        <f t="shared" si="1"/>
        <v>0.48270833333333329</v>
      </c>
      <c r="K41" s="161">
        <f t="shared" si="1"/>
        <v>273.71937500000007</v>
      </c>
      <c r="L41" s="161">
        <f t="shared" si="1"/>
        <v>29.90343750000001</v>
      </c>
      <c r="M41" s="161">
        <f t="shared" si="1"/>
        <v>97.275520833333317</v>
      </c>
      <c r="N41" s="161">
        <f t="shared" si="1"/>
        <v>204.67604166666663</v>
      </c>
      <c r="O41" s="161">
        <f t="shared" si="1"/>
        <v>1.0145833333333334</v>
      </c>
      <c r="P41" s="161">
        <f t="shared" si="1"/>
        <v>0.76343749999999977</v>
      </c>
      <c r="Q41" s="161">
        <f t="shared" si="1"/>
        <v>5.7560416666666674</v>
      </c>
      <c r="R41" s="161"/>
      <c r="S41" s="161"/>
      <c r="T41" s="161"/>
      <c r="U41" s="161"/>
    </row>
    <row r="42" spans="1:21" s="2" customFormat="1">
      <c r="A42" s="144" t="s">
        <v>50</v>
      </c>
      <c r="B42" s="161">
        <f t="shared" ref="B42:Q42" si="2">AVERAGE(B9:B38)</f>
        <v>12.355750109219819</v>
      </c>
      <c r="C42" s="161">
        <f t="shared" si="2"/>
        <v>20.165561846299177</v>
      </c>
      <c r="D42" s="161">
        <f t="shared" si="2"/>
        <v>21.795321259809572</v>
      </c>
      <c r="E42" s="161">
        <f t="shared" si="2"/>
        <v>8.3794141113788907</v>
      </c>
      <c r="F42" s="161">
        <f t="shared" si="2"/>
        <v>5.9352691155221606</v>
      </c>
      <c r="G42" s="161">
        <f t="shared" si="2"/>
        <v>25.688891781304598</v>
      </c>
      <c r="H42" s="161">
        <f t="shared" si="2"/>
        <v>9.7590438351582449</v>
      </c>
      <c r="I42" s="161">
        <f t="shared" si="2"/>
        <v>6.1039292000381398</v>
      </c>
      <c r="J42" s="161">
        <f t="shared" si="2"/>
        <v>0.29589415749035713</v>
      </c>
      <c r="K42" s="161">
        <f t="shared" si="2"/>
        <v>209.17658052911531</v>
      </c>
      <c r="L42" s="161">
        <f t="shared" si="2"/>
        <v>27.082686156215004</v>
      </c>
      <c r="M42" s="161">
        <f t="shared" si="2"/>
        <v>88.606465139355478</v>
      </c>
      <c r="N42" s="161">
        <f t="shared" si="2"/>
        <v>107.97310520872215</v>
      </c>
      <c r="O42" s="161">
        <f t="shared" si="2"/>
        <v>0.14599435423665549</v>
      </c>
      <c r="P42" s="161">
        <f t="shared" si="2"/>
        <v>0.55854997589274591</v>
      </c>
      <c r="Q42" s="161">
        <f t="shared" si="2"/>
        <v>4.8337130911517923</v>
      </c>
      <c r="R42" s="161"/>
      <c r="S42" s="161"/>
      <c r="T42" s="161"/>
      <c r="U42" s="161"/>
    </row>
    <row r="43" spans="1:21" s="2" customFormat="1">
      <c r="A43" s="144" t="s">
        <v>51</v>
      </c>
      <c r="B43" s="161">
        <f t="shared" ref="B43:Q43" si="3">STDEV(B9:B38)</f>
        <v>3.0029187442181917</v>
      </c>
      <c r="C43" s="161">
        <f t="shared" si="3"/>
        <v>4.2029980581520139</v>
      </c>
      <c r="D43" s="161">
        <f t="shared" si="3"/>
        <v>4.454283857609985</v>
      </c>
      <c r="E43" s="161">
        <f t="shared" si="3"/>
        <v>0.89947751008692856</v>
      </c>
      <c r="F43" s="161">
        <f t="shared" si="3"/>
        <v>1.2553194442734534</v>
      </c>
      <c r="G43" s="161">
        <f t="shared" si="3"/>
        <v>15.51489075604753</v>
      </c>
      <c r="H43" s="161">
        <f t="shared" si="3"/>
        <v>6.1017873219997254</v>
      </c>
      <c r="I43" s="161">
        <f t="shared" si="3"/>
        <v>5.4755886083651362</v>
      </c>
      <c r="J43" s="161">
        <f t="shared" si="3"/>
        <v>8.4720693971499561E-2</v>
      </c>
      <c r="K43" s="161">
        <f t="shared" si="3"/>
        <v>53.037568771582137</v>
      </c>
      <c r="L43" s="161">
        <f t="shared" si="3"/>
        <v>1.2406385407897256</v>
      </c>
      <c r="M43" s="161">
        <f t="shared" si="3"/>
        <v>5.1797887393215305</v>
      </c>
      <c r="N43" s="161">
        <f t="shared" si="3"/>
        <v>38.081244160772606</v>
      </c>
      <c r="O43" s="161">
        <f t="shared" si="3"/>
        <v>0.26605015142248722</v>
      </c>
      <c r="P43" s="161">
        <f t="shared" si="3"/>
        <v>0.11920713120553647</v>
      </c>
      <c r="Q43" s="161">
        <f t="shared" si="3"/>
        <v>0.59600352093294306</v>
      </c>
      <c r="R43" s="161"/>
      <c r="S43" s="161"/>
      <c r="T43" s="161"/>
      <c r="U43" s="161"/>
    </row>
    <row r="44" spans="1:21" s="2" customFormat="1">
      <c r="A44" s="144" t="s">
        <v>52</v>
      </c>
      <c r="B44" s="147">
        <f t="shared" ref="B44:Q44" si="4">COUNT(B9:B38)</f>
        <v>30</v>
      </c>
      <c r="C44" s="147">
        <f t="shared" si="4"/>
        <v>30</v>
      </c>
      <c r="D44" s="147">
        <f t="shared" si="4"/>
        <v>30</v>
      </c>
      <c r="E44" s="147">
        <f t="shared" si="4"/>
        <v>30</v>
      </c>
      <c r="F44" s="147">
        <f t="shared" si="4"/>
        <v>30</v>
      </c>
      <c r="G44" s="147">
        <f t="shared" si="4"/>
        <v>30</v>
      </c>
      <c r="H44" s="147">
        <f t="shared" si="4"/>
        <v>30</v>
      </c>
      <c r="I44" s="147">
        <f t="shared" si="4"/>
        <v>30</v>
      </c>
      <c r="J44" s="147">
        <f t="shared" si="4"/>
        <v>30</v>
      </c>
      <c r="K44" s="147">
        <f t="shared" si="4"/>
        <v>30</v>
      </c>
      <c r="L44" s="147">
        <f t="shared" si="4"/>
        <v>30</v>
      </c>
      <c r="M44" s="147">
        <f t="shared" si="4"/>
        <v>30</v>
      </c>
      <c r="N44" s="147">
        <f t="shared" si="4"/>
        <v>30</v>
      </c>
      <c r="O44" s="147">
        <f t="shared" si="4"/>
        <v>30</v>
      </c>
      <c r="P44" s="147">
        <f t="shared" si="4"/>
        <v>30</v>
      </c>
      <c r="Q44" s="147">
        <f t="shared" si="4"/>
        <v>30</v>
      </c>
      <c r="R44" s="147"/>
      <c r="S44" s="147"/>
      <c r="T44" s="147"/>
      <c r="U44" s="147"/>
    </row>
    <row r="45" spans="1:21" s="2" customFormat="1">
      <c r="A45" s="144" t="s">
        <v>53</v>
      </c>
      <c r="B45" s="147" t="str">
        <f>IF(B44&gt;=28,"&gt;90%",IF(B44&lt;=28,"&lt;90%"))</f>
        <v>&gt;90%</v>
      </c>
      <c r="C45" s="147" t="str">
        <f t="shared" ref="C45:Q45" si="5">IF(C44&gt;=28,"&gt;90%",IF(C44&lt;=28,"&lt;90%"))</f>
        <v>&gt;90%</v>
      </c>
      <c r="D45" s="147" t="str">
        <f t="shared" si="5"/>
        <v>&gt;90%</v>
      </c>
      <c r="E45" s="147" t="str">
        <f t="shared" si="5"/>
        <v>&gt;90%</v>
      </c>
      <c r="F45" s="147" t="str">
        <f t="shared" si="5"/>
        <v>&gt;90%</v>
      </c>
      <c r="G45" s="147" t="str">
        <f t="shared" si="5"/>
        <v>&gt;90%</v>
      </c>
      <c r="H45" s="147" t="str">
        <f t="shared" si="5"/>
        <v>&gt;90%</v>
      </c>
      <c r="I45" s="147" t="str">
        <f t="shared" si="5"/>
        <v>&gt;90%</v>
      </c>
      <c r="J45" s="147" t="str">
        <f t="shared" si="5"/>
        <v>&gt;90%</v>
      </c>
      <c r="K45" s="147" t="str">
        <f t="shared" si="5"/>
        <v>&gt;90%</v>
      </c>
      <c r="L45" s="147" t="str">
        <f t="shared" si="5"/>
        <v>&gt;90%</v>
      </c>
      <c r="M45" s="147" t="str">
        <f t="shared" si="5"/>
        <v>&gt;90%</v>
      </c>
      <c r="N45" s="147" t="str">
        <f t="shared" si="5"/>
        <v>&gt;90%</v>
      </c>
      <c r="O45" s="147" t="str">
        <f t="shared" si="5"/>
        <v>&gt;90%</v>
      </c>
      <c r="P45" s="147" t="str">
        <f t="shared" si="5"/>
        <v>&gt;90%</v>
      </c>
      <c r="Q45" s="147" t="str">
        <f t="shared" si="5"/>
        <v>&gt;90%</v>
      </c>
      <c r="R45" s="147"/>
      <c r="S45" s="147"/>
      <c r="T45" s="147"/>
      <c r="U45" s="147"/>
    </row>
    <row r="46" spans="1:21">
      <c r="A46" s="144" t="s">
        <v>54</v>
      </c>
      <c r="B46" s="147" t="str">
        <f>IF(B44&gt;=28,"OK",IF(B44&lt;=28,"LESS"))</f>
        <v>OK</v>
      </c>
      <c r="C46" s="147" t="str">
        <f t="shared" ref="C46:Q46" si="6">IF(C44&gt;=28,"OK",IF(C44&lt;=28,"LESS"))</f>
        <v>OK</v>
      </c>
      <c r="D46" s="147" t="str">
        <f t="shared" si="6"/>
        <v>OK</v>
      </c>
      <c r="E46" s="147" t="str">
        <f t="shared" si="6"/>
        <v>OK</v>
      </c>
      <c r="F46" s="147" t="str">
        <f t="shared" si="6"/>
        <v>OK</v>
      </c>
      <c r="G46" s="147" t="str">
        <f t="shared" si="6"/>
        <v>OK</v>
      </c>
      <c r="H46" s="147" t="str">
        <f t="shared" si="6"/>
        <v>OK</v>
      </c>
      <c r="I46" s="147" t="str">
        <f t="shared" si="6"/>
        <v>OK</v>
      </c>
      <c r="J46" s="147" t="str">
        <f t="shared" si="6"/>
        <v>OK</v>
      </c>
      <c r="K46" s="147" t="str">
        <f t="shared" si="6"/>
        <v>OK</v>
      </c>
      <c r="L46" s="147" t="str">
        <f t="shared" si="6"/>
        <v>OK</v>
      </c>
      <c r="M46" s="147" t="str">
        <f t="shared" si="6"/>
        <v>OK</v>
      </c>
      <c r="N46" s="147" t="str">
        <f t="shared" si="6"/>
        <v>OK</v>
      </c>
      <c r="O46" s="147" t="str">
        <f t="shared" si="6"/>
        <v>OK</v>
      </c>
      <c r="P46" s="147" t="str">
        <f t="shared" si="6"/>
        <v>OK</v>
      </c>
      <c r="Q46" s="147" t="str">
        <f t="shared" si="6"/>
        <v>OK</v>
      </c>
      <c r="R46" s="147"/>
      <c r="S46" s="147"/>
      <c r="T46" s="147"/>
      <c r="U46" s="147"/>
    </row>
    <row r="47" spans="1:2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9" spans="1:16">
      <c r="A49" s="144" t="s">
        <v>55</v>
      </c>
      <c r="B49" s="191" t="s">
        <v>56</v>
      </c>
      <c r="C49" s="191"/>
      <c r="D49" s="19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62"/>
      <c r="B50" s="2"/>
      <c r="C50" s="2"/>
      <c r="D50" s="163"/>
      <c r="E50" s="163"/>
      <c r="F50" s="163"/>
      <c r="G50" s="163"/>
      <c r="H50" s="163"/>
      <c r="I50" s="163"/>
      <c r="J50" s="2"/>
      <c r="K50" s="2"/>
      <c r="L50" s="2"/>
      <c r="M50" s="2"/>
      <c r="N50" s="2"/>
      <c r="O50" s="2"/>
      <c r="P50" s="2"/>
    </row>
    <row r="51" spans="1:16" ht="15.75">
      <c r="A51" s="164" t="s">
        <v>57</v>
      </c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</row>
    <row r="52" spans="1:16">
      <c r="A52" s="16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</sheetData>
  <mergeCells count="2">
    <mergeCell ref="B49:D49"/>
    <mergeCell ref="B51:P51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>
  <dimension ref="B1:X119"/>
  <sheetViews>
    <sheetView zoomScale="85" zoomScaleNormal="85" workbookViewId="0">
      <selection activeCell="B9" sqref="B9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4" t="s">
        <v>61</v>
      </c>
      <c r="E1" s="194"/>
      <c r="F1" s="194"/>
      <c r="G1" s="194"/>
      <c r="H1" s="194"/>
      <c r="I1" s="194"/>
      <c r="J1" s="195"/>
    </row>
    <row r="2" spans="2:24" ht="22.5" customHeight="1">
      <c r="B2" s="2"/>
      <c r="C2" s="91" t="s">
        <v>2</v>
      </c>
      <c r="D2" s="196" t="s">
        <v>238</v>
      </c>
      <c r="E2" s="197"/>
      <c r="F2" s="197"/>
      <c r="G2" s="197"/>
      <c r="H2" s="197"/>
      <c r="I2" s="197"/>
      <c r="J2" s="198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9" t="s">
        <v>62</v>
      </c>
      <c r="H5" s="199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>
        <v>45196.590277777781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5">
        <v>198</v>
      </c>
      <c r="I8" s="6">
        <v>0</v>
      </c>
      <c r="J8" s="95">
        <f>F8/H8</f>
        <v>1.0101010101010102</v>
      </c>
      <c r="K8" s="95">
        <f>(H8-F8)*100/F8</f>
        <v>-1</v>
      </c>
      <c r="L8" s="6" t="s">
        <v>80</v>
      </c>
      <c r="M8" s="115" t="s">
        <v>56</v>
      </c>
      <c r="O8" s="82">
        <v>45177.488888888889</v>
      </c>
      <c r="P8" s="112" t="s">
        <v>63</v>
      </c>
      <c r="Q8" s="112">
        <v>4978.07</v>
      </c>
      <c r="R8" s="112">
        <v>3824.6</v>
      </c>
      <c r="S8" s="134" t="s">
        <v>81</v>
      </c>
      <c r="T8" s="134">
        <v>851.27</v>
      </c>
      <c r="U8" s="130">
        <v>0.97050000000000003</v>
      </c>
      <c r="V8" s="130">
        <v>0.98499999999999999</v>
      </c>
      <c r="W8" s="6" t="s">
        <v>80</v>
      </c>
      <c r="X8" s="115" t="s">
        <v>56</v>
      </c>
    </row>
    <row r="9" spans="2:24" ht="15.75">
      <c r="B9" s="8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80</v>
      </c>
      <c r="M9" s="115" t="s">
        <v>56</v>
      </c>
      <c r="O9" s="82">
        <v>45183.509722222225</v>
      </c>
      <c r="P9" s="112" t="s">
        <v>63</v>
      </c>
      <c r="Q9" s="112">
        <v>4847.5200000000004</v>
      </c>
      <c r="R9" s="112">
        <v>3719.13</v>
      </c>
      <c r="S9" s="134" t="s">
        <v>81</v>
      </c>
      <c r="T9" s="134">
        <v>872.47</v>
      </c>
      <c r="U9" s="130">
        <v>0.98499999999999999</v>
      </c>
      <c r="V9" s="130">
        <v>0.97540000000000004</v>
      </c>
      <c r="W9" s="6" t="s">
        <v>80</v>
      </c>
      <c r="X9" s="115" t="s">
        <v>56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80</v>
      </c>
      <c r="M10" s="115" t="s">
        <v>56</v>
      </c>
      <c r="O10" s="82">
        <v>45196.522222222222</v>
      </c>
      <c r="P10" s="112" t="s">
        <v>63</v>
      </c>
      <c r="Q10" s="112">
        <v>4818.59</v>
      </c>
      <c r="R10" s="112">
        <v>3693.81</v>
      </c>
      <c r="S10" s="134" t="s">
        <v>81</v>
      </c>
      <c r="T10" s="134">
        <v>865.45</v>
      </c>
      <c r="U10" s="130">
        <v>0.97540000000000004</v>
      </c>
      <c r="V10" s="130">
        <v>0.9738</v>
      </c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/>
      <c r="P11" s="112" t="s">
        <v>63</v>
      </c>
      <c r="Q11" s="112"/>
      <c r="R11" s="112"/>
      <c r="S11" s="134" t="s">
        <v>81</v>
      </c>
      <c r="T11" s="134"/>
      <c r="U11" s="130"/>
      <c r="V11" s="130"/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200" t="s">
        <v>82</v>
      </c>
      <c r="D21" s="200"/>
      <c r="E21" s="200"/>
      <c r="F21" s="200"/>
      <c r="G21" s="200"/>
      <c r="H21" s="200"/>
      <c r="I21" s="119">
        <f>COUNT(B8:B20)</f>
        <v>1</v>
      </c>
      <c r="J21" s="120"/>
      <c r="K21" s="120"/>
      <c r="L21" s="106"/>
      <c r="M21" s="121"/>
      <c r="O21" s="122"/>
      <c r="P21" s="201" t="s">
        <v>83</v>
      </c>
      <c r="Q21" s="201"/>
      <c r="R21" s="201"/>
      <c r="S21" s="201"/>
      <c r="T21" s="135">
        <f>COUNT(O8:O20)</f>
        <v>3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202" t="s">
        <v>84</v>
      </c>
      <c r="H24" s="202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>
        <v>45183.553472222222</v>
      </c>
      <c r="C27" s="6" t="s">
        <v>85</v>
      </c>
      <c r="D27" s="6" t="s">
        <v>39</v>
      </c>
      <c r="E27" s="6">
        <v>0</v>
      </c>
      <c r="F27" s="6">
        <v>200</v>
      </c>
      <c r="G27" s="6">
        <v>0</v>
      </c>
      <c r="H27" s="95">
        <v>199.8</v>
      </c>
      <c r="I27" s="6">
        <v>0</v>
      </c>
      <c r="J27" s="95">
        <f>F27/H27</f>
        <v>1.0010010010010009</v>
      </c>
      <c r="K27" s="95">
        <f>(H27-F27)*100/F27</f>
        <v>-9.9999999999994316E-2</v>
      </c>
      <c r="L27" s="6" t="s">
        <v>80</v>
      </c>
      <c r="M27" s="115" t="s">
        <v>56</v>
      </c>
      <c r="O27" s="82">
        <v>45177.488888888889</v>
      </c>
      <c r="P27" s="112" t="s">
        <v>29</v>
      </c>
      <c r="Q27" s="112">
        <v>4730.57</v>
      </c>
      <c r="R27" s="112">
        <v>3656.55</v>
      </c>
      <c r="S27" s="134" t="s">
        <v>86</v>
      </c>
      <c r="T27" s="134">
        <v>799.32</v>
      </c>
      <c r="U27" s="130">
        <v>0.93720000000000003</v>
      </c>
      <c r="V27" s="130">
        <v>0.92510000000000003</v>
      </c>
      <c r="W27" s="6" t="s">
        <v>80</v>
      </c>
      <c r="X27" s="115" t="s">
        <v>56</v>
      </c>
    </row>
    <row r="28" spans="2:24" ht="15.75">
      <c r="B28" s="82">
        <v>45196.556944444441</v>
      </c>
      <c r="C28" s="6" t="s">
        <v>85</v>
      </c>
      <c r="D28" s="6" t="s">
        <v>39</v>
      </c>
      <c r="E28" s="6">
        <v>0</v>
      </c>
      <c r="F28" s="6">
        <v>200</v>
      </c>
      <c r="G28" s="6">
        <v>0</v>
      </c>
      <c r="H28" s="95">
        <v>199.4</v>
      </c>
      <c r="I28" s="6">
        <v>0</v>
      </c>
      <c r="J28" s="95">
        <f t="shared" ref="J28:J33" si="2">F28/H28</f>
        <v>1.0030090270812437</v>
      </c>
      <c r="K28" s="95">
        <f t="shared" ref="K28:K33" si="3">(H28-F28)*100/F28</f>
        <v>-0.29999999999999716</v>
      </c>
      <c r="L28" s="6" t="s">
        <v>80</v>
      </c>
      <c r="M28" s="115" t="s">
        <v>56</v>
      </c>
      <c r="O28" s="82">
        <v>45183.509722222225</v>
      </c>
      <c r="P28" s="112" t="s">
        <v>29</v>
      </c>
      <c r="Q28" s="112">
        <v>4685.3</v>
      </c>
      <c r="R28" s="112">
        <v>3622.4</v>
      </c>
      <c r="S28" s="134" t="s">
        <v>86</v>
      </c>
      <c r="T28" s="134">
        <v>795.06</v>
      </c>
      <c r="U28" s="130">
        <v>0.92510000000000003</v>
      </c>
      <c r="V28" s="130">
        <v>0.91800000000000004</v>
      </c>
      <c r="W28" s="6" t="s">
        <v>80</v>
      </c>
      <c r="X28" s="115" t="s">
        <v>56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2">
        <v>45196.522222222222</v>
      </c>
      <c r="P29" s="112" t="s">
        <v>29</v>
      </c>
      <c r="Q29" s="112">
        <v>4637.6099999999997</v>
      </c>
      <c r="R29" s="112">
        <v>3588.55</v>
      </c>
      <c r="S29" s="134" t="s">
        <v>86</v>
      </c>
      <c r="T29" s="134">
        <v>784.66</v>
      </c>
      <c r="U29" s="130">
        <v>0.91800000000000004</v>
      </c>
      <c r="V29" s="130">
        <v>0.92310000000000003</v>
      </c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/>
      <c r="P30" s="112" t="s">
        <v>29</v>
      </c>
      <c r="Q30" s="112"/>
      <c r="R30" s="112"/>
      <c r="S30" s="134" t="s">
        <v>86</v>
      </c>
      <c r="T30" s="134"/>
      <c r="U30" s="130"/>
      <c r="V30" s="130"/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201" t="s">
        <v>87</v>
      </c>
      <c r="Q40" s="201"/>
      <c r="R40" s="201"/>
      <c r="S40" s="201"/>
      <c r="T40" s="135">
        <f>COUNT(O27:O39)</f>
        <v>3</v>
      </c>
      <c r="U40" s="136"/>
      <c r="V40" s="136"/>
      <c r="W40" s="137"/>
      <c r="X40" s="138"/>
    </row>
    <row r="41" spans="2:24">
      <c r="B41" s="99"/>
      <c r="C41" s="106"/>
      <c r="D41" s="200" t="s">
        <v>88</v>
      </c>
      <c r="E41" s="200"/>
      <c r="F41" s="200"/>
      <c r="G41" s="200"/>
      <c r="H41" s="200"/>
      <c r="I41" s="200"/>
      <c r="J41" s="126">
        <f>COUNT(B27:B39)</f>
        <v>2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202" t="s">
        <v>38</v>
      </c>
      <c r="H44" s="202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200" t="s">
        <v>89</v>
      </c>
      <c r="E61" s="200"/>
      <c r="F61" s="200"/>
      <c r="G61" s="200"/>
      <c r="H61" s="200"/>
      <c r="I61" s="200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202" t="s">
        <v>37</v>
      </c>
      <c r="H64" s="202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82">
        <v>45183.511805555558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5.08</v>
      </c>
      <c r="I67" s="6">
        <v>0</v>
      </c>
      <c r="J67" s="95">
        <f>F67/H67</f>
        <v>0.98425196850393704</v>
      </c>
      <c r="K67" s="95">
        <f>(H67-F67)*100/F67</f>
        <v>1.6000000000000014</v>
      </c>
      <c r="L67" s="6" t="s">
        <v>80</v>
      </c>
      <c r="M67" s="115" t="s">
        <v>56</v>
      </c>
    </row>
    <row r="68" spans="2:13" ht="15.75">
      <c r="B68" s="82">
        <v>45196.521527777775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5</v>
      </c>
      <c r="I68" s="6">
        <v>0</v>
      </c>
      <c r="J68" s="95">
        <f t="shared" ref="J68:J73" si="4">F68/H68</f>
        <v>1</v>
      </c>
      <c r="K68" s="95">
        <f t="shared" ref="K68:K73" si="5">(H68-F68)*100/F68</f>
        <v>0</v>
      </c>
      <c r="L68" s="6" t="s">
        <v>80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200" t="s">
        <v>90</v>
      </c>
      <c r="E81" s="200"/>
      <c r="F81" s="200"/>
      <c r="G81" s="200"/>
      <c r="H81" s="200"/>
      <c r="I81" s="200"/>
      <c r="J81" s="126">
        <f>COUNT(B67:B79)</f>
        <v>2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202" t="s">
        <v>91</v>
      </c>
      <c r="H84" s="202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200" t="s">
        <v>92</v>
      </c>
      <c r="E101" s="200"/>
      <c r="F101" s="200"/>
      <c r="G101" s="200"/>
      <c r="H101" s="200"/>
      <c r="I101" s="200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9" t="s">
        <v>93</v>
      </c>
      <c r="H104" s="199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>
        <v>45177.493055555555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5">
        <v>321.10000000000002</v>
      </c>
      <c r="I107" s="6">
        <f>G107-E107</f>
        <v>0</v>
      </c>
      <c r="J107" s="95">
        <f>F107/H107</f>
        <v>0.99657427592650261</v>
      </c>
      <c r="K107" s="95">
        <f>(H107-F107)*100/F107</f>
        <v>0.34375000000000711</v>
      </c>
      <c r="L107" s="6" t="s">
        <v>80</v>
      </c>
      <c r="M107" s="115" t="s">
        <v>56</v>
      </c>
    </row>
    <row r="108" spans="2:13" ht="15.75">
      <c r="B108" s="82">
        <v>45183.509722222225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>
        <v>320</v>
      </c>
      <c r="I108" s="6">
        <f>G108-E108</f>
        <v>0</v>
      </c>
      <c r="J108" s="95">
        <f>F108/H108</f>
        <v>1</v>
      </c>
      <c r="K108" s="95">
        <f>(H108-F108)*100/F108</f>
        <v>0</v>
      </c>
      <c r="L108" s="6" t="s">
        <v>80</v>
      </c>
      <c r="M108" s="115" t="s">
        <v>56</v>
      </c>
    </row>
    <row r="109" spans="2:13" ht="15.75">
      <c r="B109" s="82">
        <v>45196.521527777775</v>
      </c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>
        <v>320</v>
      </c>
      <c r="I109" s="6">
        <f t="shared" ref="I109:I115" si="8">G109-E109</f>
        <v>0</v>
      </c>
      <c r="J109" s="95">
        <f t="shared" ref="J109:J115" si="9">F109/H109</f>
        <v>1</v>
      </c>
      <c r="K109" s="95">
        <f t="shared" ref="K109:K115" si="10">(H109-F109)*100/F109</f>
        <v>0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200" t="s">
        <v>94</v>
      </c>
      <c r="D119" s="200"/>
      <c r="E119" s="200"/>
      <c r="F119" s="200"/>
      <c r="G119" s="200"/>
      <c r="H119" s="200"/>
      <c r="I119" s="126">
        <f>COUNT(B107:B118)</f>
        <v>3</v>
      </c>
      <c r="J119" s="120"/>
      <c r="K119" s="120"/>
      <c r="L119" s="106"/>
      <c r="M119" s="121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C9" sqref="C9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3" t="s">
        <v>95</v>
      </c>
      <c r="C2" s="203"/>
      <c r="D2" s="205" t="str">
        <f>'MONTHLY 30'!$B$2</f>
        <v>01/09/2023 00:15</v>
      </c>
      <c r="E2" s="205"/>
    </row>
    <row r="3" spans="2:5">
      <c r="B3" s="203" t="s">
        <v>96</v>
      </c>
      <c r="C3" s="203"/>
      <c r="D3" s="205"/>
      <c r="E3" s="205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>
        <v>45189.53125</v>
      </c>
      <c r="C8" s="80">
        <v>45189.552083333336</v>
      </c>
      <c r="D8" s="81">
        <f t="shared" ref="D8:D13" si="0">C8-B8</f>
        <v>2.0833333335758653E-2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2.0833333335758653E-2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4" t="s">
        <v>100</v>
      </c>
      <c r="C44" s="204"/>
      <c r="D44" s="87">
        <f>SUM(D11:D42)</f>
        <v>2.0833333335758653E-2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6" t="s">
        <v>101</v>
      </c>
      <c r="C2" s="206"/>
      <c r="D2" s="206"/>
      <c r="E2" s="206"/>
      <c r="F2" s="207">
        <v>1</v>
      </c>
      <c r="G2" s="208"/>
      <c r="H2" s="208"/>
    </row>
    <row r="3" spans="2:24" customFormat="1" ht="15" customHeight="1">
      <c r="B3" s="206"/>
      <c r="C3" s="206"/>
      <c r="D3" s="206"/>
      <c r="E3" s="206"/>
      <c r="F3" s="208"/>
      <c r="G3" s="208"/>
      <c r="H3" s="208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1" t="s">
        <v>93</v>
      </c>
      <c r="C12" s="222" t="s">
        <v>102</v>
      </c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46"/>
      <c r="U12" s="45"/>
    </row>
    <row r="13" spans="2:24" ht="15" customHeight="1">
      <c r="B13" s="212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2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2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2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2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2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3" t="s">
        <v>84</v>
      </c>
      <c r="C25" s="224" t="s">
        <v>102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09"/>
      <c r="S25" s="56"/>
      <c r="T25" s="57"/>
    </row>
    <row r="26" spans="2:28" ht="15" customHeight="1">
      <c r="B26" s="213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3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3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4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5" t="s">
        <v>37</v>
      </c>
      <c r="C36" s="226" t="s">
        <v>102</v>
      </c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7"/>
    </row>
    <row r="37" spans="2:25" ht="15.75" customHeight="1">
      <c r="B37" s="216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6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6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7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8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18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8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1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3" t="s">
        <v>196</v>
      </c>
      <c r="C61" s="224" t="s">
        <v>102</v>
      </c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09"/>
      <c r="S61" s="65"/>
      <c r="T61" s="66"/>
    </row>
    <row r="62" spans="2:20" ht="15.75">
      <c r="B62" s="213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19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4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3" t="s">
        <v>213</v>
      </c>
      <c r="C69" s="224" t="s">
        <v>102</v>
      </c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09"/>
      <c r="S69" s="65"/>
      <c r="T69" s="66"/>
    </row>
    <row r="70" spans="2:20" ht="15.75">
      <c r="B70" s="213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3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4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0" t="s">
        <v>91</v>
      </c>
      <c r="C77" s="209" t="s">
        <v>102</v>
      </c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70"/>
      <c r="S77" s="70"/>
      <c r="T77" s="15"/>
    </row>
    <row r="78" spans="2:20">
      <c r="B78" s="221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1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1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1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1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2023-10-06T12:34:44Z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