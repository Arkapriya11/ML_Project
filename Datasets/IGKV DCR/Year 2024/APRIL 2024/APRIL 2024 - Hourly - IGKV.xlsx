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MONTHLY 31" sheetId="39" r:id="rId31"/>
  </sheets>
  <calcPr calcId="124519"/>
</workbook>
</file>

<file path=xl/calcChain.xml><?xml version="1.0" encoding="utf-8"?>
<calcChain xmlns="http://schemas.openxmlformats.org/spreadsheetml/2006/main">
  <c r="Q38" i="39"/>
  <c r="P38"/>
  <c r="O38"/>
  <c r="O37"/>
  <c r="L37"/>
  <c r="G37"/>
  <c r="D37"/>
  <c r="B37"/>
  <c r="P36"/>
  <c r="O36"/>
  <c r="N36"/>
  <c r="H36"/>
  <c r="G36"/>
  <c r="N35"/>
  <c r="L35"/>
  <c r="F35"/>
  <c r="D35"/>
  <c r="K34"/>
  <c r="E34"/>
  <c r="M33"/>
  <c r="L33"/>
  <c r="H33"/>
  <c r="E33"/>
  <c r="D33"/>
  <c r="Q32"/>
  <c r="O32"/>
  <c r="L32"/>
  <c r="G32"/>
  <c r="O31"/>
  <c r="M31"/>
  <c r="E31"/>
  <c r="D31"/>
  <c r="P29"/>
  <c r="M29"/>
  <c r="K29"/>
  <c r="F29"/>
  <c r="C29"/>
  <c r="O27"/>
  <c r="N27"/>
  <c r="J27"/>
  <c r="I27"/>
  <c r="H27"/>
  <c r="B27"/>
  <c r="O26"/>
  <c r="H26"/>
  <c r="G26"/>
  <c r="F26"/>
  <c r="J25"/>
  <c r="F25"/>
  <c r="P22"/>
  <c r="E22"/>
  <c r="P20"/>
  <c r="E20"/>
  <c r="O18"/>
  <c r="I18"/>
  <c r="C18"/>
  <c r="O17"/>
  <c r="O14"/>
  <c r="H14"/>
  <c r="Q10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P36"/>
  <c r="O36"/>
  <c r="N36"/>
  <c r="N38" i="39" s="1"/>
  <c r="M36" i="40"/>
  <c r="M38" i="39" s="1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P39" i="43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37" i="39"/>
  <c r="P36" i="43"/>
  <c r="P37" i="39" s="1"/>
  <c r="O36" i="43"/>
  <c r="N36"/>
  <c r="N37" i="39" s="1"/>
  <c r="M36" i="43"/>
  <c r="M37" i="39" s="1"/>
  <c r="L36" i="43"/>
  <c r="K36"/>
  <c r="K37" i="39" s="1"/>
  <c r="J36" i="43"/>
  <c r="J37" i="39" s="1"/>
  <c r="I36" i="43"/>
  <c r="I37" i="39" s="1"/>
  <c r="H36" i="43"/>
  <c r="H37" i="39" s="1"/>
  <c r="G36" i="43"/>
  <c r="F36"/>
  <c r="F37" i="39" s="1"/>
  <c r="E36" i="43"/>
  <c r="E37" i="39" s="1"/>
  <c r="D36" i="43"/>
  <c r="C36"/>
  <c r="C37" i="39" s="1"/>
  <c r="B36" i="43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36"/>
  <c r="Q36" i="39" s="1"/>
  <c r="P36" i="33"/>
  <c r="O36"/>
  <c r="N36"/>
  <c r="M36"/>
  <c r="M36" i="39" s="1"/>
  <c r="L36" i="33"/>
  <c r="L36" i="39" s="1"/>
  <c r="K36" i="33"/>
  <c r="K36" i="39" s="1"/>
  <c r="J36" i="33"/>
  <c r="J36" i="39" s="1"/>
  <c r="I36" i="33"/>
  <c r="I36" i="39" s="1"/>
  <c r="H36" i="33"/>
  <c r="G36"/>
  <c r="F36"/>
  <c r="F36" i="39" s="1"/>
  <c r="E36" i="33"/>
  <c r="E36" i="39" s="1"/>
  <c r="D36" i="33"/>
  <c r="D36" i="39" s="1"/>
  <c r="C36" i="33"/>
  <c r="C36" i="39" s="1"/>
  <c r="B36" i="33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35" i="39"/>
  <c r="P36" i="32"/>
  <c r="P35" i="39" s="1"/>
  <c r="O36" i="32"/>
  <c r="O35" i="39" s="1"/>
  <c r="N36" i="32"/>
  <c r="M36"/>
  <c r="M35" i="39" s="1"/>
  <c r="L36" i="32"/>
  <c r="K36"/>
  <c r="K35" i="39" s="1"/>
  <c r="J36" i="32"/>
  <c r="J35" i="39" s="1"/>
  <c r="I36" i="32"/>
  <c r="I35" i="39" s="1"/>
  <c r="H36" i="32"/>
  <c r="H35" i="39" s="1"/>
  <c r="G36" i="32"/>
  <c r="G35" i="39" s="1"/>
  <c r="F36" i="32"/>
  <c r="E36"/>
  <c r="E35" i="39" s="1"/>
  <c r="D36" i="32"/>
  <c r="C36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34" i="39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J36"/>
  <c r="J34" i="39" s="1"/>
  <c r="I36" i="31"/>
  <c r="I34" i="39" s="1"/>
  <c r="H36" i="31"/>
  <c r="H34" i="39" s="1"/>
  <c r="G36" i="31"/>
  <c r="G34" i="39" s="1"/>
  <c r="F36" i="31"/>
  <c r="F34" i="39" s="1"/>
  <c r="E36" i="31"/>
  <c r="D36"/>
  <c r="D34" i="39" s="1"/>
  <c r="C36" i="31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P33" i="39" s="1"/>
  <c r="O36" i="30"/>
  <c r="O33" i="39" s="1"/>
  <c r="N36" i="30"/>
  <c r="N33" i="39" s="1"/>
  <c r="M36" i="30"/>
  <c r="L36"/>
  <c r="K36"/>
  <c r="K33" i="39" s="1"/>
  <c r="J36" i="30"/>
  <c r="J33" i="39" s="1"/>
  <c r="I36" i="30"/>
  <c r="I33" i="39" s="1"/>
  <c r="H36" i="30"/>
  <c r="G36"/>
  <c r="G33" i="39" s="1"/>
  <c r="F36" i="30"/>
  <c r="F33" i="39" s="1"/>
  <c r="E36" i="30"/>
  <c r="D36"/>
  <c r="C36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36"/>
  <c r="P36"/>
  <c r="P32" i="39" s="1"/>
  <c r="O36" i="29"/>
  <c r="N36"/>
  <c r="N32" i="39" s="1"/>
  <c r="M36" i="29"/>
  <c r="M32" i="39" s="1"/>
  <c r="L36" i="29"/>
  <c r="K36"/>
  <c r="K32" i="39" s="1"/>
  <c r="J36" i="29"/>
  <c r="J32" i="39" s="1"/>
  <c r="I36" i="29"/>
  <c r="I32" i="39" s="1"/>
  <c r="H36" i="29"/>
  <c r="H32" i="39" s="1"/>
  <c r="G36" i="29"/>
  <c r="F36"/>
  <c r="F32" i="39" s="1"/>
  <c r="E36" i="29"/>
  <c r="E32" i="39" s="1"/>
  <c r="D36" i="29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P31" i="39" s="1"/>
  <c r="O36" i="28"/>
  <c r="N36"/>
  <c r="N31" i="39" s="1"/>
  <c r="M36" i="28"/>
  <c r="L36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D36"/>
  <c r="C36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L39" i="26"/>
  <c r="D39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29" i="39"/>
  <c r="P36" i="26"/>
  <c r="O36"/>
  <c r="O29" i="39" s="1"/>
  <c r="N36" i="26"/>
  <c r="N29" i="39" s="1"/>
  <c r="M36" i="26"/>
  <c r="L36"/>
  <c r="L29" i="39" s="1"/>
  <c r="K36" i="26"/>
  <c r="J36"/>
  <c r="J29" i="39" s="1"/>
  <c r="I36" i="26"/>
  <c r="I29" i="39" s="1"/>
  <c r="H36" i="26"/>
  <c r="H29" i="39" s="1"/>
  <c r="G36" i="26"/>
  <c r="G29" i="39" s="1"/>
  <c r="F36" i="26"/>
  <c r="E36"/>
  <c r="E29" i="39" s="1"/>
  <c r="D36" i="26"/>
  <c r="D29" i="39" s="1"/>
  <c r="C36" i="26"/>
  <c r="B3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40" i="25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N36"/>
  <c r="M36"/>
  <c r="M27" i="39" s="1"/>
  <c r="L36" i="24"/>
  <c r="L27" i="39" s="1"/>
  <c r="K36" i="24"/>
  <c r="K27" i="39" s="1"/>
  <c r="J36" i="24"/>
  <c r="I36"/>
  <c r="H36"/>
  <c r="G36"/>
  <c r="G27" i="39" s="1"/>
  <c r="F36" i="24"/>
  <c r="F27" i="39" s="1"/>
  <c r="E36" i="24"/>
  <c r="E27" i="39" s="1"/>
  <c r="D36" i="24"/>
  <c r="D27" i="39" s="1"/>
  <c r="C36" i="24"/>
  <c r="C27" i="39" s="1"/>
  <c r="B36" i="24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N36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G36"/>
  <c r="F36"/>
  <c r="E36"/>
  <c r="E26" i="39" s="1"/>
  <c r="D36" i="23"/>
  <c r="D26" i="39" s="1"/>
  <c r="C36" i="23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I36"/>
  <c r="I25" i="39" s="1"/>
  <c r="H36" i="22"/>
  <c r="H25" i="39" s="1"/>
  <c r="G36" i="22"/>
  <c r="G25" i="39" s="1"/>
  <c r="F36" i="22"/>
  <c r="E36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O36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D36"/>
  <c r="D22" i="39" s="1"/>
  <c r="C36" i="19"/>
  <c r="C22" i="39" s="1"/>
  <c r="B36" i="19"/>
  <c r="B22" i="39" s="1"/>
  <c r="Q35" i="1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40"/>
  <c r="O40"/>
  <c r="N40"/>
  <c r="M40"/>
  <c r="L40"/>
  <c r="K40"/>
  <c r="J40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O39" i="17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O36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D36"/>
  <c r="D20" i="39" s="1"/>
  <c r="C36" i="17"/>
  <c r="C20" i="39" s="1"/>
  <c r="B36" i="17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N36"/>
  <c r="N18" i="39" s="1"/>
  <c r="M36" i="15"/>
  <c r="M18" i="39" s="1"/>
  <c r="L36" i="15"/>
  <c r="L18" i="39" s="1"/>
  <c r="K36" i="15"/>
  <c r="K18" i="39" s="1"/>
  <c r="J36" i="15"/>
  <c r="J18" i="39" s="1"/>
  <c r="I36" i="15"/>
  <c r="H36"/>
  <c r="H18" i="39" s="1"/>
  <c r="G36" i="15"/>
  <c r="G18" i="39" s="1"/>
  <c r="F36" i="15"/>
  <c r="F18" i="39" s="1"/>
  <c r="E36" i="15"/>
  <c r="E18" i="39" s="1"/>
  <c r="D36" i="15"/>
  <c r="D18" i="39" s="1"/>
  <c r="C36" i="15"/>
  <c r="B36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N36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N36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G36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N39" i="40" l="1"/>
  <c r="M39"/>
  <c r="L39"/>
  <c r="K39"/>
  <c r="J39"/>
  <c r="I39"/>
  <c r="H39"/>
  <c r="G39"/>
  <c r="F39"/>
  <c r="E39"/>
  <c r="D39"/>
  <c r="C39"/>
  <c r="B39"/>
  <c r="Q39"/>
  <c r="P39"/>
  <c r="O39"/>
  <c r="J39" i="43"/>
  <c r="I39"/>
  <c r="H39"/>
  <c r="G39"/>
  <c r="F39"/>
  <c r="E39"/>
  <c r="D39"/>
  <c r="C39"/>
  <c r="B39"/>
  <c r="Q39"/>
  <c r="O39"/>
  <c r="N39"/>
  <c r="M39"/>
  <c r="L39"/>
  <c r="K39"/>
  <c r="E39" i="33"/>
  <c r="D39"/>
  <c r="C39"/>
  <c r="B39"/>
  <c r="Q39"/>
  <c r="P39"/>
  <c r="O39"/>
  <c r="N39"/>
  <c r="M39"/>
  <c r="L39"/>
  <c r="K39"/>
  <c r="J39"/>
  <c r="I39"/>
  <c r="H39"/>
  <c r="G39"/>
  <c r="F39"/>
  <c r="B39" i="32"/>
  <c r="Q39"/>
  <c r="P39"/>
  <c r="O39"/>
  <c r="N39"/>
  <c r="M39"/>
  <c r="L39"/>
  <c r="K39"/>
  <c r="J39"/>
  <c r="I39"/>
  <c r="H39"/>
  <c r="G39"/>
  <c r="F39"/>
  <c r="E39"/>
  <c r="D39"/>
  <c r="C39"/>
  <c r="O39" i="31"/>
  <c r="N39"/>
  <c r="M39"/>
  <c r="L39"/>
  <c r="P39"/>
  <c r="K39"/>
  <c r="J39"/>
  <c r="I39"/>
  <c r="H39"/>
  <c r="G39"/>
  <c r="F39"/>
  <c r="E39"/>
  <c r="D39"/>
  <c r="C39"/>
  <c r="B39"/>
  <c r="Q39"/>
  <c r="K39" i="30"/>
  <c r="J39"/>
  <c r="I39"/>
  <c r="H39"/>
  <c r="G39"/>
  <c r="F39"/>
  <c r="E39"/>
  <c r="D39"/>
  <c r="C39"/>
  <c r="B39"/>
  <c r="Q39"/>
  <c r="P39"/>
  <c r="O39"/>
  <c r="N39"/>
  <c r="M39"/>
  <c r="L39"/>
  <c r="H40" i="29"/>
  <c r="G39"/>
  <c r="F39"/>
  <c r="E39"/>
  <c r="D39"/>
  <c r="C39"/>
  <c r="B39"/>
  <c r="Q39"/>
  <c r="P39"/>
  <c r="O39"/>
  <c r="N39"/>
  <c r="M39"/>
  <c r="L39"/>
  <c r="K39"/>
  <c r="J39"/>
  <c r="I39"/>
  <c r="E39" i="28"/>
  <c r="D39"/>
  <c r="C39"/>
  <c r="B39"/>
  <c r="Q39"/>
  <c r="P39"/>
  <c r="O39"/>
  <c r="N39"/>
  <c r="M39"/>
  <c r="L39"/>
  <c r="K39"/>
  <c r="J39"/>
  <c r="I39"/>
  <c r="H39"/>
  <c r="G39"/>
  <c r="F39"/>
  <c r="F39" i="27"/>
  <c r="E39"/>
  <c r="D39"/>
  <c r="C39"/>
  <c r="B39"/>
  <c r="Q39"/>
  <c r="P39"/>
  <c r="O39"/>
  <c r="N39"/>
  <c r="M39"/>
  <c r="L39"/>
  <c r="K39"/>
  <c r="J39"/>
  <c r="I39"/>
  <c r="H39"/>
  <c r="G39"/>
  <c r="Q39" i="26"/>
  <c r="P39"/>
  <c r="O39"/>
  <c r="N39"/>
  <c r="M39"/>
  <c r="K39"/>
  <c r="J39"/>
  <c r="I39"/>
  <c r="H39"/>
  <c r="G39"/>
  <c r="F39"/>
  <c r="E39"/>
  <c r="C39"/>
  <c r="B39"/>
  <c r="B39" i="25"/>
  <c r="Q39"/>
  <c r="P39"/>
  <c r="O39"/>
  <c r="N39"/>
  <c r="M39"/>
  <c r="L39"/>
  <c r="K39"/>
  <c r="J39"/>
  <c r="I39"/>
  <c r="H39"/>
  <c r="G39"/>
  <c r="F39"/>
  <c r="E39"/>
  <c r="D39"/>
  <c r="C39"/>
  <c r="N39" i="24"/>
  <c r="M39"/>
  <c r="L39"/>
  <c r="K39"/>
  <c r="J39"/>
  <c r="I39"/>
  <c r="H39"/>
  <c r="G39"/>
  <c r="F39"/>
  <c r="E39"/>
  <c r="D39"/>
  <c r="C40"/>
  <c r="B39"/>
  <c r="Q39"/>
  <c r="P39"/>
  <c r="O39"/>
  <c r="K39" i="23"/>
  <c r="J39"/>
  <c r="I39"/>
  <c r="H39"/>
  <c r="G39"/>
  <c r="F39"/>
  <c r="E39"/>
  <c r="D39"/>
  <c r="C39"/>
  <c r="B39"/>
  <c r="Q39"/>
  <c r="P39"/>
  <c r="O39"/>
  <c r="N39"/>
  <c r="M39"/>
  <c r="L39"/>
  <c r="J39" i="22"/>
  <c r="I39"/>
  <c r="H39"/>
  <c r="G39"/>
  <c r="F39"/>
  <c r="E39"/>
  <c r="D39"/>
  <c r="C39"/>
  <c r="B39"/>
  <c r="Q39"/>
  <c r="P39"/>
  <c r="O40"/>
  <c r="N39"/>
  <c r="M39"/>
  <c r="L39"/>
  <c r="K39"/>
  <c r="K39" i="21"/>
  <c r="J39"/>
  <c r="I39"/>
  <c r="H39"/>
  <c r="G39"/>
  <c r="F39"/>
  <c r="E39"/>
  <c r="D39"/>
  <c r="C39"/>
  <c r="B39"/>
  <c r="Q39"/>
  <c r="P39"/>
  <c r="O39"/>
  <c r="N39"/>
  <c r="M39"/>
  <c r="L39"/>
  <c r="L39" i="20"/>
  <c r="K39"/>
  <c r="J39"/>
  <c r="I39"/>
  <c r="H39"/>
  <c r="G39"/>
  <c r="F39"/>
  <c r="E39"/>
  <c r="D39"/>
  <c r="C39"/>
  <c r="B39"/>
  <c r="Q39"/>
  <c r="P39"/>
  <c r="O39"/>
  <c r="N39"/>
  <c r="M39"/>
  <c r="K39" i="19"/>
  <c r="J39"/>
  <c r="I39"/>
  <c r="H39"/>
  <c r="G39"/>
  <c r="F39"/>
  <c r="E39"/>
  <c r="D39"/>
  <c r="C39"/>
  <c r="B39"/>
  <c r="Q39"/>
  <c r="P39"/>
  <c r="O39"/>
  <c r="N39"/>
  <c r="M39"/>
  <c r="L39"/>
  <c r="L39" i="18"/>
  <c r="K39"/>
  <c r="J39"/>
  <c r="I39"/>
  <c r="H39"/>
  <c r="G39"/>
  <c r="F39"/>
  <c r="E39"/>
  <c r="D39"/>
  <c r="C39"/>
  <c r="B39"/>
  <c r="Q39"/>
  <c r="P39"/>
  <c r="O39"/>
  <c r="N39"/>
  <c r="M39"/>
  <c r="K39" i="17"/>
  <c r="J39"/>
  <c r="I39"/>
  <c r="H39"/>
  <c r="G39"/>
  <c r="F39"/>
  <c r="E39"/>
  <c r="D39"/>
  <c r="C39"/>
  <c r="B39"/>
  <c r="Q39"/>
  <c r="P39"/>
  <c r="N39"/>
  <c r="M39"/>
  <c r="L39"/>
  <c r="L39" i="16"/>
  <c r="K39"/>
  <c r="J39"/>
  <c r="I39"/>
  <c r="H39"/>
  <c r="G39"/>
  <c r="F39"/>
  <c r="E39"/>
  <c r="D39"/>
  <c r="C39"/>
  <c r="B39"/>
  <c r="Q39"/>
  <c r="P39"/>
  <c r="O39"/>
  <c r="N39"/>
  <c r="M39"/>
  <c r="J39" i="15"/>
  <c r="I39"/>
  <c r="H39"/>
  <c r="G39"/>
  <c r="F39"/>
  <c r="E39"/>
  <c r="D39"/>
  <c r="C39"/>
  <c r="B39"/>
  <c r="Q39"/>
  <c r="P39"/>
  <c r="O39"/>
  <c r="N39"/>
  <c r="M39"/>
  <c r="L39"/>
  <c r="K39"/>
  <c r="J39" i="14"/>
  <c r="I39"/>
  <c r="H39"/>
  <c r="G39"/>
  <c r="F39"/>
  <c r="E39"/>
  <c r="D39"/>
  <c r="C39"/>
  <c r="B39"/>
  <c r="Q39"/>
  <c r="P39"/>
  <c r="O39"/>
  <c r="N39"/>
  <c r="M39"/>
  <c r="L40"/>
  <c r="K39"/>
  <c r="K39" i="13"/>
  <c r="J39"/>
  <c r="I39"/>
  <c r="H39"/>
  <c r="G39"/>
  <c r="F39"/>
  <c r="E39"/>
  <c r="D39"/>
  <c r="C39"/>
  <c r="B39"/>
  <c r="Q39"/>
  <c r="P39"/>
  <c r="O39"/>
  <c r="N39"/>
  <c r="M39"/>
  <c r="L39"/>
  <c r="L39" i="12"/>
  <c r="K39"/>
  <c r="J39"/>
  <c r="I39"/>
  <c r="H39"/>
  <c r="G39"/>
  <c r="F39"/>
  <c r="E39"/>
  <c r="D39"/>
  <c r="C39"/>
  <c r="B39"/>
  <c r="Q39"/>
  <c r="P39"/>
  <c r="O39"/>
  <c r="N39"/>
  <c r="M39"/>
  <c r="K39" i="11"/>
  <c r="J39"/>
  <c r="I39"/>
  <c r="H39"/>
  <c r="G39"/>
  <c r="F39"/>
  <c r="E39"/>
  <c r="D39"/>
  <c r="C39"/>
  <c r="B39"/>
  <c r="Q39"/>
  <c r="P39"/>
  <c r="O39"/>
  <c r="N39"/>
  <c r="M39"/>
  <c r="L39"/>
  <c r="L39" i="10"/>
  <c r="J39"/>
  <c r="K40"/>
  <c r="I39"/>
  <c r="H39"/>
  <c r="G39"/>
  <c r="F39"/>
  <c r="E39"/>
  <c r="D39"/>
  <c r="C39"/>
  <c r="B39"/>
  <c r="Q39"/>
  <c r="P39"/>
  <c r="O39"/>
  <c r="N39"/>
  <c r="M39"/>
  <c r="O39" i="9"/>
  <c r="M39"/>
  <c r="L39"/>
  <c r="K39"/>
  <c r="J39"/>
  <c r="I40"/>
  <c r="H39"/>
  <c r="G39"/>
  <c r="F39"/>
  <c r="E39"/>
  <c r="D39"/>
  <c r="C39"/>
  <c r="B39"/>
  <c r="Q39"/>
  <c r="P39"/>
  <c r="N39"/>
  <c r="N39" i="8"/>
  <c r="M39"/>
  <c r="L39"/>
  <c r="K39"/>
  <c r="J39"/>
  <c r="I39"/>
  <c r="H39"/>
  <c r="G39"/>
  <c r="F39"/>
  <c r="E39"/>
  <c r="D39"/>
  <c r="C39"/>
  <c r="B39"/>
  <c r="Q39"/>
  <c r="P39"/>
  <c r="O39"/>
  <c r="N44" i="39"/>
  <c r="N45" s="1"/>
  <c r="M39" i="3"/>
  <c r="N40"/>
  <c r="L39"/>
  <c r="L44" i="39"/>
  <c r="L45" s="1"/>
  <c r="K39" i="3"/>
  <c r="K44" i="39"/>
  <c r="K45" s="1"/>
  <c r="J39" i="3"/>
  <c r="J44" i="39"/>
  <c r="J45" s="1"/>
  <c r="I39" i="3"/>
  <c r="I44" i="39"/>
  <c r="I45" s="1"/>
  <c r="H39" i="3"/>
  <c r="H44" i="39"/>
  <c r="H45" s="1"/>
  <c r="G39" i="3"/>
  <c r="O44" i="39"/>
  <c r="O45" s="1"/>
  <c r="M44"/>
  <c r="M45" s="1"/>
  <c r="G44"/>
  <c r="G45" s="1"/>
  <c r="F39" i="3"/>
  <c r="F44" i="39"/>
  <c r="F45" s="1"/>
  <c r="E39" i="3"/>
  <c r="E44" i="39"/>
  <c r="E45" s="1"/>
  <c r="D39" i="3"/>
  <c r="D44" i="39"/>
  <c r="D45" s="1"/>
  <c r="C39" i="3"/>
  <c r="C44" i="39"/>
  <c r="C46" s="1"/>
  <c r="B39" i="3"/>
  <c r="Q39"/>
  <c r="Q44" i="39"/>
  <c r="Q46" s="1"/>
  <c r="P39" i="3"/>
  <c r="B44" i="39"/>
  <c r="B45" s="1"/>
  <c r="P44"/>
  <c r="P46" s="1"/>
  <c r="O39" i="3"/>
  <c r="O39" i="2"/>
  <c r="N39"/>
  <c r="M39"/>
  <c r="L39"/>
  <c r="K39"/>
  <c r="J39"/>
  <c r="I39"/>
  <c r="H39"/>
  <c r="G39"/>
  <c r="F39"/>
  <c r="E39"/>
  <c r="D39"/>
  <c r="C39"/>
  <c r="B39"/>
  <c r="Q39"/>
  <c r="P39"/>
  <c r="Q40" i="39"/>
  <c r="Q41"/>
  <c r="Q42"/>
  <c r="Q43"/>
  <c r="P40"/>
  <c r="P41"/>
  <c r="P42"/>
  <c r="P43"/>
  <c r="O40"/>
  <c r="O41"/>
  <c r="O42"/>
  <c r="O43"/>
  <c r="N40"/>
  <c r="N41"/>
  <c r="N42"/>
  <c r="N43"/>
  <c r="M40"/>
  <c r="M41"/>
  <c r="M42"/>
  <c r="M43"/>
  <c r="L40"/>
  <c r="L41"/>
  <c r="L42"/>
  <c r="L43"/>
  <c r="K40"/>
  <c r="K41"/>
  <c r="K42"/>
  <c r="K43"/>
  <c r="J40"/>
  <c r="J41"/>
  <c r="J42"/>
  <c r="J43"/>
  <c r="I40"/>
  <c r="I41"/>
  <c r="I42"/>
  <c r="I43"/>
  <c r="H40"/>
  <c r="H41"/>
  <c r="H42"/>
  <c r="H43"/>
  <c r="G40"/>
  <c r="G41"/>
  <c r="G42"/>
  <c r="G43"/>
  <c r="F40"/>
  <c r="F41"/>
  <c r="F42"/>
  <c r="F43"/>
  <c r="E40"/>
  <c r="E41"/>
  <c r="E42"/>
  <c r="E43"/>
  <c r="D40"/>
  <c r="D41"/>
  <c r="D42"/>
  <c r="D43"/>
  <c r="C40"/>
  <c r="C41"/>
  <c r="C42"/>
  <c r="C43"/>
  <c r="B40"/>
  <c r="B41"/>
  <c r="B42"/>
  <c r="B43"/>
  <c r="N46" l="1"/>
  <c r="L46"/>
  <c r="K46"/>
  <c r="I46"/>
  <c r="J46"/>
  <c r="Q45"/>
  <c r="H46"/>
  <c r="C45"/>
  <c r="P45"/>
  <c r="F46"/>
  <c r="E46"/>
  <c r="G46"/>
  <c r="O46"/>
  <c r="D46"/>
  <c r="B46"/>
  <c r="M46"/>
</calcChain>
</file>

<file path=xl/sharedStrings.xml><?xml version="1.0" encoding="utf-8"?>
<sst xmlns="http://schemas.openxmlformats.org/spreadsheetml/2006/main" count="2358" uniqueCount="60">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</sst>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8" borderId="0" xfId="0" applyFont="1" applyFill="1" applyAlignment="1">
      <alignment horizontal="center"/>
    </xf>
    <xf numFmtId="0" fontId="11" fillId="3" borderId="0" xfId="0" applyFont="1" applyFill="1" applyAlignment="1">
      <alignment horizontal="left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H9" sqref="H9:H23"/>
    </sheetView>
  </sheetViews>
  <sheetFormatPr defaultColWidth="8.85546875" defaultRowHeight="15"/>
  <cols>
    <col min="1" max="1" width="19.5703125" style="41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45383.041666666664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45383.041666666664</v>
      </c>
      <c r="B9" s="50">
        <v>7.26</v>
      </c>
      <c r="C9" s="50">
        <v>20.91</v>
      </c>
      <c r="D9" s="50">
        <v>18.05</v>
      </c>
      <c r="E9" s="50">
        <v>9.09</v>
      </c>
      <c r="F9" s="50">
        <v>8.2200000000000006</v>
      </c>
      <c r="G9" s="50">
        <v>40.049999999999997</v>
      </c>
      <c r="H9" s="30" t="s">
        <v>8</v>
      </c>
      <c r="I9" s="50">
        <v>5.88</v>
      </c>
      <c r="J9" s="50">
        <v>0.22</v>
      </c>
      <c r="K9" s="50">
        <v>208.22</v>
      </c>
      <c r="L9" s="50">
        <v>27.12</v>
      </c>
      <c r="M9" s="50">
        <v>68.459999999999994</v>
      </c>
      <c r="N9" s="50">
        <v>0</v>
      </c>
      <c r="O9" s="50">
        <v>0</v>
      </c>
      <c r="P9" s="50">
        <v>0.61</v>
      </c>
      <c r="Q9" s="50">
        <v>5.01</v>
      </c>
    </row>
    <row r="10" spans="1:21" customFormat="1">
      <c r="A10" s="49">
        <v>45383.083333333336</v>
      </c>
      <c r="B10" s="50">
        <v>7.33</v>
      </c>
      <c r="C10" s="50">
        <v>21.18</v>
      </c>
      <c r="D10" s="50">
        <v>18.29</v>
      </c>
      <c r="E10" s="50">
        <v>8.7100000000000009</v>
      </c>
      <c r="F10" s="50">
        <v>6.82</v>
      </c>
      <c r="G10" s="50">
        <v>28.57</v>
      </c>
      <c r="H10" s="30" t="s">
        <v>8</v>
      </c>
      <c r="I10" s="50">
        <v>5.81</v>
      </c>
      <c r="J10" s="50">
        <v>0.23</v>
      </c>
      <c r="K10" s="50">
        <v>208.93</v>
      </c>
      <c r="L10" s="50">
        <v>26.98</v>
      </c>
      <c r="M10" s="50">
        <v>66.08</v>
      </c>
      <c r="N10" s="50">
        <v>0</v>
      </c>
      <c r="O10" s="50">
        <v>0</v>
      </c>
      <c r="P10" s="50">
        <v>0.59</v>
      </c>
      <c r="Q10" s="50">
        <v>5.01</v>
      </c>
    </row>
    <row r="11" spans="1:21" customFormat="1">
      <c r="A11" s="49">
        <v>45383.125</v>
      </c>
      <c r="B11" s="50">
        <v>7.53</v>
      </c>
      <c r="C11" s="50">
        <v>22.04</v>
      </c>
      <c r="D11" s="50">
        <v>18.91</v>
      </c>
      <c r="E11" s="50">
        <v>12.04</v>
      </c>
      <c r="F11" s="50">
        <v>6.01</v>
      </c>
      <c r="G11" s="50">
        <v>34.79</v>
      </c>
      <c r="H11" s="30" t="s">
        <v>8</v>
      </c>
      <c r="I11" s="50">
        <v>6.08</v>
      </c>
      <c r="J11" s="50">
        <v>0.24</v>
      </c>
      <c r="K11" s="50">
        <v>210.88</v>
      </c>
      <c r="L11" s="50">
        <v>26.05</v>
      </c>
      <c r="M11" s="50">
        <v>68.569999999999993</v>
      </c>
      <c r="N11" s="50">
        <v>0</v>
      </c>
      <c r="O11" s="50">
        <v>0</v>
      </c>
      <c r="P11" s="50">
        <v>0.61</v>
      </c>
      <c r="Q11" s="50">
        <v>5.01</v>
      </c>
    </row>
    <row r="12" spans="1:21" customFormat="1">
      <c r="A12" s="49">
        <v>45383.166666666664</v>
      </c>
      <c r="B12" s="50">
        <v>7.76</v>
      </c>
      <c r="C12" s="50">
        <v>22.71</v>
      </c>
      <c r="D12" s="50">
        <v>19.37</v>
      </c>
      <c r="E12" s="50">
        <v>12.4</v>
      </c>
      <c r="F12" s="50">
        <v>5.16</v>
      </c>
      <c r="G12" s="50">
        <v>37.1</v>
      </c>
      <c r="H12" s="30" t="s">
        <v>8</v>
      </c>
      <c r="I12" s="50">
        <v>6.25</v>
      </c>
      <c r="J12" s="50">
        <v>0.17</v>
      </c>
      <c r="K12" s="50">
        <v>197.95</v>
      </c>
      <c r="L12" s="50">
        <v>25.65</v>
      </c>
      <c r="M12" s="50">
        <v>72.849999999999994</v>
      </c>
      <c r="N12" s="50">
        <v>0</v>
      </c>
      <c r="O12" s="50">
        <v>0</v>
      </c>
      <c r="P12" s="50">
        <v>0.63</v>
      </c>
      <c r="Q12" s="50">
        <v>5.04</v>
      </c>
    </row>
    <row r="13" spans="1:21" customFormat="1">
      <c r="A13" s="49">
        <v>45383.208333333336</v>
      </c>
      <c r="B13" s="50">
        <v>8.09</v>
      </c>
      <c r="C13" s="50">
        <v>23.2</v>
      </c>
      <c r="D13" s="50">
        <v>19.96</v>
      </c>
      <c r="E13" s="50">
        <v>12.42</v>
      </c>
      <c r="F13" s="50">
        <v>3.73</v>
      </c>
      <c r="G13" s="50">
        <v>40.25</v>
      </c>
      <c r="H13" s="30" t="s">
        <v>8</v>
      </c>
      <c r="I13" s="50">
        <v>6.52</v>
      </c>
      <c r="J13" s="50">
        <v>0.21</v>
      </c>
      <c r="K13" s="50">
        <v>200.38</v>
      </c>
      <c r="L13" s="50">
        <v>24.95</v>
      </c>
      <c r="M13" s="50">
        <v>74.36</v>
      </c>
      <c r="N13" s="50">
        <v>0</v>
      </c>
      <c r="O13" s="50">
        <v>0</v>
      </c>
      <c r="P13" s="50">
        <v>0.64</v>
      </c>
      <c r="Q13" s="50">
        <v>5.03</v>
      </c>
    </row>
    <row r="14" spans="1:21" customFormat="1">
      <c r="A14" s="49">
        <v>45383.25</v>
      </c>
      <c r="B14" s="50">
        <v>9.0399999999999991</v>
      </c>
      <c r="C14" s="50">
        <v>23.61</v>
      </c>
      <c r="D14" s="50">
        <v>20.29</v>
      </c>
      <c r="E14" s="50">
        <v>12.69</v>
      </c>
      <c r="F14" s="50">
        <v>3.66</v>
      </c>
      <c r="G14" s="50">
        <v>48.81</v>
      </c>
      <c r="H14" s="30" t="s">
        <v>8</v>
      </c>
      <c r="I14" s="50">
        <v>6.86</v>
      </c>
      <c r="J14" s="50">
        <v>0.25</v>
      </c>
      <c r="K14" s="50">
        <v>215.37</v>
      </c>
      <c r="L14" s="50">
        <v>25.08</v>
      </c>
      <c r="M14" s="50">
        <v>75.75</v>
      </c>
      <c r="N14" s="50">
        <v>0.1</v>
      </c>
      <c r="O14" s="50">
        <v>0</v>
      </c>
      <c r="P14" s="50">
        <v>0.66</v>
      </c>
      <c r="Q14" s="50">
        <v>5.0199999999999996</v>
      </c>
    </row>
    <row r="15" spans="1:21" customFormat="1">
      <c r="A15" s="49">
        <v>45383.291666666664</v>
      </c>
      <c r="B15" s="50">
        <v>9.16</v>
      </c>
      <c r="C15" s="50">
        <v>19.63</v>
      </c>
      <c r="D15" s="50">
        <v>18.559999999999999</v>
      </c>
      <c r="E15" s="50">
        <v>11.45</v>
      </c>
      <c r="F15" s="50">
        <v>6.04</v>
      </c>
      <c r="G15" s="50">
        <v>49.51</v>
      </c>
      <c r="H15" s="30" t="s">
        <v>8</v>
      </c>
      <c r="I15" s="50">
        <v>6.92</v>
      </c>
      <c r="J15" s="50">
        <v>0.3</v>
      </c>
      <c r="K15" s="50">
        <v>183.56</v>
      </c>
      <c r="L15" s="50">
        <v>26.27</v>
      </c>
      <c r="M15" s="50">
        <v>64.45</v>
      </c>
      <c r="N15" s="50">
        <v>45.6</v>
      </c>
      <c r="O15" s="50">
        <v>0</v>
      </c>
      <c r="P15" s="50">
        <v>0.66</v>
      </c>
      <c r="Q15" s="50">
        <v>5.05</v>
      </c>
    </row>
    <row r="16" spans="1:21" customFormat="1">
      <c r="A16" s="49">
        <v>45383.333333333336</v>
      </c>
      <c r="B16" s="50">
        <v>8.43</v>
      </c>
      <c r="C16" s="50">
        <v>20.92</v>
      </c>
      <c r="D16" s="50">
        <v>18.59</v>
      </c>
      <c r="E16" s="50">
        <v>12.11</v>
      </c>
      <c r="F16" s="50">
        <v>6.35</v>
      </c>
      <c r="G16" s="50">
        <v>46.34</v>
      </c>
      <c r="H16" s="30" t="s">
        <v>8</v>
      </c>
      <c r="I16" s="50">
        <v>7.06</v>
      </c>
      <c r="J16" s="50">
        <v>0.6</v>
      </c>
      <c r="K16" s="50">
        <v>250.09</v>
      </c>
      <c r="L16" s="50">
        <v>29.61</v>
      </c>
      <c r="M16" s="50">
        <v>58.73</v>
      </c>
      <c r="N16" s="50">
        <v>223.3</v>
      </c>
      <c r="O16" s="50">
        <v>0</v>
      </c>
      <c r="P16" s="50">
        <v>0.68</v>
      </c>
      <c r="Q16" s="50">
        <v>5.04</v>
      </c>
    </row>
    <row r="17" spans="1:17" customFormat="1">
      <c r="A17" s="49">
        <v>45383.375</v>
      </c>
      <c r="B17" s="50">
        <v>7.43</v>
      </c>
      <c r="C17" s="50">
        <v>21.35</v>
      </c>
      <c r="D17" s="50">
        <v>18.21</v>
      </c>
      <c r="E17" s="50">
        <v>12.47</v>
      </c>
      <c r="F17" s="50">
        <v>6.97</v>
      </c>
      <c r="G17" s="50">
        <v>52.53</v>
      </c>
      <c r="H17" s="30" t="s">
        <v>8</v>
      </c>
      <c r="I17" s="50">
        <v>7.09</v>
      </c>
      <c r="J17" s="50">
        <v>0.85</v>
      </c>
      <c r="K17" s="50">
        <v>262.93</v>
      </c>
      <c r="L17" s="50">
        <v>32.29</v>
      </c>
      <c r="M17" s="50">
        <v>41.84</v>
      </c>
      <c r="N17" s="50">
        <v>304.2</v>
      </c>
      <c r="O17" s="50">
        <v>0</v>
      </c>
      <c r="P17" s="50">
        <v>0.7</v>
      </c>
      <c r="Q17" s="50">
        <v>5.04</v>
      </c>
    </row>
    <row r="18" spans="1:17" customFormat="1">
      <c r="A18" s="49">
        <v>45383.416666666664</v>
      </c>
      <c r="B18" s="50">
        <v>6.08</v>
      </c>
      <c r="C18" s="50">
        <v>21.6</v>
      </c>
      <c r="D18" s="50">
        <v>17.510000000000002</v>
      </c>
      <c r="E18" s="50">
        <v>13.9</v>
      </c>
      <c r="F18" s="50">
        <v>11.04</v>
      </c>
      <c r="G18" s="50">
        <v>60.11</v>
      </c>
      <c r="H18" s="30" t="s">
        <v>8</v>
      </c>
      <c r="I18" s="50">
        <v>7.06</v>
      </c>
      <c r="J18" s="50">
        <v>1.21</v>
      </c>
      <c r="K18" s="50">
        <v>268.19</v>
      </c>
      <c r="L18" s="50">
        <v>34.880000000000003</v>
      </c>
      <c r="M18" s="50">
        <v>38.39</v>
      </c>
      <c r="N18" s="50">
        <v>539.29999999999995</v>
      </c>
      <c r="O18" s="50">
        <v>0</v>
      </c>
      <c r="P18" s="50">
        <v>0.7</v>
      </c>
      <c r="Q18" s="50">
        <v>5.0599999999999996</v>
      </c>
    </row>
    <row r="19" spans="1:17" customFormat="1">
      <c r="A19" s="49">
        <v>45383.458333333336</v>
      </c>
      <c r="B19" s="50">
        <v>5.47</v>
      </c>
      <c r="C19" s="50">
        <v>20.78</v>
      </c>
      <c r="D19" s="50">
        <v>16.5</v>
      </c>
      <c r="E19" s="50">
        <v>17.350000000000001</v>
      </c>
      <c r="F19" s="50">
        <v>14.79</v>
      </c>
      <c r="G19" s="50">
        <v>60.63</v>
      </c>
      <c r="H19" s="30" t="s">
        <v>8</v>
      </c>
      <c r="I19" s="50">
        <v>6.73</v>
      </c>
      <c r="J19" s="50">
        <v>1.44</v>
      </c>
      <c r="K19" s="50">
        <v>275.14999999999998</v>
      </c>
      <c r="L19" s="50">
        <v>36.880000000000003</v>
      </c>
      <c r="M19" s="50">
        <v>34.46</v>
      </c>
      <c r="N19" s="50">
        <v>697.6</v>
      </c>
      <c r="O19" s="50">
        <v>0</v>
      </c>
      <c r="P19" s="50">
        <v>0.69</v>
      </c>
      <c r="Q19" s="50">
        <v>5.09</v>
      </c>
    </row>
    <row r="20" spans="1:17" customFormat="1">
      <c r="A20" s="49">
        <v>45383.5</v>
      </c>
      <c r="B20" s="50">
        <v>5.34</v>
      </c>
      <c r="C20" s="50">
        <v>23.37</v>
      </c>
      <c r="D20" s="50">
        <v>17.59</v>
      </c>
      <c r="E20" s="50">
        <v>17.38</v>
      </c>
      <c r="F20" s="50">
        <v>11.99</v>
      </c>
      <c r="G20" s="50">
        <v>58.78</v>
      </c>
      <c r="H20" s="30" t="s">
        <v>8</v>
      </c>
      <c r="I20" s="50">
        <v>6.39</v>
      </c>
      <c r="J20" s="50">
        <v>1.45</v>
      </c>
      <c r="K20" s="50">
        <v>288.29000000000002</v>
      </c>
      <c r="L20" s="50">
        <v>37.97</v>
      </c>
      <c r="M20" s="50">
        <v>29.43</v>
      </c>
      <c r="N20" s="50">
        <v>768.2</v>
      </c>
      <c r="O20" s="50">
        <v>0</v>
      </c>
      <c r="P20" s="50">
        <v>0.69</v>
      </c>
      <c r="Q20" s="50">
        <v>5.04</v>
      </c>
    </row>
    <row r="21" spans="1:17" customFormat="1">
      <c r="A21" s="49">
        <v>45383.541666666664</v>
      </c>
      <c r="B21" s="50">
        <v>4.9000000000000004</v>
      </c>
      <c r="C21" s="50">
        <v>23.99</v>
      </c>
      <c r="D21" s="50">
        <v>17.809999999999999</v>
      </c>
      <c r="E21" s="50">
        <v>18.55</v>
      </c>
      <c r="F21" s="50">
        <v>23.39</v>
      </c>
      <c r="G21" s="50">
        <v>59.34</v>
      </c>
      <c r="H21" s="30" t="s">
        <v>8</v>
      </c>
      <c r="I21" s="50">
        <v>6.52</v>
      </c>
      <c r="J21" s="50">
        <v>1.26</v>
      </c>
      <c r="K21" s="50">
        <v>285.27999999999997</v>
      </c>
      <c r="L21" s="50">
        <v>39.43</v>
      </c>
      <c r="M21" s="50">
        <v>25.39</v>
      </c>
      <c r="N21" s="50">
        <v>787.5</v>
      </c>
      <c r="O21" s="50">
        <v>0</v>
      </c>
      <c r="P21" s="50">
        <v>0.7</v>
      </c>
      <c r="Q21" s="50">
        <v>5.05</v>
      </c>
    </row>
    <row r="22" spans="1:17" customFormat="1">
      <c r="A22" s="49">
        <v>45383.583333333336</v>
      </c>
      <c r="B22" s="50">
        <v>5.0599999999999996</v>
      </c>
      <c r="C22" s="50">
        <v>24.63</v>
      </c>
      <c r="D22" s="50">
        <v>18.25</v>
      </c>
      <c r="E22" s="50">
        <v>18.53</v>
      </c>
      <c r="F22" s="50">
        <v>19.579999999999998</v>
      </c>
      <c r="G22" s="50">
        <v>59.32</v>
      </c>
      <c r="H22" s="30" t="s">
        <v>8</v>
      </c>
      <c r="I22" s="50">
        <v>6.3</v>
      </c>
      <c r="J22" s="50">
        <v>1.3</v>
      </c>
      <c r="K22" s="50">
        <v>296.79000000000002</v>
      </c>
      <c r="L22" s="50">
        <v>39.53</v>
      </c>
      <c r="M22" s="50">
        <v>22.68</v>
      </c>
      <c r="N22" s="50">
        <v>755.9</v>
      </c>
      <c r="O22" s="50">
        <v>0</v>
      </c>
      <c r="P22" s="50">
        <v>0.63</v>
      </c>
      <c r="Q22" s="50">
        <v>5.08</v>
      </c>
    </row>
    <row r="23" spans="1:17" customFormat="1">
      <c r="A23" s="49">
        <v>45383.625</v>
      </c>
      <c r="B23" s="50">
        <v>5.07</v>
      </c>
      <c r="C23" s="50">
        <v>23.06</v>
      </c>
      <c r="D23" s="50">
        <v>17.399999999999999</v>
      </c>
      <c r="E23" s="50">
        <v>18.649999999999999</v>
      </c>
      <c r="F23" s="50">
        <v>22.81</v>
      </c>
      <c r="G23" s="50">
        <v>53.31</v>
      </c>
      <c r="H23" s="30" t="s">
        <v>8</v>
      </c>
      <c r="I23" s="50">
        <v>6.32</v>
      </c>
      <c r="J23" s="50">
        <v>1.42</v>
      </c>
      <c r="K23" s="50">
        <v>295.04000000000002</v>
      </c>
      <c r="L23" s="50">
        <v>39.33</v>
      </c>
      <c r="M23" s="50">
        <v>22.92</v>
      </c>
      <c r="N23" s="50">
        <v>548</v>
      </c>
      <c r="O23" s="50">
        <v>0</v>
      </c>
      <c r="P23" s="50">
        <v>0.57999999999999996</v>
      </c>
      <c r="Q23" s="50">
        <v>5.0599999999999996</v>
      </c>
    </row>
    <row r="24" spans="1:17" customFormat="1">
      <c r="A24" s="49">
        <v>45383.666666666664</v>
      </c>
      <c r="B24" s="50">
        <v>4.9800000000000004</v>
      </c>
      <c r="C24" s="50">
        <v>21.11</v>
      </c>
      <c r="D24" s="50">
        <v>16.37</v>
      </c>
      <c r="E24" s="50">
        <v>20.11</v>
      </c>
      <c r="F24" s="50">
        <v>26.85</v>
      </c>
      <c r="G24" s="50">
        <v>53.4</v>
      </c>
      <c r="H24" s="50">
        <v>10.37</v>
      </c>
      <c r="I24" s="50">
        <v>6.35</v>
      </c>
      <c r="J24" s="50">
        <v>1.1299999999999999</v>
      </c>
      <c r="K24" s="50">
        <v>276.99</v>
      </c>
      <c r="L24" s="50">
        <v>38.78</v>
      </c>
      <c r="M24" s="50">
        <v>23.73</v>
      </c>
      <c r="N24" s="50">
        <v>384</v>
      </c>
      <c r="O24" s="50">
        <v>0</v>
      </c>
      <c r="P24" s="50">
        <v>0.56000000000000005</v>
      </c>
      <c r="Q24" s="50">
        <v>5.0599999999999996</v>
      </c>
    </row>
    <row r="25" spans="1:17" customFormat="1">
      <c r="A25" s="49">
        <v>45383.708333333336</v>
      </c>
      <c r="B25" s="50">
        <v>4.8499999999999996</v>
      </c>
      <c r="C25" s="50">
        <v>19.13</v>
      </c>
      <c r="D25" s="50">
        <v>15.13</v>
      </c>
      <c r="E25" s="50">
        <v>19.32</v>
      </c>
      <c r="F25" s="50">
        <v>31.02</v>
      </c>
      <c r="G25" s="50">
        <v>51.31</v>
      </c>
      <c r="H25" s="50">
        <v>15.26</v>
      </c>
      <c r="I25" s="50">
        <v>6.02</v>
      </c>
      <c r="J25" s="50">
        <v>1.03</v>
      </c>
      <c r="K25" s="50">
        <v>271.55</v>
      </c>
      <c r="L25" s="50">
        <v>37.5</v>
      </c>
      <c r="M25" s="50">
        <v>25.19</v>
      </c>
      <c r="N25" s="50">
        <v>154.30000000000001</v>
      </c>
      <c r="O25" s="50">
        <v>0</v>
      </c>
      <c r="P25" s="50">
        <v>0.51</v>
      </c>
      <c r="Q25" s="50">
        <v>5.04</v>
      </c>
    </row>
    <row r="26" spans="1:17" customFormat="1">
      <c r="A26" s="49">
        <v>45383.75</v>
      </c>
      <c r="B26" s="50">
        <v>4.83</v>
      </c>
      <c r="C26" s="50">
        <v>18.489999999999998</v>
      </c>
      <c r="D26" s="50">
        <v>14.77</v>
      </c>
      <c r="E26" s="50">
        <v>18.89</v>
      </c>
      <c r="F26" s="50">
        <v>29.74</v>
      </c>
      <c r="G26" s="50">
        <v>49.46</v>
      </c>
      <c r="H26" s="50">
        <v>16.28</v>
      </c>
      <c r="I26" s="50">
        <v>5.49</v>
      </c>
      <c r="J26" s="50">
        <v>0.71</v>
      </c>
      <c r="K26" s="50">
        <v>267.95</v>
      </c>
      <c r="L26" s="50">
        <v>36.67</v>
      </c>
      <c r="M26" s="50">
        <v>27.13</v>
      </c>
      <c r="N26" s="50">
        <v>72.400000000000006</v>
      </c>
      <c r="O26" s="50">
        <v>0</v>
      </c>
      <c r="P26" s="50">
        <v>0.62</v>
      </c>
      <c r="Q26" s="50">
        <v>5</v>
      </c>
    </row>
    <row r="27" spans="1:17" customFormat="1">
      <c r="A27" s="49">
        <v>45383.791666666664</v>
      </c>
      <c r="B27" s="50">
        <v>4.5999999999999996</v>
      </c>
      <c r="C27" s="50">
        <v>18.59</v>
      </c>
      <c r="D27" s="50">
        <v>14.75</v>
      </c>
      <c r="E27" s="50">
        <v>20.010000000000002</v>
      </c>
      <c r="F27" s="50">
        <v>33.520000000000003</v>
      </c>
      <c r="G27" s="50">
        <v>45.11</v>
      </c>
      <c r="H27" s="50">
        <v>18.329999999999998</v>
      </c>
      <c r="I27" s="50">
        <v>6</v>
      </c>
      <c r="J27" s="50">
        <v>0.49</v>
      </c>
      <c r="K27" s="50">
        <v>254.5</v>
      </c>
      <c r="L27" s="50">
        <v>35.24</v>
      </c>
      <c r="M27" s="50">
        <v>32.68</v>
      </c>
      <c r="N27" s="50">
        <v>0</v>
      </c>
      <c r="O27" s="50">
        <v>0</v>
      </c>
      <c r="P27" s="50">
        <v>0.62</v>
      </c>
      <c r="Q27" s="50">
        <v>5.05</v>
      </c>
    </row>
    <row r="28" spans="1:17" customFormat="1">
      <c r="A28" s="49">
        <v>45383.833333333336</v>
      </c>
      <c r="B28" s="50">
        <v>5.24</v>
      </c>
      <c r="C28" s="50">
        <v>22.37</v>
      </c>
      <c r="D28" s="50">
        <v>17.010000000000002</v>
      </c>
      <c r="E28" s="50">
        <v>17.34</v>
      </c>
      <c r="F28" s="50">
        <v>19.88</v>
      </c>
      <c r="G28" s="50">
        <v>64.7</v>
      </c>
      <c r="H28" s="50">
        <v>23.61</v>
      </c>
      <c r="I28" s="50">
        <v>6.85</v>
      </c>
      <c r="J28" s="50">
        <v>0.28000000000000003</v>
      </c>
      <c r="K28" s="50">
        <v>197.69</v>
      </c>
      <c r="L28" s="50">
        <v>33.340000000000003</v>
      </c>
      <c r="M28" s="50">
        <v>49</v>
      </c>
      <c r="N28" s="50">
        <v>0</v>
      </c>
      <c r="O28" s="50">
        <v>0</v>
      </c>
      <c r="P28" s="50">
        <v>0.67</v>
      </c>
      <c r="Q28" s="50">
        <v>5.0599999999999996</v>
      </c>
    </row>
    <row r="29" spans="1:17" customFormat="1">
      <c r="A29" s="49">
        <v>45383.875</v>
      </c>
      <c r="B29" s="50">
        <v>5.79</v>
      </c>
      <c r="C29" s="50">
        <v>21.62</v>
      </c>
      <c r="D29" s="50">
        <v>17.29</v>
      </c>
      <c r="E29" s="50">
        <v>15.09</v>
      </c>
      <c r="F29" s="50">
        <v>13.69</v>
      </c>
      <c r="G29" s="50">
        <v>66.099999999999994</v>
      </c>
      <c r="H29" s="50">
        <v>23.61</v>
      </c>
      <c r="I29" s="50">
        <v>7.15</v>
      </c>
      <c r="J29" s="50">
        <v>0.24</v>
      </c>
      <c r="K29" s="50">
        <v>199.49</v>
      </c>
      <c r="L29" s="50">
        <v>30.67</v>
      </c>
      <c r="M29" s="50">
        <v>52.76</v>
      </c>
      <c r="N29" s="50">
        <v>0</v>
      </c>
      <c r="O29" s="50">
        <v>0</v>
      </c>
      <c r="P29" s="50">
        <v>0.7</v>
      </c>
      <c r="Q29" s="50">
        <v>5.07</v>
      </c>
    </row>
    <row r="30" spans="1:17" customFormat="1">
      <c r="A30" s="49">
        <v>45383.916666666664</v>
      </c>
      <c r="B30" s="50">
        <v>6.25</v>
      </c>
      <c r="C30" s="50">
        <v>23.19</v>
      </c>
      <c r="D30" s="50">
        <v>18.48</v>
      </c>
      <c r="E30" s="50">
        <v>14.55</v>
      </c>
      <c r="F30" s="50">
        <v>9.93</v>
      </c>
      <c r="G30" s="50">
        <v>64.88</v>
      </c>
      <c r="H30" s="50">
        <v>23.62</v>
      </c>
      <c r="I30" s="50">
        <v>7.53</v>
      </c>
      <c r="J30" s="50">
        <v>0.23</v>
      </c>
      <c r="K30" s="50">
        <v>189.98</v>
      </c>
      <c r="L30" s="50">
        <v>29.57</v>
      </c>
      <c r="M30" s="50">
        <v>56.11</v>
      </c>
      <c r="N30" s="50">
        <v>0</v>
      </c>
      <c r="O30" s="50">
        <v>0</v>
      </c>
      <c r="P30" s="50">
        <v>0.76</v>
      </c>
      <c r="Q30" s="50">
        <v>5.07</v>
      </c>
    </row>
    <row r="31" spans="1:17" customFormat="1">
      <c r="A31" s="49">
        <v>45383.958333333336</v>
      </c>
      <c r="B31" s="50">
        <v>6.58</v>
      </c>
      <c r="C31" s="50">
        <v>23.93</v>
      </c>
      <c r="D31" s="50">
        <v>19.13</v>
      </c>
      <c r="E31" s="50">
        <v>13.76</v>
      </c>
      <c r="F31" s="50">
        <v>8.8000000000000007</v>
      </c>
      <c r="G31" s="50">
        <v>64.92</v>
      </c>
      <c r="H31" s="50">
        <v>28.53</v>
      </c>
      <c r="I31" s="50">
        <v>7.72</v>
      </c>
      <c r="J31" s="50">
        <v>0.22</v>
      </c>
      <c r="K31" s="50">
        <v>203.46</v>
      </c>
      <c r="L31" s="50">
        <v>28.73</v>
      </c>
      <c r="M31" s="50">
        <v>58.99</v>
      </c>
      <c r="N31" s="50">
        <v>0</v>
      </c>
      <c r="O31" s="50">
        <v>0</v>
      </c>
      <c r="P31" s="50">
        <v>0.77</v>
      </c>
      <c r="Q31" s="50">
        <v>5.07</v>
      </c>
    </row>
    <row r="32" spans="1:17" customFormat="1">
      <c r="A32" s="49">
        <v>45384</v>
      </c>
      <c r="B32" s="50">
        <v>7.03</v>
      </c>
      <c r="C32" s="50">
        <v>22.81</v>
      </c>
      <c r="D32" s="50">
        <v>18.7</v>
      </c>
      <c r="E32" s="50">
        <v>13.58</v>
      </c>
      <c r="F32" s="50">
        <v>7.68</v>
      </c>
      <c r="G32" s="50">
        <v>64.48</v>
      </c>
      <c r="H32" s="50">
        <v>28.53</v>
      </c>
      <c r="I32" s="50">
        <v>7.92</v>
      </c>
      <c r="J32" s="50">
        <v>0.19</v>
      </c>
      <c r="K32" s="50">
        <v>188.73</v>
      </c>
      <c r="L32" s="50">
        <v>28.24</v>
      </c>
      <c r="M32" s="50">
        <v>57.51</v>
      </c>
      <c r="N32" s="50">
        <v>0</v>
      </c>
      <c r="O32" s="50">
        <v>0</v>
      </c>
      <c r="P32" s="50">
        <v>0.78</v>
      </c>
      <c r="Q32" s="50">
        <v>5.04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4.5999999999999996</v>
      </c>
      <c r="C34" s="40">
        <f t="shared" si="0"/>
        <v>18.489999999999998</v>
      </c>
      <c r="D34" s="40">
        <f t="shared" si="0"/>
        <v>14.75</v>
      </c>
      <c r="E34" s="40">
        <f t="shared" si="0"/>
        <v>8.7100000000000009</v>
      </c>
      <c r="F34" s="40">
        <f t="shared" si="0"/>
        <v>3.66</v>
      </c>
      <c r="G34" s="40">
        <f t="shared" si="0"/>
        <v>28.57</v>
      </c>
      <c r="H34" s="40">
        <f t="shared" si="0"/>
        <v>10.37</v>
      </c>
      <c r="I34" s="40">
        <f t="shared" si="0"/>
        <v>5.49</v>
      </c>
      <c r="J34" s="40">
        <f t="shared" si="0"/>
        <v>0.17</v>
      </c>
      <c r="K34" s="40">
        <f t="shared" si="0"/>
        <v>183.56</v>
      </c>
      <c r="L34" s="40">
        <f t="shared" si="0"/>
        <v>24.95</v>
      </c>
      <c r="M34" s="40">
        <f t="shared" si="0"/>
        <v>22.68</v>
      </c>
      <c r="N34" s="40">
        <f t="shared" si="0"/>
        <v>0</v>
      </c>
      <c r="O34" s="40">
        <f t="shared" si="0"/>
        <v>0</v>
      </c>
      <c r="P34" s="40">
        <f t="shared" si="0"/>
        <v>0.51</v>
      </c>
      <c r="Q34" s="40">
        <f t="shared" si="0"/>
        <v>5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9.16</v>
      </c>
      <c r="C35" s="33">
        <f t="shared" si="1"/>
        <v>24.63</v>
      </c>
      <c r="D35" s="33">
        <f t="shared" si="1"/>
        <v>20.29</v>
      </c>
      <c r="E35" s="33">
        <f t="shared" si="1"/>
        <v>20.11</v>
      </c>
      <c r="F35" s="33">
        <f t="shared" si="1"/>
        <v>33.520000000000003</v>
      </c>
      <c r="G35" s="33">
        <f t="shared" si="1"/>
        <v>66.099999999999994</v>
      </c>
      <c r="H35" s="33">
        <f t="shared" si="1"/>
        <v>28.53</v>
      </c>
      <c r="I35" s="33">
        <f t="shared" si="1"/>
        <v>7.92</v>
      </c>
      <c r="J35" s="33">
        <f t="shared" si="1"/>
        <v>1.45</v>
      </c>
      <c r="K35" s="33">
        <f t="shared" si="1"/>
        <v>296.79000000000002</v>
      </c>
      <c r="L35" s="33">
        <f t="shared" si="1"/>
        <v>39.53</v>
      </c>
      <c r="M35" s="33">
        <f t="shared" si="1"/>
        <v>75.75</v>
      </c>
      <c r="N35" s="33">
        <f t="shared" si="1"/>
        <v>787.5</v>
      </c>
      <c r="O35" s="33">
        <f t="shared" si="1"/>
        <v>0</v>
      </c>
      <c r="P35" s="33">
        <f t="shared" si="1"/>
        <v>0.78</v>
      </c>
      <c r="Q35" s="33">
        <f t="shared" si="1"/>
        <v>5.09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6.4208333333333343</v>
      </c>
      <c r="C36" s="40">
        <f t="shared" si="2"/>
        <v>21.842499999999998</v>
      </c>
      <c r="D36" s="40">
        <f t="shared" si="2"/>
        <v>17.78833333333333</v>
      </c>
      <c r="E36" s="40">
        <f t="shared" si="2"/>
        <v>15.016249999999998</v>
      </c>
      <c r="F36" s="40">
        <f t="shared" si="2"/>
        <v>14.069583333333334</v>
      </c>
      <c r="G36" s="40">
        <f t="shared" si="2"/>
        <v>52.241666666666674</v>
      </c>
      <c r="H36" s="40">
        <f t="shared" si="2"/>
        <v>20.904444444444444</v>
      </c>
      <c r="I36" s="40">
        <f t="shared" si="2"/>
        <v>6.6174999999999988</v>
      </c>
      <c r="J36" s="40">
        <f t="shared" si="2"/>
        <v>0.6529166666666667</v>
      </c>
      <c r="K36" s="40">
        <f t="shared" si="2"/>
        <v>237.39124999999993</v>
      </c>
      <c r="L36" s="40">
        <f t="shared" si="2"/>
        <v>32.115000000000002</v>
      </c>
      <c r="M36" s="40">
        <f t="shared" si="2"/>
        <v>47.810833333333328</v>
      </c>
      <c r="N36" s="40">
        <f t="shared" si="2"/>
        <v>220.01666666666665</v>
      </c>
      <c r="O36" s="40">
        <f t="shared" si="2"/>
        <v>0</v>
      </c>
      <c r="P36" s="40">
        <f t="shared" si="2"/>
        <v>0.65666666666666651</v>
      </c>
      <c r="Q36" s="40">
        <f t="shared" si="2"/>
        <v>5.0454166666666671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1.4377576643681116</v>
      </c>
      <c r="C37" s="40">
        <f t="shared" ref="C37:Q37" si="3">STDEV(C9:C32)</f>
        <v>1.7142655925320722</v>
      </c>
      <c r="D37" s="40">
        <f t="shared" si="3"/>
        <v>1.4743507536972247</v>
      </c>
      <c r="E37" s="40">
        <f t="shared" si="3"/>
        <v>3.4539527608108815</v>
      </c>
      <c r="F37" s="40">
        <f t="shared" si="3"/>
        <v>9.3777555853647936</v>
      </c>
      <c r="G37" s="40">
        <f t="shared" si="3"/>
        <v>10.623471825311524</v>
      </c>
      <c r="H37" s="40">
        <f t="shared" si="3"/>
        <v>6.2165104984852917</v>
      </c>
      <c r="I37" s="40">
        <f t="shared" si="3"/>
        <v>0.61930009583049517</v>
      </c>
      <c r="J37" s="40">
        <f t="shared" si="3"/>
        <v>0.49013289383919983</v>
      </c>
      <c r="K37" s="40">
        <f t="shared" si="3"/>
        <v>39.747358272895788</v>
      </c>
      <c r="L37" s="40">
        <f t="shared" si="3"/>
        <v>5.2620445687468145</v>
      </c>
      <c r="M37" s="40">
        <f t="shared" si="3"/>
        <v>18.831019025433328</v>
      </c>
      <c r="N37" s="40">
        <f t="shared" si="3"/>
        <v>296.25757692261305</v>
      </c>
      <c r="O37" s="40">
        <f t="shared" si="3"/>
        <v>0</v>
      </c>
      <c r="P37" s="40">
        <f t="shared" si="3"/>
        <v>6.565169401878701E-2</v>
      </c>
      <c r="Q37" s="40">
        <f t="shared" si="3"/>
        <v>2.3586873037987604E-2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9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&lt;90%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LESS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45384.041666666664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45384.041666666664</v>
      </c>
      <c r="B9" s="50">
        <v>6.63</v>
      </c>
      <c r="C9" s="50">
        <v>22.45</v>
      </c>
      <c r="D9" s="50">
        <v>18.36</v>
      </c>
      <c r="E9" s="50">
        <v>14.92</v>
      </c>
      <c r="F9" s="50">
        <v>8.93</v>
      </c>
      <c r="G9" s="50">
        <v>64.11</v>
      </c>
      <c r="H9" s="50">
        <v>28.26</v>
      </c>
      <c r="I9" s="50">
        <v>8.07</v>
      </c>
      <c r="J9" s="50">
        <v>0.35</v>
      </c>
      <c r="K9" s="50">
        <v>219.31</v>
      </c>
      <c r="L9" s="50">
        <v>29.24</v>
      </c>
      <c r="M9" s="50">
        <v>53.96</v>
      </c>
      <c r="N9" s="50">
        <v>0</v>
      </c>
      <c r="O9" s="50">
        <v>0</v>
      </c>
      <c r="P9" s="50">
        <v>0.78</v>
      </c>
      <c r="Q9" s="50">
        <v>5.07</v>
      </c>
    </row>
    <row r="10" spans="1:21" customFormat="1">
      <c r="A10" s="49">
        <v>45384.083333333336</v>
      </c>
      <c r="B10" s="50">
        <v>8.42</v>
      </c>
      <c r="C10" s="50">
        <v>26.81</v>
      </c>
      <c r="D10" s="50">
        <v>22.11</v>
      </c>
      <c r="E10" s="50">
        <v>16.12</v>
      </c>
      <c r="F10" s="50">
        <v>7.04</v>
      </c>
      <c r="G10" s="50">
        <v>72.3</v>
      </c>
      <c r="H10" s="50">
        <v>34.549999999999997</v>
      </c>
      <c r="I10" s="50">
        <v>8.4700000000000006</v>
      </c>
      <c r="J10" s="50">
        <v>0.28999999999999998</v>
      </c>
      <c r="K10" s="50">
        <v>213.43</v>
      </c>
      <c r="L10" s="50">
        <v>29.1</v>
      </c>
      <c r="M10" s="50">
        <v>60.38</v>
      </c>
      <c r="N10" s="50">
        <v>0</v>
      </c>
      <c r="O10" s="50">
        <v>0</v>
      </c>
      <c r="P10" s="50">
        <v>0.8</v>
      </c>
      <c r="Q10" s="50">
        <v>5.0999999999999996</v>
      </c>
    </row>
    <row r="11" spans="1:21" customFormat="1">
      <c r="A11" s="49">
        <v>45384.125</v>
      </c>
      <c r="B11" s="50">
        <v>7.83</v>
      </c>
      <c r="C11" s="50">
        <v>24.92</v>
      </c>
      <c r="D11" s="50">
        <v>20.62</v>
      </c>
      <c r="E11" s="50">
        <v>14.2</v>
      </c>
      <c r="F11" s="50">
        <v>4.08</v>
      </c>
      <c r="G11" s="50">
        <v>75.2</v>
      </c>
      <c r="H11" s="50">
        <v>35.71</v>
      </c>
      <c r="I11" s="50">
        <v>8.69</v>
      </c>
      <c r="J11" s="50">
        <v>0.24</v>
      </c>
      <c r="K11" s="50">
        <v>194.78</v>
      </c>
      <c r="L11" s="50">
        <v>26.98</v>
      </c>
      <c r="M11" s="50">
        <v>65.67</v>
      </c>
      <c r="N11" s="50">
        <v>0</v>
      </c>
      <c r="O11" s="50">
        <v>0</v>
      </c>
      <c r="P11" s="50">
        <v>0.81</v>
      </c>
      <c r="Q11" s="50">
        <v>5.09</v>
      </c>
    </row>
    <row r="12" spans="1:21" customFormat="1">
      <c r="A12" s="49">
        <v>45384.166666666664</v>
      </c>
      <c r="B12" s="50">
        <v>8.33</v>
      </c>
      <c r="C12" s="50">
        <v>24.71</v>
      </c>
      <c r="D12" s="50">
        <v>20.9</v>
      </c>
      <c r="E12" s="50">
        <v>13.74</v>
      </c>
      <c r="F12" s="50">
        <v>2.96</v>
      </c>
      <c r="G12" s="50">
        <v>75.39</v>
      </c>
      <c r="H12" s="50">
        <v>35.71</v>
      </c>
      <c r="I12" s="50">
        <v>8.9</v>
      </c>
      <c r="J12" s="50">
        <v>0.26</v>
      </c>
      <c r="K12" s="50">
        <v>200.18</v>
      </c>
      <c r="L12" s="50">
        <v>25.8</v>
      </c>
      <c r="M12" s="50">
        <v>65.180000000000007</v>
      </c>
      <c r="N12" s="50">
        <v>0</v>
      </c>
      <c r="O12" s="50">
        <v>0</v>
      </c>
      <c r="P12" s="50">
        <v>0.82</v>
      </c>
      <c r="Q12" s="50">
        <v>5.09</v>
      </c>
    </row>
    <row r="13" spans="1:21" customFormat="1">
      <c r="A13" s="49">
        <v>45384.208333333336</v>
      </c>
      <c r="B13" s="50">
        <v>8.6199999999999992</v>
      </c>
      <c r="C13" s="50">
        <v>24.59</v>
      </c>
      <c r="D13" s="50">
        <v>20.94</v>
      </c>
      <c r="E13" s="50">
        <v>13.95</v>
      </c>
      <c r="F13" s="50">
        <v>2.86</v>
      </c>
      <c r="G13" s="50">
        <v>72.44</v>
      </c>
      <c r="H13" s="50">
        <v>36.35</v>
      </c>
      <c r="I13" s="50">
        <v>9.18</v>
      </c>
      <c r="J13" s="50">
        <v>0.21</v>
      </c>
      <c r="K13" s="50">
        <v>211.91</v>
      </c>
      <c r="L13" s="50">
        <v>25.05</v>
      </c>
      <c r="M13" s="50">
        <v>70.02</v>
      </c>
      <c r="N13" s="50">
        <v>0</v>
      </c>
      <c r="O13" s="50">
        <v>0</v>
      </c>
      <c r="P13" s="50">
        <v>0.81</v>
      </c>
      <c r="Q13" s="50">
        <v>5.0999999999999996</v>
      </c>
    </row>
    <row r="14" spans="1:21" customFormat="1">
      <c r="A14" s="49">
        <v>45384.25</v>
      </c>
      <c r="B14" s="50">
        <v>9.2799999999999994</v>
      </c>
      <c r="C14" s="50">
        <v>22.61</v>
      </c>
      <c r="D14" s="50">
        <v>20.350000000000001</v>
      </c>
      <c r="E14" s="50">
        <v>12.64</v>
      </c>
      <c r="F14" s="50">
        <v>2.95</v>
      </c>
      <c r="G14" s="50">
        <v>72.45</v>
      </c>
      <c r="H14" s="50">
        <v>36.35</v>
      </c>
      <c r="I14" s="50">
        <v>9.9499999999999993</v>
      </c>
      <c r="J14" s="50">
        <v>0.25</v>
      </c>
      <c r="K14" s="50">
        <v>220.81</v>
      </c>
      <c r="L14" s="50">
        <v>24.06</v>
      </c>
      <c r="M14" s="50">
        <v>69.540000000000006</v>
      </c>
      <c r="N14" s="50">
        <v>0.6</v>
      </c>
      <c r="O14" s="50">
        <v>0</v>
      </c>
      <c r="P14" s="50">
        <v>0.85</v>
      </c>
      <c r="Q14" s="50">
        <v>5.0599999999999996</v>
      </c>
    </row>
    <row r="15" spans="1:21" customFormat="1">
      <c r="A15" s="49">
        <v>45384.291666666664</v>
      </c>
      <c r="B15" s="50">
        <v>11.55</v>
      </c>
      <c r="C15" s="50">
        <v>23.65</v>
      </c>
      <c r="D15" s="50">
        <v>22.7</v>
      </c>
      <c r="E15" s="50">
        <v>12.48</v>
      </c>
      <c r="F15" s="50">
        <v>2.93</v>
      </c>
      <c r="G15" s="50">
        <v>76.37</v>
      </c>
      <c r="H15" s="50">
        <v>35.25</v>
      </c>
      <c r="I15" s="50">
        <v>10.56</v>
      </c>
      <c r="J15" s="50">
        <v>0.3</v>
      </c>
      <c r="K15" s="50">
        <v>189.21</v>
      </c>
      <c r="L15" s="50">
        <v>25.26</v>
      </c>
      <c r="M15" s="50">
        <v>67.540000000000006</v>
      </c>
      <c r="N15" s="50">
        <v>43.5</v>
      </c>
      <c r="O15" s="50">
        <v>0</v>
      </c>
      <c r="P15" s="50">
        <v>0.86</v>
      </c>
      <c r="Q15" s="50">
        <v>5.08</v>
      </c>
    </row>
    <row r="16" spans="1:21" customFormat="1">
      <c r="A16" s="49">
        <v>45384.333333333336</v>
      </c>
      <c r="B16" s="50">
        <v>10.95</v>
      </c>
      <c r="C16" s="50">
        <v>23.84</v>
      </c>
      <c r="D16" s="50">
        <v>22.45</v>
      </c>
      <c r="E16" s="50">
        <v>13.28</v>
      </c>
      <c r="F16" s="50">
        <v>6.54</v>
      </c>
      <c r="G16" s="50">
        <v>76.94</v>
      </c>
      <c r="H16" s="50">
        <v>35.25</v>
      </c>
      <c r="I16" s="50">
        <v>11.03</v>
      </c>
      <c r="J16" s="50">
        <v>0.26</v>
      </c>
      <c r="K16" s="50">
        <v>209.48</v>
      </c>
      <c r="L16" s="50">
        <v>29.24</v>
      </c>
      <c r="M16" s="50">
        <v>60.4</v>
      </c>
      <c r="N16" s="50">
        <v>215.8</v>
      </c>
      <c r="O16" s="50">
        <v>0</v>
      </c>
      <c r="P16" s="50">
        <v>0.96</v>
      </c>
      <c r="Q16" s="50">
        <v>5.0999999999999996</v>
      </c>
    </row>
    <row r="17" spans="1:17" customFormat="1">
      <c r="A17" s="49">
        <v>45384.375</v>
      </c>
      <c r="B17" s="50">
        <v>8.65</v>
      </c>
      <c r="C17" s="50">
        <v>27.44</v>
      </c>
      <c r="D17" s="50">
        <v>21.81</v>
      </c>
      <c r="E17" s="50">
        <v>27.43</v>
      </c>
      <c r="F17" s="50">
        <v>13.03</v>
      </c>
      <c r="G17" s="50">
        <v>99.73</v>
      </c>
      <c r="H17" s="50">
        <v>38.28</v>
      </c>
      <c r="I17" s="50">
        <v>14.99</v>
      </c>
      <c r="J17" s="50">
        <v>0.57999999999999996</v>
      </c>
      <c r="K17" s="50">
        <v>349.16</v>
      </c>
      <c r="L17" s="50">
        <v>33.22</v>
      </c>
      <c r="M17" s="50">
        <v>41.94</v>
      </c>
      <c r="N17" s="50">
        <v>287.2</v>
      </c>
      <c r="O17" s="50">
        <v>0</v>
      </c>
      <c r="P17" s="50">
        <v>1.26</v>
      </c>
      <c r="Q17" s="50">
        <v>5.12</v>
      </c>
    </row>
    <row r="18" spans="1:17" customFormat="1">
      <c r="A18" s="49">
        <v>45384.416666666664</v>
      </c>
      <c r="B18" s="50">
        <v>7.93</v>
      </c>
      <c r="C18" s="50">
        <v>30.51</v>
      </c>
      <c r="D18" s="50">
        <v>22.91</v>
      </c>
      <c r="E18" s="50">
        <v>24.89</v>
      </c>
      <c r="F18" s="50">
        <v>18.98</v>
      </c>
      <c r="G18" s="50">
        <v>104.81</v>
      </c>
      <c r="H18" s="50">
        <v>39.42</v>
      </c>
      <c r="I18" s="50">
        <v>17.2</v>
      </c>
      <c r="J18" s="50">
        <v>0.67</v>
      </c>
      <c r="K18" s="50">
        <v>359.81</v>
      </c>
      <c r="L18" s="50">
        <v>35.24</v>
      </c>
      <c r="M18" s="50">
        <v>23.98</v>
      </c>
      <c r="N18" s="50">
        <v>549.9</v>
      </c>
      <c r="O18" s="50">
        <v>0</v>
      </c>
      <c r="P18" s="50">
        <v>1.34</v>
      </c>
      <c r="Q18" s="50">
        <v>5.1100000000000003</v>
      </c>
    </row>
    <row r="19" spans="1:17" customFormat="1">
      <c r="A19" s="49">
        <v>45384.458333333336</v>
      </c>
      <c r="B19" s="50">
        <v>6.94</v>
      </c>
      <c r="C19" s="50">
        <v>30.98</v>
      </c>
      <c r="D19" s="50">
        <v>23.1</v>
      </c>
      <c r="E19" s="50">
        <v>15.6</v>
      </c>
      <c r="F19" s="50">
        <v>18.059999999999999</v>
      </c>
      <c r="G19" s="50">
        <v>105.06</v>
      </c>
      <c r="H19" s="50">
        <v>39.61</v>
      </c>
      <c r="I19" s="50">
        <v>17.350000000000001</v>
      </c>
      <c r="J19" s="50">
        <v>0.99</v>
      </c>
      <c r="K19" s="50">
        <v>330.07</v>
      </c>
      <c r="L19" s="50">
        <v>36.82</v>
      </c>
      <c r="M19" s="50">
        <v>20.96</v>
      </c>
      <c r="N19" s="50">
        <v>744.6</v>
      </c>
      <c r="O19" s="50">
        <v>0</v>
      </c>
      <c r="P19" s="50">
        <v>1.24</v>
      </c>
      <c r="Q19" s="50">
        <v>5.0999999999999996</v>
      </c>
    </row>
    <row r="20" spans="1:17" customFormat="1">
      <c r="A20" s="49">
        <v>45384.5</v>
      </c>
      <c r="B20" s="50">
        <v>5.4</v>
      </c>
      <c r="C20" s="50">
        <v>31.8</v>
      </c>
      <c r="D20" s="50">
        <v>21.73</v>
      </c>
      <c r="E20" s="50">
        <v>17.23</v>
      </c>
      <c r="F20" s="50">
        <v>30.31</v>
      </c>
      <c r="G20" s="50">
        <v>101.28</v>
      </c>
      <c r="H20" s="50">
        <v>39.61</v>
      </c>
      <c r="I20" s="50">
        <v>15.78</v>
      </c>
      <c r="J20" s="50">
        <v>1.06</v>
      </c>
      <c r="K20" s="50">
        <v>314.44</v>
      </c>
      <c r="L20" s="50">
        <v>38</v>
      </c>
      <c r="M20" s="50">
        <v>18.37</v>
      </c>
      <c r="N20" s="50">
        <v>788.6</v>
      </c>
      <c r="O20" s="50">
        <v>0</v>
      </c>
      <c r="P20" s="50">
        <v>1.2</v>
      </c>
      <c r="Q20" s="50">
        <v>5.05</v>
      </c>
    </row>
    <row r="21" spans="1:17" customFormat="1">
      <c r="A21" s="49">
        <v>45384.541666666664</v>
      </c>
      <c r="B21" s="50">
        <v>4.03</v>
      </c>
      <c r="C21" s="50">
        <v>31.1</v>
      </c>
      <c r="D21" s="50">
        <v>20.83</v>
      </c>
      <c r="E21" s="50">
        <v>28.6</v>
      </c>
      <c r="F21" s="50">
        <v>75.87</v>
      </c>
      <c r="G21" s="50">
        <v>90.52</v>
      </c>
      <c r="H21" s="50">
        <v>36.64</v>
      </c>
      <c r="I21" s="50">
        <v>15.27</v>
      </c>
      <c r="J21" s="50">
        <v>0.95</v>
      </c>
      <c r="K21" s="50">
        <v>298.57</v>
      </c>
      <c r="L21" s="50">
        <v>39.369999999999997</v>
      </c>
      <c r="M21" s="50">
        <v>16.68</v>
      </c>
      <c r="N21" s="50">
        <v>793.2</v>
      </c>
      <c r="O21" s="50">
        <v>0</v>
      </c>
      <c r="P21" s="50">
        <v>1.1100000000000001</v>
      </c>
      <c r="Q21" s="50">
        <v>5.08</v>
      </c>
    </row>
    <row r="22" spans="1:17" customFormat="1">
      <c r="A22" s="49">
        <v>45384.583333333336</v>
      </c>
      <c r="B22" s="50">
        <v>5.13</v>
      </c>
      <c r="C22" s="50">
        <v>18.170000000000002</v>
      </c>
      <c r="D22" s="50">
        <v>14.96</v>
      </c>
      <c r="E22" s="50">
        <v>10.039999999999999</v>
      </c>
      <c r="F22" s="50">
        <v>58.52</v>
      </c>
      <c r="G22" s="50">
        <v>45.61</v>
      </c>
      <c r="H22" s="50">
        <v>1.31</v>
      </c>
      <c r="I22" s="50">
        <v>24.1</v>
      </c>
      <c r="J22" s="50">
        <v>1.89</v>
      </c>
      <c r="K22" s="50">
        <v>307.74</v>
      </c>
      <c r="L22" s="50">
        <v>40.25</v>
      </c>
      <c r="M22" s="50">
        <v>13.83</v>
      </c>
      <c r="N22" s="50">
        <v>827.1</v>
      </c>
      <c r="O22" s="50">
        <v>0</v>
      </c>
      <c r="P22" s="50">
        <v>0.55000000000000004</v>
      </c>
      <c r="Q22" s="50">
        <v>5.07</v>
      </c>
    </row>
    <row r="23" spans="1:17" customFormat="1">
      <c r="A23" s="49">
        <v>45384.625</v>
      </c>
      <c r="B23" s="50">
        <v>3.97</v>
      </c>
      <c r="C23" s="50">
        <v>18.940000000000001</v>
      </c>
      <c r="D23" s="50">
        <v>14.43</v>
      </c>
      <c r="E23" s="50">
        <v>13.99</v>
      </c>
      <c r="F23" s="50">
        <v>22.77</v>
      </c>
      <c r="G23" s="50">
        <v>51.86</v>
      </c>
      <c r="H23" s="50">
        <v>8.83</v>
      </c>
      <c r="I23" s="50">
        <v>22.55</v>
      </c>
      <c r="J23" s="50">
        <v>1.33</v>
      </c>
      <c r="K23" s="50">
        <v>297.77</v>
      </c>
      <c r="L23" s="50">
        <v>40.72</v>
      </c>
      <c r="M23" s="50">
        <v>13.99</v>
      </c>
      <c r="N23" s="50">
        <v>676.9</v>
      </c>
      <c r="O23" s="50">
        <v>0</v>
      </c>
      <c r="P23" s="50">
        <v>0.64</v>
      </c>
      <c r="Q23" s="50">
        <v>5.0599999999999996</v>
      </c>
    </row>
    <row r="24" spans="1:17" customFormat="1">
      <c r="A24" s="49">
        <v>45384.666666666664</v>
      </c>
      <c r="B24" s="50">
        <v>4.17</v>
      </c>
      <c r="C24" s="50">
        <v>18.61</v>
      </c>
      <c r="D24" s="50">
        <v>14.4</v>
      </c>
      <c r="E24" s="50">
        <v>16.68</v>
      </c>
      <c r="F24" s="50">
        <v>27.81</v>
      </c>
      <c r="G24" s="50">
        <v>51.86</v>
      </c>
      <c r="H24" s="50">
        <v>11.34</v>
      </c>
      <c r="I24" s="50">
        <v>21.43</v>
      </c>
      <c r="J24" s="50">
        <v>1.21</v>
      </c>
      <c r="K24" s="50">
        <v>304.54000000000002</v>
      </c>
      <c r="L24" s="50">
        <v>40.36</v>
      </c>
      <c r="M24" s="50">
        <v>15.68</v>
      </c>
      <c r="N24" s="50">
        <v>511.9</v>
      </c>
      <c r="O24" s="50">
        <v>0</v>
      </c>
      <c r="P24" s="50">
        <v>0.59</v>
      </c>
      <c r="Q24" s="50">
        <v>5.08</v>
      </c>
    </row>
    <row r="25" spans="1:17" customFormat="1">
      <c r="A25" s="49">
        <v>45384.708333333336</v>
      </c>
      <c r="B25" s="50">
        <v>5.13</v>
      </c>
      <c r="C25" s="50">
        <v>20.88</v>
      </c>
      <c r="D25" s="50">
        <v>16.38</v>
      </c>
      <c r="E25" s="50">
        <v>24.48</v>
      </c>
      <c r="F25" s="50">
        <v>47.96</v>
      </c>
      <c r="G25" s="50">
        <v>55.1</v>
      </c>
      <c r="H25" s="50">
        <v>16.54</v>
      </c>
      <c r="I25" s="50">
        <v>17.12</v>
      </c>
      <c r="J25" s="50">
        <v>1.27</v>
      </c>
      <c r="K25" s="50">
        <v>301.89</v>
      </c>
      <c r="L25" s="50">
        <v>39.93</v>
      </c>
      <c r="M25" s="50">
        <v>17.64</v>
      </c>
      <c r="N25" s="50">
        <v>289.8</v>
      </c>
      <c r="O25" s="50">
        <v>0</v>
      </c>
      <c r="P25" s="50">
        <v>0.63</v>
      </c>
      <c r="Q25" s="50">
        <v>5.07</v>
      </c>
    </row>
    <row r="26" spans="1:17" customFormat="1">
      <c r="A26" s="49">
        <v>45384.75</v>
      </c>
      <c r="B26" s="50">
        <v>6.53</v>
      </c>
      <c r="C26" s="50">
        <v>29.43</v>
      </c>
      <c r="D26" s="50">
        <v>21.97</v>
      </c>
      <c r="E26" s="50">
        <v>24.04</v>
      </c>
      <c r="F26" s="50">
        <v>30.04</v>
      </c>
      <c r="G26" s="50">
        <v>65.95</v>
      </c>
      <c r="H26" s="50">
        <v>20.91</v>
      </c>
      <c r="I26" s="50">
        <v>13.34</v>
      </c>
      <c r="J26" s="50">
        <v>0.92</v>
      </c>
      <c r="K26" s="50">
        <v>329.31</v>
      </c>
      <c r="L26" s="50">
        <v>38.380000000000003</v>
      </c>
      <c r="M26" s="50">
        <v>18.43</v>
      </c>
      <c r="N26" s="50">
        <v>91.3</v>
      </c>
      <c r="O26" s="50">
        <v>0</v>
      </c>
      <c r="P26" s="50">
        <v>0.82</v>
      </c>
      <c r="Q26" s="50">
        <v>5.05</v>
      </c>
    </row>
    <row r="27" spans="1:17" customFormat="1">
      <c r="A27" s="49">
        <v>45384.791666666664</v>
      </c>
      <c r="B27" s="50">
        <v>10.49</v>
      </c>
      <c r="C27" s="50">
        <v>39.729999999999997</v>
      </c>
      <c r="D27" s="50">
        <v>30.52</v>
      </c>
      <c r="E27" s="50">
        <v>28.29</v>
      </c>
      <c r="F27" s="50">
        <v>12.94</v>
      </c>
      <c r="G27" s="50">
        <v>85.19</v>
      </c>
      <c r="H27" s="50">
        <v>30.04</v>
      </c>
      <c r="I27" s="50">
        <v>13.12</v>
      </c>
      <c r="J27" s="50">
        <v>0.46</v>
      </c>
      <c r="K27" s="50">
        <v>326.69</v>
      </c>
      <c r="L27" s="50">
        <v>36.46</v>
      </c>
      <c r="M27" s="50">
        <v>22.18</v>
      </c>
      <c r="N27" s="50">
        <v>0</v>
      </c>
      <c r="O27" s="50">
        <v>0</v>
      </c>
      <c r="P27" s="50">
        <v>0.89</v>
      </c>
      <c r="Q27" s="50">
        <v>5.12</v>
      </c>
    </row>
    <row r="28" spans="1:17" customFormat="1">
      <c r="A28" s="49">
        <v>45384.833333333336</v>
      </c>
      <c r="B28" s="50">
        <v>9.1999999999999993</v>
      </c>
      <c r="C28" s="50">
        <v>37.03</v>
      </c>
      <c r="D28" s="50">
        <v>28.07</v>
      </c>
      <c r="E28" s="50">
        <v>38.39</v>
      </c>
      <c r="F28" s="50">
        <v>12.02</v>
      </c>
      <c r="G28" s="50">
        <v>102.45</v>
      </c>
      <c r="H28" s="50">
        <v>40.65</v>
      </c>
      <c r="I28" s="50">
        <v>12.57</v>
      </c>
      <c r="J28" s="50">
        <v>0.31</v>
      </c>
      <c r="K28" s="50">
        <v>243.64</v>
      </c>
      <c r="L28" s="50">
        <v>34.93</v>
      </c>
      <c r="M28" s="50">
        <v>40.01</v>
      </c>
      <c r="N28" s="50">
        <v>0</v>
      </c>
      <c r="O28" s="50">
        <v>0</v>
      </c>
      <c r="P28" s="50">
        <v>0.94</v>
      </c>
      <c r="Q28" s="50">
        <v>5.1100000000000003</v>
      </c>
    </row>
    <row r="29" spans="1:17" customFormat="1">
      <c r="A29" s="49">
        <v>45384.875</v>
      </c>
      <c r="B29" s="50">
        <v>14.72</v>
      </c>
      <c r="C29" s="50">
        <v>36.729999999999997</v>
      </c>
      <c r="D29" s="50">
        <v>32.340000000000003</v>
      </c>
      <c r="E29" s="50">
        <v>16.559999999999999</v>
      </c>
      <c r="F29" s="50">
        <v>9.2899999999999991</v>
      </c>
      <c r="G29" s="50">
        <v>102.45</v>
      </c>
      <c r="H29" s="50">
        <v>40.65</v>
      </c>
      <c r="I29" s="50">
        <v>12.46</v>
      </c>
      <c r="J29" s="50">
        <v>0.26</v>
      </c>
      <c r="K29" s="50">
        <v>190.63</v>
      </c>
      <c r="L29" s="50">
        <v>31.24</v>
      </c>
      <c r="M29" s="50">
        <v>52.04</v>
      </c>
      <c r="N29" s="50">
        <v>0</v>
      </c>
      <c r="O29" s="50">
        <v>0</v>
      </c>
      <c r="P29" s="50">
        <v>1.1100000000000001</v>
      </c>
      <c r="Q29" s="50">
        <v>5.1100000000000003</v>
      </c>
    </row>
    <row r="30" spans="1:17" customFormat="1">
      <c r="A30" s="49">
        <v>45384.916666666664</v>
      </c>
      <c r="B30" s="50">
        <v>9.82</v>
      </c>
      <c r="C30" s="50">
        <v>30.11</v>
      </c>
      <c r="D30" s="50">
        <v>24.95</v>
      </c>
      <c r="E30" s="50">
        <v>13.33</v>
      </c>
      <c r="F30" s="50">
        <v>4.8499999999999996</v>
      </c>
      <c r="G30" s="50">
        <v>96.48</v>
      </c>
      <c r="H30" s="50">
        <v>38.880000000000003</v>
      </c>
      <c r="I30" s="50">
        <v>12.79</v>
      </c>
      <c r="J30" s="50">
        <v>0.28999999999999998</v>
      </c>
      <c r="K30" s="50">
        <v>193.97</v>
      </c>
      <c r="L30" s="50">
        <v>29.6</v>
      </c>
      <c r="M30" s="50">
        <v>54.91</v>
      </c>
      <c r="N30" s="50">
        <v>0</v>
      </c>
      <c r="O30" s="50">
        <v>0</v>
      </c>
      <c r="P30" s="50">
        <v>1.1399999999999999</v>
      </c>
      <c r="Q30" s="50">
        <v>5.1100000000000003</v>
      </c>
    </row>
    <row r="31" spans="1:17" customFormat="1">
      <c r="A31" s="49">
        <v>45384.958333333336</v>
      </c>
      <c r="B31" s="50">
        <v>9.9</v>
      </c>
      <c r="C31" s="50">
        <v>28.3</v>
      </c>
      <c r="D31" s="50">
        <v>23.98</v>
      </c>
      <c r="E31" s="50">
        <v>12.64</v>
      </c>
      <c r="F31" s="50">
        <v>4.08</v>
      </c>
      <c r="G31" s="50">
        <v>94.97</v>
      </c>
      <c r="H31" s="50">
        <v>38.880000000000003</v>
      </c>
      <c r="I31" s="50">
        <v>13.04</v>
      </c>
      <c r="J31" s="50">
        <v>0.26</v>
      </c>
      <c r="K31" s="50">
        <v>203.24</v>
      </c>
      <c r="L31" s="50">
        <v>28.22</v>
      </c>
      <c r="M31" s="50">
        <v>56.74</v>
      </c>
      <c r="N31" s="50">
        <v>0</v>
      </c>
      <c r="O31" s="50">
        <v>0</v>
      </c>
      <c r="P31" s="50">
        <v>1.23</v>
      </c>
      <c r="Q31" s="50">
        <v>5.08</v>
      </c>
    </row>
    <row r="32" spans="1:17" customFormat="1">
      <c r="A32" s="49">
        <v>45385</v>
      </c>
      <c r="B32" s="50">
        <v>19.239999999999998</v>
      </c>
      <c r="C32" s="50">
        <v>27.62</v>
      </c>
      <c r="D32" s="50">
        <v>31.09</v>
      </c>
      <c r="E32" s="50">
        <v>11.67</v>
      </c>
      <c r="F32" s="50">
        <v>3.6</v>
      </c>
      <c r="G32" s="50">
        <v>95.24</v>
      </c>
      <c r="H32" s="50">
        <v>41.22</v>
      </c>
      <c r="I32" s="50">
        <v>13.52</v>
      </c>
      <c r="J32" s="50">
        <v>0.44</v>
      </c>
      <c r="K32" s="50">
        <v>172.74</v>
      </c>
      <c r="L32" s="50">
        <v>28.55</v>
      </c>
      <c r="M32" s="50">
        <v>56.03</v>
      </c>
      <c r="N32" s="50">
        <v>0</v>
      </c>
      <c r="O32" s="50">
        <v>0</v>
      </c>
      <c r="P32" s="50">
        <v>1.29</v>
      </c>
      <c r="Q32" s="50">
        <v>5.09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3.97</v>
      </c>
      <c r="C34" s="40">
        <f t="shared" si="0"/>
        <v>18.170000000000002</v>
      </c>
      <c r="D34" s="40">
        <f t="shared" si="0"/>
        <v>14.4</v>
      </c>
      <c r="E34" s="40">
        <f t="shared" si="0"/>
        <v>10.039999999999999</v>
      </c>
      <c r="F34" s="40">
        <f t="shared" si="0"/>
        <v>2.86</v>
      </c>
      <c r="G34" s="40">
        <f t="shared" si="0"/>
        <v>45.61</v>
      </c>
      <c r="H34" s="40">
        <f t="shared" si="0"/>
        <v>1.31</v>
      </c>
      <c r="I34" s="40">
        <f t="shared" si="0"/>
        <v>8.07</v>
      </c>
      <c r="J34" s="40">
        <f t="shared" si="0"/>
        <v>0.21</v>
      </c>
      <c r="K34" s="40">
        <f t="shared" si="0"/>
        <v>172.74</v>
      </c>
      <c r="L34" s="40">
        <f t="shared" si="0"/>
        <v>24.06</v>
      </c>
      <c r="M34" s="40">
        <f t="shared" si="0"/>
        <v>13.83</v>
      </c>
      <c r="N34" s="40">
        <f t="shared" si="0"/>
        <v>0</v>
      </c>
      <c r="O34" s="40">
        <f t="shared" si="0"/>
        <v>0</v>
      </c>
      <c r="P34" s="40">
        <f t="shared" si="0"/>
        <v>0.55000000000000004</v>
      </c>
      <c r="Q34" s="40">
        <f t="shared" si="0"/>
        <v>5.05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19.239999999999998</v>
      </c>
      <c r="C35" s="33">
        <f t="shared" si="1"/>
        <v>39.729999999999997</v>
      </c>
      <c r="D35" s="33">
        <f t="shared" si="1"/>
        <v>32.340000000000003</v>
      </c>
      <c r="E35" s="33">
        <f t="shared" si="1"/>
        <v>38.39</v>
      </c>
      <c r="F35" s="33">
        <f t="shared" si="1"/>
        <v>75.87</v>
      </c>
      <c r="G35" s="33">
        <f t="shared" si="1"/>
        <v>105.06</v>
      </c>
      <c r="H35" s="33">
        <f t="shared" si="1"/>
        <v>41.22</v>
      </c>
      <c r="I35" s="33">
        <f t="shared" si="1"/>
        <v>24.1</v>
      </c>
      <c r="J35" s="33">
        <f t="shared" si="1"/>
        <v>1.89</v>
      </c>
      <c r="K35" s="33">
        <f t="shared" si="1"/>
        <v>359.81</v>
      </c>
      <c r="L35" s="33">
        <f t="shared" si="1"/>
        <v>40.72</v>
      </c>
      <c r="M35" s="33">
        <f t="shared" si="1"/>
        <v>70.02</v>
      </c>
      <c r="N35" s="33">
        <f t="shared" si="1"/>
        <v>827.1</v>
      </c>
      <c r="O35" s="33">
        <f t="shared" si="1"/>
        <v>0</v>
      </c>
      <c r="P35" s="33">
        <f t="shared" si="1"/>
        <v>1.34</v>
      </c>
      <c r="Q35" s="33">
        <f t="shared" si="1"/>
        <v>5.12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8.4524999999999988</v>
      </c>
      <c r="C36" s="40">
        <f t="shared" si="2"/>
        <v>27.123333333333338</v>
      </c>
      <c r="D36" s="40">
        <f t="shared" si="2"/>
        <v>22.162499999999994</v>
      </c>
      <c r="E36" s="40">
        <f t="shared" si="2"/>
        <v>18.132916666666667</v>
      </c>
      <c r="F36" s="40">
        <f t="shared" si="2"/>
        <v>17.850833333333338</v>
      </c>
      <c r="G36" s="40">
        <f t="shared" si="2"/>
        <v>80.573333333333323</v>
      </c>
      <c r="H36" s="40">
        <f t="shared" si="2"/>
        <v>31.676666666666666</v>
      </c>
      <c r="I36" s="40">
        <f t="shared" si="2"/>
        <v>13.811666666666667</v>
      </c>
      <c r="J36" s="40">
        <f t="shared" si="2"/>
        <v>0.62708333333333333</v>
      </c>
      <c r="K36" s="40">
        <f t="shared" si="2"/>
        <v>257.63833333333338</v>
      </c>
      <c r="L36" s="40">
        <f t="shared" si="2"/>
        <v>32.750833333333333</v>
      </c>
      <c r="M36" s="40">
        <f t="shared" si="2"/>
        <v>41.504166666666663</v>
      </c>
      <c r="N36" s="40">
        <f t="shared" si="2"/>
        <v>242.51666666666665</v>
      </c>
      <c r="O36" s="40">
        <f t="shared" si="2"/>
        <v>0</v>
      </c>
      <c r="P36" s="40">
        <f t="shared" si="2"/>
        <v>0.94458333333333344</v>
      </c>
      <c r="Q36" s="40">
        <f t="shared" si="2"/>
        <v>5.0875000000000004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3.4908554451782221</v>
      </c>
      <c r="C37" s="40">
        <f t="shared" ref="C37:Q37" si="3">STDEV(C9:C32)</f>
        <v>5.7867672635348342</v>
      </c>
      <c r="D37" s="40">
        <f t="shared" si="3"/>
        <v>4.8076508319281537</v>
      </c>
      <c r="E37" s="40">
        <f t="shared" si="3"/>
        <v>7.1388359050835462</v>
      </c>
      <c r="F37" s="40">
        <f t="shared" si="3"/>
        <v>19.197844742408535</v>
      </c>
      <c r="G37" s="40">
        <f t="shared" si="3"/>
        <v>18.682585396605329</v>
      </c>
      <c r="H37" s="40">
        <f t="shared" si="3"/>
        <v>11.300350000992349</v>
      </c>
      <c r="I37" s="40">
        <f t="shared" si="3"/>
        <v>4.447316403001448</v>
      </c>
      <c r="J37" s="40">
        <f t="shared" si="3"/>
        <v>0.46320696066207523</v>
      </c>
      <c r="K37" s="40">
        <f t="shared" si="3"/>
        <v>61.566109866207505</v>
      </c>
      <c r="L37" s="40">
        <f t="shared" si="3"/>
        <v>5.6516614845753139</v>
      </c>
      <c r="M37" s="40">
        <f t="shared" si="3"/>
        <v>21.439532748937285</v>
      </c>
      <c r="N37" s="40">
        <f t="shared" si="3"/>
        <v>317.8683630559733</v>
      </c>
      <c r="O37" s="40">
        <f t="shared" si="3"/>
        <v>0</v>
      </c>
      <c r="P37" s="40">
        <f t="shared" si="3"/>
        <v>0.23863705690344078</v>
      </c>
      <c r="Q37" s="40">
        <f t="shared" si="3"/>
        <v>2.1110475454452618E-2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45385.041666666664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45385.041666666664</v>
      </c>
      <c r="B9" s="50">
        <v>18.93</v>
      </c>
      <c r="C9" s="50">
        <v>29.65</v>
      </c>
      <c r="D9" s="50">
        <v>32.020000000000003</v>
      </c>
      <c r="E9" s="50">
        <v>12.54</v>
      </c>
      <c r="F9" s="50">
        <v>3.28</v>
      </c>
      <c r="G9" s="50">
        <v>109.97</v>
      </c>
      <c r="H9" s="50">
        <v>43.29</v>
      </c>
      <c r="I9" s="50">
        <v>13.69</v>
      </c>
      <c r="J9" s="50">
        <v>0.24</v>
      </c>
      <c r="K9" s="50">
        <v>200.73</v>
      </c>
      <c r="L9" s="50">
        <v>28.22</v>
      </c>
      <c r="M9" s="50">
        <v>61.29</v>
      </c>
      <c r="N9" s="50">
        <v>0</v>
      </c>
      <c r="O9" s="50">
        <v>0</v>
      </c>
      <c r="P9" s="50">
        <v>1.29</v>
      </c>
      <c r="Q9" s="50">
        <v>5.14</v>
      </c>
    </row>
    <row r="10" spans="1:21" customFormat="1">
      <c r="A10" s="49">
        <v>45385.083333333336</v>
      </c>
      <c r="B10" s="50">
        <v>19.149999999999999</v>
      </c>
      <c r="C10" s="50">
        <v>29.54</v>
      </c>
      <c r="D10" s="50">
        <v>32.06</v>
      </c>
      <c r="E10" s="50">
        <v>12.17</v>
      </c>
      <c r="F10" s="50">
        <v>3</v>
      </c>
      <c r="G10" s="50">
        <v>109.97</v>
      </c>
      <c r="H10" s="50">
        <v>43.29</v>
      </c>
      <c r="I10" s="50">
        <v>13.85</v>
      </c>
      <c r="J10" s="50">
        <v>0.31</v>
      </c>
      <c r="K10" s="50">
        <v>226.9</v>
      </c>
      <c r="L10" s="50">
        <v>25.89</v>
      </c>
      <c r="M10" s="50">
        <v>63.83</v>
      </c>
      <c r="N10" s="50">
        <v>0</v>
      </c>
      <c r="O10" s="50">
        <v>0</v>
      </c>
      <c r="P10" s="50">
        <v>1.31</v>
      </c>
      <c r="Q10" s="50">
        <v>5.13</v>
      </c>
    </row>
    <row r="11" spans="1:21" customFormat="1">
      <c r="A11" s="49">
        <v>45385.125</v>
      </c>
      <c r="B11" s="50">
        <v>17.86</v>
      </c>
      <c r="C11" s="50">
        <v>28.84</v>
      </c>
      <c r="D11" s="50">
        <v>30.74</v>
      </c>
      <c r="E11" s="50">
        <v>12.12</v>
      </c>
      <c r="F11" s="50">
        <v>3.32</v>
      </c>
      <c r="G11" s="50">
        <v>105.24</v>
      </c>
      <c r="H11" s="50">
        <v>42.3</v>
      </c>
      <c r="I11" s="50">
        <v>13.88</v>
      </c>
      <c r="J11" s="50">
        <v>0.21</v>
      </c>
      <c r="K11" s="50">
        <v>187.8</v>
      </c>
      <c r="L11" s="50">
        <v>25.79</v>
      </c>
      <c r="M11" s="50">
        <v>58.08</v>
      </c>
      <c r="N11" s="50">
        <v>0</v>
      </c>
      <c r="O11" s="50">
        <v>0</v>
      </c>
      <c r="P11" s="50">
        <v>1.3</v>
      </c>
      <c r="Q11" s="50">
        <v>5.13</v>
      </c>
    </row>
    <row r="12" spans="1:21" customFormat="1">
      <c r="A12" s="49">
        <v>45385.166666666664</v>
      </c>
      <c r="B12" s="50">
        <v>15.58</v>
      </c>
      <c r="C12" s="50">
        <v>28.08</v>
      </c>
      <c r="D12" s="50">
        <v>28.51</v>
      </c>
      <c r="E12" s="50">
        <v>12.64</v>
      </c>
      <c r="F12" s="50">
        <v>3.15</v>
      </c>
      <c r="G12" s="50">
        <v>101.31</v>
      </c>
      <c r="H12" s="50">
        <v>40.799999999999997</v>
      </c>
      <c r="I12" s="50">
        <v>13.5</v>
      </c>
      <c r="J12" s="50">
        <v>0.85</v>
      </c>
      <c r="K12" s="50">
        <v>170.39</v>
      </c>
      <c r="L12" s="50">
        <v>26.46</v>
      </c>
      <c r="M12" s="50">
        <v>54.38</v>
      </c>
      <c r="N12" s="50">
        <v>0</v>
      </c>
      <c r="O12" s="50">
        <v>0</v>
      </c>
      <c r="P12" s="50">
        <v>1.22</v>
      </c>
      <c r="Q12" s="50">
        <v>5.1100000000000003</v>
      </c>
    </row>
    <row r="13" spans="1:21" customFormat="1">
      <c r="A13" s="49">
        <v>45385.208333333336</v>
      </c>
      <c r="B13" s="50">
        <v>20.190000000000001</v>
      </c>
      <c r="C13" s="50">
        <v>29.62</v>
      </c>
      <c r="D13" s="50">
        <v>32.15</v>
      </c>
      <c r="E13" s="50">
        <v>12.71</v>
      </c>
      <c r="F13" s="50">
        <v>3.74</v>
      </c>
      <c r="G13" s="50">
        <v>108.23</v>
      </c>
      <c r="H13" s="50">
        <v>44.1</v>
      </c>
      <c r="I13" s="50">
        <v>13.11</v>
      </c>
      <c r="J13" s="50">
        <v>0.27</v>
      </c>
      <c r="K13" s="50">
        <v>186.94</v>
      </c>
      <c r="L13" s="50">
        <v>25.76</v>
      </c>
      <c r="M13" s="50">
        <v>66.87</v>
      </c>
      <c r="N13" s="50">
        <v>0</v>
      </c>
      <c r="O13" s="50">
        <v>0</v>
      </c>
      <c r="P13" s="50">
        <v>1.25</v>
      </c>
      <c r="Q13" s="50">
        <v>5.09</v>
      </c>
    </row>
    <row r="14" spans="1:21" customFormat="1">
      <c r="A14" s="49">
        <v>45385.25</v>
      </c>
      <c r="B14" s="50">
        <v>21.77</v>
      </c>
      <c r="C14" s="50">
        <v>26.3</v>
      </c>
      <c r="D14" s="50">
        <v>32.22</v>
      </c>
      <c r="E14" s="50">
        <v>10.61</v>
      </c>
      <c r="F14" s="50">
        <v>3.47</v>
      </c>
      <c r="G14" s="50">
        <v>118.28</v>
      </c>
      <c r="H14" s="50">
        <v>46.7</v>
      </c>
      <c r="I14" s="50">
        <v>13.37</v>
      </c>
      <c r="J14" s="50">
        <v>0.28999999999999998</v>
      </c>
      <c r="K14" s="50">
        <v>195.91</v>
      </c>
      <c r="L14" s="50">
        <v>24.06</v>
      </c>
      <c r="M14" s="50">
        <v>69.52</v>
      </c>
      <c r="N14" s="50">
        <v>0.7</v>
      </c>
      <c r="O14" s="50">
        <v>0</v>
      </c>
      <c r="P14" s="50">
        <v>1.26</v>
      </c>
      <c r="Q14" s="50">
        <v>5.13</v>
      </c>
    </row>
    <row r="15" spans="1:21" customFormat="1">
      <c r="A15" s="49">
        <v>45385.291666666664</v>
      </c>
      <c r="B15" s="50">
        <v>26.59</v>
      </c>
      <c r="C15" s="50">
        <v>27.9</v>
      </c>
      <c r="D15" s="50">
        <v>37.15</v>
      </c>
      <c r="E15" s="50">
        <v>11.67</v>
      </c>
      <c r="F15" s="50">
        <v>2.89</v>
      </c>
      <c r="G15" s="50">
        <v>136.27000000000001</v>
      </c>
      <c r="H15" s="50">
        <v>50.9</v>
      </c>
      <c r="I15" s="50">
        <v>13.58</v>
      </c>
      <c r="J15" s="50">
        <v>0.23</v>
      </c>
      <c r="K15" s="50">
        <v>213.23</v>
      </c>
      <c r="L15" s="50">
        <v>24.83</v>
      </c>
      <c r="M15" s="50">
        <v>68.05</v>
      </c>
      <c r="N15" s="50">
        <v>50.2</v>
      </c>
      <c r="O15" s="50">
        <v>0</v>
      </c>
      <c r="P15" s="50">
        <v>1.26</v>
      </c>
      <c r="Q15" s="50">
        <v>5.16</v>
      </c>
    </row>
    <row r="16" spans="1:21" customFormat="1">
      <c r="A16" s="49">
        <v>45385.333333333336</v>
      </c>
      <c r="B16" s="50">
        <v>25.64</v>
      </c>
      <c r="C16" s="50">
        <v>30.41</v>
      </c>
      <c r="D16" s="50">
        <v>36.56</v>
      </c>
      <c r="E16" s="50">
        <v>14.53</v>
      </c>
      <c r="F16" s="50">
        <v>3.27</v>
      </c>
      <c r="G16" s="50">
        <v>143.38</v>
      </c>
      <c r="H16" s="50">
        <v>54.59</v>
      </c>
      <c r="I16" s="50">
        <v>13.92</v>
      </c>
      <c r="J16" s="50">
        <v>0.24</v>
      </c>
      <c r="K16" s="50">
        <v>230.49</v>
      </c>
      <c r="L16" s="50">
        <v>29.78</v>
      </c>
      <c r="M16" s="50">
        <v>57.33</v>
      </c>
      <c r="N16" s="50">
        <v>190.2</v>
      </c>
      <c r="O16" s="50">
        <v>0</v>
      </c>
      <c r="P16" s="50">
        <v>1.37</v>
      </c>
      <c r="Q16" s="50">
        <v>5.15</v>
      </c>
    </row>
    <row r="17" spans="1:17" customFormat="1">
      <c r="A17" s="49">
        <v>45385.375</v>
      </c>
      <c r="B17" s="50">
        <v>22.4</v>
      </c>
      <c r="C17" s="50">
        <v>33.979999999999997</v>
      </c>
      <c r="D17" s="50">
        <v>36.06</v>
      </c>
      <c r="E17" s="50">
        <v>23.15</v>
      </c>
      <c r="F17" s="50">
        <v>10.61</v>
      </c>
      <c r="G17" s="50">
        <v>144.76</v>
      </c>
      <c r="H17" s="50">
        <v>62.01</v>
      </c>
      <c r="I17" s="50">
        <v>14.65</v>
      </c>
      <c r="J17" s="50">
        <v>0.87</v>
      </c>
      <c r="K17" s="50">
        <v>59.09</v>
      </c>
      <c r="L17" s="50">
        <v>32.590000000000003</v>
      </c>
      <c r="M17" s="50">
        <v>37.93</v>
      </c>
      <c r="N17" s="50">
        <v>256.89999999999998</v>
      </c>
      <c r="O17" s="50">
        <v>0</v>
      </c>
      <c r="P17" s="50">
        <v>1.42</v>
      </c>
      <c r="Q17" s="50">
        <v>5.14</v>
      </c>
    </row>
    <row r="18" spans="1:17" customFormat="1">
      <c r="A18" s="49">
        <v>45385.416666666664</v>
      </c>
      <c r="B18" s="50">
        <v>13.44</v>
      </c>
      <c r="C18" s="50">
        <v>36.26</v>
      </c>
      <c r="D18" s="50">
        <v>30.3</v>
      </c>
      <c r="E18" s="50">
        <v>32.299999999999997</v>
      </c>
      <c r="F18" s="50">
        <v>16.61</v>
      </c>
      <c r="G18" s="50">
        <v>161.09</v>
      </c>
      <c r="H18" s="50">
        <v>64.489999999999995</v>
      </c>
      <c r="I18" s="50">
        <v>14.47</v>
      </c>
      <c r="J18" s="50">
        <v>0.94</v>
      </c>
      <c r="K18" s="50">
        <v>58.5</v>
      </c>
      <c r="L18" s="50">
        <v>33.799999999999997</v>
      </c>
      <c r="M18" s="50">
        <v>30.24</v>
      </c>
      <c r="N18" s="50">
        <v>498.7</v>
      </c>
      <c r="O18" s="50">
        <v>0</v>
      </c>
      <c r="P18" s="50">
        <v>1.42</v>
      </c>
      <c r="Q18" s="50">
        <v>5.12</v>
      </c>
    </row>
    <row r="19" spans="1:17" customFormat="1">
      <c r="A19" s="49">
        <v>45385.458333333336</v>
      </c>
      <c r="B19" s="50">
        <v>7.29</v>
      </c>
      <c r="C19" s="50">
        <v>33.61</v>
      </c>
      <c r="D19" s="50">
        <v>24.76</v>
      </c>
      <c r="E19" s="50">
        <v>30.56</v>
      </c>
      <c r="F19" s="50">
        <v>28.55</v>
      </c>
      <c r="G19" s="50">
        <v>161.09</v>
      </c>
      <c r="H19" s="50">
        <v>64.489999999999995</v>
      </c>
      <c r="I19" s="50">
        <v>13.76</v>
      </c>
      <c r="J19" s="50">
        <v>1.1000000000000001</v>
      </c>
      <c r="K19" s="50">
        <v>355.29</v>
      </c>
      <c r="L19" s="50">
        <v>35.29</v>
      </c>
      <c r="M19" s="50">
        <v>25.64</v>
      </c>
      <c r="N19" s="50">
        <v>655.5</v>
      </c>
      <c r="O19" s="50">
        <v>0</v>
      </c>
      <c r="P19" s="50">
        <v>1.37</v>
      </c>
      <c r="Q19" s="50">
        <v>5.09</v>
      </c>
    </row>
    <row r="20" spans="1:17" customFormat="1">
      <c r="A20" s="49">
        <v>45385.5</v>
      </c>
      <c r="B20" s="50">
        <v>5.04</v>
      </c>
      <c r="C20" s="50">
        <v>33.200000000000003</v>
      </c>
      <c r="D20" s="50">
        <v>22.58</v>
      </c>
      <c r="E20" s="50">
        <v>35.020000000000003</v>
      </c>
      <c r="F20" s="50">
        <v>16.23</v>
      </c>
      <c r="G20" s="50">
        <v>149.9</v>
      </c>
      <c r="H20" s="50">
        <v>59.01</v>
      </c>
      <c r="I20" s="50">
        <v>13.37</v>
      </c>
      <c r="J20" s="50">
        <v>1.01</v>
      </c>
      <c r="K20" s="50">
        <v>350.38</v>
      </c>
      <c r="L20" s="50">
        <v>37.21</v>
      </c>
      <c r="M20" s="50">
        <v>24.19</v>
      </c>
      <c r="N20" s="50">
        <v>696.6</v>
      </c>
      <c r="O20" s="50">
        <v>0</v>
      </c>
      <c r="P20" s="50">
        <v>1.4</v>
      </c>
      <c r="Q20" s="50">
        <v>5.07</v>
      </c>
    </row>
    <row r="21" spans="1:17" customFormat="1">
      <c r="A21" s="49">
        <v>45385.541666666664</v>
      </c>
      <c r="B21" s="50">
        <v>4.97</v>
      </c>
      <c r="C21" s="50">
        <v>32.33</v>
      </c>
      <c r="D21" s="50">
        <v>22.06</v>
      </c>
      <c r="E21" s="50">
        <v>39.53</v>
      </c>
      <c r="F21" s="50">
        <v>39.67</v>
      </c>
      <c r="G21" s="50">
        <v>143.87</v>
      </c>
      <c r="H21" s="50">
        <v>57.03</v>
      </c>
      <c r="I21" s="50">
        <v>13.23</v>
      </c>
      <c r="J21" s="50">
        <v>1.1200000000000001</v>
      </c>
      <c r="K21" s="50">
        <v>358.2</v>
      </c>
      <c r="L21" s="50">
        <v>38.020000000000003</v>
      </c>
      <c r="M21" s="50">
        <v>22.77</v>
      </c>
      <c r="N21" s="50">
        <v>737.8</v>
      </c>
      <c r="O21" s="50">
        <v>0</v>
      </c>
      <c r="P21" s="50">
        <v>1.25</v>
      </c>
      <c r="Q21" s="50">
        <v>5.09</v>
      </c>
    </row>
    <row r="22" spans="1:17" customFormat="1">
      <c r="A22" s="49">
        <v>45385.583333333336</v>
      </c>
      <c r="B22" s="50">
        <v>5.17</v>
      </c>
      <c r="C22" s="50">
        <v>30.28</v>
      </c>
      <c r="D22" s="50">
        <v>20.62</v>
      </c>
      <c r="E22" s="50">
        <v>31.39</v>
      </c>
      <c r="F22" s="50">
        <v>39.33</v>
      </c>
      <c r="G22" s="50">
        <v>141.51</v>
      </c>
      <c r="H22" s="50">
        <v>57.03</v>
      </c>
      <c r="I22" s="50">
        <v>11.46</v>
      </c>
      <c r="J22" s="50">
        <v>0.85</v>
      </c>
      <c r="K22" s="50">
        <v>345.56</v>
      </c>
      <c r="L22" s="50">
        <v>38.94</v>
      </c>
      <c r="M22" s="50">
        <v>20.48</v>
      </c>
      <c r="N22" s="50">
        <v>717.1</v>
      </c>
      <c r="O22" s="50">
        <v>0</v>
      </c>
      <c r="P22" s="50">
        <v>1.0900000000000001</v>
      </c>
      <c r="Q22" s="50">
        <v>5.08</v>
      </c>
    </row>
    <row r="23" spans="1:17" customFormat="1">
      <c r="A23" s="49">
        <v>45385.625</v>
      </c>
      <c r="B23" s="50">
        <v>4.5999999999999996</v>
      </c>
      <c r="C23" s="50">
        <v>25.66</v>
      </c>
      <c r="D23" s="50">
        <v>18.37</v>
      </c>
      <c r="E23" s="50">
        <v>35.24</v>
      </c>
      <c r="F23" s="50">
        <v>50.58</v>
      </c>
      <c r="G23" s="50">
        <v>121.56</v>
      </c>
      <c r="H23" s="50">
        <v>47.97</v>
      </c>
      <c r="I23" s="50">
        <v>9.7899999999999991</v>
      </c>
      <c r="J23" s="50">
        <v>0.89</v>
      </c>
      <c r="K23" s="50">
        <v>349.74</v>
      </c>
      <c r="L23" s="50">
        <v>38.99</v>
      </c>
      <c r="M23" s="50">
        <v>17.850000000000001</v>
      </c>
      <c r="N23" s="50">
        <v>589.20000000000005</v>
      </c>
      <c r="O23" s="50">
        <v>0</v>
      </c>
      <c r="P23" s="50">
        <v>0.91</v>
      </c>
      <c r="Q23" s="50">
        <v>5.07</v>
      </c>
    </row>
    <row r="24" spans="1:17" customFormat="1">
      <c r="A24" s="49">
        <v>45385.666666666664</v>
      </c>
      <c r="B24" s="50">
        <v>5.17</v>
      </c>
      <c r="C24" s="50">
        <v>26.4</v>
      </c>
      <c r="D24" s="50">
        <v>19.27</v>
      </c>
      <c r="E24" s="50">
        <v>34.5</v>
      </c>
      <c r="F24" s="50">
        <v>56.93</v>
      </c>
      <c r="G24" s="50">
        <v>106.78</v>
      </c>
      <c r="H24" s="50">
        <v>43.12</v>
      </c>
      <c r="I24" s="50">
        <v>8.66</v>
      </c>
      <c r="J24" s="50">
        <v>1.1100000000000001</v>
      </c>
      <c r="K24" s="50">
        <v>68.19</v>
      </c>
      <c r="L24" s="50">
        <v>39.08</v>
      </c>
      <c r="M24" s="50">
        <v>17.66</v>
      </c>
      <c r="N24" s="50">
        <v>448.2</v>
      </c>
      <c r="O24" s="50">
        <v>0</v>
      </c>
      <c r="P24" s="50">
        <v>0.84</v>
      </c>
      <c r="Q24" s="50">
        <v>5.05</v>
      </c>
    </row>
    <row r="25" spans="1:17" customFormat="1">
      <c r="A25" s="49">
        <v>45385.708333333336</v>
      </c>
      <c r="B25" s="50">
        <v>4.55</v>
      </c>
      <c r="C25" s="50">
        <v>26.79</v>
      </c>
      <c r="D25" s="50">
        <v>18.98</v>
      </c>
      <c r="E25" s="50">
        <v>43.81</v>
      </c>
      <c r="F25" s="50">
        <v>59.13</v>
      </c>
      <c r="G25" s="50">
        <v>95.27</v>
      </c>
      <c r="H25" s="50">
        <v>40.96</v>
      </c>
      <c r="I25" s="50">
        <v>7.81</v>
      </c>
      <c r="J25" s="50">
        <v>0.99</v>
      </c>
      <c r="K25" s="50">
        <v>70.56</v>
      </c>
      <c r="L25" s="50">
        <v>38.47</v>
      </c>
      <c r="M25" s="50">
        <v>18.48</v>
      </c>
      <c r="N25" s="50">
        <v>234.3</v>
      </c>
      <c r="O25" s="50">
        <v>0</v>
      </c>
      <c r="P25" s="50">
        <v>0.88</v>
      </c>
      <c r="Q25" s="50">
        <v>5.0199999999999996</v>
      </c>
    </row>
    <row r="26" spans="1:17" customFormat="1">
      <c r="A26" s="49">
        <v>45385.75</v>
      </c>
      <c r="B26" s="50">
        <v>7.75</v>
      </c>
      <c r="C26" s="50">
        <v>39.19</v>
      </c>
      <c r="D26" s="50">
        <v>28.04</v>
      </c>
      <c r="E26" s="50">
        <v>34.369999999999997</v>
      </c>
      <c r="F26" s="50">
        <v>33.24</v>
      </c>
      <c r="G26" s="50">
        <v>97.69</v>
      </c>
      <c r="H26" s="50">
        <v>40.49</v>
      </c>
      <c r="I26" s="50">
        <v>8.2799999999999994</v>
      </c>
      <c r="J26" s="50">
        <v>0.64</v>
      </c>
      <c r="K26" s="50">
        <v>104.6</v>
      </c>
      <c r="L26" s="50">
        <v>37.43</v>
      </c>
      <c r="M26" s="50">
        <v>23.28</v>
      </c>
      <c r="N26" s="50">
        <v>65.5</v>
      </c>
      <c r="O26" s="50">
        <v>0</v>
      </c>
      <c r="P26" s="50">
        <v>0.99</v>
      </c>
      <c r="Q26" s="50">
        <v>5.09</v>
      </c>
    </row>
    <row r="27" spans="1:17" customFormat="1">
      <c r="A27" s="49">
        <v>45385.791666666664</v>
      </c>
      <c r="B27" s="50">
        <v>6.39</v>
      </c>
      <c r="C27" s="50">
        <v>38.619999999999997</v>
      </c>
      <c r="D27" s="50">
        <v>26.65</v>
      </c>
      <c r="E27" s="50">
        <v>30.77</v>
      </c>
      <c r="F27" s="50">
        <v>22.09</v>
      </c>
      <c r="G27" s="50">
        <v>127.3</v>
      </c>
      <c r="H27" s="50">
        <v>43.91</v>
      </c>
      <c r="I27" s="50">
        <v>8.3800000000000008</v>
      </c>
      <c r="J27" s="50">
        <v>0.33</v>
      </c>
      <c r="K27" s="50">
        <v>190.99</v>
      </c>
      <c r="L27" s="50">
        <v>35.090000000000003</v>
      </c>
      <c r="M27" s="50">
        <v>36.69</v>
      </c>
      <c r="N27" s="50">
        <v>0</v>
      </c>
      <c r="O27" s="50">
        <v>0</v>
      </c>
      <c r="P27" s="50">
        <v>1</v>
      </c>
      <c r="Q27" s="50">
        <v>5.12</v>
      </c>
    </row>
    <row r="28" spans="1:17" customFormat="1">
      <c r="A28" s="49">
        <v>45385.833333333336</v>
      </c>
      <c r="B28" s="50">
        <v>5.3</v>
      </c>
      <c r="C28" s="50">
        <v>28.88</v>
      </c>
      <c r="D28" s="50">
        <v>20.66</v>
      </c>
      <c r="E28" s="50">
        <v>24.48</v>
      </c>
      <c r="F28" s="50">
        <v>17.62</v>
      </c>
      <c r="G28" s="50">
        <v>138.57</v>
      </c>
      <c r="H28" s="50">
        <v>44.82</v>
      </c>
      <c r="I28" s="50">
        <v>8.3699999999999992</v>
      </c>
      <c r="J28" s="50">
        <v>0.28000000000000003</v>
      </c>
      <c r="K28" s="50">
        <v>209</v>
      </c>
      <c r="L28" s="50">
        <v>32.65</v>
      </c>
      <c r="M28" s="50">
        <v>42.06</v>
      </c>
      <c r="N28" s="50">
        <v>0</v>
      </c>
      <c r="O28" s="50">
        <v>0</v>
      </c>
      <c r="P28" s="50">
        <v>0.89</v>
      </c>
      <c r="Q28" s="50">
        <v>5.09</v>
      </c>
    </row>
    <row r="29" spans="1:17" customFormat="1">
      <c r="A29" s="49">
        <v>45385.875</v>
      </c>
      <c r="B29" s="50">
        <v>5.48</v>
      </c>
      <c r="C29" s="50">
        <v>26.28</v>
      </c>
      <c r="D29" s="50">
        <v>19.28</v>
      </c>
      <c r="E29" s="50">
        <v>17.89</v>
      </c>
      <c r="F29" s="50">
        <v>12.15</v>
      </c>
      <c r="G29" s="50">
        <v>138.57</v>
      </c>
      <c r="H29" s="50">
        <v>44.82</v>
      </c>
      <c r="I29" s="50">
        <v>8.7899999999999991</v>
      </c>
      <c r="J29" s="50">
        <v>0.23</v>
      </c>
      <c r="K29" s="50">
        <v>249.02</v>
      </c>
      <c r="L29" s="50">
        <v>31.42</v>
      </c>
      <c r="M29" s="50">
        <v>41.48</v>
      </c>
      <c r="N29" s="50">
        <v>0</v>
      </c>
      <c r="O29" s="50">
        <v>0</v>
      </c>
      <c r="P29" s="50">
        <v>0.91</v>
      </c>
      <c r="Q29" s="50">
        <v>5.08</v>
      </c>
    </row>
    <row r="30" spans="1:17" customFormat="1">
      <c r="A30" s="49">
        <v>45385.916666666664</v>
      </c>
      <c r="B30" s="50">
        <v>5.54</v>
      </c>
      <c r="C30" s="50">
        <v>25.14</v>
      </c>
      <c r="D30" s="50">
        <v>18.850000000000001</v>
      </c>
      <c r="E30" s="50">
        <v>15.79</v>
      </c>
      <c r="F30" s="50">
        <v>15.42</v>
      </c>
      <c r="G30" s="50">
        <v>134.85</v>
      </c>
      <c r="H30" s="50">
        <v>43.8</v>
      </c>
      <c r="I30" s="50">
        <v>9.18</v>
      </c>
      <c r="J30" s="50">
        <v>0.24</v>
      </c>
      <c r="K30" s="50">
        <v>249.15</v>
      </c>
      <c r="L30" s="50">
        <v>30.82</v>
      </c>
      <c r="M30" s="50">
        <v>44.26</v>
      </c>
      <c r="N30" s="50">
        <v>0</v>
      </c>
      <c r="O30" s="50">
        <v>0</v>
      </c>
      <c r="P30" s="50">
        <v>0.94</v>
      </c>
      <c r="Q30" s="50">
        <v>5.03</v>
      </c>
    </row>
    <row r="31" spans="1:17" customFormat="1">
      <c r="A31" s="49">
        <v>45385.958333333336</v>
      </c>
      <c r="B31" s="50">
        <v>5.14</v>
      </c>
      <c r="C31" s="50">
        <v>21.4</v>
      </c>
      <c r="D31" s="50">
        <v>16.649999999999999</v>
      </c>
      <c r="E31" s="50">
        <v>15.56</v>
      </c>
      <c r="F31" s="50">
        <v>35.58</v>
      </c>
      <c r="G31" s="50">
        <v>122.73</v>
      </c>
      <c r="H31" s="50">
        <v>43.01</v>
      </c>
      <c r="I31" s="50">
        <v>9.1199999999999992</v>
      </c>
      <c r="J31" s="50">
        <v>0.24</v>
      </c>
      <c r="K31" s="50">
        <v>262.99</v>
      </c>
      <c r="L31" s="50">
        <v>31.25</v>
      </c>
      <c r="M31" s="50">
        <v>47.61</v>
      </c>
      <c r="N31" s="50">
        <v>0</v>
      </c>
      <c r="O31" s="50">
        <v>0</v>
      </c>
      <c r="P31" s="50">
        <v>0.87</v>
      </c>
      <c r="Q31" s="50">
        <v>5.03</v>
      </c>
    </row>
    <row r="32" spans="1:17" customFormat="1">
      <c r="A32" s="49">
        <v>45386</v>
      </c>
      <c r="B32" s="50">
        <v>4.95</v>
      </c>
      <c r="C32" s="50">
        <v>20.07</v>
      </c>
      <c r="D32" s="50">
        <v>15.59</v>
      </c>
      <c r="E32" s="50">
        <v>13.24</v>
      </c>
      <c r="F32" s="50">
        <v>20.9</v>
      </c>
      <c r="G32" s="50">
        <v>90.74</v>
      </c>
      <c r="H32" s="50">
        <v>41.41</v>
      </c>
      <c r="I32" s="50">
        <v>8.23</v>
      </c>
      <c r="J32" s="50">
        <v>0.25</v>
      </c>
      <c r="K32" s="50">
        <v>243.73</v>
      </c>
      <c r="L32" s="50">
        <v>30.27</v>
      </c>
      <c r="M32" s="50">
        <v>48.69</v>
      </c>
      <c r="N32" s="50">
        <v>0</v>
      </c>
      <c r="O32" s="50">
        <v>0</v>
      </c>
      <c r="P32" s="50">
        <v>0.9</v>
      </c>
      <c r="Q32" s="50">
        <v>5.04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4.55</v>
      </c>
      <c r="C34" s="40">
        <f t="shared" si="0"/>
        <v>20.07</v>
      </c>
      <c r="D34" s="40">
        <f t="shared" si="0"/>
        <v>15.59</v>
      </c>
      <c r="E34" s="40">
        <f t="shared" si="0"/>
        <v>10.61</v>
      </c>
      <c r="F34" s="40">
        <f t="shared" si="0"/>
        <v>2.89</v>
      </c>
      <c r="G34" s="40">
        <f t="shared" si="0"/>
        <v>90.74</v>
      </c>
      <c r="H34" s="40">
        <f t="shared" si="0"/>
        <v>40.49</v>
      </c>
      <c r="I34" s="40">
        <f t="shared" si="0"/>
        <v>7.81</v>
      </c>
      <c r="J34" s="40">
        <f t="shared" si="0"/>
        <v>0.21</v>
      </c>
      <c r="K34" s="40">
        <f t="shared" si="0"/>
        <v>58.5</v>
      </c>
      <c r="L34" s="40">
        <f t="shared" si="0"/>
        <v>24.06</v>
      </c>
      <c r="M34" s="40">
        <f t="shared" si="0"/>
        <v>17.66</v>
      </c>
      <c r="N34" s="40">
        <f t="shared" si="0"/>
        <v>0</v>
      </c>
      <c r="O34" s="40">
        <f t="shared" si="0"/>
        <v>0</v>
      </c>
      <c r="P34" s="40">
        <f t="shared" si="0"/>
        <v>0.84</v>
      </c>
      <c r="Q34" s="40">
        <f t="shared" si="0"/>
        <v>5.0199999999999996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26.59</v>
      </c>
      <c r="C35" s="33">
        <f t="shared" si="1"/>
        <v>39.19</v>
      </c>
      <c r="D35" s="33">
        <f t="shared" si="1"/>
        <v>37.15</v>
      </c>
      <c r="E35" s="33">
        <f t="shared" si="1"/>
        <v>43.81</v>
      </c>
      <c r="F35" s="33">
        <f t="shared" si="1"/>
        <v>59.13</v>
      </c>
      <c r="G35" s="33">
        <f t="shared" si="1"/>
        <v>161.09</v>
      </c>
      <c r="H35" s="33">
        <f t="shared" si="1"/>
        <v>64.489999999999995</v>
      </c>
      <c r="I35" s="33">
        <f t="shared" si="1"/>
        <v>14.65</v>
      </c>
      <c r="J35" s="33">
        <f t="shared" si="1"/>
        <v>1.1200000000000001</v>
      </c>
      <c r="K35" s="33">
        <f t="shared" si="1"/>
        <v>358.2</v>
      </c>
      <c r="L35" s="33">
        <f t="shared" si="1"/>
        <v>39.08</v>
      </c>
      <c r="M35" s="33">
        <f t="shared" si="1"/>
        <v>69.52</v>
      </c>
      <c r="N35" s="33">
        <f t="shared" si="1"/>
        <v>737.8</v>
      </c>
      <c r="O35" s="33">
        <f t="shared" si="1"/>
        <v>0</v>
      </c>
      <c r="P35" s="33">
        <f t="shared" si="1"/>
        <v>1.42</v>
      </c>
      <c r="Q35" s="33">
        <f t="shared" si="1"/>
        <v>5.16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11.620416666666664</v>
      </c>
      <c r="C36" s="40">
        <f t="shared" si="2"/>
        <v>29.517916666666665</v>
      </c>
      <c r="D36" s="40">
        <f t="shared" si="2"/>
        <v>25.838750000000001</v>
      </c>
      <c r="E36" s="40">
        <f t="shared" si="2"/>
        <v>23.191249999999997</v>
      </c>
      <c r="F36" s="40">
        <f t="shared" si="2"/>
        <v>20.864999999999998</v>
      </c>
      <c r="G36" s="40">
        <f t="shared" si="2"/>
        <v>125.37208333333332</v>
      </c>
      <c r="H36" s="40">
        <f t="shared" si="2"/>
        <v>48.514166666666675</v>
      </c>
      <c r="I36" s="40">
        <f t="shared" si="2"/>
        <v>11.518749999999999</v>
      </c>
      <c r="J36" s="40">
        <f t="shared" si="2"/>
        <v>0.57208333333333339</v>
      </c>
      <c r="K36" s="40">
        <f t="shared" si="2"/>
        <v>214.05749999999998</v>
      </c>
      <c r="L36" s="40">
        <f t="shared" si="2"/>
        <v>32.171249999999993</v>
      </c>
      <c r="M36" s="40">
        <f t="shared" si="2"/>
        <v>41.610833333333325</v>
      </c>
      <c r="N36" s="40">
        <f t="shared" si="2"/>
        <v>214.20416666666668</v>
      </c>
      <c r="O36" s="40">
        <f t="shared" si="2"/>
        <v>0</v>
      </c>
      <c r="P36" s="40">
        <f t="shared" si="2"/>
        <v>1.1391666666666669</v>
      </c>
      <c r="Q36" s="40">
        <f t="shared" si="2"/>
        <v>5.09375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7.839590982657346</v>
      </c>
      <c r="C37" s="40">
        <f t="shared" ref="C37:Q37" si="3">STDEV(C9:C32)</f>
        <v>4.7280191450788092</v>
      </c>
      <c r="D37" s="40">
        <f t="shared" si="3"/>
        <v>6.8168960885881598</v>
      </c>
      <c r="E37" s="40">
        <f t="shared" si="3"/>
        <v>10.791468978660481</v>
      </c>
      <c r="F37" s="40">
        <f t="shared" si="3"/>
        <v>18.072499406075767</v>
      </c>
      <c r="G37" s="40">
        <f t="shared" si="3"/>
        <v>20.912338770743045</v>
      </c>
      <c r="H37" s="40">
        <f t="shared" si="3"/>
        <v>7.9896993014465139</v>
      </c>
      <c r="I37" s="40">
        <f t="shared" si="3"/>
        <v>2.5552849113671954</v>
      </c>
      <c r="J37" s="40">
        <f t="shared" si="3"/>
        <v>0.36190293157704329</v>
      </c>
      <c r="K37" s="40">
        <f t="shared" si="3"/>
        <v>95.01342556163597</v>
      </c>
      <c r="L37" s="40">
        <f t="shared" si="3"/>
        <v>5.064961747140881</v>
      </c>
      <c r="M37" s="40">
        <f t="shared" si="3"/>
        <v>17.825277585902914</v>
      </c>
      <c r="N37" s="40">
        <f t="shared" si="3"/>
        <v>282.29905123770811</v>
      </c>
      <c r="O37" s="40">
        <f t="shared" si="3"/>
        <v>0</v>
      </c>
      <c r="P37" s="40">
        <f t="shared" si="3"/>
        <v>0.20930353798847437</v>
      </c>
      <c r="Q37" s="40">
        <f t="shared" si="3"/>
        <v>4.0304547159583988E-2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5.140625" style="41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45386.041666666664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45386.041666666664</v>
      </c>
      <c r="B9" s="50">
        <v>3.9</v>
      </c>
      <c r="C9" s="50">
        <v>21.23</v>
      </c>
      <c r="D9" s="50">
        <v>15.55</v>
      </c>
      <c r="E9" s="50">
        <v>13.27</v>
      </c>
      <c r="F9" s="50">
        <v>14.51</v>
      </c>
      <c r="G9" s="50">
        <v>70.09</v>
      </c>
      <c r="H9" s="50">
        <v>34.54</v>
      </c>
      <c r="I9" s="50">
        <v>8.06</v>
      </c>
      <c r="J9" s="50">
        <v>0.27</v>
      </c>
      <c r="K9" s="50">
        <v>280.97000000000003</v>
      </c>
      <c r="L9" s="50">
        <v>29.79</v>
      </c>
      <c r="M9" s="50">
        <v>51.88</v>
      </c>
      <c r="N9" s="50">
        <v>0</v>
      </c>
      <c r="O9" s="50">
        <v>0</v>
      </c>
      <c r="P9" s="50">
        <v>0.79</v>
      </c>
      <c r="Q9" s="50">
        <v>5.08</v>
      </c>
    </row>
    <row r="10" spans="1:21" customFormat="1">
      <c r="A10" s="49">
        <v>45386.083333333336</v>
      </c>
      <c r="B10" s="50">
        <v>4.2</v>
      </c>
      <c r="C10" s="50">
        <v>20.39</v>
      </c>
      <c r="D10" s="50">
        <v>15.31</v>
      </c>
      <c r="E10" s="50">
        <v>13.91</v>
      </c>
      <c r="F10" s="50">
        <v>11.31</v>
      </c>
      <c r="G10" s="50">
        <v>57.22</v>
      </c>
      <c r="H10" s="50">
        <v>29.64</v>
      </c>
      <c r="I10" s="50">
        <v>7.22</v>
      </c>
      <c r="J10" s="50">
        <v>0.15</v>
      </c>
      <c r="K10" s="50">
        <v>215.37</v>
      </c>
      <c r="L10" s="50">
        <v>28.89</v>
      </c>
      <c r="M10" s="50">
        <v>55.15</v>
      </c>
      <c r="N10" s="50">
        <v>0</v>
      </c>
      <c r="O10" s="50">
        <v>0</v>
      </c>
      <c r="P10" s="50">
        <v>0.73</v>
      </c>
      <c r="Q10" s="50">
        <v>5.04</v>
      </c>
    </row>
    <row r="11" spans="1:21" customFormat="1">
      <c r="A11" s="49">
        <v>45386.125</v>
      </c>
      <c r="B11" s="50">
        <v>5.12</v>
      </c>
      <c r="C11" s="50">
        <v>23.24</v>
      </c>
      <c r="D11" s="50">
        <v>17.600000000000001</v>
      </c>
      <c r="E11" s="50">
        <v>12.31</v>
      </c>
      <c r="F11" s="50">
        <v>7.76</v>
      </c>
      <c r="G11" s="50">
        <v>48.1</v>
      </c>
      <c r="H11" s="50">
        <v>28.66</v>
      </c>
      <c r="I11" s="50">
        <v>6.87</v>
      </c>
      <c r="J11" s="50">
        <v>0.14000000000000001</v>
      </c>
      <c r="K11" s="50">
        <v>182.43</v>
      </c>
      <c r="L11" s="50">
        <v>28.38</v>
      </c>
      <c r="M11" s="50">
        <v>59.62</v>
      </c>
      <c r="N11" s="50">
        <v>0</v>
      </c>
      <c r="O11" s="50">
        <v>0</v>
      </c>
      <c r="P11" s="50">
        <v>0.7</v>
      </c>
      <c r="Q11" s="50">
        <v>5.0199999999999996</v>
      </c>
    </row>
    <row r="12" spans="1:21" customFormat="1">
      <c r="A12" s="49">
        <v>45386.166666666664</v>
      </c>
      <c r="B12" s="50">
        <v>5.51</v>
      </c>
      <c r="C12" s="50">
        <v>24.16</v>
      </c>
      <c r="D12" s="50">
        <v>18.34</v>
      </c>
      <c r="E12" s="50">
        <v>12.54</v>
      </c>
      <c r="F12" s="50">
        <v>3.92</v>
      </c>
      <c r="G12" s="50">
        <v>46.07</v>
      </c>
      <c r="H12" s="50">
        <v>28.4</v>
      </c>
      <c r="I12" s="50">
        <v>6.55</v>
      </c>
      <c r="J12" s="50">
        <v>0.28000000000000003</v>
      </c>
      <c r="K12" s="50">
        <v>194.77</v>
      </c>
      <c r="L12" s="50">
        <v>27.41</v>
      </c>
      <c r="M12" s="50">
        <v>67.09</v>
      </c>
      <c r="N12" s="50">
        <v>0</v>
      </c>
      <c r="O12" s="50">
        <v>0</v>
      </c>
      <c r="P12" s="50">
        <v>0.68</v>
      </c>
      <c r="Q12" s="50">
        <v>5.0199999999999996</v>
      </c>
    </row>
    <row r="13" spans="1:21" customFormat="1">
      <c r="A13" s="49">
        <v>45386.208333333336</v>
      </c>
      <c r="B13" s="50">
        <v>6.49</v>
      </c>
      <c r="C13" s="50">
        <v>24.33</v>
      </c>
      <c r="D13" s="50">
        <v>18.57</v>
      </c>
      <c r="E13" s="50">
        <v>12.44</v>
      </c>
      <c r="F13" s="50">
        <v>3.75</v>
      </c>
      <c r="G13" s="50">
        <v>46.07</v>
      </c>
      <c r="H13" s="50">
        <v>28.4</v>
      </c>
      <c r="I13" s="50">
        <v>6.53</v>
      </c>
      <c r="J13" s="50">
        <v>0.17</v>
      </c>
      <c r="K13" s="50">
        <v>223.47</v>
      </c>
      <c r="L13" s="50">
        <v>25.59</v>
      </c>
      <c r="M13" s="50">
        <v>68.55</v>
      </c>
      <c r="N13" s="50">
        <v>0</v>
      </c>
      <c r="O13" s="50">
        <v>0</v>
      </c>
      <c r="P13" s="50">
        <v>0.7</v>
      </c>
      <c r="Q13" s="50">
        <v>5</v>
      </c>
    </row>
    <row r="14" spans="1:21" customFormat="1">
      <c r="A14" s="49">
        <v>45386.25</v>
      </c>
      <c r="B14" s="50">
        <v>6.88</v>
      </c>
      <c r="C14" s="50">
        <v>20.36</v>
      </c>
      <c r="D14" s="50">
        <v>17.36</v>
      </c>
      <c r="E14" s="50">
        <v>11.12</v>
      </c>
      <c r="F14" s="50">
        <v>4.67</v>
      </c>
      <c r="G14" s="50">
        <v>46.66</v>
      </c>
      <c r="H14" s="50">
        <v>25.41</v>
      </c>
      <c r="I14" s="50">
        <v>6.63</v>
      </c>
      <c r="J14" s="50">
        <v>0.23</v>
      </c>
      <c r="K14" s="50">
        <v>209.57</v>
      </c>
      <c r="L14" s="50">
        <v>25.49</v>
      </c>
      <c r="M14" s="50">
        <v>72.83</v>
      </c>
      <c r="N14" s="50">
        <v>0.5</v>
      </c>
      <c r="O14" s="50">
        <v>0</v>
      </c>
      <c r="P14" s="50">
        <v>0.7</v>
      </c>
      <c r="Q14" s="50">
        <v>5.0199999999999996</v>
      </c>
    </row>
    <row r="15" spans="1:21" customFormat="1">
      <c r="A15" s="49">
        <v>45386.291666666664</v>
      </c>
      <c r="B15" s="50">
        <v>6.48</v>
      </c>
      <c r="C15" s="50">
        <v>21.16</v>
      </c>
      <c r="D15" s="50">
        <v>17.48</v>
      </c>
      <c r="E15" s="50">
        <v>11.4</v>
      </c>
      <c r="F15" s="50">
        <v>4.22</v>
      </c>
      <c r="G15" s="50">
        <v>51.42</v>
      </c>
      <c r="H15" s="50">
        <v>26.44</v>
      </c>
      <c r="I15" s="50">
        <v>6.63</v>
      </c>
      <c r="J15" s="50">
        <v>0.2</v>
      </c>
      <c r="K15" s="50">
        <v>210.16</v>
      </c>
      <c r="L15" s="50">
        <v>26.98</v>
      </c>
      <c r="M15" s="50">
        <v>69.040000000000006</v>
      </c>
      <c r="N15" s="50">
        <v>48.6</v>
      </c>
      <c r="O15" s="50">
        <v>0</v>
      </c>
      <c r="P15" s="50">
        <v>0.66</v>
      </c>
      <c r="Q15" s="50">
        <v>5.04</v>
      </c>
    </row>
    <row r="16" spans="1:21" customFormat="1">
      <c r="A16" s="49">
        <v>45386.333333333336</v>
      </c>
      <c r="B16" s="50">
        <v>6.17</v>
      </c>
      <c r="C16" s="50">
        <v>21.4</v>
      </c>
      <c r="D16" s="50">
        <v>17.48</v>
      </c>
      <c r="E16" s="50">
        <v>14.85</v>
      </c>
      <c r="F16" s="50">
        <v>38.19</v>
      </c>
      <c r="G16" s="50">
        <v>51.42</v>
      </c>
      <c r="H16" s="50">
        <v>26.44</v>
      </c>
      <c r="I16" s="50">
        <v>6.81</v>
      </c>
      <c r="J16" s="50">
        <v>0.28000000000000003</v>
      </c>
      <c r="K16" s="50">
        <v>219.38</v>
      </c>
      <c r="L16" s="50">
        <v>30.46</v>
      </c>
      <c r="M16" s="50">
        <v>61.65</v>
      </c>
      <c r="N16" s="50">
        <v>177.4</v>
      </c>
      <c r="O16" s="50">
        <v>0</v>
      </c>
      <c r="P16" s="50">
        <v>0.78</v>
      </c>
      <c r="Q16" s="50">
        <v>5.03</v>
      </c>
    </row>
    <row r="17" spans="1:17" customFormat="1">
      <c r="A17" s="49">
        <v>45386.375</v>
      </c>
      <c r="B17" s="50">
        <v>2.44</v>
      </c>
      <c r="C17" s="50">
        <v>15.39</v>
      </c>
      <c r="D17" s="50">
        <v>11.35</v>
      </c>
      <c r="E17" s="50">
        <v>13.45</v>
      </c>
      <c r="F17" s="50">
        <v>44.27</v>
      </c>
      <c r="G17" s="50">
        <v>51.64</v>
      </c>
      <c r="H17" s="50">
        <v>30.63</v>
      </c>
      <c r="I17" s="50">
        <v>6.67</v>
      </c>
      <c r="J17" s="50">
        <v>0.45</v>
      </c>
      <c r="K17" s="50">
        <v>254.8</v>
      </c>
      <c r="L17" s="50">
        <v>33.770000000000003</v>
      </c>
      <c r="M17" s="50">
        <v>50.15</v>
      </c>
      <c r="N17" s="50">
        <v>237.1</v>
      </c>
      <c r="O17" s="50">
        <v>0</v>
      </c>
      <c r="P17" s="50">
        <v>0.89</v>
      </c>
      <c r="Q17" s="50">
        <v>4.9800000000000004</v>
      </c>
    </row>
    <row r="18" spans="1:17" customFormat="1">
      <c r="A18" s="49">
        <v>45386.416666666664</v>
      </c>
      <c r="B18" s="50">
        <v>2.3199999999999998</v>
      </c>
      <c r="C18" s="50">
        <v>12.87</v>
      </c>
      <c r="D18" s="50">
        <v>9.94</v>
      </c>
      <c r="E18" s="50">
        <v>23.68</v>
      </c>
      <c r="F18" s="50">
        <v>41.58</v>
      </c>
      <c r="G18" s="50">
        <v>61.41</v>
      </c>
      <c r="H18" s="50">
        <v>33.32</v>
      </c>
      <c r="I18" s="50">
        <v>7.75</v>
      </c>
      <c r="J18" s="50">
        <v>0.93</v>
      </c>
      <c r="K18" s="50">
        <v>260.86</v>
      </c>
      <c r="L18" s="50">
        <v>35.75</v>
      </c>
      <c r="M18" s="50">
        <v>39.74</v>
      </c>
      <c r="N18" s="50">
        <v>494.7</v>
      </c>
      <c r="O18" s="50">
        <v>0</v>
      </c>
      <c r="P18" s="50">
        <v>0.91</v>
      </c>
      <c r="Q18" s="50">
        <v>5.04</v>
      </c>
    </row>
    <row r="19" spans="1:17" customFormat="1">
      <c r="A19" s="49">
        <v>45386.458333333336</v>
      </c>
      <c r="B19" s="50">
        <v>2.27</v>
      </c>
      <c r="C19" s="50">
        <v>15.25</v>
      </c>
      <c r="D19" s="50">
        <v>11.14</v>
      </c>
      <c r="E19" s="50">
        <v>10.91</v>
      </c>
      <c r="F19" s="50">
        <v>14.94</v>
      </c>
      <c r="G19" s="50">
        <v>61.41</v>
      </c>
      <c r="H19" s="50">
        <v>35.299999999999997</v>
      </c>
      <c r="I19" s="50">
        <v>6.07</v>
      </c>
      <c r="J19" s="50">
        <v>1.1200000000000001</v>
      </c>
      <c r="K19" s="50">
        <v>269.54000000000002</v>
      </c>
      <c r="L19" s="50">
        <v>36.700000000000003</v>
      </c>
      <c r="M19" s="50">
        <v>39.869999999999997</v>
      </c>
      <c r="N19" s="50">
        <v>626.5</v>
      </c>
      <c r="O19" s="50">
        <v>0</v>
      </c>
      <c r="P19" s="50">
        <v>0.72</v>
      </c>
      <c r="Q19" s="50">
        <v>5</v>
      </c>
    </row>
    <row r="20" spans="1:17" customFormat="1">
      <c r="A20" s="49">
        <v>45386.5</v>
      </c>
      <c r="B20" s="50">
        <v>2.57</v>
      </c>
      <c r="C20" s="50">
        <v>16.75</v>
      </c>
      <c r="D20" s="50">
        <v>11.96</v>
      </c>
      <c r="E20" s="50">
        <v>12.52</v>
      </c>
      <c r="F20" s="50">
        <v>16.36</v>
      </c>
      <c r="G20" s="50">
        <v>59.55</v>
      </c>
      <c r="H20" s="50">
        <v>35.299999999999997</v>
      </c>
      <c r="I20" s="50">
        <v>6.07</v>
      </c>
      <c r="J20" s="50">
        <v>1.1599999999999999</v>
      </c>
      <c r="K20" s="50">
        <v>266.77</v>
      </c>
      <c r="L20" s="50">
        <v>37.94</v>
      </c>
      <c r="M20" s="50">
        <v>36.6</v>
      </c>
      <c r="N20" s="50">
        <v>693.2</v>
      </c>
      <c r="O20" s="50">
        <v>0</v>
      </c>
      <c r="P20" s="50">
        <v>0.7</v>
      </c>
      <c r="Q20" s="50">
        <v>4.99</v>
      </c>
    </row>
    <row r="21" spans="1:17" customFormat="1">
      <c r="A21" s="49">
        <v>45386.541666666664</v>
      </c>
      <c r="B21" s="50">
        <v>2.77</v>
      </c>
      <c r="C21" s="50">
        <v>17.52</v>
      </c>
      <c r="D21" s="50">
        <v>12.69</v>
      </c>
      <c r="E21" s="50">
        <v>15.73</v>
      </c>
      <c r="F21" s="50">
        <v>22.06</v>
      </c>
      <c r="G21" s="50">
        <v>61.29</v>
      </c>
      <c r="H21" s="50">
        <v>33.6</v>
      </c>
      <c r="I21" s="50">
        <v>5.96</v>
      </c>
      <c r="J21" s="50">
        <v>1.1299999999999999</v>
      </c>
      <c r="K21" s="50">
        <v>272.48</v>
      </c>
      <c r="L21" s="50">
        <v>38.96</v>
      </c>
      <c r="M21" s="50">
        <v>34.090000000000003</v>
      </c>
      <c r="N21" s="50">
        <v>702</v>
      </c>
      <c r="O21" s="50">
        <v>0</v>
      </c>
      <c r="P21" s="50">
        <v>0.69</v>
      </c>
      <c r="Q21" s="50">
        <v>4.99</v>
      </c>
    </row>
    <row r="22" spans="1:17" customFormat="1">
      <c r="A22" s="49">
        <v>45386.583333333336</v>
      </c>
      <c r="B22" s="50">
        <v>3.19</v>
      </c>
      <c r="C22" s="50">
        <v>18.489999999999998</v>
      </c>
      <c r="D22" s="50">
        <v>13.47</v>
      </c>
      <c r="E22" s="50">
        <v>14.81</v>
      </c>
      <c r="F22" s="50">
        <v>19.14</v>
      </c>
      <c r="G22" s="50">
        <v>61.29</v>
      </c>
      <c r="H22" s="50">
        <v>32.54</v>
      </c>
      <c r="I22" s="50">
        <v>5.71</v>
      </c>
      <c r="J22" s="50">
        <v>1.1599999999999999</v>
      </c>
      <c r="K22" s="50">
        <v>285.3</v>
      </c>
      <c r="L22" s="50">
        <v>40.450000000000003</v>
      </c>
      <c r="M22" s="50">
        <v>29.77</v>
      </c>
      <c r="N22" s="50">
        <v>667.5</v>
      </c>
      <c r="O22" s="50">
        <v>0</v>
      </c>
      <c r="P22" s="50">
        <v>0.65</v>
      </c>
      <c r="Q22" s="50">
        <v>5</v>
      </c>
    </row>
    <row r="23" spans="1:17" customFormat="1">
      <c r="A23" s="49">
        <v>45386.625</v>
      </c>
      <c r="B23" s="50">
        <v>3.11</v>
      </c>
      <c r="C23" s="50">
        <v>21.29</v>
      </c>
      <c r="D23" s="50">
        <v>14.97</v>
      </c>
      <c r="E23" s="50">
        <v>14.82</v>
      </c>
      <c r="F23" s="50">
        <v>19.02</v>
      </c>
      <c r="G23" s="50">
        <v>58.04</v>
      </c>
      <c r="H23" s="50">
        <v>29.36</v>
      </c>
      <c r="I23" s="50">
        <v>5.55</v>
      </c>
      <c r="J23" s="50">
        <v>1.4</v>
      </c>
      <c r="K23" s="50">
        <v>282.57</v>
      </c>
      <c r="L23" s="50">
        <v>40.520000000000003</v>
      </c>
      <c r="M23" s="50">
        <v>27.46</v>
      </c>
      <c r="N23" s="50">
        <v>586.9</v>
      </c>
      <c r="O23" s="50">
        <v>0</v>
      </c>
      <c r="P23" s="50">
        <v>0.66</v>
      </c>
      <c r="Q23" s="50">
        <v>4.99</v>
      </c>
    </row>
    <row r="24" spans="1:17" customFormat="1">
      <c r="A24" s="49">
        <v>45386.666666666664</v>
      </c>
      <c r="B24" s="50">
        <v>3.06</v>
      </c>
      <c r="C24" s="50">
        <v>18.62</v>
      </c>
      <c r="D24" s="50">
        <v>13.46</v>
      </c>
      <c r="E24" s="50">
        <v>16</v>
      </c>
      <c r="F24" s="50">
        <v>20.38</v>
      </c>
      <c r="G24" s="50">
        <v>56.85</v>
      </c>
      <c r="H24" s="50">
        <v>27.31</v>
      </c>
      <c r="I24" s="50">
        <v>5.15</v>
      </c>
      <c r="J24" s="50">
        <v>1.47</v>
      </c>
      <c r="K24" s="50">
        <v>291.52999999999997</v>
      </c>
      <c r="L24" s="50">
        <v>39.700000000000003</v>
      </c>
      <c r="M24" s="50">
        <v>26.93</v>
      </c>
      <c r="N24" s="50">
        <v>396.3</v>
      </c>
      <c r="O24" s="50">
        <v>0</v>
      </c>
      <c r="P24" s="50">
        <v>0.6</v>
      </c>
      <c r="Q24" s="50">
        <v>5</v>
      </c>
    </row>
    <row r="25" spans="1:17" customFormat="1">
      <c r="A25" s="49">
        <v>45386.708333333336</v>
      </c>
      <c r="B25" s="50">
        <v>2.92</v>
      </c>
      <c r="C25" s="50">
        <v>21.36</v>
      </c>
      <c r="D25" s="50">
        <v>14.84</v>
      </c>
      <c r="E25" s="50">
        <v>20.49</v>
      </c>
      <c r="F25" s="50">
        <v>34.869999999999997</v>
      </c>
      <c r="G25" s="50">
        <v>54.18</v>
      </c>
      <c r="H25" s="50">
        <v>26.51</v>
      </c>
      <c r="I25" s="50">
        <v>4.78</v>
      </c>
      <c r="J25" s="50">
        <v>1.2</v>
      </c>
      <c r="K25" s="50">
        <v>274.52999999999997</v>
      </c>
      <c r="L25" s="50">
        <v>39.18</v>
      </c>
      <c r="M25" s="50">
        <v>28.96</v>
      </c>
      <c r="N25" s="50">
        <v>253.6</v>
      </c>
      <c r="O25" s="50">
        <v>0</v>
      </c>
      <c r="P25" s="50">
        <v>0.57999999999999996</v>
      </c>
      <c r="Q25" s="50">
        <v>5</v>
      </c>
    </row>
    <row r="26" spans="1:17" customFormat="1">
      <c r="A26" s="49">
        <v>45386.75</v>
      </c>
      <c r="B26" s="50">
        <v>3.01</v>
      </c>
      <c r="C26" s="50">
        <v>19.62</v>
      </c>
      <c r="D26" s="50">
        <v>13.97</v>
      </c>
      <c r="E26" s="50">
        <v>23.99</v>
      </c>
      <c r="F26" s="50">
        <v>54.89</v>
      </c>
      <c r="G26" s="50">
        <v>53.22</v>
      </c>
      <c r="H26" s="50">
        <v>26.51</v>
      </c>
      <c r="I26" s="50">
        <v>4.45</v>
      </c>
      <c r="J26" s="50">
        <v>0.84</v>
      </c>
      <c r="K26" s="50">
        <v>265.33999999999997</v>
      </c>
      <c r="L26" s="50">
        <v>38.15</v>
      </c>
      <c r="M26" s="50">
        <v>34.18</v>
      </c>
      <c r="N26" s="50">
        <v>68.900000000000006</v>
      </c>
      <c r="O26" s="50">
        <v>0</v>
      </c>
      <c r="P26" s="50">
        <v>0.57999999999999996</v>
      </c>
      <c r="Q26" s="50">
        <v>5</v>
      </c>
    </row>
    <row r="27" spans="1:17" customFormat="1">
      <c r="A27" s="49">
        <v>45386.791666666664</v>
      </c>
      <c r="B27" s="50">
        <v>5.7</v>
      </c>
      <c r="C27" s="50">
        <v>31.38</v>
      </c>
      <c r="D27" s="50">
        <v>22.31</v>
      </c>
      <c r="E27" s="50">
        <v>19.04</v>
      </c>
      <c r="F27" s="50">
        <v>42</v>
      </c>
      <c r="G27" s="50">
        <v>53.22</v>
      </c>
      <c r="H27" s="50">
        <v>25.62</v>
      </c>
      <c r="I27" s="50">
        <v>4.6399999999999997</v>
      </c>
      <c r="J27" s="50">
        <v>0.64</v>
      </c>
      <c r="K27" s="50">
        <v>304.98</v>
      </c>
      <c r="L27" s="50">
        <v>36.19</v>
      </c>
      <c r="M27" s="50">
        <v>36.9</v>
      </c>
      <c r="N27" s="50">
        <v>0</v>
      </c>
      <c r="O27" s="50">
        <v>0</v>
      </c>
      <c r="P27" s="50">
        <v>0.74</v>
      </c>
      <c r="Q27" s="50">
        <v>4.99</v>
      </c>
    </row>
    <row r="28" spans="1:17" customFormat="1">
      <c r="A28" s="49">
        <v>45386.833333333336</v>
      </c>
      <c r="B28" s="50">
        <v>4.2</v>
      </c>
      <c r="C28" s="50">
        <v>28.62</v>
      </c>
      <c r="D28" s="50">
        <v>19.670000000000002</v>
      </c>
      <c r="E28" s="50">
        <v>25.14</v>
      </c>
      <c r="F28" s="50">
        <v>30.76</v>
      </c>
      <c r="G28" s="50">
        <v>61.29</v>
      </c>
      <c r="H28" s="50">
        <v>26.41</v>
      </c>
      <c r="I28" s="50">
        <v>5.89</v>
      </c>
      <c r="J28" s="50">
        <v>0.52</v>
      </c>
      <c r="K28" s="50">
        <v>258.11</v>
      </c>
      <c r="L28" s="50">
        <v>35.78</v>
      </c>
      <c r="M28" s="50">
        <v>38.51</v>
      </c>
      <c r="N28" s="50">
        <v>0</v>
      </c>
      <c r="O28" s="50">
        <v>0</v>
      </c>
      <c r="P28" s="50">
        <v>0.77</v>
      </c>
      <c r="Q28" s="50">
        <v>5</v>
      </c>
    </row>
    <row r="29" spans="1:17" customFormat="1">
      <c r="A29" s="49">
        <v>45386.875</v>
      </c>
      <c r="B29" s="50">
        <v>3.77</v>
      </c>
      <c r="C29" s="50">
        <v>26.15</v>
      </c>
      <c r="D29" s="50">
        <v>18.03</v>
      </c>
      <c r="E29" s="50">
        <v>20.16</v>
      </c>
      <c r="F29" s="50">
        <v>22.24</v>
      </c>
      <c r="G29" s="50">
        <v>61.29</v>
      </c>
      <c r="H29" s="50">
        <v>26.41</v>
      </c>
      <c r="I29" s="50">
        <v>7</v>
      </c>
      <c r="J29" s="50">
        <v>0.41</v>
      </c>
      <c r="K29" s="50">
        <v>251.46</v>
      </c>
      <c r="L29" s="50">
        <v>34.17</v>
      </c>
      <c r="M29" s="50">
        <v>42.34</v>
      </c>
      <c r="N29" s="50">
        <v>0</v>
      </c>
      <c r="O29" s="50">
        <v>0</v>
      </c>
      <c r="P29" s="50">
        <v>0.84</v>
      </c>
      <c r="Q29" s="50">
        <v>5.01</v>
      </c>
    </row>
    <row r="30" spans="1:17" customFormat="1">
      <c r="A30" s="49">
        <v>45386.916666666664</v>
      </c>
      <c r="B30" s="50">
        <v>10.119999999999999</v>
      </c>
      <c r="C30" s="50">
        <v>36.54</v>
      </c>
      <c r="D30" s="50">
        <v>28.56</v>
      </c>
      <c r="E30" s="50">
        <v>23.1</v>
      </c>
      <c r="F30" s="50">
        <v>11.84</v>
      </c>
      <c r="G30" s="50">
        <v>72.260000000000005</v>
      </c>
      <c r="H30" s="50">
        <v>27.78</v>
      </c>
      <c r="I30" s="50">
        <v>9.43</v>
      </c>
      <c r="J30" s="50">
        <v>0.56999999999999995</v>
      </c>
      <c r="K30" s="50">
        <v>129.85</v>
      </c>
      <c r="L30" s="50">
        <v>33.340000000000003</v>
      </c>
      <c r="M30" s="50">
        <v>42.59</v>
      </c>
      <c r="N30" s="50">
        <v>0</v>
      </c>
      <c r="O30" s="50">
        <v>0</v>
      </c>
      <c r="P30" s="50">
        <v>1.05</v>
      </c>
      <c r="Q30" s="50">
        <v>5.01</v>
      </c>
    </row>
    <row r="31" spans="1:17" customFormat="1">
      <c r="A31" s="49">
        <v>45386.958333333336</v>
      </c>
      <c r="B31" s="50">
        <v>14.38</v>
      </c>
      <c r="C31" s="50">
        <v>40.54</v>
      </c>
      <c r="D31" s="50">
        <v>34.07</v>
      </c>
      <c r="E31" s="50">
        <v>19.59</v>
      </c>
      <c r="F31" s="50">
        <v>3.96</v>
      </c>
      <c r="G31" s="50">
        <v>83.44</v>
      </c>
      <c r="H31" s="50">
        <v>34.1</v>
      </c>
      <c r="I31" s="50">
        <v>9.9499999999999993</v>
      </c>
      <c r="J31" s="50">
        <v>0.28000000000000003</v>
      </c>
      <c r="K31" s="50">
        <v>205.65</v>
      </c>
      <c r="L31" s="50">
        <v>31.92</v>
      </c>
      <c r="M31" s="50">
        <v>54.28</v>
      </c>
      <c r="N31" s="50">
        <v>0</v>
      </c>
      <c r="O31" s="50">
        <v>0</v>
      </c>
      <c r="P31" s="50">
        <v>1.1599999999999999</v>
      </c>
      <c r="Q31" s="50">
        <v>5.0199999999999996</v>
      </c>
    </row>
    <row r="32" spans="1:17" customFormat="1">
      <c r="A32" s="49">
        <v>45387</v>
      </c>
      <c r="B32" s="50">
        <v>15.06</v>
      </c>
      <c r="C32" s="50">
        <v>40.39</v>
      </c>
      <c r="D32" s="50">
        <v>34.53</v>
      </c>
      <c r="E32" s="50">
        <v>25.19</v>
      </c>
      <c r="F32" s="50">
        <v>3.64</v>
      </c>
      <c r="G32" s="50">
        <v>102.94</v>
      </c>
      <c r="H32" s="50">
        <v>41.47</v>
      </c>
      <c r="I32" s="50">
        <v>11.17</v>
      </c>
      <c r="J32" s="50">
        <v>0.23</v>
      </c>
      <c r="K32" s="50">
        <v>187.4</v>
      </c>
      <c r="L32" s="50">
        <v>31.15</v>
      </c>
      <c r="M32" s="50">
        <v>51.33</v>
      </c>
      <c r="N32" s="50">
        <v>0</v>
      </c>
      <c r="O32" s="50">
        <v>0</v>
      </c>
      <c r="P32" s="50">
        <v>1.17</v>
      </c>
      <c r="Q32" s="50">
        <v>5.05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2.27</v>
      </c>
      <c r="C34" s="40">
        <f t="shared" si="0"/>
        <v>12.87</v>
      </c>
      <c r="D34" s="40">
        <f t="shared" si="0"/>
        <v>9.94</v>
      </c>
      <c r="E34" s="40">
        <f t="shared" si="0"/>
        <v>10.91</v>
      </c>
      <c r="F34" s="40">
        <f t="shared" si="0"/>
        <v>3.64</v>
      </c>
      <c r="G34" s="40">
        <f t="shared" si="0"/>
        <v>46.07</v>
      </c>
      <c r="H34" s="40">
        <f t="shared" si="0"/>
        <v>25.41</v>
      </c>
      <c r="I34" s="40">
        <f t="shared" si="0"/>
        <v>4.45</v>
      </c>
      <c r="J34" s="40">
        <f t="shared" si="0"/>
        <v>0.14000000000000001</v>
      </c>
      <c r="K34" s="40">
        <f t="shared" si="0"/>
        <v>129.85</v>
      </c>
      <c r="L34" s="40">
        <f t="shared" si="0"/>
        <v>25.49</v>
      </c>
      <c r="M34" s="40">
        <f t="shared" si="0"/>
        <v>26.93</v>
      </c>
      <c r="N34" s="40">
        <f t="shared" si="0"/>
        <v>0</v>
      </c>
      <c r="O34" s="40">
        <f t="shared" si="0"/>
        <v>0</v>
      </c>
      <c r="P34" s="40">
        <f t="shared" si="0"/>
        <v>0.57999999999999996</v>
      </c>
      <c r="Q34" s="40">
        <f t="shared" si="0"/>
        <v>4.9800000000000004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15.06</v>
      </c>
      <c r="C35" s="33">
        <f t="shared" si="1"/>
        <v>40.54</v>
      </c>
      <c r="D35" s="33">
        <f t="shared" si="1"/>
        <v>34.53</v>
      </c>
      <c r="E35" s="33">
        <f t="shared" si="1"/>
        <v>25.19</v>
      </c>
      <c r="F35" s="33">
        <f t="shared" si="1"/>
        <v>54.89</v>
      </c>
      <c r="G35" s="33">
        <f t="shared" si="1"/>
        <v>102.94</v>
      </c>
      <c r="H35" s="33">
        <f t="shared" si="1"/>
        <v>41.47</v>
      </c>
      <c r="I35" s="33">
        <f t="shared" si="1"/>
        <v>11.17</v>
      </c>
      <c r="J35" s="33">
        <f t="shared" si="1"/>
        <v>1.47</v>
      </c>
      <c r="K35" s="33">
        <f t="shared" si="1"/>
        <v>304.98</v>
      </c>
      <c r="L35" s="33">
        <f t="shared" si="1"/>
        <v>40.520000000000003</v>
      </c>
      <c r="M35" s="33">
        <f t="shared" si="1"/>
        <v>72.83</v>
      </c>
      <c r="N35" s="33">
        <f t="shared" si="1"/>
        <v>702</v>
      </c>
      <c r="O35" s="33">
        <f t="shared" si="1"/>
        <v>0</v>
      </c>
      <c r="P35" s="33">
        <f t="shared" si="1"/>
        <v>1.17</v>
      </c>
      <c r="Q35" s="33">
        <f t="shared" si="1"/>
        <v>5.08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5.2350000000000003</v>
      </c>
      <c r="C36" s="40">
        <f t="shared" si="2"/>
        <v>23.210416666666664</v>
      </c>
      <c r="D36" s="40">
        <f t="shared" si="2"/>
        <v>17.610416666666666</v>
      </c>
      <c r="E36" s="40">
        <f t="shared" si="2"/>
        <v>16.685833333333335</v>
      </c>
      <c r="F36" s="40">
        <f t="shared" si="2"/>
        <v>20.428333333333331</v>
      </c>
      <c r="G36" s="40">
        <f t="shared" si="2"/>
        <v>59.598749999999995</v>
      </c>
      <c r="H36" s="40">
        <f t="shared" si="2"/>
        <v>30.004166666666666</v>
      </c>
      <c r="I36" s="40">
        <f t="shared" si="2"/>
        <v>6.730833333333333</v>
      </c>
      <c r="J36" s="40">
        <f t="shared" si="2"/>
        <v>0.63458333333333339</v>
      </c>
      <c r="K36" s="40">
        <f t="shared" si="2"/>
        <v>241.55374999999995</v>
      </c>
      <c r="L36" s="40">
        <f t="shared" si="2"/>
        <v>33.610833333333325</v>
      </c>
      <c r="M36" s="40">
        <f t="shared" si="2"/>
        <v>46.646250000000002</v>
      </c>
      <c r="N36" s="40">
        <f t="shared" si="2"/>
        <v>206.38333333333333</v>
      </c>
      <c r="O36" s="40">
        <f t="shared" si="2"/>
        <v>0</v>
      </c>
      <c r="P36" s="40">
        <f t="shared" si="2"/>
        <v>0.76874999999999982</v>
      </c>
      <c r="Q36" s="40">
        <f t="shared" si="2"/>
        <v>5.0133333333333328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3.4836462656744902</v>
      </c>
      <c r="C37" s="40">
        <f t="shared" ref="C37:Q37" si="3">STDEV(C9:C32)</f>
        <v>7.4493749251438777</v>
      </c>
      <c r="D37" s="40">
        <f t="shared" si="3"/>
        <v>6.5040973568617737</v>
      </c>
      <c r="E37" s="40">
        <f t="shared" si="3"/>
        <v>4.815357602564907</v>
      </c>
      <c r="F37" s="40">
        <f t="shared" si="3"/>
        <v>15.212986919553073</v>
      </c>
      <c r="G37" s="40">
        <f t="shared" si="3"/>
        <v>12.725263237219195</v>
      </c>
      <c r="H37" s="40">
        <f t="shared" si="3"/>
        <v>4.1249420724962071</v>
      </c>
      <c r="I37" s="40">
        <f t="shared" si="3"/>
        <v>1.6296729911154006</v>
      </c>
      <c r="J37" s="40">
        <f t="shared" si="3"/>
        <v>0.44670756085781244</v>
      </c>
      <c r="K37" s="40">
        <f t="shared" si="3"/>
        <v>42.994432380959374</v>
      </c>
      <c r="L37" s="40">
        <f t="shared" si="3"/>
        <v>4.9000460660360829</v>
      </c>
      <c r="M37" s="40">
        <f t="shared" si="3"/>
        <v>14.338548168728829</v>
      </c>
      <c r="N37" s="40">
        <f t="shared" si="3"/>
        <v>271.42728655029867</v>
      </c>
      <c r="O37" s="40">
        <f t="shared" si="3"/>
        <v>0</v>
      </c>
      <c r="P37" s="40">
        <f t="shared" si="3"/>
        <v>0.16267632574078439</v>
      </c>
      <c r="Q37" s="40">
        <f t="shared" si="3"/>
        <v>2.3713262967793088E-2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45387.041666666664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45387.041666666664</v>
      </c>
      <c r="B9" s="50">
        <v>16.97</v>
      </c>
      <c r="C9" s="50">
        <v>37.29</v>
      </c>
      <c r="D9" s="50">
        <v>33.36</v>
      </c>
      <c r="E9" s="50">
        <v>21.88</v>
      </c>
      <c r="F9" s="50">
        <v>3.71</v>
      </c>
      <c r="G9" s="50">
        <v>112.34</v>
      </c>
      <c r="H9" s="50">
        <v>50.51</v>
      </c>
      <c r="I9" s="50">
        <v>11.42</v>
      </c>
      <c r="J9" s="50">
        <v>0.34</v>
      </c>
      <c r="K9" s="50">
        <v>199.87</v>
      </c>
      <c r="L9" s="50">
        <v>30.39</v>
      </c>
      <c r="M9" s="50">
        <v>52.38</v>
      </c>
      <c r="N9" s="50">
        <v>0</v>
      </c>
      <c r="O9" s="50">
        <v>0</v>
      </c>
      <c r="P9" s="50">
        <v>1.18</v>
      </c>
      <c r="Q9" s="50">
        <v>5.0599999999999996</v>
      </c>
    </row>
    <row r="10" spans="1:21" customFormat="1">
      <c r="A10" s="49">
        <v>45387.083333333336</v>
      </c>
      <c r="B10" s="50">
        <v>14.59</v>
      </c>
      <c r="C10" s="50">
        <v>35.31</v>
      </c>
      <c r="D10" s="50">
        <v>31.5</v>
      </c>
      <c r="E10" s="50">
        <v>12.8</v>
      </c>
      <c r="F10" s="50">
        <v>7.29</v>
      </c>
      <c r="G10" s="50">
        <v>112.34</v>
      </c>
      <c r="H10" s="50">
        <v>50.51</v>
      </c>
      <c r="I10" s="50">
        <v>11.7</v>
      </c>
      <c r="J10" s="50">
        <v>0.24</v>
      </c>
      <c r="K10" s="50">
        <v>221.88</v>
      </c>
      <c r="L10" s="50">
        <v>28.62</v>
      </c>
      <c r="M10" s="50">
        <v>51.69</v>
      </c>
      <c r="N10" s="50">
        <v>0</v>
      </c>
      <c r="O10" s="50">
        <v>0</v>
      </c>
      <c r="P10" s="50">
        <v>1.17</v>
      </c>
      <c r="Q10" s="50">
        <v>5.08</v>
      </c>
    </row>
    <row r="11" spans="1:21" customFormat="1">
      <c r="A11" s="49">
        <v>45387.125</v>
      </c>
      <c r="B11" s="50">
        <v>11.97</v>
      </c>
      <c r="C11" s="50">
        <v>32.14</v>
      </c>
      <c r="D11" s="50">
        <v>27.74</v>
      </c>
      <c r="E11" s="50">
        <v>13.79</v>
      </c>
      <c r="F11" s="50">
        <v>4.8499999999999996</v>
      </c>
      <c r="G11" s="50">
        <v>103.54</v>
      </c>
      <c r="H11" s="50">
        <v>48.55</v>
      </c>
      <c r="I11" s="50">
        <v>11.5</v>
      </c>
      <c r="J11" s="50">
        <v>0.22</v>
      </c>
      <c r="K11" s="50">
        <v>198.82</v>
      </c>
      <c r="L11" s="50">
        <v>28.13</v>
      </c>
      <c r="M11" s="50">
        <v>55</v>
      </c>
      <c r="N11" s="50">
        <v>0</v>
      </c>
      <c r="O11" s="50">
        <v>0</v>
      </c>
      <c r="P11" s="50">
        <v>1.1100000000000001</v>
      </c>
      <c r="Q11" s="50">
        <v>5.0599999999999996</v>
      </c>
    </row>
    <row r="12" spans="1:21" customFormat="1">
      <c r="A12" s="49">
        <v>45387.166666666664</v>
      </c>
      <c r="B12" s="50">
        <v>10.37</v>
      </c>
      <c r="C12" s="50">
        <v>30.64</v>
      </c>
      <c r="D12" s="50">
        <v>25.67</v>
      </c>
      <c r="E12" s="50">
        <v>14.08</v>
      </c>
      <c r="F12" s="50">
        <v>3.96</v>
      </c>
      <c r="G12" s="50">
        <v>88.37</v>
      </c>
      <c r="H12" s="50">
        <v>39.61</v>
      </c>
      <c r="I12" s="50">
        <v>11.08</v>
      </c>
      <c r="J12" s="50">
        <v>0.23</v>
      </c>
      <c r="K12" s="50">
        <v>189.78</v>
      </c>
      <c r="L12" s="50">
        <v>27.49</v>
      </c>
      <c r="M12" s="50">
        <v>59.96</v>
      </c>
      <c r="N12" s="50">
        <v>0</v>
      </c>
      <c r="O12" s="50">
        <v>0</v>
      </c>
      <c r="P12" s="50">
        <v>1.04</v>
      </c>
      <c r="Q12" s="50">
        <v>5.04</v>
      </c>
    </row>
    <row r="13" spans="1:21" customFormat="1">
      <c r="A13" s="49">
        <v>45387.208333333336</v>
      </c>
      <c r="B13" s="50">
        <v>9.08</v>
      </c>
      <c r="C13" s="50">
        <v>28.84</v>
      </c>
      <c r="D13" s="50">
        <v>23.7</v>
      </c>
      <c r="E13" s="50">
        <v>12.65</v>
      </c>
      <c r="F13" s="50">
        <v>3.65</v>
      </c>
      <c r="G13" s="50">
        <v>79.94</v>
      </c>
      <c r="H13" s="50">
        <v>30.64</v>
      </c>
      <c r="I13" s="50">
        <v>10.59</v>
      </c>
      <c r="J13" s="50">
        <v>0.18</v>
      </c>
      <c r="K13" s="50">
        <v>211.5</v>
      </c>
      <c r="L13" s="50">
        <v>26.5</v>
      </c>
      <c r="M13" s="50">
        <v>56.46</v>
      </c>
      <c r="N13" s="50">
        <v>0</v>
      </c>
      <c r="O13" s="50">
        <v>0</v>
      </c>
      <c r="P13" s="50">
        <v>1</v>
      </c>
      <c r="Q13" s="50">
        <v>5.03</v>
      </c>
    </row>
    <row r="14" spans="1:21" customFormat="1">
      <c r="A14" s="49">
        <v>45387.25</v>
      </c>
      <c r="B14" s="50">
        <v>7.76</v>
      </c>
      <c r="C14" s="50">
        <v>27.57</v>
      </c>
      <c r="D14" s="50">
        <v>21.98</v>
      </c>
      <c r="E14" s="50">
        <v>12.27</v>
      </c>
      <c r="F14" s="50">
        <v>3.75</v>
      </c>
      <c r="G14" s="50">
        <v>66.11</v>
      </c>
      <c r="H14" s="50">
        <v>29.51</v>
      </c>
      <c r="I14" s="50">
        <v>10.199999999999999</v>
      </c>
      <c r="J14" s="50">
        <v>0.2</v>
      </c>
      <c r="K14" s="50">
        <v>203.03</v>
      </c>
      <c r="L14" s="50">
        <v>26.35</v>
      </c>
      <c r="M14" s="50">
        <v>54.56</v>
      </c>
      <c r="N14" s="50">
        <v>0.9</v>
      </c>
      <c r="O14" s="50">
        <v>0</v>
      </c>
      <c r="P14" s="50">
        <v>0.96</v>
      </c>
      <c r="Q14" s="50">
        <v>5.04</v>
      </c>
    </row>
    <row r="15" spans="1:21" customFormat="1">
      <c r="A15" s="49">
        <v>45387.291666666664</v>
      </c>
      <c r="B15" s="50">
        <v>6.9</v>
      </c>
      <c r="C15" s="50">
        <v>26.12</v>
      </c>
      <c r="D15" s="50">
        <v>20.53</v>
      </c>
      <c r="E15" s="50">
        <v>12.17</v>
      </c>
      <c r="F15" s="50">
        <v>3.62</v>
      </c>
      <c r="G15" s="50">
        <v>60.97</v>
      </c>
      <c r="H15" s="50">
        <v>28.84</v>
      </c>
      <c r="I15" s="50">
        <v>9.86</v>
      </c>
      <c r="J15" s="50">
        <v>0.31</v>
      </c>
      <c r="K15" s="50">
        <v>177.73</v>
      </c>
      <c r="L15" s="50">
        <v>27.06</v>
      </c>
      <c r="M15" s="50">
        <v>58.71</v>
      </c>
      <c r="N15" s="50">
        <v>45.3</v>
      </c>
      <c r="O15" s="50">
        <v>0</v>
      </c>
      <c r="P15" s="50">
        <v>0.93</v>
      </c>
      <c r="Q15" s="50">
        <v>5.0199999999999996</v>
      </c>
    </row>
    <row r="16" spans="1:21" customFormat="1">
      <c r="A16" s="49">
        <v>45387.333333333336</v>
      </c>
      <c r="B16" s="50">
        <v>6.66</v>
      </c>
      <c r="C16" s="50">
        <v>26.62</v>
      </c>
      <c r="D16" s="50">
        <v>20.56</v>
      </c>
      <c r="E16" s="50">
        <v>13.18</v>
      </c>
      <c r="F16" s="50">
        <v>5.54</v>
      </c>
      <c r="G16" s="50">
        <v>65.95</v>
      </c>
      <c r="H16" s="50">
        <v>27</v>
      </c>
      <c r="I16" s="50">
        <v>9.6199999999999992</v>
      </c>
      <c r="J16" s="50">
        <v>0.68</v>
      </c>
      <c r="K16" s="50">
        <v>308.98</v>
      </c>
      <c r="L16" s="50">
        <v>31.65</v>
      </c>
      <c r="M16" s="50">
        <v>53.14</v>
      </c>
      <c r="N16" s="50">
        <v>222.2</v>
      </c>
      <c r="O16" s="50">
        <v>0</v>
      </c>
      <c r="P16" s="50">
        <v>0.94</v>
      </c>
      <c r="Q16" s="50">
        <v>5.03</v>
      </c>
    </row>
    <row r="17" spans="1:17" customFormat="1">
      <c r="A17" s="49">
        <v>45387.375</v>
      </c>
      <c r="B17" s="50">
        <v>6.3</v>
      </c>
      <c r="C17" s="50">
        <v>28.03</v>
      </c>
      <c r="D17" s="50">
        <v>20.52</v>
      </c>
      <c r="E17" s="50">
        <v>16.2</v>
      </c>
      <c r="F17" s="50">
        <v>7.7</v>
      </c>
      <c r="G17" s="50">
        <v>77.42</v>
      </c>
      <c r="H17" s="50">
        <v>36.04</v>
      </c>
      <c r="I17" s="50">
        <v>11.21</v>
      </c>
      <c r="J17" s="50">
        <v>0.9</v>
      </c>
      <c r="K17" s="50">
        <v>285.47000000000003</v>
      </c>
      <c r="L17" s="50">
        <v>34.520000000000003</v>
      </c>
      <c r="M17" s="50">
        <v>41.48</v>
      </c>
      <c r="N17" s="50">
        <v>241.9</v>
      </c>
      <c r="O17" s="50">
        <v>0</v>
      </c>
      <c r="P17" s="50">
        <v>1.1499999999999999</v>
      </c>
      <c r="Q17" s="50">
        <v>5.03</v>
      </c>
    </row>
    <row r="18" spans="1:17" customFormat="1">
      <c r="A18" s="49">
        <v>45387.416666666664</v>
      </c>
      <c r="B18" s="50">
        <v>4.96</v>
      </c>
      <c r="C18" s="50">
        <v>27.71</v>
      </c>
      <c r="D18" s="50">
        <v>19.809999999999999</v>
      </c>
      <c r="E18" s="50">
        <v>15.94</v>
      </c>
      <c r="F18" s="50">
        <v>13.42</v>
      </c>
      <c r="G18" s="50">
        <v>79.83</v>
      </c>
      <c r="H18" s="50">
        <v>36.04</v>
      </c>
      <c r="I18" s="50">
        <v>13.56</v>
      </c>
      <c r="J18" s="50">
        <v>1.69</v>
      </c>
      <c r="K18" s="50">
        <v>335.43</v>
      </c>
      <c r="L18" s="50">
        <v>36.21</v>
      </c>
      <c r="M18" s="50">
        <v>35.1</v>
      </c>
      <c r="N18" s="50">
        <v>562</v>
      </c>
      <c r="O18" s="50">
        <v>0</v>
      </c>
      <c r="P18" s="50">
        <v>1.18</v>
      </c>
      <c r="Q18" s="50">
        <v>5.03</v>
      </c>
    </row>
    <row r="19" spans="1:17" customFormat="1">
      <c r="A19" s="49">
        <v>45387.458333333336</v>
      </c>
      <c r="B19" s="50">
        <v>4.1500000000000004</v>
      </c>
      <c r="C19" s="50">
        <v>27.14</v>
      </c>
      <c r="D19" s="50">
        <v>18.670000000000002</v>
      </c>
      <c r="E19" s="50">
        <v>17.93</v>
      </c>
      <c r="F19" s="50">
        <v>19.739999999999998</v>
      </c>
      <c r="G19" s="50">
        <v>79.83</v>
      </c>
      <c r="H19" s="50">
        <v>32.39</v>
      </c>
      <c r="I19" s="50">
        <v>12.89</v>
      </c>
      <c r="J19" s="50">
        <v>1.44</v>
      </c>
      <c r="K19" s="50">
        <v>333.84</v>
      </c>
      <c r="L19" s="50">
        <v>38.43</v>
      </c>
      <c r="M19" s="50">
        <v>21.67</v>
      </c>
      <c r="N19" s="50">
        <v>708</v>
      </c>
      <c r="O19" s="50">
        <v>0</v>
      </c>
      <c r="P19" s="50">
        <v>1.1000000000000001</v>
      </c>
      <c r="Q19" s="50">
        <v>5.0199999999999996</v>
      </c>
    </row>
    <row r="20" spans="1:17" customFormat="1">
      <c r="A20" s="49">
        <v>45387.5</v>
      </c>
      <c r="B20" s="50">
        <v>4.26</v>
      </c>
      <c r="C20" s="50">
        <v>25.62</v>
      </c>
      <c r="D20" s="50">
        <v>18</v>
      </c>
      <c r="E20" s="50">
        <v>18.93</v>
      </c>
      <c r="F20" s="50">
        <v>23.99</v>
      </c>
      <c r="G20" s="50">
        <v>77.59</v>
      </c>
      <c r="H20" s="50">
        <v>32.39</v>
      </c>
      <c r="I20" s="50">
        <v>10.97</v>
      </c>
      <c r="J20" s="50">
        <v>1.2</v>
      </c>
      <c r="K20" s="50">
        <v>351.74</v>
      </c>
      <c r="L20" s="50">
        <v>38.89</v>
      </c>
      <c r="M20" s="50">
        <v>16.61</v>
      </c>
      <c r="N20" s="50">
        <v>803.2</v>
      </c>
      <c r="O20" s="50">
        <v>0</v>
      </c>
      <c r="P20" s="50">
        <v>0.94</v>
      </c>
      <c r="Q20" s="50">
        <v>5.0199999999999996</v>
      </c>
    </row>
    <row r="21" spans="1:17" customFormat="1">
      <c r="A21" s="49">
        <v>45387.541666666664</v>
      </c>
      <c r="B21" s="50">
        <v>4.5599999999999996</v>
      </c>
      <c r="C21" s="50">
        <v>27.05</v>
      </c>
      <c r="D21" s="50">
        <v>19.13</v>
      </c>
      <c r="E21" s="50">
        <v>20.63</v>
      </c>
      <c r="F21" s="50">
        <v>37.630000000000003</v>
      </c>
      <c r="G21" s="50">
        <v>74.5</v>
      </c>
      <c r="H21" s="50">
        <v>29.62</v>
      </c>
      <c r="I21" s="50">
        <v>8.85</v>
      </c>
      <c r="J21" s="50">
        <v>1.05</v>
      </c>
      <c r="K21" s="50">
        <v>357.85</v>
      </c>
      <c r="L21" s="50">
        <v>39.880000000000003</v>
      </c>
      <c r="M21" s="50">
        <v>15.9</v>
      </c>
      <c r="N21" s="50">
        <v>810</v>
      </c>
      <c r="O21" s="50">
        <v>0</v>
      </c>
      <c r="P21" s="50">
        <v>0.8</v>
      </c>
      <c r="Q21" s="50">
        <v>5.01</v>
      </c>
    </row>
    <row r="22" spans="1:17" customFormat="1">
      <c r="A22" s="49">
        <v>45387.583333333336</v>
      </c>
      <c r="B22" s="50">
        <v>4.3099999999999996</v>
      </c>
      <c r="C22" s="50">
        <v>23.36</v>
      </c>
      <c r="D22" s="50">
        <v>17.02</v>
      </c>
      <c r="E22" s="50">
        <v>15.13</v>
      </c>
      <c r="F22" s="50">
        <v>27.37</v>
      </c>
      <c r="G22" s="50">
        <v>73.12</v>
      </c>
      <c r="H22" s="50">
        <v>29.62</v>
      </c>
      <c r="I22" s="50">
        <v>7.35</v>
      </c>
      <c r="J22" s="50">
        <v>1.49</v>
      </c>
      <c r="K22" s="50">
        <v>338.08</v>
      </c>
      <c r="L22" s="50">
        <v>40.869999999999997</v>
      </c>
      <c r="M22" s="50">
        <v>14.54</v>
      </c>
      <c r="N22" s="50">
        <v>787.1</v>
      </c>
      <c r="O22" s="50">
        <v>0</v>
      </c>
      <c r="P22" s="50">
        <v>0.75</v>
      </c>
      <c r="Q22" s="50">
        <v>5.01</v>
      </c>
    </row>
    <row r="23" spans="1:17" customFormat="1">
      <c r="A23" s="49">
        <v>45387.625</v>
      </c>
      <c r="B23" s="50">
        <v>4.18</v>
      </c>
      <c r="C23" s="50">
        <v>21.47</v>
      </c>
      <c r="D23" s="50">
        <v>15.91</v>
      </c>
      <c r="E23" s="50">
        <v>14.68</v>
      </c>
      <c r="F23" s="50">
        <v>32.72</v>
      </c>
      <c r="G23" s="50">
        <v>62.92</v>
      </c>
      <c r="H23" s="50">
        <v>26.09</v>
      </c>
      <c r="I23" s="50">
        <v>6.86</v>
      </c>
      <c r="J23" s="50">
        <v>1.1299999999999999</v>
      </c>
      <c r="K23" s="50">
        <v>349.04</v>
      </c>
      <c r="L23" s="50">
        <v>40.49</v>
      </c>
      <c r="M23" s="50">
        <v>14.59</v>
      </c>
      <c r="N23" s="50">
        <v>570.79999999999995</v>
      </c>
      <c r="O23" s="50">
        <v>0</v>
      </c>
      <c r="P23" s="50">
        <v>0.61</v>
      </c>
      <c r="Q23" s="50">
        <v>5</v>
      </c>
    </row>
    <row r="24" spans="1:17" customFormat="1">
      <c r="A24" s="49">
        <v>45387.666666666664</v>
      </c>
      <c r="B24" s="50">
        <v>4.28</v>
      </c>
      <c r="C24" s="50">
        <v>20.48</v>
      </c>
      <c r="D24" s="50">
        <v>15.48</v>
      </c>
      <c r="E24" s="50">
        <v>21.18</v>
      </c>
      <c r="F24" s="50">
        <v>52.69</v>
      </c>
      <c r="G24" s="50">
        <v>59.76</v>
      </c>
      <c r="H24" s="50">
        <v>26.09</v>
      </c>
      <c r="I24" s="50">
        <v>5.84</v>
      </c>
      <c r="J24" s="50">
        <v>0.92</v>
      </c>
      <c r="K24" s="50">
        <v>334.65</v>
      </c>
      <c r="L24" s="50">
        <v>40.67</v>
      </c>
      <c r="M24" s="50">
        <v>16.3</v>
      </c>
      <c r="N24" s="50">
        <v>397.9</v>
      </c>
      <c r="O24" s="50">
        <v>0</v>
      </c>
      <c r="P24" s="50">
        <v>0.56000000000000005</v>
      </c>
      <c r="Q24" s="50">
        <v>5.01</v>
      </c>
    </row>
    <row r="25" spans="1:17" customFormat="1">
      <c r="A25" s="49">
        <v>45387.708333333336</v>
      </c>
      <c r="B25" s="50">
        <v>3.63</v>
      </c>
      <c r="C25" s="50">
        <v>18.920000000000002</v>
      </c>
      <c r="D25" s="50">
        <v>14.15</v>
      </c>
      <c r="E25" s="50">
        <v>22.46</v>
      </c>
      <c r="F25" s="50">
        <v>49.13</v>
      </c>
      <c r="G25" s="50">
        <v>58.48</v>
      </c>
      <c r="H25" s="50">
        <v>24.71</v>
      </c>
      <c r="I25" s="50">
        <v>6.08</v>
      </c>
      <c r="J25" s="50">
        <v>1.1100000000000001</v>
      </c>
      <c r="K25" s="50">
        <v>307.52</v>
      </c>
      <c r="L25" s="50">
        <v>40.53</v>
      </c>
      <c r="M25" s="50">
        <v>16.97</v>
      </c>
      <c r="N25" s="50">
        <v>282.3</v>
      </c>
      <c r="O25" s="50">
        <v>0</v>
      </c>
      <c r="P25" s="50">
        <v>0.57999999999999996</v>
      </c>
      <c r="Q25" s="50">
        <v>5</v>
      </c>
    </row>
    <row r="26" spans="1:17" customFormat="1">
      <c r="A26" s="49">
        <v>45387.75</v>
      </c>
      <c r="B26" s="50">
        <v>4.28</v>
      </c>
      <c r="C26" s="50">
        <v>24.27</v>
      </c>
      <c r="D26" s="50">
        <v>17.34</v>
      </c>
      <c r="E26" s="50">
        <v>15.38</v>
      </c>
      <c r="F26" s="50">
        <v>27.71</v>
      </c>
      <c r="G26" s="50">
        <v>57.31</v>
      </c>
      <c r="H26" s="50">
        <v>24.8</v>
      </c>
      <c r="I26" s="50">
        <v>5.72</v>
      </c>
      <c r="J26" s="50">
        <v>1.45</v>
      </c>
      <c r="K26" s="50">
        <v>316.81</v>
      </c>
      <c r="L26" s="50">
        <v>39.229999999999997</v>
      </c>
      <c r="M26" s="50">
        <v>16.059999999999999</v>
      </c>
      <c r="N26" s="50">
        <v>102.4</v>
      </c>
      <c r="O26" s="50">
        <v>0</v>
      </c>
      <c r="P26" s="50">
        <v>0.65</v>
      </c>
      <c r="Q26" s="50">
        <v>4.99</v>
      </c>
    </row>
    <row r="27" spans="1:17" customFormat="1">
      <c r="A27" s="49">
        <v>45387.791666666664</v>
      </c>
      <c r="B27" s="50">
        <v>5.45</v>
      </c>
      <c r="C27" s="50">
        <v>30.44</v>
      </c>
      <c r="D27" s="50">
        <v>21.63</v>
      </c>
      <c r="E27" s="50">
        <v>16.23</v>
      </c>
      <c r="F27" s="50">
        <v>18.059999999999999</v>
      </c>
      <c r="G27" s="50">
        <v>61.05</v>
      </c>
      <c r="H27" s="50">
        <v>26.43</v>
      </c>
      <c r="I27" s="50">
        <v>6.06</v>
      </c>
      <c r="J27" s="50">
        <v>1.26</v>
      </c>
      <c r="K27" s="50">
        <v>322.63</v>
      </c>
      <c r="L27" s="50">
        <v>37.06</v>
      </c>
      <c r="M27" s="50">
        <v>18.28</v>
      </c>
      <c r="N27" s="50">
        <v>0</v>
      </c>
      <c r="O27" s="50">
        <v>0</v>
      </c>
      <c r="P27" s="50">
        <v>0.77</v>
      </c>
      <c r="Q27" s="50">
        <v>5.01</v>
      </c>
    </row>
    <row r="28" spans="1:17" customFormat="1">
      <c r="A28" s="49">
        <v>45387.833333333336</v>
      </c>
      <c r="B28" s="50">
        <v>5.45</v>
      </c>
      <c r="C28" s="50">
        <v>30.03</v>
      </c>
      <c r="D28" s="50">
        <v>21.41</v>
      </c>
      <c r="E28" s="50">
        <v>15.07</v>
      </c>
      <c r="F28" s="50">
        <v>16.899999999999999</v>
      </c>
      <c r="G28" s="50">
        <v>63.77</v>
      </c>
      <c r="H28" s="50">
        <v>26.43</v>
      </c>
      <c r="I28" s="50">
        <v>7.03</v>
      </c>
      <c r="J28" s="50">
        <v>0.56999999999999995</v>
      </c>
      <c r="K28" s="50">
        <v>314.02999999999997</v>
      </c>
      <c r="L28" s="50">
        <v>35.54</v>
      </c>
      <c r="M28" s="50">
        <v>20.5</v>
      </c>
      <c r="N28" s="50">
        <v>0</v>
      </c>
      <c r="O28" s="50">
        <v>0</v>
      </c>
      <c r="P28" s="50">
        <v>0.83</v>
      </c>
      <c r="Q28" s="50">
        <v>5.0199999999999996</v>
      </c>
    </row>
    <row r="29" spans="1:17" customFormat="1">
      <c r="A29" s="49">
        <v>45387.875</v>
      </c>
      <c r="B29" s="50">
        <v>4.92</v>
      </c>
      <c r="C29" s="50">
        <v>28.65</v>
      </c>
      <c r="D29" s="50">
        <v>20.27</v>
      </c>
      <c r="E29" s="50">
        <v>18.72</v>
      </c>
      <c r="F29" s="50">
        <v>17.37</v>
      </c>
      <c r="G29" s="50">
        <v>69.12</v>
      </c>
      <c r="H29" s="50">
        <v>27.18</v>
      </c>
      <c r="I29" s="50">
        <v>7.53</v>
      </c>
      <c r="J29" s="50">
        <v>0.55000000000000004</v>
      </c>
      <c r="K29" s="50">
        <v>266.89999999999998</v>
      </c>
      <c r="L29" s="50">
        <v>34.619999999999997</v>
      </c>
      <c r="M29" s="50">
        <v>21.78</v>
      </c>
      <c r="N29" s="50">
        <v>0</v>
      </c>
      <c r="O29" s="50">
        <v>0</v>
      </c>
      <c r="P29" s="50">
        <v>0.89</v>
      </c>
      <c r="Q29" s="50">
        <v>5.0199999999999996</v>
      </c>
    </row>
    <row r="30" spans="1:17" customFormat="1">
      <c r="A30" s="49">
        <v>45387.916666666664</v>
      </c>
      <c r="B30" s="50">
        <v>4.9000000000000004</v>
      </c>
      <c r="C30" s="50">
        <v>28.59</v>
      </c>
      <c r="D30" s="50">
        <v>19.920000000000002</v>
      </c>
      <c r="E30" s="50">
        <v>16.77</v>
      </c>
      <c r="F30" s="50">
        <v>11.68</v>
      </c>
      <c r="G30" s="50">
        <v>69.12</v>
      </c>
      <c r="H30" s="50">
        <v>29.52</v>
      </c>
      <c r="I30" s="50">
        <v>8.66</v>
      </c>
      <c r="J30" s="50">
        <v>0.35</v>
      </c>
      <c r="K30" s="50">
        <v>216.47</v>
      </c>
      <c r="L30" s="50">
        <v>33.619999999999997</v>
      </c>
      <c r="M30" s="50">
        <v>37.17</v>
      </c>
      <c r="N30" s="50">
        <v>0</v>
      </c>
      <c r="O30" s="50">
        <v>0</v>
      </c>
      <c r="P30" s="50">
        <v>0.94</v>
      </c>
      <c r="Q30" s="50">
        <v>5.03</v>
      </c>
    </row>
    <row r="31" spans="1:17" customFormat="1">
      <c r="A31" s="49">
        <v>45387.958333333336</v>
      </c>
      <c r="B31" s="50">
        <v>5.48</v>
      </c>
      <c r="C31" s="50">
        <v>25.51</v>
      </c>
      <c r="D31" s="50">
        <v>18.93</v>
      </c>
      <c r="E31" s="50">
        <v>13.51</v>
      </c>
      <c r="F31" s="50">
        <v>6.75</v>
      </c>
      <c r="G31" s="50">
        <v>71.39</v>
      </c>
      <c r="H31" s="50">
        <v>29.52</v>
      </c>
      <c r="I31" s="50">
        <v>8.93</v>
      </c>
      <c r="J31" s="50">
        <v>0.31</v>
      </c>
      <c r="K31" s="50">
        <v>178.69</v>
      </c>
      <c r="L31" s="50">
        <v>30.22</v>
      </c>
      <c r="M31" s="50">
        <v>44.38</v>
      </c>
      <c r="N31" s="50">
        <v>0</v>
      </c>
      <c r="O31" s="50">
        <v>0</v>
      </c>
      <c r="P31" s="50">
        <v>1</v>
      </c>
      <c r="Q31" s="50">
        <v>5.0199999999999996</v>
      </c>
    </row>
    <row r="32" spans="1:17" customFormat="1">
      <c r="A32" s="49">
        <v>45388</v>
      </c>
      <c r="B32" s="50">
        <v>6.33</v>
      </c>
      <c r="C32" s="50">
        <v>25.09</v>
      </c>
      <c r="D32" s="50">
        <v>19.2</v>
      </c>
      <c r="E32" s="50">
        <v>11.43</v>
      </c>
      <c r="F32" s="50">
        <v>4.03</v>
      </c>
      <c r="G32" s="50">
        <v>71.39</v>
      </c>
      <c r="H32" s="50">
        <v>29.83</v>
      </c>
      <c r="I32" s="50">
        <v>9.43</v>
      </c>
      <c r="J32" s="50">
        <v>0.21</v>
      </c>
      <c r="K32" s="50">
        <v>205.68</v>
      </c>
      <c r="L32" s="50">
        <v>28.72</v>
      </c>
      <c r="M32" s="50">
        <v>47.86</v>
      </c>
      <c r="N32" s="50">
        <v>0</v>
      </c>
      <c r="O32" s="50">
        <v>0</v>
      </c>
      <c r="P32" s="50">
        <v>1.01</v>
      </c>
      <c r="Q32" s="50">
        <v>5.04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3.63</v>
      </c>
      <c r="C34" s="40">
        <f t="shared" si="0"/>
        <v>18.920000000000002</v>
      </c>
      <c r="D34" s="40">
        <f t="shared" si="0"/>
        <v>14.15</v>
      </c>
      <c r="E34" s="40">
        <f t="shared" si="0"/>
        <v>11.43</v>
      </c>
      <c r="F34" s="40">
        <f t="shared" si="0"/>
        <v>3.62</v>
      </c>
      <c r="G34" s="40">
        <f t="shared" si="0"/>
        <v>57.31</v>
      </c>
      <c r="H34" s="40">
        <f t="shared" si="0"/>
        <v>24.71</v>
      </c>
      <c r="I34" s="40">
        <f t="shared" si="0"/>
        <v>5.72</v>
      </c>
      <c r="J34" s="40">
        <f t="shared" si="0"/>
        <v>0.18</v>
      </c>
      <c r="K34" s="40">
        <f t="shared" si="0"/>
        <v>177.73</v>
      </c>
      <c r="L34" s="40">
        <f t="shared" si="0"/>
        <v>26.35</v>
      </c>
      <c r="M34" s="40">
        <f t="shared" si="0"/>
        <v>14.54</v>
      </c>
      <c r="N34" s="40">
        <f t="shared" si="0"/>
        <v>0</v>
      </c>
      <c r="O34" s="40">
        <f t="shared" si="0"/>
        <v>0</v>
      </c>
      <c r="P34" s="40">
        <f t="shared" si="0"/>
        <v>0.56000000000000005</v>
      </c>
      <c r="Q34" s="40">
        <f t="shared" si="0"/>
        <v>4.99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16.97</v>
      </c>
      <c r="C35" s="33">
        <f t="shared" si="1"/>
        <v>37.29</v>
      </c>
      <c r="D35" s="33">
        <f t="shared" si="1"/>
        <v>33.36</v>
      </c>
      <c r="E35" s="33">
        <f t="shared" si="1"/>
        <v>22.46</v>
      </c>
      <c r="F35" s="33">
        <f t="shared" si="1"/>
        <v>52.69</v>
      </c>
      <c r="G35" s="33">
        <f t="shared" si="1"/>
        <v>112.34</v>
      </c>
      <c r="H35" s="33">
        <f t="shared" si="1"/>
        <v>50.51</v>
      </c>
      <c r="I35" s="33">
        <f t="shared" si="1"/>
        <v>13.56</v>
      </c>
      <c r="J35" s="33">
        <f t="shared" si="1"/>
        <v>1.69</v>
      </c>
      <c r="K35" s="33">
        <f t="shared" si="1"/>
        <v>357.85</v>
      </c>
      <c r="L35" s="33">
        <f t="shared" si="1"/>
        <v>40.869999999999997</v>
      </c>
      <c r="M35" s="33">
        <f t="shared" si="1"/>
        <v>59.96</v>
      </c>
      <c r="N35" s="33">
        <f t="shared" si="1"/>
        <v>810</v>
      </c>
      <c r="O35" s="33">
        <f t="shared" si="1"/>
        <v>0</v>
      </c>
      <c r="P35" s="33">
        <f t="shared" si="1"/>
        <v>1.18</v>
      </c>
      <c r="Q35" s="33">
        <f t="shared" si="1"/>
        <v>5.08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6.7391666666666659</v>
      </c>
      <c r="C36" s="40">
        <f t="shared" si="2"/>
        <v>27.370416666666667</v>
      </c>
      <c r="D36" s="40">
        <f t="shared" si="2"/>
        <v>20.934583333333332</v>
      </c>
      <c r="E36" s="40">
        <f t="shared" si="2"/>
        <v>15.958749999999997</v>
      </c>
      <c r="F36" s="40">
        <f t="shared" si="2"/>
        <v>16.802499999999998</v>
      </c>
      <c r="G36" s="40">
        <f t="shared" si="2"/>
        <v>74.839999999999989</v>
      </c>
      <c r="H36" s="40">
        <f t="shared" si="2"/>
        <v>32.161249999999995</v>
      </c>
      <c r="I36" s="40">
        <f t="shared" si="2"/>
        <v>9.2891666666666683</v>
      </c>
      <c r="J36" s="40">
        <f t="shared" si="2"/>
        <v>0.75125000000000008</v>
      </c>
      <c r="K36" s="40">
        <f t="shared" si="2"/>
        <v>271.93416666666661</v>
      </c>
      <c r="L36" s="40">
        <f t="shared" si="2"/>
        <v>33.987083333333338</v>
      </c>
      <c r="M36" s="40">
        <f t="shared" si="2"/>
        <v>35.045416666666661</v>
      </c>
      <c r="N36" s="40">
        <f t="shared" si="2"/>
        <v>230.58333333333334</v>
      </c>
      <c r="O36" s="40">
        <f t="shared" si="2"/>
        <v>0</v>
      </c>
      <c r="P36" s="40">
        <f t="shared" si="2"/>
        <v>0.92041666666666666</v>
      </c>
      <c r="Q36" s="40">
        <f t="shared" si="2"/>
        <v>5.0258333333333338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3.4912423560110839</v>
      </c>
      <c r="C37" s="40">
        <f t="shared" ref="C37:Q37" si="3">STDEV(C9:C32)</f>
        <v>4.225444128101822</v>
      </c>
      <c r="D37" s="40">
        <f t="shared" si="3"/>
        <v>4.6658649220712034</v>
      </c>
      <c r="E37" s="40">
        <f t="shared" si="3"/>
        <v>3.2459530823848355</v>
      </c>
      <c r="F37" s="40">
        <f t="shared" si="3"/>
        <v>14.612943711417067</v>
      </c>
      <c r="G37" s="40">
        <f t="shared" si="3"/>
        <v>15.61266208534936</v>
      </c>
      <c r="H37" s="40">
        <f t="shared" si="3"/>
        <v>7.7484204912160184</v>
      </c>
      <c r="I37" s="40">
        <f t="shared" si="3"/>
        <v>2.3133317149056647</v>
      </c>
      <c r="J37" s="40">
        <f t="shared" si="3"/>
        <v>0.50209398479290435</v>
      </c>
      <c r="K37" s="40">
        <f t="shared" si="3"/>
        <v>65.375237295548814</v>
      </c>
      <c r="L37" s="40">
        <f t="shared" si="3"/>
        <v>5.2285358156335038</v>
      </c>
      <c r="M37" s="40">
        <f t="shared" si="3"/>
        <v>17.510166979355962</v>
      </c>
      <c r="N37" s="40">
        <f t="shared" si="3"/>
        <v>305.4628656953912</v>
      </c>
      <c r="O37" s="40">
        <f t="shared" si="3"/>
        <v>0</v>
      </c>
      <c r="P37" s="40">
        <f t="shared" si="3"/>
        <v>0.19182145608479967</v>
      </c>
      <c r="Q37" s="40">
        <f t="shared" si="3"/>
        <v>2.062431377865892E-2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45388.041666666664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45388.041666666664</v>
      </c>
      <c r="B9" s="50">
        <v>15.4</v>
      </c>
      <c r="C9" s="50">
        <v>30.34</v>
      </c>
      <c r="D9" s="50">
        <v>29.55</v>
      </c>
      <c r="E9" s="50">
        <v>12.16</v>
      </c>
      <c r="F9" s="50">
        <v>4.5599999999999996</v>
      </c>
      <c r="G9" s="50">
        <v>69.290000000000006</v>
      </c>
      <c r="H9" s="50">
        <v>30.06</v>
      </c>
      <c r="I9" s="50">
        <v>10.96</v>
      </c>
      <c r="J9" s="50">
        <v>0.31</v>
      </c>
      <c r="K9" s="50">
        <v>184.42</v>
      </c>
      <c r="L9" s="50">
        <v>29.06</v>
      </c>
      <c r="M9" s="50">
        <v>43.27</v>
      </c>
      <c r="N9" s="50">
        <v>0</v>
      </c>
      <c r="O9" s="50">
        <v>0</v>
      </c>
      <c r="P9" s="50">
        <v>1.05</v>
      </c>
      <c r="Q9" s="50">
        <v>5.03</v>
      </c>
    </row>
    <row r="10" spans="1:21" customFormat="1">
      <c r="A10" s="49">
        <v>45388.083333333336</v>
      </c>
      <c r="B10" s="50">
        <v>17.45</v>
      </c>
      <c r="C10" s="50">
        <v>30.74</v>
      </c>
      <c r="D10" s="50">
        <v>31.4</v>
      </c>
      <c r="E10" s="50">
        <v>19.89</v>
      </c>
      <c r="F10" s="50">
        <v>3.46</v>
      </c>
      <c r="G10" s="50">
        <v>92.57</v>
      </c>
      <c r="H10" s="50">
        <v>39.39</v>
      </c>
      <c r="I10" s="50">
        <v>11.95</v>
      </c>
      <c r="J10" s="50">
        <v>0.32</v>
      </c>
      <c r="K10" s="50">
        <v>181.48</v>
      </c>
      <c r="L10" s="50">
        <v>29.33</v>
      </c>
      <c r="M10" s="50">
        <v>48.84</v>
      </c>
      <c r="N10" s="50">
        <v>0</v>
      </c>
      <c r="O10" s="50">
        <v>0</v>
      </c>
      <c r="P10" s="50">
        <v>1.0900000000000001</v>
      </c>
      <c r="Q10" s="50">
        <v>5.07</v>
      </c>
    </row>
    <row r="11" spans="1:21" customFormat="1">
      <c r="A11" s="49">
        <v>45388.125</v>
      </c>
      <c r="B11" s="50">
        <v>14.83</v>
      </c>
      <c r="C11" s="50">
        <v>29.71</v>
      </c>
      <c r="D11" s="50">
        <v>28.77</v>
      </c>
      <c r="E11" s="50">
        <v>14.49</v>
      </c>
      <c r="F11" s="50">
        <v>3.06</v>
      </c>
      <c r="G11" s="50">
        <v>96.38</v>
      </c>
      <c r="H11" s="50">
        <v>44.07</v>
      </c>
      <c r="I11" s="50">
        <v>12.28</v>
      </c>
      <c r="J11" s="50">
        <v>0.24</v>
      </c>
      <c r="K11" s="50">
        <v>220.16</v>
      </c>
      <c r="L11" s="50">
        <v>27.29</v>
      </c>
      <c r="M11" s="50">
        <v>58.05</v>
      </c>
      <c r="N11" s="50">
        <v>0</v>
      </c>
      <c r="O11" s="50">
        <v>0</v>
      </c>
      <c r="P11" s="50">
        <v>1.0900000000000001</v>
      </c>
      <c r="Q11" s="50">
        <v>5.07</v>
      </c>
    </row>
    <row r="12" spans="1:21" customFormat="1">
      <c r="A12" s="49">
        <v>45388.166666666664</v>
      </c>
      <c r="B12" s="50">
        <v>14.34</v>
      </c>
      <c r="C12" s="50">
        <v>28.8</v>
      </c>
      <c r="D12" s="50">
        <v>27.9</v>
      </c>
      <c r="E12" s="50">
        <v>13.26</v>
      </c>
      <c r="F12" s="50">
        <v>3.06</v>
      </c>
      <c r="G12" s="50">
        <v>96.38</v>
      </c>
      <c r="H12" s="50">
        <v>44.07</v>
      </c>
      <c r="I12" s="50">
        <v>12.82</v>
      </c>
      <c r="J12" s="50">
        <v>0.17</v>
      </c>
      <c r="K12" s="50">
        <v>212.41</v>
      </c>
      <c r="L12" s="50">
        <v>26.18</v>
      </c>
      <c r="M12" s="50">
        <v>60.02</v>
      </c>
      <c r="N12" s="50">
        <v>0</v>
      </c>
      <c r="O12" s="50">
        <v>0</v>
      </c>
      <c r="P12" s="50">
        <v>1.0900000000000001</v>
      </c>
      <c r="Q12" s="50">
        <v>5.07</v>
      </c>
    </row>
    <row r="13" spans="1:21" customFormat="1">
      <c r="A13" s="49">
        <v>45388.208333333336</v>
      </c>
      <c r="B13" s="50">
        <v>13.4</v>
      </c>
      <c r="C13" s="50">
        <v>27.47</v>
      </c>
      <c r="D13" s="50">
        <v>26.45</v>
      </c>
      <c r="E13" s="50">
        <v>13.68</v>
      </c>
      <c r="F13" s="50">
        <v>3.14</v>
      </c>
      <c r="G13" s="50">
        <v>91.65</v>
      </c>
      <c r="H13" s="50">
        <v>41.41</v>
      </c>
      <c r="I13" s="50">
        <v>13.82</v>
      </c>
      <c r="J13" s="50">
        <v>0.22</v>
      </c>
      <c r="K13" s="50">
        <v>221.14</v>
      </c>
      <c r="L13" s="50">
        <v>25.52</v>
      </c>
      <c r="M13" s="50">
        <v>64.62</v>
      </c>
      <c r="N13" s="50">
        <v>0</v>
      </c>
      <c r="O13" s="50">
        <v>0</v>
      </c>
      <c r="P13" s="50">
        <v>1.0900000000000001</v>
      </c>
      <c r="Q13" s="50">
        <v>5.0599999999999996</v>
      </c>
    </row>
    <row r="14" spans="1:21" customFormat="1">
      <c r="A14" s="49">
        <v>45388.25</v>
      </c>
      <c r="B14" s="50">
        <v>12.82</v>
      </c>
      <c r="C14" s="50">
        <v>26.35</v>
      </c>
      <c r="D14" s="50">
        <v>25.4</v>
      </c>
      <c r="E14" s="50">
        <v>13.25</v>
      </c>
      <c r="F14" s="50">
        <v>2.93</v>
      </c>
      <c r="G14" s="50">
        <v>84.83</v>
      </c>
      <c r="H14" s="50">
        <v>38.46</v>
      </c>
      <c r="I14" s="50">
        <v>14.25</v>
      </c>
      <c r="J14" s="50">
        <v>0.21</v>
      </c>
      <c r="K14" s="50">
        <v>202.36</v>
      </c>
      <c r="L14" s="50">
        <v>24.72</v>
      </c>
      <c r="M14" s="50">
        <v>64.45</v>
      </c>
      <c r="N14" s="50">
        <v>1.3</v>
      </c>
      <c r="O14" s="50">
        <v>0</v>
      </c>
      <c r="P14" s="50">
        <v>1.07</v>
      </c>
      <c r="Q14" s="50">
        <v>5.07</v>
      </c>
    </row>
    <row r="15" spans="1:21" customFormat="1">
      <c r="A15" s="49">
        <v>45388.291666666664</v>
      </c>
      <c r="B15" s="50">
        <v>12.13</v>
      </c>
      <c r="C15" s="50">
        <v>25.84</v>
      </c>
      <c r="D15" s="50">
        <v>24.55</v>
      </c>
      <c r="E15" s="50">
        <v>13.48</v>
      </c>
      <c r="F15" s="50">
        <v>3.06</v>
      </c>
      <c r="G15" s="50">
        <v>80.91</v>
      </c>
      <c r="H15" s="50">
        <v>37.51</v>
      </c>
      <c r="I15" s="50">
        <v>14.49</v>
      </c>
      <c r="J15" s="50">
        <v>0.25</v>
      </c>
      <c r="K15" s="50">
        <v>185.22</v>
      </c>
      <c r="L15" s="50">
        <v>26.27</v>
      </c>
      <c r="M15" s="50">
        <v>62.51</v>
      </c>
      <c r="N15" s="50">
        <v>49.8</v>
      </c>
      <c r="O15" s="50">
        <v>0</v>
      </c>
      <c r="P15" s="50">
        <v>1.06</v>
      </c>
      <c r="Q15" s="50">
        <v>5.05</v>
      </c>
    </row>
    <row r="16" spans="1:21" customFormat="1">
      <c r="A16" s="49">
        <v>45388.333333333336</v>
      </c>
      <c r="B16" s="50">
        <v>10.93</v>
      </c>
      <c r="C16" s="50">
        <v>25.66</v>
      </c>
      <c r="D16" s="50">
        <v>23.52</v>
      </c>
      <c r="E16" s="50">
        <v>16.79</v>
      </c>
      <c r="F16" s="50">
        <v>12.43</v>
      </c>
      <c r="G16" s="50">
        <v>78.13</v>
      </c>
      <c r="H16" s="50">
        <v>36.26</v>
      </c>
      <c r="I16" s="50">
        <v>14.53</v>
      </c>
      <c r="J16" s="50">
        <v>0.36</v>
      </c>
      <c r="K16" s="50">
        <v>215.22</v>
      </c>
      <c r="L16" s="50">
        <v>30.06</v>
      </c>
      <c r="M16" s="50">
        <v>56.01</v>
      </c>
      <c r="N16" s="50">
        <v>227.5</v>
      </c>
      <c r="O16" s="50">
        <v>0</v>
      </c>
      <c r="P16" s="50">
        <v>1.07</v>
      </c>
      <c r="Q16" s="50">
        <v>5.0599999999999996</v>
      </c>
    </row>
    <row r="17" spans="1:17" customFormat="1">
      <c r="A17" s="49">
        <v>45388.375</v>
      </c>
      <c r="B17" s="50">
        <v>3.09</v>
      </c>
      <c r="C17" s="50">
        <v>22.97</v>
      </c>
      <c r="D17" s="50">
        <v>15.63</v>
      </c>
      <c r="E17" s="50">
        <v>23.76</v>
      </c>
      <c r="F17" s="50">
        <v>22.89</v>
      </c>
      <c r="G17" s="50">
        <v>82.78</v>
      </c>
      <c r="H17" s="50">
        <v>39.15</v>
      </c>
      <c r="I17" s="50">
        <v>13.11</v>
      </c>
      <c r="J17" s="50">
        <v>0.46</v>
      </c>
      <c r="K17" s="50">
        <v>253.68</v>
      </c>
      <c r="L17" s="50">
        <v>33.49</v>
      </c>
      <c r="M17" s="50">
        <v>40.25</v>
      </c>
      <c r="N17" s="50">
        <v>253.2</v>
      </c>
      <c r="O17" s="50">
        <v>0</v>
      </c>
      <c r="P17" s="50">
        <v>1.1200000000000001</v>
      </c>
      <c r="Q17" s="50">
        <v>5.0199999999999996</v>
      </c>
    </row>
    <row r="18" spans="1:17" customFormat="1">
      <c r="A18" s="49">
        <v>45388.416666666664</v>
      </c>
      <c r="B18" s="50">
        <v>4.29</v>
      </c>
      <c r="C18" s="50">
        <v>24.41</v>
      </c>
      <c r="D18" s="50">
        <v>17.54</v>
      </c>
      <c r="E18" s="50">
        <v>51.13</v>
      </c>
      <c r="F18" s="50">
        <v>66.25</v>
      </c>
      <c r="G18" s="50">
        <v>82.78</v>
      </c>
      <c r="H18" s="50">
        <v>39.15</v>
      </c>
      <c r="I18" s="50">
        <v>13.21</v>
      </c>
      <c r="J18" s="50">
        <v>0.73</v>
      </c>
      <c r="K18" s="50">
        <v>294.22000000000003</v>
      </c>
      <c r="L18" s="50">
        <v>35.729999999999997</v>
      </c>
      <c r="M18" s="50">
        <v>30.14</v>
      </c>
      <c r="N18" s="50">
        <v>532.79999999999995</v>
      </c>
      <c r="O18" s="50">
        <v>0</v>
      </c>
      <c r="P18" s="50">
        <v>1.1200000000000001</v>
      </c>
      <c r="Q18" s="50">
        <v>5.0199999999999996</v>
      </c>
    </row>
    <row r="19" spans="1:17" customFormat="1">
      <c r="A19" s="49">
        <v>45388.458333333336</v>
      </c>
      <c r="B19" s="50">
        <v>3.26</v>
      </c>
      <c r="C19" s="50">
        <v>20.3</v>
      </c>
      <c r="D19" s="50">
        <v>13.75</v>
      </c>
      <c r="E19" s="50">
        <v>66.31</v>
      </c>
      <c r="F19" s="50">
        <v>89.68</v>
      </c>
      <c r="G19" s="50">
        <v>249.08</v>
      </c>
      <c r="H19" s="50">
        <v>56.27</v>
      </c>
      <c r="I19" s="50">
        <v>11.58</v>
      </c>
      <c r="J19" s="50">
        <v>0.56000000000000005</v>
      </c>
      <c r="K19" s="50">
        <v>354.28</v>
      </c>
      <c r="L19" s="50">
        <v>37.729999999999997</v>
      </c>
      <c r="M19" s="50">
        <v>23.27</v>
      </c>
      <c r="N19" s="50">
        <v>672.1</v>
      </c>
      <c r="O19" s="50">
        <v>0</v>
      </c>
      <c r="P19" s="50">
        <v>0.79</v>
      </c>
      <c r="Q19" s="50">
        <v>5.01</v>
      </c>
    </row>
    <row r="20" spans="1:17" customFormat="1">
      <c r="A20" s="49">
        <v>45388.5</v>
      </c>
      <c r="B20" s="50">
        <v>3.32</v>
      </c>
      <c r="C20" s="50">
        <v>20.16</v>
      </c>
      <c r="D20" s="50">
        <v>13.55</v>
      </c>
      <c r="E20" s="50">
        <v>52.91</v>
      </c>
      <c r="F20" s="50">
        <v>115.24</v>
      </c>
      <c r="G20" s="50">
        <v>249.08</v>
      </c>
      <c r="H20" s="50">
        <v>128.22999999999999</v>
      </c>
      <c r="I20" s="50">
        <v>8.0500000000000007</v>
      </c>
      <c r="J20" s="50">
        <v>0.86</v>
      </c>
      <c r="K20" s="50">
        <v>326.11</v>
      </c>
      <c r="L20" s="50">
        <v>39.08</v>
      </c>
      <c r="M20" s="50">
        <v>20.43</v>
      </c>
      <c r="N20" s="50">
        <v>729</v>
      </c>
      <c r="O20" s="50">
        <v>0</v>
      </c>
      <c r="P20" s="50">
        <v>0.8</v>
      </c>
      <c r="Q20" s="50">
        <v>4.9800000000000004</v>
      </c>
    </row>
    <row r="21" spans="1:17" customFormat="1">
      <c r="A21" s="49">
        <v>45388.541666666664</v>
      </c>
      <c r="B21" s="50">
        <v>3.44</v>
      </c>
      <c r="C21" s="50">
        <v>20.76</v>
      </c>
      <c r="D21" s="50">
        <v>14.91</v>
      </c>
      <c r="E21" s="50">
        <v>44.13</v>
      </c>
      <c r="F21" s="50">
        <v>83.12</v>
      </c>
      <c r="G21" s="50">
        <v>147.30000000000001</v>
      </c>
      <c r="H21" s="50">
        <v>128.22999999999999</v>
      </c>
      <c r="I21" s="50">
        <v>7.21</v>
      </c>
      <c r="J21" s="50">
        <v>0.85</v>
      </c>
      <c r="K21" s="50">
        <v>342.03</v>
      </c>
      <c r="L21" s="50">
        <v>39.58</v>
      </c>
      <c r="M21" s="50">
        <v>17.260000000000002</v>
      </c>
      <c r="N21" s="50">
        <v>751.8</v>
      </c>
      <c r="O21" s="50">
        <v>0</v>
      </c>
      <c r="P21" s="50">
        <v>0.71</v>
      </c>
      <c r="Q21" s="50">
        <v>5.0199999999999996</v>
      </c>
    </row>
    <row r="22" spans="1:17" customFormat="1">
      <c r="A22" s="49">
        <v>45388.583333333336</v>
      </c>
      <c r="B22" s="50">
        <v>4.3899999999999997</v>
      </c>
      <c r="C22" s="50">
        <v>22.94</v>
      </c>
      <c r="D22" s="50">
        <v>16.350000000000001</v>
      </c>
      <c r="E22" s="50">
        <v>15.67</v>
      </c>
      <c r="F22" s="50">
        <v>33.840000000000003</v>
      </c>
      <c r="G22" s="50">
        <v>82.65</v>
      </c>
      <c r="H22" s="50">
        <v>24.64</v>
      </c>
      <c r="I22" s="50">
        <v>6.38</v>
      </c>
      <c r="J22" s="50">
        <v>0.89</v>
      </c>
      <c r="K22" s="50">
        <v>355.66</v>
      </c>
      <c r="L22" s="50">
        <v>40.97</v>
      </c>
      <c r="M22" s="50">
        <v>14.64</v>
      </c>
      <c r="N22" s="50">
        <v>735.7</v>
      </c>
      <c r="O22" s="50">
        <v>0</v>
      </c>
      <c r="P22" s="50">
        <v>0.63</v>
      </c>
      <c r="Q22" s="50">
        <v>5.0199999999999996</v>
      </c>
    </row>
    <row r="23" spans="1:17" customFormat="1">
      <c r="A23" s="49">
        <v>45388.625</v>
      </c>
      <c r="B23" s="50">
        <v>4.43</v>
      </c>
      <c r="C23" s="50">
        <v>22.2</v>
      </c>
      <c r="D23" s="50">
        <v>16.45</v>
      </c>
      <c r="E23" s="50">
        <v>14.51</v>
      </c>
      <c r="F23" s="50">
        <v>26.08</v>
      </c>
      <c r="G23" s="50">
        <v>63.26</v>
      </c>
      <c r="H23" s="50">
        <v>26.7</v>
      </c>
      <c r="I23" s="50">
        <v>5.88</v>
      </c>
      <c r="J23" s="50">
        <v>1.44</v>
      </c>
      <c r="K23" s="50">
        <v>330.79</v>
      </c>
      <c r="L23" s="50">
        <v>41.12</v>
      </c>
      <c r="M23" s="50">
        <v>13.76</v>
      </c>
      <c r="N23" s="50">
        <v>632.9</v>
      </c>
      <c r="O23" s="50">
        <v>0</v>
      </c>
      <c r="P23" s="50">
        <v>0.57999999999999996</v>
      </c>
      <c r="Q23" s="50">
        <v>5.01</v>
      </c>
    </row>
    <row r="24" spans="1:17" customFormat="1">
      <c r="A24" s="49">
        <v>45388.666666666664</v>
      </c>
      <c r="B24" s="50">
        <v>4.84</v>
      </c>
      <c r="C24" s="50">
        <v>21.04</v>
      </c>
      <c r="D24" s="50">
        <v>16.05</v>
      </c>
      <c r="E24" s="50">
        <v>17.14</v>
      </c>
      <c r="F24" s="50">
        <v>36.229999999999997</v>
      </c>
      <c r="G24" s="50">
        <v>62.13</v>
      </c>
      <c r="H24" s="50">
        <v>26.7</v>
      </c>
      <c r="I24" s="50">
        <v>5.55</v>
      </c>
      <c r="J24" s="50">
        <v>1.03</v>
      </c>
      <c r="K24" s="50">
        <v>319.82</v>
      </c>
      <c r="L24" s="50">
        <v>41.03</v>
      </c>
      <c r="M24" s="50">
        <v>14.45</v>
      </c>
      <c r="N24" s="50">
        <v>490.6</v>
      </c>
      <c r="O24" s="50">
        <v>0</v>
      </c>
      <c r="P24" s="50">
        <v>0.54</v>
      </c>
      <c r="Q24" s="50">
        <v>5</v>
      </c>
    </row>
    <row r="25" spans="1:17" customFormat="1">
      <c r="A25" s="49">
        <v>45388.708333333336</v>
      </c>
      <c r="B25" s="50">
        <v>5.07</v>
      </c>
      <c r="C25" s="50">
        <v>20.52</v>
      </c>
      <c r="D25" s="50">
        <v>16.14</v>
      </c>
      <c r="E25" s="50">
        <v>19.03</v>
      </c>
      <c r="F25" s="50">
        <v>67.22</v>
      </c>
      <c r="G25" s="50">
        <v>52.63</v>
      </c>
      <c r="H25" s="50">
        <v>17.100000000000001</v>
      </c>
      <c r="I25" s="50">
        <v>5.0599999999999996</v>
      </c>
      <c r="J25" s="50">
        <v>0.61</v>
      </c>
      <c r="K25" s="50">
        <v>279.02</v>
      </c>
      <c r="L25" s="50">
        <v>40.700000000000003</v>
      </c>
      <c r="M25" s="50">
        <v>18.03</v>
      </c>
      <c r="N25" s="50">
        <v>284.2</v>
      </c>
      <c r="O25" s="50">
        <v>0</v>
      </c>
      <c r="P25" s="50">
        <v>0.5</v>
      </c>
      <c r="Q25" s="50">
        <v>5.01</v>
      </c>
    </row>
    <row r="26" spans="1:17" customFormat="1">
      <c r="A26" s="49">
        <v>45388.75</v>
      </c>
      <c r="B26" s="50">
        <v>4.6399999999999997</v>
      </c>
      <c r="C26" s="50">
        <v>16.440000000000001</v>
      </c>
      <c r="D26" s="50">
        <v>13.63</v>
      </c>
      <c r="E26" s="50">
        <v>24.92</v>
      </c>
      <c r="F26" s="50">
        <v>67.69</v>
      </c>
      <c r="G26" s="50">
        <v>52.63</v>
      </c>
      <c r="H26" s="50">
        <v>19.149999999999999</v>
      </c>
      <c r="I26" s="50">
        <v>4.6900000000000004</v>
      </c>
      <c r="J26" s="50">
        <v>0.26</v>
      </c>
      <c r="K26" s="50">
        <v>174.57</v>
      </c>
      <c r="L26" s="50">
        <v>38.020000000000003</v>
      </c>
      <c r="M26" s="50">
        <v>24.62</v>
      </c>
      <c r="N26" s="50">
        <v>30.3</v>
      </c>
      <c r="O26" s="50">
        <v>0</v>
      </c>
      <c r="P26" s="50">
        <v>0.59</v>
      </c>
      <c r="Q26" s="50">
        <v>5</v>
      </c>
    </row>
    <row r="27" spans="1:17" customFormat="1">
      <c r="A27" s="49">
        <v>45388.791666666664</v>
      </c>
      <c r="B27" s="50">
        <v>16.29</v>
      </c>
      <c r="C27" s="50">
        <v>43.19</v>
      </c>
      <c r="D27" s="50">
        <v>36.979999999999997</v>
      </c>
      <c r="E27" s="50">
        <v>22.36</v>
      </c>
      <c r="F27" s="50">
        <v>28.25</v>
      </c>
      <c r="G27" s="50">
        <v>138.47</v>
      </c>
      <c r="H27" s="50">
        <v>31.86</v>
      </c>
      <c r="I27" s="50">
        <v>8.4600000000000009</v>
      </c>
      <c r="J27" s="50">
        <v>0.44</v>
      </c>
      <c r="K27" s="50">
        <v>353.93</v>
      </c>
      <c r="L27" s="50">
        <v>35.4</v>
      </c>
      <c r="M27" s="50">
        <v>30.75</v>
      </c>
      <c r="N27" s="50">
        <v>0</v>
      </c>
      <c r="O27" s="50">
        <v>0</v>
      </c>
      <c r="P27" s="50">
        <v>1.1200000000000001</v>
      </c>
      <c r="Q27" s="50">
        <v>5.0199999999999996</v>
      </c>
    </row>
    <row r="28" spans="1:17" customFormat="1">
      <c r="A28" s="49">
        <v>45388.833333333336</v>
      </c>
      <c r="B28" s="50">
        <v>18.079999999999998</v>
      </c>
      <c r="C28" s="50">
        <v>38.299999999999997</v>
      </c>
      <c r="D28" s="50">
        <v>35.86</v>
      </c>
      <c r="E28" s="50">
        <v>43.48</v>
      </c>
      <c r="F28" s="50">
        <v>21.4</v>
      </c>
      <c r="G28" s="50">
        <v>138.47</v>
      </c>
      <c r="H28" s="50">
        <v>31.86</v>
      </c>
      <c r="I28" s="50">
        <v>8.8000000000000007</v>
      </c>
      <c r="J28" s="50">
        <v>0.63</v>
      </c>
      <c r="K28" s="50">
        <v>320.79000000000002</v>
      </c>
      <c r="L28" s="50">
        <v>35.619999999999997</v>
      </c>
      <c r="M28" s="50">
        <v>23.92</v>
      </c>
      <c r="N28" s="50">
        <v>0</v>
      </c>
      <c r="O28" s="50">
        <v>0</v>
      </c>
      <c r="P28" s="50">
        <v>1.05</v>
      </c>
      <c r="Q28" s="50">
        <v>5.03</v>
      </c>
    </row>
    <row r="29" spans="1:17" customFormat="1">
      <c r="A29" s="49">
        <v>45388.875</v>
      </c>
      <c r="B29" s="50">
        <v>14.83</v>
      </c>
      <c r="C29" s="50">
        <v>34.909999999999997</v>
      </c>
      <c r="D29" s="50">
        <v>31.48</v>
      </c>
      <c r="E29" s="50">
        <v>51.05</v>
      </c>
      <c r="F29" s="50">
        <v>27.47</v>
      </c>
      <c r="G29" s="50">
        <v>121.44</v>
      </c>
      <c r="H29" s="50">
        <v>38.72</v>
      </c>
      <c r="I29" s="50">
        <v>8.86</v>
      </c>
      <c r="J29" s="50">
        <v>0.65</v>
      </c>
      <c r="K29" s="50">
        <v>355.57</v>
      </c>
      <c r="L29" s="50">
        <v>34.36</v>
      </c>
      <c r="M29" s="50">
        <v>24.95</v>
      </c>
      <c r="N29" s="50">
        <v>0</v>
      </c>
      <c r="O29" s="50">
        <v>0</v>
      </c>
      <c r="P29" s="50">
        <v>1.02</v>
      </c>
      <c r="Q29" s="50">
        <v>5.05</v>
      </c>
    </row>
    <row r="30" spans="1:17" customFormat="1">
      <c r="A30" s="49">
        <v>45388.916666666664</v>
      </c>
      <c r="B30" s="50">
        <v>10.91</v>
      </c>
      <c r="C30" s="50">
        <v>30.37</v>
      </c>
      <c r="D30" s="50">
        <v>25.93</v>
      </c>
      <c r="E30" s="50">
        <v>20.350000000000001</v>
      </c>
      <c r="F30" s="50">
        <v>24.41</v>
      </c>
      <c r="G30" s="50">
        <v>121.44</v>
      </c>
      <c r="H30" s="50">
        <v>38.72</v>
      </c>
      <c r="I30" s="50">
        <v>6.88</v>
      </c>
      <c r="J30" s="50">
        <v>0.41</v>
      </c>
      <c r="K30" s="50">
        <v>166.56</v>
      </c>
      <c r="L30" s="50">
        <v>33.369999999999997</v>
      </c>
      <c r="M30" s="50">
        <v>33.159999999999997</v>
      </c>
      <c r="N30" s="50">
        <v>0</v>
      </c>
      <c r="O30" s="50">
        <v>0</v>
      </c>
      <c r="P30" s="50">
        <v>0.83</v>
      </c>
      <c r="Q30" s="50">
        <v>5.04</v>
      </c>
    </row>
    <row r="31" spans="1:17" customFormat="1">
      <c r="A31" s="49">
        <v>45388.958333333336</v>
      </c>
      <c r="B31" s="50">
        <v>11.03</v>
      </c>
      <c r="C31" s="50">
        <v>31.35</v>
      </c>
      <c r="D31" s="50">
        <v>26.57</v>
      </c>
      <c r="E31" s="50">
        <v>18.02</v>
      </c>
      <c r="F31" s="50">
        <v>7.69</v>
      </c>
      <c r="G31" s="50">
        <v>87.83</v>
      </c>
      <c r="H31" s="50">
        <v>36.76</v>
      </c>
      <c r="I31" s="50">
        <v>7.07</v>
      </c>
      <c r="J31" s="50">
        <v>0.18</v>
      </c>
      <c r="K31" s="50">
        <v>211.07</v>
      </c>
      <c r="L31" s="50">
        <v>31.07</v>
      </c>
      <c r="M31" s="50">
        <v>41.16</v>
      </c>
      <c r="N31" s="50">
        <v>0</v>
      </c>
      <c r="O31" s="50">
        <v>0</v>
      </c>
      <c r="P31" s="50">
        <v>0.86</v>
      </c>
      <c r="Q31" s="50">
        <v>5.0599999999999996</v>
      </c>
    </row>
    <row r="32" spans="1:17" customFormat="1">
      <c r="A32" s="49">
        <v>45389</v>
      </c>
      <c r="B32" s="50">
        <v>27.86</v>
      </c>
      <c r="C32" s="50">
        <v>36.75</v>
      </c>
      <c r="D32" s="50">
        <v>42.38</v>
      </c>
      <c r="E32" s="50">
        <v>20.93</v>
      </c>
      <c r="F32" s="50">
        <v>3.11</v>
      </c>
      <c r="G32" s="50">
        <v>123.46</v>
      </c>
      <c r="H32" s="50">
        <v>36.76</v>
      </c>
      <c r="I32" s="50">
        <v>7.29</v>
      </c>
      <c r="J32" s="50">
        <v>0.28000000000000003</v>
      </c>
      <c r="K32" s="50">
        <v>215.61</v>
      </c>
      <c r="L32" s="50">
        <v>29.77</v>
      </c>
      <c r="M32" s="50">
        <v>45.67</v>
      </c>
      <c r="N32" s="50">
        <v>0</v>
      </c>
      <c r="O32" s="50">
        <v>0</v>
      </c>
      <c r="P32" s="50">
        <v>0.94</v>
      </c>
      <c r="Q32" s="50">
        <v>5.08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3.09</v>
      </c>
      <c r="C34" s="40">
        <f t="shared" si="0"/>
        <v>16.440000000000001</v>
      </c>
      <c r="D34" s="40">
        <f t="shared" si="0"/>
        <v>13.55</v>
      </c>
      <c r="E34" s="40">
        <f t="shared" si="0"/>
        <v>12.16</v>
      </c>
      <c r="F34" s="40">
        <f t="shared" si="0"/>
        <v>2.93</v>
      </c>
      <c r="G34" s="40">
        <f t="shared" si="0"/>
        <v>52.63</v>
      </c>
      <c r="H34" s="40">
        <f t="shared" si="0"/>
        <v>17.100000000000001</v>
      </c>
      <c r="I34" s="40">
        <f t="shared" si="0"/>
        <v>4.6900000000000004</v>
      </c>
      <c r="J34" s="40">
        <f t="shared" si="0"/>
        <v>0.17</v>
      </c>
      <c r="K34" s="40">
        <f t="shared" si="0"/>
        <v>166.56</v>
      </c>
      <c r="L34" s="40">
        <f t="shared" si="0"/>
        <v>24.72</v>
      </c>
      <c r="M34" s="40">
        <f t="shared" si="0"/>
        <v>13.76</v>
      </c>
      <c r="N34" s="40">
        <f t="shared" si="0"/>
        <v>0</v>
      </c>
      <c r="O34" s="40">
        <f t="shared" si="0"/>
        <v>0</v>
      </c>
      <c r="P34" s="40">
        <f t="shared" si="0"/>
        <v>0.5</v>
      </c>
      <c r="Q34" s="40">
        <f t="shared" si="0"/>
        <v>4.9800000000000004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27.86</v>
      </c>
      <c r="C35" s="33">
        <f t="shared" si="1"/>
        <v>43.19</v>
      </c>
      <c r="D35" s="33">
        <f t="shared" si="1"/>
        <v>42.38</v>
      </c>
      <c r="E35" s="33">
        <f t="shared" si="1"/>
        <v>66.31</v>
      </c>
      <c r="F35" s="33">
        <f t="shared" si="1"/>
        <v>115.24</v>
      </c>
      <c r="G35" s="33">
        <f t="shared" si="1"/>
        <v>249.08</v>
      </c>
      <c r="H35" s="33">
        <f t="shared" si="1"/>
        <v>128.22999999999999</v>
      </c>
      <c r="I35" s="33">
        <f t="shared" si="1"/>
        <v>14.53</v>
      </c>
      <c r="J35" s="33">
        <f t="shared" si="1"/>
        <v>1.44</v>
      </c>
      <c r="K35" s="33">
        <f t="shared" si="1"/>
        <v>355.66</v>
      </c>
      <c r="L35" s="33">
        <f t="shared" si="1"/>
        <v>41.12</v>
      </c>
      <c r="M35" s="33">
        <f t="shared" si="1"/>
        <v>64.62</v>
      </c>
      <c r="N35" s="33">
        <f t="shared" si="1"/>
        <v>751.8</v>
      </c>
      <c r="O35" s="33">
        <f t="shared" si="1"/>
        <v>0</v>
      </c>
      <c r="P35" s="33">
        <f t="shared" si="1"/>
        <v>1.1200000000000001</v>
      </c>
      <c r="Q35" s="33">
        <f t="shared" si="1"/>
        <v>5.08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10.46125</v>
      </c>
      <c r="C36" s="40">
        <f t="shared" si="2"/>
        <v>27.146666666666665</v>
      </c>
      <c r="D36" s="40">
        <f t="shared" si="2"/>
        <v>23.780833333333337</v>
      </c>
      <c r="E36" s="40">
        <f t="shared" si="2"/>
        <v>25.945833333333329</v>
      </c>
      <c r="F36" s="40">
        <f t="shared" si="2"/>
        <v>31.511250000000004</v>
      </c>
      <c r="G36" s="40">
        <f t="shared" si="2"/>
        <v>106.06541666666668</v>
      </c>
      <c r="H36" s="40">
        <f t="shared" si="2"/>
        <v>42.967916666666675</v>
      </c>
      <c r="I36" s="40">
        <f t="shared" si="2"/>
        <v>9.7158333333333342</v>
      </c>
      <c r="J36" s="40">
        <f t="shared" si="2"/>
        <v>0.5149999999999999</v>
      </c>
      <c r="K36" s="40">
        <f t="shared" si="2"/>
        <v>261.505</v>
      </c>
      <c r="L36" s="40">
        <f t="shared" si="2"/>
        <v>33.561250000000001</v>
      </c>
      <c r="M36" s="40">
        <f t="shared" si="2"/>
        <v>36.426249999999996</v>
      </c>
      <c r="N36" s="40">
        <f t="shared" si="2"/>
        <v>224.63333333333333</v>
      </c>
      <c r="O36" s="40">
        <f t="shared" si="2"/>
        <v>0</v>
      </c>
      <c r="P36" s="40">
        <f t="shared" si="2"/>
        <v>0.90875000000000006</v>
      </c>
      <c r="Q36" s="40">
        <f t="shared" si="2"/>
        <v>5.0354166666666664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6.4311607664828134</v>
      </c>
      <c r="C37" s="40">
        <f t="shared" ref="C37:Q37" si="3">STDEV(C9:C32)</f>
        <v>6.5899235772217617</v>
      </c>
      <c r="D37" s="40">
        <f t="shared" si="3"/>
        <v>8.3427609425733511</v>
      </c>
      <c r="E37" s="40">
        <f t="shared" si="3"/>
        <v>15.918783249511499</v>
      </c>
      <c r="F37" s="40">
        <f t="shared" si="3"/>
        <v>32.611794653828525</v>
      </c>
      <c r="G37" s="40">
        <f t="shared" si="3"/>
        <v>51.378696903201167</v>
      </c>
      <c r="H37" s="40">
        <f t="shared" si="3"/>
        <v>27.573069088320114</v>
      </c>
      <c r="I37" s="40">
        <f t="shared" si="3"/>
        <v>3.3400571677829016</v>
      </c>
      <c r="J37" s="40">
        <f t="shared" si="3"/>
        <v>0.32185603046676969</v>
      </c>
      <c r="K37" s="40">
        <f t="shared" si="3"/>
        <v>68.984046674953618</v>
      </c>
      <c r="L37" s="40">
        <f t="shared" si="3"/>
        <v>5.5030357728613186</v>
      </c>
      <c r="M37" s="40">
        <f t="shared" si="3"/>
        <v>17.579338121907444</v>
      </c>
      <c r="N37" s="40">
        <f t="shared" si="3"/>
        <v>295.15924024405757</v>
      </c>
      <c r="O37" s="40">
        <f t="shared" si="3"/>
        <v>0</v>
      </c>
      <c r="P37" s="40">
        <f t="shared" si="3"/>
        <v>0.21446216854991124</v>
      </c>
      <c r="Q37" s="40">
        <f t="shared" si="3"/>
        <v>2.7816036454857723E-2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45389.041666666664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45389.041666666664</v>
      </c>
      <c r="B9" s="50">
        <v>22.33</v>
      </c>
      <c r="C9" s="50">
        <v>33.08</v>
      </c>
      <c r="D9" s="50">
        <v>36.54</v>
      </c>
      <c r="E9" s="50">
        <v>11.25</v>
      </c>
      <c r="F9" s="50">
        <v>3.21</v>
      </c>
      <c r="G9" s="50">
        <v>123.46</v>
      </c>
      <c r="H9" s="50">
        <v>38.200000000000003</v>
      </c>
      <c r="I9" s="50">
        <v>7.69</v>
      </c>
      <c r="J9" s="50">
        <v>0.26</v>
      </c>
      <c r="K9" s="50">
        <v>197.69</v>
      </c>
      <c r="L9" s="50">
        <v>28.65</v>
      </c>
      <c r="M9" s="50">
        <v>50.48</v>
      </c>
      <c r="N9" s="50">
        <v>0</v>
      </c>
      <c r="O9" s="50">
        <v>0</v>
      </c>
      <c r="P9" s="50">
        <v>0.92</v>
      </c>
      <c r="Q9" s="50">
        <v>5.12</v>
      </c>
    </row>
    <row r="10" spans="1:21" customFormat="1">
      <c r="A10" s="49">
        <v>45389.083333333336</v>
      </c>
      <c r="B10" s="50">
        <v>20.94</v>
      </c>
      <c r="C10" s="50">
        <v>31.25</v>
      </c>
      <c r="D10" s="50">
        <v>34.47</v>
      </c>
      <c r="E10" s="50">
        <v>9.5399999999999991</v>
      </c>
      <c r="F10" s="50">
        <v>3.25</v>
      </c>
      <c r="G10" s="50">
        <v>103.1</v>
      </c>
      <c r="H10" s="50">
        <v>38.200000000000003</v>
      </c>
      <c r="I10" s="50">
        <v>7.66</v>
      </c>
      <c r="J10" s="50">
        <v>0.24</v>
      </c>
      <c r="K10" s="50">
        <v>201.92</v>
      </c>
      <c r="L10" s="50">
        <v>27.31</v>
      </c>
      <c r="M10" s="50">
        <v>52.49</v>
      </c>
      <c r="N10" s="50">
        <v>0</v>
      </c>
      <c r="O10" s="50">
        <v>0</v>
      </c>
      <c r="P10" s="50">
        <v>0.9</v>
      </c>
      <c r="Q10" s="50">
        <v>5.12</v>
      </c>
    </row>
    <row r="11" spans="1:21" customFormat="1">
      <c r="A11" s="49">
        <v>45389.125</v>
      </c>
      <c r="B11" s="50">
        <v>18.37</v>
      </c>
      <c r="C11" s="50">
        <v>29.21</v>
      </c>
      <c r="D11" s="50">
        <v>31.34</v>
      </c>
      <c r="E11" s="50">
        <v>13.93</v>
      </c>
      <c r="F11" s="50">
        <v>3.12</v>
      </c>
      <c r="G11" s="50">
        <v>96.03</v>
      </c>
      <c r="H11" s="50">
        <v>30.37</v>
      </c>
      <c r="I11" s="50">
        <v>7.8</v>
      </c>
      <c r="J11" s="50">
        <v>0.22</v>
      </c>
      <c r="K11" s="50">
        <v>209.41</v>
      </c>
      <c r="L11" s="50">
        <v>27.05</v>
      </c>
      <c r="M11" s="50">
        <v>57.14</v>
      </c>
      <c r="N11" s="50">
        <v>0</v>
      </c>
      <c r="O11" s="50">
        <v>0</v>
      </c>
      <c r="P11" s="50">
        <v>0.89</v>
      </c>
      <c r="Q11" s="50">
        <v>5.08</v>
      </c>
    </row>
    <row r="12" spans="1:21" customFormat="1">
      <c r="A12" s="49">
        <v>45389.166666666664</v>
      </c>
      <c r="B12" s="50">
        <v>18.329999999999998</v>
      </c>
      <c r="C12" s="50">
        <v>27.07</v>
      </c>
      <c r="D12" s="50">
        <v>30.03</v>
      </c>
      <c r="E12" s="50">
        <v>14.35</v>
      </c>
      <c r="F12" s="50">
        <v>3.21</v>
      </c>
      <c r="G12" s="50">
        <v>96.03</v>
      </c>
      <c r="H12" s="50">
        <v>30.37</v>
      </c>
      <c r="I12" s="50">
        <v>8</v>
      </c>
      <c r="J12" s="50">
        <v>0.24</v>
      </c>
      <c r="K12" s="50">
        <v>203.5</v>
      </c>
      <c r="L12" s="50">
        <v>25.32</v>
      </c>
      <c r="M12" s="50">
        <v>63.18</v>
      </c>
      <c r="N12" s="50">
        <v>0</v>
      </c>
      <c r="O12" s="50">
        <v>0</v>
      </c>
      <c r="P12" s="50">
        <v>0.88</v>
      </c>
      <c r="Q12" s="50">
        <v>5.07</v>
      </c>
    </row>
    <row r="13" spans="1:21" customFormat="1">
      <c r="A13" s="49">
        <v>45389.208333333336</v>
      </c>
      <c r="B13" s="50">
        <v>19.190000000000001</v>
      </c>
      <c r="C13" s="50">
        <v>26.27</v>
      </c>
      <c r="D13" s="50">
        <v>30.45</v>
      </c>
      <c r="E13" s="50">
        <v>14.45</v>
      </c>
      <c r="F13" s="50">
        <v>3.17</v>
      </c>
      <c r="G13" s="50">
        <v>90.34</v>
      </c>
      <c r="H13" s="50">
        <v>32.81</v>
      </c>
      <c r="I13" s="50">
        <v>8.3000000000000007</v>
      </c>
      <c r="J13" s="50">
        <v>0.22</v>
      </c>
      <c r="K13" s="50">
        <v>236.99</v>
      </c>
      <c r="L13" s="50">
        <v>25.34</v>
      </c>
      <c r="M13" s="50">
        <v>66.790000000000006</v>
      </c>
      <c r="N13" s="50">
        <v>0</v>
      </c>
      <c r="O13" s="50">
        <v>0</v>
      </c>
      <c r="P13" s="50">
        <v>0.88</v>
      </c>
      <c r="Q13" s="50">
        <v>5.07</v>
      </c>
    </row>
    <row r="14" spans="1:21" customFormat="1">
      <c r="A14" s="49">
        <v>45389.25</v>
      </c>
      <c r="B14" s="50">
        <v>19.62</v>
      </c>
      <c r="C14" s="50">
        <v>26.03</v>
      </c>
      <c r="D14" s="50">
        <v>30.63</v>
      </c>
      <c r="E14" s="50">
        <v>13.56</v>
      </c>
      <c r="F14" s="50">
        <v>3.27</v>
      </c>
      <c r="G14" s="50">
        <v>88.67</v>
      </c>
      <c r="H14" s="50">
        <v>32.81</v>
      </c>
      <c r="I14" s="50">
        <v>8.5299999999999994</v>
      </c>
      <c r="J14" s="50">
        <v>0.27</v>
      </c>
      <c r="K14" s="50">
        <v>192.56</v>
      </c>
      <c r="L14" s="50">
        <v>24.85</v>
      </c>
      <c r="M14" s="50">
        <v>68.52</v>
      </c>
      <c r="N14" s="50">
        <v>2.6</v>
      </c>
      <c r="O14" s="50">
        <v>0</v>
      </c>
      <c r="P14" s="50">
        <v>0.88</v>
      </c>
      <c r="Q14" s="50">
        <v>5.08</v>
      </c>
    </row>
    <row r="15" spans="1:21" customFormat="1">
      <c r="A15" s="49">
        <v>45389.291666666664</v>
      </c>
      <c r="B15" s="50">
        <v>19.88</v>
      </c>
      <c r="C15" s="50">
        <v>25.48</v>
      </c>
      <c r="D15" s="50">
        <v>30.59</v>
      </c>
      <c r="E15" s="50">
        <v>14.4</v>
      </c>
      <c r="F15" s="50">
        <v>3.47</v>
      </c>
      <c r="G15" s="50">
        <v>82.81</v>
      </c>
      <c r="H15" s="50">
        <v>30.23</v>
      </c>
      <c r="I15" s="50">
        <v>8.73</v>
      </c>
      <c r="J15" s="50">
        <v>0.16</v>
      </c>
      <c r="K15" s="50">
        <v>355.18</v>
      </c>
      <c r="L15" s="50">
        <v>26.53</v>
      </c>
      <c r="M15" s="50">
        <v>63.97</v>
      </c>
      <c r="N15" s="50">
        <v>57.5</v>
      </c>
      <c r="O15" s="50">
        <v>0</v>
      </c>
      <c r="P15" s="50">
        <v>0.89</v>
      </c>
      <c r="Q15" s="50">
        <v>5.08</v>
      </c>
    </row>
    <row r="16" spans="1:21" customFormat="1">
      <c r="A16" s="49">
        <v>45389.333333333336</v>
      </c>
      <c r="B16" s="50">
        <v>21.71</v>
      </c>
      <c r="C16" s="50">
        <v>28.74</v>
      </c>
      <c r="D16" s="50">
        <v>32.979999999999997</v>
      </c>
      <c r="E16" s="50">
        <v>14.99</v>
      </c>
      <c r="F16" s="50">
        <v>4.25</v>
      </c>
      <c r="G16" s="50">
        <v>175.66</v>
      </c>
      <c r="H16" s="50">
        <v>31.31</v>
      </c>
      <c r="I16" s="50">
        <v>9.2799999999999994</v>
      </c>
      <c r="J16" s="50">
        <v>0.69</v>
      </c>
      <c r="K16" s="50">
        <v>329.92</v>
      </c>
      <c r="L16" s="50">
        <v>29.65</v>
      </c>
      <c r="M16" s="50">
        <v>55.06</v>
      </c>
      <c r="N16" s="50">
        <v>104.3</v>
      </c>
      <c r="O16" s="50">
        <v>0</v>
      </c>
      <c r="P16" s="50">
        <v>0.98</v>
      </c>
      <c r="Q16" s="50">
        <v>5.1100000000000003</v>
      </c>
    </row>
    <row r="17" spans="1:17" customFormat="1">
      <c r="A17" s="49">
        <v>45389.375</v>
      </c>
      <c r="B17" s="50">
        <v>19.399999999999999</v>
      </c>
      <c r="C17" s="50">
        <v>30.74</v>
      </c>
      <c r="D17" s="50">
        <v>32</v>
      </c>
      <c r="E17" s="50">
        <v>16.41</v>
      </c>
      <c r="F17" s="50">
        <v>4.2300000000000004</v>
      </c>
      <c r="G17" s="50">
        <v>188.64</v>
      </c>
      <c r="H17" s="50">
        <v>41.01</v>
      </c>
      <c r="I17" s="50">
        <v>10.02</v>
      </c>
      <c r="J17" s="50">
        <v>2.12</v>
      </c>
      <c r="K17" s="50">
        <v>320.27999999999997</v>
      </c>
      <c r="L17" s="50">
        <v>29.45</v>
      </c>
      <c r="M17" s="50">
        <v>64.31</v>
      </c>
      <c r="N17" s="50">
        <v>91.4</v>
      </c>
      <c r="O17" s="50">
        <v>0.2</v>
      </c>
      <c r="P17" s="50">
        <v>1.01</v>
      </c>
      <c r="Q17" s="50">
        <v>5.1100000000000003</v>
      </c>
    </row>
    <row r="18" spans="1:17" customFormat="1">
      <c r="A18" s="49">
        <v>45389.416666666664</v>
      </c>
      <c r="B18" s="50">
        <v>13.92</v>
      </c>
      <c r="C18" s="50">
        <v>30.29</v>
      </c>
      <c r="D18" s="50">
        <v>28.08</v>
      </c>
      <c r="E18" s="50">
        <v>14.29</v>
      </c>
      <c r="F18" s="50">
        <v>5.46</v>
      </c>
      <c r="G18" s="50">
        <v>188.64</v>
      </c>
      <c r="H18" s="50">
        <v>41.01</v>
      </c>
      <c r="I18" s="50">
        <v>11.05</v>
      </c>
      <c r="J18" s="50">
        <v>0.79</v>
      </c>
      <c r="K18" s="50">
        <v>226.24</v>
      </c>
      <c r="L18" s="50">
        <v>30.37</v>
      </c>
      <c r="M18" s="50">
        <v>57.76</v>
      </c>
      <c r="N18" s="50">
        <v>307.39999999999998</v>
      </c>
      <c r="O18" s="50">
        <v>0</v>
      </c>
      <c r="P18" s="50">
        <v>1.02</v>
      </c>
      <c r="Q18" s="50">
        <v>5.09</v>
      </c>
    </row>
    <row r="19" spans="1:17" customFormat="1">
      <c r="A19" s="49">
        <v>45389.458333333336</v>
      </c>
      <c r="B19" s="50">
        <v>12.47</v>
      </c>
      <c r="C19" s="50">
        <v>32.950000000000003</v>
      </c>
      <c r="D19" s="50">
        <v>28.57</v>
      </c>
      <c r="E19" s="50">
        <v>13.97</v>
      </c>
      <c r="F19" s="50">
        <v>7.22</v>
      </c>
      <c r="G19" s="50">
        <v>104.51</v>
      </c>
      <c r="H19" s="50">
        <v>40.9</v>
      </c>
      <c r="I19" s="50">
        <v>11.9</v>
      </c>
      <c r="J19" s="50">
        <v>1.1100000000000001</v>
      </c>
      <c r="K19" s="50">
        <v>59.15</v>
      </c>
      <c r="L19" s="50">
        <v>30.13</v>
      </c>
      <c r="M19" s="50">
        <v>41.24</v>
      </c>
      <c r="N19" s="50">
        <v>109.9</v>
      </c>
      <c r="O19" s="50">
        <v>0</v>
      </c>
      <c r="P19" s="50">
        <v>1.05</v>
      </c>
      <c r="Q19" s="50">
        <v>5.09</v>
      </c>
    </row>
    <row r="20" spans="1:17" customFormat="1">
      <c r="A20" s="49">
        <v>45389.5</v>
      </c>
      <c r="B20" s="50">
        <v>10.7</v>
      </c>
      <c r="C20" s="50">
        <v>32.840000000000003</v>
      </c>
      <c r="D20" s="50">
        <v>27.09</v>
      </c>
      <c r="E20" s="50">
        <v>14.68</v>
      </c>
      <c r="F20" s="50">
        <v>7.41</v>
      </c>
      <c r="G20" s="50">
        <v>114.97</v>
      </c>
      <c r="H20" s="50">
        <v>38.090000000000003</v>
      </c>
      <c r="I20" s="50">
        <v>12.28</v>
      </c>
      <c r="J20" s="50">
        <v>1.45</v>
      </c>
      <c r="K20" s="50">
        <v>67.52</v>
      </c>
      <c r="L20" s="50">
        <v>29.79</v>
      </c>
      <c r="M20" s="50">
        <v>37.630000000000003</v>
      </c>
      <c r="N20" s="50">
        <v>161.80000000000001</v>
      </c>
      <c r="O20" s="50">
        <v>0</v>
      </c>
      <c r="P20" s="50">
        <v>1.05</v>
      </c>
      <c r="Q20" s="50">
        <v>5.07</v>
      </c>
    </row>
    <row r="21" spans="1:17" customFormat="1">
      <c r="A21" s="49">
        <v>45389.541666666664</v>
      </c>
      <c r="B21" s="50">
        <v>8.7200000000000006</v>
      </c>
      <c r="C21" s="50">
        <v>31.75</v>
      </c>
      <c r="D21" s="50">
        <v>24.93</v>
      </c>
      <c r="E21" s="50">
        <v>15.96</v>
      </c>
      <c r="F21" s="50">
        <v>10.55</v>
      </c>
      <c r="G21" s="50">
        <v>114.97</v>
      </c>
      <c r="H21" s="50">
        <v>39.6</v>
      </c>
      <c r="I21" s="50">
        <v>11.82</v>
      </c>
      <c r="J21" s="50">
        <v>1.34</v>
      </c>
      <c r="K21" s="50">
        <v>74.67</v>
      </c>
      <c r="L21" s="50">
        <v>30.31</v>
      </c>
      <c r="M21" s="50">
        <v>40.200000000000003</v>
      </c>
      <c r="N21" s="50">
        <v>142.5</v>
      </c>
      <c r="O21" s="50">
        <v>0</v>
      </c>
      <c r="P21" s="50">
        <v>1</v>
      </c>
      <c r="Q21" s="50">
        <v>5.0599999999999996</v>
      </c>
    </row>
    <row r="22" spans="1:17" customFormat="1">
      <c r="A22" s="49">
        <v>45389.583333333336</v>
      </c>
      <c r="B22" s="50">
        <v>8.25</v>
      </c>
      <c r="C22" s="50">
        <v>29.18</v>
      </c>
      <c r="D22" s="50">
        <v>23.21</v>
      </c>
      <c r="E22" s="50">
        <v>13.15</v>
      </c>
      <c r="F22" s="50">
        <v>9.0299999999999994</v>
      </c>
      <c r="G22" s="50">
        <v>103.64</v>
      </c>
      <c r="H22" s="50">
        <v>39.6</v>
      </c>
      <c r="I22" s="50">
        <v>11.05</v>
      </c>
      <c r="J22" s="50">
        <v>2.04</v>
      </c>
      <c r="K22" s="50">
        <v>74.8</v>
      </c>
      <c r="L22" s="50">
        <v>31.39</v>
      </c>
      <c r="M22" s="50">
        <v>39.200000000000003</v>
      </c>
      <c r="N22" s="50">
        <v>337.8</v>
      </c>
      <c r="O22" s="50">
        <v>0</v>
      </c>
      <c r="P22" s="50">
        <v>0.96</v>
      </c>
      <c r="Q22" s="50">
        <v>5.03</v>
      </c>
    </row>
    <row r="23" spans="1:17" customFormat="1">
      <c r="A23" s="49">
        <v>45389.625</v>
      </c>
      <c r="B23" s="50">
        <v>7.3</v>
      </c>
      <c r="C23" s="50">
        <v>27.56</v>
      </c>
      <c r="D23" s="50">
        <v>21.6</v>
      </c>
      <c r="E23" s="50">
        <v>13.63</v>
      </c>
      <c r="F23" s="50">
        <v>12.01</v>
      </c>
      <c r="G23" s="50">
        <v>87.61</v>
      </c>
      <c r="H23" s="50">
        <v>32.909999999999997</v>
      </c>
      <c r="I23" s="50">
        <v>10.49</v>
      </c>
      <c r="J23" s="50">
        <v>2.78</v>
      </c>
      <c r="K23" s="50">
        <v>61.46</v>
      </c>
      <c r="L23" s="50">
        <v>33.47</v>
      </c>
      <c r="M23" s="50">
        <v>30.93</v>
      </c>
      <c r="N23" s="50">
        <v>634.70000000000005</v>
      </c>
      <c r="O23" s="50">
        <v>0</v>
      </c>
      <c r="P23" s="50">
        <v>0.79</v>
      </c>
      <c r="Q23" s="50">
        <v>5.04</v>
      </c>
    </row>
    <row r="24" spans="1:17" customFormat="1">
      <c r="A24" s="49">
        <v>45389.666666666664</v>
      </c>
      <c r="B24" s="50">
        <v>5.72</v>
      </c>
      <c r="C24" s="50">
        <v>25.23</v>
      </c>
      <c r="D24" s="50">
        <v>19.12</v>
      </c>
      <c r="E24" s="50">
        <v>12.31</v>
      </c>
      <c r="F24" s="50">
        <v>17.54</v>
      </c>
      <c r="G24" s="50">
        <v>55.69</v>
      </c>
      <c r="H24" s="50">
        <v>24.85</v>
      </c>
      <c r="I24" s="50">
        <v>9.4</v>
      </c>
      <c r="J24" s="50">
        <v>2.72</v>
      </c>
      <c r="K24" s="50">
        <v>62.98</v>
      </c>
      <c r="L24" s="50">
        <v>33.6</v>
      </c>
      <c r="M24" s="50">
        <v>30.67</v>
      </c>
      <c r="N24" s="50">
        <v>370.1</v>
      </c>
      <c r="O24" s="50">
        <v>0</v>
      </c>
      <c r="P24" s="50">
        <v>0.72</v>
      </c>
      <c r="Q24" s="50">
        <v>5.0199999999999996</v>
      </c>
    </row>
    <row r="25" spans="1:17" customFormat="1">
      <c r="A25" s="49">
        <v>45389.708333333336</v>
      </c>
      <c r="B25" s="50">
        <v>5.68</v>
      </c>
      <c r="C25" s="50">
        <v>25.9</v>
      </c>
      <c r="D25" s="50">
        <v>18.649999999999999</v>
      </c>
      <c r="E25" s="50">
        <v>11.41</v>
      </c>
      <c r="F25" s="50">
        <v>13.09</v>
      </c>
      <c r="G25" s="50">
        <v>48.8</v>
      </c>
      <c r="H25" s="50">
        <v>22.31</v>
      </c>
      <c r="I25" s="50">
        <v>8.06</v>
      </c>
      <c r="J25" s="50">
        <v>3.15</v>
      </c>
      <c r="K25" s="50">
        <v>58.28</v>
      </c>
      <c r="L25" s="50">
        <v>31.69</v>
      </c>
      <c r="M25" s="50">
        <v>33.299999999999997</v>
      </c>
      <c r="N25" s="50">
        <v>257.5</v>
      </c>
      <c r="O25" s="50">
        <v>0</v>
      </c>
      <c r="P25" s="50">
        <v>0.62</v>
      </c>
      <c r="Q25" s="50">
        <v>5</v>
      </c>
    </row>
    <row r="26" spans="1:17" customFormat="1">
      <c r="A26" s="49">
        <v>45389.75</v>
      </c>
      <c r="B26" s="50">
        <v>4.67</v>
      </c>
      <c r="C26" s="50">
        <v>23.47</v>
      </c>
      <c r="D26" s="50">
        <v>17.07</v>
      </c>
      <c r="E26" s="50">
        <v>10.77</v>
      </c>
      <c r="F26" s="50">
        <v>10.59</v>
      </c>
      <c r="G26" s="50">
        <v>41.46</v>
      </c>
      <c r="H26" s="50">
        <v>18.39</v>
      </c>
      <c r="I26" s="50">
        <v>7.39</v>
      </c>
      <c r="J26" s="50">
        <v>2.46</v>
      </c>
      <c r="K26" s="50">
        <v>54.12</v>
      </c>
      <c r="L26" s="50">
        <v>30.33</v>
      </c>
      <c r="M26" s="50">
        <v>38.770000000000003</v>
      </c>
      <c r="N26" s="50">
        <v>102.9</v>
      </c>
      <c r="O26" s="50">
        <v>0</v>
      </c>
      <c r="P26" s="50">
        <v>0.56999999999999995</v>
      </c>
      <c r="Q26" s="50">
        <v>5.04</v>
      </c>
    </row>
    <row r="27" spans="1:17" customFormat="1">
      <c r="A27" s="49">
        <v>45389.791666666664</v>
      </c>
      <c r="B27" s="50">
        <v>4.26</v>
      </c>
      <c r="C27" s="50">
        <v>25.07</v>
      </c>
      <c r="D27" s="50">
        <v>17.86</v>
      </c>
      <c r="E27" s="50">
        <v>12</v>
      </c>
      <c r="F27" s="50">
        <v>7.17</v>
      </c>
      <c r="G27" s="50">
        <v>39.33</v>
      </c>
      <c r="H27" s="50">
        <v>13.37</v>
      </c>
      <c r="I27" s="50">
        <v>6.56</v>
      </c>
      <c r="J27" s="50">
        <v>1.76</v>
      </c>
      <c r="K27" s="50">
        <v>74.61</v>
      </c>
      <c r="L27" s="50">
        <v>28.47</v>
      </c>
      <c r="M27" s="50">
        <v>44.42</v>
      </c>
      <c r="N27" s="50">
        <v>0</v>
      </c>
      <c r="O27" s="50">
        <v>0</v>
      </c>
      <c r="P27" s="50">
        <v>0.54</v>
      </c>
      <c r="Q27" s="50">
        <v>5.03</v>
      </c>
    </row>
    <row r="28" spans="1:17" customFormat="1">
      <c r="A28" s="49">
        <v>45389.833333333336</v>
      </c>
      <c r="B28" s="50">
        <v>4.9000000000000004</v>
      </c>
      <c r="C28" s="50">
        <v>25.94</v>
      </c>
      <c r="D28" s="50">
        <v>18.829999999999998</v>
      </c>
      <c r="E28" s="50">
        <v>12.48</v>
      </c>
      <c r="F28" s="50">
        <v>6.65</v>
      </c>
      <c r="G28" s="50">
        <v>50.22</v>
      </c>
      <c r="H28" s="50">
        <v>15.62</v>
      </c>
      <c r="I28" s="50">
        <v>6.13</v>
      </c>
      <c r="J28" s="50">
        <v>1.04</v>
      </c>
      <c r="K28" s="50">
        <v>84.94</v>
      </c>
      <c r="L28" s="50">
        <v>27.7</v>
      </c>
      <c r="M28" s="50">
        <v>48.9</v>
      </c>
      <c r="N28" s="50">
        <v>0</v>
      </c>
      <c r="O28" s="50">
        <v>0</v>
      </c>
      <c r="P28" s="50">
        <v>0.54</v>
      </c>
      <c r="Q28" s="50">
        <v>5.04</v>
      </c>
    </row>
    <row r="29" spans="1:17" customFormat="1">
      <c r="A29" s="49">
        <v>45389.875</v>
      </c>
      <c r="B29" s="50">
        <v>5.15</v>
      </c>
      <c r="C29" s="50">
        <v>26.66</v>
      </c>
      <c r="D29" s="50">
        <v>19.41</v>
      </c>
      <c r="E29" s="50">
        <v>12.98</v>
      </c>
      <c r="F29" s="50">
        <v>4.37</v>
      </c>
      <c r="G29" s="50">
        <v>71.62</v>
      </c>
      <c r="H29" s="50">
        <v>16.22</v>
      </c>
      <c r="I29" s="50">
        <v>6.06</v>
      </c>
      <c r="J29" s="50">
        <v>0.44</v>
      </c>
      <c r="K29" s="50">
        <v>158.69</v>
      </c>
      <c r="L29" s="50">
        <v>27.31</v>
      </c>
      <c r="M29" s="50">
        <v>49.49</v>
      </c>
      <c r="N29" s="50">
        <v>0</v>
      </c>
      <c r="O29" s="50">
        <v>0</v>
      </c>
      <c r="P29" s="50">
        <v>0.56000000000000005</v>
      </c>
      <c r="Q29" s="50">
        <v>5.03</v>
      </c>
    </row>
    <row r="30" spans="1:17" customFormat="1">
      <c r="A30" s="49">
        <v>45389.916666666664</v>
      </c>
      <c r="B30" s="50">
        <v>4.88</v>
      </c>
      <c r="C30" s="50">
        <v>25.65</v>
      </c>
      <c r="D30" s="50">
        <v>18.670000000000002</v>
      </c>
      <c r="E30" s="50">
        <v>11.73</v>
      </c>
      <c r="F30" s="50">
        <v>5.28</v>
      </c>
      <c r="G30" s="50">
        <v>71.62</v>
      </c>
      <c r="H30" s="50">
        <v>16.22</v>
      </c>
      <c r="I30" s="50">
        <v>5.94</v>
      </c>
      <c r="J30" s="50">
        <v>0.35</v>
      </c>
      <c r="K30" s="50">
        <v>184.17</v>
      </c>
      <c r="L30" s="50">
        <v>27.2</v>
      </c>
      <c r="M30" s="50">
        <v>50.67</v>
      </c>
      <c r="N30" s="50">
        <v>0</v>
      </c>
      <c r="O30" s="50">
        <v>0</v>
      </c>
      <c r="P30" s="50">
        <v>0.53</v>
      </c>
      <c r="Q30" s="50">
        <v>5.03</v>
      </c>
    </row>
    <row r="31" spans="1:17" customFormat="1">
      <c r="A31" s="49">
        <v>45389.958333333336</v>
      </c>
      <c r="B31" s="50">
        <v>7.51</v>
      </c>
      <c r="C31" s="50">
        <v>25.97</v>
      </c>
      <c r="D31" s="50">
        <v>20.95</v>
      </c>
      <c r="E31" s="50">
        <v>13.43</v>
      </c>
      <c r="F31" s="50">
        <v>5.82</v>
      </c>
      <c r="G31" s="50">
        <v>41.59</v>
      </c>
      <c r="H31" s="50">
        <v>14.32</v>
      </c>
      <c r="I31" s="50">
        <v>5.64</v>
      </c>
      <c r="J31" s="50">
        <v>0.7</v>
      </c>
      <c r="K31" s="50">
        <v>195.07</v>
      </c>
      <c r="L31" s="50">
        <v>26.58</v>
      </c>
      <c r="M31" s="50">
        <v>51.47</v>
      </c>
      <c r="N31" s="50">
        <v>0</v>
      </c>
      <c r="O31" s="50">
        <v>0</v>
      </c>
      <c r="P31" s="50">
        <v>0.5</v>
      </c>
      <c r="Q31" s="50">
        <v>5.01</v>
      </c>
    </row>
    <row r="32" spans="1:17" customFormat="1">
      <c r="A32" s="49">
        <v>45390</v>
      </c>
      <c r="B32" s="50">
        <v>9.3000000000000007</v>
      </c>
      <c r="C32" s="50">
        <v>26.63</v>
      </c>
      <c r="D32" s="50">
        <v>22.72</v>
      </c>
      <c r="E32" s="50">
        <v>14.36</v>
      </c>
      <c r="F32" s="50">
        <v>5.0599999999999996</v>
      </c>
      <c r="G32" s="50">
        <v>49.6</v>
      </c>
      <c r="H32" s="50">
        <v>15.05</v>
      </c>
      <c r="I32" s="50">
        <v>5.55</v>
      </c>
      <c r="J32" s="50">
        <v>0.89</v>
      </c>
      <c r="K32" s="50">
        <v>89.62</v>
      </c>
      <c r="L32" s="50">
        <v>26.42</v>
      </c>
      <c r="M32" s="50">
        <v>51.73</v>
      </c>
      <c r="N32" s="50">
        <v>0</v>
      </c>
      <c r="O32" s="50">
        <v>0</v>
      </c>
      <c r="P32" s="50">
        <v>0.49</v>
      </c>
      <c r="Q32" s="50">
        <v>5.04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4.26</v>
      </c>
      <c r="C34" s="40">
        <f t="shared" si="0"/>
        <v>23.47</v>
      </c>
      <c r="D34" s="40">
        <f t="shared" si="0"/>
        <v>17.07</v>
      </c>
      <c r="E34" s="40">
        <f t="shared" si="0"/>
        <v>9.5399999999999991</v>
      </c>
      <c r="F34" s="40">
        <f t="shared" si="0"/>
        <v>3.12</v>
      </c>
      <c r="G34" s="40">
        <f t="shared" si="0"/>
        <v>39.33</v>
      </c>
      <c r="H34" s="40">
        <f t="shared" si="0"/>
        <v>13.37</v>
      </c>
      <c r="I34" s="40">
        <f t="shared" si="0"/>
        <v>5.55</v>
      </c>
      <c r="J34" s="40">
        <f t="shared" si="0"/>
        <v>0.16</v>
      </c>
      <c r="K34" s="40">
        <f t="shared" si="0"/>
        <v>54.12</v>
      </c>
      <c r="L34" s="40">
        <f t="shared" si="0"/>
        <v>24.85</v>
      </c>
      <c r="M34" s="40">
        <f t="shared" si="0"/>
        <v>30.67</v>
      </c>
      <c r="N34" s="40">
        <f t="shared" si="0"/>
        <v>0</v>
      </c>
      <c r="O34" s="40">
        <f t="shared" si="0"/>
        <v>0</v>
      </c>
      <c r="P34" s="40">
        <f t="shared" si="0"/>
        <v>0.49</v>
      </c>
      <c r="Q34" s="40">
        <f t="shared" si="0"/>
        <v>5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22.33</v>
      </c>
      <c r="C35" s="33">
        <f t="shared" si="1"/>
        <v>33.08</v>
      </c>
      <c r="D35" s="33">
        <f t="shared" si="1"/>
        <v>36.54</v>
      </c>
      <c r="E35" s="33">
        <f t="shared" si="1"/>
        <v>16.41</v>
      </c>
      <c r="F35" s="33">
        <f t="shared" si="1"/>
        <v>17.54</v>
      </c>
      <c r="G35" s="33">
        <f t="shared" si="1"/>
        <v>188.64</v>
      </c>
      <c r="H35" s="33">
        <f t="shared" si="1"/>
        <v>41.01</v>
      </c>
      <c r="I35" s="33">
        <f t="shared" si="1"/>
        <v>12.28</v>
      </c>
      <c r="J35" s="33">
        <f t="shared" si="1"/>
        <v>3.15</v>
      </c>
      <c r="K35" s="33">
        <f t="shared" si="1"/>
        <v>355.18</v>
      </c>
      <c r="L35" s="33">
        <f t="shared" si="1"/>
        <v>33.6</v>
      </c>
      <c r="M35" s="33">
        <f t="shared" si="1"/>
        <v>68.52</v>
      </c>
      <c r="N35" s="33">
        <f t="shared" si="1"/>
        <v>634.70000000000005</v>
      </c>
      <c r="O35" s="33">
        <f t="shared" si="1"/>
        <v>0.2</v>
      </c>
      <c r="P35" s="33">
        <f t="shared" si="1"/>
        <v>1.05</v>
      </c>
      <c r="Q35" s="33">
        <f t="shared" si="1"/>
        <v>5.12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12.216666666666663</v>
      </c>
      <c r="C36" s="40">
        <f t="shared" si="2"/>
        <v>28.040000000000006</v>
      </c>
      <c r="D36" s="40">
        <f t="shared" si="2"/>
        <v>25.657916666666665</v>
      </c>
      <c r="E36" s="40">
        <f t="shared" si="2"/>
        <v>13.334583333333336</v>
      </c>
      <c r="F36" s="40">
        <f t="shared" si="2"/>
        <v>6.6012500000000003</v>
      </c>
      <c r="G36" s="40">
        <f t="shared" si="2"/>
        <v>92.87541666666668</v>
      </c>
      <c r="H36" s="40">
        <f t="shared" si="2"/>
        <v>28.907083333333333</v>
      </c>
      <c r="I36" s="40">
        <f t="shared" si="2"/>
        <v>8.5554166666666678</v>
      </c>
      <c r="J36" s="40">
        <f t="shared" si="2"/>
        <v>1.1433333333333335</v>
      </c>
      <c r="K36" s="40">
        <f t="shared" si="2"/>
        <v>157.24041666666668</v>
      </c>
      <c r="L36" s="40">
        <f t="shared" si="2"/>
        <v>28.704583333333336</v>
      </c>
      <c r="M36" s="40">
        <f t="shared" si="2"/>
        <v>49.513333333333328</v>
      </c>
      <c r="N36" s="40">
        <f t="shared" si="2"/>
        <v>111.68333333333334</v>
      </c>
      <c r="O36" s="40">
        <f t="shared" si="2"/>
        <v>8.3333333333333332E-3</v>
      </c>
      <c r="P36" s="40">
        <f t="shared" si="2"/>
        <v>0.79874999999999974</v>
      </c>
      <c r="Q36" s="40">
        <f t="shared" si="2"/>
        <v>5.060833333333334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6.6203018889964005</v>
      </c>
      <c r="C37" s="40">
        <f t="shared" ref="C37:Q37" si="3">STDEV(C9:C32)</f>
        <v>2.8552605911681268</v>
      </c>
      <c r="D37" s="40">
        <f t="shared" si="3"/>
        <v>6.0591468614323789</v>
      </c>
      <c r="E37" s="40">
        <f t="shared" si="3"/>
        <v>1.6484880534352406</v>
      </c>
      <c r="F37" s="40">
        <f t="shared" si="3"/>
        <v>3.793411121244652</v>
      </c>
      <c r="G37" s="40">
        <f t="shared" si="3"/>
        <v>43.587828275011397</v>
      </c>
      <c r="H37" s="40">
        <f t="shared" si="3"/>
        <v>9.9914482908773241</v>
      </c>
      <c r="I37" s="40">
        <f t="shared" si="3"/>
        <v>2.0839134989280343</v>
      </c>
      <c r="J37" s="40">
        <f t="shared" si="3"/>
        <v>0.95027989774485444</v>
      </c>
      <c r="K37" s="40">
        <f t="shared" si="3"/>
        <v>94.409008066850561</v>
      </c>
      <c r="L37" s="40">
        <f t="shared" si="3"/>
        <v>2.4450908743966671</v>
      </c>
      <c r="M37" s="40">
        <f t="shared" si="3"/>
        <v>11.34259255184204</v>
      </c>
      <c r="N37" s="40">
        <f t="shared" si="3"/>
        <v>162.46328191629792</v>
      </c>
      <c r="O37" s="40">
        <f t="shared" si="3"/>
        <v>4.0824829046386311E-2</v>
      </c>
      <c r="P37" s="40">
        <f t="shared" si="3"/>
        <v>0.19987632045407788</v>
      </c>
      <c r="Q37" s="40">
        <f t="shared" si="3"/>
        <v>3.5129161262610537E-2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45390.041666666664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45390.041666666664</v>
      </c>
      <c r="B9" s="50">
        <v>11</v>
      </c>
      <c r="C9" s="50">
        <v>25.13</v>
      </c>
      <c r="D9" s="50">
        <v>23.3</v>
      </c>
      <c r="E9" s="50">
        <v>13.33</v>
      </c>
      <c r="F9" s="50">
        <v>4.5999999999999996</v>
      </c>
      <c r="G9" s="50">
        <v>49.6</v>
      </c>
      <c r="H9" s="50">
        <v>15.39</v>
      </c>
      <c r="I9" s="50">
        <v>5.62</v>
      </c>
      <c r="J9" s="50">
        <v>0.56000000000000005</v>
      </c>
      <c r="K9" s="50">
        <v>350.66</v>
      </c>
      <c r="L9" s="50">
        <v>26</v>
      </c>
      <c r="M9" s="50">
        <v>69.430000000000007</v>
      </c>
      <c r="N9" s="50">
        <v>0</v>
      </c>
      <c r="O9" s="50">
        <v>0.2</v>
      </c>
      <c r="P9" s="50">
        <v>0.49</v>
      </c>
      <c r="Q9" s="50">
        <v>5.04</v>
      </c>
    </row>
    <row r="10" spans="1:21" customFormat="1">
      <c r="A10" s="49">
        <v>45390.083333333336</v>
      </c>
      <c r="B10" s="50">
        <v>11.49</v>
      </c>
      <c r="C10" s="50">
        <v>25.16</v>
      </c>
      <c r="D10" s="50">
        <v>23.59</v>
      </c>
      <c r="E10" s="50">
        <v>13.16</v>
      </c>
      <c r="F10" s="50">
        <v>3.52</v>
      </c>
      <c r="G10" s="50">
        <v>43.29</v>
      </c>
      <c r="H10" s="50">
        <v>15.39</v>
      </c>
      <c r="I10" s="50">
        <v>5.66</v>
      </c>
      <c r="J10" s="50">
        <v>0.35</v>
      </c>
      <c r="K10" s="50">
        <v>291.48</v>
      </c>
      <c r="L10" s="50">
        <v>22.98</v>
      </c>
      <c r="M10" s="50">
        <v>94.73</v>
      </c>
      <c r="N10" s="50">
        <v>0</v>
      </c>
      <c r="O10" s="50">
        <v>0.4</v>
      </c>
      <c r="P10" s="50">
        <v>0.49</v>
      </c>
      <c r="Q10" s="50">
        <v>5.05</v>
      </c>
    </row>
    <row r="11" spans="1:21" customFormat="1">
      <c r="A11" s="49">
        <v>45390.125</v>
      </c>
      <c r="B11" s="50">
        <v>11.36</v>
      </c>
      <c r="C11" s="50">
        <v>25.42</v>
      </c>
      <c r="D11" s="50">
        <v>23.64</v>
      </c>
      <c r="E11" s="50">
        <v>14.01</v>
      </c>
      <c r="F11" s="50">
        <v>3.21</v>
      </c>
      <c r="G11" s="50">
        <v>33.979999999999997</v>
      </c>
      <c r="H11" s="50">
        <v>13.71</v>
      </c>
      <c r="I11" s="50">
        <v>5.54</v>
      </c>
      <c r="J11" s="50">
        <v>0.25</v>
      </c>
      <c r="K11" s="50">
        <v>225.62</v>
      </c>
      <c r="L11" s="50">
        <v>21.5</v>
      </c>
      <c r="M11" s="50">
        <v>95.16</v>
      </c>
      <c r="N11" s="50">
        <v>0</v>
      </c>
      <c r="O11" s="50">
        <v>0.4</v>
      </c>
      <c r="P11" s="50">
        <v>0.48</v>
      </c>
      <c r="Q11" s="50">
        <v>5.03</v>
      </c>
    </row>
    <row r="12" spans="1:21" customFormat="1">
      <c r="A12" s="49">
        <v>45390.166666666664</v>
      </c>
      <c r="B12" s="50">
        <v>10.35</v>
      </c>
      <c r="C12" s="50">
        <v>25.61</v>
      </c>
      <c r="D12" s="50">
        <v>22.7</v>
      </c>
      <c r="E12" s="50">
        <v>13.8</v>
      </c>
      <c r="F12" s="50">
        <v>3.5</v>
      </c>
      <c r="G12" s="50">
        <v>29.51</v>
      </c>
      <c r="H12" s="50">
        <v>13.78</v>
      </c>
      <c r="I12" s="50">
        <v>5.41</v>
      </c>
      <c r="J12" s="50">
        <v>0.33</v>
      </c>
      <c r="K12" s="50">
        <v>239.26</v>
      </c>
      <c r="L12" s="50">
        <v>21.05</v>
      </c>
      <c r="M12" s="50">
        <v>100.09</v>
      </c>
      <c r="N12" s="50">
        <v>0</v>
      </c>
      <c r="O12" s="50">
        <v>0.8</v>
      </c>
      <c r="P12" s="50">
        <v>0.46</v>
      </c>
      <c r="Q12" s="50">
        <v>5.0599999999999996</v>
      </c>
    </row>
    <row r="13" spans="1:21" customFormat="1">
      <c r="A13" s="49">
        <v>45390.208333333336</v>
      </c>
      <c r="B13" s="50">
        <v>7.8</v>
      </c>
      <c r="C13" s="50">
        <v>25.77</v>
      </c>
      <c r="D13" s="50">
        <v>20.98</v>
      </c>
      <c r="E13" s="50">
        <v>14.31</v>
      </c>
      <c r="F13" s="50">
        <v>3.99</v>
      </c>
      <c r="G13" s="50">
        <v>16.600000000000001</v>
      </c>
      <c r="H13" s="50">
        <v>13.78</v>
      </c>
      <c r="I13" s="50">
        <v>5.0999999999999996</v>
      </c>
      <c r="J13" s="50">
        <v>0.27</v>
      </c>
      <c r="K13" s="50">
        <v>256.35000000000002</v>
      </c>
      <c r="L13" s="50">
        <v>20.88</v>
      </c>
      <c r="M13" s="50">
        <v>101.49</v>
      </c>
      <c r="N13" s="50">
        <v>0</v>
      </c>
      <c r="O13" s="50">
        <v>0.4</v>
      </c>
      <c r="P13" s="50">
        <v>0.43</v>
      </c>
      <c r="Q13" s="50">
        <v>5.04</v>
      </c>
    </row>
    <row r="14" spans="1:21" customFormat="1">
      <c r="A14" s="49">
        <v>45390.25</v>
      </c>
      <c r="B14" s="50">
        <v>5.57</v>
      </c>
      <c r="C14" s="50">
        <v>25.74</v>
      </c>
      <c r="D14" s="50">
        <v>19.260000000000002</v>
      </c>
      <c r="E14" s="50">
        <v>14.19</v>
      </c>
      <c r="F14" s="50">
        <v>5.52</v>
      </c>
      <c r="G14" s="50">
        <v>13.65</v>
      </c>
      <c r="H14" s="50">
        <v>12.29</v>
      </c>
      <c r="I14" s="50">
        <v>4.84</v>
      </c>
      <c r="J14" s="50">
        <v>0.36</v>
      </c>
      <c r="K14" s="50">
        <v>257.20999999999998</v>
      </c>
      <c r="L14" s="50">
        <v>20.91</v>
      </c>
      <c r="M14" s="50">
        <v>97.99</v>
      </c>
      <c r="N14" s="50">
        <v>0</v>
      </c>
      <c r="O14" s="50">
        <v>0.4</v>
      </c>
      <c r="P14" s="50">
        <v>0.43</v>
      </c>
      <c r="Q14" s="50">
        <v>5.0599999999999996</v>
      </c>
    </row>
    <row r="15" spans="1:21" customFormat="1">
      <c r="A15" s="49">
        <v>45390.291666666664</v>
      </c>
      <c r="B15" s="50">
        <v>4.59</v>
      </c>
      <c r="C15" s="50">
        <v>25.08</v>
      </c>
      <c r="D15" s="50">
        <v>18.14</v>
      </c>
      <c r="E15" s="50">
        <v>14.06</v>
      </c>
      <c r="F15" s="50">
        <v>4.8099999999999996</v>
      </c>
      <c r="G15" s="50">
        <v>8.06</v>
      </c>
      <c r="H15" s="50">
        <v>10.83</v>
      </c>
      <c r="I15" s="50">
        <v>4.5599999999999996</v>
      </c>
      <c r="J15" s="50">
        <v>0.61</v>
      </c>
      <c r="K15" s="50">
        <v>244.11</v>
      </c>
      <c r="L15" s="50">
        <v>21.22</v>
      </c>
      <c r="M15" s="50">
        <v>93.82</v>
      </c>
      <c r="N15" s="50">
        <v>11.7</v>
      </c>
      <c r="O15" s="50">
        <v>0</v>
      </c>
      <c r="P15" s="50">
        <v>0.41</v>
      </c>
      <c r="Q15" s="50">
        <v>5.04</v>
      </c>
    </row>
    <row r="16" spans="1:21" customFormat="1">
      <c r="A16" s="49">
        <v>45390.333333333336</v>
      </c>
      <c r="B16" s="50">
        <v>4.6500000000000004</v>
      </c>
      <c r="C16" s="50">
        <v>24.4</v>
      </c>
      <c r="D16" s="50">
        <v>17.75</v>
      </c>
      <c r="E16" s="50">
        <v>14.3</v>
      </c>
      <c r="F16" s="50">
        <v>4.51</v>
      </c>
      <c r="G16" s="50">
        <v>23.7</v>
      </c>
      <c r="H16" s="50">
        <v>9.6199999999999992</v>
      </c>
      <c r="I16" s="50">
        <v>4.3499999999999996</v>
      </c>
      <c r="J16" s="50">
        <v>0.23</v>
      </c>
      <c r="K16" s="50">
        <v>255.74</v>
      </c>
      <c r="L16" s="50">
        <v>21.56</v>
      </c>
      <c r="M16" s="50">
        <v>93.69</v>
      </c>
      <c r="N16" s="50">
        <v>79.599999999999994</v>
      </c>
      <c r="O16" s="50">
        <v>0</v>
      </c>
      <c r="P16" s="50">
        <v>0.4</v>
      </c>
      <c r="Q16" s="50">
        <v>5.05</v>
      </c>
    </row>
    <row r="17" spans="1:17" customFormat="1">
      <c r="A17" s="49">
        <v>45390.375</v>
      </c>
      <c r="B17" s="50">
        <v>5.44</v>
      </c>
      <c r="C17" s="50">
        <v>23.93</v>
      </c>
      <c r="D17" s="50">
        <v>18.21</v>
      </c>
      <c r="E17" s="50">
        <v>14.35</v>
      </c>
      <c r="F17" s="50">
        <v>4.33</v>
      </c>
      <c r="G17" s="50">
        <v>23.7</v>
      </c>
      <c r="H17" s="50">
        <v>9.5500000000000007</v>
      </c>
      <c r="I17" s="50">
        <v>4.2699999999999996</v>
      </c>
      <c r="J17" s="50">
        <v>0.3</v>
      </c>
      <c r="K17" s="50">
        <v>254.95</v>
      </c>
      <c r="L17" s="50">
        <v>23.84</v>
      </c>
      <c r="M17" s="50">
        <v>92.61</v>
      </c>
      <c r="N17" s="50">
        <v>208</v>
      </c>
      <c r="O17" s="50">
        <v>0</v>
      </c>
      <c r="P17" s="50">
        <v>0.41</v>
      </c>
      <c r="Q17" s="50">
        <v>5.0199999999999996</v>
      </c>
    </row>
    <row r="18" spans="1:17" customFormat="1">
      <c r="A18" s="49">
        <v>45390.416666666664</v>
      </c>
      <c r="B18" s="50">
        <v>5.91</v>
      </c>
      <c r="C18" s="50">
        <v>23.7</v>
      </c>
      <c r="D18" s="50">
        <v>18.239999999999998</v>
      </c>
      <c r="E18" s="50">
        <v>14.88</v>
      </c>
      <c r="F18" s="50">
        <v>4.8600000000000003</v>
      </c>
      <c r="G18" s="50">
        <v>16.829999999999998</v>
      </c>
      <c r="H18" s="50">
        <v>7.9</v>
      </c>
      <c r="I18" s="50">
        <v>4.38</v>
      </c>
      <c r="J18" s="50">
        <v>0.26</v>
      </c>
      <c r="K18" s="50">
        <v>271.48</v>
      </c>
      <c r="L18" s="50">
        <v>26.14</v>
      </c>
      <c r="M18" s="50">
        <v>76.89</v>
      </c>
      <c r="N18" s="50">
        <v>391.8</v>
      </c>
      <c r="O18" s="50">
        <v>0</v>
      </c>
      <c r="P18" s="50">
        <v>0.41</v>
      </c>
      <c r="Q18" s="50">
        <v>5.0199999999999996</v>
      </c>
    </row>
    <row r="19" spans="1:17" customFormat="1">
      <c r="A19" s="49">
        <v>45390.458333333336</v>
      </c>
      <c r="B19" s="50">
        <v>6.28</v>
      </c>
      <c r="C19" s="50">
        <v>23.97</v>
      </c>
      <c r="D19" s="50">
        <v>18.91</v>
      </c>
      <c r="E19" s="50">
        <v>14.46</v>
      </c>
      <c r="F19" s="50">
        <v>3.84</v>
      </c>
      <c r="G19" s="50">
        <v>13.9</v>
      </c>
      <c r="H19" s="50">
        <v>8.74</v>
      </c>
      <c r="I19" s="50">
        <v>4.54</v>
      </c>
      <c r="J19" s="50">
        <v>0.28999999999999998</v>
      </c>
      <c r="K19" s="50">
        <v>272.18</v>
      </c>
      <c r="L19" s="50">
        <v>26</v>
      </c>
      <c r="M19" s="50">
        <v>70.349999999999994</v>
      </c>
      <c r="N19" s="50">
        <v>238.9</v>
      </c>
      <c r="O19" s="50">
        <v>0</v>
      </c>
      <c r="P19" s="50">
        <v>0.42</v>
      </c>
      <c r="Q19" s="50">
        <v>5.03</v>
      </c>
    </row>
    <row r="20" spans="1:17" customFormat="1">
      <c r="A20" s="49">
        <v>45390.5</v>
      </c>
      <c r="B20" s="50">
        <v>6.4</v>
      </c>
      <c r="C20" s="50">
        <v>24.03</v>
      </c>
      <c r="D20" s="50">
        <v>19</v>
      </c>
      <c r="E20" s="50">
        <v>14.92</v>
      </c>
      <c r="F20" s="50">
        <v>4.58</v>
      </c>
      <c r="G20" s="50">
        <v>33.26</v>
      </c>
      <c r="H20" s="50">
        <v>11.34</v>
      </c>
      <c r="I20" s="50">
        <v>4.5999999999999996</v>
      </c>
      <c r="J20" s="50">
        <v>0.48</v>
      </c>
      <c r="K20" s="50">
        <v>167.6</v>
      </c>
      <c r="L20" s="50">
        <v>28.16</v>
      </c>
      <c r="M20" s="50">
        <v>66.959999999999994</v>
      </c>
      <c r="N20" s="50">
        <v>779.5</v>
      </c>
      <c r="O20" s="50">
        <v>0</v>
      </c>
      <c r="P20" s="50">
        <v>0.43</v>
      </c>
      <c r="Q20" s="50">
        <v>5.0199999999999996</v>
      </c>
    </row>
    <row r="21" spans="1:17" customFormat="1">
      <c r="A21" s="49">
        <v>45390.541666666664</v>
      </c>
      <c r="B21" s="50">
        <v>6.23</v>
      </c>
      <c r="C21" s="50">
        <v>24.6</v>
      </c>
      <c r="D21" s="50">
        <v>19.03</v>
      </c>
      <c r="E21" s="50">
        <v>15.3</v>
      </c>
      <c r="F21" s="50">
        <v>4.5599999999999996</v>
      </c>
      <c r="G21" s="50">
        <v>33.26</v>
      </c>
      <c r="H21" s="50">
        <v>11.34</v>
      </c>
      <c r="I21" s="50">
        <v>4.72</v>
      </c>
      <c r="J21" s="50">
        <v>0.82</v>
      </c>
      <c r="K21" s="50">
        <v>165.22</v>
      </c>
      <c r="L21" s="50">
        <v>29.19</v>
      </c>
      <c r="M21" s="50">
        <v>59.11</v>
      </c>
      <c r="N21" s="50">
        <v>669</v>
      </c>
      <c r="O21" s="50">
        <v>0</v>
      </c>
      <c r="P21" s="50">
        <v>0.45</v>
      </c>
      <c r="Q21" s="50">
        <v>5.03</v>
      </c>
    </row>
    <row r="22" spans="1:17" customFormat="1">
      <c r="A22" s="49">
        <v>45390.583333333336</v>
      </c>
      <c r="B22" s="50">
        <v>5.29</v>
      </c>
      <c r="C22" s="50">
        <v>25.39</v>
      </c>
      <c r="D22" s="50">
        <v>18.52</v>
      </c>
      <c r="E22" s="50">
        <v>14.5</v>
      </c>
      <c r="F22" s="50">
        <v>5.03</v>
      </c>
      <c r="G22" s="50">
        <v>20.329999999999998</v>
      </c>
      <c r="H22" s="50">
        <v>9.99</v>
      </c>
      <c r="I22" s="50">
        <v>4.7</v>
      </c>
      <c r="J22" s="50">
        <v>0.38</v>
      </c>
      <c r="K22" s="50">
        <v>267.77999999999997</v>
      </c>
      <c r="L22" s="50">
        <v>28.86</v>
      </c>
      <c r="M22" s="50">
        <v>65.73</v>
      </c>
      <c r="N22" s="50">
        <v>210</v>
      </c>
      <c r="O22" s="50">
        <v>0.2</v>
      </c>
      <c r="P22" s="50">
        <v>0.44</v>
      </c>
      <c r="Q22" s="50">
        <v>5.0599999999999996</v>
      </c>
    </row>
    <row r="23" spans="1:17" customFormat="1">
      <c r="A23" s="49">
        <v>45390.625</v>
      </c>
      <c r="B23" s="50">
        <v>4.6500000000000004</v>
      </c>
      <c r="C23" s="50">
        <v>26.27</v>
      </c>
      <c r="D23" s="50">
        <v>18.809999999999999</v>
      </c>
      <c r="E23" s="50">
        <v>15.68</v>
      </c>
      <c r="F23" s="50">
        <v>6.27</v>
      </c>
      <c r="G23" s="50">
        <v>23.86</v>
      </c>
      <c r="H23" s="50">
        <v>10.89</v>
      </c>
      <c r="I23" s="50">
        <v>4.53</v>
      </c>
      <c r="J23" s="50">
        <v>0.97</v>
      </c>
      <c r="K23" s="50">
        <v>125.92</v>
      </c>
      <c r="L23" s="50">
        <v>28.99</v>
      </c>
      <c r="M23" s="50">
        <v>61.35</v>
      </c>
      <c r="N23" s="50">
        <v>364.5</v>
      </c>
      <c r="O23" s="50">
        <v>0</v>
      </c>
      <c r="P23" s="50">
        <v>0.51</v>
      </c>
      <c r="Q23" s="50">
        <v>5.03</v>
      </c>
    </row>
    <row r="24" spans="1:17" customFormat="1">
      <c r="A24" s="49">
        <v>45390.666666666664</v>
      </c>
      <c r="B24" s="50">
        <v>4.58</v>
      </c>
      <c r="C24" s="50">
        <v>26.49</v>
      </c>
      <c r="D24" s="50">
        <v>18.86</v>
      </c>
      <c r="E24" s="50">
        <v>14.9</v>
      </c>
      <c r="F24" s="50">
        <v>5.29</v>
      </c>
      <c r="G24" s="50">
        <v>23.86</v>
      </c>
      <c r="H24" s="50">
        <v>10.89</v>
      </c>
      <c r="I24" s="50">
        <v>4.45</v>
      </c>
      <c r="J24" s="50">
        <v>0.33</v>
      </c>
      <c r="K24" s="50">
        <v>163.66999999999999</v>
      </c>
      <c r="L24" s="50">
        <v>29.27</v>
      </c>
      <c r="M24" s="50">
        <v>64.78</v>
      </c>
      <c r="N24" s="50">
        <v>207.8</v>
      </c>
      <c r="O24" s="50">
        <v>0</v>
      </c>
      <c r="P24" s="50">
        <v>0.51</v>
      </c>
      <c r="Q24" s="50">
        <v>5.04</v>
      </c>
    </row>
    <row r="25" spans="1:17" customFormat="1">
      <c r="A25" s="49">
        <v>45390.708333333336</v>
      </c>
      <c r="B25" s="50">
        <v>4.6399999999999997</v>
      </c>
      <c r="C25" s="50">
        <v>26.4</v>
      </c>
      <c r="D25" s="50">
        <v>18.86</v>
      </c>
      <c r="E25" s="50">
        <v>14.96</v>
      </c>
      <c r="F25" s="50">
        <v>4.92</v>
      </c>
      <c r="G25" s="50">
        <v>34.39</v>
      </c>
      <c r="H25" s="50">
        <v>9.4700000000000006</v>
      </c>
      <c r="I25" s="50">
        <v>4.3499999999999996</v>
      </c>
      <c r="J25" s="50">
        <v>0.27</v>
      </c>
      <c r="K25" s="50">
        <v>156.07</v>
      </c>
      <c r="L25" s="50">
        <v>28.25</v>
      </c>
      <c r="M25" s="50">
        <v>65.41</v>
      </c>
      <c r="N25" s="50">
        <v>103.6</v>
      </c>
      <c r="O25" s="50">
        <v>0</v>
      </c>
      <c r="P25" s="50">
        <v>0.49</v>
      </c>
      <c r="Q25" s="50">
        <v>5.05</v>
      </c>
    </row>
    <row r="26" spans="1:17" customFormat="1">
      <c r="A26" s="49">
        <v>45390.75</v>
      </c>
      <c r="B26" s="50">
        <v>5.28</v>
      </c>
      <c r="C26" s="50">
        <v>26.2</v>
      </c>
      <c r="D26" s="50">
        <v>18.86</v>
      </c>
      <c r="E26" s="50">
        <v>14.88</v>
      </c>
      <c r="F26" s="50">
        <v>5.97</v>
      </c>
      <c r="G26" s="50">
        <v>34.39</v>
      </c>
      <c r="H26" s="50">
        <v>11.22</v>
      </c>
      <c r="I26" s="50">
        <v>4.29</v>
      </c>
      <c r="J26" s="50">
        <v>0.67</v>
      </c>
      <c r="K26" s="50">
        <v>132.52000000000001</v>
      </c>
      <c r="L26" s="50">
        <v>27.49</v>
      </c>
      <c r="M26" s="50">
        <v>67.41</v>
      </c>
      <c r="N26" s="50">
        <v>21.4</v>
      </c>
      <c r="O26" s="50">
        <v>0</v>
      </c>
      <c r="P26" s="50">
        <v>0.5</v>
      </c>
      <c r="Q26" s="50">
        <v>5.05</v>
      </c>
    </row>
    <row r="27" spans="1:17" customFormat="1">
      <c r="A27" s="49">
        <v>45390.791666666664</v>
      </c>
      <c r="B27" s="50">
        <v>7.74</v>
      </c>
      <c r="C27" s="50">
        <v>26.16</v>
      </c>
      <c r="D27" s="50">
        <v>21.22</v>
      </c>
      <c r="E27" s="50">
        <v>15.76</v>
      </c>
      <c r="F27" s="50">
        <v>4.59</v>
      </c>
      <c r="G27" s="50">
        <v>45.23</v>
      </c>
      <c r="H27" s="50">
        <v>11.22</v>
      </c>
      <c r="I27" s="50">
        <v>4.6100000000000003</v>
      </c>
      <c r="J27" s="50">
        <v>0.92</v>
      </c>
      <c r="K27" s="50">
        <v>82.93</v>
      </c>
      <c r="L27" s="50">
        <v>26.27</v>
      </c>
      <c r="M27" s="50">
        <v>71.48</v>
      </c>
      <c r="N27" s="50">
        <v>0</v>
      </c>
      <c r="O27" s="50">
        <v>0</v>
      </c>
      <c r="P27" s="50">
        <v>0.55000000000000004</v>
      </c>
      <c r="Q27" s="50">
        <v>5.03</v>
      </c>
    </row>
    <row r="28" spans="1:17" customFormat="1">
      <c r="A28" s="49">
        <v>45390.833333333336</v>
      </c>
      <c r="B28" s="50">
        <v>9.06</v>
      </c>
      <c r="C28" s="50">
        <v>26.73</v>
      </c>
      <c r="D28" s="50">
        <v>22.58</v>
      </c>
      <c r="E28" s="50">
        <v>15.78</v>
      </c>
      <c r="F28" s="50">
        <v>4.08</v>
      </c>
      <c r="G28" s="50">
        <v>45.23</v>
      </c>
      <c r="H28" s="50">
        <v>11.2</v>
      </c>
      <c r="I28" s="50">
        <v>4.92</v>
      </c>
      <c r="J28" s="50">
        <v>2.04</v>
      </c>
      <c r="K28" s="50">
        <v>69.33</v>
      </c>
      <c r="L28" s="50">
        <v>26</v>
      </c>
      <c r="M28" s="50">
        <v>83.74</v>
      </c>
      <c r="N28" s="50">
        <v>0.1</v>
      </c>
      <c r="O28" s="50">
        <v>0.8</v>
      </c>
      <c r="P28" s="50">
        <v>0.56999999999999995</v>
      </c>
      <c r="Q28" s="50">
        <v>5.04</v>
      </c>
    </row>
    <row r="29" spans="1:17" customFormat="1">
      <c r="A29" s="49">
        <v>45390.875</v>
      </c>
      <c r="B29" s="50">
        <v>9.7100000000000009</v>
      </c>
      <c r="C29" s="50">
        <v>27.91</v>
      </c>
      <c r="D29" s="50">
        <v>23.72</v>
      </c>
      <c r="E29" s="50">
        <v>15.87</v>
      </c>
      <c r="F29" s="50">
        <v>3.83</v>
      </c>
      <c r="G29" s="50">
        <v>49.73</v>
      </c>
      <c r="H29" s="50">
        <v>13.18</v>
      </c>
      <c r="I29" s="50">
        <v>5.03</v>
      </c>
      <c r="J29" s="50">
        <v>1.49</v>
      </c>
      <c r="K29" s="50">
        <v>84.43</v>
      </c>
      <c r="L29" s="50">
        <v>24.16</v>
      </c>
      <c r="M29" s="50">
        <v>85.14</v>
      </c>
      <c r="N29" s="50">
        <v>0</v>
      </c>
      <c r="O29" s="50">
        <v>0</v>
      </c>
      <c r="P29" s="50">
        <v>0.57999999999999996</v>
      </c>
      <c r="Q29" s="50">
        <v>5.05</v>
      </c>
    </row>
    <row r="30" spans="1:17" customFormat="1">
      <c r="A30" s="49">
        <v>45390.916666666664</v>
      </c>
      <c r="B30" s="50">
        <v>10.7</v>
      </c>
      <c r="C30" s="50">
        <v>28.27</v>
      </c>
      <c r="D30" s="50">
        <v>24.59</v>
      </c>
      <c r="E30" s="50">
        <v>16.079999999999998</v>
      </c>
      <c r="F30" s="50">
        <v>3.34</v>
      </c>
      <c r="G30" s="50">
        <v>49.73</v>
      </c>
      <c r="H30" s="50">
        <v>13.18</v>
      </c>
      <c r="I30" s="50">
        <v>5.0999999999999996</v>
      </c>
      <c r="J30" s="50">
        <v>1.21</v>
      </c>
      <c r="K30" s="50">
        <v>78.87</v>
      </c>
      <c r="L30" s="50">
        <v>23.97</v>
      </c>
      <c r="M30" s="50">
        <v>85.49</v>
      </c>
      <c r="N30" s="50">
        <v>0</v>
      </c>
      <c r="O30" s="50">
        <v>0</v>
      </c>
      <c r="P30" s="50">
        <v>0.57999999999999996</v>
      </c>
      <c r="Q30" s="50">
        <v>5.03</v>
      </c>
    </row>
    <row r="31" spans="1:17" customFormat="1">
      <c r="A31" s="49">
        <v>45390.958333333336</v>
      </c>
      <c r="B31" s="50">
        <v>11.27</v>
      </c>
      <c r="C31" s="50">
        <v>28.44</v>
      </c>
      <c r="D31" s="50">
        <v>25.05</v>
      </c>
      <c r="E31" s="50">
        <v>16.09</v>
      </c>
      <c r="F31" s="50">
        <v>3.27</v>
      </c>
      <c r="G31" s="50">
        <v>39.340000000000003</v>
      </c>
      <c r="H31" s="50">
        <v>11.8</v>
      </c>
      <c r="I31" s="50">
        <v>5.17</v>
      </c>
      <c r="J31" s="50">
        <v>1.4</v>
      </c>
      <c r="K31" s="50">
        <v>65.31</v>
      </c>
      <c r="L31" s="50">
        <v>23.66</v>
      </c>
      <c r="M31" s="50">
        <v>81.47</v>
      </c>
      <c r="N31" s="50">
        <v>0.4</v>
      </c>
      <c r="O31" s="50">
        <v>1.2</v>
      </c>
      <c r="P31" s="50">
        <v>0.56999999999999995</v>
      </c>
      <c r="Q31" s="50">
        <v>5.08</v>
      </c>
    </row>
    <row r="32" spans="1:17" customFormat="1">
      <c r="A32" s="49">
        <v>45391</v>
      </c>
      <c r="B32" s="50">
        <v>10.57</v>
      </c>
      <c r="C32" s="50">
        <v>30.08</v>
      </c>
      <c r="D32" s="50">
        <v>25.41</v>
      </c>
      <c r="E32" s="50">
        <v>15.96</v>
      </c>
      <c r="F32" s="50">
        <v>3.14</v>
      </c>
      <c r="G32" s="50">
        <v>35.979999999999997</v>
      </c>
      <c r="H32" s="50">
        <v>11.47</v>
      </c>
      <c r="I32" s="50">
        <v>4.9800000000000004</v>
      </c>
      <c r="J32" s="50">
        <v>1.22</v>
      </c>
      <c r="K32" s="50">
        <v>171.08</v>
      </c>
      <c r="L32" s="50">
        <v>21.94</v>
      </c>
      <c r="M32" s="50">
        <v>88.68</v>
      </c>
      <c r="N32" s="50">
        <v>0</v>
      </c>
      <c r="O32" s="50">
        <v>0</v>
      </c>
      <c r="P32" s="50">
        <v>0.55000000000000004</v>
      </c>
      <c r="Q32" s="50">
        <v>5.09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4.58</v>
      </c>
      <c r="C34" s="40">
        <f t="shared" si="0"/>
        <v>23.7</v>
      </c>
      <c r="D34" s="40">
        <f t="shared" si="0"/>
        <v>17.75</v>
      </c>
      <c r="E34" s="40">
        <f t="shared" si="0"/>
        <v>13.16</v>
      </c>
      <c r="F34" s="40">
        <f t="shared" si="0"/>
        <v>3.14</v>
      </c>
      <c r="G34" s="40">
        <f t="shared" si="0"/>
        <v>8.06</v>
      </c>
      <c r="H34" s="40">
        <f t="shared" si="0"/>
        <v>7.9</v>
      </c>
      <c r="I34" s="40">
        <f t="shared" si="0"/>
        <v>4.2699999999999996</v>
      </c>
      <c r="J34" s="40">
        <f t="shared" si="0"/>
        <v>0.23</v>
      </c>
      <c r="K34" s="40">
        <f t="shared" si="0"/>
        <v>65.31</v>
      </c>
      <c r="L34" s="40">
        <f t="shared" si="0"/>
        <v>20.88</v>
      </c>
      <c r="M34" s="40">
        <f t="shared" si="0"/>
        <v>59.11</v>
      </c>
      <c r="N34" s="40">
        <f t="shared" si="0"/>
        <v>0</v>
      </c>
      <c r="O34" s="40">
        <f t="shared" si="0"/>
        <v>0</v>
      </c>
      <c r="P34" s="40">
        <f t="shared" si="0"/>
        <v>0.4</v>
      </c>
      <c r="Q34" s="40">
        <f t="shared" si="0"/>
        <v>5.0199999999999996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11.49</v>
      </c>
      <c r="C35" s="33">
        <f t="shared" si="1"/>
        <v>30.08</v>
      </c>
      <c r="D35" s="33">
        <f t="shared" si="1"/>
        <v>25.41</v>
      </c>
      <c r="E35" s="33">
        <f t="shared" si="1"/>
        <v>16.09</v>
      </c>
      <c r="F35" s="33">
        <f t="shared" si="1"/>
        <v>6.27</v>
      </c>
      <c r="G35" s="33">
        <f t="shared" si="1"/>
        <v>49.73</v>
      </c>
      <c r="H35" s="33">
        <f t="shared" si="1"/>
        <v>15.39</v>
      </c>
      <c r="I35" s="33">
        <f t="shared" si="1"/>
        <v>5.66</v>
      </c>
      <c r="J35" s="33">
        <f t="shared" si="1"/>
        <v>2.04</v>
      </c>
      <c r="K35" s="33">
        <f t="shared" si="1"/>
        <v>350.66</v>
      </c>
      <c r="L35" s="33">
        <f t="shared" si="1"/>
        <v>29.27</v>
      </c>
      <c r="M35" s="33">
        <f t="shared" si="1"/>
        <v>101.49</v>
      </c>
      <c r="N35" s="33">
        <f t="shared" si="1"/>
        <v>779.5</v>
      </c>
      <c r="O35" s="33">
        <f t="shared" si="1"/>
        <v>1.2</v>
      </c>
      <c r="P35" s="33">
        <f t="shared" si="1"/>
        <v>0.57999999999999996</v>
      </c>
      <c r="Q35" s="33">
        <f t="shared" si="1"/>
        <v>5.09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7.5233333333333343</v>
      </c>
      <c r="C36" s="40">
        <f t="shared" si="2"/>
        <v>25.870000000000005</v>
      </c>
      <c r="D36" s="40">
        <f t="shared" si="2"/>
        <v>20.80125</v>
      </c>
      <c r="E36" s="40">
        <f t="shared" si="2"/>
        <v>14.813749999999997</v>
      </c>
      <c r="F36" s="40">
        <f t="shared" si="2"/>
        <v>4.3983333333333334</v>
      </c>
      <c r="G36" s="40">
        <f t="shared" si="2"/>
        <v>30.892083333333332</v>
      </c>
      <c r="H36" s="40">
        <f t="shared" si="2"/>
        <v>11.590416666666668</v>
      </c>
      <c r="I36" s="40">
        <f t="shared" si="2"/>
        <v>4.8216666666666672</v>
      </c>
      <c r="J36" s="40">
        <f t="shared" si="2"/>
        <v>0.66708333333333325</v>
      </c>
      <c r="K36" s="40">
        <f t="shared" si="2"/>
        <v>193.74041666666668</v>
      </c>
      <c r="L36" s="40">
        <f t="shared" si="2"/>
        <v>24.928750000000004</v>
      </c>
      <c r="M36" s="40">
        <f t="shared" si="2"/>
        <v>80.541666666666671</v>
      </c>
      <c r="N36" s="40">
        <f t="shared" si="2"/>
        <v>136.92916666666667</v>
      </c>
      <c r="O36" s="40">
        <f t="shared" si="2"/>
        <v>0.20000000000000004</v>
      </c>
      <c r="P36" s="40">
        <f t="shared" si="2"/>
        <v>0.48166666666666674</v>
      </c>
      <c r="Q36" s="40">
        <f t="shared" si="2"/>
        <v>5.0433333333333339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2.6256405705650341</v>
      </c>
      <c r="C37" s="40">
        <f t="shared" ref="C37:Q37" si="3">STDEV(C9:C32)</f>
        <v>1.5805007461862486</v>
      </c>
      <c r="D37" s="40">
        <f t="shared" si="3"/>
        <v>2.5850545574934349</v>
      </c>
      <c r="E37" s="40">
        <f t="shared" si="3"/>
        <v>0.86099443264380293</v>
      </c>
      <c r="F37" s="40">
        <f t="shared" si="3"/>
        <v>0.86235101632822242</v>
      </c>
      <c r="G37" s="40">
        <f t="shared" si="3"/>
        <v>12.49731309527969</v>
      </c>
      <c r="H37" s="40">
        <f t="shared" si="3"/>
        <v>1.9506442172571654</v>
      </c>
      <c r="I37" s="40">
        <f t="shared" si="3"/>
        <v>0.43108222424261633</v>
      </c>
      <c r="J37" s="40">
        <f t="shared" si="3"/>
        <v>0.49149708448572832</v>
      </c>
      <c r="K37" s="40">
        <f t="shared" si="3"/>
        <v>82.117497445887551</v>
      </c>
      <c r="L37" s="40">
        <f t="shared" si="3"/>
        <v>2.986755273740572</v>
      </c>
      <c r="M37" s="40">
        <f t="shared" si="3"/>
        <v>13.771931021391628</v>
      </c>
      <c r="N37" s="40">
        <f t="shared" si="3"/>
        <v>218.37747630146541</v>
      </c>
      <c r="O37" s="40">
        <f t="shared" si="3"/>
        <v>0.32836882762607317</v>
      </c>
      <c r="P37" s="40">
        <f t="shared" si="3"/>
        <v>6.0265114767756846E-2</v>
      </c>
      <c r="Q37" s="40">
        <f t="shared" si="3"/>
        <v>1.7856107630447995E-2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45391.041666666664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45391.041666666664</v>
      </c>
      <c r="B9" s="50">
        <v>10.54</v>
      </c>
      <c r="C9" s="50">
        <v>30.59</v>
      </c>
      <c r="D9" s="50">
        <v>25.79</v>
      </c>
      <c r="E9" s="50">
        <v>15.88</v>
      </c>
      <c r="F9" s="50">
        <v>3</v>
      </c>
      <c r="G9" s="50">
        <v>30.82</v>
      </c>
      <c r="H9" s="50">
        <v>11.47</v>
      </c>
      <c r="I9" s="50">
        <v>4.8899999999999997</v>
      </c>
      <c r="J9" s="50">
        <v>0.3</v>
      </c>
      <c r="K9" s="50">
        <v>204.31</v>
      </c>
      <c r="L9" s="50">
        <v>21.3</v>
      </c>
      <c r="M9" s="50">
        <v>92.84</v>
      </c>
      <c r="N9" s="50">
        <v>0</v>
      </c>
      <c r="O9" s="50">
        <v>0</v>
      </c>
      <c r="P9" s="50">
        <v>0.52</v>
      </c>
      <c r="Q9" s="50">
        <v>5.07</v>
      </c>
    </row>
    <row r="10" spans="1:21" customFormat="1">
      <c r="A10" s="49">
        <v>45391.083333333336</v>
      </c>
      <c r="B10" s="50">
        <v>10.93</v>
      </c>
      <c r="C10" s="50">
        <v>29.57</v>
      </c>
      <c r="D10" s="50">
        <v>25.56</v>
      </c>
      <c r="E10" s="50">
        <v>14.95</v>
      </c>
      <c r="F10" s="50">
        <v>3.09</v>
      </c>
      <c r="G10" s="50">
        <v>30.82</v>
      </c>
      <c r="H10" s="50">
        <v>11.31</v>
      </c>
      <c r="I10" s="50">
        <v>4.71</v>
      </c>
      <c r="J10" s="50">
        <v>0.33</v>
      </c>
      <c r="K10" s="50">
        <v>271.38</v>
      </c>
      <c r="L10" s="50">
        <v>21.29</v>
      </c>
      <c r="M10" s="50">
        <v>100.04</v>
      </c>
      <c r="N10" s="50">
        <v>0</v>
      </c>
      <c r="O10" s="50">
        <v>2.8</v>
      </c>
      <c r="P10" s="50">
        <v>0.5</v>
      </c>
      <c r="Q10" s="50">
        <v>5.0599999999999996</v>
      </c>
    </row>
    <row r="11" spans="1:21" customFormat="1">
      <c r="A11" s="49">
        <v>45391.125</v>
      </c>
      <c r="B11" s="50">
        <v>10.76</v>
      </c>
      <c r="C11" s="50">
        <v>29.05</v>
      </c>
      <c r="D11" s="50">
        <v>25.15</v>
      </c>
      <c r="E11" s="50">
        <v>12.75</v>
      </c>
      <c r="F11" s="50">
        <v>3.49</v>
      </c>
      <c r="G11" s="50">
        <v>26.9</v>
      </c>
      <c r="H11" s="50">
        <v>10.6</v>
      </c>
      <c r="I11" s="50">
        <v>4.62</v>
      </c>
      <c r="J11" s="50">
        <v>2.3199999999999998</v>
      </c>
      <c r="K11" s="50">
        <v>320.87</v>
      </c>
      <c r="L11" s="50">
        <v>21.94</v>
      </c>
      <c r="M11" s="50">
        <v>100.4</v>
      </c>
      <c r="N11" s="50">
        <v>0</v>
      </c>
      <c r="O11" s="50">
        <v>0</v>
      </c>
      <c r="P11" s="50">
        <v>0.47</v>
      </c>
      <c r="Q11" s="50">
        <v>5.0599999999999996</v>
      </c>
    </row>
    <row r="12" spans="1:21" customFormat="1">
      <c r="A12" s="49">
        <v>45391.166666666664</v>
      </c>
      <c r="B12" s="50">
        <v>9.57</v>
      </c>
      <c r="C12" s="50">
        <v>29.05</v>
      </c>
      <c r="D12" s="50">
        <v>24.2</v>
      </c>
      <c r="E12" s="50">
        <v>12.43</v>
      </c>
      <c r="F12" s="50">
        <v>3.57</v>
      </c>
      <c r="G12" s="50">
        <v>23.38</v>
      </c>
      <c r="H12" s="50">
        <v>10.81</v>
      </c>
      <c r="I12" s="50">
        <v>4.46</v>
      </c>
      <c r="J12" s="50">
        <v>0.55000000000000004</v>
      </c>
      <c r="K12" s="50">
        <v>193.79</v>
      </c>
      <c r="L12" s="50">
        <v>21.19</v>
      </c>
      <c r="M12" s="50">
        <v>89.57</v>
      </c>
      <c r="N12" s="50">
        <v>0</v>
      </c>
      <c r="O12" s="50">
        <v>0.2</v>
      </c>
      <c r="P12" s="50">
        <v>0.46</v>
      </c>
      <c r="Q12" s="50">
        <v>5.04</v>
      </c>
    </row>
    <row r="13" spans="1:21" customFormat="1">
      <c r="A13" s="49">
        <v>45391.208333333336</v>
      </c>
      <c r="B13" s="50">
        <v>9.52</v>
      </c>
      <c r="C13" s="50">
        <v>27.19</v>
      </c>
      <c r="D13" s="50">
        <v>23.19</v>
      </c>
      <c r="E13" s="50">
        <v>12.5</v>
      </c>
      <c r="F13" s="50">
        <v>3.67</v>
      </c>
      <c r="G13" s="50">
        <v>26.11</v>
      </c>
      <c r="H13" s="50">
        <v>10.81</v>
      </c>
      <c r="I13" s="50">
        <v>4.41</v>
      </c>
      <c r="J13" s="50">
        <v>0.3</v>
      </c>
      <c r="K13" s="50">
        <v>277.8</v>
      </c>
      <c r="L13" s="50">
        <v>21.11</v>
      </c>
      <c r="M13" s="50">
        <v>82.79</v>
      </c>
      <c r="N13" s="50">
        <v>0</v>
      </c>
      <c r="O13" s="50">
        <v>0</v>
      </c>
      <c r="P13" s="50">
        <v>0.45</v>
      </c>
      <c r="Q13" s="50">
        <v>5.04</v>
      </c>
    </row>
    <row r="14" spans="1:21" customFormat="1">
      <c r="A14" s="49">
        <v>45391.25</v>
      </c>
      <c r="B14" s="50">
        <v>11.01</v>
      </c>
      <c r="C14" s="50">
        <v>27.74</v>
      </c>
      <c r="D14" s="50">
        <v>24.48</v>
      </c>
      <c r="E14" s="50">
        <v>12.47</v>
      </c>
      <c r="F14" s="50">
        <v>3.62</v>
      </c>
      <c r="G14" s="50">
        <v>39.96</v>
      </c>
      <c r="H14" s="50">
        <v>12.23</v>
      </c>
      <c r="I14" s="50">
        <v>4.3899999999999997</v>
      </c>
      <c r="J14" s="50">
        <v>1.96</v>
      </c>
      <c r="K14" s="50">
        <v>342.06</v>
      </c>
      <c r="L14" s="50">
        <v>21.55</v>
      </c>
      <c r="M14" s="50">
        <v>93.4</v>
      </c>
      <c r="N14" s="50">
        <v>0</v>
      </c>
      <c r="O14" s="50">
        <v>2.4</v>
      </c>
      <c r="P14" s="50">
        <v>0.45</v>
      </c>
      <c r="Q14" s="50">
        <v>5.05</v>
      </c>
    </row>
    <row r="15" spans="1:21" customFormat="1">
      <c r="A15" s="49">
        <v>45391.291666666664</v>
      </c>
      <c r="B15" s="50">
        <v>11.14</v>
      </c>
      <c r="C15" s="50">
        <v>27.16</v>
      </c>
      <c r="D15" s="50">
        <v>24.47</v>
      </c>
      <c r="E15" s="50">
        <v>11.92</v>
      </c>
      <c r="F15" s="50">
        <v>3.69</v>
      </c>
      <c r="G15" s="50">
        <v>39.96</v>
      </c>
      <c r="H15" s="50">
        <v>13.32</v>
      </c>
      <c r="I15" s="50">
        <v>4.53</v>
      </c>
      <c r="J15" s="50">
        <v>1.73</v>
      </c>
      <c r="K15" s="50">
        <v>265.72000000000003</v>
      </c>
      <c r="L15" s="50">
        <v>20.65</v>
      </c>
      <c r="M15" s="50">
        <v>99.37</v>
      </c>
      <c r="N15" s="50">
        <v>4.5</v>
      </c>
      <c r="O15" s="50">
        <v>6.4</v>
      </c>
      <c r="P15" s="50">
        <v>0.45</v>
      </c>
      <c r="Q15" s="50">
        <v>5.04</v>
      </c>
    </row>
    <row r="16" spans="1:21" customFormat="1">
      <c r="A16" s="49">
        <v>45391.333333333336</v>
      </c>
      <c r="B16" s="50">
        <v>9.6199999999999992</v>
      </c>
      <c r="C16" s="50">
        <v>26.6</v>
      </c>
      <c r="D16" s="50">
        <v>22.86</v>
      </c>
      <c r="E16" s="50">
        <v>11.81</v>
      </c>
      <c r="F16" s="50">
        <v>3.39</v>
      </c>
      <c r="G16" s="50">
        <v>31.46</v>
      </c>
      <c r="H16" s="50">
        <v>13.32</v>
      </c>
      <c r="I16" s="50">
        <v>4.49</v>
      </c>
      <c r="J16" s="50">
        <v>0.69</v>
      </c>
      <c r="K16" s="50">
        <v>358.2</v>
      </c>
      <c r="L16" s="50">
        <v>19.57</v>
      </c>
      <c r="M16" s="50">
        <v>100.68</v>
      </c>
      <c r="N16" s="50">
        <v>56.7</v>
      </c>
      <c r="O16" s="50">
        <v>0.2</v>
      </c>
      <c r="P16" s="50">
        <v>0.46</v>
      </c>
      <c r="Q16" s="50">
        <v>5.03</v>
      </c>
    </row>
    <row r="17" spans="1:17" customFormat="1">
      <c r="A17" s="49">
        <v>45391.375</v>
      </c>
      <c r="B17" s="50">
        <v>9.5</v>
      </c>
      <c r="C17" s="50">
        <v>26.06</v>
      </c>
      <c r="D17" s="50">
        <v>22.46</v>
      </c>
      <c r="E17" s="50">
        <v>11.91</v>
      </c>
      <c r="F17" s="50">
        <v>3.66</v>
      </c>
      <c r="G17" s="50">
        <v>31.24</v>
      </c>
      <c r="H17" s="50">
        <v>12.37</v>
      </c>
      <c r="I17" s="50">
        <v>4.47</v>
      </c>
      <c r="J17" s="50">
        <v>0.57999999999999996</v>
      </c>
      <c r="K17" s="50">
        <v>239.04</v>
      </c>
      <c r="L17" s="50">
        <v>22.56</v>
      </c>
      <c r="M17" s="50">
        <v>100.87</v>
      </c>
      <c r="N17" s="50">
        <v>177</v>
      </c>
      <c r="O17" s="50">
        <v>0</v>
      </c>
      <c r="P17" s="50">
        <v>0.45</v>
      </c>
      <c r="Q17" s="50">
        <v>5.04</v>
      </c>
    </row>
    <row r="18" spans="1:17" customFormat="1">
      <c r="A18" s="49">
        <v>45391.416666666664</v>
      </c>
      <c r="B18" s="50">
        <v>7.84</v>
      </c>
      <c r="C18" s="50">
        <v>26.01</v>
      </c>
      <c r="D18" s="50">
        <v>21.23</v>
      </c>
      <c r="E18" s="50">
        <v>11.81</v>
      </c>
      <c r="F18" s="50">
        <v>3.93</v>
      </c>
      <c r="G18" s="50">
        <v>22.98</v>
      </c>
      <c r="H18" s="50">
        <v>14.1</v>
      </c>
      <c r="I18" s="50">
        <v>4.3499999999999996</v>
      </c>
      <c r="J18" s="50">
        <v>0.47</v>
      </c>
      <c r="K18" s="50">
        <v>228.97</v>
      </c>
      <c r="L18" s="50">
        <v>25.19</v>
      </c>
      <c r="M18" s="50">
        <v>82.44</v>
      </c>
      <c r="N18" s="50">
        <v>311.2</v>
      </c>
      <c r="O18" s="50">
        <v>0</v>
      </c>
      <c r="P18" s="50">
        <v>0.46</v>
      </c>
      <c r="Q18" s="50">
        <v>5.04</v>
      </c>
    </row>
    <row r="19" spans="1:17" customFormat="1">
      <c r="A19" s="49">
        <v>45391.458333333336</v>
      </c>
      <c r="B19" s="50">
        <v>7.14</v>
      </c>
      <c r="C19" s="50">
        <v>25.33</v>
      </c>
      <c r="D19" s="50">
        <v>20.23</v>
      </c>
      <c r="E19" s="50">
        <v>11.9</v>
      </c>
      <c r="F19" s="50">
        <v>4.4800000000000004</v>
      </c>
      <c r="G19" s="50">
        <v>20.71</v>
      </c>
      <c r="H19" s="50">
        <v>14.1</v>
      </c>
      <c r="I19" s="50">
        <v>4.33</v>
      </c>
      <c r="J19" s="50">
        <v>0.51</v>
      </c>
      <c r="K19" s="50">
        <v>164</v>
      </c>
      <c r="L19" s="50">
        <v>27.75</v>
      </c>
      <c r="M19" s="50">
        <v>69.989999999999995</v>
      </c>
      <c r="N19" s="50">
        <v>697.8</v>
      </c>
      <c r="O19" s="50">
        <v>0</v>
      </c>
      <c r="P19" s="50">
        <v>0.46</v>
      </c>
      <c r="Q19" s="50">
        <v>5.04</v>
      </c>
    </row>
    <row r="20" spans="1:17" customFormat="1">
      <c r="A20" s="49">
        <v>45391.5</v>
      </c>
      <c r="B20" s="50">
        <v>6.63</v>
      </c>
      <c r="C20" s="50">
        <v>24.92</v>
      </c>
      <c r="D20" s="50">
        <v>19.690000000000001</v>
      </c>
      <c r="E20" s="50">
        <v>11.78</v>
      </c>
      <c r="F20" s="50">
        <v>5.42</v>
      </c>
      <c r="G20" s="50">
        <v>20.71</v>
      </c>
      <c r="H20" s="50">
        <v>14.57</v>
      </c>
      <c r="I20" s="50">
        <v>4.3499999999999996</v>
      </c>
      <c r="J20" s="50">
        <v>0.32</v>
      </c>
      <c r="K20" s="50">
        <v>240.72</v>
      </c>
      <c r="L20" s="50">
        <v>30.58</v>
      </c>
      <c r="M20" s="50">
        <v>57.39</v>
      </c>
      <c r="N20" s="50">
        <v>729.9</v>
      </c>
      <c r="O20" s="50">
        <v>0</v>
      </c>
      <c r="P20" s="50">
        <v>0.46</v>
      </c>
      <c r="Q20" s="50">
        <v>5.03</v>
      </c>
    </row>
    <row r="21" spans="1:17" customFormat="1">
      <c r="A21" s="49">
        <v>45391.541666666664</v>
      </c>
      <c r="B21" s="50">
        <v>6.58</v>
      </c>
      <c r="C21" s="50">
        <v>24.62</v>
      </c>
      <c r="D21" s="50">
        <v>19.32</v>
      </c>
      <c r="E21" s="50">
        <v>11.39</v>
      </c>
      <c r="F21" s="50">
        <v>5.23</v>
      </c>
      <c r="G21" s="50">
        <v>21.46</v>
      </c>
      <c r="H21" s="50">
        <v>14.57</v>
      </c>
      <c r="I21" s="50">
        <v>4.3099999999999996</v>
      </c>
      <c r="J21" s="50">
        <v>0.49</v>
      </c>
      <c r="K21" s="50">
        <v>268.95</v>
      </c>
      <c r="L21" s="50">
        <v>30.48</v>
      </c>
      <c r="M21" s="50">
        <v>52.01</v>
      </c>
      <c r="N21" s="50">
        <v>635.70000000000005</v>
      </c>
      <c r="O21" s="50">
        <v>0</v>
      </c>
      <c r="P21" s="50">
        <v>0.46</v>
      </c>
      <c r="Q21" s="50">
        <v>5.03</v>
      </c>
    </row>
    <row r="22" spans="1:17" customFormat="1">
      <c r="A22" s="49">
        <v>45391.583333333336</v>
      </c>
      <c r="B22" s="50">
        <v>7.05</v>
      </c>
      <c r="C22" s="50">
        <v>23.3</v>
      </c>
      <c r="D22" s="50">
        <v>18.86</v>
      </c>
      <c r="E22" s="50">
        <v>11.53</v>
      </c>
      <c r="F22" s="50">
        <v>7.53</v>
      </c>
      <c r="G22" s="50">
        <v>21.46</v>
      </c>
      <c r="H22" s="50">
        <v>13.61</v>
      </c>
      <c r="I22" s="50">
        <v>4.45</v>
      </c>
      <c r="J22" s="50">
        <v>0.43</v>
      </c>
      <c r="K22" s="50">
        <v>272.56</v>
      </c>
      <c r="L22" s="50">
        <v>31.64</v>
      </c>
      <c r="M22" s="50">
        <v>52.53</v>
      </c>
      <c r="N22" s="50">
        <v>663.1</v>
      </c>
      <c r="O22" s="50">
        <v>0</v>
      </c>
      <c r="P22" s="50">
        <v>0.46</v>
      </c>
      <c r="Q22" s="50">
        <v>5</v>
      </c>
    </row>
    <row r="23" spans="1:17" customFormat="1">
      <c r="A23" s="49">
        <v>45391.625</v>
      </c>
      <c r="B23" s="50">
        <v>7.16</v>
      </c>
      <c r="C23" s="50">
        <v>20.16</v>
      </c>
      <c r="D23" s="50">
        <v>17.579999999999998</v>
      </c>
      <c r="E23" s="50">
        <v>11.55</v>
      </c>
      <c r="F23" s="50">
        <v>9.0299999999999994</v>
      </c>
      <c r="G23" s="50">
        <v>20.72</v>
      </c>
      <c r="H23" s="50">
        <v>16.059999999999999</v>
      </c>
      <c r="I23" s="50">
        <v>4.49</v>
      </c>
      <c r="J23" s="50">
        <v>0.31</v>
      </c>
      <c r="K23" s="50">
        <v>277.05</v>
      </c>
      <c r="L23" s="50">
        <v>32.39</v>
      </c>
      <c r="M23" s="50">
        <v>47.29</v>
      </c>
      <c r="N23" s="50">
        <v>584.4</v>
      </c>
      <c r="O23" s="50">
        <v>0</v>
      </c>
      <c r="P23" s="50">
        <v>0.46</v>
      </c>
      <c r="Q23" s="50">
        <v>5.01</v>
      </c>
    </row>
    <row r="24" spans="1:17" customFormat="1">
      <c r="A24" s="49">
        <v>45391.666666666664</v>
      </c>
      <c r="B24" s="50">
        <v>7.23</v>
      </c>
      <c r="C24" s="50">
        <v>18.75</v>
      </c>
      <c r="D24" s="50">
        <v>16.93</v>
      </c>
      <c r="E24" s="50">
        <v>11.91</v>
      </c>
      <c r="F24" s="50">
        <v>10.55</v>
      </c>
      <c r="G24" s="50">
        <v>20.72</v>
      </c>
      <c r="H24" s="50">
        <v>16.059999999999999</v>
      </c>
      <c r="I24" s="50">
        <v>4.49</v>
      </c>
      <c r="J24" s="50">
        <v>0.27</v>
      </c>
      <c r="K24" s="50">
        <v>235.12</v>
      </c>
      <c r="L24" s="50">
        <v>32.65</v>
      </c>
      <c r="M24" s="50">
        <v>40.450000000000003</v>
      </c>
      <c r="N24" s="50">
        <v>493.2</v>
      </c>
      <c r="O24" s="50">
        <v>0</v>
      </c>
      <c r="P24" s="50">
        <v>0.45</v>
      </c>
      <c r="Q24" s="50">
        <v>5.0199999999999996</v>
      </c>
    </row>
    <row r="25" spans="1:17" customFormat="1">
      <c r="A25" s="49">
        <v>45391.708333333336</v>
      </c>
      <c r="B25" s="50">
        <v>7.33</v>
      </c>
      <c r="C25" s="50">
        <v>17.96</v>
      </c>
      <c r="D25" s="50">
        <v>16.61</v>
      </c>
      <c r="E25" s="50">
        <v>11.94</v>
      </c>
      <c r="F25" s="50">
        <v>13.97</v>
      </c>
      <c r="G25" s="50">
        <v>18.190000000000001</v>
      </c>
      <c r="H25" s="50">
        <v>11.24</v>
      </c>
      <c r="I25" s="50">
        <v>4.3899999999999997</v>
      </c>
      <c r="J25" s="50">
        <v>0.25</v>
      </c>
      <c r="K25" s="50">
        <v>179.48</v>
      </c>
      <c r="L25" s="50">
        <v>31.92</v>
      </c>
      <c r="M25" s="50">
        <v>49.84</v>
      </c>
      <c r="N25" s="50">
        <v>275</v>
      </c>
      <c r="O25" s="50">
        <v>0</v>
      </c>
      <c r="P25" s="50">
        <v>0.45</v>
      </c>
      <c r="Q25" s="50">
        <v>5.03</v>
      </c>
    </row>
    <row r="26" spans="1:17" customFormat="1">
      <c r="A26" s="49">
        <v>45391.75</v>
      </c>
      <c r="B26" s="50">
        <v>7.79</v>
      </c>
      <c r="C26" s="50">
        <v>18.88</v>
      </c>
      <c r="D26" s="50">
        <v>17.46</v>
      </c>
      <c r="E26" s="50">
        <v>12.2</v>
      </c>
      <c r="F26" s="50">
        <v>13.33</v>
      </c>
      <c r="G26" s="50">
        <v>17.03</v>
      </c>
      <c r="H26" s="50">
        <v>8.92</v>
      </c>
      <c r="I26" s="50">
        <v>4.37</v>
      </c>
      <c r="J26" s="50">
        <v>0.14000000000000001</v>
      </c>
      <c r="K26" s="50">
        <v>200.63</v>
      </c>
      <c r="L26" s="50">
        <v>29.16</v>
      </c>
      <c r="M26" s="50">
        <v>60.05</v>
      </c>
      <c r="N26" s="50">
        <v>41.8</v>
      </c>
      <c r="O26" s="50">
        <v>0</v>
      </c>
      <c r="P26" s="50">
        <v>0.46</v>
      </c>
      <c r="Q26" s="50">
        <v>5</v>
      </c>
    </row>
    <row r="27" spans="1:17" customFormat="1">
      <c r="A27" s="49">
        <v>45391.791666666664</v>
      </c>
      <c r="B27" s="50">
        <v>7.67</v>
      </c>
      <c r="C27" s="50">
        <v>21.67</v>
      </c>
      <c r="D27" s="50">
        <v>18.600000000000001</v>
      </c>
      <c r="E27" s="50">
        <v>12.8</v>
      </c>
      <c r="F27" s="50">
        <v>6.81</v>
      </c>
      <c r="G27" s="50">
        <v>20.100000000000001</v>
      </c>
      <c r="H27" s="50">
        <v>15.37</v>
      </c>
      <c r="I27" s="50">
        <v>4.54</v>
      </c>
      <c r="J27" s="50">
        <v>0.2</v>
      </c>
      <c r="K27" s="50">
        <v>182.01</v>
      </c>
      <c r="L27" s="50">
        <v>27.57</v>
      </c>
      <c r="M27" s="50">
        <v>67.540000000000006</v>
      </c>
      <c r="N27" s="50">
        <v>0</v>
      </c>
      <c r="O27" s="50">
        <v>0</v>
      </c>
      <c r="P27" s="50">
        <v>0.5</v>
      </c>
      <c r="Q27" s="50">
        <v>5.04</v>
      </c>
    </row>
    <row r="28" spans="1:17" customFormat="1">
      <c r="A28" s="49">
        <v>45391.833333333336</v>
      </c>
      <c r="B28" s="50">
        <v>7.85</v>
      </c>
      <c r="C28" s="50">
        <v>23.22</v>
      </c>
      <c r="D28" s="50">
        <v>19.78</v>
      </c>
      <c r="E28" s="50">
        <v>12.92</v>
      </c>
      <c r="F28" s="50">
        <v>4.3099999999999996</v>
      </c>
      <c r="G28" s="50">
        <v>23.71</v>
      </c>
      <c r="H28" s="50">
        <v>16.23</v>
      </c>
      <c r="I28" s="50">
        <v>4.9400000000000004</v>
      </c>
      <c r="J28" s="50">
        <v>0.18</v>
      </c>
      <c r="K28" s="50">
        <v>212.85</v>
      </c>
      <c r="L28" s="50">
        <v>26.12</v>
      </c>
      <c r="M28" s="50">
        <v>76.319999999999993</v>
      </c>
      <c r="N28" s="50">
        <v>0</v>
      </c>
      <c r="O28" s="50">
        <v>0</v>
      </c>
      <c r="P28" s="50">
        <v>0.54</v>
      </c>
      <c r="Q28" s="50">
        <v>5.05</v>
      </c>
    </row>
    <row r="29" spans="1:17" customFormat="1">
      <c r="A29" s="49">
        <v>45391.875</v>
      </c>
      <c r="B29" s="50">
        <v>8.49</v>
      </c>
      <c r="C29" s="50">
        <v>24.04</v>
      </c>
      <c r="D29" s="50">
        <v>20.72</v>
      </c>
      <c r="E29" s="50">
        <v>13.26</v>
      </c>
      <c r="F29" s="50">
        <v>3.26</v>
      </c>
      <c r="G29" s="50">
        <v>26.57</v>
      </c>
      <c r="H29" s="50">
        <v>16.23</v>
      </c>
      <c r="I29" s="50">
        <v>5.2</v>
      </c>
      <c r="J29" s="50">
        <v>0.27</v>
      </c>
      <c r="K29" s="50">
        <v>248.63</v>
      </c>
      <c r="L29" s="50">
        <v>25.46</v>
      </c>
      <c r="M29" s="50">
        <v>77.62</v>
      </c>
      <c r="N29" s="50">
        <v>0</v>
      </c>
      <c r="O29" s="50">
        <v>0</v>
      </c>
      <c r="P29" s="50">
        <v>0.56999999999999995</v>
      </c>
      <c r="Q29" s="50">
        <v>5.0599999999999996</v>
      </c>
    </row>
    <row r="30" spans="1:17" customFormat="1">
      <c r="A30" s="49">
        <v>45391.916666666664</v>
      </c>
      <c r="B30" s="50">
        <v>12.91</v>
      </c>
      <c r="C30" s="50">
        <v>26.87</v>
      </c>
      <c r="D30" s="50">
        <v>25.74</v>
      </c>
      <c r="E30" s="50">
        <v>13.08</v>
      </c>
      <c r="F30" s="50">
        <v>3.11</v>
      </c>
      <c r="G30" s="50">
        <v>39.24</v>
      </c>
      <c r="H30" s="50">
        <v>20.46</v>
      </c>
      <c r="I30" s="50">
        <v>5.75</v>
      </c>
      <c r="J30" s="50">
        <v>0.3</v>
      </c>
      <c r="K30" s="50">
        <v>177.66</v>
      </c>
      <c r="L30" s="50">
        <v>25.33</v>
      </c>
      <c r="M30" s="50">
        <v>80.39</v>
      </c>
      <c r="N30" s="50">
        <v>0</v>
      </c>
      <c r="O30" s="50">
        <v>0</v>
      </c>
      <c r="P30" s="50">
        <v>0.66</v>
      </c>
      <c r="Q30" s="50">
        <v>5.0599999999999996</v>
      </c>
    </row>
    <row r="31" spans="1:17" customFormat="1">
      <c r="A31" s="49">
        <v>45391.958333333336</v>
      </c>
      <c r="B31" s="50">
        <v>17.55</v>
      </c>
      <c r="C31" s="50">
        <v>28.21</v>
      </c>
      <c r="D31" s="50">
        <v>30.06</v>
      </c>
      <c r="E31" s="50">
        <v>13.63</v>
      </c>
      <c r="F31" s="50">
        <v>3.05</v>
      </c>
      <c r="G31" s="50">
        <v>44.34</v>
      </c>
      <c r="H31" s="50">
        <v>20.46</v>
      </c>
      <c r="I31" s="50">
        <v>6.32</v>
      </c>
      <c r="J31" s="50">
        <v>0.18</v>
      </c>
      <c r="K31" s="50">
        <v>230.71</v>
      </c>
      <c r="L31" s="50">
        <v>24.36</v>
      </c>
      <c r="M31" s="50">
        <v>90.96</v>
      </c>
      <c r="N31" s="50">
        <v>0</v>
      </c>
      <c r="O31" s="50">
        <v>0</v>
      </c>
      <c r="P31" s="50">
        <v>0.71</v>
      </c>
      <c r="Q31" s="50">
        <v>5.08</v>
      </c>
    </row>
    <row r="32" spans="1:17" customFormat="1">
      <c r="A32" s="49">
        <v>45392</v>
      </c>
      <c r="B32" s="50">
        <v>24.75</v>
      </c>
      <c r="C32" s="50">
        <v>28.15</v>
      </c>
      <c r="D32" s="50">
        <v>35.909999999999997</v>
      </c>
      <c r="E32" s="50">
        <v>13.47</v>
      </c>
      <c r="F32" s="50">
        <v>3.11</v>
      </c>
      <c r="G32" s="50">
        <v>54.75</v>
      </c>
      <c r="H32" s="50">
        <v>22.37</v>
      </c>
      <c r="I32" s="50">
        <v>6.9</v>
      </c>
      <c r="J32" s="50">
        <v>0.26</v>
      </c>
      <c r="K32" s="50">
        <v>241.38</v>
      </c>
      <c r="L32" s="50">
        <v>24.38</v>
      </c>
      <c r="M32" s="50">
        <v>90.9</v>
      </c>
      <c r="N32" s="50">
        <v>0</v>
      </c>
      <c r="O32" s="50">
        <v>0</v>
      </c>
      <c r="P32" s="50">
        <v>0.77</v>
      </c>
      <c r="Q32" s="50">
        <v>5.08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6.58</v>
      </c>
      <c r="C34" s="40">
        <f t="shared" si="0"/>
        <v>17.96</v>
      </c>
      <c r="D34" s="40">
        <f t="shared" si="0"/>
        <v>16.61</v>
      </c>
      <c r="E34" s="40">
        <f t="shared" si="0"/>
        <v>11.39</v>
      </c>
      <c r="F34" s="40">
        <f t="shared" si="0"/>
        <v>3</v>
      </c>
      <c r="G34" s="40">
        <f t="shared" si="0"/>
        <v>17.03</v>
      </c>
      <c r="H34" s="40">
        <f t="shared" si="0"/>
        <v>8.92</v>
      </c>
      <c r="I34" s="40">
        <f t="shared" si="0"/>
        <v>4.3099999999999996</v>
      </c>
      <c r="J34" s="40">
        <f t="shared" si="0"/>
        <v>0.14000000000000001</v>
      </c>
      <c r="K34" s="40">
        <f t="shared" si="0"/>
        <v>164</v>
      </c>
      <c r="L34" s="40">
        <f t="shared" si="0"/>
        <v>19.57</v>
      </c>
      <c r="M34" s="40">
        <f t="shared" si="0"/>
        <v>40.450000000000003</v>
      </c>
      <c r="N34" s="40">
        <f t="shared" si="0"/>
        <v>0</v>
      </c>
      <c r="O34" s="40">
        <f t="shared" si="0"/>
        <v>0</v>
      </c>
      <c r="P34" s="40">
        <f t="shared" si="0"/>
        <v>0.45</v>
      </c>
      <c r="Q34" s="40">
        <f t="shared" si="0"/>
        <v>5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24.75</v>
      </c>
      <c r="C35" s="33">
        <f t="shared" si="1"/>
        <v>30.59</v>
      </c>
      <c r="D35" s="33">
        <f t="shared" si="1"/>
        <v>35.909999999999997</v>
      </c>
      <c r="E35" s="33">
        <f t="shared" si="1"/>
        <v>15.88</v>
      </c>
      <c r="F35" s="33">
        <f t="shared" si="1"/>
        <v>13.97</v>
      </c>
      <c r="G35" s="33">
        <f t="shared" si="1"/>
        <v>54.75</v>
      </c>
      <c r="H35" s="33">
        <f t="shared" si="1"/>
        <v>22.37</v>
      </c>
      <c r="I35" s="33">
        <f t="shared" si="1"/>
        <v>6.9</v>
      </c>
      <c r="J35" s="33">
        <f t="shared" si="1"/>
        <v>2.3199999999999998</v>
      </c>
      <c r="K35" s="33">
        <f t="shared" si="1"/>
        <v>358.2</v>
      </c>
      <c r="L35" s="33">
        <f t="shared" si="1"/>
        <v>32.65</v>
      </c>
      <c r="M35" s="33">
        <f t="shared" si="1"/>
        <v>100.87</v>
      </c>
      <c r="N35" s="33">
        <f t="shared" si="1"/>
        <v>729.9</v>
      </c>
      <c r="O35" s="33">
        <f t="shared" si="1"/>
        <v>6.4</v>
      </c>
      <c r="P35" s="33">
        <f t="shared" si="1"/>
        <v>0.77</v>
      </c>
      <c r="Q35" s="33">
        <f t="shared" si="1"/>
        <v>5.08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9.8566666666666674</v>
      </c>
      <c r="C36" s="40">
        <f t="shared" si="2"/>
        <v>25.212500000000002</v>
      </c>
      <c r="D36" s="40">
        <f t="shared" si="2"/>
        <v>22.370000000000005</v>
      </c>
      <c r="E36" s="40">
        <f t="shared" si="2"/>
        <v>12.574583333333335</v>
      </c>
      <c r="F36" s="40">
        <f t="shared" si="2"/>
        <v>5.3458333333333341</v>
      </c>
      <c r="G36" s="40">
        <f t="shared" si="2"/>
        <v>28.055833333333336</v>
      </c>
      <c r="H36" s="40">
        <f t="shared" si="2"/>
        <v>14.191249999999998</v>
      </c>
      <c r="I36" s="40">
        <f t="shared" si="2"/>
        <v>4.7562500000000005</v>
      </c>
      <c r="J36" s="40">
        <f t="shared" si="2"/>
        <v>0.55583333333333329</v>
      </c>
      <c r="K36" s="40">
        <f t="shared" si="2"/>
        <v>243.07874999999999</v>
      </c>
      <c r="L36" s="40">
        <f t="shared" si="2"/>
        <v>25.672500000000003</v>
      </c>
      <c r="M36" s="40">
        <f t="shared" si="2"/>
        <v>77.320000000000007</v>
      </c>
      <c r="N36" s="40">
        <f t="shared" si="2"/>
        <v>194.59583333333333</v>
      </c>
      <c r="O36" s="40">
        <f t="shared" si="2"/>
        <v>0.5</v>
      </c>
      <c r="P36" s="40">
        <f t="shared" si="2"/>
        <v>0.50333333333333341</v>
      </c>
      <c r="Q36" s="40">
        <f t="shared" si="2"/>
        <v>5.041666666666667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4.0221535078337931</v>
      </c>
      <c r="C37" s="40">
        <f t="shared" ref="C37:Q37" si="3">STDEV(C9:C32)</f>
        <v>3.5939771478308704</v>
      </c>
      <c r="D37" s="40">
        <f t="shared" si="3"/>
        <v>4.4949643322084292</v>
      </c>
      <c r="E37" s="40">
        <f t="shared" si="3"/>
        <v>1.0855212299074117</v>
      </c>
      <c r="F37" s="40">
        <f t="shared" si="3"/>
        <v>3.2406721211966887</v>
      </c>
      <c r="G37" s="40">
        <f t="shared" si="3"/>
        <v>9.513992403259282</v>
      </c>
      <c r="H37" s="40">
        <f t="shared" si="3"/>
        <v>3.3587126318692868</v>
      </c>
      <c r="I37" s="40">
        <f t="shared" si="3"/>
        <v>0.66333028365768965</v>
      </c>
      <c r="J37" s="40">
        <f t="shared" si="3"/>
        <v>0.58237830724849582</v>
      </c>
      <c r="K37" s="40">
        <f t="shared" si="3"/>
        <v>50.964446030925963</v>
      </c>
      <c r="L37" s="40">
        <f t="shared" si="3"/>
        <v>4.283591798438759</v>
      </c>
      <c r="M37" s="40">
        <f t="shared" si="3"/>
        <v>19.6029261347248</v>
      </c>
      <c r="N37" s="40">
        <f t="shared" si="3"/>
        <v>275.69875254668295</v>
      </c>
      <c r="O37" s="40">
        <f t="shared" si="3"/>
        <v>1.4542292146342173</v>
      </c>
      <c r="P37" s="40">
        <f t="shared" si="3"/>
        <v>8.8350422191685596E-2</v>
      </c>
      <c r="Q37" s="40">
        <f t="shared" si="3"/>
        <v>2.1602468994692838E-2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45392.041666666664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45392.041666666664</v>
      </c>
      <c r="B9" s="50">
        <v>27.45</v>
      </c>
      <c r="C9" s="50">
        <v>28.44</v>
      </c>
      <c r="D9" s="50">
        <v>38.229999999999997</v>
      </c>
      <c r="E9" s="50">
        <v>14.15</v>
      </c>
      <c r="F9" s="50">
        <v>3.16</v>
      </c>
      <c r="G9" s="50">
        <v>59.11</v>
      </c>
      <c r="H9" s="50">
        <v>23.88</v>
      </c>
      <c r="I9" s="50">
        <v>7.41</v>
      </c>
      <c r="J9" s="50">
        <v>0.33</v>
      </c>
      <c r="K9" s="50">
        <v>253.87</v>
      </c>
      <c r="L9" s="50">
        <v>24.33</v>
      </c>
      <c r="M9" s="50">
        <v>92.58</v>
      </c>
      <c r="N9" s="50">
        <v>0</v>
      </c>
      <c r="O9" s="50">
        <v>0</v>
      </c>
      <c r="P9" s="50">
        <v>0.83</v>
      </c>
      <c r="Q9" s="50">
        <v>5.0999999999999996</v>
      </c>
    </row>
    <row r="10" spans="1:21" customFormat="1">
      <c r="A10" s="49">
        <v>45392.083333333336</v>
      </c>
      <c r="B10" s="50">
        <v>28.39</v>
      </c>
      <c r="C10" s="50">
        <v>27.97</v>
      </c>
      <c r="D10" s="50">
        <v>38.57</v>
      </c>
      <c r="E10" s="50">
        <v>14.67</v>
      </c>
      <c r="F10" s="50">
        <v>3.38</v>
      </c>
      <c r="G10" s="50">
        <v>59.11</v>
      </c>
      <c r="H10" s="50">
        <v>23.88</v>
      </c>
      <c r="I10" s="50">
        <v>7.92</v>
      </c>
      <c r="J10" s="50">
        <v>1.0900000000000001</v>
      </c>
      <c r="K10" s="50">
        <v>317.68</v>
      </c>
      <c r="L10" s="50">
        <v>25.04</v>
      </c>
      <c r="M10" s="50">
        <v>81.17</v>
      </c>
      <c r="N10" s="50">
        <v>0</v>
      </c>
      <c r="O10" s="50">
        <v>0</v>
      </c>
      <c r="P10" s="50">
        <v>0.86</v>
      </c>
      <c r="Q10" s="50">
        <v>5.13</v>
      </c>
    </row>
    <row r="11" spans="1:21" customFormat="1">
      <c r="A11" s="49">
        <v>45392.125</v>
      </c>
      <c r="B11" s="50">
        <v>28.07</v>
      </c>
      <c r="C11" s="50">
        <v>27.37</v>
      </c>
      <c r="D11" s="50">
        <v>38.119999999999997</v>
      </c>
      <c r="E11" s="50">
        <v>15.58</v>
      </c>
      <c r="F11" s="50">
        <v>4.0999999999999996</v>
      </c>
      <c r="G11" s="50">
        <v>56.03</v>
      </c>
      <c r="H11" s="50">
        <v>22</v>
      </c>
      <c r="I11" s="50">
        <v>8.25</v>
      </c>
      <c r="J11" s="50">
        <v>2.35</v>
      </c>
      <c r="K11" s="50">
        <v>325.29000000000002</v>
      </c>
      <c r="L11" s="50">
        <v>24.74</v>
      </c>
      <c r="M11" s="50">
        <v>81.260000000000005</v>
      </c>
      <c r="N11" s="50">
        <v>0</v>
      </c>
      <c r="O11" s="50">
        <v>0</v>
      </c>
      <c r="P11" s="50">
        <v>0.83</v>
      </c>
      <c r="Q11" s="50">
        <v>5.13</v>
      </c>
    </row>
    <row r="12" spans="1:21" customFormat="1">
      <c r="A12" s="49">
        <v>45392.166666666664</v>
      </c>
      <c r="B12" s="50">
        <v>23.45</v>
      </c>
      <c r="C12" s="50">
        <v>27.61</v>
      </c>
      <c r="D12" s="50">
        <v>34.29</v>
      </c>
      <c r="E12" s="50">
        <v>15.33</v>
      </c>
      <c r="F12" s="50">
        <v>3.23</v>
      </c>
      <c r="G12" s="50">
        <v>50.6</v>
      </c>
      <c r="H12" s="50">
        <v>20.48</v>
      </c>
      <c r="I12" s="50">
        <v>8.19</v>
      </c>
      <c r="J12" s="50">
        <v>0.28999999999999998</v>
      </c>
      <c r="K12" s="50">
        <v>185.32</v>
      </c>
      <c r="L12" s="50">
        <v>23.3</v>
      </c>
      <c r="M12" s="50">
        <v>86.67</v>
      </c>
      <c r="N12" s="50">
        <v>0</v>
      </c>
      <c r="O12" s="50">
        <v>0</v>
      </c>
      <c r="P12" s="50">
        <v>0.79</v>
      </c>
      <c r="Q12" s="50">
        <v>5.0999999999999996</v>
      </c>
    </row>
    <row r="13" spans="1:21" customFormat="1">
      <c r="A13" s="49">
        <v>45392.208333333336</v>
      </c>
      <c r="B13" s="50">
        <v>19.77</v>
      </c>
      <c r="C13" s="50">
        <v>28.68</v>
      </c>
      <c r="D13" s="50">
        <v>31.73</v>
      </c>
      <c r="E13" s="50">
        <v>15.2</v>
      </c>
      <c r="F13" s="50">
        <v>2.91</v>
      </c>
      <c r="G13" s="50">
        <v>45.65</v>
      </c>
      <c r="H13" s="50">
        <v>18.09</v>
      </c>
      <c r="I13" s="50">
        <v>7.79</v>
      </c>
      <c r="J13" s="50">
        <v>0.45</v>
      </c>
      <c r="K13" s="50">
        <v>223.89</v>
      </c>
      <c r="L13" s="50">
        <v>23.09</v>
      </c>
      <c r="M13" s="50">
        <v>86.75</v>
      </c>
      <c r="N13" s="50">
        <v>0</v>
      </c>
      <c r="O13" s="50">
        <v>0</v>
      </c>
      <c r="P13" s="50">
        <v>0.75</v>
      </c>
      <c r="Q13" s="50">
        <v>5.12</v>
      </c>
    </row>
    <row r="14" spans="1:21" customFormat="1">
      <c r="A14" s="49">
        <v>45392.25</v>
      </c>
      <c r="B14" s="50">
        <v>15.78</v>
      </c>
      <c r="C14" s="50">
        <v>28.29</v>
      </c>
      <c r="D14" s="50">
        <v>28.74</v>
      </c>
      <c r="E14" s="50">
        <v>15.29</v>
      </c>
      <c r="F14" s="50">
        <v>2.99</v>
      </c>
      <c r="G14" s="50">
        <v>41.97</v>
      </c>
      <c r="H14" s="50">
        <v>17.41</v>
      </c>
      <c r="I14" s="50">
        <v>7.09</v>
      </c>
      <c r="J14" s="50">
        <v>0.13</v>
      </c>
      <c r="K14" s="50">
        <v>215.13</v>
      </c>
      <c r="L14" s="50">
        <v>22.28</v>
      </c>
      <c r="M14" s="50">
        <v>94.15</v>
      </c>
      <c r="N14" s="50">
        <v>3.5</v>
      </c>
      <c r="O14" s="50">
        <v>0</v>
      </c>
      <c r="P14" s="50">
        <v>0.7</v>
      </c>
      <c r="Q14" s="50">
        <v>5.1100000000000003</v>
      </c>
    </row>
    <row r="15" spans="1:21" customFormat="1">
      <c r="A15" s="49">
        <v>45392.291666666664</v>
      </c>
      <c r="B15" s="50">
        <v>13.61</v>
      </c>
      <c r="C15" s="50">
        <v>27.98</v>
      </c>
      <c r="D15" s="50">
        <v>26.88</v>
      </c>
      <c r="E15" s="50">
        <v>14.82</v>
      </c>
      <c r="F15" s="50">
        <v>3.06</v>
      </c>
      <c r="G15" s="50">
        <v>37.630000000000003</v>
      </c>
      <c r="H15" s="50">
        <v>17.41</v>
      </c>
      <c r="I15" s="50">
        <v>6.57</v>
      </c>
      <c r="J15" s="50">
        <v>0.46</v>
      </c>
      <c r="K15" s="50">
        <v>259.35000000000002</v>
      </c>
      <c r="L15" s="50">
        <v>23.36</v>
      </c>
      <c r="M15" s="50">
        <v>90.79</v>
      </c>
      <c r="N15" s="50">
        <v>55.9</v>
      </c>
      <c r="O15" s="50">
        <v>0</v>
      </c>
      <c r="P15" s="50">
        <v>0.65</v>
      </c>
      <c r="Q15" s="50">
        <v>5.0999999999999996</v>
      </c>
    </row>
    <row r="16" spans="1:21" customFormat="1">
      <c r="A16" s="49">
        <v>45392.333333333336</v>
      </c>
      <c r="B16" s="50">
        <v>11.98</v>
      </c>
      <c r="C16" s="50">
        <v>27.45</v>
      </c>
      <c r="D16" s="50">
        <v>25.11</v>
      </c>
      <c r="E16" s="50">
        <v>14.86</v>
      </c>
      <c r="F16" s="50">
        <v>3.32</v>
      </c>
      <c r="G16" s="50">
        <v>33.200000000000003</v>
      </c>
      <c r="H16" s="50">
        <v>17.25</v>
      </c>
      <c r="I16" s="50">
        <v>6.26</v>
      </c>
      <c r="J16" s="50">
        <v>0.52</v>
      </c>
      <c r="K16" s="50">
        <v>275.55</v>
      </c>
      <c r="L16" s="50">
        <v>25.96</v>
      </c>
      <c r="M16" s="50">
        <v>85.65</v>
      </c>
      <c r="N16" s="50">
        <v>242.7</v>
      </c>
      <c r="O16" s="50">
        <v>0</v>
      </c>
      <c r="P16" s="50">
        <v>0.63</v>
      </c>
      <c r="Q16" s="50">
        <v>5.08</v>
      </c>
    </row>
    <row r="17" spans="1:17" customFormat="1">
      <c r="A17" s="49">
        <v>45392.375</v>
      </c>
      <c r="B17" s="50">
        <v>9.8800000000000008</v>
      </c>
      <c r="C17" s="50">
        <v>27.46</v>
      </c>
      <c r="D17" s="50">
        <v>23.62</v>
      </c>
      <c r="E17" s="50">
        <v>14.94</v>
      </c>
      <c r="F17" s="50">
        <v>4.37</v>
      </c>
      <c r="G17" s="50">
        <v>33.4</v>
      </c>
      <c r="H17" s="50">
        <v>16.96</v>
      </c>
      <c r="I17" s="50">
        <v>6.07</v>
      </c>
      <c r="J17" s="50">
        <v>0.59</v>
      </c>
      <c r="K17" s="50">
        <v>277.73</v>
      </c>
      <c r="L17" s="50">
        <v>28.51</v>
      </c>
      <c r="M17" s="50">
        <v>71.400000000000006</v>
      </c>
      <c r="N17" s="50">
        <v>278.89999999999998</v>
      </c>
      <c r="O17" s="50">
        <v>0</v>
      </c>
      <c r="P17" s="50">
        <v>0.62</v>
      </c>
      <c r="Q17" s="50">
        <v>5.05</v>
      </c>
    </row>
    <row r="18" spans="1:17" customFormat="1">
      <c r="A18" s="49">
        <v>45392.416666666664</v>
      </c>
      <c r="B18" s="50">
        <v>9.4499999999999993</v>
      </c>
      <c r="C18" s="50">
        <v>23.23</v>
      </c>
      <c r="D18" s="50">
        <v>21.07</v>
      </c>
      <c r="E18" s="50">
        <v>15.41</v>
      </c>
      <c r="F18" s="50">
        <v>6.85</v>
      </c>
      <c r="G18" s="50">
        <v>35.65</v>
      </c>
      <c r="H18" s="50">
        <v>18.940000000000001</v>
      </c>
      <c r="I18" s="50">
        <v>6.41</v>
      </c>
      <c r="J18" s="50">
        <v>0.53</v>
      </c>
      <c r="K18" s="50">
        <v>347.05</v>
      </c>
      <c r="L18" s="50">
        <v>31.08</v>
      </c>
      <c r="M18" s="50">
        <v>59.68</v>
      </c>
      <c r="N18" s="50">
        <v>617.20000000000005</v>
      </c>
      <c r="O18" s="50">
        <v>0</v>
      </c>
      <c r="P18" s="50">
        <v>0.63</v>
      </c>
      <c r="Q18" s="50">
        <v>5.04</v>
      </c>
    </row>
    <row r="19" spans="1:17" customFormat="1">
      <c r="A19" s="49">
        <v>45392.458333333336</v>
      </c>
      <c r="B19" s="50">
        <v>8.59</v>
      </c>
      <c r="C19" s="50">
        <v>22.01</v>
      </c>
      <c r="D19" s="50">
        <v>19.309999999999999</v>
      </c>
      <c r="E19" s="50">
        <v>13.51</v>
      </c>
      <c r="F19" s="50">
        <v>9.69</v>
      </c>
      <c r="G19" s="50">
        <v>35.65</v>
      </c>
      <c r="H19" s="50">
        <v>18.940000000000001</v>
      </c>
      <c r="I19" s="50">
        <v>6.45</v>
      </c>
      <c r="J19" s="50">
        <v>0.71</v>
      </c>
      <c r="K19" s="50">
        <v>277.08</v>
      </c>
      <c r="L19" s="50">
        <v>33.06</v>
      </c>
      <c r="M19" s="50">
        <v>50.99</v>
      </c>
      <c r="N19" s="50">
        <v>698.9</v>
      </c>
      <c r="O19" s="50">
        <v>0</v>
      </c>
      <c r="P19" s="50">
        <v>0.63</v>
      </c>
      <c r="Q19" s="50">
        <v>5.04</v>
      </c>
    </row>
    <row r="20" spans="1:17" customFormat="1">
      <c r="A20" s="49">
        <v>45392.5</v>
      </c>
      <c r="B20" s="50">
        <v>6.65</v>
      </c>
      <c r="C20" s="50">
        <v>20.75</v>
      </c>
      <c r="D20" s="50">
        <v>17.45</v>
      </c>
      <c r="E20" s="50">
        <v>13.45</v>
      </c>
      <c r="F20" s="50">
        <v>14.6</v>
      </c>
      <c r="G20" s="50">
        <v>34.71</v>
      </c>
      <c r="H20" s="50">
        <v>18.47</v>
      </c>
      <c r="I20" s="50">
        <v>6.45</v>
      </c>
      <c r="J20" s="50">
        <v>0.77</v>
      </c>
      <c r="K20" s="50">
        <v>318.56</v>
      </c>
      <c r="L20" s="50">
        <v>34.409999999999997</v>
      </c>
      <c r="M20" s="50">
        <v>41.22</v>
      </c>
      <c r="N20" s="50">
        <v>838.4</v>
      </c>
      <c r="O20" s="50">
        <v>0</v>
      </c>
      <c r="P20" s="50">
        <v>0.64</v>
      </c>
      <c r="Q20" s="50">
        <v>5.0199999999999996</v>
      </c>
    </row>
    <row r="21" spans="1:17" customFormat="1">
      <c r="A21" s="49">
        <v>45392.541666666664</v>
      </c>
      <c r="B21" s="50">
        <v>5.68</v>
      </c>
      <c r="C21" s="50">
        <v>20.3</v>
      </c>
      <c r="D21" s="50">
        <v>16.329999999999998</v>
      </c>
      <c r="E21" s="50">
        <v>13.02</v>
      </c>
      <c r="F21" s="50">
        <v>13.75</v>
      </c>
      <c r="G21" s="50">
        <v>32.64</v>
      </c>
      <c r="H21" s="50">
        <v>18.47</v>
      </c>
      <c r="I21" s="50">
        <v>6.33</v>
      </c>
      <c r="J21" s="50">
        <v>0.55000000000000004</v>
      </c>
      <c r="K21" s="50">
        <v>319.33999999999997</v>
      </c>
      <c r="L21" s="50">
        <v>35.31</v>
      </c>
      <c r="M21" s="50">
        <v>32.96</v>
      </c>
      <c r="N21" s="50">
        <v>859.6</v>
      </c>
      <c r="O21" s="50">
        <v>0</v>
      </c>
      <c r="P21" s="50">
        <v>0.61</v>
      </c>
      <c r="Q21" s="50">
        <v>5.01</v>
      </c>
    </row>
    <row r="22" spans="1:17" customFormat="1">
      <c r="A22" s="49">
        <v>45392.583333333336</v>
      </c>
      <c r="B22" s="50">
        <v>5.38</v>
      </c>
      <c r="C22" s="50">
        <v>19.920000000000002</v>
      </c>
      <c r="D22" s="50">
        <v>16.079999999999998</v>
      </c>
      <c r="E22" s="50">
        <v>12.49</v>
      </c>
      <c r="F22" s="50">
        <v>12.74</v>
      </c>
      <c r="G22" s="50">
        <v>32.57</v>
      </c>
      <c r="H22" s="50">
        <v>17.260000000000002</v>
      </c>
      <c r="I22" s="50">
        <v>6.47</v>
      </c>
      <c r="J22" s="50">
        <v>0.97</v>
      </c>
      <c r="K22" s="50">
        <v>298.54000000000002</v>
      </c>
      <c r="L22" s="50">
        <v>35.86</v>
      </c>
      <c r="M22" s="50">
        <v>31.42</v>
      </c>
      <c r="N22" s="50">
        <v>821.8</v>
      </c>
      <c r="O22" s="50">
        <v>0</v>
      </c>
      <c r="P22" s="50">
        <v>0.62</v>
      </c>
      <c r="Q22" s="50">
        <v>5.01</v>
      </c>
    </row>
    <row r="23" spans="1:17" customFormat="1">
      <c r="A23" s="49">
        <v>45392.625</v>
      </c>
      <c r="B23" s="50">
        <v>4.01</v>
      </c>
      <c r="C23" s="50">
        <v>21.38</v>
      </c>
      <c r="D23" s="50">
        <v>15.62</v>
      </c>
      <c r="E23" s="50">
        <v>13</v>
      </c>
      <c r="F23" s="50">
        <v>17.899999999999999</v>
      </c>
      <c r="G23" s="50">
        <v>31.22</v>
      </c>
      <c r="H23" s="50">
        <v>17.260000000000002</v>
      </c>
      <c r="I23" s="50">
        <v>6.51</v>
      </c>
      <c r="J23" s="50">
        <v>0.82</v>
      </c>
      <c r="K23" s="50">
        <v>318.02999999999997</v>
      </c>
      <c r="L23" s="50">
        <v>36.11</v>
      </c>
      <c r="M23" s="50">
        <v>31.78</v>
      </c>
      <c r="N23" s="50">
        <v>676.2</v>
      </c>
      <c r="O23" s="50">
        <v>0</v>
      </c>
      <c r="P23" s="50">
        <v>0.63</v>
      </c>
      <c r="Q23" s="50">
        <v>5.03</v>
      </c>
    </row>
    <row r="24" spans="1:17" customFormat="1">
      <c r="A24" s="49">
        <v>45392.666666666664</v>
      </c>
      <c r="B24" s="50">
        <v>4.55</v>
      </c>
      <c r="C24" s="50">
        <v>24.02</v>
      </c>
      <c r="D24" s="50">
        <v>17.48</v>
      </c>
      <c r="E24" s="50">
        <v>17.670000000000002</v>
      </c>
      <c r="F24" s="50">
        <v>28.56</v>
      </c>
      <c r="G24" s="50">
        <v>37.51</v>
      </c>
      <c r="H24" s="50">
        <v>17.03</v>
      </c>
      <c r="I24" s="50">
        <v>6.63</v>
      </c>
      <c r="J24" s="50">
        <v>0.76</v>
      </c>
      <c r="K24" s="50">
        <v>357.65</v>
      </c>
      <c r="L24" s="50">
        <v>35.659999999999997</v>
      </c>
      <c r="M24" s="50">
        <v>34.04</v>
      </c>
      <c r="N24" s="50">
        <v>488.7</v>
      </c>
      <c r="O24" s="50">
        <v>0</v>
      </c>
      <c r="P24" s="50">
        <v>0.68</v>
      </c>
      <c r="Q24" s="50">
        <v>5.03</v>
      </c>
    </row>
    <row r="25" spans="1:17" customFormat="1">
      <c r="A25" s="49">
        <v>45392.708333333336</v>
      </c>
      <c r="B25" s="50">
        <v>4.5</v>
      </c>
      <c r="C25" s="50">
        <v>25.83</v>
      </c>
      <c r="D25" s="50">
        <v>18.46</v>
      </c>
      <c r="E25" s="50">
        <v>19.170000000000002</v>
      </c>
      <c r="F25" s="50">
        <v>27.83</v>
      </c>
      <c r="G25" s="50">
        <v>40.25</v>
      </c>
      <c r="H25" s="50">
        <v>18.18</v>
      </c>
      <c r="I25" s="50">
        <v>6.85</v>
      </c>
      <c r="J25" s="50">
        <v>0.6</v>
      </c>
      <c r="K25" s="50">
        <v>115.01</v>
      </c>
      <c r="L25" s="50">
        <v>34.71</v>
      </c>
      <c r="M25" s="50">
        <v>36.35</v>
      </c>
      <c r="N25" s="50">
        <v>117.1</v>
      </c>
      <c r="O25" s="50">
        <v>0</v>
      </c>
      <c r="P25" s="50">
        <v>0.76</v>
      </c>
      <c r="Q25" s="50">
        <v>5.03</v>
      </c>
    </row>
    <row r="26" spans="1:17" customFormat="1">
      <c r="A26" s="49">
        <v>45392.75</v>
      </c>
      <c r="B26" s="50">
        <v>5.65</v>
      </c>
      <c r="C26" s="50">
        <v>28.18</v>
      </c>
      <c r="D26" s="50">
        <v>20.6</v>
      </c>
      <c r="E26" s="50">
        <v>16.84</v>
      </c>
      <c r="F26" s="50">
        <v>20.73</v>
      </c>
      <c r="G26" s="50">
        <v>45.71</v>
      </c>
      <c r="H26" s="50">
        <v>19.98</v>
      </c>
      <c r="I26" s="50">
        <v>7.28</v>
      </c>
      <c r="J26" s="50">
        <v>0.32</v>
      </c>
      <c r="K26" s="50">
        <v>188.21</v>
      </c>
      <c r="L26" s="50">
        <v>33.619999999999997</v>
      </c>
      <c r="M26" s="50">
        <v>52.01</v>
      </c>
      <c r="N26" s="50">
        <v>44.4</v>
      </c>
      <c r="O26" s="50">
        <v>0</v>
      </c>
      <c r="P26" s="50">
        <v>0.81</v>
      </c>
      <c r="Q26" s="50">
        <v>5.05</v>
      </c>
    </row>
    <row r="27" spans="1:17" customFormat="1">
      <c r="A27" s="49">
        <v>45392.791666666664</v>
      </c>
      <c r="B27" s="50">
        <v>5.77</v>
      </c>
      <c r="C27" s="50">
        <v>25.93</v>
      </c>
      <c r="D27" s="50">
        <v>19.52</v>
      </c>
      <c r="E27" s="50">
        <v>16.18</v>
      </c>
      <c r="F27" s="50">
        <v>22.92</v>
      </c>
      <c r="G27" s="50">
        <v>63.45</v>
      </c>
      <c r="H27" s="50">
        <v>30.71</v>
      </c>
      <c r="I27" s="50">
        <v>9.32</v>
      </c>
      <c r="J27" s="50">
        <v>0.26</v>
      </c>
      <c r="K27" s="50">
        <v>178.52</v>
      </c>
      <c r="L27" s="50">
        <v>31.14</v>
      </c>
      <c r="M27" s="50">
        <v>62.57</v>
      </c>
      <c r="N27" s="50">
        <v>0</v>
      </c>
      <c r="O27" s="50">
        <v>0</v>
      </c>
      <c r="P27" s="50">
        <v>0.98</v>
      </c>
      <c r="Q27" s="50">
        <v>5.03</v>
      </c>
    </row>
    <row r="28" spans="1:17" customFormat="1">
      <c r="A28" s="49">
        <v>45392.833333333336</v>
      </c>
      <c r="B28" s="50">
        <v>6.42</v>
      </c>
      <c r="C28" s="50">
        <v>27.31</v>
      </c>
      <c r="D28" s="50">
        <v>20.77</v>
      </c>
      <c r="E28" s="50">
        <v>14.74</v>
      </c>
      <c r="F28" s="50">
        <v>15.26</v>
      </c>
      <c r="G28" s="50">
        <v>67.900000000000006</v>
      </c>
      <c r="H28" s="50">
        <v>30.71</v>
      </c>
      <c r="I28" s="50">
        <v>9.11</v>
      </c>
      <c r="J28" s="50">
        <v>0.28000000000000003</v>
      </c>
      <c r="K28" s="50">
        <v>191.75</v>
      </c>
      <c r="L28" s="50">
        <v>29.67</v>
      </c>
      <c r="M28" s="50">
        <v>62.6</v>
      </c>
      <c r="N28" s="50">
        <v>0</v>
      </c>
      <c r="O28" s="50">
        <v>0</v>
      </c>
      <c r="P28" s="50">
        <v>0.98</v>
      </c>
      <c r="Q28" s="50">
        <v>5.01</v>
      </c>
    </row>
    <row r="29" spans="1:17" customFormat="1">
      <c r="A29" s="49">
        <v>45392.875</v>
      </c>
      <c r="B29" s="50">
        <v>10.07</v>
      </c>
      <c r="C29" s="50">
        <v>25.34</v>
      </c>
      <c r="D29" s="50">
        <v>22.66</v>
      </c>
      <c r="E29" s="50">
        <v>16.5</v>
      </c>
      <c r="F29" s="50">
        <v>14.01</v>
      </c>
      <c r="G29" s="50">
        <v>96.04</v>
      </c>
      <c r="H29" s="50">
        <v>26.72</v>
      </c>
      <c r="I29" s="50">
        <v>8.9700000000000006</v>
      </c>
      <c r="J29" s="50">
        <v>3.48</v>
      </c>
      <c r="K29" s="50">
        <v>37.880000000000003</v>
      </c>
      <c r="L29" s="50">
        <v>29.41</v>
      </c>
      <c r="M29" s="50">
        <v>57.88</v>
      </c>
      <c r="N29" s="50">
        <v>0</v>
      </c>
      <c r="O29" s="50">
        <v>0</v>
      </c>
      <c r="P29" s="50">
        <v>0.95</v>
      </c>
      <c r="Q29" s="50">
        <v>5.03</v>
      </c>
    </row>
    <row r="30" spans="1:17" customFormat="1">
      <c r="A30" s="49">
        <v>45392.916666666664</v>
      </c>
      <c r="B30" s="50">
        <v>6.35</v>
      </c>
      <c r="C30" s="50">
        <v>25.24</v>
      </c>
      <c r="D30" s="50">
        <v>19.39</v>
      </c>
      <c r="E30" s="50">
        <v>17.89</v>
      </c>
      <c r="F30" s="50">
        <v>10.63</v>
      </c>
      <c r="G30" s="50">
        <v>96.04</v>
      </c>
      <c r="H30" s="50">
        <v>24.29</v>
      </c>
      <c r="I30" s="50">
        <v>7.92</v>
      </c>
      <c r="J30" s="50">
        <v>2.95</v>
      </c>
      <c r="K30" s="50">
        <v>47.39</v>
      </c>
      <c r="L30" s="50">
        <v>25.82</v>
      </c>
      <c r="M30" s="50">
        <v>55.97</v>
      </c>
      <c r="N30" s="50">
        <v>0</v>
      </c>
      <c r="O30" s="50">
        <v>0</v>
      </c>
      <c r="P30" s="50">
        <v>0.79</v>
      </c>
      <c r="Q30" s="50">
        <v>5.03</v>
      </c>
    </row>
    <row r="31" spans="1:17" customFormat="1">
      <c r="A31" s="49">
        <v>45392.958333333336</v>
      </c>
      <c r="B31" s="50">
        <v>6.21</v>
      </c>
      <c r="C31" s="50">
        <v>25.24</v>
      </c>
      <c r="D31" s="50">
        <v>19.52</v>
      </c>
      <c r="E31" s="50">
        <v>12.82</v>
      </c>
      <c r="F31" s="50">
        <v>7.12</v>
      </c>
      <c r="G31" s="50">
        <v>74.33</v>
      </c>
      <c r="H31" s="50">
        <v>20.93</v>
      </c>
      <c r="I31" s="50">
        <v>6.96</v>
      </c>
      <c r="J31" s="50">
        <v>2.2999999999999998</v>
      </c>
      <c r="K31" s="50">
        <v>351.04</v>
      </c>
      <c r="L31" s="50">
        <v>25.14</v>
      </c>
      <c r="M31" s="50">
        <v>57.72</v>
      </c>
      <c r="N31" s="50">
        <v>0</v>
      </c>
      <c r="O31" s="50">
        <v>0</v>
      </c>
      <c r="P31" s="50">
        <v>0.71</v>
      </c>
      <c r="Q31" s="50">
        <v>5.03</v>
      </c>
    </row>
    <row r="32" spans="1:17" customFormat="1">
      <c r="A32" s="49">
        <v>45393</v>
      </c>
      <c r="B32" s="50">
        <v>6.24</v>
      </c>
      <c r="C32" s="50">
        <v>24.59</v>
      </c>
      <c r="D32" s="50">
        <v>18.809999999999999</v>
      </c>
      <c r="E32" s="50">
        <v>12.05</v>
      </c>
      <c r="F32" s="50">
        <v>6.81</v>
      </c>
      <c r="G32" s="50">
        <v>49.28</v>
      </c>
      <c r="H32" s="50">
        <v>18.23</v>
      </c>
      <c r="I32" s="50">
        <v>6.37</v>
      </c>
      <c r="J32" s="50">
        <v>1.77</v>
      </c>
      <c r="K32" s="50">
        <v>318.98</v>
      </c>
      <c r="L32" s="50">
        <v>24.56</v>
      </c>
      <c r="M32" s="50">
        <v>73.099999999999994</v>
      </c>
      <c r="N32" s="50">
        <v>0</v>
      </c>
      <c r="O32" s="50">
        <v>0</v>
      </c>
      <c r="P32" s="50">
        <v>0.65</v>
      </c>
      <c r="Q32" s="50">
        <v>5.03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4.01</v>
      </c>
      <c r="C34" s="40">
        <f t="shared" si="0"/>
        <v>19.920000000000002</v>
      </c>
      <c r="D34" s="40">
        <f t="shared" si="0"/>
        <v>15.62</v>
      </c>
      <c r="E34" s="40">
        <f t="shared" si="0"/>
        <v>12.05</v>
      </c>
      <c r="F34" s="40">
        <f t="shared" si="0"/>
        <v>2.91</v>
      </c>
      <c r="G34" s="40">
        <f t="shared" si="0"/>
        <v>31.22</v>
      </c>
      <c r="H34" s="40">
        <f t="shared" si="0"/>
        <v>16.96</v>
      </c>
      <c r="I34" s="40">
        <f t="shared" si="0"/>
        <v>6.07</v>
      </c>
      <c r="J34" s="40">
        <f t="shared" si="0"/>
        <v>0.13</v>
      </c>
      <c r="K34" s="40">
        <f t="shared" si="0"/>
        <v>37.880000000000003</v>
      </c>
      <c r="L34" s="40">
        <f t="shared" si="0"/>
        <v>22.28</v>
      </c>
      <c r="M34" s="40">
        <f t="shared" si="0"/>
        <v>31.42</v>
      </c>
      <c r="N34" s="40">
        <f t="shared" si="0"/>
        <v>0</v>
      </c>
      <c r="O34" s="40">
        <f t="shared" si="0"/>
        <v>0</v>
      </c>
      <c r="P34" s="40">
        <f t="shared" si="0"/>
        <v>0.61</v>
      </c>
      <c r="Q34" s="40">
        <f t="shared" si="0"/>
        <v>5.01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28.39</v>
      </c>
      <c r="C35" s="33">
        <f t="shared" si="1"/>
        <v>28.68</v>
      </c>
      <c r="D35" s="33">
        <f t="shared" si="1"/>
        <v>38.57</v>
      </c>
      <c r="E35" s="33">
        <f t="shared" si="1"/>
        <v>19.170000000000002</v>
      </c>
      <c r="F35" s="33">
        <f t="shared" si="1"/>
        <v>28.56</v>
      </c>
      <c r="G35" s="33">
        <f t="shared" si="1"/>
        <v>96.04</v>
      </c>
      <c r="H35" s="33">
        <f t="shared" si="1"/>
        <v>30.71</v>
      </c>
      <c r="I35" s="33">
        <f t="shared" si="1"/>
        <v>9.32</v>
      </c>
      <c r="J35" s="33">
        <f t="shared" si="1"/>
        <v>3.48</v>
      </c>
      <c r="K35" s="33">
        <f t="shared" si="1"/>
        <v>357.65</v>
      </c>
      <c r="L35" s="33">
        <f t="shared" si="1"/>
        <v>36.11</v>
      </c>
      <c r="M35" s="33">
        <f t="shared" si="1"/>
        <v>94.15</v>
      </c>
      <c r="N35" s="33">
        <f t="shared" si="1"/>
        <v>859.6</v>
      </c>
      <c r="O35" s="33">
        <f t="shared" si="1"/>
        <v>0</v>
      </c>
      <c r="P35" s="33">
        <f t="shared" si="1"/>
        <v>0.98</v>
      </c>
      <c r="Q35" s="33">
        <f t="shared" si="1"/>
        <v>5.13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11.4125</v>
      </c>
      <c r="C36" s="40">
        <f t="shared" si="2"/>
        <v>25.438333333333333</v>
      </c>
      <c r="D36" s="40">
        <f t="shared" si="2"/>
        <v>23.681666666666661</v>
      </c>
      <c r="E36" s="40">
        <f t="shared" si="2"/>
        <v>14.9825</v>
      </c>
      <c r="F36" s="40">
        <f t="shared" si="2"/>
        <v>10.829999999999998</v>
      </c>
      <c r="G36" s="40">
        <f t="shared" si="2"/>
        <v>49.568749999999994</v>
      </c>
      <c r="H36" s="40">
        <f t="shared" si="2"/>
        <v>20.561666666666667</v>
      </c>
      <c r="I36" s="40">
        <f t="shared" si="2"/>
        <v>7.2324999999999982</v>
      </c>
      <c r="J36" s="40">
        <f t="shared" si="2"/>
        <v>0.97000000000000008</v>
      </c>
      <c r="K36" s="40">
        <f t="shared" si="2"/>
        <v>249.95166666666668</v>
      </c>
      <c r="L36" s="40">
        <f t="shared" si="2"/>
        <v>29.007083333333327</v>
      </c>
      <c r="M36" s="40">
        <f t="shared" si="2"/>
        <v>62.946249999999992</v>
      </c>
      <c r="N36" s="40">
        <f t="shared" si="2"/>
        <v>239.30416666666665</v>
      </c>
      <c r="O36" s="40">
        <f t="shared" si="2"/>
        <v>0</v>
      </c>
      <c r="P36" s="40">
        <f t="shared" si="2"/>
        <v>0.73875000000000002</v>
      </c>
      <c r="Q36" s="40">
        <f t="shared" si="2"/>
        <v>5.0558333333333341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8.0457384074887255</v>
      </c>
      <c r="C37" s="40">
        <f t="shared" ref="C37:Q37" si="3">STDEV(C9:C32)</f>
        <v>2.8228195381439938</v>
      </c>
      <c r="D37" s="40">
        <f t="shared" si="3"/>
        <v>7.4017575272872751</v>
      </c>
      <c r="E37" s="40">
        <f t="shared" si="3"/>
        <v>1.7922617481587575</v>
      </c>
      <c r="F37" s="40">
        <f t="shared" si="3"/>
        <v>8.0779517421080289</v>
      </c>
      <c r="G37" s="40">
        <f t="shared" si="3"/>
        <v>18.880129493038833</v>
      </c>
      <c r="H37" s="40">
        <f t="shared" si="3"/>
        <v>4.1267037763778154</v>
      </c>
      <c r="I37" s="40">
        <f t="shared" si="3"/>
        <v>0.97905122662087918</v>
      </c>
      <c r="J37" s="40">
        <f t="shared" si="3"/>
        <v>0.91097176971484195</v>
      </c>
      <c r="K37" s="40">
        <f t="shared" si="3"/>
        <v>90.32392800921852</v>
      </c>
      <c r="L37" s="40">
        <f t="shared" si="3"/>
        <v>4.8688758448695353</v>
      </c>
      <c r="M37" s="40">
        <f t="shared" si="3"/>
        <v>21.232229564570218</v>
      </c>
      <c r="N37" s="40">
        <f t="shared" si="3"/>
        <v>327.2923735866313</v>
      </c>
      <c r="O37" s="40">
        <f t="shared" si="3"/>
        <v>0</v>
      </c>
      <c r="P37" s="40">
        <f t="shared" si="3"/>
        <v>0.11917515425332684</v>
      </c>
      <c r="Q37" s="40">
        <f t="shared" si="3"/>
        <v>4.0638027454126209E-2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45393.041666666664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45393.041666666664</v>
      </c>
      <c r="B9" s="50">
        <v>5.76</v>
      </c>
      <c r="C9" s="50">
        <v>25.49</v>
      </c>
      <c r="D9" s="50">
        <v>19.29</v>
      </c>
      <c r="E9" s="50">
        <v>14.22</v>
      </c>
      <c r="F9" s="50">
        <v>8.2100000000000009</v>
      </c>
      <c r="G9" s="50">
        <v>41.38</v>
      </c>
      <c r="H9" s="50">
        <v>16.309999999999999</v>
      </c>
      <c r="I9" s="50">
        <v>5.76</v>
      </c>
      <c r="J9" s="50">
        <v>2.98</v>
      </c>
      <c r="K9" s="50">
        <v>333.63</v>
      </c>
      <c r="L9" s="50">
        <v>23.2</v>
      </c>
      <c r="M9" s="50">
        <v>76.53</v>
      </c>
      <c r="N9" s="50">
        <v>0</v>
      </c>
      <c r="O9" s="50">
        <v>0</v>
      </c>
      <c r="P9" s="50">
        <v>0.6</v>
      </c>
      <c r="Q9" s="50">
        <v>5.0199999999999996</v>
      </c>
    </row>
    <row r="10" spans="1:21" customFormat="1">
      <c r="A10" s="49">
        <v>45393.083333333336</v>
      </c>
      <c r="B10" s="50">
        <v>5.75</v>
      </c>
      <c r="C10" s="50">
        <v>24.9</v>
      </c>
      <c r="D10" s="50">
        <v>18.77</v>
      </c>
      <c r="E10" s="50">
        <v>13.09</v>
      </c>
      <c r="F10" s="50">
        <v>7.46</v>
      </c>
      <c r="G10" s="50">
        <v>35.36</v>
      </c>
      <c r="H10" s="50">
        <v>13.72</v>
      </c>
      <c r="I10" s="50">
        <v>4.87</v>
      </c>
      <c r="J10" s="50">
        <v>1.76</v>
      </c>
      <c r="K10" s="50">
        <v>252.78</v>
      </c>
      <c r="L10" s="50">
        <v>21.85</v>
      </c>
      <c r="M10" s="50">
        <v>94.4</v>
      </c>
      <c r="N10" s="50">
        <v>0</v>
      </c>
      <c r="O10" s="50">
        <v>1</v>
      </c>
      <c r="P10" s="50">
        <v>0.54</v>
      </c>
      <c r="Q10" s="50">
        <v>5.03</v>
      </c>
    </row>
    <row r="11" spans="1:21" customFormat="1">
      <c r="A11" s="49">
        <v>45393.125</v>
      </c>
      <c r="B11" s="50">
        <v>6.25</v>
      </c>
      <c r="C11" s="50">
        <v>24.96</v>
      </c>
      <c r="D11" s="50">
        <v>19.29</v>
      </c>
      <c r="E11" s="50">
        <v>9.4600000000000009</v>
      </c>
      <c r="F11" s="50">
        <v>3.57</v>
      </c>
      <c r="G11" s="50">
        <v>30.03</v>
      </c>
      <c r="H11" s="50">
        <v>12.23</v>
      </c>
      <c r="I11" s="50">
        <v>4.58</v>
      </c>
      <c r="J11" s="50">
        <v>0.36</v>
      </c>
      <c r="K11" s="50">
        <v>189.45</v>
      </c>
      <c r="L11" s="50">
        <v>20.27</v>
      </c>
      <c r="M11" s="50">
        <v>102.06</v>
      </c>
      <c r="N11" s="50">
        <v>0</v>
      </c>
      <c r="O11" s="50">
        <v>1.2</v>
      </c>
      <c r="P11" s="50">
        <v>0.52</v>
      </c>
      <c r="Q11" s="50">
        <v>5.03</v>
      </c>
    </row>
    <row r="12" spans="1:21" customFormat="1">
      <c r="A12" s="49">
        <v>45393.166666666664</v>
      </c>
      <c r="B12" s="50">
        <v>6.95</v>
      </c>
      <c r="C12" s="50">
        <v>26.24</v>
      </c>
      <c r="D12" s="50">
        <v>20.63</v>
      </c>
      <c r="E12" s="50">
        <v>10.47</v>
      </c>
      <c r="F12" s="50">
        <v>3.49</v>
      </c>
      <c r="G12" s="50">
        <v>30.03</v>
      </c>
      <c r="H12" s="50">
        <v>12.22</v>
      </c>
      <c r="I12" s="50">
        <v>4.47</v>
      </c>
      <c r="J12" s="50">
        <v>0.78</v>
      </c>
      <c r="K12" s="50">
        <v>300.44</v>
      </c>
      <c r="L12" s="50">
        <v>20.45</v>
      </c>
      <c r="M12" s="50">
        <v>101.68</v>
      </c>
      <c r="N12" s="50">
        <v>0</v>
      </c>
      <c r="O12" s="50">
        <v>0.4</v>
      </c>
      <c r="P12" s="50">
        <v>0.51</v>
      </c>
      <c r="Q12" s="50">
        <v>5.0599999999999996</v>
      </c>
    </row>
    <row r="13" spans="1:21" customFormat="1">
      <c r="A13" s="49">
        <v>45393.208333333336</v>
      </c>
      <c r="B13" s="50">
        <v>8.39</v>
      </c>
      <c r="C13" s="50">
        <v>25.52</v>
      </c>
      <c r="D13" s="50">
        <v>20.63</v>
      </c>
      <c r="E13" s="50">
        <v>9.5</v>
      </c>
      <c r="F13" s="50">
        <v>3.81</v>
      </c>
      <c r="G13" s="50">
        <v>24.53</v>
      </c>
      <c r="H13" s="50">
        <v>9.6999999999999993</v>
      </c>
      <c r="I13" s="50">
        <v>4.33</v>
      </c>
      <c r="J13" s="50">
        <v>0.46</v>
      </c>
      <c r="K13" s="50">
        <v>247.21</v>
      </c>
      <c r="L13" s="50">
        <v>20.34</v>
      </c>
      <c r="M13" s="50">
        <v>102.02</v>
      </c>
      <c r="N13" s="50">
        <v>0</v>
      </c>
      <c r="O13" s="50">
        <v>0.6</v>
      </c>
      <c r="P13" s="50">
        <v>0.5</v>
      </c>
      <c r="Q13" s="50">
        <v>5.01</v>
      </c>
    </row>
    <row r="14" spans="1:21" customFormat="1">
      <c r="A14" s="49">
        <v>45393.25</v>
      </c>
      <c r="B14" s="50">
        <v>8.61</v>
      </c>
      <c r="C14" s="50">
        <v>23.22</v>
      </c>
      <c r="D14" s="50">
        <v>20.37</v>
      </c>
      <c r="E14" s="50">
        <v>9.26</v>
      </c>
      <c r="F14" s="50">
        <v>5.47</v>
      </c>
      <c r="G14" s="50">
        <v>19.75</v>
      </c>
      <c r="H14" s="50">
        <v>8.3800000000000008</v>
      </c>
      <c r="I14" s="50">
        <v>4.33</v>
      </c>
      <c r="J14" s="50">
        <v>0.4</v>
      </c>
      <c r="K14" s="50">
        <v>290.70999999999998</v>
      </c>
      <c r="L14" s="50">
        <v>20.18</v>
      </c>
      <c r="M14" s="50">
        <v>101.55</v>
      </c>
      <c r="N14" s="50">
        <v>0.1</v>
      </c>
      <c r="O14" s="50">
        <v>0.4</v>
      </c>
      <c r="P14" s="50">
        <v>0.48</v>
      </c>
      <c r="Q14" s="50">
        <v>5.0199999999999996</v>
      </c>
    </row>
    <row r="15" spans="1:21" customFormat="1">
      <c r="A15" s="49">
        <v>45393.291666666664</v>
      </c>
      <c r="B15" s="50">
        <v>8.6999999999999993</v>
      </c>
      <c r="C15" s="50">
        <v>23.46</v>
      </c>
      <c r="D15" s="50">
        <v>20.59</v>
      </c>
      <c r="E15" s="50">
        <v>9.7899999999999991</v>
      </c>
      <c r="F15" s="50">
        <v>3.66</v>
      </c>
      <c r="G15" s="50">
        <v>17.670000000000002</v>
      </c>
      <c r="H15" s="50">
        <v>8.23</v>
      </c>
      <c r="I15" s="50">
        <v>4.33</v>
      </c>
      <c r="J15" s="50">
        <v>0.48</v>
      </c>
      <c r="K15" s="50">
        <v>323.49</v>
      </c>
      <c r="L15" s="50">
        <v>20.75</v>
      </c>
      <c r="M15" s="50">
        <v>94.45</v>
      </c>
      <c r="N15" s="50">
        <v>27.7</v>
      </c>
      <c r="O15" s="50">
        <v>0</v>
      </c>
      <c r="P15" s="50">
        <v>0.47</v>
      </c>
      <c r="Q15" s="50">
        <v>5.01</v>
      </c>
    </row>
    <row r="16" spans="1:21" customFormat="1">
      <c r="A16" s="49">
        <v>45393.333333333336</v>
      </c>
      <c r="B16" s="50">
        <v>10.26</v>
      </c>
      <c r="C16" s="50">
        <v>23.84</v>
      </c>
      <c r="D16" s="50">
        <v>22.03</v>
      </c>
      <c r="E16" s="50">
        <v>9.7899999999999991</v>
      </c>
      <c r="F16" s="50">
        <v>3.21</v>
      </c>
      <c r="G16" s="50">
        <v>18.149999999999999</v>
      </c>
      <c r="H16" s="50">
        <v>6.66</v>
      </c>
      <c r="I16" s="50">
        <v>4.41</v>
      </c>
      <c r="J16" s="50">
        <v>0.57999999999999996</v>
      </c>
      <c r="K16" s="50">
        <v>99.93</v>
      </c>
      <c r="L16" s="50">
        <v>21.6</v>
      </c>
      <c r="M16" s="50">
        <v>93.67</v>
      </c>
      <c r="N16" s="50">
        <v>116.9</v>
      </c>
      <c r="O16" s="50">
        <v>0</v>
      </c>
      <c r="P16" s="50">
        <v>0.48</v>
      </c>
      <c r="Q16" s="50">
        <v>5.0199999999999996</v>
      </c>
    </row>
    <row r="17" spans="1:17" customFormat="1">
      <c r="A17" s="49">
        <v>45393.375</v>
      </c>
      <c r="B17" s="50">
        <v>11.2</v>
      </c>
      <c r="C17" s="50">
        <v>24.46</v>
      </c>
      <c r="D17" s="50">
        <v>23.11</v>
      </c>
      <c r="E17" s="50">
        <v>10.220000000000001</v>
      </c>
      <c r="F17" s="50">
        <v>3.2</v>
      </c>
      <c r="G17" s="50">
        <v>21.68</v>
      </c>
      <c r="H17" s="50">
        <v>8.93</v>
      </c>
      <c r="I17" s="50">
        <v>4.55</v>
      </c>
      <c r="J17" s="50">
        <v>1.2</v>
      </c>
      <c r="K17" s="50">
        <v>328.51</v>
      </c>
      <c r="L17" s="50">
        <v>22.61</v>
      </c>
      <c r="M17" s="50">
        <v>87.1</v>
      </c>
      <c r="N17" s="50">
        <v>183.5</v>
      </c>
      <c r="O17" s="50">
        <v>0</v>
      </c>
      <c r="P17" s="50">
        <v>0.5</v>
      </c>
      <c r="Q17" s="50">
        <v>5.0599999999999996</v>
      </c>
    </row>
    <row r="18" spans="1:17" customFormat="1">
      <c r="A18" s="49">
        <v>45393.416666666664</v>
      </c>
      <c r="B18" s="50">
        <v>11.07</v>
      </c>
      <c r="C18" s="50">
        <v>27.37</v>
      </c>
      <c r="D18" s="50">
        <v>24.03</v>
      </c>
      <c r="E18" s="50">
        <v>10.44</v>
      </c>
      <c r="F18" s="50">
        <v>3.34</v>
      </c>
      <c r="G18" s="50">
        <v>27.79</v>
      </c>
      <c r="H18" s="50">
        <v>10.47</v>
      </c>
      <c r="I18" s="50">
        <v>4.9400000000000004</v>
      </c>
      <c r="J18" s="50">
        <v>0.94</v>
      </c>
      <c r="K18" s="50">
        <v>324.75</v>
      </c>
      <c r="L18" s="50">
        <v>23</v>
      </c>
      <c r="M18" s="50">
        <v>83.81</v>
      </c>
      <c r="N18" s="50">
        <v>200</v>
      </c>
      <c r="O18" s="50">
        <v>0</v>
      </c>
      <c r="P18" s="50">
        <v>0.55000000000000004</v>
      </c>
      <c r="Q18" s="50">
        <v>5.08</v>
      </c>
    </row>
    <row r="19" spans="1:17" customFormat="1">
      <c r="A19" s="49">
        <v>45393.458333333336</v>
      </c>
      <c r="B19" s="50">
        <v>9.76</v>
      </c>
      <c r="C19" s="50">
        <v>26.96</v>
      </c>
      <c r="D19" s="50">
        <v>23.27</v>
      </c>
      <c r="E19" s="50">
        <v>12.36</v>
      </c>
      <c r="F19" s="50">
        <v>3.75</v>
      </c>
      <c r="G19" s="50">
        <v>27.79</v>
      </c>
      <c r="H19" s="50">
        <v>10.47</v>
      </c>
      <c r="I19" s="50">
        <v>5.04</v>
      </c>
      <c r="J19" s="50">
        <v>0.72</v>
      </c>
      <c r="K19" s="50">
        <v>268.76</v>
      </c>
      <c r="L19" s="50">
        <v>23.37</v>
      </c>
      <c r="M19" s="50">
        <v>81.540000000000006</v>
      </c>
      <c r="N19" s="50">
        <v>136.4</v>
      </c>
      <c r="O19" s="50">
        <v>0</v>
      </c>
      <c r="P19" s="50">
        <v>0.55000000000000004</v>
      </c>
      <c r="Q19" s="50">
        <v>5.0599999999999996</v>
      </c>
    </row>
    <row r="20" spans="1:17" customFormat="1">
      <c r="A20" s="49">
        <v>45393.5</v>
      </c>
      <c r="B20" s="50">
        <v>7.67</v>
      </c>
      <c r="C20" s="50">
        <v>26.04</v>
      </c>
      <c r="D20" s="50">
        <v>21.1</v>
      </c>
      <c r="E20" s="50">
        <v>12.2</v>
      </c>
      <c r="F20" s="50">
        <v>3.81</v>
      </c>
      <c r="G20" s="50">
        <v>24.26</v>
      </c>
      <c r="H20" s="50">
        <v>9.7899999999999991</v>
      </c>
      <c r="I20" s="50">
        <v>5.09</v>
      </c>
      <c r="J20" s="50">
        <v>0.31</v>
      </c>
      <c r="K20" s="50">
        <v>346.17</v>
      </c>
      <c r="L20" s="50">
        <v>23.6</v>
      </c>
      <c r="M20" s="50">
        <v>82.21</v>
      </c>
      <c r="N20" s="50">
        <v>128</v>
      </c>
      <c r="O20" s="50">
        <v>0.2</v>
      </c>
      <c r="P20" s="50">
        <v>0.54</v>
      </c>
      <c r="Q20" s="50">
        <v>5.05</v>
      </c>
    </row>
    <row r="21" spans="1:17" customFormat="1">
      <c r="A21" s="49">
        <v>45393.541666666664</v>
      </c>
      <c r="B21" s="50">
        <v>7.42</v>
      </c>
      <c r="C21" s="50">
        <v>25.55</v>
      </c>
      <c r="D21" s="50">
        <v>20.65</v>
      </c>
      <c r="E21" s="50">
        <v>12.16</v>
      </c>
      <c r="F21" s="50">
        <v>3.74</v>
      </c>
      <c r="G21" s="50">
        <v>20.100000000000001</v>
      </c>
      <c r="H21" s="50">
        <v>9.7899999999999991</v>
      </c>
      <c r="I21" s="50">
        <v>4.83</v>
      </c>
      <c r="J21" s="50">
        <v>0.28999999999999998</v>
      </c>
      <c r="K21" s="50">
        <v>247.16</v>
      </c>
      <c r="L21" s="50">
        <v>24.2</v>
      </c>
      <c r="M21" s="50">
        <v>80.069999999999993</v>
      </c>
      <c r="N21" s="50">
        <v>123.2</v>
      </c>
      <c r="O21" s="50">
        <v>0</v>
      </c>
      <c r="P21" s="50">
        <v>0.52</v>
      </c>
      <c r="Q21" s="50">
        <v>5.04</v>
      </c>
    </row>
    <row r="22" spans="1:17" customFormat="1">
      <c r="A22" s="49">
        <v>45393.583333333336</v>
      </c>
      <c r="B22" s="50">
        <v>7.18</v>
      </c>
      <c r="C22" s="50">
        <v>25.08</v>
      </c>
      <c r="D22" s="50">
        <v>20.149999999999999</v>
      </c>
      <c r="E22" s="50">
        <v>12.54</v>
      </c>
      <c r="F22" s="50">
        <v>3.71</v>
      </c>
      <c r="G22" s="50">
        <v>20.100000000000001</v>
      </c>
      <c r="H22" s="50">
        <v>8.14</v>
      </c>
      <c r="I22" s="50">
        <v>4.75</v>
      </c>
      <c r="J22" s="50">
        <v>0.43</v>
      </c>
      <c r="K22" s="50">
        <v>306.27</v>
      </c>
      <c r="L22" s="50">
        <v>23.71</v>
      </c>
      <c r="M22" s="50">
        <v>92.56</v>
      </c>
      <c r="N22" s="50">
        <v>83.5</v>
      </c>
      <c r="O22" s="50">
        <v>0.2</v>
      </c>
      <c r="P22" s="50">
        <v>0.5</v>
      </c>
      <c r="Q22" s="50">
        <v>5.0599999999999996</v>
      </c>
    </row>
    <row r="23" spans="1:17" customFormat="1">
      <c r="A23" s="49">
        <v>45393.625</v>
      </c>
      <c r="B23" s="50">
        <v>8.41</v>
      </c>
      <c r="C23" s="50">
        <v>22.62</v>
      </c>
      <c r="D23" s="50">
        <v>19.62</v>
      </c>
      <c r="E23" s="50">
        <v>11.95</v>
      </c>
      <c r="F23" s="50">
        <v>3.86</v>
      </c>
      <c r="G23" s="50">
        <v>115.48</v>
      </c>
      <c r="H23" s="50">
        <v>8.14</v>
      </c>
      <c r="I23" s="50">
        <v>4.72</v>
      </c>
      <c r="J23" s="50">
        <v>0.59</v>
      </c>
      <c r="K23" s="50">
        <v>230.83</v>
      </c>
      <c r="L23" s="50">
        <v>23.11</v>
      </c>
      <c r="M23" s="50">
        <v>94.59</v>
      </c>
      <c r="N23" s="50">
        <v>164</v>
      </c>
      <c r="O23" s="50">
        <v>0.2</v>
      </c>
      <c r="P23" s="50">
        <v>0.48</v>
      </c>
      <c r="Q23" s="50">
        <v>5.04</v>
      </c>
    </row>
    <row r="24" spans="1:17" customFormat="1">
      <c r="A24" s="49">
        <v>45393.666666666664</v>
      </c>
      <c r="B24" s="50">
        <v>9.4</v>
      </c>
      <c r="C24" s="50">
        <v>22.82</v>
      </c>
      <c r="D24" s="50">
        <v>20.82</v>
      </c>
      <c r="E24" s="50">
        <v>11.85</v>
      </c>
      <c r="F24" s="50">
        <v>3.88</v>
      </c>
      <c r="G24" s="50">
        <v>115.48</v>
      </c>
      <c r="H24" s="50">
        <v>7.76</v>
      </c>
      <c r="I24" s="50">
        <v>4.71</v>
      </c>
      <c r="J24" s="50">
        <v>1.93</v>
      </c>
      <c r="K24" s="50">
        <v>75.11</v>
      </c>
      <c r="L24" s="50">
        <v>23.56</v>
      </c>
      <c r="M24" s="50">
        <v>87.8</v>
      </c>
      <c r="N24" s="50">
        <v>299.3</v>
      </c>
      <c r="O24" s="50">
        <v>0</v>
      </c>
      <c r="P24" s="50">
        <v>0.48</v>
      </c>
      <c r="Q24" s="50">
        <v>5.04</v>
      </c>
    </row>
    <row r="25" spans="1:17" customFormat="1">
      <c r="A25" s="49">
        <v>45393.708333333336</v>
      </c>
      <c r="B25" s="50">
        <v>9.66</v>
      </c>
      <c r="C25" s="50">
        <v>22.83</v>
      </c>
      <c r="D25" s="50">
        <v>20.89</v>
      </c>
      <c r="E25" s="50">
        <v>12.01</v>
      </c>
      <c r="F25" s="50">
        <v>3.71</v>
      </c>
      <c r="G25" s="50">
        <v>45.63</v>
      </c>
      <c r="H25" s="50">
        <v>8.4700000000000006</v>
      </c>
      <c r="I25" s="50">
        <v>4.7</v>
      </c>
      <c r="J25" s="50">
        <v>1.0900000000000001</v>
      </c>
      <c r="K25" s="50">
        <v>124.4</v>
      </c>
      <c r="L25" s="50">
        <v>25.16</v>
      </c>
      <c r="M25" s="50">
        <v>80.23</v>
      </c>
      <c r="N25" s="50">
        <v>258.5</v>
      </c>
      <c r="O25" s="50">
        <v>0</v>
      </c>
      <c r="P25" s="50">
        <v>0.48</v>
      </c>
      <c r="Q25" s="50">
        <v>5.0199999999999996</v>
      </c>
    </row>
    <row r="26" spans="1:17" customFormat="1">
      <c r="A26" s="49">
        <v>45393.75</v>
      </c>
      <c r="B26" s="50">
        <v>10.25</v>
      </c>
      <c r="C26" s="50">
        <v>22.47</v>
      </c>
      <c r="D26" s="50">
        <v>21.31</v>
      </c>
      <c r="E26" s="50">
        <v>12.2</v>
      </c>
      <c r="F26" s="50">
        <v>3.35</v>
      </c>
      <c r="G26" s="50">
        <v>36.229999999999997</v>
      </c>
      <c r="H26" s="50">
        <v>8.4700000000000006</v>
      </c>
      <c r="I26" s="50">
        <v>4.72</v>
      </c>
      <c r="J26" s="50">
        <v>0.21</v>
      </c>
      <c r="K26" s="50">
        <v>172.03</v>
      </c>
      <c r="L26" s="50">
        <v>24.54</v>
      </c>
      <c r="M26" s="50">
        <v>87.42</v>
      </c>
      <c r="N26" s="50">
        <v>108.4</v>
      </c>
      <c r="O26" s="50">
        <v>0</v>
      </c>
      <c r="P26" s="50">
        <v>0.47</v>
      </c>
      <c r="Q26" s="50">
        <v>5.04</v>
      </c>
    </row>
    <row r="27" spans="1:17" customFormat="1">
      <c r="A27" s="49">
        <v>45393.791666666664</v>
      </c>
      <c r="B27" s="50">
        <v>10.72</v>
      </c>
      <c r="C27" s="50">
        <v>21.71</v>
      </c>
      <c r="D27" s="50">
        <v>21.16</v>
      </c>
      <c r="E27" s="50">
        <v>10.96</v>
      </c>
      <c r="F27" s="50">
        <v>3.46</v>
      </c>
      <c r="G27" s="50">
        <v>22.02</v>
      </c>
      <c r="H27" s="50">
        <v>8.17</v>
      </c>
      <c r="I27" s="50">
        <v>4.7300000000000004</v>
      </c>
      <c r="J27" s="50">
        <v>0.16</v>
      </c>
      <c r="K27" s="50">
        <v>196.33</v>
      </c>
      <c r="L27" s="50">
        <v>22.47</v>
      </c>
      <c r="M27" s="50">
        <v>93.83</v>
      </c>
      <c r="N27" s="50">
        <v>0</v>
      </c>
      <c r="O27" s="50">
        <v>0</v>
      </c>
      <c r="P27" s="50">
        <v>0.46</v>
      </c>
      <c r="Q27" s="50">
        <v>5.0599999999999996</v>
      </c>
    </row>
    <row r="28" spans="1:17" customFormat="1">
      <c r="A28" s="49">
        <v>45393.833333333336</v>
      </c>
      <c r="B28" s="50">
        <v>10.050000000000001</v>
      </c>
      <c r="C28" s="50">
        <v>22.74</v>
      </c>
      <c r="D28" s="50">
        <v>21.05</v>
      </c>
      <c r="E28" s="50">
        <v>10.97</v>
      </c>
      <c r="F28" s="50">
        <v>3.07</v>
      </c>
      <c r="G28" s="50">
        <v>33.67</v>
      </c>
      <c r="H28" s="50">
        <v>8.92</v>
      </c>
      <c r="I28" s="50">
        <v>4.7300000000000004</v>
      </c>
      <c r="J28" s="50">
        <v>0.16</v>
      </c>
      <c r="K28" s="50">
        <v>168.03</v>
      </c>
      <c r="L28" s="50">
        <v>21.81</v>
      </c>
      <c r="M28" s="50">
        <v>96.61</v>
      </c>
      <c r="N28" s="50">
        <v>0</v>
      </c>
      <c r="O28" s="50">
        <v>0</v>
      </c>
      <c r="P28" s="50">
        <v>0.47</v>
      </c>
      <c r="Q28" s="50">
        <v>5.05</v>
      </c>
    </row>
    <row r="29" spans="1:17" customFormat="1">
      <c r="A29" s="49">
        <v>45393.875</v>
      </c>
      <c r="B29" s="50">
        <v>9.6999999999999993</v>
      </c>
      <c r="C29" s="50">
        <v>22.96</v>
      </c>
      <c r="D29" s="50">
        <v>21.04</v>
      </c>
      <c r="E29" s="50">
        <v>10.65</v>
      </c>
      <c r="F29" s="50">
        <v>3.14</v>
      </c>
      <c r="G29" s="50">
        <v>33.67</v>
      </c>
      <c r="H29" s="50">
        <v>9.16</v>
      </c>
      <c r="I29" s="50">
        <v>4.72</v>
      </c>
      <c r="J29" s="50">
        <v>0.16</v>
      </c>
      <c r="K29" s="50">
        <v>208.59</v>
      </c>
      <c r="L29" s="50">
        <v>21.44</v>
      </c>
      <c r="M29" s="50">
        <v>98.11</v>
      </c>
      <c r="N29" s="50">
        <v>0</v>
      </c>
      <c r="O29" s="50">
        <v>0</v>
      </c>
      <c r="P29" s="50">
        <v>0.48</v>
      </c>
      <c r="Q29" s="50">
        <v>5.04</v>
      </c>
    </row>
    <row r="30" spans="1:17" customFormat="1">
      <c r="A30" s="49">
        <v>45393.916666666664</v>
      </c>
      <c r="B30" s="50">
        <v>9.9700000000000006</v>
      </c>
      <c r="C30" s="50">
        <v>22.96</v>
      </c>
      <c r="D30" s="50">
        <v>21.21</v>
      </c>
      <c r="E30" s="50">
        <v>10.82</v>
      </c>
      <c r="F30" s="50">
        <v>2.99</v>
      </c>
      <c r="G30" s="50">
        <v>33.06</v>
      </c>
      <c r="H30" s="50">
        <v>9.86</v>
      </c>
      <c r="I30" s="50">
        <v>4.8</v>
      </c>
      <c r="J30" s="50">
        <v>0.17</v>
      </c>
      <c r="K30" s="50">
        <v>242.79</v>
      </c>
      <c r="L30" s="50">
        <v>20.93</v>
      </c>
      <c r="M30" s="50">
        <v>100.95</v>
      </c>
      <c r="N30" s="50">
        <v>0</v>
      </c>
      <c r="O30" s="50">
        <v>0</v>
      </c>
      <c r="P30" s="50">
        <v>0.48</v>
      </c>
      <c r="Q30" s="50">
        <v>5.04</v>
      </c>
    </row>
    <row r="31" spans="1:17" customFormat="1">
      <c r="A31" s="49">
        <v>45393.958333333336</v>
      </c>
      <c r="B31" s="50">
        <v>12.17</v>
      </c>
      <c r="C31" s="50">
        <v>24.01</v>
      </c>
      <c r="D31" s="50">
        <v>23.65</v>
      </c>
      <c r="E31" s="50">
        <v>11.01</v>
      </c>
      <c r="F31" s="50">
        <v>3.05</v>
      </c>
      <c r="G31" s="50">
        <v>33.06</v>
      </c>
      <c r="H31" s="50">
        <v>9.86</v>
      </c>
      <c r="I31" s="50">
        <v>4.95</v>
      </c>
      <c r="J31" s="50">
        <v>0.19</v>
      </c>
      <c r="K31" s="50">
        <v>243.91</v>
      </c>
      <c r="L31" s="50">
        <v>20.7</v>
      </c>
      <c r="M31" s="50">
        <v>102.12</v>
      </c>
      <c r="N31" s="50">
        <v>0</v>
      </c>
      <c r="O31" s="50">
        <v>0</v>
      </c>
      <c r="P31" s="50">
        <v>0.53</v>
      </c>
      <c r="Q31" s="50">
        <v>5.05</v>
      </c>
    </row>
    <row r="32" spans="1:17" customFormat="1">
      <c r="A32" s="49">
        <v>45394</v>
      </c>
      <c r="B32" s="50">
        <v>13.82</v>
      </c>
      <c r="C32" s="50">
        <v>24.01</v>
      </c>
      <c r="D32" s="50">
        <v>24.5</v>
      </c>
      <c r="E32" s="50">
        <v>10.9</v>
      </c>
      <c r="F32" s="50">
        <v>3.14</v>
      </c>
      <c r="G32" s="50">
        <v>32.049999999999997</v>
      </c>
      <c r="H32" s="50">
        <v>9.35</v>
      </c>
      <c r="I32" s="50">
        <v>5.19</v>
      </c>
      <c r="J32" s="50">
        <v>0.15</v>
      </c>
      <c r="K32" s="50">
        <v>210.98</v>
      </c>
      <c r="L32" s="50">
        <v>20.18</v>
      </c>
      <c r="M32" s="50">
        <v>101.37</v>
      </c>
      <c r="N32" s="50">
        <v>0</v>
      </c>
      <c r="O32" s="50">
        <v>0</v>
      </c>
      <c r="P32" s="50">
        <v>0.54</v>
      </c>
      <c r="Q32" s="50">
        <v>5.0599999999999996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5.75</v>
      </c>
      <c r="C34" s="40">
        <f t="shared" si="0"/>
        <v>21.71</v>
      </c>
      <c r="D34" s="40">
        <f t="shared" si="0"/>
        <v>18.77</v>
      </c>
      <c r="E34" s="40">
        <f t="shared" si="0"/>
        <v>9.26</v>
      </c>
      <c r="F34" s="40">
        <f t="shared" si="0"/>
        <v>2.99</v>
      </c>
      <c r="G34" s="40">
        <f t="shared" si="0"/>
        <v>17.670000000000002</v>
      </c>
      <c r="H34" s="40">
        <f t="shared" si="0"/>
        <v>6.66</v>
      </c>
      <c r="I34" s="40">
        <f t="shared" si="0"/>
        <v>4.33</v>
      </c>
      <c r="J34" s="40">
        <f t="shared" si="0"/>
        <v>0.15</v>
      </c>
      <c r="K34" s="40">
        <f t="shared" si="0"/>
        <v>75.11</v>
      </c>
      <c r="L34" s="40">
        <f t="shared" si="0"/>
        <v>20.18</v>
      </c>
      <c r="M34" s="40">
        <f t="shared" si="0"/>
        <v>76.53</v>
      </c>
      <c r="N34" s="40">
        <f t="shared" si="0"/>
        <v>0</v>
      </c>
      <c r="O34" s="40">
        <f t="shared" si="0"/>
        <v>0</v>
      </c>
      <c r="P34" s="40">
        <f t="shared" si="0"/>
        <v>0.46</v>
      </c>
      <c r="Q34" s="40">
        <f t="shared" si="0"/>
        <v>5.01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13.82</v>
      </c>
      <c r="C35" s="33">
        <f t="shared" si="1"/>
        <v>27.37</v>
      </c>
      <c r="D35" s="33">
        <f t="shared" si="1"/>
        <v>24.5</v>
      </c>
      <c r="E35" s="33">
        <f t="shared" si="1"/>
        <v>14.22</v>
      </c>
      <c r="F35" s="33">
        <f t="shared" si="1"/>
        <v>8.2100000000000009</v>
      </c>
      <c r="G35" s="33">
        <f t="shared" si="1"/>
        <v>115.48</v>
      </c>
      <c r="H35" s="33">
        <f t="shared" si="1"/>
        <v>16.309999999999999</v>
      </c>
      <c r="I35" s="33">
        <f t="shared" si="1"/>
        <v>5.76</v>
      </c>
      <c r="J35" s="33">
        <f t="shared" si="1"/>
        <v>2.98</v>
      </c>
      <c r="K35" s="33">
        <f t="shared" si="1"/>
        <v>346.17</v>
      </c>
      <c r="L35" s="33">
        <f t="shared" si="1"/>
        <v>25.16</v>
      </c>
      <c r="M35" s="33">
        <f t="shared" si="1"/>
        <v>102.12</v>
      </c>
      <c r="N35" s="33">
        <f t="shared" si="1"/>
        <v>299.3</v>
      </c>
      <c r="O35" s="33">
        <f t="shared" si="1"/>
        <v>1.2</v>
      </c>
      <c r="P35" s="33">
        <f t="shared" si="1"/>
        <v>0.6</v>
      </c>
      <c r="Q35" s="33">
        <f t="shared" si="1"/>
        <v>5.08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9.129999999999999</v>
      </c>
      <c r="C36" s="40">
        <f t="shared" si="2"/>
        <v>24.259166666666669</v>
      </c>
      <c r="D36" s="40">
        <f t="shared" si="2"/>
        <v>21.215</v>
      </c>
      <c r="E36" s="40">
        <f t="shared" si="2"/>
        <v>11.20083333333333</v>
      </c>
      <c r="F36" s="40">
        <f t="shared" si="2"/>
        <v>3.9199999999999986</v>
      </c>
      <c r="G36" s="40">
        <f t="shared" si="2"/>
        <v>35.790416666666658</v>
      </c>
      <c r="H36" s="40">
        <f t="shared" si="2"/>
        <v>9.7166666666666632</v>
      </c>
      <c r="I36" s="40">
        <f t="shared" si="2"/>
        <v>4.7604166666666661</v>
      </c>
      <c r="J36" s="40">
        <f t="shared" si="2"/>
        <v>0.6875</v>
      </c>
      <c r="K36" s="40">
        <f t="shared" si="2"/>
        <v>238.84416666666661</v>
      </c>
      <c r="L36" s="40">
        <f t="shared" si="2"/>
        <v>22.209583333333331</v>
      </c>
      <c r="M36" s="40">
        <f t="shared" si="2"/>
        <v>92.361666666666636</v>
      </c>
      <c r="N36" s="40">
        <f t="shared" si="2"/>
        <v>76.229166666666671</v>
      </c>
      <c r="O36" s="40">
        <f t="shared" si="2"/>
        <v>0.17500000000000002</v>
      </c>
      <c r="P36" s="40">
        <f t="shared" si="2"/>
        <v>0.50541666666666674</v>
      </c>
      <c r="Q36" s="40">
        <f t="shared" si="2"/>
        <v>5.0412500000000016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2.0127938618832273</v>
      </c>
      <c r="C37" s="40">
        <f t="shared" ref="C37:Q37" si="3">STDEV(C9:C32)</f>
        <v>1.5415348553129649</v>
      </c>
      <c r="D37" s="40">
        <f t="shared" si="3"/>
        <v>1.5128952950925509</v>
      </c>
      <c r="E37" s="40">
        <f t="shared" si="3"/>
        <v>1.2650516974027337</v>
      </c>
      <c r="F37" s="40">
        <f t="shared" si="3"/>
        <v>1.3079788590234114</v>
      </c>
      <c r="G37" s="40">
        <f t="shared" si="3"/>
        <v>25.622046464641212</v>
      </c>
      <c r="H37" s="40">
        <f t="shared" si="3"/>
        <v>2.1121607865893846</v>
      </c>
      <c r="I37" s="40">
        <f t="shared" si="3"/>
        <v>0.31690732655335535</v>
      </c>
      <c r="J37" s="40">
        <f t="shared" si="3"/>
        <v>0.69116316578585857</v>
      </c>
      <c r="K37" s="40">
        <f t="shared" si="3"/>
        <v>75.202113691193645</v>
      </c>
      <c r="L37" s="40">
        <f t="shared" si="3"/>
        <v>1.5320928543965444</v>
      </c>
      <c r="M37" s="40">
        <f t="shared" si="3"/>
        <v>8.3205521695259179</v>
      </c>
      <c r="N37" s="40">
        <f t="shared" si="3"/>
        <v>93.444391643961936</v>
      </c>
      <c r="O37" s="40">
        <f t="shared" si="3"/>
        <v>0.33001976225411245</v>
      </c>
      <c r="P37" s="40">
        <f t="shared" si="3"/>
        <v>3.4888538876363832E-2</v>
      </c>
      <c r="Q37" s="40">
        <f t="shared" si="3"/>
        <v>1.8489127239730827E-2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45394.041666666664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45394.041666666664</v>
      </c>
      <c r="B9" s="50">
        <v>14.34</v>
      </c>
      <c r="C9" s="50">
        <v>23.5</v>
      </c>
      <c r="D9" s="50">
        <v>25.13</v>
      </c>
      <c r="E9" s="50">
        <v>10.52</v>
      </c>
      <c r="F9" s="50">
        <v>3.09</v>
      </c>
      <c r="G9" s="50">
        <v>24.71</v>
      </c>
      <c r="H9" s="50">
        <v>11.15</v>
      </c>
      <c r="I9" s="50">
        <v>5.34</v>
      </c>
      <c r="J9" s="50">
        <v>0.28000000000000003</v>
      </c>
      <c r="K9" s="50">
        <v>264.41000000000003</v>
      </c>
      <c r="L9" s="50">
        <v>20.14</v>
      </c>
      <c r="M9" s="50">
        <v>101.12</v>
      </c>
      <c r="N9" s="50">
        <v>0</v>
      </c>
      <c r="O9" s="50">
        <v>0</v>
      </c>
      <c r="P9" s="50">
        <v>0.55000000000000004</v>
      </c>
      <c r="Q9" s="50">
        <v>5.0599999999999996</v>
      </c>
    </row>
    <row r="10" spans="1:21" customFormat="1">
      <c r="A10" s="49">
        <v>45394.083333333336</v>
      </c>
      <c r="B10" s="50">
        <v>15.99</v>
      </c>
      <c r="C10" s="50">
        <v>24.54</v>
      </c>
      <c r="D10" s="50">
        <v>26.99</v>
      </c>
      <c r="E10" s="50">
        <v>10.76</v>
      </c>
      <c r="F10" s="50">
        <v>3.11</v>
      </c>
      <c r="G10" s="50">
        <v>26.08</v>
      </c>
      <c r="H10" s="50">
        <v>12.47</v>
      </c>
      <c r="I10" s="50">
        <v>5.43</v>
      </c>
      <c r="J10" s="50">
        <v>0.15</v>
      </c>
      <c r="K10" s="50">
        <v>221.75</v>
      </c>
      <c r="L10" s="50">
        <v>20.2</v>
      </c>
      <c r="M10" s="50">
        <v>100.89</v>
      </c>
      <c r="N10" s="50">
        <v>0</v>
      </c>
      <c r="O10" s="50">
        <v>0</v>
      </c>
      <c r="P10" s="50">
        <v>0.55000000000000004</v>
      </c>
      <c r="Q10" s="50">
        <v>5.0599999999999996</v>
      </c>
    </row>
    <row r="11" spans="1:21" customFormat="1">
      <c r="A11" s="49">
        <v>45394.125</v>
      </c>
      <c r="B11" s="50">
        <v>18.22</v>
      </c>
      <c r="C11" s="50">
        <v>25.24</v>
      </c>
      <c r="D11" s="50">
        <v>28.84</v>
      </c>
      <c r="E11" s="50">
        <v>11.62</v>
      </c>
      <c r="F11" s="50">
        <v>3.03</v>
      </c>
      <c r="G11" s="50">
        <v>27.33</v>
      </c>
      <c r="H11" s="50">
        <v>12.47</v>
      </c>
      <c r="I11" s="50">
        <v>5.42</v>
      </c>
      <c r="J11" s="50">
        <v>0.17</v>
      </c>
      <c r="K11" s="50">
        <v>191.51</v>
      </c>
      <c r="L11" s="50">
        <v>20.149999999999999</v>
      </c>
      <c r="M11" s="50">
        <v>102.53</v>
      </c>
      <c r="N11" s="50">
        <v>0</v>
      </c>
      <c r="O11" s="50">
        <v>0</v>
      </c>
      <c r="P11" s="50">
        <v>0.55000000000000004</v>
      </c>
      <c r="Q11" s="50">
        <v>5.08</v>
      </c>
    </row>
    <row r="12" spans="1:21" customFormat="1">
      <c r="A12" s="49">
        <v>45394.166666666664</v>
      </c>
      <c r="B12" s="50">
        <v>19.09</v>
      </c>
      <c r="C12" s="50">
        <v>25.24</v>
      </c>
      <c r="D12" s="50">
        <v>29.61</v>
      </c>
      <c r="E12" s="50">
        <v>11.3</v>
      </c>
      <c r="F12" s="50">
        <v>2.98</v>
      </c>
      <c r="G12" s="50">
        <v>27.33</v>
      </c>
      <c r="H12" s="50">
        <v>9.1</v>
      </c>
      <c r="I12" s="50">
        <v>5.4</v>
      </c>
      <c r="J12" s="50">
        <v>0.21</v>
      </c>
      <c r="K12" s="50">
        <v>241.88</v>
      </c>
      <c r="L12" s="50">
        <v>20</v>
      </c>
      <c r="M12" s="50">
        <v>101.54</v>
      </c>
      <c r="N12" s="50">
        <v>0</v>
      </c>
      <c r="O12" s="50">
        <v>0</v>
      </c>
      <c r="P12" s="50">
        <v>0.54</v>
      </c>
      <c r="Q12" s="50">
        <v>5.08</v>
      </c>
    </row>
    <row r="13" spans="1:21" customFormat="1">
      <c r="A13" s="49">
        <v>45394.208333333336</v>
      </c>
      <c r="B13" s="50">
        <v>19.16</v>
      </c>
      <c r="C13" s="50">
        <v>25.38</v>
      </c>
      <c r="D13" s="50">
        <v>29.8</v>
      </c>
      <c r="E13" s="50">
        <v>11.47</v>
      </c>
      <c r="F13" s="50">
        <v>2.99</v>
      </c>
      <c r="G13" s="50">
        <v>25.01</v>
      </c>
      <c r="H13" s="50">
        <v>8.06</v>
      </c>
      <c r="I13" s="50">
        <v>5.38</v>
      </c>
      <c r="J13" s="50">
        <v>0.36</v>
      </c>
      <c r="K13" s="50">
        <v>188.86</v>
      </c>
      <c r="L13" s="50">
        <v>20.63</v>
      </c>
      <c r="M13" s="50">
        <v>104.16</v>
      </c>
      <c r="N13" s="50">
        <v>0</v>
      </c>
      <c r="O13" s="50">
        <v>0</v>
      </c>
      <c r="P13" s="50">
        <v>0.54</v>
      </c>
      <c r="Q13" s="50">
        <v>5.08</v>
      </c>
    </row>
    <row r="14" spans="1:21" customFormat="1">
      <c r="A14" s="49">
        <v>45394.25</v>
      </c>
      <c r="B14" s="50">
        <v>20.59</v>
      </c>
      <c r="C14" s="50">
        <v>26.18</v>
      </c>
      <c r="D14" s="50">
        <v>31.54</v>
      </c>
      <c r="E14" s="50">
        <v>11.76</v>
      </c>
      <c r="F14" s="50">
        <v>2.89</v>
      </c>
      <c r="G14" s="50">
        <v>33.340000000000003</v>
      </c>
      <c r="H14" s="50">
        <v>10.78</v>
      </c>
      <c r="I14" s="50">
        <v>5.64</v>
      </c>
      <c r="J14" s="50">
        <v>0.66</v>
      </c>
      <c r="K14" s="50">
        <v>88.47</v>
      </c>
      <c r="L14" s="50">
        <v>20.96</v>
      </c>
      <c r="M14" s="50">
        <v>99.81</v>
      </c>
      <c r="N14" s="50">
        <v>0</v>
      </c>
      <c r="O14" s="50">
        <v>0</v>
      </c>
      <c r="P14" s="50">
        <v>0.53</v>
      </c>
      <c r="Q14" s="50">
        <v>5.0999999999999996</v>
      </c>
    </row>
    <row r="15" spans="1:21" customFormat="1">
      <c r="A15" s="49">
        <v>45394.291666666664</v>
      </c>
      <c r="B15" s="50">
        <v>21.06</v>
      </c>
      <c r="C15" s="50">
        <v>26.86</v>
      </c>
      <c r="D15" s="50">
        <v>32.07</v>
      </c>
      <c r="E15" s="50">
        <v>12.39</v>
      </c>
      <c r="F15" s="50">
        <v>2.88</v>
      </c>
      <c r="G15" s="50">
        <v>42.55</v>
      </c>
      <c r="H15" s="50">
        <v>11.81</v>
      </c>
      <c r="I15" s="50">
        <v>5.79</v>
      </c>
      <c r="J15" s="50">
        <v>0.41</v>
      </c>
      <c r="K15" s="50">
        <v>274.14</v>
      </c>
      <c r="L15" s="50">
        <v>21.1</v>
      </c>
      <c r="M15" s="50">
        <v>99.9</v>
      </c>
      <c r="N15" s="50">
        <v>32</v>
      </c>
      <c r="O15" s="50">
        <v>0</v>
      </c>
      <c r="P15" s="50">
        <v>0.56000000000000005</v>
      </c>
      <c r="Q15" s="50">
        <v>5.12</v>
      </c>
    </row>
    <row r="16" spans="1:21" customFormat="1">
      <c r="A16" s="49">
        <v>45394.333333333336</v>
      </c>
      <c r="B16" s="50">
        <v>20.89</v>
      </c>
      <c r="C16" s="50">
        <v>26.71</v>
      </c>
      <c r="D16" s="50">
        <v>31.75</v>
      </c>
      <c r="E16" s="50">
        <v>12.44</v>
      </c>
      <c r="F16" s="50">
        <v>2.84</v>
      </c>
      <c r="G16" s="50">
        <v>42.55</v>
      </c>
      <c r="H16" s="50">
        <v>11.81</v>
      </c>
      <c r="I16" s="50">
        <v>6.08</v>
      </c>
      <c r="J16" s="50">
        <v>0.34</v>
      </c>
      <c r="K16" s="50">
        <v>291.92</v>
      </c>
      <c r="L16" s="50">
        <v>22.12</v>
      </c>
      <c r="M16" s="50">
        <v>100.18</v>
      </c>
      <c r="N16" s="50">
        <v>75.099999999999994</v>
      </c>
      <c r="O16" s="50">
        <v>0</v>
      </c>
      <c r="P16" s="50">
        <v>0.59</v>
      </c>
      <c r="Q16" s="50">
        <v>5.13</v>
      </c>
    </row>
    <row r="17" spans="1:17" customFormat="1">
      <c r="A17" s="49">
        <v>45394.375</v>
      </c>
      <c r="B17" s="50">
        <v>20.329999999999998</v>
      </c>
      <c r="C17" s="50">
        <v>26.68</v>
      </c>
      <c r="D17" s="50">
        <v>31.53</v>
      </c>
      <c r="E17" s="50">
        <v>12.55</v>
      </c>
      <c r="F17" s="50">
        <v>2.86</v>
      </c>
      <c r="G17" s="50">
        <v>53.82</v>
      </c>
      <c r="H17" s="50">
        <v>19.05</v>
      </c>
      <c r="I17" s="50">
        <v>6.61</v>
      </c>
      <c r="J17" s="50">
        <v>0.33</v>
      </c>
      <c r="K17" s="50">
        <v>260.79000000000002</v>
      </c>
      <c r="L17" s="50">
        <v>22.38</v>
      </c>
      <c r="M17" s="50">
        <v>96.12</v>
      </c>
      <c r="N17" s="50">
        <v>56.1</v>
      </c>
      <c r="O17" s="50">
        <v>0</v>
      </c>
      <c r="P17" s="50">
        <v>0.64</v>
      </c>
      <c r="Q17" s="50">
        <v>5.1100000000000003</v>
      </c>
    </row>
    <row r="18" spans="1:17" customFormat="1">
      <c r="A18" s="49">
        <v>45394.416666666664</v>
      </c>
      <c r="B18" s="50">
        <v>20.350000000000001</v>
      </c>
      <c r="C18" s="50">
        <v>26.49</v>
      </c>
      <c r="D18" s="50">
        <v>30.83</v>
      </c>
      <c r="E18" s="50">
        <v>12.16</v>
      </c>
      <c r="F18" s="50">
        <v>3.42</v>
      </c>
      <c r="G18" s="50">
        <v>53.82</v>
      </c>
      <c r="H18" s="50">
        <v>19.05</v>
      </c>
      <c r="I18" s="50">
        <v>6.9</v>
      </c>
      <c r="J18" s="50">
        <v>0.65</v>
      </c>
      <c r="K18" s="50">
        <v>257.17</v>
      </c>
      <c r="L18" s="50">
        <v>22.24</v>
      </c>
      <c r="M18" s="50">
        <v>98.49</v>
      </c>
      <c r="N18" s="50">
        <v>95.9</v>
      </c>
      <c r="O18" s="50">
        <v>0.2</v>
      </c>
      <c r="P18" s="50">
        <v>0.65</v>
      </c>
      <c r="Q18" s="50">
        <v>5.09</v>
      </c>
    </row>
    <row r="19" spans="1:17" customFormat="1">
      <c r="A19" s="49">
        <v>45394.458333333336</v>
      </c>
      <c r="B19" s="50">
        <v>21.48</v>
      </c>
      <c r="C19" s="50">
        <v>24.78</v>
      </c>
      <c r="D19" s="50">
        <v>31.5</v>
      </c>
      <c r="E19" s="50">
        <v>12.2</v>
      </c>
      <c r="F19" s="50">
        <v>3.38</v>
      </c>
      <c r="G19" s="50">
        <v>38.51</v>
      </c>
      <c r="H19" s="50">
        <v>14.75</v>
      </c>
      <c r="I19" s="50">
        <v>6.94</v>
      </c>
      <c r="J19" s="50">
        <v>0.56000000000000005</v>
      </c>
      <c r="K19" s="50">
        <v>279.5</v>
      </c>
      <c r="L19" s="50">
        <v>23.84</v>
      </c>
      <c r="M19" s="50">
        <v>96.8</v>
      </c>
      <c r="N19" s="50">
        <v>385.5</v>
      </c>
      <c r="O19" s="50">
        <v>0</v>
      </c>
      <c r="P19" s="50">
        <v>0.64</v>
      </c>
      <c r="Q19" s="50">
        <v>5.09</v>
      </c>
    </row>
    <row r="20" spans="1:17" customFormat="1">
      <c r="A20" s="49">
        <v>45394.5</v>
      </c>
      <c r="B20" s="50">
        <v>21.39</v>
      </c>
      <c r="C20" s="50">
        <v>24.3</v>
      </c>
      <c r="D20" s="50">
        <v>31.2</v>
      </c>
      <c r="E20" s="50">
        <v>13.21</v>
      </c>
      <c r="F20" s="50">
        <v>3.12</v>
      </c>
      <c r="G20" s="50">
        <v>31.72</v>
      </c>
      <c r="H20" s="50">
        <v>14.8</v>
      </c>
      <c r="I20" s="50">
        <v>7.31</v>
      </c>
      <c r="J20" s="50">
        <v>0.64</v>
      </c>
      <c r="K20" s="50">
        <v>273.47000000000003</v>
      </c>
      <c r="L20" s="50">
        <v>25.83</v>
      </c>
      <c r="M20" s="50">
        <v>83.46</v>
      </c>
      <c r="N20" s="50">
        <v>374.8</v>
      </c>
      <c r="O20" s="50">
        <v>0</v>
      </c>
      <c r="P20" s="50">
        <v>0.67</v>
      </c>
      <c r="Q20" s="50">
        <v>5.08</v>
      </c>
    </row>
    <row r="21" spans="1:17" customFormat="1">
      <c r="A21" s="49">
        <v>45394.541666666664</v>
      </c>
      <c r="B21" s="50">
        <v>19.96</v>
      </c>
      <c r="C21" s="50">
        <v>23.37</v>
      </c>
      <c r="D21" s="50">
        <v>29.56</v>
      </c>
      <c r="E21" s="50">
        <v>12.83</v>
      </c>
      <c r="F21" s="50">
        <v>3.3</v>
      </c>
      <c r="G21" s="50">
        <v>33.85</v>
      </c>
      <c r="H21" s="50">
        <v>16.71</v>
      </c>
      <c r="I21" s="50">
        <v>7.4</v>
      </c>
      <c r="J21" s="50">
        <v>0.69</v>
      </c>
      <c r="K21" s="50">
        <v>285.36</v>
      </c>
      <c r="L21" s="50">
        <v>26.82</v>
      </c>
      <c r="M21" s="50">
        <v>73.89</v>
      </c>
      <c r="N21" s="50">
        <v>365</v>
      </c>
      <c r="O21" s="50">
        <v>0</v>
      </c>
      <c r="P21" s="50">
        <v>0.65</v>
      </c>
      <c r="Q21" s="50">
        <v>5.08</v>
      </c>
    </row>
    <row r="22" spans="1:17" customFormat="1">
      <c r="A22" s="49">
        <v>45394.583333333336</v>
      </c>
      <c r="B22" s="50">
        <v>18.63</v>
      </c>
      <c r="C22" s="50">
        <v>23.09</v>
      </c>
      <c r="D22" s="50">
        <v>28.35</v>
      </c>
      <c r="E22" s="50">
        <v>12.36</v>
      </c>
      <c r="F22" s="50">
        <v>3.18</v>
      </c>
      <c r="G22" s="50">
        <v>33.85</v>
      </c>
      <c r="H22" s="50">
        <v>16.71</v>
      </c>
      <c r="I22" s="50">
        <v>7.29</v>
      </c>
      <c r="J22" s="50">
        <v>0.31</v>
      </c>
      <c r="K22" s="50">
        <v>233.52</v>
      </c>
      <c r="L22" s="50">
        <v>27.74</v>
      </c>
      <c r="M22" s="50">
        <v>65.47</v>
      </c>
      <c r="N22" s="50">
        <v>283.7</v>
      </c>
      <c r="O22" s="50">
        <v>0</v>
      </c>
      <c r="P22" s="50">
        <v>0.64</v>
      </c>
      <c r="Q22" s="50">
        <v>5.08</v>
      </c>
    </row>
    <row r="23" spans="1:17" customFormat="1">
      <c r="A23" s="49">
        <v>45394.625</v>
      </c>
      <c r="B23" s="50">
        <v>16</v>
      </c>
      <c r="C23" s="50">
        <v>23.72</v>
      </c>
      <c r="D23" s="50">
        <v>25.86</v>
      </c>
      <c r="E23" s="50">
        <v>12.2</v>
      </c>
      <c r="F23" s="50">
        <v>3.32</v>
      </c>
      <c r="G23" s="50">
        <v>32.64</v>
      </c>
      <c r="H23" s="50">
        <v>14.93</v>
      </c>
      <c r="I23" s="50">
        <v>7.11</v>
      </c>
      <c r="J23" s="50">
        <v>0.63</v>
      </c>
      <c r="K23" s="50">
        <v>170.09</v>
      </c>
      <c r="L23" s="50">
        <v>29.62</v>
      </c>
      <c r="M23" s="50">
        <v>64.17</v>
      </c>
      <c r="N23" s="50">
        <v>660.6</v>
      </c>
      <c r="O23" s="50">
        <v>0</v>
      </c>
      <c r="P23" s="50">
        <v>0.61</v>
      </c>
      <c r="Q23" s="50">
        <v>5.1100000000000003</v>
      </c>
    </row>
    <row r="24" spans="1:17" customFormat="1">
      <c r="A24" s="49">
        <v>45394.666666666664</v>
      </c>
      <c r="B24" s="50">
        <v>11.53</v>
      </c>
      <c r="C24" s="50">
        <v>24.05</v>
      </c>
      <c r="D24" s="50">
        <v>23.17</v>
      </c>
      <c r="E24" s="50">
        <v>12.16</v>
      </c>
      <c r="F24" s="50">
        <v>3.73</v>
      </c>
      <c r="G24" s="50">
        <v>32.1</v>
      </c>
      <c r="H24" s="50">
        <v>14.93</v>
      </c>
      <c r="I24" s="50">
        <v>6.57</v>
      </c>
      <c r="J24" s="50">
        <v>0.39</v>
      </c>
      <c r="K24" s="50">
        <v>311.83</v>
      </c>
      <c r="L24" s="50">
        <v>30.82</v>
      </c>
      <c r="M24" s="50">
        <v>56.15</v>
      </c>
      <c r="N24" s="50">
        <v>598.29999999999995</v>
      </c>
      <c r="O24" s="50">
        <v>0</v>
      </c>
      <c r="P24" s="50">
        <v>0.6</v>
      </c>
      <c r="Q24" s="50">
        <v>5.07</v>
      </c>
    </row>
    <row r="25" spans="1:17" customFormat="1">
      <c r="A25" s="49">
        <v>45394.708333333336</v>
      </c>
      <c r="B25" s="50">
        <v>8.27</v>
      </c>
      <c r="C25" s="50">
        <v>22.79</v>
      </c>
      <c r="D25" s="50">
        <v>19.89</v>
      </c>
      <c r="E25" s="50">
        <v>12.49</v>
      </c>
      <c r="F25" s="50">
        <v>4.47</v>
      </c>
      <c r="G25" s="50">
        <v>32.1</v>
      </c>
      <c r="H25" s="50">
        <v>15.48</v>
      </c>
      <c r="I25" s="50">
        <v>6.12</v>
      </c>
      <c r="J25" s="50">
        <v>0.28999999999999998</v>
      </c>
      <c r="K25" s="50">
        <v>185.71</v>
      </c>
      <c r="L25" s="50">
        <v>30.71</v>
      </c>
      <c r="M25" s="50">
        <v>58.15</v>
      </c>
      <c r="N25" s="50">
        <v>278.7</v>
      </c>
      <c r="O25" s="50">
        <v>0</v>
      </c>
      <c r="P25" s="50">
        <v>0.57999999999999996</v>
      </c>
      <c r="Q25" s="50">
        <v>5.0599999999999996</v>
      </c>
    </row>
    <row r="26" spans="1:17" customFormat="1">
      <c r="A26" s="49">
        <v>45394.75</v>
      </c>
      <c r="B26" s="50">
        <v>6.83</v>
      </c>
      <c r="C26" s="50">
        <v>22.04</v>
      </c>
      <c r="D26" s="50">
        <v>18.34</v>
      </c>
      <c r="E26" s="50">
        <v>12.01</v>
      </c>
      <c r="F26" s="50">
        <v>4.04</v>
      </c>
      <c r="G26" s="50">
        <v>30.04</v>
      </c>
      <c r="H26" s="50">
        <v>16.29</v>
      </c>
      <c r="I26" s="50">
        <v>5.77</v>
      </c>
      <c r="J26" s="50">
        <v>0.17</v>
      </c>
      <c r="K26" s="50">
        <v>195.31</v>
      </c>
      <c r="L26" s="50">
        <v>30.17</v>
      </c>
      <c r="M26" s="50">
        <v>67.78</v>
      </c>
      <c r="N26" s="50">
        <v>149.30000000000001</v>
      </c>
      <c r="O26" s="50">
        <v>0</v>
      </c>
      <c r="P26" s="50">
        <v>0.56999999999999995</v>
      </c>
      <c r="Q26" s="50">
        <v>5.05</v>
      </c>
    </row>
    <row r="27" spans="1:17" customFormat="1">
      <c r="A27" s="49">
        <v>45394.791666666664</v>
      </c>
      <c r="B27" s="50">
        <v>6.8</v>
      </c>
      <c r="C27" s="50">
        <v>23.96</v>
      </c>
      <c r="D27" s="50">
        <v>19.32</v>
      </c>
      <c r="E27" s="50">
        <v>12.54</v>
      </c>
      <c r="F27" s="50">
        <v>3.73</v>
      </c>
      <c r="G27" s="50">
        <v>33.49</v>
      </c>
      <c r="H27" s="50">
        <v>22.65</v>
      </c>
      <c r="I27" s="50">
        <v>5.52</v>
      </c>
      <c r="J27" s="50">
        <v>0.14000000000000001</v>
      </c>
      <c r="K27" s="50">
        <v>195.52</v>
      </c>
      <c r="L27" s="50">
        <v>26.42</v>
      </c>
      <c r="M27" s="50">
        <v>83.06</v>
      </c>
      <c r="N27" s="50">
        <v>0</v>
      </c>
      <c r="O27" s="50">
        <v>0</v>
      </c>
      <c r="P27" s="50">
        <v>0.6</v>
      </c>
      <c r="Q27" s="50">
        <v>5.04</v>
      </c>
    </row>
    <row r="28" spans="1:17" customFormat="1">
      <c r="A28" s="49">
        <v>45394.833333333336</v>
      </c>
      <c r="B28" s="50">
        <v>8.82</v>
      </c>
      <c r="C28" s="50">
        <v>21.83</v>
      </c>
      <c r="D28" s="50">
        <v>19.78</v>
      </c>
      <c r="E28" s="50">
        <v>12.48</v>
      </c>
      <c r="F28" s="50">
        <v>3.58</v>
      </c>
      <c r="G28" s="50">
        <v>33.49</v>
      </c>
      <c r="H28" s="50">
        <v>22.65</v>
      </c>
      <c r="I28" s="50">
        <v>5.89</v>
      </c>
      <c r="J28" s="50">
        <v>0.09</v>
      </c>
      <c r="K28" s="50">
        <v>236.78</v>
      </c>
      <c r="L28" s="50">
        <v>24.11</v>
      </c>
      <c r="M28" s="50">
        <v>88.71</v>
      </c>
      <c r="N28" s="50">
        <v>0</v>
      </c>
      <c r="O28" s="50">
        <v>0</v>
      </c>
      <c r="P28" s="50">
        <v>0.6</v>
      </c>
      <c r="Q28" s="50">
        <v>5.03</v>
      </c>
    </row>
    <row r="29" spans="1:17" customFormat="1">
      <c r="A29" s="49">
        <v>45394.875</v>
      </c>
      <c r="B29" s="50">
        <v>10.51</v>
      </c>
      <c r="C29" s="50">
        <v>21.89</v>
      </c>
      <c r="D29" s="50">
        <v>21.09</v>
      </c>
      <c r="E29" s="50">
        <v>12.58</v>
      </c>
      <c r="F29" s="50">
        <v>3.21</v>
      </c>
      <c r="G29" s="50">
        <v>37.450000000000003</v>
      </c>
      <c r="H29" s="50">
        <v>20.02</v>
      </c>
      <c r="I29" s="50">
        <v>6.19</v>
      </c>
      <c r="J29" s="50">
        <v>0.17</v>
      </c>
      <c r="K29" s="50">
        <v>292.77</v>
      </c>
      <c r="L29" s="50">
        <v>23.13</v>
      </c>
      <c r="M29" s="50">
        <v>92.65</v>
      </c>
      <c r="N29" s="50">
        <v>0</v>
      </c>
      <c r="O29" s="50">
        <v>0</v>
      </c>
      <c r="P29" s="50">
        <v>0.61</v>
      </c>
      <c r="Q29" s="50">
        <v>5.05</v>
      </c>
    </row>
    <row r="30" spans="1:17" customFormat="1">
      <c r="A30" s="49">
        <v>45394.916666666664</v>
      </c>
      <c r="B30" s="50">
        <v>13.14</v>
      </c>
      <c r="C30" s="50">
        <v>22.86</v>
      </c>
      <c r="D30" s="50">
        <v>23.83</v>
      </c>
      <c r="E30" s="50">
        <v>12.26</v>
      </c>
      <c r="F30" s="50">
        <v>3.03</v>
      </c>
      <c r="G30" s="50">
        <v>38.94</v>
      </c>
      <c r="H30" s="50">
        <v>20.85</v>
      </c>
      <c r="I30" s="50">
        <v>6.27</v>
      </c>
      <c r="J30" s="50">
        <v>0.27</v>
      </c>
      <c r="K30" s="50">
        <v>158.19</v>
      </c>
      <c r="L30" s="50">
        <v>22.47</v>
      </c>
      <c r="M30" s="50">
        <v>96.38</v>
      </c>
      <c r="N30" s="50">
        <v>0</v>
      </c>
      <c r="O30" s="50">
        <v>0</v>
      </c>
      <c r="P30" s="50">
        <v>0.63</v>
      </c>
      <c r="Q30" s="50">
        <v>5.03</v>
      </c>
    </row>
    <row r="31" spans="1:17" customFormat="1">
      <c r="A31" s="49">
        <v>45394.958333333336</v>
      </c>
      <c r="B31" s="50">
        <v>18.420000000000002</v>
      </c>
      <c r="C31" s="50">
        <v>24.34</v>
      </c>
      <c r="D31" s="50">
        <v>28.84</v>
      </c>
      <c r="E31" s="50">
        <v>12.71</v>
      </c>
      <c r="F31" s="50">
        <v>3.06</v>
      </c>
      <c r="G31" s="50">
        <v>56.77</v>
      </c>
      <c r="H31" s="50">
        <v>25.34</v>
      </c>
      <c r="I31" s="50">
        <v>6.69</v>
      </c>
      <c r="J31" s="50">
        <v>0.41</v>
      </c>
      <c r="K31" s="50">
        <v>183.51</v>
      </c>
      <c r="L31" s="50">
        <v>22.56</v>
      </c>
      <c r="M31" s="50">
        <v>94.87</v>
      </c>
      <c r="N31" s="50">
        <v>0</v>
      </c>
      <c r="O31" s="50">
        <v>0</v>
      </c>
      <c r="P31" s="50">
        <v>0.68</v>
      </c>
      <c r="Q31" s="50">
        <v>5.08</v>
      </c>
    </row>
    <row r="32" spans="1:17" customFormat="1">
      <c r="A32" s="49">
        <v>45395</v>
      </c>
      <c r="B32" s="50">
        <v>20.5</v>
      </c>
      <c r="C32" s="50">
        <v>24.38</v>
      </c>
      <c r="D32" s="50">
        <v>30.08</v>
      </c>
      <c r="E32" s="50">
        <v>13.35</v>
      </c>
      <c r="F32" s="50">
        <v>3.06</v>
      </c>
      <c r="G32" s="50">
        <v>56.77</v>
      </c>
      <c r="H32" s="50">
        <v>25.34</v>
      </c>
      <c r="I32" s="50">
        <v>6.94</v>
      </c>
      <c r="J32" s="50">
        <v>0.2</v>
      </c>
      <c r="K32" s="50">
        <v>241.52</v>
      </c>
      <c r="L32" s="50">
        <v>21.37</v>
      </c>
      <c r="M32" s="50">
        <v>98.98</v>
      </c>
      <c r="N32" s="50">
        <v>0</v>
      </c>
      <c r="O32" s="50">
        <v>0</v>
      </c>
      <c r="P32" s="50">
        <v>0.69</v>
      </c>
      <c r="Q32" s="50">
        <v>5.12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6.8</v>
      </c>
      <c r="C34" s="40">
        <f t="shared" si="0"/>
        <v>21.83</v>
      </c>
      <c r="D34" s="40">
        <f t="shared" si="0"/>
        <v>18.34</v>
      </c>
      <c r="E34" s="40">
        <f t="shared" si="0"/>
        <v>10.52</v>
      </c>
      <c r="F34" s="40">
        <f t="shared" si="0"/>
        <v>2.84</v>
      </c>
      <c r="G34" s="40">
        <f t="shared" si="0"/>
        <v>24.71</v>
      </c>
      <c r="H34" s="40">
        <f t="shared" si="0"/>
        <v>8.06</v>
      </c>
      <c r="I34" s="40">
        <f t="shared" si="0"/>
        <v>5.34</v>
      </c>
      <c r="J34" s="40">
        <f t="shared" si="0"/>
        <v>0.09</v>
      </c>
      <c r="K34" s="40">
        <f t="shared" si="0"/>
        <v>88.47</v>
      </c>
      <c r="L34" s="40">
        <f t="shared" si="0"/>
        <v>20</v>
      </c>
      <c r="M34" s="40">
        <f t="shared" si="0"/>
        <v>56.15</v>
      </c>
      <c r="N34" s="40">
        <f t="shared" si="0"/>
        <v>0</v>
      </c>
      <c r="O34" s="40">
        <f t="shared" si="0"/>
        <v>0</v>
      </c>
      <c r="P34" s="40">
        <f t="shared" si="0"/>
        <v>0.53</v>
      </c>
      <c r="Q34" s="40">
        <f t="shared" si="0"/>
        <v>5.03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21.48</v>
      </c>
      <c r="C35" s="33">
        <f t="shared" si="1"/>
        <v>26.86</v>
      </c>
      <c r="D35" s="33">
        <f t="shared" si="1"/>
        <v>32.07</v>
      </c>
      <c r="E35" s="33">
        <f t="shared" si="1"/>
        <v>13.35</v>
      </c>
      <c r="F35" s="33">
        <f t="shared" si="1"/>
        <v>4.47</v>
      </c>
      <c r="G35" s="33">
        <f t="shared" si="1"/>
        <v>56.77</v>
      </c>
      <c r="H35" s="33">
        <f t="shared" si="1"/>
        <v>25.34</v>
      </c>
      <c r="I35" s="33">
        <f t="shared" si="1"/>
        <v>7.4</v>
      </c>
      <c r="J35" s="33">
        <f t="shared" si="1"/>
        <v>0.69</v>
      </c>
      <c r="K35" s="33">
        <f t="shared" si="1"/>
        <v>311.83</v>
      </c>
      <c r="L35" s="33">
        <f t="shared" si="1"/>
        <v>30.82</v>
      </c>
      <c r="M35" s="33">
        <f t="shared" si="1"/>
        <v>104.16</v>
      </c>
      <c r="N35" s="33">
        <f t="shared" si="1"/>
        <v>660.6</v>
      </c>
      <c r="O35" s="33">
        <f t="shared" si="1"/>
        <v>0.2</v>
      </c>
      <c r="P35" s="33">
        <f t="shared" si="1"/>
        <v>0.69</v>
      </c>
      <c r="Q35" s="33">
        <f t="shared" si="1"/>
        <v>5.13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16.345833333333328</v>
      </c>
      <c r="C36" s="40">
        <f t="shared" si="2"/>
        <v>24.342500000000005</v>
      </c>
      <c r="D36" s="40">
        <f t="shared" si="2"/>
        <v>27.037500000000005</v>
      </c>
      <c r="E36" s="40">
        <f t="shared" si="2"/>
        <v>12.181249999999999</v>
      </c>
      <c r="F36" s="40">
        <f t="shared" si="2"/>
        <v>3.2624999999999993</v>
      </c>
      <c r="G36" s="40">
        <f t="shared" si="2"/>
        <v>36.594166666666666</v>
      </c>
      <c r="H36" s="40">
        <f t="shared" si="2"/>
        <v>16.133333333333329</v>
      </c>
      <c r="I36" s="40">
        <f t="shared" si="2"/>
        <v>6.2500000000000009</v>
      </c>
      <c r="J36" s="40">
        <f t="shared" si="2"/>
        <v>0.35499999999999993</v>
      </c>
      <c r="K36" s="40">
        <f t="shared" si="2"/>
        <v>230.16583333333335</v>
      </c>
      <c r="L36" s="40">
        <f t="shared" si="2"/>
        <v>23.980416666666667</v>
      </c>
      <c r="M36" s="40">
        <f t="shared" si="2"/>
        <v>88.552500000000009</v>
      </c>
      <c r="N36" s="40">
        <f t="shared" si="2"/>
        <v>139.79166666666666</v>
      </c>
      <c r="O36" s="40">
        <f t="shared" si="2"/>
        <v>8.3333333333333332E-3</v>
      </c>
      <c r="P36" s="40">
        <f t="shared" si="2"/>
        <v>0.60291666666666666</v>
      </c>
      <c r="Q36" s="40">
        <f t="shared" si="2"/>
        <v>5.0783333333333331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5.0161685678861936</v>
      </c>
      <c r="C37" s="40">
        <f t="shared" ref="C37:Q37" si="3">STDEV(C9:C32)</f>
        <v>1.5378789741491319</v>
      </c>
      <c r="D37" s="40">
        <f t="shared" si="3"/>
        <v>4.5793100391633814</v>
      </c>
      <c r="E37" s="40">
        <f t="shared" si="3"/>
        <v>0.67460979059400639</v>
      </c>
      <c r="F37" s="40">
        <f t="shared" si="3"/>
        <v>0.40089302487235667</v>
      </c>
      <c r="G37" s="40">
        <f t="shared" si="3"/>
        <v>9.8106592060865427</v>
      </c>
      <c r="H37" s="40">
        <f t="shared" si="3"/>
        <v>4.8851635784695997</v>
      </c>
      <c r="I37" s="40">
        <f t="shared" si="3"/>
        <v>0.69977636179119962</v>
      </c>
      <c r="J37" s="40">
        <f t="shared" si="3"/>
        <v>0.18934670293681791</v>
      </c>
      <c r="K37" s="40">
        <f t="shared" si="3"/>
        <v>53.389036076598892</v>
      </c>
      <c r="L37" s="40">
        <f t="shared" si="3"/>
        <v>3.6288631339481099</v>
      </c>
      <c r="M37" s="40">
        <f t="shared" si="3"/>
        <v>15.552701778427295</v>
      </c>
      <c r="N37" s="40">
        <f t="shared" si="3"/>
        <v>202.92667323480401</v>
      </c>
      <c r="O37" s="40">
        <f t="shared" si="3"/>
        <v>4.0824829046386311E-2</v>
      </c>
      <c r="P37" s="40">
        <f t="shared" si="3"/>
        <v>4.7865678605928191E-2</v>
      </c>
      <c r="Q37" s="40">
        <f t="shared" si="3"/>
        <v>2.776714772448954E-2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A9" sqref="A9"/>
      <selection pane="topRight" activeCell="A9" sqref="A9"/>
      <selection pane="bottomLeft" activeCell="A9" sqref="A9"/>
      <selection pane="bottomRight" activeCell="B38" sqref="B38:P38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45395.041666666664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45395.041666666664</v>
      </c>
      <c r="B9" s="50">
        <v>19.13</v>
      </c>
      <c r="C9" s="50">
        <v>24.13</v>
      </c>
      <c r="D9" s="50">
        <v>29.3</v>
      </c>
      <c r="E9" s="50">
        <v>12.62</v>
      </c>
      <c r="F9" s="50">
        <v>2.92</v>
      </c>
      <c r="G9" s="50">
        <v>55.34</v>
      </c>
      <c r="H9" s="50">
        <v>22.02</v>
      </c>
      <c r="I9" s="50">
        <v>6.9</v>
      </c>
      <c r="J9" s="50">
        <v>0.18</v>
      </c>
      <c r="K9" s="50">
        <v>233.48</v>
      </c>
      <c r="L9" s="50">
        <v>21.04</v>
      </c>
      <c r="M9" s="50">
        <v>99.89</v>
      </c>
      <c r="N9" s="50">
        <v>0</v>
      </c>
      <c r="O9" s="50">
        <v>0</v>
      </c>
      <c r="P9" s="50">
        <v>0.68</v>
      </c>
      <c r="Q9" s="50">
        <v>5.12</v>
      </c>
    </row>
    <row r="10" spans="1:21" customFormat="1">
      <c r="A10" s="49">
        <v>45395.083333333336</v>
      </c>
      <c r="B10" s="50">
        <v>20.97</v>
      </c>
      <c r="C10" s="50">
        <v>24.99</v>
      </c>
      <c r="D10" s="50">
        <v>31.22</v>
      </c>
      <c r="E10" s="50">
        <v>12.57</v>
      </c>
      <c r="F10" s="50">
        <v>2.85</v>
      </c>
      <c r="G10" s="50">
        <v>50.4</v>
      </c>
      <c r="H10" s="50">
        <v>22.02</v>
      </c>
      <c r="I10" s="50">
        <v>7.01</v>
      </c>
      <c r="J10" s="50">
        <v>0.25</v>
      </c>
      <c r="K10" s="50">
        <v>185.71</v>
      </c>
      <c r="L10" s="50">
        <v>21.23</v>
      </c>
      <c r="M10" s="50">
        <v>99.03</v>
      </c>
      <c r="N10" s="50">
        <v>0</v>
      </c>
      <c r="O10" s="50">
        <v>0</v>
      </c>
      <c r="P10" s="50">
        <v>0.71</v>
      </c>
      <c r="Q10" s="50">
        <v>5.12</v>
      </c>
    </row>
    <row r="11" spans="1:21" customFormat="1">
      <c r="A11" s="49">
        <v>45395.125</v>
      </c>
      <c r="B11" s="50">
        <v>24.07</v>
      </c>
      <c r="C11" s="50">
        <v>25.83</v>
      </c>
      <c r="D11" s="50">
        <v>34.130000000000003</v>
      </c>
      <c r="E11" s="50">
        <v>11.55</v>
      </c>
      <c r="F11" s="50">
        <v>2.87</v>
      </c>
      <c r="G11" s="50">
        <v>48.5</v>
      </c>
      <c r="H11" s="50">
        <v>21.88</v>
      </c>
      <c r="I11" s="50">
        <v>7.03</v>
      </c>
      <c r="J11" s="50">
        <v>0.45</v>
      </c>
      <c r="K11" s="50">
        <v>211.52</v>
      </c>
      <c r="L11" s="50">
        <v>21.12</v>
      </c>
      <c r="M11" s="50">
        <v>101.15</v>
      </c>
      <c r="N11" s="50">
        <v>0</v>
      </c>
      <c r="O11" s="50">
        <v>0</v>
      </c>
      <c r="P11" s="50">
        <v>0.72</v>
      </c>
      <c r="Q11" s="50">
        <v>5.14</v>
      </c>
    </row>
    <row r="12" spans="1:21" customFormat="1">
      <c r="A12" s="49">
        <v>45395.166666666664</v>
      </c>
      <c r="B12" s="50">
        <v>24.6</v>
      </c>
      <c r="C12" s="50">
        <v>26.48</v>
      </c>
      <c r="D12" s="50">
        <v>34.83</v>
      </c>
      <c r="E12" s="50">
        <v>11.6</v>
      </c>
      <c r="F12" s="50">
        <v>2.88</v>
      </c>
      <c r="G12" s="50">
        <v>48.5</v>
      </c>
      <c r="H12" s="50">
        <v>22.86</v>
      </c>
      <c r="I12" s="50">
        <v>7.03</v>
      </c>
      <c r="J12" s="50">
        <v>0.4</v>
      </c>
      <c r="K12" s="50">
        <v>136.44999999999999</v>
      </c>
      <c r="L12" s="50">
        <v>21.24</v>
      </c>
      <c r="M12" s="50">
        <v>100.4</v>
      </c>
      <c r="N12" s="50">
        <v>0</v>
      </c>
      <c r="O12" s="50">
        <v>0</v>
      </c>
      <c r="P12" s="50">
        <v>0.7</v>
      </c>
      <c r="Q12" s="50">
        <v>5.13</v>
      </c>
    </row>
    <row r="13" spans="1:21" customFormat="1">
      <c r="A13" s="49">
        <v>45395.208333333336</v>
      </c>
      <c r="B13" s="50">
        <v>26.37</v>
      </c>
      <c r="C13" s="50">
        <v>27.98</v>
      </c>
      <c r="D13" s="50">
        <v>36.43</v>
      </c>
      <c r="E13" s="50">
        <v>11.85</v>
      </c>
      <c r="F13" s="50">
        <v>3.12</v>
      </c>
      <c r="G13" s="50">
        <v>57.51</v>
      </c>
      <c r="H13" s="50">
        <v>22.86</v>
      </c>
      <c r="I13" s="50">
        <v>7.03</v>
      </c>
      <c r="J13" s="50">
        <v>0.65</v>
      </c>
      <c r="K13" s="50">
        <v>246.3</v>
      </c>
      <c r="L13" s="50">
        <v>21.02</v>
      </c>
      <c r="M13" s="50">
        <v>100.9</v>
      </c>
      <c r="N13" s="50">
        <v>0</v>
      </c>
      <c r="O13" s="50">
        <v>0</v>
      </c>
      <c r="P13" s="50">
        <v>0.69</v>
      </c>
      <c r="Q13" s="50">
        <v>5.14</v>
      </c>
    </row>
    <row r="14" spans="1:21" customFormat="1">
      <c r="A14" s="49">
        <v>45395.25</v>
      </c>
      <c r="B14" s="50">
        <v>29.39</v>
      </c>
      <c r="C14" s="50">
        <v>26.68</v>
      </c>
      <c r="D14" s="50">
        <v>38.51</v>
      </c>
      <c r="E14" s="50">
        <v>11.96</v>
      </c>
      <c r="F14" s="50">
        <v>3.05</v>
      </c>
      <c r="G14" s="50">
        <v>61.63</v>
      </c>
      <c r="H14" s="50">
        <v>22.27</v>
      </c>
      <c r="I14" s="50">
        <v>7.26</v>
      </c>
      <c r="J14" s="50">
        <v>0.92</v>
      </c>
      <c r="K14" s="50">
        <v>51</v>
      </c>
      <c r="L14" s="50">
        <v>21.1</v>
      </c>
      <c r="M14" s="50">
        <v>98.58</v>
      </c>
      <c r="N14" s="50">
        <v>13.3</v>
      </c>
      <c r="O14" s="50">
        <v>0</v>
      </c>
      <c r="P14" s="50">
        <v>0.69</v>
      </c>
      <c r="Q14" s="50">
        <v>5.14</v>
      </c>
    </row>
    <row r="15" spans="1:21" customFormat="1">
      <c r="A15" s="49">
        <v>45395.291666666664</v>
      </c>
      <c r="B15" s="50">
        <v>30.5</v>
      </c>
      <c r="C15" s="50">
        <v>26.39</v>
      </c>
      <c r="D15" s="50">
        <v>38.950000000000003</v>
      </c>
      <c r="E15" s="50">
        <v>11.51</v>
      </c>
      <c r="F15" s="50">
        <v>3.13</v>
      </c>
      <c r="G15" s="50">
        <v>68.290000000000006</v>
      </c>
      <c r="H15" s="50">
        <v>24.7</v>
      </c>
      <c r="I15" s="50">
        <v>7.59</v>
      </c>
      <c r="J15" s="50">
        <v>0.31</v>
      </c>
      <c r="K15" s="50">
        <v>252.45</v>
      </c>
      <c r="L15" s="50">
        <v>22.41</v>
      </c>
      <c r="M15" s="50">
        <v>96.28</v>
      </c>
      <c r="N15" s="50">
        <v>94.4</v>
      </c>
      <c r="O15" s="50">
        <v>0</v>
      </c>
      <c r="P15" s="50">
        <v>0.74</v>
      </c>
      <c r="Q15" s="50">
        <v>5.13</v>
      </c>
    </row>
    <row r="16" spans="1:21" customFormat="1">
      <c r="A16" s="49">
        <v>45395.333333333336</v>
      </c>
      <c r="B16" s="50">
        <v>32.270000000000003</v>
      </c>
      <c r="C16" s="50">
        <v>24.69</v>
      </c>
      <c r="D16" s="50">
        <v>40.1</v>
      </c>
      <c r="E16" s="50">
        <v>11.61</v>
      </c>
      <c r="F16" s="50">
        <v>3.06</v>
      </c>
      <c r="G16" s="50">
        <v>95.76</v>
      </c>
      <c r="H16" s="50">
        <v>31.92</v>
      </c>
      <c r="I16" s="50">
        <v>8.49</v>
      </c>
      <c r="J16" s="50">
        <v>0.83</v>
      </c>
      <c r="K16" s="50">
        <v>282.45</v>
      </c>
      <c r="L16" s="50">
        <v>24.21</v>
      </c>
      <c r="M16" s="50">
        <v>92.24</v>
      </c>
      <c r="N16" s="50">
        <v>147.1</v>
      </c>
      <c r="O16" s="50">
        <v>0</v>
      </c>
      <c r="P16" s="50">
        <v>0.85</v>
      </c>
      <c r="Q16" s="50">
        <v>5.15</v>
      </c>
    </row>
    <row r="17" spans="1:17" customFormat="1">
      <c r="A17" s="49">
        <v>45395.375</v>
      </c>
      <c r="B17" s="50">
        <v>33.79</v>
      </c>
      <c r="C17" s="50">
        <v>25.48</v>
      </c>
      <c r="D17" s="50">
        <v>41.66</v>
      </c>
      <c r="E17" s="50">
        <v>14.14</v>
      </c>
      <c r="F17" s="50">
        <v>3.24</v>
      </c>
      <c r="G17" s="50">
        <v>243.08</v>
      </c>
      <c r="H17" s="50">
        <v>104.5</v>
      </c>
      <c r="I17" s="50">
        <v>9.64</v>
      </c>
      <c r="J17" s="50">
        <v>1.21</v>
      </c>
      <c r="K17" s="50">
        <v>79.040000000000006</v>
      </c>
      <c r="L17" s="50">
        <v>26.58</v>
      </c>
      <c r="M17" s="50">
        <v>82.96</v>
      </c>
      <c r="N17" s="50">
        <v>269.8</v>
      </c>
      <c r="O17" s="50">
        <v>0</v>
      </c>
      <c r="P17" s="50">
        <v>0.98</v>
      </c>
      <c r="Q17" s="50">
        <v>5.15</v>
      </c>
    </row>
    <row r="18" spans="1:17" customFormat="1">
      <c r="A18" s="49">
        <v>45395.416666666664</v>
      </c>
      <c r="B18" s="50">
        <v>33.840000000000003</v>
      </c>
      <c r="C18" s="50">
        <v>26.17</v>
      </c>
      <c r="D18" s="50">
        <v>42.08</v>
      </c>
      <c r="E18" s="50">
        <v>15.26</v>
      </c>
      <c r="F18" s="50">
        <v>3.3</v>
      </c>
      <c r="G18" s="50">
        <v>243.08</v>
      </c>
      <c r="H18" s="50">
        <v>104.5</v>
      </c>
      <c r="I18" s="50">
        <v>10.38</v>
      </c>
      <c r="J18" s="50">
        <v>0.28000000000000003</v>
      </c>
      <c r="K18" s="50">
        <v>126.21</v>
      </c>
      <c r="L18" s="50">
        <v>28.63</v>
      </c>
      <c r="M18" s="50">
        <v>70.37</v>
      </c>
      <c r="N18" s="50">
        <v>318.60000000000002</v>
      </c>
      <c r="O18" s="50">
        <v>0</v>
      </c>
      <c r="P18" s="50">
        <v>1.07</v>
      </c>
      <c r="Q18" s="50">
        <v>5.17</v>
      </c>
    </row>
    <row r="19" spans="1:17" customFormat="1">
      <c r="A19" s="49">
        <v>45395.458333333336</v>
      </c>
      <c r="B19" s="50">
        <v>29.49</v>
      </c>
      <c r="C19" s="50">
        <v>29.89</v>
      </c>
      <c r="D19" s="50">
        <v>39.229999999999997</v>
      </c>
      <c r="E19" s="50">
        <v>16.010000000000002</v>
      </c>
      <c r="F19" s="50">
        <v>3.5</v>
      </c>
      <c r="G19" s="50">
        <v>177.06</v>
      </c>
      <c r="H19" s="50">
        <v>71.680000000000007</v>
      </c>
      <c r="I19" s="50">
        <v>10.33</v>
      </c>
      <c r="J19" s="50">
        <v>0.57999999999999996</v>
      </c>
      <c r="K19" s="50">
        <v>336.67</v>
      </c>
      <c r="L19" s="50">
        <v>28.85</v>
      </c>
      <c r="M19" s="50">
        <v>62.71</v>
      </c>
      <c r="N19" s="50">
        <v>337.8</v>
      </c>
      <c r="O19" s="50">
        <v>0</v>
      </c>
      <c r="P19" s="50">
        <v>1.1499999999999999</v>
      </c>
      <c r="Q19" s="50">
        <v>5.17</v>
      </c>
    </row>
    <row r="20" spans="1:17" customFormat="1">
      <c r="A20" s="49">
        <v>45395.5</v>
      </c>
      <c r="B20" s="50">
        <v>22.78</v>
      </c>
      <c r="C20" s="50">
        <v>30.15</v>
      </c>
      <c r="D20" s="50">
        <v>35.31</v>
      </c>
      <c r="E20" s="50">
        <v>14.83</v>
      </c>
      <c r="F20" s="50">
        <v>8.66</v>
      </c>
      <c r="G20" s="50">
        <v>141.35</v>
      </c>
      <c r="H20" s="50">
        <v>61.31</v>
      </c>
      <c r="I20" s="50">
        <v>10.76</v>
      </c>
      <c r="J20" s="50">
        <v>0.92</v>
      </c>
      <c r="K20" s="50">
        <v>292.06</v>
      </c>
      <c r="L20" s="50">
        <v>29.18</v>
      </c>
      <c r="M20" s="50">
        <v>63.3</v>
      </c>
      <c r="N20" s="50">
        <v>312.60000000000002</v>
      </c>
      <c r="O20" s="50">
        <v>0</v>
      </c>
      <c r="P20" s="50">
        <v>1.2</v>
      </c>
      <c r="Q20" s="50">
        <v>5.14</v>
      </c>
    </row>
    <row r="21" spans="1:17" customFormat="1">
      <c r="A21" s="49">
        <v>45395.541666666664</v>
      </c>
      <c r="B21" s="11" t="s">
        <v>12</v>
      </c>
      <c r="C21" s="11" t="s">
        <v>12</v>
      </c>
      <c r="D21" s="11" t="s">
        <v>12</v>
      </c>
      <c r="E21" s="11" t="s">
        <v>12</v>
      </c>
      <c r="F21" s="11" t="s">
        <v>12</v>
      </c>
      <c r="G21" s="11" t="s">
        <v>12</v>
      </c>
      <c r="H21" s="11" t="s">
        <v>12</v>
      </c>
      <c r="I21" s="50">
        <v>20.5</v>
      </c>
      <c r="J21" s="50">
        <v>1.49</v>
      </c>
      <c r="K21" s="50">
        <v>271.87</v>
      </c>
      <c r="L21" s="50">
        <v>27.77</v>
      </c>
      <c r="M21" s="50">
        <v>65.19</v>
      </c>
      <c r="N21" s="50">
        <v>384.9</v>
      </c>
      <c r="O21" s="50">
        <v>0</v>
      </c>
      <c r="P21" s="11" t="s">
        <v>12</v>
      </c>
      <c r="Q21" s="50">
        <v>5.07</v>
      </c>
    </row>
    <row r="22" spans="1:17" customFormat="1">
      <c r="A22" s="49">
        <v>45395.583333333336</v>
      </c>
      <c r="B22" s="11" t="s">
        <v>12</v>
      </c>
      <c r="C22" s="11" t="s">
        <v>12</v>
      </c>
      <c r="D22" s="11" t="s">
        <v>12</v>
      </c>
      <c r="E22" s="11" t="s">
        <v>12</v>
      </c>
      <c r="F22" s="50">
        <v>13.27</v>
      </c>
      <c r="G22" s="11" t="s">
        <v>12</v>
      </c>
      <c r="H22" s="11" t="s">
        <v>12</v>
      </c>
      <c r="I22" s="50">
        <v>114.87</v>
      </c>
      <c r="J22" s="50">
        <v>1.21</v>
      </c>
      <c r="K22" s="50">
        <v>273.54000000000002</v>
      </c>
      <c r="L22" s="50">
        <v>28.29</v>
      </c>
      <c r="M22" s="50">
        <v>64.34</v>
      </c>
      <c r="N22" s="50">
        <v>432.7</v>
      </c>
      <c r="O22" s="50">
        <v>0</v>
      </c>
      <c r="P22" s="50">
        <v>0.75</v>
      </c>
      <c r="Q22" s="50">
        <v>5.03</v>
      </c>
    </row>
    <row r="23" spans="1:17" customFormat="1">
      <c r="A23" s="49">
        <v>45395.625</v>
      </c>
      <c r="B23" s="11" t="s">
        <v>12</v>
      </c>
      <c r="C23" s="11" t="s">
        <v>12</v>
      </c>
      <c r="D23" s="11" t="s">
        <v>12</v>
      </c>
      <c r="E23" s="11" t="s">
        <v>12</v>
      </c>
      <c r="F23" s="50">
        <v>12.69</v>
      </c>
      <c r="G23" s="11" t="s">
        <v>12</v>
      </c>
      <c r="H23" s="11" t="s">
        <v>12</v>
      </c>
      <c r="I23" s="50">
        <v>132.47</v>
      </c>
      <c r="J23" s="50">
        <v>0.72</v>
      </c>
      <c r="K23" s="50">
        <v>278.64999999999998</v>
      </c>
      <c r="L23" s="50">
        <v>29.53</v>
      </c>
      <c r="M23" s="50">
        <v>61.24</v>
      </c>
      <c r="N23" s="50">
        <v>556</v>
      </c>
      <c r="O23" s="50">
        <v>0</v>
      </c>
      <c r="P23" s="50">
        <v>0.66</v>
      </c>
      <c r="Q23" s="50">
        <v>5.01</v>
      </c>
    </row>
    <row r="24" spans="1:17" customFormat="1">
      <c r="A24" s="49">
        <v>45395.666666666664</v>
      </c>
      <c r="B24" s="50">
        <v>4.5599999999999996</v>
      </c>
      <c r="C24" s="50">
        <v>11.44</v>
      </c>
      <c r="D24" s="50">
        <v>10.07</v>
      </c>
      <c r="E24" s="50">
        <v>4.9800000000000004</v>
      </c>
      <c r="F24" s="50">
        <v>22.45</v>
      </c>
      <c r="G24" s="50">
        <v>0.78</v>
      </c>
      <c r="H24" s="50">
        <v>1.05</v>
      </c>
      <c r="I24" s="50">
        <v>120.78</v>
      </c>
      <c r="J24" s="50">
        <v>0.5</v>
      </c>
      <c r="K24" s="50">
        <v>257.07</v>
      </c>
      <c r="L24" s="50">
        <v>30.58</v>
      </c>
      <c r="M24" s="50">
        <v>59.55</v>
      </c>
      <c r="N24" s="50">
        <v>494.6</v>
      </c>
      <c r="O24" s="50">
        <v>0</v>
      </c>
      <c r="P24" s="50">
        <v>0.55000000000000004</v>
      </c>
      <c r="Q24" s="50">
        <v>4.99</v>
      </c>
    </row>
    <row r="25" spans="1:17" customFormat="1">
      <c r="A25" s="49">
        <v>45395.708333333336</v>
      </c>
      <c r="B25" s="50">
        <v>3.99</v>
      </c>
      <c r="C25" s="50">
        <v>9.69</v>
      </c>
      <c r="D25" s="50">
        <v>9.4</v>
      </c>
      <c r="E25" s="50">
        <v>6.34</v>
      </c>
      <c r="F25" s="50">
        <v>23.69</v>
      </c>
      <c r="G25" s="50">
        <v>7.06</v>
      </c>
      <c r="H25" s="50">
        <v>7.17</v>
      </c>
      <c r="I25" s="50">
        <v>77.14</v>
      </c>
      <c r="J25" s="50">
        <v>0.64</v>
      </c>
      <c r="K25" s="50">
        <v>259.86</v>
      </c>
      <c r="L25" s="50">
        <v>30.77</v>
      </c>
      <c r="M25" s="50">
        <v>57.04</v>
      </c>
      <c r="N25" s="50">
        <v>338.4</v>
      </c>
      <c r="O25" s="50">
        <v>0</v>
      </c>
      <c r="P25" s="50">
        <v>0.4</v>
      </c>
      <c r="Q25" s="50">
        <v>5.0199999999999996</v>
      </c>
    </row>
    <row r="26" spans="1:17" customFormat="1">
      <c r="A26" s="49">
        <v>45395.75</v>
      </c>
      <c r="B26" s="50">
        <v>4.5999999999999996</v>
      </c>
      <c r="C26" s="50">
        <v>11.28</v>
      </c>
      <c r="D26" s="50">
        <v>10.93</v>
      </c>
      <c r="E26" s="50">
        <v>7.77</v>
      </c>
      <c r="F26" s="50">
        <v>18.18</v>
      </c>
      <c r="G26" s="50">
        <v>14.05</v>
      </c>
      <c r="H26" s="50">
        <v>7.17</v>
      </c>
      <c r="I26" s="50">
        <v>33.51</v>
      </c>
      <c r="J26" s="50">
        <v>0.69</v>
      </c>
      <c r="K26" s="50">
        <v>261.14</v>
      </c>
      <c r="L26" s="50">
        <v>28.51</v>
      </c>
      <c r="M26" s="50">
        <v>66.06</v>
      </c>
      <c r="N26" s="50">
        <v>209.7</v>
      </c>
      <c r="O26" s="50">
        <v>0</v>
      </c>
      <c r="P26" s="50">
        <v>0.41</v>
      </c>
      <c r="Q26" s="50">
        <v>4.99</v>
      </c>
    </row>
    <row r="27" spans="1:17" customFormat="1">
      <c r="A27" s="49">
        <v>45395.791666666664</v>
      </c>
      <c r="B27" s="50">
        <v>4.8099999999999996</v>
      </c>
      <c r="C27" s="50">
        <v>12.51</v>
      </c>
      <c r="D27" s="50">
        <v>11.36</v>
      </c>
      <c r="E27" s="50">
        <v>8.39</v>
      </c>
      <c r="F27" s="50">
        <v>13.64</v>
      </c>
      <c r="G27" s="50">
        <v>14.4</v>
      </c>
      <c r="H27" s="50">
        <v>9.1300000000000008</v>
      </c>
      <c r="I27" s="50">
        <v>19.03</v>
      </c>
      <c r="J27" s="50">
        <v>0.26</v>
      </c>
      <c r="K27" s="50">
        <v>243.86</v>
      </c>
      <c r="L27" s="50">
        <v>26.02</v>
      </c>
      <c r="M27" s="50">
        <v>73.069999999999993</v>
      </c>
      <c r="N27" s="50">
        <v>0</v>
      </c>
      <c r="O27" s="50">
        <v>0</v>
      </c>
      <c r="P27" s="50">
        <v>0.48</v>
      </c>
      <c r="Q27" s="50">
        <v>5.12</v>
      </c>
    </row>
    <row r="28" spans="1:17" customFormat="1">
      <c r="A28" s="49">
        <v>45395.833333333336</v>
      </c>
      <c r="B28" s="50">
        <v>6.22</v>
      </c>
      <c r="C28" s="50">
        <v>15.18</v>
      </c>
      <c r="D28" s="50">
        <v>14.26</v>
      </c>
      <c r="E28" s="50">
        <v>9.36</v>
      </c>
      <c r="F28" s="50">
        <v>4.09</v>
      </c>
      <c r="G28" s="50">
        <v>17.55</v>
      </c>
      <c r="H28" s="50">
        <v>9.67</v>
      </c>
      <c r="I28" s="50">
        <v>12.66</v>
      </c>
      <c r="J28" s="50">
        <v>0.18</v>
      </c>
      <c r="K28" s="50">
        <v>236.05</v>
      </c>
      <c r="L28" s="50">
        <v>24.95</v>
      </c>
      <c r="M28" s="50">
        <v>81.400000000000006</v>
      </c>
      <c r="N28" s="50">
        <v>0</v>
      </c>
      <c r="O28" s="50">
        <v>0</v>
      </c>
      <c r="P28" s="50">
        <v>0.51</v>
      </c>
      <c r="Q28" s="50">
        <v>5.15</v>
      </c>
    </row>
    <row r="29" spans="1:17" customFormat="1">
      <c r="A29" s="49">
        <v>45395.875</v>
      </c>
      <c r="B29" s="50">
        <v>7.97</v>
      </c>
      <c r="C29" s="50">
        <v>17.09</v>
      </c>
      <c r="D29" s="50">
        <v>16.670000000000002</v>
      </c>
      <c r="E29" s="50">
        <v>10.7</v>
      </c>
      <c r="F29" s="50">
        <v>3.29</v>
      </c>
      <c r="G29" s="50">
        <v>17.55</v>
      </c>
      <c r="H29" s="50">
        <v>11.98</v>
      </c>
      <c r="I29" s="50">
        <v>12.64</v>
      </c>
      <c r="J29" s="50">
        <v>0.15</v>
      </c>
      <c r="K29" s="50">
        <v>219.6</v>
      </c>
      <c r="L29" s="50">
        <v>23.95</v>
      </c>
      <c r="M29" s="50">
        <v>86.19</v>
      </c>
      <c r="N29" s="50">
        <v>0</v>
      </c>
      <c r="O29" s="50">
        <v>0</v>
      </c>
      <c r="P29" s="50">
        <v>0.53</v>
      </c>
      <c r="Q29" s="50">
        <v>5.15</v>
      </c>
    </row>
    <row r="30" spans="1:17" customFormat="1">
      <c r="A30" s="49">
        <v>45395.916666666664</v>
      </c>
      <c r="B30" s="50">
        <v>9.7200000000000006</v>
      </c>
      <c r="C30" s="50">
        <v>17.440000000000001</v>
      </c>
      <c r="D30" s="50">
        <v>18.25</v>
      </c>
      <c r="E30" s="50">
        <v>10.84</v>
      </c>
      <c r="F30" s="50">
        <v>3.19</v>
      </c>
      <c r="G30" s="50">
        <v>19.63</v>
      </c>
      <c r="H30" s="50">
        <v>11.98</v>
      </c>
      <c r="I30" s="50">
        <v>12.27</v>
      </c>
      <c r="J30" s="50">
        <v>0.14000000000000001</v>
      </c>
      <c r="K30" s="50">
        <v>242.07</v>
      </c>
      <c r="L30" s="50">
        <v>23.09</v>
      </c>
      <c r="M30" s="50">
        <v>91.63</v>
      </c>
      <c r="N30" s="50">
        <v>0</v>
      </c>
      <c r="O30" s="50">
        <v>0</v>
      </c>
      <c r="P30" s="50">
        <v>0.54</v>
      </c>
      <c r="Q30" s="50">
        <v>5.16</v>
      </c>
    </row>
    <row r="31" spans="1:17" customFormat="1">
      <c r="A31" s="49">
        <v>45395.958333333336</v>
      </c>
      <c r="B31" s="50">
        <v>11.21</v>
      </c>
      <c r="C31" s="50">
        <v>18.61</v>
      </c>
      <c r="D31" s="50">
        <v>19.940000000000001</v>
      </c>
      <c r="E31" s="50">
        <v>12.19</v>
      </c>
      <c r="F31" s="50">
        <v>3.18</v>
      </c>
      <c r="G31" s="50">
        <v>22.21</v>
      </c>
      <c r="H31" s="50">
        <v>13.08</v>
      </c>
      <c r="I31" s="50">
        <v>11.58</v>
      </c>
      <c r="J31" s="50">
        <v>0.17</v>
      </c>
      <c r="K31" s="50">
        <v>237.19</v>
      </c>
      <c r="L31" s="50">
        <v>22.78</v>
      </c>
      <c r="M31" s="50">
        <v>93.53</v>
      </c>
      <c r="N31" s="50">
        <v>0</v>
      </c>
      <c r="O31" s="50">
        <v>0</v>
      </c>
      <c r="P31" s="50">
        <v>0.57999999999999996</v>
      </c>
      <c r="Q31" s="50">
        <v>5.16</v>
      </c>
    </row>
    <row r="32" spans="1:17" customFormat="1">
      <c r="A32" s="49">
        <v>45396</v>
      </c>
      <c r="B32" s="50">
        <v>12.37</v>
      </c>
      <c r="C32" s="50">
        <v>19.25</v>
      </c>
      <c r="D32" s="50">
        <v>21.33</v>
      </c>
      <c r="E32" s="50">
        <v>12.17</v>
      </c>
      <c r="F32" s="50">
        <v>3.18</v>
      </c>
      <c r="G32" s="50">
        <v>25.94</v>
      </c>
      <c r="H32" s="50">
        <v>13.08</v>
      </c>
      <c r="I32" s="50">
        <v>11.4</v>
      </c>
      <c r="J32" s="50">
        <v>0.26</v>
      </c>
      <c r="K32" s="50">
        <v>264.92</v>
      </c>
      <c r="L32" s="50">
        <v>22.28</v>
      </c>
      <c r="M32" s="50">
        <v>94.2</v>
      </c>
      <c r="N32" s="50">
        <v>0</v>
      </c>
      <c r="O32" s="50">
        <v>0</v>
      </c>
      <c r="P32" s="50">
        <v>0.56999999999999995</v>
      </c>
      <c r="Q32" s="50">
        <v>5.17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3.99</v>
      </c>
      <c r="C34" s="40">
        <f t="shared" si="0"/>
        <v>9.69</v>
      </c>
      <c r="D34" s="40">
        <f t="shared" si="0"/>
        <v>9.4</v>
      </c>
      <c r="E34" s="40">
        <f t="shared" si="0"/>
        <v>4.9800000000000004</v>
      </c>
      <c r="F34" s="40">
        <f t="shared" si="0"/>
        <v>2.85</v>
      </c>
      <c r="G34" s="40">
        <f t="shared" si="0"/>
        <v>0.78</v>
      </c>
      <c r="H34" s="40">
        <f t="shared" si="0"/>
        <v>1.05</v>
      </c>
      <c r="I34" s="40">
        <f t="shared" si="0"/>
        <v>6.9</v>
      </c>
      <c r="J34" s="40">
        <f t="shared" si="0"/>
        <v>0.14000000000000001</v>
      </c>
      <c r="K34" s="40">
        <f t="shared" si="0"/>
        <v>51</v>
      </c>
      <c r="L34" s="40">
        <f t="shared" si="0"/>
        <v>21.02</v>
      </c>
      <c r="M34" s="40">
        <f t="shared" si="0"/>
        <v>57.04</v>
      </c>
      <c r="N34" s="40">
        <f t="shared" si="0"/>
        <v>0</v>
      </c>
      <c r="O34" s="40">
        <f t="shared" si="0"/>
        <v>0</v>
      </c>
      <c r="P34" s="40">
        <f t="shared" si="0"/>
        <v>0.4</v>
      </c>
      <c r="Q34" s="40">
        <f t="shared" si="0"/>
        <v>4.99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33.840000000000003</v>
      </c>
      <c r="C35" s="33">
        <f t="shared" si="1"/>
        <v>30.15</v>
      </c>
      <c r="D35" s="33">
        <f t="shared" si="1"/>
        <v>42.08</v>
      </c>
      <c r="E35" s="33">
        <f t="shared" si="1"/>
        <v>16.010000000000002</v>
      </c>
      <c r="F35" s="33">
        <f t="shared" si="1"/>
        <v>23.69</v>
      </c>
      <c r="G35" s="33">
        <f t="shared" si="1"/>
        <v>243.08</v>
      </c>
      <c r="H35" s="33">
        <f t="shared" si="1"/>
        <v>104.5</v>
      </c>
      <c r="I35" s="33">
        <f t="shared" si="1"/>
        <v>132.47</v>
      </c>
      <c r="J35" s="33">
        <f t="shared" si="1"/>
        <v>1.49</v>
      </c>
      <c r="K35" s="33">
        <f t="shared" si="1"/>
        <v>336.67</v>
      </c>
      <c r="L35" s="33">
        <f t="shared" si="1"/>
        <v>30.77</v>
      </c>
      <c r="M35" s="33">
        <f t="shared" si="1"/>
        <v>101.15</v>
      </c>
      <c r="N35" s="33">
        <f t="shared" si="1"/>
        <v>556</v>
      </c>
      <c r="O35" s="33">
        <f t="shared" si="1"/>
        <v>0</v>
      </c>
      <c r="P35" s="33">
        <f t="shared" si="1"/>
        <v>1.2</v>
      </c>
      <c r="Q35" s="33">
        <f t="shared" si="1"/>
        <v>5.17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18.69761904761905</v>
      </c>
      <c r="C36" s="40">
        <f t="shared" si="2"/>
        <v>21.49285714285714</v>
      </c>
      <c r="D36" s="40">
        <f t="shared" si="2"/>
        <v>27.331428571428575</v>
      </c>
      <c r="E36" s="40">
        <f t="shared" si="2"/>
        <v>11.345238095238095</v>
      </c>
      <c r="F36" s="40">
        <f t="shared" si="2"/>
        <v>7.105652173913044</v>
      </c>
      <c r="G36" s="40">
        <f t="shared" si="2"/>
        <v>68.079523809523806</v>
      </c>
      <c r="H36" s="40">
        <f t="shared" si="2"/>
        <v>29.372857142857139</v>
      </c>
      <c r="I36" s="40">
        <f t="shared" si="2"/>
        <v>28.262499999999992</v>
      </c>
      <c r="J36" s="40">
        <f t="shared" si="2"/>
        <v>0.55791666666666673</v>
      </c>
      <c r="K36" s="40">
        <f t="shared" si="2"/>
        <v>228.29833333333332</v>
      </c>
      <c r="L36" s="40">
        <f t="shared" si="2"/>
        <v>25.213750000000001</v>
      </c>
      <c r="M36" s="40">
        <f t="shared" si="2"/>
        <v>81.71875</v>
      </c>
      <c r="N36" s="40">
        <f t="shared" si="2"/>
        <v>162.91249999999999</v>
      </c>
      <c r="O36" s="40">
        <f t="shared" si="2"/>
        <v>0</v>
      </c>
      <c r="P36" s="40">
        <f t="shared" si="2"/>
        <v>0.70260869565217388</v>
      </c>
      <c r="Q36" s="40">
        <f t="shared" si="2"/>
        <v>5.1133333333333342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10.980052779819362</v>
      </c>
      <c r="C37" s="40">
        <f t="shared" ref="C37:Q37" si="3">STDEV(C9:C32)</f>
        <v>6.5713660245470704</v>
      </c>
      <c r="D37" s="40">
        <f t="shared" si="3"/>
        <v>11.950976648673644</v>
      </c>
      <c r="E37" s="40">
        <f t="shared" si="3"/>
        <v>2.7757208415970371</v>
      </c>
      <c r="F37" s="40">
        <f t="shared" si="3"/>
        <v>6.7271389475000678</v>
      </c>
      <c r="G37" s="40">
        <f t="shared" si="3"/>
        <v>72.816084931571979</v>
      </c>
      <c r="H37" s="40">
        <f t="shared" si="3"/>
        <v>30.12304967012092</v>
      </c>
      <c r="I37" s="40">
        <f t="shared" si="3"/>
        <v>39.343463436985211</v>
      </c>
      <c r="J37" s="40">
        <f t="shared" si="3"/>
        <v>0.3812448621654283</v>
      </c>
      <c r="K37" s="40">
        <f t="shared" si="3"/>
        <v>67.795616484347633</v>
      </c>
      <c r="L37" s="40">
        <f t="shared" si="3"/>
        <v>3.4780576944735917</v>
      </c>
      <c r="M37" s="40">
        <f t="shared" si="3"/>
        <v>16.139349513452871</v>
      </c>
      <c r="N37" s="40">
        <f t="shared" si="3"/>
        <v>189.68071413619629</v>
      </c>
      <c r="O37" s="40">
        <f t="shared" si="3"/>
        <v>0</v>
      </c>
      <c r="P37" s="40">
        <f t="shared" si="3"/>
        <v>0.21990116356929654</v>
      </c>
      <c r="Q37" s="40">
        <f t="shared" si="3"/>
        <v>5.9539294052179385E-2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v>24</v>
      </c>
      <c r="C38" s="45">
        <v>24</v>
      </c>
      <c r="D38" s="45">
        <v>24</v>
      </c>
      <c r="E38" s="45">
        <v>24</v>
      </c>
      <c r="F38" s="45">
        <v>24</v>
      </c>
      <c r="G38" s="45">
        <v>24</v>
      </c>
      <c r="H38" s="45">
        <v>24</v>
      </c>
      <c r="I38" s="45">
        <v>24</v>
      </c>
      <c r="J38" s="45">
        <v>24</v>
      </c>
      <c r="K38" s="45">
        <v>24</v>
      </c>
      <c r="L38" s="45">
        <v>24</v>
      </c>
      <c r="M38" s="45">
        <v>24</v>
      </c>
      <c r="N38" s="45">
        <v>24</v>
      </c>
      <c r="O38" s="45">
        <v>24</v>
      </c>
      <c r="P38" s="45">
        <v>24</v>
      </c>
      <c r="Q38" s="45">
        <f t="shared" ref="Q38" si="4">COUNT(Q9:Q32)</f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45396.041666666664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45396.041666666664</v>
      </c>
      <c r="B9" s="50">
        <v>11.59</v>
      </c>
      <c r="C9" s="50">
        <v>20.2</v>
      </c>
      <c r="D9" s="50">
        <v>21.2</v>
      </c>
      <c r="E9" s="50">
        <v>12.92</v>
      </c>
      <c r="F9" s="50">
        <v>3.14</v>
      </c>
      <c r="G9" s="50">
        <v>27.77</v>
      </c>
      <c r="H9" s="50">
        <v>12.95</v>
      </c>
      <c r="I9" s="50">
        <v>10.85</v>
      </c>
      <c r="J9" s="50">
        <v>0.19</v>
      </c>
      <c r="K9" s="50">
        <v>264.76</v>
      </c>
      <c r="L9" s="50">
        <v>22.56</v>
      </c>
      <c r="M9" s="50">
        <v>92.08</v>
      </c>
      <c r="N9" s="50">
        <v>0</v>
      </c>
      <c r="O9" s="50">
        <v>0</v>
      </c>
      <c r="P9" s="50">
        <v>0.59</v>
      </c>
      <c r="Q9" s="50">
        <v>5.17</v>
      </c>
    </row>
    <row r="10" spans="1:21" customFormat="1">
      <c r="A10" s="49">
        <v>45396.083333333336</v>
      </c>
      <c r="B10" s="50">
        <v>13.44</v>
      </c>
      <c r="C10" s="50">
        <v>21.88</v>
      </c>
      <c r="D10" s="50">
        <v>23.45</v>
      </c>
      <c r="E10" s="50">
        <v>12.94</v>
      </c>
      <c r="F10" s="50">
        <v>2.99</v>
      </c>
      <c r="G10" s="50">
        <v>32.31</v>
      </c>
      <c r="H10" s="50">
        <v>15.93</v>
      </c>
      <c r="I10" s="50">
        <v>10.43</v>
      </c>
      <c r="J10" s="50">
        <v>0.18</v>
      </c>
      <c r="K10" s="50">
        <v>239.1</v>
      </c>
      <c r="L10" s="50">
        <v>22.4</v>
      </c>
      <c r="M10" s="50">
        <v>92.6</v>
      </c>
      <c r="N10" s="50">
        <v>0</v>
      </c>
      <c r="O10" s="50">
        <v>0</v>
      </c>
      <c r="P10" s="50">
        <v>0.59</v>
      </c>
      <c r="Q10" s="50">
        <v>5.17</v>
      </c>
    </row>
    <row r="11" spans="1:21" customFormat="1">
      <c r="A11" s="49">
        <v>45396.125</v>
      </c>
      <c r="B11" s="50">
        <v>14.82</v>
      </c>
      <c r="C11" s="50">
        <v>21.34</v>
      </c>
      <c r="D11" s="50">
        <v>24.21</v>
      </c>
      <c r="E11" s="50">
        <v>9.24</v>
      </c>
      <c r="F11" s="50">
        <v>3.1</v>
      </c>
      <c r="G11" s="50">
        <v>32.369999999999997</v>
      </c>
      <c r="H11" s="50">
        <v>15.93</v>
      </c>
      <c r="I11" s="50">
        <v>9.9600000000000009</v>
      </c>
      <c r="J11" s="50">
        <v>0.2</v>
      </c>
      <c r="K11" s="50">
        <v>201.44</v>
      </c>
      <c r="L11" s="50">
        <v>22.32</v>
      </c>
      <c r="M11" s="50">
        <v>91.59</v>
      </c>
      <c r="N11" s="50">
        <v>0</v>
      </c>
      <c r="O11" s="50">
        <v>0</v>
      </c>
      <c r="P11" s="50">
        <v>0.57999999999999996</v>
      </c>
      <c r="Q11" s="50">
        <v>5.16</v>
      </c>
    </row>
    <row r="12" spans="1:21" customFormat="1">
      <c r="A12" s="49">
        <v>45396.166666666664</v>
      </c>
      <c r="B12" s="50">
        <v>15.69</v>
      </c>
      <c r="C12" s="50">
        <v>21.28</v>
      </c>
      <c r="D12" s="50">
        <v>25.04</v>
      </c>
      <c r="E12" s="50">
        <v>9.66</v>
      </c>
      <c r="F12" s="50">
        <v>3.15</v>
      </c>
      <c r="G12" s="50">
        <v>32.369999999999997</v>
      </c>
      <c r="H12" s="50">
        <v>13.5</v>
      </c>
      <c r="I12" s="50">
        <v>9.58</v>
      </c>
      <c r="J12" s="50">
        <v>0.16</v>
      </c>
      <c r="K12" s="50">
        <v>206.86</v>
      </c>
      <c r="L12" s="50">
        <v>21.56</v>
      </c>
      <c r="M12" s="50">
        <v>93.86</v>
      </c>
      <c r="N12" s="50">
        <v>0</v>
      </c>
      <c r="O12" s="50">
        <v>0</v>
      </c>
      <c r="P12" s="50">
        <v>0.59</v>
      </c>
      <c r="Q12" s="50">
        <v>5.18</v>
      </c>
    </row>
    <row r="13" spans="1:21" customFormat="1">
      <c r="A13" s="49">
        <v>45396.208333333336</v>
      </c>
      <c r="B13" s="50">
        <v>18.77</v>
      </c>
      <c r="C13" s="50">
        <v>22.12</v>
      </c>
      <c r="D13" s="50">
        <v>27.96</v>
      </c>
      <c r="E13" s="50">
        <v>9.7899999999999991</v>
      </c>
      <c r="F13" s="50">
        <v>3.17</v>
      </c>
      <c r="G13" s="50">
        <v>31.37</v>
      </c>
      <c r="H13" s="50">
        <v>12.46</v>
      </c>
      <c r="I13" s="50">
        <v>9.25</v>
      </c>
      <c r="J13" s="50">
        <v>0.18</v>
      </c>
      <c r="K13" s="50">
        <v>225.88</v>
      </c>
      <c r="L13" s="50">
        <v>21.76</v>
      </c>
      <c r="M13" s="50">
        <v>95.97</v>
      </c>
      <c r="N13" s="50">
        <v>0</v>
      </c>
      <c r="O13" s="50">
        <v>0</v>
      </c>
      <c r="P13" s="50">
        <v>0.59</v>
      </c>
      <c r="Q13" s="50">
        <v>5.17</v>
      </c>
    </row>
    <row r="14" spans="1:21" customFormat="1">
      <c r="A14" s="49">
        <v>45396.25</v>
      </c>
      <c r="B14" s="50">
        <v>20.5</v>
      </c>
      <c r="C14" s="50">
        <v>22.9</v>
      </c>
      <c r="D14" s="50">
        <v>29.75</v>
      </c>
      <c r="E14" s="50">
        <v>9.7200000000000006</v>
      </c>
      <c r="F14" s="50">
        <v>3.06</v>
      </c>
      <c r="G14" s="50">
        <v>36.83</v>
      </c>
      <c r="H14" s="50">
        <v>15.73</v>
      </c>
      <c r="I14" s="50">
        <v>8.84</v>
      </c>
      <c r="J14" s="50">
        <v>0.43</v>
      </c>
      <c r="K14" s="50">
        <v>203.08</v>
      </c>
      <c r="L14" s="50">
        <v>21.74</v>
      </c>
      <c r="M14" s="50">
        <v>97.63</v>
      </c>
      <c r="N14" s="50">
        <v>2.2000000000000002</v>
      </c>
      <c r="O14" s="50">
        <v>0</v>
      </c>
      <c r="P14" s="50">
        <v>0.57999999999999996</v>
      </c>
      <c r="Q14" s="50">
        <v>5.17</v>
      </c>
    </row>
    <row r="15" spans="1:21" customFormat="1">
      <c r="A15" s="49">
        <v>45396.291666666664</v>
      </c>
      <c r="B15" s="50">
        <v>20.88</v>
      </c>
      <c r="C15" s="50">
        <v>23.46</v>
      </c>
      <c r="D15" s="50">
        <v>30.28</v>
      </c>
      <c r="E15" s="50">
        <v>10.11</v>
      </c>
      <c r="F15" s="50">
        <v>3.44</v>
      </c>
      <c r="G15" s="50">
        <v>36.83</v>
      </c>
      <c r="H15" s="50">
        <v>15.73</v>
      </c>
      <c r="I15" s="50">
        <v>8.5</v>
      </c>
      <c r="J15" s="50">
        <v>0.17</v>
      </c>
      <c r="K15" s="50">
        <v>184.04</v>
      </c>
      <c r="L15" s="50">
        <v>23.23</v>
      </c>
      <c r="M15" s="50">
        <v>94.74</v>
      </c>
      <c r="N15" s="50">
        <v>85.3</v>
      </c>
      <c r="O15" s="50">
        <v>0</v>
      </c>
      <c r="P15" s="50">
        <v>0.57999999999999996</v>
      </c>
      <c r="Q15" s="50">
        <v>5.15</v>
      </c>
    </row>
    <row r="16" spans="1:21" customFormat="1">
      <c r="A16" s="49">
        <v>45396.333333333336</v>
      </c>
      <c r="B16" s="50">
        <v>20.68</v>
      </c>
      <c r="C16" s="50">
        <v>24.67</v>
      </c>
      <c r="D16" s="50">
        <v>30.72</v>
      </c>
      <c r="E16" s="50">
        <v>9.6999999999999993</v>
      </c>
      <c r="F16" s="50">
        <v>3.05</v>
      </c>
      <c r="G16" s="50">
        <v>33.799999999999997</v>
      </c>
      <c r="H16" s="50">
        <v>15.67</v>
      </c>
      <c r="I16" s="50">
        <v>8.42</v>
      </c>
      <c r="J16" s="50">
        <v>0.25</v>
      </c>
      <c r="K16" s="50">
        <v>190.01</v>
      </c>
      <c r="L16" s="50">
        <v>25.9</v>
      </c>
      <c r="M16" s="50">
        <v>85.73</v>
      </c>
      <c r="N16" s="50">
        <v>272.8</v>
      </c>
      <c r="O16" s="50">
        <v>0</v>
      </c>
      <c r="P16" s="50">
        <v>0.57999999999999996</v>
      </c>
      <c r="Q16" s="50">
        <v>5.17</v>
      </c>
    </row>
    <row r="17" spans="1:17" customFormat="1">
      <c r="A17" s="49">
        <v>45396.375</v>
      </c>
      <c r="B17" s="50">
        <v>19.63</v>
      </c>
      <c r="C17" s="50">
        <v>22.87</v>
      </c>
      <c r="D17" s="50">
        <v>29.03</v>
      </c>
      <c r="E17" s="50">
        <v>9.4499999999999993</v>
      </c>
      <c r="F17" s="50">
        <v>3.27</v>
      </c>
      <c r="G17" s="50">
        <v>33.9</v>
      </c>
      <c r="H17" s="50">
        <v>15.67</v>
      </c>
      <c r="I17" s="50">
        <v>8.4700000000000006</v>
      </c>
      <c r="J17" s="50">
        <v>0.44</v>
      </c>
      <c r="K17" s="50">
        <v>258.07</v>
      </c>
      <c r="L17" s="50">
        <v>29.52</v>
      </c>
      <c r="M17" s="50">
        <v>70.209999999999994</v>
      </c>
      <c r="N17" s="50">
        <v>297.89999999999998</v>
      </c>
      <c r="O17" s="50">
        <v>0</v>
      </c>
      <c r="P17" s="50">
        <v>0.57999999999999996</v>
      </c>
      <c r="Q17" s="50">
        <v>5.15</v>
      </c>
    </row>
    <row r="18" spans="1:17" customFormat="1">
      <c r="A18" s="49">
        <v>45396.416666666664</v>
      </c>
      <c r="B18" s="50">
        <v>16.38</v>
      </c>
      <c r="C18" s="50">
        <v>21.41</v>
      </c>
      <c r="D18" s="50">
        <v>25.52</v>
      </c>
      <c r="E18" s="50">
        <v>8.8699999999999992</v>
      </c>
      <c r="F18" s="50">
        <v>4.04</v>
      </c>
      <c r="G18" s="50">
        <v>34.340000000000003</v>
      </c>
      <c r="H18" s="50">
        <v>16.46</v>
      </c>
      <c r="I18" s="50">
        <v>8.33</v>
      </c>
      <c r="J18" s="50">
        <v>0.57999999999999996</v>
      </c>
      <c r="K18" s="50">
        <v>273.85000000000002</v>
      </c>
      <c r="L18" s="50">
        <v>31.84</v>
      </c>
      <c r="M18" s="50">
        <v>54.77</v>
      </c>
      <c r="N18" s="50">
        <v>603.9</v>
      </c>
      <c r="O18" s="50">
        <v>0</v>
      </c>
      <c r="P18" s="50">
        <v>0.56999999999999995</v>
      </c>
      <c r="Q18" s="50">
        <v>5.0599999999999996</v>
      </c>
    </row>
    <row r="19" spans="1:17" customFormat="1">
      <c r="A19" s="49">
        <v>45396.458333333336</v>
      </c>
      <c r="B19" s="50">
        <v>12.51</v>
      </c>
      <c r="C19" s="50">
        <v>20.079999999999998</v>
      </c>
      <c r="D19" s="50">
        <v>21.87</v>
      </c>
      <c r="E19" s="50">
        <v>8.91</v>
      </c>
      <c r="F19" s="50">
        <v>5.01</v>
      </c>
      <c r="G19" s="50">
        <v>37.72</v>
      </c>
      <c r="H19" s="50">
        <v>19.54</v>
      </c>
      <c r="I19" s="50">
        <v>8.51</v>
      </c>
      <c r="J19" s="50">
        <v>0.67</v>
      </c>
      <c r="K19" s="50">
        <v>285.44</v>
      </c>
      <c r="L19" s="50">
        <v>33.78</v>
      </c>
      <c r="M19" s="50">
        <v>42.17</v>
      </c>
      <c r="N19" s="50">
        <v>703.8</v>
      </c>
      <c r="O19" s="50">
        <v>0</v>
      </c>
      <c r="P19" s="50">
        <v>0.56999999999999995</v>
      </c>
      <c r="Q19" s="50">
        <v>5.0199999999999996</v>
      </c>
    </row>
    <row r="20" spans="1:17" customFormat="1">
      <c r="A20" s="49">
        <v>45396.5</v>
      </c>
      <c r="B20" s="50">
        <v>9.44</v>
      </c>
      <c r="C20" s="50">
        <v>17.440000000000001</v>
      </c>
      <c r="D20" s="50">
        <v>17.87</v>
      </c>
      <c r="E20" s="50">
        <v>8.2100000000000009</v>
      </c>
      <c r="F20" s="50">
        <v>6.75</v>
      </c>
      <c r="G20" s="50">
        <v>37.72</v>
      </c>
      <c r="H20" s="50">
        <v>19.54</v>
      </c>
      <c r="I20" s="50">
        <v>7.95</v>
      </c>
      <c r="J20" s="50">
        <v>0.5</v>
      </c>
      <c r="K20" s="50">
        <v>268.81</v>
      </c>
      <c r="L20" s="50">
        <v>35.36</v>
      </c>
      <c r="M20" s="50">
        <v>38.69</v>
      </c>
      <c r="N20" s="50">
        <v>816.6</v>
      </c>
      <c r="O20" s="50">
        <v>0</v>
      </c>
      <c r="P20" s="50">
        <v>0.53</v>
      </c>
      <c r="Q20" s="50">
        <v>5</v>
      </c>
    </row>
    <row r="21" spans="1:17" customFormat="1">
      <c r="A21" s="49">
        <v>45396.541666666664</v>
      </c>
      <c r="B21" s="50">
        <v>7.41</v>
      </c>
      <c r="C21" s="50">
        <v>16.27</v>
      </c>
      <c r="D21" s="50">
        <v>15.8</v>
      </c>
      <c r="E21" s="50">
        <v>7.89</v>
      </c>
      <c r="F21" s="50">
        <v>7.83</v>
      </c>
      <c r="G21" s="50">
        <v>36.76</v>
      </c>
      <c r="H21" s="50">
        <v>18.920000000000002</v>
      </c>
      <c r="I21" s="50">
        <v>7.22</v>
      </c>
      <c r="J21" s="50">
        <v>0.77</v>
      </c>
      <c r="K21" s="50">
        <v>303.83</v>
      </c>
      <c r="L21" s="50">
        <v>35.840000000000003</v>
      </c>
      <c r="M21" s="50">
        <v>35.74</v>
      </c>
      <c r="N21" s="50">
        <v>827.6</v>
      </c>
      <c r="O21" s="50">
        <v>0</v>
      </c>
      <c r="P21" s="50">
        <v>0.52</v>
      </c>
      <c r="Q21" s="50">
        <v>4.97</v>
      </c>
    </row>
    <row r="22" spans="1:17" customFormat="1">
      <c r="A22" s="49">
        <v>45396.583333333336</v>
      </c>
      <c r="B22" s="50">
        <v>6.33</v>
      </c>
      <c r="C22" s="50">
        <v>15.89</v>
      </c>
      <c r="D22" s="50">
        <v>14.73</v>
      </c>
      <c r="E22" s="50">
        <v>7.83</v>
      </c>
      <c r="F22" s="50">
        <v>11.1</v>
      </c>
      <c r="G22" s="50">
        <v>33.61</v>
      </c>
      <c r="H22" s="50">
        <v>18.61</v>
      </c>
      <c r="I22" s="50">
        <v>6.74</v>
      </c>
      <c r="J22" s="50">
        <v>1.03</v>
      </c>
      <c r="K22" s="50">
        <v>304.87</v>
      </c>
      <c r="L22" s="50">
        <v>36.46</v>
      </c>
      <c r="M22" s="50">
        <v>35.54</v>
      </c>
      <c r="N22" s="50">
        <v>805.8</v>
      </c>
      <c r="O22" s="50">
        <v>0</v>
      </c>
      <c r="P22" s="50">
        <v>0.51</v>
      </c>
      <c r="Q22" s="50">
        <v>4.95</v>
      </c>
    </row>
    <row r="23" spans="1:17" customFormat="1">
      <c r="A23" s="49">
        <v>45396.625</v>
      </c>
      <c r="B23" s="50">
        <v>5.81</v>
      </c>
      <c r="C23" s="50">
        <v>13.88</v>
      </c>
      <c r="D23" s="50">
        <v>13.26</v>
      </c>
      <c r="E23" s="50">
        <v>8.6999999999999993</v>
      </c>
      <c r="F23" s="50">
        <v>47.23</v>
      </c>
      <c r="G23" s="50">
        <v>32.380000000000003</v>
      </c>
      <c r="H23" s="50">
        <v>18.399999999999999</v>
      </c>
      <c r="I23" s="50">
        <v>6.31</v>
      </c>
      <c r="J23" s="50">
        <v>0.63</v>
      </c>
      <c r="K23" s="50">
        <v>274.87</v>
      </c>
      <c r="L23" s="50">
        <v>37.409999999999997</v>
      </c>
      <c r="M23" s="50">
        <v>35.32</v>
      </c>
      <c r="N23" s="50">
        <v>707.3</v>
      </c>
      <c r="O23" s="50">
        <v>0</v>
      </c>
      <c r="P23" s="50">
        <v>0.53</v>
      </c>
      <c r="Q23" s="50">
        <v>4.95</v>
      </c>
    </row>
    <row r="24" spans="1:17" customFormat="1">
      <c r="A24" s="49">
        <v>45396.666666666664</v>
      </c>
      <c r="B24" s="50">
        <v>3.96</v>
      </c>
      <c r="C24" s="50">
        <v>10.99</v>
      </c>
      <c r="D24" s="50">
        <v>9.9600000000000009</v>
      </c>
      <c r="E24" s="50">
        <v>9.35</v>
      </c>
      <c r="F24" s="50">
        <v>22.27</v>
      </c>
      <c r="G24" s="50">
        <v>32.380000000000003</v>
      </c>
      <c r="H24" s="50">
        <v>18.68</v>
      </c>
      <c r="I24" s="50">
        <v>5.92</v>
      </c>
      <c r="J24" s="50">
        <v>0.56999999999999995</v>
      </c>
      <c r="K24" s="50">
        <v>325.68</v>
      </c>
      <c r="L24" s="50">
        <v>37.18</v>
      </c>
      <c r="M24" s="50">
        <v>34.119999999999997</v>
      </c>
      <c r="N24" s="50">
        <v>523.4</v>
      </c>
      <c r="O24" s="50">
        <v>0</v>
      </c>
      <c r="P24" s="50">
        <v>0.55000000000000004</v>
      </c>
      <c r="Q24" s="50">
        <v>4.95</v>
      </c>
    </row>
    <row r="25" spans="1:17" customFormat="1">
      <c r="A25" s="49">
        <v>45396.708333333336</v>
      </c>
      <c r="B25" s="50">
        <v>4.46</v>
      </c>
      <c r="C25" s="50">
        <v>14.06</v>
      </c>
      <c r="D25" s="50">
        <v>12.07</v>
      </c>
      <c r="E25" s="50">
        <v>12.66</v>
      </c>
      <c r="F25" s="50">
        <v>25.85</v>
      </c>
      <c r="G25" s="50">
        <v>32.75</v>
      </c>
      <c r="H25" s="50">
        <v>18.68</v>
      </c>
      <c r="I25" s="50">
        <v>6.26</v>
      </c>
      <c r="J25" s="50">
        <v>0.52</v>
      </c>
      <c r="K25" s="50">
        <v>267.61</v>
      </c>
      <c r="L25" s="50">
        <v>36.81</v>
      </c>
      <c r="M25" s="50">
        <v>35.82</v>
      </c>
      <c r="N25" s="50">
        <v>327.9</v>
      </c>
      <c r="O25" s="50">
        <v>0</v>
      </c>
      <c r="P25" s="50">
        <v>0.6</v>
      </c>
      <c r="Q25" s="50">
        <v>4.9400000000000004</v>
      </c>
    </row>
    <row r="26" spans="1:17" customFormat="1">
      <c r="A26" s="49">
        <v>45396.75</v>
      </c>
      <c r="B26" s="50">
        <v>4.8099999999999996</v>
      </c>
      <c r="C26" s="50">
        <v>12.38</v>
      </c>
      <c r="D26" s="50">
        <v>11.68</v>
      </c>
      <c r="E26" s="50">
        <v>15.47</v>
      </c>
      <c r="F26" s="50">
        <v>31.11</v>
      </c>
      <c r="G26" s="50">
        <v>33.299999999999997</v>
      </c>
      <c r="H26" s="50">
        <v>15.23</v>
      </c>
      <c r="I26" s="50">
        <v>6.43</v>
      </c>
      <c r="J26" s="50">
        <v>0.28000000000000003</v>
      </c>
      <c r="K26" s="50">
        <v>256.12</v>
      </c>
      <c r="L26" s="50">
        <v>35.590000000000003</v>
      </c>
      <c r="M26" s="50">
        <v>42.2</v>
      </c>
      <c r="N26" s="50">
        <v>115.5</v>
      </c>
      <c r="O26" s="50">
        <v>0</v>
      </c>
      <c r="P26" s="50">
        <v>0.67</v>
      </c>
      <c r="Q26" s="50">
        <v>4.95</v>
      </c>
    </row>
    <row r="27" spans="1:17" customFormat="1">
      <c r="A27" s="49">
        <v>45396.791666666664</v>
      </c>
      <c r="B27" s="50">
        <v>5.5</v>
      </c>
      <c r="C27" s="50">
        <v>13.77</v>
      </c>
      <c r="D27" s="50">
        <v>12.95</v>
      </c>
      <c r="E27" s="50">
        <v>12.99</v>
      </c>
      <c r="F27" s="50">
        <v>19.100000000000001</v>
      </c>
      <c r="G27" s="50">
        <v>38.1</v>
      </c>
      <c r="H27" s="50">
        <v>22.71</v>
      </c>
      <c r="I27" s="50">
        <v>10.72</v>
      </c>
      <c r="J27" s="50">
        <v>0.21</v>
      </c>
      <c r="K27" s="50">
        <v>172.37</v>
      </c>
      <c r="L27" s="50">
        <v>32.79</v>
      </c>
      <c r="M27" s="50">
        <v>54.38</v>
      </c>
      <c r="N27" s="50">
        <v>0</v>
      </c>
      <c r="O27" s="50">
        <v>0</v>
      </c>
      <c r="P27" s="50">
        <v>0.81</v>
      </c>
      <c r="Q27" s="50">
        <v>4.9400000000000004</v>
      </c>
    </row>
    <row r="28" spans="1:17" customFormat="1">
      <c r="A28" s="49">
        <v>45396.833333333336</v>
      </c>
      <c r="B28" s="50">
        <v>6.55</v>
      </c>
      <c r="C28" s="50">
        <v>15.77</v>
      </c>
      <c r="D28" s="50">
        <v>14.85</v>
      </c>
      <c r="E28" s="50">
        <v>11.9</v>
      </c>
      <c r="F28" s="50">
        <v>13.63</v>
      </c>
      <c r="G28" s="50">
        <v>48.77</v>
      </c>
      <c r="H28" s="50">
        <v>28.1</v>
      </c>
      <c r="I28" s="50">
        <v>11.76</v>
      </c>
      <c r="J28" s="50">
        <v>0.2</v>
      </c>
      <c r="K28" s="50">
        <v>186.67</v>
      </c>
      <c r="L28" s="50">
        <v>30.57</v>
      </c>
      <c r="M28" s="50">
        <v>65.349999999999994</v>
      </c>
      <c r="N28" s="50">
        <v>0</v>
      </c>
      <c r="O28" s="50">
        <v>0</v>
      </c>
      <c r="P28" s="50">
        <v>0.88</v>
      </c>
      <c r="Q28" s="50">
        <v>4.96</v>
      </c>
    </row>
    <row r="29" spans="1:17" customFormat="1">
      <c r="A29" s="49">
        <v>45396.875</v>
      </c>
      <c r="B29" s="50">
        <v>7.79</v>
      </c>
      <c r="C29" s="50">
        <v>16.5</v>
      </c>
      <c r="D29" s="50">
        <v>16.22</v>
      </c>
      <c r="E29" s="50">
        <v>12.51</v>
      </c>
      <c r="F29" s="50">
        <v>7.24</v>
      </c>
      <c r="G29" s="50">
        <v>48.77</v>
      </c>
      <c r="H29" s="50">
        <v>28.1</v>
      </c>
      <c r="I29" s="50">
        <v>11.22</v>
      </c>
      <c r="J29" s="50">
        <v>0.24</v>
      </c>
      <c r="K29" s="50">
        <v>181.91</v>
      </c>
      <c r="L29" s="50">
        <v>29.45</v>
      </c>
      <c r="M29" s="50">
        <v>67.41</v>
      </c>
      <c r="N29" s="50">
        <v>0</v>
      </c>
      <c r="O29" s="50">
        <v>0</v>
      </c>
      <c r="P29" s="50">
        <v>0.87</v>
      </c>
      <c r="Q29" s="50">
        <v>4.96</v>
      </c>
    </row>
    <row r="30" spans="1:17" customFormat="1">
      <c r="A30" s="49">
        <v>45396.916666666664</v>
      </c>
      <c r="B30" s="50">
        <v>9.2100000000000009</v>
      </c>
      <c r="C30" s="50">
        <v>17.25</v>
      </c>
      <c r="D30" s="50">
        <v>17.75</v>
      </c>
      <c r="E30" s="50">
        <v>11.87</v>
      </c>
      <c r="F30" s="50">
        <v>4.8899999999999997</v>
      </c>
      <c r="G30" s="50">
        <v>47.45</v>
      </c>
      <c r="H30" s="50">
        <v>26.74</v>
      </c>
      <c r="I30" s="50">
        <v>11.72</v>
      </c>
      <c r="J30" s="50">
        <v>0.24</v>
      </c>
      <c r="K30" s="50">
        <v>183.49</v>
      </c>
      <c r="L30" s="50">
        <v>28.31</v>
      </c>
      <c r="M30" s="50">
        <v>75.34</v>
      </c>
      <c r="N30" s="50">
        <v>0</v>
      </c>
      <c r="O30" s="50">
        <v>0</v>
      </c>
      <c r="P30" s="50">
        <v>0.97</v>
      </c>
      <c r="Q30" s="50">
        <v>4.95</v>
      </c>
    </row>
    <row r="31" spans="1:17" customFormat="1">
      <c r="A31" s="49">
        <v>45396.958333333336</v>
      </c>
      <c r="B31" s="50">
        <v>10.56</v>
      </c>
      <c r="C31" s="50">
        <v>17.98</v>
      </c>
      <c r="D31" s="50">
        <v>19.21</v>
      </c>
      <c r="E31" s="50">
        <v>12.58</v>
      </c>
      <c r="F31" s="50">
        <v>3.44</v>
      </c>
      <c r="G31" s="50">
        <v>62.79</v>
      </c>
      <c r="H31" s="50">
        <v>31.81</v>
      </c>
      <c r="I31" s="50">
        <v>13.35</v>
      </c>
      <c r="J31" s="50">
        <v>0.14000000000000001</v>
      </c>
      <c r="K31" s="50">
        <v>204.97</v>
      </c>
      <c r="L31" s="50">
        <v>27.62</v>
      </c>
      <c r="M31" s="50">
        <v>83.74</v>
      </c>
      <c r="N31" s="50">
        <v>0</v>
      </c>
      <c r="O31" s="50">
        <v>0</v>
      </c>
      <c r="P31" s="50">
        <v>0.99</v>
      </c>
      <c r="Q31" s="50">
        <v>4.97</v>
      </c>
    </row>
    <row r="32" spans="1:17" customFormat="1">
      <c r="A32" s="49">
        <v>45397</v>
      </c>
      <c r="B32" s="50">
        <v>13.16</v>
      </c>
      <c r="C32" s="50">
        <v>19.29</v>
      </c>
      <c r="D32" s="50">
        <v>21.98</v>
      </c>
      <c r="E32" s="50">
        <v>12.81</v>
      </c>
      <c r="F32" s="50">
        <v>3.25</v>
      </c>
      <c r="G32" s="50">
        <v>64.209999999999994</v>
      </c>
      <c r="H32" s="50">
        <v>32.57</v>
      </c>
      <c r="I32" s="50">
        <v>13.44</v>
      </c>
      <c r="J32" s="50">
        <v>0.28000000000000003</v>
      </c>
      <c r="K32" s="50">
        <v>205.1</v>
      </c>
      <c r="L32" s="50">
        <v>27.2</v>
      </c>
      <c r="M32" s="50">
        <v>82.4</v>
      </c>
      <c r="N32" s="50">
        <v>0</v>
      </c>
      <c r="O32" s="50">
        <v>0</v>
      </c>
      <c r="P32" s="50">
        <v>1.02</v>
      </c>
      <c r="Q32" s="50">
        <v>4.9800000000000004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3.96</v>
      </c>
      <c r="C34" s="40">
        <f t="shared" si="0"/>
        <v>10.99</v>
      </c>
      <c r="D34" s="40">
        <f t="shared" si="0"/>
        <v>9.9600000000000009</v>
      </c>
      <c r="E34" s="40">
        <f t="shared" si="0"/>
        <v>7.83</v>
      </c>
      <c r="F34" s="40">
        <f t="shared" si="0"/>
        <v>2.99</v>
      </c>
      <c r="G34" s="40">
        <f t="shared" si="0"/>
        <v>27.77</v>
      </c>
      <c r="H34" s="40">
        <f t="shared" si="0"/>
        <v>12.46</v>
      </c>
      <c r="I34" s="40">
        <f t="shared" si="0"/>
        <v>5.92</v>
      </c>
      <c r="J34" s="40">
        <f t="shared" si="0"/>
        <v>0.14000000000000001</v>
      </c>
      <c r="K34" s="40">
        <f t="shared" si="0"/>
        <v>172.37</v>
      </c>
      <c r="L34" s="40">
        <f t="shared" si="0"/>
        <v>21.56</v>
      </c>
      <c r="M34" s="40">
        <f t="shared" si="0"/>
        <v>34.119999999999997</v>
      </c>
      <c r="N34" s="40">
        <f t="shared" si="0"/>
        <v>0</v>
      </c>
      <c r="O34" s="40">
        <f t="shared" si="0"/>
        <v>0</v>
      </c>
      <c r="P34" s="40">
        <f t="shared" si="0"/>
        <v>0.51</v>
      </c>
      <c r="Q34" s="40">
        <f t="shared" si="0"/>
        <v>4.9400000000000004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20.88</v>
      </c>
      <c r="C35" s="33">
        <f t="shared" si="1"/>
        <v>24.67</v>
      </c>
      <c r="D35" s="33">
        <f t="shared" si="1"/>
        <v>30.72</v>
      </c>
      <c r="E35" s="33">
        <f t="shared" si="1"/>
        <v>15.47</v>
      </c>
      <c r="F35" s="33">
        <f t="shared" si="1"/>
        <v>47.23</v>
      </c>
      <c r="G35" s="33">
        <f t="shared" si="1"/>
        <v>64.209999999999994</v>
      </c>
      <c r="H35" s="33">
        <f t="shared" si="1"/>
        <v>32.57</v>
      </c>
      <c r="I35" s="33">
        <f t="shared" si="1"/>
        <v>13.44</v>
      </c>
      <c r="J35" s="33">
        <f t="shared" si="1"/>
        <v>1.03</v>
      </c>
      <c r="K35" s="33">
        <f t="shared" si="1"/>
        <v>325.68</v>
      </c>
      <c r="L35" s="33">
        <f t="shared" si="1"/>
        <v>37.409999999999997</v>
      </c>
      <c r="M35" s="33">
        <f t="shared" si="1"/>
        <v>97.63</v>
      </c>
      <c r="N35" s="33">
        <f t="shared" si="1"/>
        <v>827.6</v>
      </c>
      <c r="O35" s="33">
        <f t="shared" si="1"/>
        <v>0</v>
      </c>
      <c r="P35" s="33">
        <f t="shared" si="1"/>
        <v>1.02</v>
      </c>
      <c r="Q35" s="33">
        <f t="shared" si="1"/>
        <v>5.18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11.661666666666669</v>
      </c>
      <c r="C36" s="40">
        <f t="shared" si="2"/>
        <v>18.486666666666668</v>
      </c>
      <c r="D36" s="40">
        <f t="shared" si="2"/>
        <v>20.306666666666668</v>
      </c>
      <c r="E36" s="40">
        <f t="shared" si="2"/>
        <v>10.67</v>
      </c>
      <c r="F36" s="40">
        <f t="shared" si="2"/>
        <v>10.046249999999999</v>
      </c>
      <c r="G36" s="40">
        <f t="shared" si="2"/>
        <v>38.274999999999999</v>
      </c>
      <c r="H36" s="40">
        <f t="shared" si="2"/>
        <v>19.485833333333336</v>
      </c>
      <c r="I36" s="40">
        <f t="shared" si="2"/>
        <v>9.1741666666666646</v>
      </c>
      <c r="J36" s="40">
        <f t="shared" si="2"/>
        <v>0.3775</v>
      </c>
      <c r="K36" s="40">
        <f t="shared" si="2"/>
        <v>236.20124999999996</v>
      </c>
      <c r="L36" s="40">
        <f t="shared" si="2"/>
        <v>29.466666666666672</v>
      </c>
      <c r="M36" s="40">
        <f t="shared" si="2"/>
        <v>66.558333333333323</v>
      </c>
      <c r="N36" s="40">
        <f t="shared" si="2"/>
        <v>253.74999999999997</v>
      </c>
      <c r="O36" s="40">
        <f t="shared" si="2"/>
        <v>0</v>
      </c>
      <c r="P36" s="40">
        <f t="shared" si="2"/>
        <v>0.66041666666666676</v>
      </c>
      <c r="Q36" s="40">
        <f t="shared" si="2"/>
        <v>5.0433333333333339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5.6843030750722052</v>
      </c>
      <c r="C37" s="40">
        <f t="shared" ref="C37:Q37" si="3">STDEV(C9:C32)</f>
        <v>3.8414463610634417</v>
      </c>
      <c r="D37" s="40">
        <f t="shared" si="3"/>
        <v>6.5180249520358791</v>
      </c>
      <c r="E37" s="40">
        <f t="shared" si="3"/>
        <v>2.0689779035111622</v>
      </c>
      <c r="F37" s="40">
        <f t="shared" si="3"/>
        <v>11.326802692690043</v>
      </c>
      <c r="G37" s="40">
        <f t="shared" si="3"/>
        <v>9.4402984477509246</v>
      </c>
      <c r="H37" s="40">
        <f t="shared" si="3"/>
        <v>5.808076772659029</v>
      </c>
      <c r="I37" s="40">
        <f t="shared" si="3"/>
        <v>2.1808871682367634</v>
      </c>
      <c r="J37" s="40">
        <f t="shared" si="3"/>
        <v>0.23528428687903052</v>
      </c>
      <c r="K37" s="40">
        <f t="shared" si="3"/>
        <v>46.017569831013311</v>
      </c>
      <c r="L37" s="40">
        <f t="shared" si="3"/>
        <v>5.7732476480570867</v>
      </c>
      <c r="M37" s="40">
        <f t="shared" si="3"/>
        <v>24.199729906266136</v>
      </c>
      <c r="N37" s="40">
        <f t="shared" si="3"/>
        <v>321.76738830079267</v>
      </c>
      <c r="O37" s="40">
        <f t="shared" si="3"/>
        <v>0</v>
      </c>
      <c r="P37" s="40">
        <f t="shared" si="3"/>
        <v>0.1627342236170124</v>
      </c>
      <c r="Q37" s="40">
        <f t="shared" si="3"/>
        <v>0.10033277962192744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A9" sqref="A9"/>
      <selection pane="topRight" activeCell="A9" sqref="A9"/>
      <selection pane="bottomLeft" activeCell="A9" sqref="A9"/>
      <selection pane="bottomRight" activeCell="Q27" sqref="Q27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45397.041666666664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45397.041666666664</v>
      </c>
      <c r="B9" s="50">
        <v>13.26</v>
      </c>
      <c r="C9" s="50">
        <v>19.829999999999998</v>
      </c>
      <c r="D9" s="50">
        <v>22.17</v>
      </c>
      <c r="E9" s="50">
        <v>12.78</v>
      </c>
      <c r="F9" s="50">
        <v>3.03</v>
      </c>
      <c r="G9" s="50">
        <v>68.709999999999994</v>
      </c>
      <c r="H9" s="50">
        <v>32.57</v>
      </c>
      <c r="I9" s="50">
        <v>13.43</v>
      </c>
      <c r="J9" s="50">
        <v>0.25</v>
      </c>
      <c r="K9" s="50">
        <v>198.43</v>
      </c>
      <c r="L9" s="50">
        <v>26.61</v>
      </c>
      <c r="M9" s="50">
        <v>86.14</v>
      </c>
      <c r="N9" s="50">
        <v>0</v>
      </c>
      <c r="O9" s="50">
        <v>0</v>
      </c>
      <c r="P9" s="50">
        <v>1.04</v>
      </c>
      <c r="Q9" s="50">
        <v>4.97</v>
      </c>
    </row>
    <row r="10" spans="1:21" customFormat="1">
      <c r="A10" s="49">
        <v>45397.083333333336</v>
      </c>
      <c r="B10" s="50">
        <v>13.37</v>
      </c>
      <c r="C10" s="50">
        <v>20.010000000000002</v>
      </c>
      <c r="D10" s="50">
        <v>22.36</v>
      </c>
      <c r="E10" s="50">
        <v>12.72</v>
      </c>
      <c r="F10" s="50">
        <v>3.2</v>
      </c>
      <c r="G10" s="50">
        <v>68.709999999999994</v>
      </c>
      <c r="H10" s="50">
        <v>30.66</v>
      </c>
      <c r="I10" s="50">
        <v>13.34</v>
      </c>
      <c r="J10" s="50">
        <v>0.18</v>
      </c>
      <c r="K10" s="50">
        <v>211.21</v>
      </c>
      <c r="L10" s="50">
        <v>26.27</v>
      </c>
      <c r="M10" s="50">
        <v>84.1</v>
      </c>
      <c r="N10" s="50">
        <v>0</v>
      </c>
      <c r="O10" s="50">
        <v>0</v>
      </c>
      <c r="P10" s="50">
        <v>1.02</v>
      </c>
      <c r="Q10" s="50">
        <v>4.9800000000000004</v>
      </c>
    </row>
    <row r="11" spans="1:21" customFormat="1">
      <c r="A11" s="49">
        <v>45397.125</v>
      </c>
      <c r="B11" s="50">
        <v>13.19</v>
      </c>
      <c r="C11" s="50">
        <v>20.27</v>
      </c>
      <c r="D11" s="50">
        <v>22.45</v>
      </c>
      <c r="E11" s="50">
        <v>12.09</v>
      </c>
      <c r="F11" s="50">
        <v>3.24</v>
      </c>
      <c r="G11" s="50">
        <v>64.099999999999994</v>
      </c>
      <c r="H11" s="50">
        <v>28.05</v>
      </c>
      <c r="I11" s="50">
        <v>12.66</v>
      </c>
      <c r="J11" s="50">
        <v>0.14000000000000001</v>
      </c>
      <c r="K11" s="50">
        <v>225.97</v>
      </c>
      <c r="L11" s="50">
        <v>25.82</v>
      </c>
      <c r="M11" s="50">
        <v>92.13</v>
      </c>
      <c r="N11" s="50">
        <v>0</v>
      </c>
      <c r="O11" s="50">
        <v>0</v>
      </c>
      <c r="P11" s="50">
        <v>0.98</v>
      </c>
      <c r="Q11" s="50">
        <v>4.9800000000000004</v>
      </c>
    </row>
    <row r="12" spans="1:21" customFormat="1">
      <c r="A12" s="49">
        <v>45397.166666666664</v>
      </c>
      <c r="B12" s="50">
        <v>12.77</v>
      </c>
      <c r="C12" s="50">
        <v>19.97</v>
      </c>
      <c r="D12" s="50">
        <v>21.97</v>
      </c>
      <c r="E12" s="50">
        <v>12.06</v>
      </c>
      <c r="F12" s="50">
        <v>3.08</v>
      </c>
      <c r="G12" s="50">
        <v>57.44</v>
      </c>
      <c r="H12" s="50">
        <v>25.51</v>
      </c>
      <c r="I12" s="50">
        <v>11.81</v>
      </c>
      <c r="J12" s="50">
        <v>0.2</v>
      </c>
      <c r="K12" s="50">
        <v>181.97</v>
      </c>
      <c r="L12" s="50">
        <v>25.41</v>
      </c>
      <c r="M12" s="50">
        <v>96.64</v>
      </c>
      <c r="N12" s="50">
        <v>0</v>
      </c>
      <c r="O12" s="50">
        <v>0</v>
      </c>
      <c r="P12" s="50">
        <v>0.92</v>
      </c>
      <c r="Q12" s="50">
        <v>4.99</v>
      </c>
    </row>
    <row r="13" spans="1:21" customFormat="1">
      <c r="A13" s="49">
        <v>45397.208333333336</v>
      </c>
      <c r="B13" s="50">
        <v>13.18</v>
      </c>
      <c r="C13" s="50">
        <v>20.13</v>
      </c>
      <c r="D13" s="50">
        <v>22.14</v>
      </c>
      <c r="E13" s="50">
        <v>11.92</v>
      </c>
      <c r="F13" s="50">
        <v>3.07</v>
      </c>
      <c r="G13" s="50">
        <v>48.52</v>
      </c>
      <c r="H13" s="50">
        <v>23.16</v>
      </c>
      <c r="I13" s="50">
        <v>11.33</v>
      </c>
      <c r="J13" s="50">
        <v>0.18</v>
      </c>
      <c r="K13" s="50">
        <v>194.14</v>
      </c>
      <c r="L13" s="50">
        <v>24.98</v>
      </c>
      <c r="M13" s="50">
        <v>97.89</v>
      </c>
      <c r="N13" s="50">
        <v>0</v>
      </c>
      <c r="O13" s="50">
        <v>0</v>
      </c>
      <c r="P13" s="50">
        <v>0.88</v>
      </c>
      <c r="Q13" s="50">
        <v>4.95</v>
      </c>
    </row>
    <row r="14" spans="1:21" customFormat="1">
      <c r="A14" s="49">
        <v>45397.25</v>
      </c>
      <c r="B14" s="50">
        <v>13.68</v>
      </c>
      <c r="C14" s="50">
        <v>19.72</v>
      </c>
      <c r="D14" s="50">
        <v>22.56</v>
      </c>
      <c r="E14" s="50">
        <v>12.45</v>
      </c>
      <c r="F14" s="50">
        <v>3.05</v>
      </c>
      <c r="G14" s="50">
        <v>44.37</v>
      </c>
      <c r="H14" s="50">
        <v>21.64</v>
      </c>
      <c r="I14" s="50">
        <v>10.92</v>
      </c>
      <c r="J14" s="50">
        <v>0.22</v>
      </c>
      <c r="K14" s="50">
        <v>188.49</v>
      </c>
      <c r="L14" s="50">
        <v>24.5</v>
      </c>
      <c r="M14" s="50">
        <v>103.44</v>
      </c>
      <c r="N14" s="50">
        <v>7.3</v>
      </c>
      <c r="O14" s="50">
        <v>0</v>
      </c>
      <c r="P14" s="50">
        <v>0.86</v>
      </c>
      <c r="Q14" s="50">
        <v>4.97</v>
      </c>
    </row>
    <row r="15" spans="1:21" customFormat="1">
      <c r="A15" s="49">
        <v>45397.291666666664</v>
      </c>
      <c r="B15" s="50">
        <v>14.34</v>
      </c>
      <c r="C15" s="50">
        <v>20.27</v>
      </c>
      <c r="D15" s="50">
        <v>23.23</v>
      </c>
      <c r="E15" s="50">
        <v>12.09</v>
      </c>
      <c r="F15" s="50">
        <v>3.09</v>
      </c>
      <c r="G15" s="50">
        <v>42.94</v>
      </c>
      <c r="H15" s="50">
        <v>19.77</v>
      </c>
      <c r="I15" s="50">
        <v>10.54</v>
      </c>
      <c r="J15" s="50">
        <v>0.2</v>
      </c>
      <c r="K15" s="50">
        <v>201.87</v>
      </c>
      <c r="L15" s="50">
        <v>26.57</v>
      </c>
      <c r="M15" s="50">
        <v>102.16</v>
      </c>
      <c r="N15" s="50">
        <v>53.6</v>
      </c>
      <c r="O15" s="50">
        <v>0</v>
      </c>
      <c r="P15" s="50">
        <v>0.83</v>
      </c>
      <c r="Q15" s="50">
        <v>4.9800000000000004</v>
      </c>
    </row>
    <row r="16" spans="1:21" customFormat="1">
      <c r="A16" s="49">
        <v>45397.333333333336</v>
      </c>
      <c r="B16" s="50">
        <v>14.46</v>
      </c>
      <c r="C16" s="50">
        <v>20.059999999999999</v>
      </c>
      <c r="D16" s="50">
        <v>23.34</v>
      </c>
      <c r="E16" s="50">
        <v>11.84</v>
      </c>
      <c r="F16" s="50">
        <v>3.2</v>
      </c>
      <c r="G16" s="50">
        <v>42.94</v>
      </c>
      <c r="H16" s="50">
        <v>20.74</v>
      </c>
      <c r="I16" s="50">
        <v>10.37</v>
      </c>
      <c r="J16" s="50">
        <v>0.32</v>
      </c>
      <c r="K16" s="50">
        <v>217.68</v>
      </c>
      <c r="L16" s="50">
        <v>30.28</v>
      </c>
      <c r="M16" s="50">
        <v>91.81</v>
      </c>
      <c r="N16" s="50">
        <v>248.2</v>
      </c>
      <c r="O16" s="50">
        <v>0</v>
      </c>
      <c r="P16" s="50">
        <v>0.81</v>
      </c>
      <c r="Q16" s="50">
        <v>4.97</v>
      </c>
    </row>
    <row r="17" spans="1:17" customFormat="1">
      <c r="A17" s="49">
        <v>45397.375</v>
      </c>
      <c r="B17" s="50">
        <v>13.27</v>
      </c>
      <c r="C17" s="50">
        <v>19.91</v>
      </c>
      <c r="D17" s="50">
        <v>22.37</v>
      </c>
      <c r="E17" s="50">
        <v>11.61</v>
      </c>
      <c r="F17" s="50">
        <v>4.82</v>
      </c>
      <c r="G17" s="50">
        <v>50.55</v>
      </c>
      <c r="H17" s="50">
        <v>20.74</v>
      </c>
      <c r="I17" s="50">
        <v>10.29</v>
      </c>
      <c r="J17" s="50">
        <v>0.73</v>
      </c>
      <c r="K17" s="50">
        <v>257.91000000000003</v>
      </c>
      <c r="L17" s="50">
        <v>32.15</v>
      </c>
      <c r="M17" s="50">
        <v>58.94</v>
      </c>
      <c r="N17" s="50">
        <v>318</v>
      </c>
      <c r="O17" s="50">
        <v>0</v>
      </c>
      <c r="P17" s="50">
        <v>0.8</v>
      </c>
      <c r="Q17" s="30" t="s">
        <v>8</v>
      </c>
    </row>
    <row r="18" spans="1:17" customFormat="1">
      <c r="A18" s="49">
        <v>45397.416666666664</v>
      </c>
      <c r="B18" s="50">
        <v>9.82</v>
      </c>
      <c r="C18" s="50">
        <v>18.309999999999999</v>
      </c>
      <c r="D18" s="50">
        <v>18.79</v>
      </c>
      <c r="E18" s="50">
        <v>10.55</v>
      </c>
      <c r="F18" s="50">
        <v>6.29</v>
      </c>
      <c r="G18" s="50">
        <v>50.55</v>
      </c>
      <c r="H18" s="50">
        <v>19.97</v>
      </c>
      <c r="I18" s="50">
        <v>9.82</v>
      </c>
      <c r="J18" s="50">
        <v>0.75</v>
      </c>
      <c r="K18" s="50">
        <v>262.41000000000003</v>
      </c>
      <c r="L18" s="50">
        <v>34.26</v>
      </c>
      <c r="M18" s="50">
        <v>53.6</v>
      </c>
      <c r="N18" s="50">
        <v>626.9</v>
      </c>
      <c r="O18" s="50">
        <v>0</v>
      </c>
      <c r="P18" s="50">
        <v>0.76</v>
      </c>
      <c r="Q18" s="30" t="s">
        <v>8</v>
      </c>
    </row>
    <row r="19" spans="1:17" customFormat="1">
      <c r="A19" s="49">
        <v>45397.458333333336</v>
      </c>
      <c r="B19" s="50">
        <v>7.13</v>
      </c>
      <c r="C19" s="50">
        <v>16.600000000000001</v>
      </c>
      <c r="D19" s="50">
        <v>15.74</v>
      </c>
      <c r="E19" s="50">
        <v>13.8</v>
      </c>
      <c r="F19" s="50">
        <v>12.95</v>
      </c>
      <c r="G19" s="50">
        <v>39.43</v>
      </c>
      <c r="H19" s="50">
        <v>17.8</v>
      </c>
      <c r="I19" s="50">
        <v>8.89</v>
      </c>
      <c r="J19" s="50">
        <v>0.73</v>
      </c>
      <c r="K19" s="50">
        <v>310.19</v>
      </c>
      <c r="L19" s="50">
        <v>36.07</v>
      </c>
      <c r="M19" s="50">
        <v>45.06</v>
      </c>
      <c r="N19" s="50">
        <v>688</v>
      </c>
      <c r="O19" s="50">
        <v>0</v>
      </c>
      <c r="P19" s="50">
        <v>0.69</v>
      </c>
      <c r="Q19" s="30" t="s">
        <v>8</v>
      </c>
    </row>
    <row r="20" spans="1:17" customFormat="1">
      <c r="A20" s="49">
        <v>45397.5</v>
      </c>
      <c r="B20" s="50">
        <v>5.18</v>
      </c>
      <c r="C20" s="50">
        <v>14.8</v>
      </c>
      <c r="D20" s="50">
        <v>13.24</v>
      </c>
      <c r="E20" s="50">
        <v>15.03</v>
      </c>
      <c r="F20" s="50">
        <v>17.12</v>
      </c>
      <c r="G20" s="50">
        <v>42.6</v>
      </c>
      <c r="H20" s="50">
        <v>17.8</v>
      </c>
      <c r="I20" s="50">
        <v>8.4499999999999993</v>
      </c>
      <c r="J20" s="50">
        <v>1.03</v>
      </c>
      <c r="K20" s="50">
        <v>270.20999999999998</v>
      </c>
      <c r="L20" s="50">
        <v>37.6</v>
      </c>
      <c r="M20" s="50">
        <v>40.98</v>
      </c>
      <c r="N20" s="50">
        <v>821.6</v>
      </c>
      <c r="O20" s="50">
        <v>0</v>
      </c>
      <c r="P20" s="50">
        <v>0.69</v>
      </c>
      <c r="Q20" s="30" t="s">
        <v>8</v>
      </c>
    </row>
    <row r="21" spans="1:17" customFormat="1">
      <c r="A21" s="49">
        <v>45397.541666666664</v>
      </c>
      <c r="B21" s="50">
        <v>4.4400000000000004</v>
      </c>
      <c r="C21" s="50">
        <v>13.65</v>
      </c>
      <c r="D21" s="50">
        <v>12.04</v>
      </c>
      <c r="E21" s="50">
        <v>20.8</v>
      </c>
      <c r="F21" s="50">
        <v>22.01</v>
      </c>
      <c r="G21" s="50">
        <v>42.6</v>
      </c>
      <c r="H21" s="50">
        <v>16.600000000000001</v>
      </c>
      <c r="I21" s="50">
        <v>7.93</v>
      </c>
      <c r="J21" s="50">
        <v>1.1399999999999999</v>
      </c>
      <c r="K21" s="50">
        <v>297.87</v>
      </c>
      <c r="L21" s="50">
        <v>38.18</v>
      </c>
      <c r="M21" s="50">
        <v>37.44</v>
      </c>
      <c r="N21" s="50">
        <v>817.4</v>
      </c>
      <c r="O21" s="50">
        <v>0</v>
      </c>
      <c r="P21" s="50">
        <v>0.66</v>
      </c>
      <c r="Q21" s="30" t="s">
        <v>8</v>
      </c>
    </row>
    <row r="22" spans="1:17" customFormat="1">
      <c r="A22" s="49">
        <v>45397.583333333336</v>
      </c>
      <c r="B22" s="50">
        <v>4.1500000000000004</v>
      </c>
      <c r="C22" s="50">
        <v>11.24</v>
      </c>
      <c r="D22" s="50">
        <v>10.55</v>
      </c>
      <c r="E22" s="50">
        <v>26.67</v>
      </c>
      <c r="F22" s="50">
        <v>33.15</v>
      </c>
      <c r="G22" s="50">
        <v>40.26</v>
      </c>
      <c r="H22" s="50">
        <v>18.7</v>
      </c>
      <c r="I22" s="50">
        <v>8.07</v>
      </c>
      <c r="J22" s="50">
        <v>0.68</v>
      </c>
      <c r="K22" s="50">
        <v>302.93</v>
      </c>
      <c r="L22" s="50">
        <v>39.35</v>
      </c>
      <c r="M22" s="50">
        <v>34.51</v>
      </c>
      <c r="N22" s="50">
        <v>731.2</v>
      </c>
      <c r="O22" s="50">
        <v>0</v>
      </c>
      <c r="P22" s="50">
        <v>0.65</v>
      </c>
      <c r="Q22" s="30" t="s">
        <v>8</v>
      </c>
    </row>
    <row r="23" spans="1:17" customFormat="1">
      <c r="A23" s="49">
        <v>45397.625</v>
      </c>
      <c r="B23" s="50">
        <v>4.1100000000000003</v>
      </c>
      <c r="C23" s="50">
        <v>9.86</v>
      </c>
      <c r="D23" s="50">
        <v>9.76</v>
      </c>
      <c r="E23" s="50">
        <v>21.92</v>
      </c>
      <c r="F23" s="50">
        <v>31.06</v>
      </c>
      <c r="G23" s="50">
        <v>44.32</v>
      </c>
      <c r="H23" s="50">
        <v>18.7</v>
      </c>
      <c r="I23" s="50">
        <v>7.94</v>
      </c>
      <c r="J23" s="50">
        <v>0.84</v>
      </c>
      <c r="K23" s="50">
        <v>282.83</v>
      </c>
      <c r="L23" s="50">
        <v>39.29</v>
      </c>
      <c r="M23" s="50">
        <v>33.700000000000003</v>
      </c>
      <c r="N23" s="50">
        <v>647.9</v>
      </c>
      <c r="O23" s="50">
        <v>0</v>
      </c>
      <c r="P23" s="50">
        <v>0.62</v>
      </c>
      <c r="Q23" s="50">
        <v>4.9400000000000004</v>
      </c>
    </row>
    <row r="24" spans="1:17" customFormat="1">
      <c r="A24" s="49">
        <v>45397.666666666664</v>
      </c>
      <c r="B24" s="50">
        <v>4.51</v>
      </c>
      <c r="C24" s="50">
        <v>12.92</v>
      </c>
      <c r="D24" s="50">
        <v>11.72</v>
      </c>
      <c r="E24" s="50">
        <v>22.81</v>
      </c>
      <c r="F24" s="50">
        <v>42.4</v>
      </c>
      <c r="G24" s="50">
        <v>44.32</v>
      </c>
      <c r="H24" s="50">
        <v>19.87</v>
      </c>
      <c r="I24" s="50">
        <v>7.58</v>
      </c>
      <c r="J24" s="50">
        <v>4.8899999999999997</v>
      </c>
      <c r="K24" s="50">
        <v>257.5</v>
      </c>
      <c r="L24" s="50">
        <v>38.729999999999997</v>
      </c>
      <c r="M24" s="50">
        <v>101.57</v>
      </c>
      <c r="N24" s="50">
        <v>165.1</v>
      </c>
      <c r="O24" s="50">
        <v>4.5999999999999996</v>
      </c>
      <c r="P24" s="50">
        <v>0.6</v>
      </c>
      <c r="Q24" s="50">
        <v>4.95</v>
      </c>
    </row>
    <row r="25" spans="1:17" customFormat="1">
      <c r="A25" s="49">
        <v>45397.708333333336</v>
      </c>
      <c r="B25" s="50">
        <v>4.93</v>
      </c>
      <c r="C25" s="50">
        <v>16.510000000000002</v>
      </c>
      <c r="D25" s="50">
        <v>13.93</v>
      </c>
      <c r="E25" s="50">
        <v>12.92</v>
      </c>
      <c r="F25" s="50">
        <v>10.43</v>
      </c>
      <c r="G25" s="50">
        <v>45.97</v>
      </c>
      <c r="H25" s="50">
        <v>19.87</v>
      </c>
      <c r="I25" s="50">
        <v>7.01</v>
      </c>
      <c r="J25" s="50">
        <v>2.4700000000000002</v>
      </c>
      <c r="K25" s="50">
        <v>235.52</v>
      </c>
      <c r="L25" s="50">
        <v>24.84</v>
      </c>
      <c r="M25" s="50">
        <v>94.79</v>
      </c>
      <c r="N25" s="50">
        <v>61.6</v>
      </c>
      <c r="O25" s="50">
        <v>3.4</v>
      </c>
      <c r="P25" s="50">
        <v>0.59</v>
      </c>
      <c r="Q25" s="50">
        <v>4.92</v>
      </c>
    </row>
    <row r="26" spans="1:17" customFormat="1">
      <c r="A26" s="49">
        <v>45397.75</v>
      </c>
      <c r="B26" s="50">
        <v>5.56</v>
      </c>
      <c r="C26" s="50">
        <v>16.13</v>
      </c>
      <c r="D26" s="50">
        <v>14.17</v>
      </c>
      <c r="E26" s="50">
        <v>12.76</v>
      </c>
      <c r="F26" s="50">
        <v>4.1399999999999997</v>
      </c>
      <c r="G26" s="50">
        <v>45.97</v>
      </c>
      <c r="H26" s="50">
        <v>18.79</v>
      </c>
      <c r="I26" s="50">
        <v>6.82</v>
      </c>
      <c r="J26" s="50">
        <v>0.81</v>
      </c>
      <c r="K26" s="50">
        <v>266.49</v>
      </c>
      <c r="L26" s="50">
        <v>26.64</v>
      </c>
      <c r="M26" s="50">
        <v>81.900000000000006</v>
      </c>
      <c r="N26" s="50">
        <v>47.6</v>
      </c>
      <c r="O26" s="50">
        <v>0</v>
      </c>
      <c r="P26" s="50">
        <v>0.56000000000000005</v>
      </c>
      <c r="Q26" s="50">
        <v>4.93</v>
      </c>
    </row>
    <row r="27" spans="1:17" customFormat="1">
      <c r="A27" s="49">
        <v>45397.791666666664</v>
      </c>
      <c r="B27" s="50">
        <v>6.1</v>
      </c>
      <c r="C27" s="50">
        <v>16.47</v>
      </c>
      <c r="D27" s="50">
        <v>14.84</v>
      </c>
      <c r="E27" s="50">
        <v>9.2899999999999991</v>
      </c>
      <c r="F27" s="50">
        <v>4.92</v>
      </c>
      <c r="G27" s="50">
        <v>37.53</v>
      </c>
      <c r="H27" s="50">
        <v>15.21</v>
      </c>
      <c r="I27" s="50">
        <v>6.37</v>
      </c>
      <c r="J27" s="50">
        <v>0.15</v>
      </c>
      <c r="K27" s="50">
        <v>245.32</v>
      </c>
      <c r="L27" s="50">
        <v>26.88</v>
      </c>
      <c r="M27" s="50">
        <v>89.41</v>
      </c>
      <c r="N27" s="50">
        <v>0</v>
      </c>
      <c r="O27" s="50">
        <v>0</v>
      </c>
      <c r="P27" s="50">
        <v>0.52</v>
      </c>
      <c r="Q27" s="30" t="s">
        <v>8</v>
      </c>
    </row>
    <row r="28" spans="1:17" customFormat="1">
      <c r="A28" s="49">
        <v>45397.833333333336</v>
      </c>
      <c r="B28" s="50">
        <v>8.1300000000000008</v>
      </c>
      <c r="C28" s="50">
        <v>18.36</v>
      </c>
      <c r="D28" s="50">
        <v>17.46</v>
      </c>
      <c r="E28" s="50">
        <v>9.56</v>
      </c>
      <c r="F28" s="50">
        <v>3.74</v>
      </c>
      <c r="G28" s="50">
        <v>31.24</v>
      </c>
      <c r="H28" s="50">
        <v>14.95</v>
      </c>
      <c r="I28" s="50">
        <v>6.15</v>
      </c>
      <c r="J28" s="50">
        <v>0.2</v>
      </c>
      <c r="K28" s="50">
        <v>342.08</v>
      </c>
      <c r="L28" s="50">
        <v>26.45</v>
      </c>
      <c r="M28" s="50">
        <v>89.29</v>
      </c>
      <c r="N28" s="50">
        <v>0</v>
      </c>
      <c r="O28" s="50">
        <v>0</v>
      </c>
      <c r="P28" s="50">
        <v>0.55000000000000004</v>
      </c>
      <c r="Q28" s="50">
        <v>4.9000000000000004</v>
      </c>
    </row>
    <row r="29" spans="1:17" customFormat="1">
      <c r="A29" s="49">
        <v>45397.875</v>
      </c>
      <c r="B29" s="50">
        <v>13.36</v>
      </c>
      <c r="C29" s="50">
        <v>21.48</v>
      </c>
      <c r="D29" s="50">
        <v>23.24</v>
      </c>
      <c r="E29" s="50">
        <v>9.2899999999999991</v>
      </c>
      <c r="F29" s="50">
        <v>3.12</v>
      </c>
      <c r="G29" s="50">
        <v>55.28</v>
      </c>
      <c r="H29" s="50">
        <v>16.18</v>
      </c>
      <c r="I29" s="50">
        <v>6.61</v>
      </c>
      <c r="J29" s="50">
        <v>0.31</v>
      </c>
      <c r="K29" s="50">
        <v>196.11</v>
      </c>
      <c r="L29" s="50">
        <v>26.62</v>
      </c>
      <c r="M29" s="50">
        <v>90.66</v>
      </c>
      <c r="N29" s="50">
        <v>0</v>
      </c>
      <c r="O29" s="50">
        <v>0</v>
      </c>
      <c r="P29" s="50">
        <v>0.65</v>
      </c>
      <c r="Q29" s="50">
        <v>4.97</v>
      </c>
    </row>
    <row r="30" spans="1:17" customFormat="1">
      <c r="A30" s="49">
        <v>45397.916666666664</v>
      </c>
      <c r="B30" s="50">
        <v>17.53</v>
      </c>
      <c r="C30" s="50">
        <v>22.55</v>
      </c>
      <c r="D30" s="50">
        <v>27.16</v>
      </c>
      <c r="E30" s="50">
        <v>9.83</v>
      </c>
      <c r="F30" s="50">
        <v>3.04</v>
      </c>
      <c r="G30" s="50">
        <v>65.06</v>
      </c>
      <c r="H30" s="50">
        <v>22.52</v>
      </c>
      <c r="I30" s="50">
        <v>7.46</v>
      </c>
      <c r="J30" s="50">
        <v>0.21</v>
      </c>
      <c r="K30" s="50">
        <v>216.64</v>
      </c>
      <c r="L30" s="50">
        <v>26.41</v>
      </c>
      <c r="M30" s="50">
        <v>105.29</v>
      </c>
      <c r="N30" s="50">
        <v>0</v>
      </c>
      <c r="O30" s="50">
        <v>0</v>
      </c>
      <c r="P30" s="50">
        <v>0.78</v>
      </c>
      <c r="Q30" s="50">
        <v>4.99</v>
      </c>
    </row>
    <row r="31" spans="1:17" customFormat="1">
      <c r="A31" s="49">
        <v>45397.958333333336</v>
      </c>
      <c r="B31" s="50">
        <v>23.25</v>
      </c>
      <c r="C31" s="50">
        <v>23.96</v>
      </c>
      <c r="D31" s="50">
        <v>32.35</v>
      </c>
      <c r="E31" s="50">
        <v>9.9499999999999993</v>
      </c>
      <c r="F31" s="50">
        <v>3.06</v>
      </c>
      <c r="G31" s="50">
        <v>82.78</v>
      </c>
      <c r="H31" s="50">
        <v>23.73</v>
      </c>
      <c r="I31" s="50">
        <v>9.1300000000000008</v>
      </c>
      <c r="J31" s="50">
        <v>0.26</v>
      </c>
      <c r="K31" s="50">
        <v>157.30000000000001</v>
      </c>
      <c r="L31" s="50">
        <v>26.66</v>
      </c>
      <c r="M31" s="50">
        <v>94.31</v>
      </c>
      <c r="N31" s="50">
        <v>0</v>
      </c>
      <c r="O31" s="50">
        <v>0</v>
      </c>
      <c r="P31" s="50">
        <v>1</v>
      </c>
      <c r="Q31" s="50">
        <v>5.01</v>
      </c>
    </row>
    <row r="32" spans="1:17" customFormat="1">
      <c r="A32" s="49">
        <v>45398</v>
      </c>
      <c r="B32" s="50">
        <v>26.85</v>
      </c>
      <c r="C32" s="50">
        <v>23.8</v>
      </c>
      <c r="D32" s="50">
        <v>35.15</v>
      </c>
      <c r="E32" s="50">
        <v>10.49</v>
      </c>
      <c r="F32" s="50">
        <v>3.05</v>
      </c>
      <c r="G32" s="50">
        <v>113.73</v>
      </c>
      <c r="H32" s="50">
        <v>34.42</v>
      </c>
      <c r="I32" s="50">
        <v>11.57</v>
      </c>
      <c r="J32" s="50">
        <v>0.26</v>
      </c>
      <c r="K32" s="50">
        <v>200.19</v>
      </c>
      <c r="L32" s="50">
        <v>25.93</v>
      </c>
      <c r="M32" s="50">
        <v>94.03</v>
      </c>
      <c r="N32" s="50">
        <v>0</v>
      </c>
      <c r="O32" s="50">
        <v>0</v>
      </c>
      <c r="P32" s="50">
        <v>1.17</v>
      </c>
      <c r="Q32" s="50">
        <v>4.9800000000000004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4.1100000000000003</v>
      </c>
      <c r="C34" s="40">
        <f t="shared" si="0"/>
        <v>9.86</v>
      </c>
      <c r="D34" s="40">
        <f t="shared" si="0"/>
        <v>9.76</v>
      </c>
      <c r="E34" s="40">
        <f t="shared" si="0"/>
        <v>9.2899999999999991</v>
      </c>
      <c r="F34" s="40">
        <f t="shared" si="0"/>
        <v>3.03</v>
      </c>
      <c r="G34" s="40">
        <f t="shared" si="0"/>
        <v>31.24</v>
      </c>
      <c r="H34" s="40">
        <f t="shared" si="0"/>
        <v>14.95</v>
      </c>
      <c r="I34" s="40">
        <f t="shared" si="0"/>
        <v>6.15</v>
      </c>
      <c r="J34" s="40">
        <f t="shared" si="0"/>
        <v>0.14000000000000001</v>
      </c>
      <c r="K34" s="40">
        <f t="shared" si="0"/>
        <v>157.30000000000001</v>
      </c>
      <c r="L34" s="40">
        <f t="shared" si="0"/>
        <v>24.5</v>
      </c>
      <c r="M34" s="40">
        <f t="shared" si="0"/>
        <v>33.700000000000003</v>
      </c>
      <c r="N34" s="40">
        <f t="shared" si="0"/>
        <v>0</v>
      </c>
      <c r="O34" s="40">
        <f t="shared" si="0"/>
        <v>0</v>
      </c>
      <c r="P34" s="40">
        <f t="shared" si="0"/>
        <v>0.52</v>
      </c>
      <c r="Q34" s="40">
        <f t="shared" si="0"/>
        <v>4.9000000000000004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26.85</v>
      </c>
      <c r="C35" s="33">
        <f t="shared" si="1"/>
        <v>23.96</v>
      </c>
      <c r="D35" s="33">
        <f t="shared" si="1"/>
        <v>35.15</v>
      </c>
      <c r="E35" s="33">
        <f t="shared" si="1"/>
        <v>26.67</v>
      </c>
      <c r="F35" s="33">
        <f t="shared" si="1"/>
        <v>42.4</v>
      </c>
      <c r="G35" s="33">
        <f t="shared" si="1"/>
        <v>113.73</v>
      </c>
      <c r="H35" s="33">
        <f t="shared" si="1"/>
        <v>34.42</v>
      </c>
      <c r="I35" s="33">
        <f t="shared" si="1"/>
        <v>13.43</v>
      </c>
      <c r="J35" s="33">
        <f t="shared" si="1"/>
        <v>4.8899999999999997</v>
      </c>
      <c r="K35" s="33">
        <f t="shared" si="1"/>
        <v>342.08</v>
      </c>
      <c r="L35" s="33">
        <f t="shared" si="1"/>
        <v>39.35</v>
      </c>
      <c r="M35" s="33">
        <f t="shared" si="1"/>
        <v>105.29</v>
      </c>
      <c r="N35" s="33">
        <f t="shared" si="1"/>
        <v>821.6</v>
      </c>
      <c r="O35" s="33">
        <f t="shared" si="1"/>
        <v>4.5999999999999996</v>
      </c>
      <c r="P35" s="33">
        <f t="shared" si="1"/>
        <v>1.17</v>
      </c>
      <c r="Q35" s="33">
        <f t="shared" si="1"/>
        <v>5.01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11.107083333333335</v>
      </c>
      <c r="C36" s="40">
        <f t="shared" si="2"/>
        <v>18.200416666666666</v>
      </c>
      <c r="D36" s="40">
        <f t="shared" si="2"/>
        <v>19.697083333333335</v>
      </c>
      <c r="E36" s="40">
        <f t="shared" si="2"/>
        <v>13.551250000000003</v>
      </c>
      <c r="F36" s="40">
        <f t="shared" si="2"/>
        <v>9.5941666666666681</v>
      </c>
      <c r="G36" s="40">
        <f t="shared" si="2"/>
        <v>52.913333333333334</v>
      </c>
      <c r="H36" s="40">
        <f t="shared" si="2"/>
        <v>21.581250000000001</v>
      </c>
      <c r="I36" s="40">
        <f t="shared" si="2"/>
        <v>9.3537499999999998</v>
      </c>
      <c r="J36" s="40">
        <f t="shared" si="2"/>
        <v>0.71458333333333346</v>
      </c>
      <c r="K36" s="40">
        <f t="shared" si="2"/>
        <v>238.3858333333333</v>
      </c>
      <c r="L36" s="40">
        <f t="shared" si="2"/>
        <v>29.854166666666668</v>
      </c>
      <c r="M36" s="40">
        <f t="shared" si="2"/>
        <v>79.157916666666679</v>
      </c>
      <c r="N36" s="40">
        <f t="shared" si="2"/>
        <v>218.10000000000002</v>
      </c>
      <c r="O36" s="40">
        <f t="shared" si="2"/>
        <v>0.33333333333333331</v>
      </c>
      <c r="P36" s="40">
        <f t="shared" si="2"/>
        <v>0.77625000000000011</v>
      </c>
      <c r="Q36" s="40">
        <f t="shared" si="2"/>
        <v>4.9635294117647062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6.0309495100484467</v>
      </c>
      <c r="C37" s="40">
        <f t="shared" ref="C37:Q37" si="3">STDEV(C9:C32)</f>
        <v>3.7016030360145282</v>
      </c>
      <c r="D37" s="40">
        <f t="shared" si="3"/>
        <v>6.5786442895482269</v>
      </c>
      <c r="E37" s="40">
        <f t="shared" si="3"/>
        <v>4.6600628028050108</v>
      </c>
      <c r="F37" s="40">
        <f t="shared" si="3"/>
        <v>11.305957997086495</v>
      </c>
      <c r="G37" s="40">
        <f t="shared" si="3"/>
        <v>17.68818315114374</v>
      </c>
      <c r="H37" s="40">
        <f t="shared" si="3"/>
        <v>5.2666938003795574</v>
      </c>
      <c r="I37" s="40">
        <f t="shared" si="3"/>
        <v>2.2493570337359468</v>
      </c>
      <c r="J37" s="40">
        <f t="shared" si="3"/>
        <v>1.0275846698074023</v>
      </c>
      <c r="K37" s="40">
        <f t="shared" si="3"/>
        <v>47.064165812465028</v>
      </c>
      <c r="L37" s="40">
        <f t="shared" si="3"/>
        <v>5.4263478923927808</v>
      </c>
      <c r="M37" s="40">
        <f t="shared" si="3"/>
        <v>24.572062782437659</v>
      </c>
      <c r="N37" s="40">
        <f t="shared" si="3"/>
        <v>310.77000862513989</v>
      </c>
      <c r="O37" s="40">
        <f t="shared" si="3"/>
        <v>1.1430952132988164</v>
      </c>
      <c r="P37" s="40">
        <f t="shared" si="3"/>
        <v>0.17851592305060238</v>
      </c>
      <c r="Q37" s="40">
        <f t="shared" si="3"/>
        <v>2.827126997293105E-2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17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R2" sqref="R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45398.041666666664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45398.041666666664</v>
      </c>
      <c r="B9" s="50">
        <v>29.03</v>
      </c>
      <c r="C9" s="50">
        <v>23.3</v>
      </c>
      <c r="D9" s="50">
        <v>36.81</v>
      </c>
      <c r="E9" s="50">
        <v>9.98</v>
      </c>
      <c r="F9" s="50">
        <v>3.06</v>
      </c>
      <c r="G9" s="50">
        <v>117.28</v>
      </c>
      <c r="H9" s="50">
        <v>38.18</v>
      </c>
      <c r="I9" s="50">
        <v>13.06</v>
      </c>
      <c r="J9" s="50">
        <v>0.24</v>
      </c>
      <c r="K9" s="50">
        <v>242.89</v>
      </c>
      <c r="L9" s="50">
        <v>25.02</v>
      </c>
      <c r="M9" s="50">
        <v>100.46</v>
      </c>
      <c r="N9" s="50">
        <v>0</v>
      </c>
      <c r="O9" s="50">
        <v>0</v>
      </c>
      <c r="P9" s="50">
        <v>1.26</v>
      </c>
      <c r="Q9" s="50">
        <v>5.0599999999999996</v>
      </c>
    </row>
    <row r="10" spans="1:21" customFormat="1">
      <c r="A10" s="49">
        <v>45398.083333333336</v>
      </c>
      <c r="B10" s="50">
        <v>15.41</v>
      </c>
      <c r="C10" s="50">
        <v>14.29</v>
      </c>
      <c r="D10" s="50">
        <v>21.17</v>
      </c>
      <c r="E10" s="50">
        <v>10.07</v>
      </c>
      <c r="F10" s="50">
        <v>3.05</v>
      </c>
      <c r="G10" s="50">
        <v>117.28</v>
      </c>
      <c r="H10" s="50">
        <v>38.18</v>
      </c>
      <c r="I10" s="50">
        <v>13.54</v>
      </c>
      <c r="J10" s="50">
        <v>0.2</v>
      </c>
      <c r="K10" s="50">
        <v>248.48</v>
      </c>
      <c r="L10" s="50">
        <v>24.78</v>
      </c>
      <c r="M10" s="50">
        <v>97.34</v>
      </c>
      <c r="N10" s="50">
        <v>0</v>
      </c>
      <c r="O10" s="50">
        <v>0</v>
      </c>
      <c r="P10" s="50">
        <v>1.27</v>
      </c>
      <c r="Q10" s="50">
        <v>4.99</v>
      </c>
    </row>
    <row r="11" spans="1:21" customFormat="1">
      <c r="A11" s="49">
        <v>45398.125</v>
      </c>
      <c r="B11" s="30" t="s">
        <v>8</v>
      </c>
      <c r="C11" s="30" t="s">
        <v>8</v>
      </c>
      <c r="D11" s="30" t="s">
        <v>8</v>
      </c>
      <c r="E11" s="50">
        <v>13.14</v>
      </c>
      <c r="F11" s="50">
        <v>3.04</v>
      </c>
      <c r="G11" s="50">
        <v>95.37</v>
      </c>
      <c r="H11" s="50">
        <v>33.76</v>
      </c>
      <c r="I11" s="50">
        <v>14.22</v>
      </c>
      <c r="J11" s="50">
        <v>0.19</v>
      </c>
      <c r="K11" s="50">
        <v>231.94</v>
      </c>
      <c r="L11" s="50">
        <v>24.65</v>
      </c>
      <c r="M11" s="50">
        <v>106.86</v>
      </c>
      <c r="N11" s="50">
        <v>0</v>
      </c>
      <c r="O11" s="50">
        <v>0</v>
      </c>
      <c r="P11" s="50">
        <v>1.24</v>
      </c>
      <c r="Q11" s="50">
        <v>4.97</v>
      </c>
    </row>
    <row r="12" spans="1:21" customFormat="1">
      <c r="A12" s="49">
        <v>45398.166666666664</v>
      </c>
      <c r="B12" s="30" t="s">
        <v>8</v>
      </c>
      <c r="C12" s="30" t="s">
        <v>8</v>
      </c>
      <c r="D12" s="30" t="s">
        <v>8</v>
      </c>
      <c r="E12" s="50">
        <v>13.14</v>
      </c>
      <c r="F12" s="50">
        <v>3.11</v>
      </c>
      <c r="G12" s="50">
        <v>86.79</v>
      </c>
      <c r="H12" s="50">
        <v>31.96</v>
      </c>
      <c r="I12" s="50">
        <v>15.22</v>
      </c>
      <c r="J12" s="50">
        <v>0.25</v>
      </c>
      <c r="K12" s="50">
        <v>203.5</v>
      </c>
      <c r="L12" s="50">
        <v>24.07</v>
      </c>
      <c r="M12" s="50">
        <v>96.35</v>
      </c>
      <c r="N12" s="50">
        <v>0</v>
      </c>
      <c r="O12" s="50">
        <v>0</v>
      </c>
      <c r="P12" s="50">
        <v>1.19</v>
      </c>
      <c r="Q12" s="50">
        <v>4.99</v>
      </c>
    </row>
    <row r="13" spans="1:21" customFormat="1">
      <c r="A13" s="49">
        <v>45398.208333333336</v>
      </c>
      <c r="B13" s="30" t="s">
        <v>8</v>
      </c>
      <c r="C13" s="30" t="s">
        <v>8</v>
      </c>
      <c r="D13" s="30" t="s">
        <v>8</v>
      </c>
      <c r="E13" s="50">
        <v>13.1</v>
      </c>
      <c r="F13" s="50">
        <v>2.97</v>
      </c>
      <c r="G13" s="50">
        <v>70.78</v>
      </c>
      <c r="H13" s="50">
        <v>28.29</v>
      </c>
      <c r="I13" s="50">
        <v>15.96</v>
      </c>
      <c r="J13" s="50">
        <v>0.21</v>
      </c>
      <c r="K13" s="50">
        <v>234.43</v>
      </c>
      <c r="L13" s="50">
        <v>23.98</v>
      </c>
      <c r="M13" s="50">
        <v>97.9</v>
      </c>
      <c r="N13" s="50">
        <v>0</v>
      </c>
      <c r="O13" s="50">
        <v>0</v>
      </c>
      <c r="P13" s="50">
        <v>1.1399999999999999</v>
      </c>
      <c r="Q13" s="50">
        <v>4.97</v>
      </c>
    </row>
    <row r="14" spans="1:21" customFormat="1">
      <c r="A14" s="49">
        <v>45398.25</v>
      </c>
      <c r="B14" s="30" t="s">
        <v>8</v>
      </c>
      <c r="C14" s="30" t="s">
        <v>8</v>
      </c>
      <c r="D14" s="30" t="s">
        <v>8</v>
      </c>
      <c r="E14" s="50">
        <v>13.02</v>
      </c>
      <c r="F14" s="50">
        <v>3</v>
      </c>
      <c r="G14" s="50">
        <v>64.05</v>
      </c>
      <c r="H14" s="50">
        <v>25.4</v>
      </c>
      <c r="I14" s="50">
        <v>16.13</v>
      </c>
      <c r="J14" s="50">
        <v>0.24</v>
      </c>
      <c r="K14" s="50">
        <v>234.69</v>
      </c>
      <c r="L14" s="50">
        <v>24.12</v>
      </c>
      <c r="M14" s="50">
        <v>96.18</v>
      </c>
      <c r="N14" s="50">
        <v>8.6999999999999993</v>
      </c>
      <c r="O14" s="50">
        <v>0</v>
      </c>
      <c r="P14" s="50">
        <v>1.0900000000000001</v>
      </c>
      <c r="Q14" s="50">
        <v>4.96</v>
      </c>
    </row>
    <row r="15" spans="1:21" customFormat="1">
      <c r="A15" s="49">
        <v>45398.291666666664</v>
      </c>
      <c r="B15" s="30" t="s">
        <v>8</v>
      </c>
      <c r="C15" s="30" t="s">
        <v>8</v>
      </c>
      <c r="D15" s="30" t="s">
        <v>8</v>
      </c>
      <c r="E15" s="50">
        <v>13.14</v>
      </c>
      <c r="F15" s="50">
        <v>3.05</v>
      </c>
      <c r="G15" s="50">
        <v>59.12</v>
      </c>
      <c r="H15" s="50">
        <v>25.07</v>
      </c>
      <c r="I15" s="50">
        <v>16.11</v>
      </c>
      <c r="J15" s="50">
        <v>0.18</v>
      </c>
      <c r="K15" s="50">
        <v>216.42</v>
      </c>
      <c r="L15" s="50">
        <v>25.56</v>
      </c>
      <c r="M15" s="50">
        <v>94.73</v>
      </c>
      <c r="N15" s="50">
        <v>58.1</v>
      </c>
      <c r="O15" s="50">
        <v>0</v>
      </c>
      <c r="P15" s="50">
        <v>1.03</v>
      </c>
      <c r="Q15" s="50">
        <v>4.99</v>
      </c>
    </row>
    <row r="16" spans="1:21" customFormat="1">
      <c r="A16" s="49">
        <v>45398.333333333336</v>
      </c>
      <c r="B16" s="30" t="s">
        <v>8</v>
      </c>
      <c r="C16" s="30" t="s">
        <v>8</v>
      </c>
      <c r="D16" s="30" t="s">
        <v>8</v>
      </c>
      <c r="E16" s="50">
        <v>13.27</v>
      </c>
      <c r="F16" s="50">
        <v>3.37</v>
      </c>
      <c r="G16" s="50">
        <v>55.05</v>
      </c>
      <c r="H16" s="50">
        <v>23.4</v>
      </c>
      <c r="I16" s="50">
        <v>15.62</v>
      </c>
      <c r="J16" s="50">
        <v>0.6</v>
      </c>
      <c r="K16" s="50">
        <v>266.88</v>
      </c>
      <c r="L16" s="50">
        <v>28.98</v>
      </c>
      <c r="M16" s="50">
        <v>85.63</v>
      </c>
      <c r="N16" s="50">
        <v>233.5</v>
      </c>
      <c r="O16" s="50">
        <v>0</v>
      </c>
      <c r="P16" s="50">
        <v>0.98</v>
      </c>
      <c r="Q16" s="50">
        <v>5</v>
      </c>
    </row>
    <row r="17" spans="1:17" customFormat="1">
      <c r="A17" s="49">
        <v>45398.375</v>
      </c>
      <c r="B17" s="30" t="s">
        <v>8</v>
      </c>
      <c r="C17" s="30" t="s">
        <v>8</v>
      </c>
      <c r="D17" s="30" t="s">
        <v>8</v>
      </c>
      <c r="E17" s="50">
        <v>13</v>
      </c>
      <c r="F17" s="50">
        <v>5.62</v>
      </c>
      <c r="G17" s="50">
        <v>53.58</v>
      </c>
      <c r="H17" s="50">
        <v>23.53</v>
      </c>
      <c r="I17" s="50">
        <v>14.86</v>
      </c>
      <c r="J17" s="50">
        <v>0.61</v>
      </c>
      <c r="K17" s="50">
        <v>269.77999999999997</v>
      </c>
      <c r="L17" s="50">
        <v>31.67</v>
      </c>
      <c r="M17" s="50">
        <v>67.02</v>
      </c>
      <c r="N17" s="50">
        <v>336.2</v>
      </c>
      <c r="O17" s="50">
        <v>0</v>
      </c>
      <c r="P17" s="50">
        <v>0.94</v>
      </c>
      <c r="Q17" s="50">
        <v>4.95</v>
      </c>
    </row>
    <row r="18" spans="1:17" customFormat="1">
      <c r="A18" s="49">
        <v>45398.416666666664</v>
      </c>
      <c r="B18" s="30" t="s">
        <v>8</v>
      </c>
      <c r="C18" s="30" t="s">
        <v>8</v>
      </c>
      <c r="D18" s="30" t="s">
        <v>8</v>
      </c>
      <c r="E18" s="50">
        <v>13.89</v>
      </c>
      <c r="F18" s="50">
        <v>6.73</v>
      </c>
      <c r="G18" s="50">
        <v>52.56</v>
      </c>
      <c r="H18" s="50">
        <v>25</v>
      </c>
      <c r="I18" s="50">
        <v>14.73</v>
      </c>
      <c r="J18" s="50">
        <v>0.42</v>
      </c>
      <c r="K18" s="50">
        <v>288.91000000000003</v>
      </c>
      <c r="L18" s="50">
        <v>34.51</v>
      </c>
      <c r="M18" s="50">
        <v>57.02</v>
      </c>
      <c r="N18" s="50">
        <v>621.9</v>
      </c>
      <c r="O18" s="50">
        <v>0</v>
      </c>
      <c r="P18" s="50">
        <v>0.89</v>
      </c>
      <c r="Q18" s="50">
        <v>4.96</v>
      </c>
    </row>
    <row r="19" spans="1:17" customFormat="1">
      <c r="A19" s="49">
        <v>45398.458333333336</v>
      </c>
      <c r="B19" s="30" t="s">
        <v>8</v>
      </c>
      <c r="C19" s="30" t="s">
        <v>8</v>
      </c>
      <c r="D19" s="30" t="s">
        <v>8</v>
      </c>
      <c r="E19" s="51" t="s">
        <v>8</v>
      </c>
      <c r="F19" s="50">
        <v>15.11</v>
      </c>
      <c r="G19" s="50">
        <v>53.62</v>
      </c>
      <c r="H19" s="50">
        <v>25</v>
      </c>
      <c r="I19" s="50">
        <v>13.77</v>
      </c>
      <c r="J19" s="50">
        <v>0.57999999999999996</v>
      </c>
      <c r="K19" s="50">
        <v>288.22000000000003</v>
      </c>
      <c r="L19" s="50">
        <v>35.6</v>
      </c>
      <c r="M19" s="50">
        <v>46.95</v>
      </c>
      <c r="N19" s="50">
        <v>726.7</v>
      </c>
      <c r="O19" s="50">
        <v>0</v>
      </c>
      <c r="P19" s="50">
        <v>0.82</v>
      </c>
      <c r="Q19" s="50">
        <v>4.95</v>
      </c>
    </row>
    <row r="20" spans="1:17" customFormat="1">
      <c r="A20" s="49">
        <v>45398.5</v>
      </c>
      <c r="B20" s="30" t="s">
        <v>8</v>
      </c>
      <c r="C20" s="30" t="s">
        <v>8</v>
      </c>
      <c r="D20" s="30" t="s">
        <v>8</v>
      </c>
      <c r="E20" s="51" t="s">
        <v>8</v>
      </c>
      <c r="F20" s="50">
        <v>31.52</v>
      </c>
      <c r="G20" s="50">
        <v>53.62</v>
      </c>
      <c r="H20" s="50">
        <v>23.59</v>
      </c>
      <c r="I20" s="50">
        <v>12.69</v>
      </c>
      <c r="J20" s="50">
        <v>0.45</v>
      </c>
      <c r="K20" s="50">
        <v>356.94</v>
      </c>
      <c r="L20" s="50">
        <v>37.200000000000003</v>
      </c>
      <c r="M20" s="50">
        <v>43.37</v>
      </c>
      <c r="N20" s="50">
        <v>784.9</v>
      </c>
      <c r="O20" s="50">
        <v>0</v>
      </c>
      <c r="P20" s="50">
        <v>0.76</v>
      </c>
      <c r="Q20" s="50">
        <v>4.92</v>
      </c>
    </row>
    <row r="21" spans="1:17" customFormat="1">
      <c r="A21" s="49">
        <v>45398.541666666664</v>
      </c>
      <c r="B21" s="50">
        <v>3.54</v>
      </c>
      <c r="C21" s="50">
        <v>1.99</v>
      </c>
      <c r="D21" s="50">
        <v>5.03</v>
      </c>
      <c r="E21" s="50">
        <v>46.7</v>
      </c>
      <c r="F21" s="50">
        <v>65.739999999999995</v>
      </c>
      <c r="G21" s="50">
        <v>53.37</v>
      </c>
      <c r="H21" s="50">
        <v>23.59</v>
      </c>
      <c r="I21" s="50">
        <v>10.94</v>
      </c>
      <c r="J21" s="50">
        <v>0.83</v>
      </c>
      <c r="K21" s="50">
        <v>309.33</v>
      </c>
      <c r="L21" s="50">
        <v>38.049999999999997</v>
      </c>
      <c r="M21" s="50">
        <v>36.6</v>
      </c>
      <c r="N21" s="50">
        <v>787.4</v>
      </c>
      <c r="O21" s="50">
        <v>0</v>
      </c>
      <c r="P21" s="50">
        <v>0.7</v>
      </c>
      <c r="Q21" s="50">
        <v>4.91</v>
      </c>
    </row>
    <row r="22" spans="1:17" customFormat="1">
      <c r="A22" s="49">
        <v>45398.583333333336</v>
      </c>
      <c r="B22" s="50">
        <v>3.58</v>
      </c>
      <c r="C22" s="50">
        <v>1.3</v>
      </c>
      <c r="D22" s="50">
        <v>4.9000000000000004</v>
      </c>
      <c r="E22" s="50">
        <v>58.86</v>
      </c>
      <c r="F22" s="50">
        <v>62.12</v>
      </c>
      <c r="G22" s="50">
        <v>59.32</v>
      </c>
      <c r="H22" s="50">
        <v>23.57</v>
      </c>
      <c r="I22" s="50">
        <v>7.7</v>
      </c>
      <c r="J22" s="50">
        <v>0.71</v>
      </c>
      <c r="K22" s="50">
        <v>334.23</v>
      </c>
      <c r="L22" s="50">
        <v>39.229999999999997</v>
      </c>
      <c r="M22" s="50">
        <v>30.25</v>
      </c>
      <c r="N22" s="50">
        <v>785.3</v>
      </c>
      <c r="O22" s="50">
        <v>0</v>
      </c>
      <c r="P22" s="50">
        <v>0.56999999999999995</v>
      </c>
      <c r="Q22" s="50">
        <v>4.92</v>
      </c>
    </row>
    <row r="23" spans="1:17" customFormat="1">
      <c r="A23" s="49">
        <v>45398.625</v>
      </c>
      <c r="B23" s="50">
        <v>3.44</v>
      </c>
      <c r="C23" s="50">
        <v>0.88</v>
      </c>
      <c r="D23" s="50">
        <v>4.5599999999999996</v>
      </c>
      <c r="E23" s="50">
        <v>26.73</v>
      </c>
      <c r="F23" s="50">
        <v>76.64</v>
      </c>
      <c r="G23" s="50">
        <v>59.32</v>
      </c>
      <c r="H23" s="50">
        <v>23.22</v>
      </c>
      <c r="I23" s="50">
        <v>5</v>
      </c>
      <c r="J23" s="50">
        <v>0.62</v>
      </c>
      <c r="K23" s="50">
        <v>298.72000000000003</v>
      </c>
      <c r="L23" s="50">
        <v>39.18</v>
      </c>
      <c r="M23" s="50">
        <v>27.83</v>
      </c>
      <c r="N23" s="50">
        <v>714.5</v>
      </c>
      <c r="O23" s="50">
        <v>0</v>
      </c>
      <c r="P23" s="50">
        <v>0.45</v>
      </c>
      <c r="Q23" s="50">
        <v>4.91</v>
      </c>
    </row>
    <row r="24" spans="1:17" customFormat="1">
      <c r="A24" s="49">
        <v>45398.666666666664</v>
      </c>
      <c r="B24" s="50">
        <v>3.52</v>
      </c>
      <c r="C24" s="50">
        <v>1.41</v>
      </c>
      <c r="D24" s="50">
        <v>4.91</v>
      </c>
      <c r="E24" s="50">
        <v>29.95</v>
      </c>
      <c r="F24" s="50">
        <v>69.790000000000006</v>
      </c>
      <c r="G24" s="50">
        <v>54.24</v>
      </c>
      <c r="H24" s="50">
        <v>17.97</v>
      </c>
      <c r="I24" s="50">
        <v>3.74</v>
      </c>
      <c r="J24" s="50">
        <v>0.65</v>
      </c>
      <c r="K24" s="50">
        <v>154.91</v>
      </c>
      <c r="L24" s="50">
        <v>38.06</v>
      </c>
      <c r="M24" s="50">
        <v>37.9</v>
      </c>
      <c r="N24" s="50">
        <v>218.1</v>
      </c>
      <c r="O24" s="50">
        <v>0</v>
      </c>
      <c r="P24" s="50">
        <v>0.55000000000000004</v>
      </c>
      <c r="Q24" s="50">
        <v>4.93</v>
      </c>
    </row>
    <row r="25" spans="1:17" customFormat="1">
      <c r="A25" s="49">
        <v>45398.708333333336</v>
      </c>
      <c r="B25" s="50">
        <v>3.44</v>
      </c>
      <c r="C25" s="50">
        <v>0.96</v>
      </c>
      <c r="D25" s="50">
        <v>4.59</v>
      </c>
      <c r="E25" s="50">
        <v>18.48</v>
      </c>
      <c r="F25" s="50">
        <v>37.520000000000003</v>
      </c>
      <c r="G25" s="50">
        <v>50.77</v>
      </c>
      <c r="H25" s="50">
        <v>21.41</v>
      </c>
      <c r="I25" s="50">
        <v>4</v>
      </c>
      <c r="J25" s="50">
        <v>0.3</v>
      </c>
      <c r="K25" s="50">
        <v>169.59</v>
      </c>
      <c r="L25" s="50">
        <v>36.35</v>
      </c>
      <c r="M25" s="50">
        <v>46.96</v>
      </c>
      <c r="N25" s="50">
        <v>109.5</v>
      </c>
      <c r="O25" s="50">
        <v>0</v>
      </c>
      <c r="P25" s="50">
        <v>0.49</v>
      </c>
      <c r="Q25" s="50">
        <v>4.91</v>
      </c>
    </row>
    <row r="26" spans="1:17" customFormat="1">
      <c r="A26" s="49">
        <v>45398.75</v>
      </c>
      <c r="B26" s="50">
        <v>3.53</v>
      </c>
      <c r="C26" s="50">
        <v>1.26</v>
      </c>
      <c r="D26" s="50">
        <v>4.84</v>
      </c>
      <c r="E26" s="50">
        <v>19.23</v>
      </c>
      <c r="F26" s="50">
        <v>35.79</v>
      </c>
      <c r="G26" s="50">
        <v>50.6</v>
      </c>
      <c r="H26" s="50">
        <v>22.32</v>
      </c>
      <c r="I26" s="50">
        <v>5.61</v>
      </c>
      <c r="J26" s="50">
        <v>0.24</v>
      </c>
      <c r="K26" s="50">
        <v>167.71</v>
      </c>
      <c r="L26" s="50">
        <v>34.44</v>
      </c>
      <c r="M26" s="50">
        <v>49.51</v>
      </c>
      <c r="N26" s="50">
        <v>51</v>
      </c>
      <c r="O26" s="50">
        <v>0</v>
      </c>
      <c r="P26" s="50">
        <v>0.73</v>
      </c>
      <c r="Q26" s="50">
        <v>4.9000000000000004</v>
      </c>
    </row>
    <row r="27" spans="1:17" customFormat="1">
      <c r="A27" s="49">
        <v>45398.791666666664</v>
      </c>
      <c r="B27" s="50">
        <v>3.79</v>
      </c>
      <c r="C27" s="50">
        <v>2</v>
      </c>
      <c r="D27" s="50">
        <v>5.38</v>
      </c>
      <c r="E27" s="50">
        <v>11.72</v>
      </c>
      <c r="F27" s="50">
        <v>12.94</v>
      </c>
      <c r="G27" s="50">
        <v>65.09</v>
      </c>
      <c r="H27" s="50">
        <v>22.83</v>
      </c>
      <c r="I27" s="50">
        <v>8.4</v>
      </c>
      <c r="J27" s="50">
        <v>2.58</v>
      </c>
      <c r="K27" s="50">
        <v>158.44999999999999</v>
      </c>
      <c r="L27" s="50">
        <v>33.22</v>
      </c>
      <c r="M27" s="50">
        <v>56.77</v>
      </c>
      <c r="N27" s="50">
        <v>1.5</v>
      </c>
      <c r="O27" s="50">
        <v>0</v>
      </c>
      <c r="P27" s="50">
        <v>0.87</v>
      </c>
      <c r="Q27" s="50">
        <v>4.91</v>
      </c>
    </row>
    <row r="28" spans="1:17" customFormat="1">
      <c r="A28" s="49">
        <v>45398.833333333336</v>
      </c>
      <c r="B28" s="50">
        <v>3.71</v>
      </c>
      <c r="C28" s="50">
        <v>1.64</v>
      </c>
      <c r="D28" s="50">
        <v>5.18</v>
      </c>
      <c r="E28" s="50">
        <v>9.26</v>
      </c>
      <c r="F28" s="50">
        <v>8.9600000000000009</v>
      </c>
      <c r="G28" s="50">
        <v>82.41</v>
      </c>
      <c r="H28" s="50">
        <v>22.83</v>
      </c>
      <c r="I28" s="50">
        <v>8.18</v>
      </c>
      <c r="J28" s="50">
        <v>1.18</v>
      </c>
      <c r="K28" s="50">
        <v>351.72</v>
      </c>
      <c r="L28" s="50">
        <v>30.48</v>
      </c>
      <c r="M28" s="50">
        <v>53.29</v>
      </c>
      <c r="N28" s="50">
        <v>0</v>
      </c>
      <c r="O28" s="50">
        <v>0</v>
      </c>
      <c r="P28" s="50">
        <v>0.67</v>
      </c>
      <c r="Q28" s="50">
        <v>4.92</v>
      </c>
    </row>
    <row r="29" spans="1:17" customFormat="1">
      <c r="A29" s="49">
        <v>45398.875</v>
      </c>
      <c r="B29" s="50">
        <v>3.74</v>
      </c>
      <c r="C29" s="50">
        <v>1.46</v>
      </c>
      <c r="D29" s="50">
        <v>5.1100000000000003</v>
      </c>
      <c r="E29" s="50">
        <v>8.76</v>
      </c>
      <c r="F29" s="50">
        <v>4.84</v>
      </c>
      <c r="G29" s="50">
        <v>82.41</v>
      </c>
      <c r="H29" s="50">
        <v>20.190000000000001</v>
      </c>
      <c r="I29" s="50">
        <v>6.96</v>
      </c>
      <c r="J29" s="50">
        <v>0.32</v>
      </c>
      <c r="K29" s="50">
        <v>198.65</v>
      </c>
      <c r="L29" s="50">
        <v>29.52</v>
      </c>
      <c r="M29" s="50">
        <v>68.64</v>
      </c>
      <c r="N29" s="50">
        <v>0</v>
      </c>
      <c r="O29" s="50">
        <v>0</v>
      </c>
      <c r="P29" s="50">
        <v>0.67</v>
      </c>
      <c r="Q29" s="50">
        <v>4.92</v>
      </c>
    </row>
    <row r="30" spans="1:17" customFormat="1">
      <c r="A30" s="49">
        <v>45398.916666666664</v>
      </c>
      <c r="B30" s="50">
        <v>3.79</v>
      </c>
      <c r="C30" s="50">
        <v>1.36</v>
      </c>
      <c r="D30" s="50">
        <v>5.0999999999999996</v>
      </c>
      <c r="E30" s="50">
        <v>8.8000000000000007</v>
      </c>
      <c r="F30" s="50">
        <v>5.79</v>
      </c>
      <c r="G30" s="50">
        <v>79.989999999999995</v>
      </c>
      <c r="H30" s="50">
        <v>20.03</v>
      </c>
      <c r="I30" s="50">
        <v>6.82</v>
      </c>
      <c r="J30" s="50">
        <v>0.21</v>
      </c>
      <c r="K30" s="50">
        <v>232.26</v>
      </c>
      <c r="L30" s="50">
        <v>27.74</v>
      </c>
      <c r="M30" s="50">
        <v>75.87</v>
      </c>
      <c r="N30" s="50">
        <v>0</v>
      </c>
      <c r="O30" s="50">
        <v>0</v>
      </c>
      <c r="P30" s="50">
        <v>0.64</v>
      </c>
      <c r="Q30" s="50">
        <v>4.93</v>
      </c>
    </row>
    <row r="31" spans="1:17" customFormat="1">
      <c r="A31" s="49">
        <v>45398.958333333336</v>
      </c>
      <c r="B31" s="50">
        <v>3.83</v>
      </c>
      <c r="C31" s="50">
        <v>1.1100000000000001</v>
      </c>
      <c r="D31" s="50">
        <v>5</v>
      </c>
      <c r="E31" s="50">
        <v>8.43</v>
      </c>
      <c r="F31" s="50">
        <v>3.5</v>
      </c>
      <c r="G31" s="50">
        <v>73.92</v>
      </c>
      <c r="H31" s="50">
        <v>20.03</v>
      </c>
      <c r="I31" s="50">
        <v>6.99</v>
      </c>
      <c r="J31" s="50">
        <v>0.19</v>
      </c>
      <c r="K31" s="50">
        <v>205.82</v>
      </c>
      <c r="L31" s="50">
        <v>27.44</v>
      </c>
      <c r="M31" s="50">
        <v>77.17</v>
      </c>
      <c r="N31" s="50">
        <v>0</v>
      </c>
      <c r="O31" s="50">
        <v>0</v>
      </c>
      <c r="P31" s="50">
        <v>0.66</v>
      </c>
      <c r="Q31" s="50">
        <v>4.93</v>
      </c>
    </row>
    <row r="32" spans="1:17" customFormat="1">
      <c r="A32" s="49">
        <v>45399</v>
      </c>
      <c r="B32" s="50">
        <v>4.63</v>
      </c>
      <c r="C32" s="50">
        <v>2.5299999999999998</v>
      </c>
      <c r="D32" s="50">
        <v>6.39</v>
      </c>
      <c r="E32" s="50">
        <v>9.3000000000000007</v>
      </c>
      <c r="F32" s="50">
        <v>3.43</v>
      </c>
      <c r="G32" s="50">
        <v>71.59</v>
      </c>
      <c r="H32" s="50">
        <v>19.05</v>
      </c>
      <c r="I32" s="50">
        <v>7.43</v>
      </c>
      <c r="J32" s="50">
        <v>0.19</v>
      </c>
      <c r="K32" s="50">
        <v>168.35</v>
      </c>
      <c r="L32" s="50">
        <v>27.2</v>
      </c>
      <c r="M32" s="50">
        <v>80.7</v>
      </c>
      <c r="N32" s="50">
        <v>0</v>
      </c>
      <c r="O32" s="50">
        <v>0</v>
      </c>
      <c r="P32" s="50">
        <v>0.67</v>
      </c>
      <c r="Q32" s="50">
        <v>4.93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3.44</v>
      </c>
      <c r="C34" s="40">
        <f t="shared" si="0"/>
        <v>0.88</v>
      </c>
      <c r="D34" s="40">
        <f t="shared" si="0"/>
        <v>4.5599999999999996</v>
      </c>
      <c r="E34" s="40">
        <f t="shared" si="0"/>
        <v>8.43</v>
      </c>
      <c r="F34" s="40">
        <f t="shared" si="0"/>
        <v>2.97</v>
      </c>
      <c r="G34" s="40">
        <f t="shared" si="0"/>
        <v>50.6</v>
      </c>
      <c r="H34" s="40">
        <f t="shared" si="0"/>
        <v>17.97</v>
      </c>
      <c r="I34" s="40">
        <f t="shared" si="0"/>
        <v>3.74</v>
      </c>
      <c r="J34" s="40">
        <f t="shared" si="0"/>
        <v>0.18</v>
      </c>
      <c r="K34" s="40">
        <f t="shared" si="0"/>
        <v>154.91</v>
      </c>
      <c r="L34" s="40">
        <f t="shared" si="0"/>
        <v>23.98</v>
      </c>
      <c r="M34" s="40">
        <f t="shared" si="0"/>
        <v>27.83</v>
      </c>
      <c r="N34" s="40">
        <f t="shared" si="0"/>
        <v>0</v>
      </c>
      <c r="O34" s="40">
        <f t="shared" si="0"/>
        <v>0</v>
      </c>
      <c r="P34" s="40">
        <f t="shared" si="0"/>
        <v>0.45</v>
      </c>
      <c r="Q34" s="40">
        <f t="shared" si="0"/>
        <v>4.9000000000000004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29.03</v>
      </c>
      <c r="C35" s="33">
        <f t="shared" si="1"/>
        <v>23.3</v>
      </c>
      <c r="D35" s="33">
        <f t="shared" si="1"/>
        <v>36.81</v>
      </c>
      <c r="E35" s="33">
        <f t="shared" si="1"/>
        <v>58.86</v>
      </c>
      <c r="F35" s="33">
        <f t="shared" si="1"/>
        <v>76.64</v>
      </c>
      <c r="G35" s="33">
        <f t="shared" si="1"/>
        <v>117.28</v>
      </c>
      <c r="H35" s="33">
        <f t="shared" si="1"/>
        <v>38.18</v>
      </c>
      <c r="I35" s="33">
        <f t="shared" si="1"/>
        <v>16.13</v>
      </c>
      <c r="J35" s="33">
        <f t="shared" si="1"/>
        <v>2.58</v>
      </c>
      <c r="K35" s="33">
        <f t="shared" si="1"/>
        <v>356.94</v>
      </c>
      <c r="L35" s="33">
        <f t="shared" si="1"/>
        <v>39.229999999999997</v>
      </c>
      <c r="M35" s="33">
        <f t="shared" si="1"/>
        <v>106.86</v>
      </c>
      <c r="N35" s="33">
        <f t="shared" si="1"/>
        <v>787.4</v>
      </c>
      <c r="O35" s="33">
        <f t="shared" si="1"/>
        <v>0</v>
      </c>
      <c r="P35" s="33">
        <f t="shared" si="1"/>
        <v>1.27</v>
      </c>
      <c r="Q35" s="33">
        <f t="shared" si="1"/>
        <v>5.0599999999999996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6.355714285714285</v>
      </c>
      <c r="C36" s="40">
        <f t="shared" si="2"/>
        <v>3.9635714285714285</v>
      </c>
      <c r="D36" s="40">
        <f t="shared" si="2"/>
        <v>8.4978571428571428</v>
      </c>
      <c r="E36" s="40">
        <f t="shared" si="2"/>
        <v>17.362272727272732</v>
      </c>
      <c r="F36" s="40">
        <f t="shared" si="2"/>
        <v>19.612083333333334</v>
      </c>
      <c r="G36" s="40">
        <f t="shared" si="2"/>
        <v>69.255416666666662</v>
      </c>
      <c r="H36" s="40">
        <f t="shared" si="2"/>
        <v>24.933333333333326</v>
      </c>
      <c r="I36" s="40">
        <f t="shared" si="2"/>
        <v>10.736666666666666</v>
      </c>
      <c r="J36" s="40">
        <f t="shared" si="2"/>
        <v>0.50791666666666668</v>
      </c>
      <c r="K36" s="40">
        <f t="shared" si="2"/>
        <v>243.03416666666669</v>
      </c>
      <c r="L36" s="40">
        <f t="shared" si="2"/>
        <v>30.877083333333342</v>
      </c>
      <c r="M36" s="40">
        <f t="shared" si="2"/>
        <v>67.970833333333331</v>
      </c>
      <c r="N36" s="40">
        <f t="shared" si="2"/>
        <v>226.55416666666667</v>
      </c>
      <c r="O36" s="40">
        <f t="shared" si="2"/>
        <v>0</v>
      </c>
      <c r="P36" s="40">
        <f t="shared" si="2"/>
        <v>0.84500000000000031</v>
      </c>
      <c r="Q36" s="40">
        <f t="shared" si="2"/>
        <v>4.9470833333333344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7.238411124300387</v>
      </c>
      <c r="C37" s="40">
        <f t="shared" ref="C37:Q37" si="3">STDEV(C9:C32)</f>
        <v>6.5420599051214605</v>
      </c>
      <c r="D37" s="40">
        <f t="shared" si="3"/>
        <v>9.2178432139239366</v>
      </c>
      <c r="E37" s="40">
        <f t="shared" si="3"/>
        <v>12.853198576088506</v>
      </c>
      <c r="F37" s="40">
        <f t="shared" si="3"/>
        <v>24.747321678388207</v>
      </c>
      <c r="G37" s="40">
        <f t="shared" si="3"/>
        <v>19.582967084148432</v>
      </c>
      <c r="H37" s="40">
        <f t="shared" si="3"/>
        <v>5.4543414432642949</v>
      </c>
      <c r="I37" s="40">
        <f t="shared" si="3"/>
        <v>4.3233890356551496</v>
      </c>
      <c r="J37" s="40">
        <f t="shared" si="3"/>
        <v>0.51080481396617083</v>
      </c>
      <c r="K37" s="40">
        <f t="shared" si="3"/>
        <v>60.301652866283696</v>
      </c>
      <c r="L37" s="40">
        <f t="shared" si="3"/>
        <v>5.4568237928117727</v>
      </c>
      <c r="M37" s="40">
        <f t="shared" si="3"/>
        <v>25.089775141811586</v>
      </c>
      <c r="N37" s="40">
        <f t="shared" si="3"/>
        <v>314.81172700543561</v>
      </c>
      <c r="O37" s="40">
        <f t="shared" si="3"/>
        <v>0</v>
      </c>
      <c r="P37" s="40">
        <f t="shared" si="3"/>
        <v>0.25486569353118116</v>
      </c>
      <c r="Q37" s="40">
        <f t="shared" si="3"/>
        <v>3.8615064267793126E-2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14</v>
      </c>
      <c r="C38" s="45">
        <f t="shared" si="4"/>
        <v>14</v>
      </c>
      <c r="D38" s="45">
        <f t="shared" si="4"/>
        <v>14</v>
      </c>
      <c r="E38" s="45">
        <f t="shared" si="4"/>
        <v>22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45399.041666666664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45399.041666666664</v>
      </c>
      <c r="B9" s="50">
        <v>3.85</v>
      </c>
      <c r="C9" s="50">
        <v>1.19</v>
      </c>
      <c r="D9" s="50">
        <v>4.96</v>
      </c>
      <c r="E9" s="50">
        <v>9.7200000000000006</v>
      </c>
      <c r="F9" s="50">
        <v>4.1900000000000004</v>
      </c>
      <c r="G9" s="50">
        <v>71.59</v>
      </c>
      <c r="H9" s="50">
        <v>20.99</v>
      </c>
      <c r="I9" s="50">
        <v>7.9</v>
      </c>
      <c r="J9" s="50">
        <v>0.21</v>
      </c>
      <c r="K9" s="50">
        <v>356.9</v>
      </c>
      <c r="L9" s="50">
        <v>27.25</v>
      </c>
      <c r="M9" s="50">
        <v>82.1</v>
      </c>
      <c r="N9" s="50">
        <v>0</v>
      </c>
      <c r="O9" s="50">
        <v>0</v>
      </c>
      <c r="P9" s="50">
        <v>0.72</v>
      </c>
      <c r="Q9" s="50">
        <v>4.93</v>
      </c>
    </row>
    <row r="10" spans="1:21" customFormat="1">
      <c r="A10" s="49">
        <v>45399.083333333336</v>
      </c>
      <c r="B10" s="50">
        <v>4.4800000000000004</v>
      </c>
      <c r="C10" s="50">
        <v>1.61</v>
      </c>
      <c r="D10" s="50">
        <v>5.79</v>
      </c>
      <c r="E10" s="50">
        <v>9.82</v>
      </c>
      <c r="F10" s="50">
        <v>2.99</v>
      </c>
      <c r="G10" s="50">
        <v>84.74</v>
      </c>
      <c r="H10" s="50">
        <v>27.41</v>
      </c>
      <c r="I10" s="50">
        <v>8.81</v>
      </c>
      <c r="J10" s="50">
        <v>0.21</v>
      </c>
      <c r="K10" s="50">
        <v>193.86</v>
      </c>
      <c r="L10" s="50">
        <v>26.49</v>
      </c>
      <c r="M10" s="50">
        <v>86.68</v>
      </c>
      <c r="N10" s="50">
        <v>0</v>
      </c>
      <c r="O10" s="50">
        <v>0</v>
      </c>
      <c r="P10" s="50">
        <v>0.82</v>
      </c>
      <c r="Q10" s="50">
        <v>4.93</v>
      </c>
    </row>
    <row r="11" spans="1:21" customFormat="1">
      <c r="A11" s="49">
        <v>45399.125</v>
      </c>
      <c r="B11" s="50">
        <v>4.78</v>
      </c>
      <c r="C11" s="50">
        <v>1.97</v>
      </c>
      <c r="D11" s="50">
        <v>6.21</v>
      </c>
      <c r="E11" s="50">
        <v>9.32</v>
      </c>
      <c r="F11" s="50">
        <v>3.64</v>
      </c>
      <c r="G11" s="50">
        <v>98.76</v>
      </c>
      <c r="H11" s="50">
        <v>31.68</v>
      </c>
      <c r="I11" s="50">
        <v>9.64</v>
      </c>
      <c r="J11" s="50">
        <v>0.14000000000000001</v>
      </c>
      <c r="K11" s="50">
        <v>208.9</v>
      </c>
      <c r="L11" s="50">
        <v>25.32</v>
      </c>
      <c r="M11" s="50">
        <v>89.8</v>
      </c>
      <c r="N11" s="50">
        <v>0</v>
      </c>
      <c r="O11" s="50">
        <v>0</v>
      </c>
      <c r="P11" s="50">
        <v>0.89</v>
      </c>
      <c r="Q11" s="50">
        <v>4.9800000000000004</v>
      </c>
    </row>
    <row r="12" spans="1:21" customFormat="1">
      <c r="A12" s="49">
        <v>45399.166666666664</v>
      </c>
      <c r="B12" s="50">
        <v>6.3</v>
      </c>
      <c r="C12" s="50">
        <v>2.64</v>
      </c>
      <c r="D12" s="50">
        <v>7.78</v>
      </c>
      <c r="E12" s="50">
        <v>9.7200000000000006</v>
      </c>
      <c r="F12" s="50">
        <v>3.01</v>
      </c>
      <c r="G12" s="50">
        <v>98.76</v>
      </c>
      <c r="H12" s="50">
        <v>32.78</v>
      </c>
      <c r="I12" s="50">
        <v>10.26</v>
      </c>
      <c r="J12" s="50">
        <v>0.21</v>
      </c>
      <c r="K12" s="50">
        <v>181.05</v>
      </c>
      <c r="L12" s="50">
        <v>25.15</v>
      </c>
      <c r="M12" s="50">
        <v>90.8</v>
      </c>
      <c r="N12" s="50">
        <v>0</v>
      </c>
      <c r="O12" s="50">
        <v>0</v>
      </c>
      <c r="P12" s="50">
        <v>0.93</v>
      </c>
      <c r="Q12" s="50">
        <v>4.96</v>
      </c>
    </row>
    <row r="13" spans="1:21" customFormat="1">
      <c r="A13" s="49">
        <v>45399.208333333336</v>
      </c>
      <c r="B13" s="50">
        <v>5.75</v>
      </c>
      <c r="C13" s="50">
        <v>2.44</v>
      </c>
      <c r="D13" s="50">
        <v>7.24</v>
      </c>
      <c r="E13" s="50">
        <v>9.9499999999999993</v>
      </c>
      <c r="F13" s="50">
        <v>3.01</v>
      </c>
      <c r="G13" s="50">
        <v>95.25</v>
      </c>
      <c r="H13" s="50">
        <v>32.78</v>
      </c>
      <c r="I13" s="50">
        <v>10.4</v>
      </c>
      <c r="J13" s="50">
        <v>0.21</v>
      </c>
      <c r="K13" s="50">
        <v>218.87</v>
      </c>
      <c r="L13" s="50">
        <v>24.46</v>
      </c>
      <c r="M13" s="50">
        <v>92.84</v>
      </c>
      <c r="N13" s="50">
        <v>0</v>
      </c>
      <c r="O13" s="50">
        <v>0</v>
      </c>
      <c r="P13" s="50">
        <v>0.93</v>
      </c>
      <c r="Q13" s="50">
        <v>4.9800000000000004</v>
      </c>
    </row>
    <row r="14" spans="1:21" customFormat="1">
      <c r="A14" s="49">
        <v>45399.25</v>
      </c>
      <c r="B14" s="50">
        <v>4.24</v>
      </c>
      <c r="C14" s="50">
        <v>0.98</v>
      </c>
      <c r="D14" s="50">
        <v>5.27</v>
      </c>
      <c r="E14" s="50">
        <v>10.16</v>
      </c>
      <c r="F14" s="50">
        <v>3</v>
      </c>
      <c r="G14" s="50">
        <v>95.25</v>
      </c>
      <c r="H14" s="50">
        <v>30.17</v>
      </c>
      <c r="I14" s="50">
        <v>10.47</v>
      </c>
      <c r="J14" s="50">
        <v>0.22</v>
      </c>
      <c r="K14" s="50">
        <v>190.4</v>
      </c>
      <c r="L14" s="50">
        <v>24.57</v>
      </c>
      <c r="M14" s="50">
        <v>92.26</v>
      </c>
      <c r="N14" s="50">
        <v>8.1</v>
      </c>
      <c r="O14" s="50">
        <v>0</v>
      </c>
      <c r="P14" s="50">
        <v>0.91</v>
      </c>
      <c r="Q14" s="50">
        <v>4.95</v>
      </c>
    </row>
    <row r="15" spans="1:21" customFormat="1">
      <c r="A15" s="49">
        <v>45399.291666666664</v>
      </c>
      <c r="B15" s="50">
        <v>6.75</v>
      </c>
      <c r="C15" s="50">
        <v>2.88</v>
      </c>
      <c r="D15" s="50">
        <v>8.27</v>
      </c>
      <c r="E15" s="50">
        <v>9.82</v>
      </c>
      <c r="F15" s="50">
        <v>3.05</v>
      </c>
      <c r="G15" s="50">
        <v>87.37</v>
      </c>
      <c r="H15" s="50">
        <v>30.17</v>
      </c>
      <c r="I15" s="50">
        <v>10.76</v>
      </c>
      <c r="J15" s="50">
        <v>0.19</v>
      </c>
      <c r="K15" s="50">
        <v>183.94</v>
      </c>
      <c r="L15" s="50">
        <v>26.6</v>
      </c>
      <c r="M15" s="50">
        <v>87.84</v>
      </c>
      <c r="N15" s="50">
        <v>50.1</v>
      </c>
      <c r="O15" s="50">
        <v>0</v>
      </c>
      <c r="P15" s="50">
        <v>0.87</v>
      </c>
      <c r="Q15" s="50">
        <v>4.97</v>
      </c>
    </row>
    <row r="16" spans="1:21" customFormat="1">
      <c r="A16" s="49">
        <v>45399.333333333336</v>
      </c>
      <c r="B16" s="50">
        <v>6.68</v>
      </c>
      <c r="C16" s="50">
        <v>3.24</v>
      </c>
      <c r="D16" s="50">
        <v>8.4</v>
      </c>
      <c r="E16" s="50">
        <v>11.03</v>
      </c>
      <c r="F16" s="50">
        <v>10.51</v>
      </c>
      <c r="G16" s="50">
        <v>84.1</v>
      </c>
      <c r="H16" s="50">
        <v>32.49</v>
      </c>
      <c r="I16" s="50">
        <v>11.03</v>
      </c>
      <c r="J16" s="50">
        <v>0.36</v>
      </c>
      <c r="K16" s="50">
        <v>208.68</v>
      </c>
      <c r="L16" s="50">
        <v>30.48</v>
      </c>
      <c r="M16" s="50">
        <v>76.34</v>
      </c>
      <c r="N16" s="50">
        <v>219.8</v>
      </c>
      <c r="O16" s="50">
        <v>0</v>
      </c>
      <c r="P16" s="50">
        <v>0.85</v>
      </c>
      <c r="Q16" s="50">
        <v>4.95</v>
      </c>
    </row>
    <row r="17" spans="1:17" customFormat="1">
      <c r="A17" s="49">
        <v>45399.375</v>
      </c>
      <c r="B17" s="50">
        <v>7.08</v>
      </c>
      <c r="C17" s="50">
        <v>6.46</v>
      </c>
      <c r="D17" s="50">
        <v>10.4</v>
      </c>
      <c r="E17" s="50">
        <v>15</v>
      </c>
      <c r="F17" s="50">
        <v>19.28</v>
      </c>
      <c r="G17" s="50">
        <v>78.94</v>
      </c>
      <c r="H17" s="50">
        <v>32.49</v>
      </c>
      <c r="I17" s="50">
        <v>11.03</v>
      </c>
      <c r="J17" s="50">
        <v>0.44</v>
      </c>
      <c r="K17" s="50">
        <v>289.44</v>
      </c>
      <c r="L17" s="50">
        <v>32.380000000000003</v>
      </c>
      <c r="M17" s="50">
        <v>64.209999999999994</v>
      </c>
      <c r="N17" s="50">
        <v>364.7</v>
      </c>
      <c r="O17" s="50">
        <v>0</v>
      </c>
      <c r="P17" s="50">
        <v>0.85</v>
      </c>
      <c r="Q17" s="50">
        <v>4.93</v>
      </c>
    </row>
    <row r="18" spans="1:17" customFormat="1">
      <c r="A18" s="49">
        <v>45399.416666666664</v>
      </c>
      <c r="B18" s="50">
        <v>4.0599999999999996</v>
      </c>
      <c r="C18" s="50">
        <v>1.87</v>
      </c>
      <c r="D18" s="50">
        <v>5.58</v>
      </c>
      <c r="E18" s="50">
        <v>44.02</v>
      </c>
      <c r="F18" s="50">
        <v>28.1</v>
      </c>
      <c r="G18" s="50">
        <v>78.94</v>
      </c>
      <c r="H18" s="50">
        <v>27.65</v>
      </c>
      <c r="I18" s="50">
        <v>11.72</v>
      </c>
      <c r="J18" s="50">
        <v>0.51</v>
      </c>
      <c r="K18" s="50">
        <v>328.54</v>
      </c>
      <c r="L18" s="50">
        <v>35.200000000000003</v>
      </c>
      <c r="M18" s="50">
        <v>47.59</v>
      </c>
      <c r="N18" s="50">
        <v>616.29999999999995</v>
      </c>
      <c r="O18" s="50">
        <v>0</v>
      </c>
      <c r="P18" s="50">
        <v>0.82</v>
      </c>
      <c r="Q18" s="50">
        <v>4.91</v>
      </c>
    </row>
    <row r="19" spans="1:17" customFormat="1">
      <c r="A19" s="49">
        <v>45399.458333333336</v>
      </c>
      <c r="B19" s="50">
        <v>3.18</v>
      </c>
      <c r="C19" s="50">
        <v>0.44</v>
      </c>
      <c r="D19" s="50">
        <v>4.13</v>
      </c>
      <c r="E19" s="50">
        <v>63.17</v>
      </c>
      <c r="F19" s="50">
        <v>40.9</v>
      </c>
      <c r="G19" s="50">
        <v>75.05</v>
      </c>
      <c r="H19" s="50">
        <v>30.95</v>
      </c>
      <c r="I19" s="50">
        <v>11.71</v>
      </c>
      <c r="J19" s="50">
        <v>0.97</v>
      </c>
      <c r="K19" s="50">
        <v>62.03</v>
      </c>
      <c r="L19" s="50">
        <v>36.590000000000003</v>
      </c>
      <c r="M19" s="50">
        <v>37.25</v>
      </c>
      <c r="N19" s="50">
        <v>690</v>
      </c>
      <c r="O19" s="50">
        <v>0</v>
      </c>
      <c r="P19" s="50">
        <v>0.88</v>
      </c>
      <c r="Q19" s="50">
        <v>4.91</v>
      </c>
    </row>
    <row r="20" spans="1:17" customFormat="1">
      <c r="A20" s="49">
        <v>45399.5</v>
      </c>
      <c r="B20" s="50">
        <v>3.26</v>
      </c>
      <c r="C20" s="50">
        <v>0.89</v>
      </c>
      <c r="D20" s="50">
        <v>4.43</v>
      </c>
      <c r="E20" s="50">
        <v>44.27</v>
      </c>
      <c r="F20" s="50">
        <v>44.5</v>
      </c>
      <c r="G20" s="50">
        <v>93.75</v>
      </c>
      <c r="H20" s="50">
        <v>34.04</v>
      </c>
      <c r="I20" s="50">
        <v>11.53</v>
      </c>
      <c r="J20" s="50">
        <v>1.26</v>
      </c>
      <c r="K20" s="50">
        <v>327.8</v>
      </c>
      <c r="L20" s="50">
        <v>38.06</v>
      </c>
      <c r="M20" s="50">
        <v>32.29</v>
      </c>
      <c r="N20" s="50">
        <v>879.6</v>
      </c>
      <c r="O20" s="50">
        <v>0</v>
      </c>
      <c r="P20" s="50">
        <v>0.8</v>
      </c>
      <c r="Q20" s="50">
        <v>4.91</v>
      </c>
    </row>
    <row r="21" spans="1:17" customFormat="1">
      <c r="A21" s="49">
        <v>45399.541666666664</v>
      </c>
      <c r="B21" s="50">
        <v>3.19</v>
      </c>
      <c r="C21" s="50">
        <v>0.55000000000000004</v>
      </c>
      <c r="D21" s="50">
        <v>4.1900000000000004</v>
      </c>
      <c r="E21" s="50">
        <v>20.23</v>
      </c>
      <c r="F21" s="50">
        <v>30.77</v>
      </c>
      <c r="G21" s="50">
        <v>93.75</v>
      </c>
      <c r="H21" s="50">
        <v>34.04</v>
      </c>
      <c r="I21" s="50">
        <v>9.2899999999999991</v>
      </c>
      <c r="J21" s="50">
        <v>0.56000000000000005</v>
      </c>
      <c r="K21" s="50">
        <v>273.04000000000002</v>
      </c>
      <c r="L21" s="50">
        <v>39.49</v>
      </c>
      <c r="M21" s="50">
        <v>28.3</v>
      </c>
      <c r="N21" s="50">
        <v>864</v>
      </c>
      <c r="O21" s="50">
        <v>0</v>
      </c>
      <c r="P21" s="50">
        <v>0.7</v>
      </c>
      <c r="Q21" s="50">
        <v>4.9000000000000004</v>
      </c>
    </row>
    <row r="22" spans="1:17" customFormat="1">
      <c r="A22" s="49">
        <v>45399.583333333336</v>
      </c>
      <c r="B22" s="50">
        <v>3.26</v>
      </c>
      <c r="C22" s="50">
        <v>1.04</v>
      </c>
      <c r="D22" s="50">
        <v>4.51</v>
      </c>
      <c r="E22" s="50">
        <v>34.71</v>
      </c>
      <c r="F22" s="50">
        <v>42.22</v>
      </c>
      <c r="G22" s="50">
        <v>71.42</v>
      </c>
      <c r="H22" s="50">
        <v>27.22</v>
      </c>
      <c r="I22" s="50">
        <v>9.42</v>
      </c>
      <c r="J22" s="50">
        <v>0.94</v>
      </c>
      <c r="K22" s="50">
        <v>355.96</v>
      </c>
      <c r="L22" s="50">
        <v>40.01</v>
      </c>
      <c r="M22" s="50">
        <v>26.68</v>
      </c>
      <c r="N22" s="50">
        <v>807.9</v>
      </c>
      <c r="O22" s="50">
        <v>0</v>
      </c>
      <c r="P22" s="50">
        <v>0.67</v>
      </c>
      <c r="Q22" s="50">
        <v>4.93</v>
      </c>
    </row>
    <row r="23" spans="1:17" customFormat="1">
      <c r="A23" s="49">
        <v>45399.625</v>
      </c>
      <c r="B23" s="50">
        <v>3.17</v>
      </c>
      <c r="C23" s="50">
        <v>0.37</v>
      </c>
      <c r="D23" s="50">
        <v>4.07</v>
      </c>
      <c r="E23" s="50">
        <v>19</v>
      </c>
      <c r="F23" s="50">
        <v>25.49</v>
      </c>
      <c r="G23" s="50">
        <v>59.94</v>
      </c>
      <c r="H23" s="50">
        <v>27.15</v>
      </c>
      <c r="I23" s="50">
        <v>7.73</v>
      </c>
      <c r="J23" s="50">
        <v>0.93</v>
      </c>
      <c r="K23" s="50">
        <v>317.43</v>
      </c>
      <c r="L23" s="50">
        <v>40.26</v>
      </c>
      <c r="M23" s="50">
        <v>25.36</v>
      </c>
      <c r="N23" s="50">
        <v>754.4</v>
      </c>
      <c r="O23" s="50">
        <v>0</v>
      </c>
      <c r="P23" s="50">
        <v>0.56999999999999995</v>
      </c>
      <c r="Q23" s="50">
        <v>4.92</v>
      </c>
    </row>
    <row r="24" spans="1:17" customFormat="1">
      <c r="A24" s="49">
        <v>45399.666666666664</v>
      </c>
      <c r="B24" s="50">
        <v>3.17</v>
      </c>
      <c r="C24" s="50">
        <v>0.39</v>
      </c>
      <c r="D24" s="50">
        <v>4.0999999999999996</v>
      </c>
      <c r="E24" s="50">
        <v>14.74</v>
      </c>
      <c r="F24" s="50">
        <v>28.68</v>
      </c>
      <c r="G24" s="50">
        <v>54.95</v>
      </c>
      <c r="H24" s="50">
        <v>22.95</v>
      </c>
      <c r="I24" s="50">
        <v>7.09</v>
      </c>
      <c r="J24" s="50">
        <v>0.69</v>
      </c>
      <c r="K24" s="50">
        <v>344.39</v>
      </c>
      <c r="L24" s="50">
        <v>40.89</v>
      </c>
      <c r="M24" s="50">
        <v>25.4</v>
      </c>
      <c r="N24" s="50">
        <v>568.20000000000005</v>
      </c>
      <c r="O24" s="50">
        <v>0</v>
      </c>
      <c r="P24" s="50">
        <v>0.53</v>
      </c>
      <c r="Q24" s="50">
        <v>4.91</v>
      </c>
    </row>
    <row r="25" spans="1:17" customFormat="1">
      <c r="A25" s="49">
        <v>45399.708333333336</v>
      </c>
      <c r="B25" s="50">
        <v>3.24</v>
      </c>
      <c r="C25" s="50">
        <v>0.59</v>
      </c>
      <c r="D25" s="50">
        <v>4.2300000000000004</v>
      </c>
      <c r="E25" s="50">
        <v>13.62</v>
      </c>
      <c r="F25" s="50">
        <v>30.99</v>
      </c>
      <c r="G25" s="50">
        <v>50.52</v>
      </c>
      <c r="H25" s="50">
        <v>21</v>
      </c>
      <c r="I25" s="50">
        <v>6.05</v>
      </c>
      <c r="J25" s="50">
        <v>1.32</v>
      </c>
      <c r="K25" s="50">
        <v>320.44</v>
      </c>
      <c r="L25" s="50">
        <v>40.549999999999997</v>
      </c>
      <c r="M25" s="50">
        <v>24.82</v>
      </c>
      <c r="N25" s="50">
        <v>353.1</v>
      </c>
      <c r="O25" s="50">
        <v>0</v>
      </c>
      <c r="P25" s="50">
        <v>0.49</v>
      </c>
      <c r="Q25" s="50">
        <v>4.9000000000000004</v>
      </c>
    </row>
    <row r="26" spans="1:17" customFormat="1">
      <c r="A26" s="49">
        <v>45399.75</v>
      </c>
      <c r="B26" s="50">
        <v>3.21</v>
      </c>
      <c r="C26" s="50">
        <v>0.75</v>
      </c>
      <c r="D26" s="50">
        <v>4.32</v>
      </c>
      <c r="E26" s="50">
        <v>18.45</v>
      </c>
      <c r="F26" s="50">
        <v>54.05</v>
      </c>
      <c r="G26" s="50">
        <v>44.77</v>
      </c>
      <c r="H26" s="50">
        <v>18.64</v>
      </c>
      <c r="I26" s="50">
        <v>5.36</v>
      </c>
      <c r="J26" s="50">
        <v>0.72</v>
      </c>
      <c r="K26" s="50">
        <v>247.11</v>
      </c>
      <c r="L26" s="50">
        <v>38.71</v>
      </c>
      <c r="M26" s="50">
        <v>36.28</v>
      </c>
      <c r="N26" s="50">
        <v>135.9</v>
      </c>
      <c r="O26" s="50">
        <v>0</v>
      </c>
      <c r="P26" s="50">
        <v>0.45</v>
      </c>
      <c r="Q26" s="50">
        <v>4.9400000000000004</v>
      </c>
    </row>
    <row r="27" spans="1:17" customFormat="1">
      <c r="A27" s="49">
        <v>45399.791666666664</v>
      </c>
      <c r="B27" s="50">
        <v>3.2</v>
      </c>
      <c r="C27" s="50">
        <v>0.39</v>
      </c>
      <c r="D27" s="50">
        <v>4.12</v>
      </c>
      <c r="E27" s="50">
        <v>16.559999999999999</v>
      </c>
      <c r="F27" s="50">
        <v>52.45</v>
      </c>
      <c r="G27" s="50">
        <v>43.49</v>
      </c>
      <c r="H27" s="50">
        <v>18.66</v>
      </c>
      <c r="I27" s="50">
        <v>5.69</v>
      </c>
      <c r="J27" s="50">
        <v>0.24</v>
      </c>
      <c r="K27" s="50">
        <v>187.69</v>
      </c>
      <c r="L27" s="50">
        <v>35.200000000000003</v>
      </c>
      <c r="M27" s="50">
        <v>49.32</v>
      </c>
      <c r="N27" s="50">
        <v>0.1</v>
      </c>
      <c r="O27" s="50">
        <v>0</v>
      </c>
      <c r="P27" s="50">
        <v>0.55000000000000004</v>
      </c>
      <c r="Q27" s="50">
        <v>4.9000000000000004</v>
      </c>
    </row>
    <row r="28" spans="1:17" customFormat="1">
      <c r="A28" s="49">
        <v>45399.833333333336</v>
      </c>
      <c r="B28" s="50">
        <v>3.25</v>
      </c>
      <c r="C28" s="50">
        <v>0.88</v>
      </c>
      <c r="D28" s="50">
        <v>4.42</v>
      </c>
      <c r="E28" s="50">
        <v>18.14</v>
      </c>
      <c r="F28" s="50">
        <v>42.29</v>
      </c>
      <c r="G28" s="50">
        <v>52.24</v>
      </c>
      <c r="H28" s="50">
        <v>19.43</v>
      </c>
      <c r="I28" s="50">
        <v>7.53</v>
      </c>
      <c r="J28" s="50">
        <v>0.46</v>
      </c>
      <c r="K28" s="50">
        <v>240.01</v>
      </c>
      <c r="L28" s="50">
        <v>33.85</v>
      </c>
      <c r="M28" s="50">
        <v>45.98</v>
      </c>
      <c r="N28" s="50">
        <v>0</v>
      </c>
      <c r="O28" s="50">
        <v>0</v>
      </c>
      <c r="P28" s="50">
        <v>0.94</v>
      </c>
      <c r="Q28" s="50">
        <v>4.9000000000000004</v>
      </c>
    </row>
    <row r="29" spans="1:17" customFormat="1">
      <c r="A29" s="49">
        <v>45399.875</v>
      </c>
      <c r="B29" s="50">
        <v>3.9</v>
      </c>
      <c r="C29" s="50">
        <v>1.34</v>
      </c>
      <c r="D29" s="50">
        <v>5.18</v>
      </c>
      <c r="E29" s="50">
        <v>21.12</v>
      </c>
      <c r="F29" s="50">
        <v>10.07</v>
      </c>
      <c r="G29" s="50">
        <v>55.33</v>
      </c>
      <c r="H29" s="50">
        <v>22.23</v>
      </c>
      <c r="I29" s="50">
        <v>8.84</v>
      </c>
      <c r="J29" s="50">
        <v>0.28000000000000003</v>
      </c>
      <c r="K29" s="50">
        <v>234.75</v>
      </c>
      <c r="L29" s="50">
        <v>33.630000000000003</v>
      </c>
      <c r="M29" s="50">
        <v>45.85</v>
      </c>
      <c r="N29" s="50">
        <v>0</v>
      </c>
      <c r="O29" s="50">
        <v>0</v>
      </c>
      <c r="P29" s="50">
        <v>1.08</v>
      </c>
      <c r="Q29" s="50">
        <v>4.9000000000000004</v>
      </c>
    </row>
    <row r="30" spans="1:17" customFormat="1">
      <c r="A30" s="49">
        <v>45399.916666666664</v>
      </c>
      <c r="B30" s="50">
        <v>4.16</v>
      </c>
      <c r="C30" s="50">
        <v>1.74</v>
      </c>
      <c r="D30" s="50">
        <v>5.59</v>
      </c>
      <c r="E30" s="50">
        <v>16.829999999999998</v>
      </c>
      <c r="F30" s="50">
        <v>3.62</v>
      </c>
      <c r="G30" s="50">
        <v>70.95</v>
      </c>
      <c r="H30" s="50">
        <v>23.29</v>
      </c>
      <c r="I30" s="50">
        <v>10.25</v>
      </c>
      <c r="J30" s="50">
        <v>0.3</v>
      </c>
      <c r="K30" s="50">
        <v>174.72</v>
      </c>
      <c r="L30" s="50">
        <v>31.42</v>
      </c>
      <c r="M30" s="50">
        <v>64.41</v>
      </c>
      <c r="N30" s="50">
        <v>0</v>
      </c>
      <c r="O30" s="50">
        <v>0</v>
      </c>
      <c r="P30" s="50">
        <v>1.03</v>
      </c>
      <c r="Q30" s="50">
        <v>4.91</v>
      </c>
    </row>
    <row r="31" spans="1:17" customFormat="1">
      <c r="A31" s="49">
        <v>45399.958333333336</v>
      </c>
      <c r="B31" s="50">
        <v>3.51</v>
      </c>
      <c r="C31" s="50">
        <v>0.97</v>
      </c>
      <c r="D31" s="50">
        <v>4.67</v>
      </c>
      <c r="E31" s="50">
        <v>15.25</v>
      </c>
      <c r="F31" s="50">
        <v>2.88</v>
      </c>
      <c r="G31" s="50">
        <v>76.86</v>
      </c>
      <c r="H31" s="50">
        <v>25.41</v>
      </c>
      <c r="I31" s="50">
        <v>9.52</v>
      </c>
      <c r="J31" s="50">
        <v>0.26</v>
      </c>
      <c r="K31" s="50">
        <v>178.71</v>
      </c>
      <c r="L31" s="50">
        <v>28.94</v>
      </c>
      <c r="M31" s="50">
        <v>66.260000000000005</v>
      </c>
      <c r="N31" s="50">
        <v>0</v>
      </c>
      <c r="O31" s="50">
        <v>0</v>
      </c>
      <c r="P31" s="50">
        <v>0.95</v>
      </c>
      <c r="Q31" s="50">
        <v>4.92</v>
      </c>
    </row>
    <row r="32" spans="1:17" customFormat="1">
      <c r="A32" s="49">
        <v>45400</v>
      </c>
      <c r="B32" s="50">
        <v>4.22</v>
      </c>
      <c r="C32" s="50">
        <v>1.83</v>
      </c>
      <c r="D32" s="50">
        <v>5.69</v>
      </c>
      <c r="E32" s="50">
        <v>21.43</v>
      </c>
      <c r="F32" s="50">
        <v>3.41</v>
      </c>
      <c r="G32" s="50">
        <v>85.22</v>
      </c>
      <c r="H32" s="50">
        <v>27.96</v>
      </c>
      <c r="I32" s="50">
        <v>10.64</v>
      </c>
      <c r="J32" s="50">
        <v>0.16</v>
      </c>
      <c r="K32" s="50">
        <v>326.77</v>
      </c>
      <c r="L32" s="50">
        <v>29.98</v>
      </c>
      <c r="M32" s="50">
        <v>53.67</v>
      </c>
      <c r="N32" s="50">
        <v>0</v>
      </c>
      <c r="O32" s="50">
        <v>0</v>
      </c>
      <c r="P32" s="50">
        <v>1.04</v>
      </c>
      <c r="Q32" s="50">
        <v>4.97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3.17</v>
      </c>
      <c r="C34" s="40">
        <f t="shared" si="0"/>
        <v>0.37</v>
      </c>
      <c r="D34" s="40">
        <f t="shared" si="0"/>
        <v>4.07</v>
      </c>
      <c r="E34" s="40">
        <f t="shared" si="0"/>
        <v>9.32</v>
      </c>
      <c r="F34" s="40">
        <f t="shared" si="0"/>
        <v>2.88</v>
      </c>
      <c r="G34" s="40">
        <f t="shared" si="0"/>
        <v>43.49</v>
      </c>
      <c r="H34" s="40">
        <f t="shared" si="0"/>
        <v>18.64</v>
      </c>
      <c r="I34" s="40">
        <f t="shared" si="0"/>
        <v>5.36</v>
      </c>
      <c r="J34" s="40">
        <f t="shared" si="0"/>
        <v>0.14000000000000001</v>
      </c>
      <c r="K34" s="40">
        <f t="shared" si="0"/>
        <v>62.03</v>
      </c>
      <c r="L34" s="40">
        <f t="shared" si="0"/>
        <v>24.46</v>
      </c>
      <c r="M34" s="40">
        <f t="shared" si="0"/>
        <v>24.82</v>
      </c>
      <c r="N34" s="40">
        <f t="shared" si="0"/>
        <v>0</v>
      </c>
      <c r="O34" s="40">
        <f t="shared" si="0"/>
        <v>0</v>
      </c>
      <c r="P34" s="40">
        <f t="shared" si="0"/>
        <v>0.45</v>
      </c>
      <c r="Q34" s="40">
        <f t="shared" si="0"/>
        <v>4.9000000000000004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7.08</v>
      </c>
      <c r="C35" s="33">
        <f t="shared" si="1"/>
        <v>6.46</v>
      </c>
      <c r="D35" s="33">
        <f t="shared" si="1"/>
        <v>10.4</v>
      </c>
      <c r="E35" s="33">
        <f t="shared" si="1"/>
        <v>63.17</v>
      </c>
      <c r="F35" s="33">
        <f t="shared" si="1"/>
        <v>54.05</v>
      </c>
      <c r="G35" s="33">
        <f t="shared" si="1"/>
        <v>98.76</v>
      </c>
      <c r="H35" s="33">
        <f t="shared" si="1"/>
        <v>34.04</v>
      </c>
      <c r="I35" s="33">
        <f t="shared" si="1"/>
        <v>11.72</v>
      </c>
      <c r="J35" s="33">
        <f t="shared" si="1"/>
        <v>1.32</v>
      </c>
      <c r="K35" s="33">
        <f t="shared" si="1"/>
        <v>356.9</v>
      </c>
      <c r="L35" s="33">
        <f t="shared" si="1"/>
        <v>40.89</v>
      </c>
      <c r="M35" s="33">
        <f t="shared" si="1"/>
        <v>92.84</v>
      </c>
      <c r="N35" s="33">
        <f t="shared" si="1"/>
        <v>879.6</v>
      </c>
      <c r="O35" s="33">
        <f t="shared" si="1"/>
        <v>0</v>
      </c>
      <c r="P35" s="33">
        <f t="shared" si="1"/>
        <v>1.08</v>
      </c>
      <c r="Q35" s="33">
        <f t="shared" si="1"/>
        <v>4.9800000000000004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4.2454166666666664</v>
      </c>
      <c r="C36" s="40">
        <f t="shared" si="2"/>
        <v>1.560416666666667</v>
      </c>
      <c r="D36" s="40">
        <f t="shared" si="2"/>
        <v>5.5645833333333341</v>
      </c>
      <c r="E36" s="40">
        <f t="shared" si="2"/>
        <v>19.836666666666666</v>
      </c>
      <c r="F36" s="40">
        <f t="shared" si="2"/>
        <v>20.545833333333338</v>
      </c>
      <c r="G36" s="40">
        <f t="shared" si="2"/>
        <v>75.080833333333331</v>
      </c>
      <c r="H36" s="40">
        <f t="shared" si="2"/>
        <v>27.149166666666662</v>
      </c>
      <c r="I36" s="40">
        <f t="shared" si="2"/>
        <v>9.2779166666666679</v>
      </c>
      <c r="J36" s="40">
        <f t="shared" si="2"/>
        <v>0.49125000000000002</v>
      </c>
      <c r="K36" s="40">
        <f t="shared" si="2"/>
        <v>247.97625000000002</v>
      </c>
      <c r="L36" s="40">
        <f t="shared" si="2"/>
        <v>32.728333333333339</v>
      </c>
      <c r="M36" s="40">
        <f t="shared" si="2"/>
        <v>57.180416666666673</v>
      </c>
      <c r="N36" s="40">
        <f t="shared" si="2"/>
        <v>263.00833333333333</v>
      </c>
      <c r="O36" s="40">
        <f t="shared" si="2"/>
        <v>0</v>
      </c>
      <c r="P36" s="40">
        <f t="shared" si="2"/>
        <v>0.80291666666666661</v>
      </c>
      <c r="Q36" s="40">
        <f t="shared" si="2"/>
        <v>4.9295833333333343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1.2953192628667356</v>
      </c>
      <c r="C37" s="40">
        <f t="shared" ref="C37:Q37" si="3">STDEV(C9:C32)</f>
        <v>1.334565485928616</v>
      </c>
      <c r="D37" s="40">
        <f t="shared" si="3"/>
        <v>1.6913127887163131</v>
      </c>
      <c r="E37" s="40">
        <f t="shared" si="3"/>
        <v>13.520339482059798</v>
      </c>
      <c r="F37" s="40">
        <f t="shared" si="3"/>
        <v>18.21028302830614</v>
      </c>
      <c r="G37" s="40">
        <f t="shared" si="3"/>
        <v>17.695987734061546</v>
      </c>
      <c r="H37" s="40">
        <f t="shared" si="3"/>
        <v>5.146504864356082</v>
      </c>
      <c r="I37" s="40">
        <f t="shared" si="3"/>
        <v>1.9011666422092715</v>
      </c>
      <c r="J37" s="40">
        <f t="shared" si="3"/>
        <v>0.35693517253319884</v>
      </c>
      <c r="K37" s="40">
        <f t="shared" si="3"/>
        <v>75.66203388941247</v>
      </c>
      <c r="L37" s="40">
        <f t="shared" si="3"/>
        <v>5.7452647168486948</v>
      </c>
      <c r="M37" s="40">
        <f t="shared" si="3"/>
        <v>25.010004168622064</v>
      </c>
      <c r="N37" s="40">
        <f t="shared" si="3"/>
        <v>335.42133389497462</v>
      </c>
      <c r="O37" s="40">
        <f t="shared" si="3"/>
        <v>0</v>
      </c>
      <c r="P37" s="40">
        <f t="shared" si="3"/>
        <v>0.17962470941349956</v>
      </c>
      <c r="Q37" s="40">
        <f t="shared" si="3"/>
        <v>2.6942639015164173E-2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K45" sqref="K45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45400.041666666664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45400.041666666664</v>
      </c>
      <c r="B9" s="50">
        <v>5.46</v>
      </c>
      <c r="C9" s="50">
        <v>3.29</v>
      </c>
      <c r="D9" s="50">
        <v>7.44</v>
      </c>
      <c r="E9" s="50">
        <v>20.61</v>
      </c>
      <c r="F9" s="50">
        <v>3.18</v>
      </c>
      <c r="G9" s="50">
        <v>118.82</v>
      </c>
      <c r="H9" s="50">
        <v>42.71</v>
      </c>
      <c r="I9" s="50">
        <v>12.12</v>
      </c>
      <c r="J9" s="50">
        <v>0.36</v>
      </c>
      <c r="K9" s="50">
        <v>343.21</v>
      </c>
      <c r="L9" s="50">
        <v>29.94</v>
      </c>
      <c r="M9" s="50">
        <v>61.63</v>
      </c>
      <c r="N9" s="50">
        <v>0</v>
      </c>
      <c r="O9" s="50">
        <v>0</v>
      </c>
      <c r="P9" s="50">
        <v>1.07</v>
      </c>
      <c r="Q9" s="50">
        <v>4.95</v>
      </c>
    </row>
    <row r="10" spans="1:21" customFormat="1">
      <c r="A10" s="49">
        <v>45400.083333333336</v>
      </c>
      <c r="B10" s="50">
        <v>4.8600000000000003</v>
      </c>
      <c r="C10" s="50">
        <v>2.19</v>
      </c>
      <c r="D10" s="50">
        <v>6.39</v>
      </c>
      <c r="E10" s="50">
        <v>15.45</v>
      </c>
      <c r="F10" s="50">
        <v>3.15</v>
      </c>
      <c r="G10" s="50">
        <v>133.61000000000001</v>
      </c>
      <c r="H10" s="50">
        <v>50.58</v>
      </c>
      <c r="I10" s="50">
        <v>12.55</v>
      </c>
      <c r="J10" s="50">
        <v>0.28000000000000003</v>
      </c>
      <c r="K10" s="50">
        <v>186.34</v>
      </c>
      <c r="L10" s="50">
        <v>27.62</v>
      </c>
      <c r="M10" s="50">
        <v>72.739999999999995</v>
      </c>
      <c r="N10" s="50">
        <v>0</v>
      </c>
      <c r="O10" s="50">
        <v>0</v>
      </c>
      <c r="P10" s="50">
        <v>1.07</v>
      </c>
      <c r="Q10" s="50">
        <v>4.95</v>
      </c>
    </row>
    <row r="11" spans="1:21" customFormat="1">
      <c r="A11" s="49">
        <v>45400.125</v>
      </c>
      <c r="B11" s="50">
        <v>6.09</v>
      </c>
      <c r="C11" s="50">
        <v>2.82</v>
      </c>
      <c r="D11" s="50">
        <v>7.71</v>
      </c>
      <c r="E11" s="50">
        <v>10.35</v>
      </c>
      <c r="F11" s="50">
        <v>3.29</v>
      </c>
      <c r="G11" s="50">
        <v>133.61000000000001</v>
      </c>
      <c r="H11" s="50">
        <v>51.98</v>
      </c>
      <c r="I11" s="50">
        <v>12.68</v>
      </c>
      <c r="J11" s="50">
        <v>0.21</v>
      </c>
      <c r="K11" s="50">
        <v>135.75</v>
      </c>
      <c r="L11" s="50">
        <v>26.74</v>
      </c>
      <c r="M11" s="50">
        <v>66.87</v>
      </c>
      <c r="N11" s="50">
        <v>0</v>
      </c>
      <c r="O11" s="50">
        <v>0</v>
      </c>
      <c r="P11" s="50">
        <v>1.05</v>
      </c>
      <c r="Q11" s="50">
        <v>4.9400000000000004</v>
      </c>
    </row>
    <row r="12" spans="1:21" customFormat="1">
      <c r="A12" s="49">
        <v>45400.166666666664</v>
      </c>
      <c r="B12" s="50">
        <v>5.51</v>
      </c>
      <c r="C12" s="50">
        <v>2.52</v>
      </c>
      <c r="D12" s="50">
        <v>7.09</v>
      </c>
      <c r="E12" s="50">
        <v>11.67</v>
      </c>
      <c r="F12" s="50">
        <v>6</v>
      </c>
      <c r="G12" s="50">
        <v>127.94</v>
      </c>
      <c r="H12" s="50">
        <v>51.98</v>
      </c>
      <c r="I12" s="50">
        <v>12.78</v>
      </c>
      <c r="J12" s="50">
        <v>0.38</v>
      </c>
      <c r="K12" s="50">
        <v>160.36000000000001</v>
      </c>
      <c r="L12" s="50">
        <v>27.57</v>
      </c>
      <c r="M12" s="50">
        <v>69.38</v>
      </c>
      <c r="N12" s="50">
        <v>0</v>
      </c>
      <c r="O12" s="50">
        <v>0</v>
      </c>
      <c r="P12" s="50">
        <v>1.04</v>
      </c>
      <c r="Q12" s="50">
        <v>4.9400000000000004</v>
      </c>
    </row>
    <row r="13" spans="1:21" customFormat="1">
      <c r="A13" s="49">
        <v>45400.208333333336</v>
      </c>
      <c r="B13" s="50">
        <v>5.32</v>
      </c>
      <c r="C13" s="50">
        <v>1.55</v>
      </c>
      <c r="D13" s="50">
        <v>6.43</v>
      </c>
      <c r="E13" s="50">
        <v>10.69</v>
      </c>
      <c r="F13" s="50">
        <v>4.22</v>
      </c>
      <c r="G13" s="50">
        <v>127.94</v>
      </c>
      <c r="H13" s="50">
        <v>50.63</v>
      </c>
      <c r="I13" s="50">
        <v>12.79</v>
      </c>
      <c r="J13" s="50">
        <v>0.28999999999999998</v>
      </c>
      <c r="K13" s="50">
        <v>165.36</v>
      </c>
      <c r="L13" s="50">
        <v>25.59</v>
      </c>
      <c r="M13" s="50">
        <v>75.41</v>
      </c>
      <c r="N13" s="50">
        <v>0</v>
      </c>
      <c r="O13" s="50">
        <v>0</v>
      </c>
      <c r="P13" s="50">
        <v>0.99</v>
      </c>
      <c r="Q13" s="50">
        <v>4.9400000000000004</v>
      </c>
    </row>
    <row r="14" spans="1:21" customFormat="1">
      <c r="A14" s="49">
        <v>45400.25</v>
      </c>
      <c r="B14" s="50">
        <v>5.78</v>
      </c>
      <c r="C14" s="50">
        <v>2</v>
      </c>
      <c r="D14" s="50">
        <v>7.03</v>
      </c>
      <c r="E14" s="50">
        <v>9.56</v>
      </c>
      <c r="F14" s="50">
        <v>3.44</v>
      </c>
      <c r="G14" s="50">
        <v>112.38</v>
      </c>
      <c r="H14" s="50">
        <v>50.63</v>
      </c>
      <c r="I14" s="50">
        <v>12.6</v>
      </c>
      <c r="J14" s="50">
        <v>0.22</v>
      </c>
      <c r="K14" s="50">
        <v>193.68</v>
      </c>
      <c r="L14" s="50">
        <v>24.03</v>
      </c>
      <c r="M14" s="50">
        <v>80.58</v>
      </c>
      <c r="N14" s="50">
        <v>11.2</v>
      </c>
      <c r="O14" s="50">
        <v>0</v>
      </c>
      <c r="P14" s="50">
        <v>0.96</v>
      </c>
      <c r="Q14" s="50">
        <v>4.96</v>
      </c>
    </row>
    <row r="15" spans="1:21" customFormat="1">
      <c r="A15" s="49">
        <v>45400.291666666664</v>
      </c>
      <c r="B15" s="50">
        <v>6.41</v>
      </c>
      <c r="C15" s="50">
        <v>2.4</v>
      </c>
      <c r="D15" s="50">
        <v>7.75</v>
      </c>
      <c r="E15" s="50">
        <v>9.76</v>
      </c>
      <c r="F15" s="50">
        <v>3.17</v>
      </c>
      <c r="G15" s="50">
        <v>109.6</v>
      </c>
      <c r="H15" s="50">
        <v>48.1</v>
      </c>
      <c r="I15" s="50">
        <v>12.34</v>
      </c>
      <c r="J15" s="50">
        <v>0.21</v>
      </c>
      <c r="K15" s="50">
        <v>204.19</v>
      </c>
      <c r="L15" s="50">
        <v>25.72</v>
      </c>
      <c r="M15" s="50">
        <v>77.8</v>
      </c>
      <c r="N15" s="50">
        <v>48.5</v>
      </c>
      <c r="O15" s="50">
        <v>0</v>
      </c>
      <c r="P15" s="50">
        <v>0.94</v>
      </c>
      <c r="Q15" s="50">
        <v>4.96</v>
      </c>
    </row>
    <row r="16" spans="1:21" customFormat="1">
      <c r="A16" s="49">
        <v>45400.333333333336</v>
      </c>
      <c r="B16" s="50">
        <v>6.37</v>
      </c>
      <c r="C16" s="50">
        <v>2.0499999999999998</v>
      </c>
      <c r="D16" s="50">
        <v>7.53</v>
      </c>
      <c r="E16" s="50">
        <v>13.48</v>
      </c>
      <c r="F16" s="50">
        <v>5.04</v>
      </c>
      <c r="G16" s="50">
        <v>106.4</v>
      </c>
      <c r="H16" s="50">
        <v>43.6</v>
      </c>
      <c r="I16" s="50">
        <v>12.3</v>
      </c>
      <c r="J16" s="50">
        <v>0.38</v>
      </c>
      <c r="K16" s="50">
        <v>161.29</v>
      </c>
      <c r="L16" s="50">
        <v>30.19</v>
      </c>
      <c r="M16" s="50">
        <v>60.2</v>
      </c>
      <c r="N16" s="50">
        <v>206.1</v>
      </c>
      <c r="O16" s="50">
        <v>0</v>
      </c>
      <c r="P16" s="50">
        <v>0.97</v>
      </c>
      <c r="Q16" s="50">
        <v>4.9800000000000004</v>
      </c>
    </row>
    <row r="17" spans="1:17" customFormat="1">
      <c r="A17" s="49">
        <v>45400.375</v>
      </c>
      <c r="B17" s="50">
        <v>5.81</v>
      </c>
      <c r="C17" s="50">
        <v>2.54</v>
      </c>
      <c r="D17" s="50">
        <v>7.33</v>
      </c>
      <c r="E17" s="50">
        <v>15.54</v>
      </c>
      <c r="F17" s="50">
        <v>8</v>
      </c>
      <c r="G17" s="50">
        <v>126.28</v>
      </c>
      <c r="H17" s="50">
        <v>41.89</v>
      </c>
      <c r="I17" s="50">
        <v>12.21</v>
      </c>
      <c r="J17" s="50">
        <v>0.75</v>
      </c>
      <c r="K17" s="50">
        <v>65.62</v>
      </c>
      <c r="L17" s="50">
        <v>34.04</v>
      </c>
      <c r="M17" s="50">
        <v>39.11</v>
      </c>
      <c r="N17" s="50">
        <v>390.5</v>
      </c>
      <c r="O17" s="50">
        <v>0</v>
      </c>
      <c r="P17" s="50">
        <v>0.97</v>
      </c>
      <c r="Q17" s="50">
        <v>4.97</v>
      </c>
    </row>
    <row r="18" spans="1:17" customFormat="1">
      <c r="A18" s="49">
        <v>45400.416666666664</v>
      </c>
      <c r="B18" s="50">
        <v>4.8600000000000003</v>
      </c>
      <c r="C18" s="50">
        <v>2.4900000000000002</v>
      </c>
      <c r="D18" s="50">
        <v>6.55</v>
      </c>
      <c r="E18" s="50">
        <v>13.25</v>
      </c>
      <c r="F18" s="50">
        <v>12.49</v>
      </c>
      <c r="G18" s="50">
        <v>126.28</v>
      </c>
      <c r="H18" s="50">
        <v>41.89</v>
      </c>
      <c r="I18" s="50">
        <v>11.43</v>
      </c>
      <c r="J18" s="50">
        <v>1.1000000000000001</v>
      </c>
      <c r="K18" s="50">
        <v>63.88</v>
      </c>
      <c r="L18" s="50">
        <v>35.29</v>
      </c>
      <c r="M18" s="50">
        <v>26.9</v>
      </c>
      <c r="N18" s="50">
        <v>669.7</v>
      </c>
      <c r="O18" s="50">
        <v>0</v>
      </c>
      <c r="P18" s="50">
        <v>0.88</v>
      </c>
      <c r="Q18" s="50">
        <v>4.93</v>
      </c>
    </row>
    <row r="19" spans="1:17" customFormat="1">
      <c r="A19" s="49">
        <v>45400.458333333336</v>
      </c>
      <c r="B19" s="50">
        <v>3.9</v>
      </c>
      <c r="C19" s="50">
        <v>1.87</v>
      </c>
      <c r="D19" s="50">
        <v>5.32</v>
      </c>
      <c r="E19" s="50">
        <v>26.37</v>
      </c>
      <c r="F19" s="50">
        <v>14.7</v>
      </c>
      <c r="G19" s="50">
        <v>110.47</v>
      </c>
      <c r="H19" s="50">
        <v>39.299999999999997</v>
      </c>
      <c r="I19" s="50">
        <v>9.93</v>
      </c>
      <c r="J19" s="50">
        <v>1.57</v>
      </c>
      <c r="K19" s="50">
        <v>80.209999999999994</v>
      </c>
      <c r="L19" s="50">
        <v>36.58</v>
      </c>
      <c r="M19" s="50">
        <v>24.9</v>
      </c>
      <c r="N19" s="50">
        <v>764.9</v>
      </c>
      <c r="O19" s="50">
        <v>0</v>
      </c>
      <c r="P19" s="50">
        <v>0.79</v>
      </c>
      <c r="Q19" s="50">
        <v>4.93</v>
      </c>
    </row>
    <row r="20" spans="1:17" customFormat="1">
      <c r="A20" s="49">
        <v>45400.5</v>
      </c>
      <c r="B20" s="50">
        <v>3.43</v>
      </c>
      <c r="C20" s="50">
        <v>1.75</v>
      </c>
      <c r="D20" s="50">
        <v>4.9400000000000004</v>
      </c>
      <c r="E20" s="50">
        <v>19.43</v>
      </c>
      <c r="F20" s="50">
        <v>17.28</v>
      </c>
      <c r="G20" s="50">
        <v>88.02</v>
      </c>
      <c r="H20" s="50">
        <v>31.73</v>
      </c>
      <c r="I20" s="50">
        <v>8.89</v>
      </c>
      <c r="J20" s="50">
        <v>1.59</v>
      </c>
      <c r="K20" s="50">
        <v>76.569999999999993</v>
      </c>
      <c r="L20" s="50">
        <v>37.950000000000003</v>
      </c>
      <c r="M20" s="50">
        <v>21.11</v>
      </c>
      <c r="N20" s="50">
        <v>867.6</v>
      </c>
      <c r="O20" s="50">
        <v>0</v>
      </c>
      <c r="P20" s="50">
        <v>0.69</v>
      </c>
      <c r="Q20" s="50">
        <v>4.9400000000000004</v>
      </c>
    </row>
    <row r="21" spans="1:17" customFormat="1">
      <c r="A21" s="49">
        <v>45400.541666666664</v>
      </c>
      <c r="B21" s="50">
        <v>3.31</v>
      </c>
      <c r="C21" s="50">
        <v>1.53</v>
      </c>
      <c r="D21" s="50">
        <v>4.8</v>
      </c>
      <c r="E21" s="50">
        <v>21.77</v>
      </c>
      <c r="F21" s="50">
        <v>29.83</v>
      </c>
      <c r="G21" s="50">
        <v>75.58</v>
      </c>
      <c r="H21" s="50">
        <v>29.29</v>
      </c>
      <c r="I21" s="50">
        <v>7.77</v>
      </c>
      <c r="J21" s="50">
        <v>1.76</v>
      </c>
      <c r="K21" s="50">
        <v>63.29</v>
      </c>
      <c r="L21" s="50">
        <v>39.29</v>
      </c>
      <c r="M21" s="50">
        <v>20.05</v>
      </c>
      <c r="N21" s="50">
        <v>880</v>
      </c>
      <c r="O21" s="50">
        <v>0</v>
      </c>
      <c r="P21" s="50">
        <v>0.61</v>
      </c>
      <c r="Q21" s="50">
        <v>4.91</v>
      </c>
    </row>
    <row r="22" spans="1:17" customFormat="1">
      <c r="A22" s="49">
        <v>45400.583333333336</v>
      </c>
      <c r="B22" s="50">
        <v>3.26</v>
      </c>
      <c r="C22" s="50">
        <v>1.1499999999999999</v>
      </c>
      <c r="D22" s="50">
        <v>4.57</v>
      </c>
      <c r="E22" s="50">
        <v>16.98</v>
      </c>
      <c r="F22" s="50">
        <v>29.45</v>
      </c>
      <c r="G22" s="50">
        <v>67.94</v>
      </c>
      <c r="H22" s="50">
        <v>25.97</v>
      </c>
      <c r="I22" s="50">
        <v>6.78</v>
      </c>
      <c r="J22" s="50">
        <v>0.83</v>
      </c>
      <c r="K22" s="50">
        <v>350.62</v>
      </c>
      <c r="L22" s="50">
        <v>40.29</v>
      </c>
      <c r="M22" s="50">
        <v>15.83</v>
      </c>
      <c r="N22" s="50">
        <v>863.4</v>
      </c>
      <c r="O22" s="50">
        <v>0</v>
      </c>
      <c r="P22" s="50">
        <v>0.57999999999999996</v>
      </c>
      <c r="Q22" s="50">
        <v>4.8899999999999997</v>
      </c>
    </row>
    <row r="23" spans="1:17" customFormat="1">
      <c r="A23" s="49">
        <v>45400.625</v>
      </c>
      <c r="B23" s="50">
        <v>3.24</v>
      </c>
      <c r="C23" s="50">
        <v>0.59</v>
      </c>
      <c r="D23" s="50">
        <v>4.26</v>
      </c>
      <c r="E23" s="50">
        <v>25.15</v>
      </c>
      <c r="F23" s="50">
        <v>32.58</v>
      </c>
      <c r="G23" s="50">
        <v>53.16</v>
      </c>
      <c r="H23" s="50">
        <v>21.35</v>
      </c>
      <c r="I23" s="50">
        <v>6.33</v>
      </c>
      <c r="J23" s="50">
        <v>0.81</v>
      </c>
      <c r="K23" s="50">
        <v>311.52999999999997</v>
      </c>
      <c r="L23" s="50">
        <v>41.05</v>
      </c>
      <c r="M23" s="50">
        <v>15.58</v>
      </c>
      <c r="N23" s="50">
        <v>762.9</v>
      </c>
      <c r="O23" s="50">
        <v>0</v>
      </c>
      <c r="P23" s="50">
        <v>0.54</v>
      </c>
      <c r="Q23" s="50">
        <v>4.91</v>
      </c>
    </row>
    <row r="24" spans="1:17" customFormat="1">
      <c r="A24" s="49">
        <v>45400.666666666664</v>
      </c>
      <c r="B24" s="50">
        <v>3.16</v>
      </c>
      <c r="C24" s="50">
        <v>0.39</v>
      </c>
      <c r="D24" s="50">
        <v>4.09</v>
      </c>
      <c r="E24" s="50">
        <v>35.54</v>
      </c>
      <c r="F24" s="50">
        <v>39.049999999999997</v>
      </c>
      <c r="G24" s="50">
        <v>50.89</v>
      </c>
      <c r="H24" s="50">
        <v>17.559999999999999</v>
      </c>
      <c r="I24" s="50">
        <v>5.97</v>
      </c>
      <c r="J24" s="50">
        <v>1.03</v>
      </c>
      <c r="K24" s="50">
        <v>343.39</v>
      </c>
      <c r="L24" s="50">
        <v>41.08</v>
      </c>
      <c r="M24" s="50">
        <v>16.510000000000002</v>
      </c>
      <c r="N24" s="50">
        <v>579.9</v>
      </c>
      <c r="O24" s="50">
        <v>0</v>
      </c>
      <c r="P24" s="50">
        <v>0.53</v>
      </c>
      <c r="Q24" s="50">
        <v>4.91</v>
      </c>
    </row>
    <row r="25" spans="1:17" customFormat="1">
      <c r="A25" s="49">
        <v>45400.708333333336</v>
      </c>
      <c r="B25" s="50">
        <v>3.21</v>
      </c>
      <c r="C25" s="50">
        <v>0.55000000000000004</v>
      </c>
      <c r="D25" s="50">
        <v>4.21</v>
      </c>
      <c r="E25" s="50">
        <v>21.59</v>
      </c>
      <c r="F25" s="50">
        <v>41.99</v>
      </c>
      <c r="G25" s="50">
        <v>50.89</v>
      </c>
      <c r="H25" s="50">
        <v>14.82</v>
      </c>
      <c r="I25" s="50">
        <v>5.86</v>
      </c>
      <c r="J25" s="50">
        <v>0.74</v>
      </c>
      <c r="K25" s="50">
        <v>76.599999999999994</v>
      </c>
      <c r="L25" s="50">
        <v>40.619999999999997</v>
      </c>
      <c r="M25" s="50">
        <v>17.309999999999999</v>
      </c>
      <c r="N25" s="50">
        <v>386.2</v>
      </c>
      <c r="O25" s="50">
        <v>0</v>
      </c>
      <c r="P25" s="50">
        <v>0.51</v>
      </c>
      <c r="Q25" s="50">
        <v>4.8899999999999997</v>
      </c>
    </row>
    <row r="26" spans="1:17" customFormat="1">
      <c r="A26" s="49">
        <v>45400.75</v>
      </c>
      <c r="B26" s="50">
        <v>3.26</v>
      </c>
      <c r="C26" s="50">
        <v>0.99</v>
      </c>
      <c r="D26" s="50">
        <v>4.49</v>
      </c>
      <c r="E26" s="50">
        <v>17.02</v>
      </c>
      <c r="F26" s="50">
        <v>42.28</v>
      </c>
      <c r="G26" s="50">
        <v>49.29</v>
      </c>
      <c r="H26" s="50">
        <v>15.21</v>
      </c>
      <c r="I26" s="50">
        <v>5.08</v>
      </c>
      <c r="J26" s="50">
        <v>0.34</v>
      </c>
      <c r="K26" s="50">
        <v>166.7</v>
      </c>
      <c r="L26" s="50">
        <v>39.32</v>
      </c>
      <c r="M26" s="50">
        <v>26.76</v>
      </c>
      <c r="N26" s="50">
        <v>143.1</v>
      </c>
      <c r="O26" s="50">
        <v>0</v>
      </c>
      <c r="P26" s="50">
        <v>0.51</v>
      </c>
      <c r="Q26" s="50">
        <v>4.92</v>
      </c>
    </row>
    <row r="27" spans="1:17" customFormat="1">
      <c r="A27" s="49">
        <v>45400.791666666664</v>
      </c>
      <c r="B27" s="50">
        <v>3.16</v>
      </c>
      <c r="C27" s="50">
        <v>0.3</v>
      </c>
      <c r="D27" s="50">
        <v>4.04</v>
      </c>
      <c r="E27" s="50">
        <v>15.66</v>
      </c>
      <c r="F27" s="50">
        <v>26.23</v>
      </c>
      <c r="G27" s="50">
        <v>48.48</v>
      </c>
      <c r="H27" s="50">
        <v>15.21</v>
      </c>
      <c r="I27" s="50">
        <v>5.44</v>
      </c>
      <c r="J27" s="50">
        <v>0.25</v>
      </c>
      <c r="K27" s="50">
        <v>226.18</v>
      </c>
      <c r="L27" s="50">
        <v>34.86</v>
      </c>
      <c r="M27" s="50">
        <v>37.75</v>
      </c>
      <c r="N27" s="50">
        <v>0.8</v>
      </c>
      <c r="O27" s="50">
        <v>0</v>
      </c>
      <c r="P27" s="50">
        <v>0.52</v>
      </c>
      <c r="Q27" s="50">
        <v>4.9000000000000004</v>
      </c>
    </row>
    <row r="28" spans="1:17" customFormat="1">
      <c r="A28" s="49">
        <v>45400.833333333336</v>
      </c>
      <c r="B28" s="50">
        <v>3.19</v>
      </c>
      <c r="C28" s="50">
        <v>0.59</v>
      </c>
      <c r="D28" s="50">
        <v>4.21</v>
      </c>
      <c r="E28" s="50">
        <v>16.54</v>
      </c>
      <c r="F28" s="50">
        <v>21.85</v>
      </c>
      <c r="G28" s="50">
        <v>52.74</v>
      </c>
      <c r="H28" s="50">
        <v>19.97</v>
      </c>
      <c r="I28" s="50">
        <v>5.71</v>
      </c>
      <c r="J28" s="50">
        <v>0.17</v>
      </c>
      <c r="K28" s="50">
        <v>219.55</v>
      </c>
      <c r="L28" s="50">
        <v>32.42</v>
      </c>
      <c r="M28" s="50">
        <v>41.18</v>
      </c>
      <c r="N28" s="50">
        <v>0</v>
      </c>
      <c r="O28" s="50">
        <v>0</v>
      </c>
      <c r="P28" s="50">
        <v>0.54</v>
      </c>
      <c r="Q28" s="50">
        <v>4.91</v>
      </c>
    </row>
    <row r="29" spans="1:17" customFormat="1">
      <c r="A29" s="49">
        <v>45400.875</v>
      </c>
      <c r="B29" s="50">
        <v>3.19</v>
      </c>
      <c r="C29" s="50">
        <v>0.75</v>
      </c>
      <c r="D29" s="50">
        <v>4.3099999999999996</v>
      </c>
      <c r="E29" s="50">
        <v>15.41</v>
      </c>
      <c r="F29" s="50">
        <v>22.61</v>
      </c>
      <c r="G29" s="50">
        <v>52.74</v>
      </c>
      <c r="H29" s="50">
        <v>19.97</v>
      </c>
      <c r="I29" s="50">
        <v>5.67</v>
      </c>
      <c r="J29" s="50">
        <v>0.28999999999999998</v>
      </c>
      <c r="K29" s="50">
        <v>196.14</v>
      </c>
      <c r="L29" s="50">
        <v>31.19</v>
      </c>
      <c r="M29" s="50">
        <v>48.63</v>
      </c>
      <c r="N29" s="50">
        <v>0</v>
      </c>
      <c r="O29" s="50">
        <v>0</v>
      </c>
      <c r="P29" s="50">
        <v>0.54</v>
      </c>
      <c r="Q29" s="50">
        <v>4.91</v>
      </c>
    </row>
    <row r="30" spans="1:17" customFormat="1">
      <c r="A30" s="49">
        <v>45400.916666666664</v>
      </c>
      <c r="B30" s="50">
        <v>3.15</v>
      </c>
      <c r="C30" s="50">
        <v>0.49</v>
      </c>
      <c r="D30" s="50">
        <v>4.12</v>
      </c>
      <c r="E30" s="50">
        <v>14.14</v>
      </c>
      <c r="F30" s="50">
        <v>13.73</v>
      </c>
      <c r="G30" s="50">
        <v>50.66</v>
      </c>
      <c r="H30" s="50">
        <v>19.8</v>
      </c>
      <c r="I30" s="50">
        <v>5.72</v>
      </c>
      <c r="J30" s="50">
        <v>0.21</v>
      </c>
      <c r="K30" s="50">
        <v>195.77</v>
      </c>
      <c r="L30" s="50">
        <v>29.97</v>
      </c>
      <c r="M30" s="50">
        <v>53.18</v>
      </c>
      <c r="N30" s="50">
        <v>0</v>
      </c>
      <c r="O30" s="50">
        <v>0</v>
      </c>
      <c r="P30" s="50">
        <v>0.56999999999999995</v>
      </c>
      <c r="Q30" s="50">
        <v>4.93</v>
      </c>
    </row>
    <row r="31" spans="1:17" customFormat="1">
      <c r="A31" s="49">
        <v>45400.958333333336</v>
      </c>
      <c r="B31" s="50">
        <v>3.19</v>
      </c>
      <c r="C31" s="50">
        <v>0.84</v>
      </c>
      <c r="D31" s="50">
        <v>4.33</v>
      </c>
      <c r="E31" s="50">
        <v>15.51</v>
      </c>
      <c r="F31" s="50">
        <v>14.47</v>
      </c>
      <c r="G31" s="50">
        <v>51.38</v>
      </c>
      <c r="H31" s="50">
        <v>19.32</v>
      </c>
      <c r="I31" s="50">
        <v>6.06</v>
      </c>
      <c r="J31" s="50">
        <v>0.2</v>
      </c>
      <c r="K31" s="50">
        <v>171.24</v>
      </c>
      <c r="L31" s="50">
        <v>29.03</v>
      </c>
      <c r="M31" s="50">
        <v>60.34</v>
      </c>
      <c r="N31" s="50">
        <v>0</v>
      </c>
      <c r="O31" s="50">
        <v>0</v>
      </c>
      <c r="P31" s="50">
        <v>0.61</v>
      </c>
      <c r="Q31" s="50">
        <v>4.91</v>
      </c>
    </row>
    <row r="32" spans="1:17" customFormat="1">
      <c r="A32" s="49">
        <v>45401</v>
      </c>
      <c r="B32" s="50">
        <v>3.22</v>
      </c>
      <c r="C32" s="50">
        <v>0.64</v>
      </c>
      <c r="D32" s="50">
        <v>4.2699999999999996</v>
      </c>
      <c r="E32" s="50">
        <v>14.36</v>
      </c>
      <c r="F32" s="50">
        <v>8.77</v>
      </c>
      <c r="G32" s="50">
        <v>53.09</v>
      </c>
      <c r="H32" s="50">
        <v>19.32</v>
      </c>
      <c r="I32" s="50">
        <v>6.42</v>
      </c>
      <c r="J32" s="50">
        <v>0.27</v>
      </c>
      <c r="K32" s="50">
        <v>167.44</v>
      </c>
      <c r="L32" s="50">
        <v>28.46</v>
      </c>
      <c r="M32" s="50">
        <v>63.49</v>
      </c>
      <c r="N32" s="50">
        <v>0</v>
      </c>
      <c r="O32" s="50">
        <v>0</v>
      </c>
      <c r="P32" s="50">
        <v>0.61</v>
      </c>
      <c r="Q32" s="50">
        <v>4.91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3.15</v>
      </c>
      <c r="C34" s="40">
        <f t="shared" si="0"/>
        <v>0.3</v>
      </c>
      <c r="D34" s="40">
        <f t="shared" si="0"/>
        <v>4.04</v>
      </c>
      <c r="E34" s="40">
        <f t="shared" si="0"/>
        <v>9.56</v>
      </c>
      <c r="F34" s="40">
        <f t="shared" si="0"/>
        <v>3.15</v>
      </c>
      <c r="G34" s="40">
        <f t="shared" si="0"/>
        <v>48.48</v>
      </c>
      <c r="H34" s="40">
        <f t="shared" si="0"/>
        <v>14.82</v>
      </c>
      <c r="I34" s="40">
        <f t="shared" si="0"/>
        <v>5.08</v>
      </c>
      <c r="J34" s="40">
        <f t="shared" si="0"/>
        <v>0.17</v>
      </c>
      <c r="K34" s="40">
        <f t="shared" si="0"/>
        <v>63.29</v>
      </c>
      <c r="L34" s="40">
        <f t="shared" si="0"/>
        <v>24.03</v>
      </c>
      <c r="M34" s="40">
        <f t="shared" si="0"/>
        <v>15.58</v>
      </c>
      <c r="N34" s="40">
        <f t="shared" si="0"/>
        <v>0</v>
      </c>
      <c r="O34" s="40">
        <f t="shared" si="0"/>
        <v>0</v>
      </c>
      <c r="P34" s="40">
        <f t="shared" si="0"/>
        <v>0.51</v>
      </c>
      <c r="Q34" s="40">
        <f t="shared" si="0"/>
        <v>4.8899999999999997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6.41</v>
      </c>
      <c r="C35" s="33">
        <f t="shared" si="1"/>
        <v>3.29</v>
      </c>
      <c r="D35" s="33">
        <f t="shared" si="1"/>
        <v>7.75</v>
      </c>
      <c r="E35" s="33">
        <f t="shared" si="1"/>
        <v>35.54</v>
      </c>
      <c r="F35" s="33">
        <f t="shared" si="1"/>
        <v>42.28</v>
      </c>
      <c r="G35" s="33">
        <f t="shared" si="1"/>
        <v>133.61000000000001</v>
      </c>
      <c r="H35" s="33">
        <f t="shared" si="1"/>
        <v>51.98</v>
      </c>
      <c r="I35" s="33">
        <f t="shared" si="1"/>
        <v>12.79</v>
      </c>
      <c r="J35" s="33">
        <f t="shared" si="1"/>
        <v>1.76</v>
      </c>
      <c r="K35" s="33">
        <f t="shared" si="1"/>
        <v>350.62</v>
      </c>
      <c r="L35" s="33">
        <f t="shared" si="1"/>
        <v>41.08</v>
      </c>
      <c r="M35" s="33">
        <f t="shared" si="1"/>
        <v>80.58</v>
      </c>
      <c r="N35" s="33">
        <f t="shared" si="1"/>
        <v>880</v>
      </c>
      <c r="O35" s="33">
        <f t="shared" si="1"/>
        <v>0</v>
      </c>
      <c r="P35" s="33">
        <f t="shared" si="1"/>
        <v>1.07</v>
      </c>
      <c r="Q35" s="33">
        <f t="shared" si="1"/>
        <v>4.9800000000000004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4.2641666666666662</v>
      </c>
      <c r="C36" s="40">
        <f t="shared" si="2"/>
        <v>1.5116666666666669</v>
      </c>
      <c r="D36" s="40">
        <f t="shared" si="2"/>
        <v>5.550416666666667</v>
      </c>
      <c r="E36" s="40">
        <f t="shared" si="2"/>
        <v>16.909583333333334</v>
      </c>
      <c r="F36" s="40">
        <f t="shared" si="2"/>
        <v>16.950000000000003</v>
      </c>
      <c r="G36" s="40">
        <f t="shared" si="2"/>
        <v>86.591250000000016</v>
      </c>
      <c r="H36" s="40">
        <f t="shared" si="2"/>
        <v>32.617083333333341</v>
      </c>
      <c r="I36" s="40">
        <f t="shared" si="2"/>
        <v>8.9762500000000021</v>
      </c>
      <c r="J36" s="40">
        <f t="shared" si="2"/>
        <v>0.59333333333333327</v>
      </c>
      <c r="K36" s="40">
        <f t="shared" si="2"/>
        <v>180.20458333333332</v>
      </c>
      <c r="L36" s="40">
        <f t="shared" si="2"/>
        <v>32.868333333333339</v>
      </c>
      <c r="M36" s="40">
        <f t="shared" si="2"/>
        <v>45.551666666666655</v>
      </c>
      <c r="N36" s="40">
        <f t="shared" si="2"/>
        <v>273.95</v>
      </c>
      <c r="O36" s="40">
        <f t="shared" si="2"/>
        <v>0</v>
      </c>
      <c r="P36" s="40">
        <f t="shared" si="2"/>
        <v>0.75375000000000003</v>
      </c>
      <c r="Q36" s="40">
        <f t="shared" si="2"/>
        <v>4.92875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1.2513363870771075</v>
      </c>
      <c r="C37" s="40">
        <f t="shared" ref="C37:Q37" si="3">STDEV(C9:C32)</f>
        <v>0.89583415908286801</v>
      </c>
      <c r="D37" s="40">
        <f t="shared" si="3"/>
        <v>1.4242663379611529</v>
      </c>
      <c r="E37" s="40">
        <f t="shared" si="3"/>
        <v>6.020341951263636</v>
      </c>
      <c r="F37" s="40">
        <f t="shared" si="3"/>
        <v>13.215739956911058</v>
      </c>
      <c r="G37" s="40">
        <f t="shared" si="3"/>
        <v>34.334634600533761</v>
      </c>
      <c r="H37" s="40">
        <f t="shared" si="3"/>
        <v>14.096779613479585</v>
      </c>
      <c r="I37" s="40">
        <f t="shared" si="3"/>
        <v>3.1293280463606066</v>
      </c>
      <c r="J37" s="40">
        <f t="shared" si="3"/>
        <v>0.49048039154766804</v>
      </c>
      <c r="K37" s="40">
        <f t="shared" si="3"/>
        <v>88.371104217885659</v>
      </c>
      <c r="L37" s="40">
        <f t="shared" si="3"/>
        <v>5.5946478046406911</v>
      </c>
      <c r="M37" s="40">
        <f t="shared" si="3"/>
        <v>22.765870654703019</v>
      </c>
      <c r="N37" s="40">
        <f t="shared" si="3"/>
        <v>348.31065719131175</v>
      </c>
      <c r="O37" s="40">
        <f t="shared" si="3"/>
        <v>0</v>
      </c>
      <c r="P37" s="40">
        <f t="shared" si="3"/>
        <v>0.21910514648768814</v>
      </c>
      <c r="Q37" s="40">
        <f t="shared" si="3"/>
        <v>2.472676775234206E-2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45401.041666666664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45401.041666666664</v>
      </c>
      <c r="B9" s="50">
        <v>3.45</v>
      </c>
      <c r="C9" s="50">
        <v>0.69</v>
      </c>
      <c r="D9" s="50">
        <v>4.4800000000000004</v>
      </c>
      <c r="E9" s="50">
        <v>14.51</v>
      </c>
      <c r="F9" s="50">
        <v>7.58</v>
      </c>
      <c r="G9" s="50">
        <v>54.82</v>
      </c>
      <c r="H9" s="50">
        <v>19.7</v>
      </c>
      <c r="I9" s="50">
        <v>6.71</v>
      </c>
      <c r="J9" s="50">
        <v>0.28000000000000003</v>
      </c>
      <c r="K9" s="50">
        <v>169.31</v>
      </c>
      <c r="L9" s="50">
        <v>27.06</v>
      </c>
      <c r="M9" s="50">
        <v>70.290000000000006</v>
      </c>
      <c r="N9" s="50">
        <v>0</v>
      </c>
      <c r="O9" s="50">
        <v>0</v>
      </c>
      <c r="P9" s="50">
        <v>0.61</v>
      </c>
      <c r="Q9" s="50">
        <v>4.9000000000000004</v>
      </c>
    </row>
    <row r="10" spans="1:21" customFormat="1">
      <c r="A10" s="49">
        <v>45401.083333333336</v>
      </c>
      <c r="B10" s="50">
        <v>3.36</v>
      </c>
      <c r="C10" s="50">
        <v>0.37</v>
      </c>
      <c r="D10" s="50">
        <v>4.24</v>
      </c>
      <c r="E10" s="50">
        <v>14.69</v>
      </c>
      <c r="F10" s="50">
        <v>5.68</v>
      </c>
      <c r="G10" s="50">
        <v>58.03</v>
      </c>
      <c r="H10" s="50">
        <v>21.35</v>
      </c>
      <c r="I10" s="50">
        <v>6.99</v>
      </c>
      <c r="J10" s="50">
        <v>0.27</v>
      </c>
      <c r="K10" s="50">
        <v>181.74</v>
      </c>
      <c r="L10" s="50">
        <v>26</v>
      </c>
      <c r="M10" s="50">
        <v>73.36</v>
      </c>
      <c r="N10" s="50">
        <v>0</v>
      </c>
      <c r="O10" s="50">
        <v>0</v>
      </c>
      <c r="P10" s="50">
        <v>0.63</v>
      </c>
      <c r="Q10" s="50">
        <v>4.9000000000000004</v>
      </c>
    </row>
    <row r="11" spans="1:21" customFormat="1">
      <c r="A11" s="49">
        <v>45401.125</v>
      </c>
      <c r="B11" s="50">
        <v>3.54</v>
      </c>
      <c r="C11" s="50">
        <v>0.6</v>
      </c>
      <c r="D11" s="50">
        <v>4.51</v>
      </c>
      <c r="E11" s="50">
        <v>13.36</v>
      </c>
      <c r="F11" s="50">
        <v>3.75</v>
      </c>
      <c r="G11" s="50">
        <v>58.03</v>
      </c>
      <c r="H11" s="50">
        <v>21.35</v>
      </c>
      <c r="I11" s="50">
        <v>7.17</v>
      </c>
      <c r="J11" s="50">
        <v>0.22</v>
      </c>
      <c r="K11" s="50">
        <v>228.16</v>
      </c>
      <c r="L11" s="50">
        <v>25.96</v>
      </c>
      <c r="M11" s="50">
        <v>68.260000000000005</v>
      </c>
      <c r="N11" s="50">
        <v>0</v>
      </c>
      <c r="O11" s="50">
        <v>0</v>
      </c>
      <c r="P11" s="50">
        <v>0.63</v>
      </c>
      <c r="Q11" s="50">
        <v>4.92</v>
      </c>
    </row>
    <row r="12" spans="1:21" customFormat="1">
      <c r="A12" s="49">
        <v>45401.166666666664</v>
      </c>
      <c r="B12" s="50">
        <v>4.1399999999999997</v>
      </c>
      <c r="C12" s="50">
        <v>2.39</v>
      </c>
      <c r="D12" s="50">
        <v>5.92</v>
      </c>
      <c r="E12" s="50">
        <v>12.39</v>
      </c>
      <c r="F12" s="50">
        <v>3.43</v>
      </c>
      <c r="G12" s="50">
        <v>54.04</v>
      </c>
      <c r="H12" s="50">
        <v>17.82</v>
      </c>
      <c r="I12" s="50">
        <v>7.41</v>
      </c>
      <c r="J12" s="50">
        <v>0.25</v>
      </c>
      <c r="K12" s="50">
        <v>180.54</v>
      </c>
      <c r="L12" s="50">
        <v>25.84</v>
      </c>
      <c r="M12" s="50">
        <v>70.41</v>
      </c>
      <c r="N12" s="50">
        <v>0</v>
      </c>
      <c r="O12" s="50">
        <v>0</v>
      </c>
      <c r="P12" s="50">
        <v>0.63</v>
      </c>
      <c r="Q12" s="50">
        <v>4.93</v>
      </c>
    </row>
    <row r="13" spans="1:21" customFormat="1">
      <c r="A13" s="49">
        <v>45401.208333333336</v>
      </c>
      <c r="B13" s="50">
        <v>3.46</v>
      </c>
      <c r="C13" s="50">
        <v>0.62</v>
      </c>
      <c r="D13" s="50">
        <v>4.45</v>
      </c>
      <c r="E13" s="50">
        <v>12.41</v>
      </c>
      <c r="F13" s="50">
        <v>3.19</v>
      </c>
      <c r="G13" s="50">
        <v>55.18</v>
      </c>
      <c r="H13" s="50">
        <v>17.43</v>
      </c>
      <c r="I13" s="50">
        <v>7.88</v>
      </c>
      <c r="J13" s="50">
        <v>0.21</v>
      </c>
      <c r="K13" s="50">
        <v>183.01</v>
      </c>
      <c r="L13" s="50">
        <v>24.78</v>
      </c>
      <c r="M13" s="50">
        <v>78.290000000000006</v>
      </c>
      <c r="N13" s="50">
        <v>0</v>
      </c>
      <c r="O13" s="50">
        <v>0</v>
      </c>
      <c r="P13" s="50">
        <v>0.63</v>
      </c>
      <c r="Q13" s="50">
        <v>4.91</v>
      </c>
    </row>
    <row r="14" spans="1:21" customFormat="1">
      <c r="A14" s="49">
        <v>45401.25</v>
      </c>
      <c r="B14" s="50">
        <v>3.91</v>
      </c>
      <c r="C14" s="50">
        <v>1.89</v>
      </c>
      <c r="D14" s="50">
        <v>5.47</v>
      </c>
      <c r="E14" s="50">
        <v>12.05</v>
      </c>
      <c r="F14" s="50">
        <v>2.96</v>
      </c>
      <c r="G14" s="50">
        <v>55.52</v>
      </c>
      <c r="H14" s="50">
        <v>19.54</v>
      </c>
      <c r="I14" s="50">
        <v>9.36</v>
      </c>
      <c r="J14" s="50">
        <v>0.26</v>
      </c>
      <c r="K14" s="50">
        <v>164.84</v>
      </c>
      <c r="L14" s="50">
        <v>24.19</v>
      </c>
      <c r="M14" s="50">
        <v>75.11</v>
      </c>
      <c r="N14" s="50">
        <v>9.3000000000000007</v>
      </c>
      <c r="O14" s="50">
        <v>0</v>
      </c>
      <c r="P14" s="50">
        <v>0.65</v>
      </c>
      <c r="Q14" s="50">
        <v>4.92</v>
      </c>
    </row>
    <row r="15" spans="1:21" customFormat="1">
      <c r="A15" s="49">
        <v>45401.291666666664</v>
      </c>
      <c r="B15" s="50">
        <v>3.59</v>
      </c>
      <c r="C15" s="50">
        <v>0.75</v>
      </c>
      <c r="D15" s="50">
        <v>4.62</v>
      </c>
      <c r="E15" s="50">
        <v>12.54</v>
      </c>
      <c r="F15" s="50">
        <v>3.04</v>
      </c>
      <c r="G15" s="50">
        <v>70.760000000000005</v>
      </c>
      <c r="H15" s="50">
        <v>24.33</v>
      </c>
      <c r="I15" s="50">
        <v>11.05</v>
      </c>
      <c r="J15" s="50">
        <v>0.33</v>
      </c>
      <c r="K15" s="50">
        <v>191.04</v>
      </c>
      <c r="L15" s="50">
        <v>25.92</v>
      </c>
      <c r="M15" s="50">
        <v>76.58</v>
      </c>
      <c r="N15" s="50">
        <v>46.9</v>
      </c>
      <c r="O15" s="50">
        <v>0</v>
      </c>
      <c r="P15" s="50">
        <v>0.68</v>
      </c>
      <c r="Q15" s="50">
        <v>4.91</v>
      </c>
    </row>
    <row r="16" spans="1:21" customFormat="1">
      <c r="A16" s="49">
        <v>45401.333333333336</v>
      </c>
      <c r="B16" s="50">
        <v>3.41</v>
      </c>
      <c r="C16" s="50">
        <v>0.45</v>
      </c>
      <c r="D16" s="50">
        <v>4.32</v>
      </c>
      <c r="E16" s="50">
        <v>14.28</v>
      </c>
      <c r="F16" s="50">
        <v>8.48</v>
      </c>
      <c r="G16" s="50">
        <v>70.760000000000005</v>
      </c>
      <c r="H16" s="50">
        <v>24.33</v>
      </c>
      <c r="I16" s="50">
        <v>12</v>
      </c>
      <c r="J16" s="50">
        <v>0.28000000000000003</v>
      </c>
      <c r="K16" s="50">
        <v>221.85</v>
      </c>
      <c r="L16" s="50">
        <v>30.83</v>
      </c>
      <c r="M16" s="50">
        <v>66.84</v>
      </c>
      <c r="N16" s="50">
        <v>192.7</v>
      </c>
      <c r="O16" s="50">
        <v>0</v>
      </c>
      <c r="P16" s="50">
        <v>0.71</v>
      </c>
      <c r="Q16" s="50">
        <v>4.91</v>
      </c>
    </row>
    <row r="17" spans="1:17" customFormat="1">
      <c r="A17" s="49">
        <v>45401.375</v>
      </c>
      <c r="B17" s="50">
        <v>4.0599999999999996</v>
      </c>
      <c r="C17" s="50">
        <v>2.14</v>
      </c>
      <c r="D17" s="50">
        <v>5.72</v>
      </c>
      <c r="E17" s="50">
        <v>46.73</v>
      </c>
      <c r="F17" s="50">
        <v>28.76</v>
      </c>
      <c r="G17" s="50">
        <v>72.040000000000006</v>
      </c>
      <c r="H17" s="50">
        <v>24.05</v>
      </c>
      <c r="I17" s="50">
        <v>12.64</v>
      </c>
      <c r="J17" s="50">
        <v>0.33</v>
      </c>
      <c r="K17" s="50">
        <v>195.81</v>
      </c>
      <c r="L17" s="50">
        <v>35.119999999999997</v>
      </c>
      <c r="M17" s="50">
        <v>44.94</v>
      </c>
      <c r="N17" s="50">
        <v>396</v>
      </c>
      <c r="O17" s="50">
        <v>0</v>
      </c>
      <c r="P17" s="50">
        <v>0.82</v>
      </c>
      <c r="Q17" s="50">
        <v>4.9400000000000004</v>
      </c>
    </row>
    <row r="18" spans="1:17" customFormat="1">
      <c r="A18" s="49">
        <v>45401.416666666664</v>
      </c>
      <c r="B18" s="50">
        <v>3.39</v>
      </c>
      <c r="C18" s="50">
        <v>0.66</v>
      </c>
      <c r="D18" s="50">
        <v>4.41</v>
      </c>
      <c r="E18" s="50">
        <v>66.75</v>
      </c>
      <c r="F18" s="50">
        <v>35.700000000000003</v>
      </c>
      <c r="G18" s="50">
        <v>83.71</v>
      </c>
      <c r="H18" s="50">
        <v>32.15</v>
      </c>
      <c r="I18" s="50">
        <v>13.14</v>
      </c>
      <c r="J18" s="50">
        <v>0.39</v>
      </c>
      <c r="K18" s="50">
        <v>265.89</v>
      </c>
      <c r="L18" s="50">
        <v>37.67</v>
      </c>
      <c r="M18" s="50">
        <v>32.14</v>
      </c>
      <c r="N18" s="50">
        <v>648.1</v>
      </c>
      <c r="O18" s="50">
        <v>0</v>
      </c>
      <c r="P18" s="50">
        <v>0.84</v>
      </c>
      <c r="Q18" s="50">
        <v>4.93</v>
      </c>
    </row>
    <row r="19" spans="1:17" customFormat="1">
      <c r="A19" s="49">
        <v>45401.458333333336</v>
      </c>
      <c r="B19" s="50">
        <v>3.42</v>
      </c>
      <c r="C19" s="50">
        <v>1.05</v>
      </c>
      <c r="D19" s="50">
        <v>4.6399999999999997</v>
      </c>
      <c r="E19" s="50">
        <v>43.62</v>
      </c>
      <c r="F19" s="50">
        <v>49.08</v>
      </c>
      <c r="G19" s="50">
        <v>84.56</v>
      </c>
      <c r="H19" s="50">
        <v>36.9</v>
      </c>
      <c r="I19" s="50">
        <v>12.26</v>
      </c>
      <c r="J19" s="50">
        <v>0.25</v>
      </c>
      <c r="K19" s="50">
        <v>262.14999999999998</v>
      </c>
      <c r="L19" s="50">
        <v>40</v>
      </c>
      <c r="M19" s="50">
        <v>21.25</v>
      </c>
      <c r="N19" s="50">
        <v>760.8</v>
      </c>
      <c r="O19" s="50">
        <v>0</v>
      </c>
      <c r="P19" s="50">
        <v>0.76</v>
      </c>
      <c r="Q19" s="50">
        <v>4.92</v>
      </c>
    </row>
    <row r="20" spans="1:17" customFormat="1">
      <c r="A20" s="49">
        <v>45401.5</v>
      </c>
      <c r="B20" s="50">
        <v>3.35</v>
      </c>
      <c r="C20" s="50">
        <v>0.48</v>
      </c>
      <c r="D20" s="50">
        <v>4.28</v>
      </c>
      <c r="E20" s="50">
        <v>25.86</v>
      </c>
      <c r="F20" s="50">
        <v>53.32</v>
      </c>
      <c r="G20" s="50">
        <v>84.56</v>
      </c>
      <c r="H20" s="50">
        <v>36.9</v>
      </c>
      <c r="I20" s="50">
        <v>11.02</v>
      </c>
      <c r="J20" s="50">
        <v>0.56000000000000005</v>
      </c>
      <c r="K20" s="50">
        <v>342</v>
      </c>
      <c r="L20" s="50">
        <v>41.46</v>
      </c>
      <c r="M20" s="50">
        <v>17.03</v>
      </c>
      <c r="N20" s="50">
        <v>844.4</v>
      </c>
      <c r="O20" s="50">
        <v>0</v>
      </c>
      <c r="P20" s="50">
        <v>0.7</v>
      </c>
      <c r="Q20" s="50">
        <v>4.9000000000000004</v>
      </c>
    </row>
    <row r="21" spans="1:17" customFormat="1">
      <c r="A21" s="49">
        <v>45401.541666666664</v>
      </c>
      <c r="B21" s="50">
        <v>3.4</v>
      </c>
      <c r="C21" s="50">
        <v>0.69</v>
      </c>
      <c r="D21" s="50">
        <v>4.4400000000000004</v>
      </c>
      <c r="E21" s="50">
        <v>20.64</v>
      </c>
      <c r="F21" s="50">
        <v>38.86</v>
      </c>
      <c r="G21" s="50">
        <v>79.05</v>
      </c>
      <c r="H21" s="50">
        <v>33.200000000000003</v>
      </c>
      <c r="I21" s="50">
        <v>9.52</v>
      </c>
      <c r="J21" s="50">
        <v>1.2</v>
      </c>
      <c r="K21" s="50">
        <v>337.39</v>
      </c>
      <c r="L21" s="50">
        <v>41.83</v>
      </c>
      <c r="M21" s="50">
        <v>12.45</v>
      </c>
      <c r="N21" s="50">
        <v>872.1</v>
      </c>
      <c r="O21" s="50">
        <v>0</v>
      </c>
      <c r="P21" s="50">
        <v>0.7</v>
      </c>
      <c r="Q21" s="50">
        <v>4.9400000000000004</v>
      </c>
    </row>
    <row r="22" spans="1:17" customFormat="1">
      <c r="A22" s="49">
        <v>45401.583333333336</v>
      </c>
      <c r="B22" s="50">
        <v>3.49</v>
      </c>
      <c r="C22" s="50">
        <v>1.58</v>
      </c>
      <c r="D22" s="50">
        <v>4.97</v>
      </c>
      <c r="E22" s="50">
        <v>15.97</v>
      </c>
      <c r="F22" s="50">
        <v>37.42</v>
      </c>
      <c r="G22" s="50">
        <v>67.41</v>
      </c>
      <c r="H22" s="50">
        <v>24.84</v>
      </c>
      <c r="I22" s="50">
        <v>8.76</v>
      </c>
      <c r="J22" s="50">
        <v>1.1100000000000001</v>
      </c>
      <c r="K22" s="50">
        <v>341.3</v>
      </c>
      <c r="L22" s="50">
        <v>42.14</v>
      </c>
      <c r="M22" s="50">
        <v>11.76</v>
      </c>
      <c r="N22" s="50">
        <v>848.4</v>
      </c>
      <c r="O22" s="50">
        <v>0</v>
      </c>
      <c r="P22" s="50">
        <v>0.56000000000000005</v>
      </c>
      <c r="Q22" s="50">
        <v>4.92</v>
      </c>
    </row>
    <row r="23" spans="1:17" customFormat="1">
      <c r="A23" s="49">
        <v>45401.625</v>
      </c>
      <c r="B23" s="50">
        <v>3.27</v>
      </c>
      <c r="C23" s="50">
        <v>0.25</v>
      </c>
      <c r="D23" s="50">
        <v>4.08</v>
      </c>
      <c r="E23" s="50">
        <v>14.47</v>
      </c>
      <c r="F23" s="50">
        <v>38.65</v>
      </c>
      <c r="G23" s="50">
        <v>53.33</v>
      </c>
      <c r="H23" s="50">
        <v>20.74</v>
      </c>
      <c r="I23" s="50">
        <v>7.03</v>
      </c>
      <c r="J23" s="50">
        <v>0.77</v>
      </c>
      <c r="K23" s="50">
        <v>181.88</v>
      </c>
      <c r="L23" s="50">
        <v>43.84</v>
      </c>
      <c r="M23" s="50">
        <v>12.2</v>
      </c>
      <c r="N23" s="50">
        <v>738.9</v>
      </c>
      <c r="O23" s="50">
        <v>0</v>
      </c>
      <c r="P23" s="50">
        <v>0.53</v>
      </c>
      <c r="Q23" s="50">
        <v>4.9000000000000004</v>
      </c>
    </row>
    <row r="24" spans="1:17" customFormat="1">
      <c r="A24" s="49">
        <v>45401.666666666664</v>
      </c>
      <c r="B24" s="50">
        <v>3.28</v>
      </c>
      <c r="C24" s="50">
        <v>0.22</v>
      </c>
      <c r="D24" s="50">
        <v>4.09</v>
      </c>
      <c r="E24" s="50">
        <v>14.18</v>
      </c>
      <c r="F24" s="50">
        <v>35.909999999999997</v>
      </c>
      <c r="G24" s="50">
        <v>46.06</v>
      </c>
      <c r="H24" s="50">
        <v>17.920000000000002</v>
      </c>
      <c r="I24" s="50">
        <v>6.67</v>
      </c>
      <c r="J24" s="50">
        <v>0.78</v>
      </c>
      <c r="K24" s="50">
        <v>315.08</v>
      </c>
      <c r="L24" s="50">
        <v>43.77</v>
      </c>
      <c r="M24" s="50">
        <v>13.04</v>
      </c>
      <c r="N24" s="50">
        <v>585.29999999999995</v>
      </c>
      <c r="O24" s="50">
        <v>0</v>
      </c>
      <c r="P24" s="50">
        <v>0.48</v>
      </c>
      <c r="Q24" s="50">
        <v>4.93</v>
      </c>
    </row>
    <row r="25" spans="1:17" customFormat="1">
      <c r="A25" s="49">
        <v>45401.708333333336</v>
      </c>
      <c r="B25" s="50">
        <v>3.29</v>
      </c>
      <c r="C25" s="50">
        <v>0.48</v>
      </c>
      <c r="D25" s="50">
        <v>4.24</v>
      </c>
      <c r="E25" s="50">
        <v>18.12</v>
      </c>
      <c r="F25" s="50">
        <v>64</v>
      </c>
      <c r="G25" s="50">
        <v>37.729999999999997</v>
      </c>
      <c r="H25" s="50">
        <v>13.94</v>
      </c>
      <c r="I25" s="50">
        <v>5.81</v>
      </c>
      <c r="J25" s="50">
        <v>0.49</v>
      </c>
      <c r="K25" s="50">
        <v>242.23</v>
      </c>
      <c r="L25" s="50">
        <v>42.51</v>
      </c>
      <c r="M25" s="50">
        <v>16.579999999999998</v>
      </c>
      <c r="N25" s="50">
        <v>344.5</v>
      </c>
      <c r="O25" s="50">
        <v>0</v>
      </c>
      <c r="P25" s="50">
        <v>0.44</v>
      </c>
      <c r="Q25" s="50">
        <v>4.92</v>
      </c>
    </row>
    <row r="26" spans="1:17" customFormat="1">
      <c r="A26" s="49">
        <v>45401.75</v>
      </c>
      <c r="B26" s="50">
        <v>3.33</v>
      </c>
      <c r="C26" s="50">
        <v>0.35</v>
      </c>
      <c r="D26" s="50">
        <v>4.21</v>
      </c>
      <c r="E26" s="50">
        <v>20.76</v>
      </c>
      <c r="F26" s="50">
        <v>73.64</v>
      </c>
      <c r="G26" s="50">
        <v>37.729999999999997</v>
      </c>
      <c r="H26" s="50">
        <v>14.61</v>
      </c>
      <c r="I26" s="50">
        <v>5.46</v>
      </c>
      <c r="J26" s="50">
        <v>0.28000000000000003</v>
      </c>
      <c r="K26" s="50">
        <v>160.55000000000001</v>
      </c>
      <c r="L26" s="50">
        <v>40.450000000000003</v>
      </c>
      <c r="M26" s="50">
        <v>25.98</v>
      </c>
      <c r="N26" s="50">
        <v>130.80000000000001</v>
      </c>
      <c r="O26" s="50">
        <v>0</v>
      </c>
      <c r="P26" s="50">
        <v>0.45</v>
      </c>
      <c r="Q26" s="50">
        <v>4.88</v>
      </c>
    </row>
    <row r="27" spans="1:17" customFormat="1">
      <c r="A27" s="49">
        <v>45401.791666666664</v>
      </c>
      <c r="B27" s="50">
        <v>3.35</v>
      </c>
      <c r="C27" s="50">
        <v>0.57999999999999996</v>
      </c>
      <c r="D27" s="50">
        <v>4.33</v>
      </c>
      <c r="E27" s="50">
        <v>16.97</v>
      </c>
      <c r="F27" s="50">
        <v>51.11</v>
      </c>
      <c r="G27" s="50">
        <v>41.07</v>
      </c>
      <c r="H27" s="50">
        <v>16.89</v>
      </c>
      <c r="I27" s="50">
        <v>5.7</v>
      </c>
      <c r="J27" s="50">
        <v>0.2</v>
      </c>
      <c r="K27" s="50">
        <v>173.19</v>
      </c>
      <c r="L27" s="50">
        <v>36.03</v>
      </c>
      <c r="M27" s="50">
        <v>39.58</v>
      </c>
      <c r="N27" s="50">
        <v>0.1</v>
      </c>
      <c r="O27" s="50">
        <v>0</v>
      </c>
      <c r="P27" s="50">
        <v>0.52</v>
      </c>
      <c r="Q27" s="50">
        <v>4.8899999999999997</v>
      </c>
    </row>
    <row r="28" spans="1:17" customFormat="1">
      <c r="A28" s="49">
        <v>45401.833333333336</v>
      </c>
      <c r="B28" s="50">
        <v>3.29</v>
      </c>
      <c r="C28" s="50">
        <v>0.28000000000000003</v>
      </c>
      <c r="D28" s="50">
        <v>4.1399999999999997</v>
      </c>
      <c r="E28" s="50">
        <v>17.010000000000002</v>
      </c>
      <c r="F28" s="50">
        <v>39.090000000000003</v>
      </c>
      <c r="G28" s="50">
        <v>51.98</v>
      </c>
      <c r="H28" s="50">
        <v>16.89</v>
      </c>
      <c r="I28" s="50">
        <v>7.04</v>
      </c>
      <c r="J28" s="50">
        <v>0.28999999999999998</v>
      </c>
      <c r="K28" s="50">
        <v>268.23</v>
      </c>
      <c r="L28" s="50">
        <v>33.479999999999997</v>
      </c>
      <c r="M28" s="50">
        <v>34.47</v>
      </c>
      <c r="N28" s="50">
        <v>0</v>
      </c>
      <c r="O28" s="50">
        <v>0</v>
      </c>
      <c r="P28" s="50">
        <v>0.78</v>
      </c>
      <c r="Q28" s="50">
        <v>4.91</v>
      </c>
    </row>
    <row r="29" spans="1:17" customFormat="1">
      <c r="A29" s="49">
        <v>45401.875</v>
      </c>
      <c r="B29" s="50">
        <v>3.37</v>
      </c>
      <c r="C29" s="50">
        <v>0.67</v>
      </c>
      <c r="D29" s="50">
        <v>4.4000000000000004</v>
      </c>
      <c r="E29" s="50">
        <v>16.03</v>
      </c>
      <c r="F29" s="50">
        <v>21.06</v>
      </c>
      <c r="G29" s="50">
        <v>59.5</v>
      </c>
      <c r="H29" s="50">
        <v>18.43</v>
      </c>
      <c r="I29" s="50">
        <v>7.45</v>
      </c>
      <c r="J29" s="50">
        <v>0.28000000000000003</v>
      </c>
      <c r="K29" s="50">
        <v>174.64</v>
      </c>
      <c r="L29" s="50">
        <v>33.32</v>
      </c>
      <c r="M29" s="50">
        <v>43.42</v>
      </c>
      <c r="N29" s="50">
        <v>0</v>
      </c>
      <c r="O29" s="50">
        <v>0</v>
      </c>
      <c r="P29" s="50">
        <v>0.77</v>
      </c>
      <c r="Q29" s="50">
        <v>4.9000000000000004</v>
      </c>
    </row>
    <row r="30" spans="1:17" customFormat="1">
      <c r="A30" s="49">
        <v>45401.916666666664</v>
      </c>
      <c r="B30" s="50">
        <v>3.44</v>
      </c>
      <c r="C30" s="50">
        <v>0.83</v>
      </c>
      <c r="D30" s="50">
        <v>4.55</v>
      </c>
      <c r="E30" s="50">
        <v>14.82</v>
      </c>
      <c r="F30" s="50">
        <v>16.21</v>
      </c>
      <c r="G30" s="50">
        <v>59.5</v>
      </c>
      <c r="H30" s="50">
        <v>20.260000000000002</v>
      </c>
      <c r="I30" s="50">
        <v>7.41</v>
      </c>
      <c r="J30" s="50">
        <v>0.22</v>
      </c>
      <c r="K30" s="50">
        <v>186.13</v>
      </c>
      <c r="L30" s="50">
        <v>30.33</v>
      </c>
      <c r="M30" s="50">
        <v>53.23</v>
      </c>
      <c r="N30" s="50">
        <v>0</v>
      </c>
      <c r="O30" s="50">
        <v>0</v>
      </c>
      <c r="P30" s="50">
        <v>0.7</v>
      </c>
      <c r="Q30" s="50">
        <v>4.91</v>
      </c>
    </row>
    <row r="31" spans="1:17" customFormat="1">
      <c r="A31" s="49">
        <v>45401.958333333336</v>
      </c>
      <c r="B31" s="50">
        <v>3.41</v>
      </c>
      <c r="C31" s="50">
        <v>0.45</v>
      </c>
      <c r="D31" s="50">
        <v>4.32</v>
      </c>
      <c r="E31" s="50">
        <v>13.18</v>
      </c>
      <c r="F31" s="50">
        <v>7.89</v>
      </c>
      <c r="G31" s="50">
        <v>57.91</v>
      </c>
      <c r="H31" s="50">
        <v>21.9</v>
      </c>
      <c r="I31" s="50">
        <v>7.7</v>
      </c>
      <c r="J31" s="50">
        <v>0.21</v>
      </c>
      <c r="K31" s="50">
        <v>192.31</v>
      </c>
      <c r="L31" s="50">
        <v>29.56</v>
      </c>
      <c r="M31" s="50">
        <v>55.23</v>
      </c>
      <c r="N31" s="50">
        <v>0</v>
      </c>
      <c r="O31" s="50">
        <v>0</v>
      </c>
      <c r="P31" s="50">
        <v>0.74</v>
      </c>
      <c r="Q31" s="50">
        <v>4.92</v>
      </c>
    </row>
    <row r="32" spans="1:17" customFormat="1">
      <c r="A32" s="49">
        <v>45402</v>
      </c>
      <c r="B32" s="50">
        <v>3.31</v>
      </c>
      <c r="C32" s="50">
        <v>0.34</v>
      </c>
      <c r="D32" s="50">
        <v>4.18</v>
      </c>
      <c r="E32" s="50">
        <v>13.84</v>
      </c>
      <c r="F32" s="50">
        <v>8.32</v>
      </c>
      <c r="G32" s="50">
        <v>60.8</v>
      </c>
      <c r="H32" s="50">
        <v>21.9</v>
      </c>
      <c r="I32" s="50">
        <v>7.98</v>
      </c>
      <c r="J32" s="50">
        <v>0.24</v>
      </c>
      <c r="K32" s="50">
        <v>162.82</v>
      </c>
      <c r="L32" s="50">
        <v>29.28</v>
      </c>
      <c r="M32" s="50">
        <v>53.82</v>
      </c>
      <c r="N32" s="50">
        <v>0</v>
      </c>
      <c r="O32" s="50">
        <v>0</v>
      </c>
      <c r="P32" s="50">
        <v>0.76</v>
      </c>
      <c r="Q32" s="50">
        <v>4.92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3.27</v>
      </c>
      <c r="C34" s="40">
        <f t="shared" si="0"/>
        <v>0.22</v>
      </c>
      <c r="D34" s="40">
        <f t="shared" si="0"/>
        <v>4.08</v>
      </c>
      <c r="E34" s="40">
        <f t="shared" si="0"/>
        <v>12.05</v>
      </c>
      <c r="F34" s="40">
        <f t="shared" si="0"/>
        <v>2.96</v>
      </c>
      <c r="G34" s="40">
        <f t="shared" si="0"/>
        <v>37.729999999999997</v>
      </c>
      <c r="H34" s="40">
        <f t="shared" si="0"/>
        <v>13.94</v>
      </c>
      <c r="I34" s="40">
        <f t="shared" si="0"/>
        <v>5.46</v>
      </c>
      <c r="J34" s="40">
        <f t="shared" si="0"/>
        <v>0.2</v>
      </c>
      <c r="K34" s="40">
        <f t="shared" si="0"/>
        <v>160.55000000000001</v>
      </c>
      <c r="L34" s="40">
        <f t="shared" si="0"/>
        <v>24.19</v>
      </c>
      <c r="M34" s="40">
        <f t="shared" si="0"/>
        <v>11.76</v>
      </c>
      <c r="N34" s="40">
        <f t="shared" si="0"/>
        <v>0</v>
      </c>
      <c r="O34" s="40">
        <f t="shared" si="0"/>
        <v>0</v>
      </c>
      <c r="P34" s="40">
        <f t="shared" si="0"/>
        <v>0.44</v>
      </c>
      <c r="Q34" s="40">
        <f t="shared" si="0"/>
        <v>4.88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4.1399999999999997</v>
      </c>
      <c r="C35" s="33">
        <f t="shared" si="1"/>
        <v>2.39</v>
      </c>
      <c r="D35" s="33">
        <f t="shared" si="1"/>
        <v>5.92</v>
      </c>
      <c r="E35" s="33">
        <f t="shared" si="1"/>
        <v>66.75</v>
      </c>
      <c r="F35" s="33">
        <f t="shared" si="1"/>
        <v>73.64</v>
      </c>
      <c r="G35" s="33">
        <f t="shared" si="1"/>
        <v>84.56</v>
      </c>
      <c r="H35" s="33">
        <f t="shared" si="1"/>
        <v>36.9</v>
      </c>
      <c r="I35" s="33">
        <f t="shared" si="1"/>
        <v>13.14</v>
      </c>
      <c r="J35" s="33">
        <f t="shared" si="1"/>
        <v>1.2</v>
      </c>
      <c r="K35" s="33">
        <f t="shared" si="1"/>
        <v>342</v>
      </c>
      <c r="L35" s="33">
        <f t="shared" si="1"/>
        <v>43.84</v>
      </c>
      <c r="M35" s="33">
        <f t="shared" si="1"/>
        <v>78.290000000000006</v>
      </c>
      <c r="N35" s="33">
        <f t="shared" si="1"/>
        <v>872.1</v>
      </c>
      <c r="O35" s="33">
        <f t="shared" si="1"/>
        <v>0</v>
      </c>
      <c r="P35" s="33">
        <f t="shared" si="1"/>
        <v>0.84</v>
      </c>
      <c r="Q35" s="33">
        <f t="shared" si="1"/>
        <v>4.9400000000000004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3.4712500000000008</v>
      </c>
      <c r="C36" s="40">
        <f t="shared" si="2"/>
        <v>0.78375000000000006</v>
      </c>
      <c r="D36" s="40">
        <f t="shared" si="2"/>
        <v>4.5420833333333333</v>
      </c>
      <c r="E36" s="40">
        <f t="shared" si="2"/>
        <v>20.215833333333332</v>
      </c>
      <c r="F36" s="40">
        <f t="shared" si="2"/>
        <v>26.547083333333333</v>
      </c>
      <c r="G36" s="40">
        <f t="shared" si="2"/>
        <v>60.586666666666666</v>
      </c>
      <c r="H36" s="40">
        <f t="shared" si="2"/>
        <v>22.390416666666663</v>
      </c>
      <c r="I36" s="40">
        <f t="shared" si="2"/>
        <v>8.5066666666666642</v>
      </c>
      <c r="J36" s="40">
        <f t="shared" si="2"/>
        <v>0.40416666666666673</v>
      </c>
      <c r="K36" s="40">
        <f t="shared" si="2"/>
        <v>221.75374999999997</v>
      </c>
      <c r="L36" s="40">
        <f t="shared" si="2"/>
        <v>33.807083333333331</v>
      </c>
      <c r="M36" s="40">
        <f t="shared" si="2"/>
        <v>44.427500000000009</v>
      </c>
      <c r="N36" s="40">
        <f t="shared" si="2"/>
        <v>267.42916666666667</v>
      </c>
      <c r="O36" s="40">
        <f t="shared" si="2"/>
        <v>0</v>
      </c>
      <c r="P36" s="40">
        <f t="shared" si="2"/>
        <v>0.6549999999999998</v>
      </c>
      <c r="Q36" s="40">
        <f t="shared" si="2"/>
        <v>4.9137500000000003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0.23495258541096881</v>
      </c>
      <c r="C37" s="40">
        <f t="shared" ref="C37:Q37" si="3">STDEV(C9:C32)</f>
        <v>0.60142448656791325</v>
      </c>
      <c r="D37" s="40">
        <f t="shared" si="3"/>
        <v>0.49445603986837816</v>
      </c>
      <c r="E37" s="40">
        <f t="shared" si="3"/>
        <v>13.336918331447865</v>
      </c>
      <c r="F37" s="40">
        <f t="shared" si="3"/>
        <v>21.715319873539627</v>
      </c>
      <c r="G37" s="40">
        <f t="shared" si="3"/>
        <v>13.715951889383547</v>
      </c>
      <c r="H37" s="40">
        <f t="shared" si="3"/>
        <v>6.4211623485002516</v>
      </c>
      <c r="I37" s="40">
        <f t="shared" si="3"/>
        <v>2.3195008208601826</v>
      </c>
      <c r="J37" s="40">
        <f t="shared" si="3"/>
        <v>0.28148544895076633</v>
      </c>
      <c r="K37" s="40">
        <f t="shared" si="3"/>
        <v>60.778302894350404</v>
      </c>
      <c r="L37" s="40">
        <f t="shared" si="3"/>
        <v>6.914497988107021</v>
      </c>
      <c r="M37" s="40">
        <f t="shared" si="3"/>
        <v>24.180173741598967</v>
      </c>
      <c r="N37" s="40">
        <f t="shared" si="3"/>
        <v>342.39156008387044</v>
      </c>
      <c r="O37" s="40">
        <f t="shared" si="3"/>
        <v>0</v>
      </c>
      <c r="P37" s="40">
        <f t="shared" si="3"/>
        <v>0.11336742880141422</v>
      </c>
      <c r="Q37" s="40">
        <f t="shared" si="3"/>
        <v>1.4981873105160429E-2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G38" sqref="G38:H38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45402.041666666664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45402.041666666664</v>
      </c>
      <c r="B9" s="54">
        <v>3.5</v>
      </c>
      <c r="C9" s="54">
        <v>1.1100000000000001</v>
      </c>
      <c r="D9" s="54">
        <v>4.74</v>
      </c>
      <c r="E9" s="54">
        <v>13.69</v>
      </c>
      <c r="F9" s="54">
        <v>5.37</v>
      </c>
      <c r="G9" s="54">
        <v>62.05</v>
      </c>
      <c r="H9" s="54">
        <v>21.57</v>
      </c>
      <c r="I9" s="54">
        <v>8.2200000000000006</v>
      </c>
      <c r="J9" s="54">
        <v>0.24</v>
      </c>
      <c r="K9" s="54">
        <v>163.54</v>
      </c>
      <c r="L9" s="54">
        <v>29.06</v>
      </c>
      <c r="M9" s="54">
        <v>58.78</v>
      </c>
      <c r="N9" s="54">
        <v>0</v>
      </c>
      <c r="O9" s="54">
        <v>0</v>
      </c>
      <c r="P9" s="54">
        <v>0.78</v>
      </c>
      <c r="Q9" s="54">
        <v>4.92</v>
      </c>
    </row>
    <row r="10" spans="1:21" customFormat="1">
      <c r="A10" s="53">
        <v>45402.083333333336</v>
      </c>
      <c r="B10" s="54">
        <v>3.67</v>
      </c>
      <c r="C10" s="54">
        <v>1.39</v>
      </c>
      <c r="D10" s="54">
        <v>5.0199999999999996</v>
      </c>
      <c r="E10" s="54">
        <v>13.53</v>
      </c>
      <c r="F10" s="54">
        <v>3.42</v>
      </c>
      <c r="G10" s="54">
        <v>62.05</v>
      </c>
      <c r="H10" s="54">
        <v>23.26</v>
      </c>
      <c r="I10" s="54">
        <v>8.3699999999999992</v>
      </c>
      <c r="J10" s="54">
        <v>0.24</v>
      </c>
      <c r="K10" s="54">
        <v>182.68</v>
      </c>
      <c r="L10" s="54">
        <v>28.21</v>
      </c>
      <c r="M10" s="54">
        <v>62.37</v>
      </c>
      <c r="N10" s="54">
        <v>0</v>
      </c>
      <c r="O10" s="54">
        <v>0</v>
      </c>
      <c r="P10" s="54">
        <v>0.79</v>
      </c>
      <c r="Q10" s="54">
        <v>4.95</v>
      </c>
    </row>
    <row r="11" spans="1:21" customFormat="1">
      <c r="A11" s="53">
        <v>45402.125</v>
      </c>
      <c r="B11" s="54">
        <v>3.53</v>
      </c>
      <c r="C11" s="54">
        <v>0.79</v>
      </c>
      <c r="D11" s="54">
        <v>4.5999999999999996</v>
      </c>
      <c r="E11" s="54">
        <v>13.96</v>
      </c>
      <c r="F11" s="54">
        <v>4.24</v>
      </c>
      <c r="G11" s="54">
        <v>60.91</v>
      </c>
      <c r="H11" s="54">
        <v>23.26</v>
      </c>
      <c r="I11" s="54">
        <v>8.43</v>
      </c>
      <c r="J11" s="54">
        <v>0.25</v>
      </c>
      <c r="K11" s="54">
        <v>224.08</v>
      </c>
      <c r="L11" s="54">
        <v>27.74</v>
      </c>
      <c r="M11" s="54">
        <v>65.819999999999993</v>
      </c>
      <c r="N11" s="54">
        <v>0</v>
      </c>
      <c r="O11" s="54">
        <v>0</v>
      </c>
      <c r="P11" s="54">
        <v>0.79</v>
      </c>
      <c r="Q11" s="54">
        <v>4.9400000000000004</v>
      </c>
    </row>
    <row r="12" spans="1:21" customFormat="1">
      <c r="A12" s="53">
        <v>45402.166666666664</v>
      </c>
      <c r="B12" s="54">
        <v>3.79</v>
      </c>
      <c r="C12" s="54">
        <v>1.1200000000000001</v>
      </c>
      <c r="D12" s="54">
        <v>4.97</v>
      </c>
      <c r="E12" s="54">
        <v>13.79</v>
      </c>
      <c r="F12" s="54">
        <v>6.46</v>
      </c>
      <c r="G12" s="54">
        <v>57.73</v>
      </c>
      <c r="H12" s="54">
        <v>21.58</v>
      </c>
      <c r="I12" s="54">
        <v>8.48</v>
      </c>
      <c r="J12" s="54">
        <v>0.27</v>
      </c>
      <c r="K12" s="54">
        <v>196.27</v>
      </c>
      <c r="L12" s="54">
        <v>27.92</v>
      </c>
      <c r="M12" s="54">
        <v>59.3</v>
      </c>
      <c r="N12" s="54">
        <v>0</v>
      </c>
      <c r="O12" s="54">
        <v>0</v>
      </c>
      <c r="P12" s="54">
        <v>0.76</v>
      </c>
      <c r="Q12" s="54">
        <v>4.92</v>
      </c>
    </row>
    <row r="13" spans="1:21" customFormat="1">
      <c r="A13" s="53">
        <v>45402.208333333336</v>
      </c>
      <c r="B13" s="54">
        <v>3.88</v>
      </c>
      <c r="C13" s="54">
        <v>1.43</v>
      </c>
      <c r="D13" s="54">
        <v>5.21</v>
      </c>
      <c r="E13" s="54">
        <v>13.91</v>
      </c>
      <c r="F13" s="54">
        <v>5.0599999999999996</v>
      </c>
      <c r="G13" s="54">
        <v>49.5</v>
      </c>
      <c r="H13" s="54">
        <v>21.35</v>
      </c>
      <c r="I13" s="54">
        <v>8.44</v>
      </c>
      <c r="J13" s="54">
        <v>0.43</v>
      </c>
      <c r="K13" s="54">
        <v>115.89</v>
      </c>
      <c r="L13" s="54">
        <v>27.59</v>
      </c>
      <c r="M13" s="54">
        <v>58.71</v>
      </c>
      <c r="N13" s="54">
        <v>0</v>
      </c>
      <c r="O13" s="54">
        <v>0</v>
      </c>
      <c r="P13" s="54">
        <v>0.76</v>
      </c>
      <c r="Q13" s="54">
        <v>4.9000000000000004</v>
      </c>
    </row>
    <row r="14" spans="1:21" customFormat="1">
      <c r="A14" s="53">
        <v>45402.25</v>
      </c>
      <c r="B14" s="54">
        <v>3.81</v>
      </c>
      <c r="C14" s="54">
        <v>0.88</v>
      </c>
      <c r="D14" s="54">
        <v>4.8600000000000003</v>
      </c>
      <c r="E14" s="54">
        <v>13.13</v>
      </c>
      <c r="F14" s="54">
        <v>3.21</v>
      </c>
      <c r="G14" s="54">
        <v>56.2</v>
      </c>
      <c r="H14" s="54">
        <v>21.35</v>
      </c>
      <c r="I14" s="54">
        <v>8.6199999999999992</v>
      </c>
      <c r="J14" s="54">
        <v>0.32</v>
      </c>
      <c r="K14" s="54">
        <v>189.1</v>
      </c>
      <c r="L14" s="54">
        <v>26.36</v>
      </c>
      <c r="M14" s="54">
        <v>71.12</v>
      </c>
      <c r="N14" s="54">
        <v>9.8000000000000007</v>
      </c>
      <c r="O14" s="54">
        <v>0</v>
      </c>
      <c r="P14" s="54">
        <v>0.75</v>
      </c>
      <c r="Q14" s="54">
        <v>4.93</v>
      </c>
    </row>
    <row r="15" spans="1:21" customFormat="1">
      <c r="A15" s="53">
        <v>45402.291666666664</v>
      </c>
      <c r="B15" s="54">
        <v>4.1500000000000004</v>
      </c>
      <c r="C15" s="54">
        <v>1.23</v>
      </c>
      <c r="D15" s="54">
        <v>5.32</v>
      </c>
      <c r="E15" s="54">
        <v>14.18</v>
      </c>
      <c r="F15" s="54">
        <v>4.0599999999999996</v>
      </c>
      <c r="G15" s="54">
        <v>56.2</v>
      </c>
      <c r="H15" s="54">
        <v>21.09</v>
      </c>
      <c r="I15" s="54">
        <v>8.7200000000000006</v>
      </c>
      <c r="J15" s="54">
        <v>0.25</v>
      </c>
      <c r="K15" s="54">
        <v>166.47</v>
      </c>
      <c r="L15" s="54">
        <v>28.22</v>
      </c>
      <c r="M15" s="54">
        <v>67.260000000000005</v>
      </c>
      <c r="N15" s="54">
        <v>55.7</v>
      </c>
      <c r="O15" s="54">
        <v>0</v>
      </c>
      <c r="P15" s="54">
        <v>0.74</v>
      </c>
      <c r="Q15" s="54">
        <v>4.91</v>
      </c>
    </row>
    <row r="16" spans="1:21" customFormat="1">
      <c r="A16" s="53">
        <v>45402.333333333336</v>
      </c>
      <c r="B16" s="54">
        <v>3.45</v>
      </c>
      <c r="C16" s="54">
        <v>0.36</v>
      </c>
      <c r="D16" s="54">
        <v>4.3</v>
      </c>
      <c r="E16" s="54">
        <v>13.65</v>
      </c>
      <c r="F16" s="54">
        <v>7.69</v>
      </c>
      <c r="G16" s="54">
        <v>52.97</v>
      </c>
      <c r="H16" s="54">
        <v>23.77</v>
      </c>
      <c r="I16" s="54">
        <v>9.0299999999999994</v>
      </c>
      <c r="J16" s="54">
        <v>0.27</v>
      </c>
      <c r="K16" s="54">
        <v>210.18</v>
      </c>
      <c r="L16" s="54">
        <v>32.479999999999997</v>
      </c>
      <c r="M16" s="54">
        <v>59.7</v>
      </c>
      <c r="N16" s="54">
        <v>169.8</v>
      </c>
      <c r="O16" s="54">
        <v>0</v>
      </c>
      <c r="P16" s="54">
        <v>0.75</v>
      </c>
      <c r="Q16" s="54">
        <v>4.91</v>
      </c>
    </row>
    <row r="17" spans="1:17" customFormat="1">
      <c r="A17" s="53">
        <v>45402.375</v>
      </c>
      <c r="B17" s="54">
        <v>3.35</v>
      </c>
      <c r="C17" s="54">
        <v>0.44</v>
      </c>
      <c r="D17" s="54">
        <v>4.2699999999999996</v>
      </c>
      <c r="E17" s="54">
        <v>14.07</v>
      </c>
      <c r="F17" s="54">
        <v>9.77</v>
      </c>
      <c r="G17" s="54">
        <v>52.51</v>
      </c>
      <c r="H17" s="54">
        <v>23.77</v>
      </c>
      <c r="I17" s="54">
        <v>9.09</v>
      </c>
      <c r="J17" s="54">
        <v>0.41</v>
      </c>
      <c r="K17" s="54">
        <v>256.55</v>
      </c>
      <c r="L17" s="54">
        <v>34.92</v>
      </c>
      <c r="M17" s="54">
        <v>41.19</v>
      </c>
      <c r="N17" s="54">
        <v>339.6</v>
      </c>
      <c r="O17" s="54">
        <v>0</v>
      </c>
      <c r="P17" s="54">
        <v>0.72</v>
      </c>
      <c r="Q17" s="54">
        <v>4.92</v>
      </c>
    </row>
    <row r="18" spans="1:17" customFormat="1">
      <c r="A18" s="53">
        <v>45402.416666666664</v>
      </c>
      <c r="B18" s="54">
        <v>3.32</v>
      </c>
      <c r="C18" s="54">
        <v>0.56999999999999995</v>
      </c>
      <c r="D18" s="54">
        <v>4.32</v>
      </c>
      <c r="E18" s="54">
        <v>18.059999999999999</v>
      </c>
      <c r="F18" s="54">
        <v>12.67</v>
      </c>
      <c r="G18" s="54">
        <v>48.79</v>
      </c>
      <c r="H18" s="54">
        <v>20.39</v>
      </c>
      <c r="I18" s="54">
        <v>8.69</v>
      </c>
      <c r="J18" s="54">
        <v>0.68</v>
      </c>
      <c r="K18" s="54">
        <v>253.04</v>
      </c>
      <c r="L18" s="54">
        <v>36.42</v>
      </c>
      <c r="M18" s="54">
        <v>37.74</v>
      </c>
      <c r="N18" s="54">
        <v>606.20000000000005</v>
      </c>
      <c r="O18" s="54">
        <v>0</v>
      </c>
      <c r="P18" s="54">
        <v>0.7</v>
      </c>
      <c r="Q18" s="54">
        <v>4.92</v>
      </c>
    </row>
    <row r="19" spans="1:17" customFormat="1">
      <c r="A19" s="53">
        <v>45402.458333333336</v>
      </c>
      <c r="B19" s="54">
        <v>3.31</v>
      </c>
      <c r="C19" s="54">
        <v>0.39</v>
      </c>
      <c r="D19" s="54">
        <v>4.18</v>
      </c>
      <c r="E19" s="54">
        <v>24.52</v>
      </c>
      <c r="F19" s="54">
        <v>23.54</v>
      </c>
      <c r="G19" s="54">
        <v>51.59</v>
      </c>
      <c r="H19" s="54">
        <v>22.21</v>
      </c>
      <c r="I19" s="54">
        <v>8.3800000000000008</v>
      </c>
      <c r="J19" s="54">
        <v>0.48</v>
      </c>
      <c r="K19" s="54">
        <v>276.52999999999997</v>
      </c>
      <c r="L19" s="54">
        <v>38.590000000000003</v>
      </c>
      <c r="M19" s="54">
        <v>31.48</v>
      </c>
      <c r="N19" s="54">
        <v>696.9</v>
      </c>
      <c r="O19" s="54">
        <v>0</v>
      </c>
      <c r="P19" s="54">
        <v>0.7</v>
      </c>
      <c r="Q19" s="54">
        <v>4.93</v>
      </c>
    </row>
    <row r="20" spans="1:17" customFormat="1">
      <c r="A20" s="53">
        <v>45402.5</v>
      </c>
      <c r="B20" s="54">
        <v>3.26</v>
      </c>
      <c r="C20" s="54">
        <v>0.35</v>
      </c>
      <c r="D20" s="54">
        <v>4.1399999999999997</v>
      </c>
      <c r="E20" s="54">
        <v>50.59</v>
      </c>
      <c r="F20" s="54">
        <v>99.65</v>
      </c>
      <c r="G20" s="54">
        <v>57.32</v>
      </c>
      <c r="H20" s="54">
        <v>22.26</v>
      </c>
      <c r="I20" s="54">
        <v>8.4</v>
      </c>
      <c r="J20" s="54">
        <v>0.64</v>
      </c>
      <c r="K20" s="54">
        <v>194.44</v>
      </c>
      <c r="L20" s="54">
        <v>40.01</v>
      </c>
      <c r="M20" s="54">
        <v>23.43</v>
      </c>
      <c r="N20" s="54">
        <v>726</v>
      </c>
      <c r="O20" s="54">
        <v>0</v>
      </c>
      <c r="P20" s="54">
        <v>0.69</v>
      </c>
      <c r="Q20" s="54">
        <v>4.92</v>
      </c>
    </row>
    <row r="21" spans="1:17" customFormat="1">
      <c r="A21" s="53">
        <v>45402.541666666664</v>
      </c>
      <c r="B21" s="54">
        <v>10.8</v>
      </c>
      <c r="C21" s="54">
        <v>13.18</v>
      </c>
      <c r="D21" s="54">
        <v>25</v>
      </c>
      <c r="E21" s="54">
        <v>68.95</v>
      </c>
      <c r="F21" s="54">
        <v>99.24</v>
      </c>
      <c r="G21" s="54">
        <v>57.32</v>
      </c>
      <c r="H21" s="54">
        <v>22.26</v>
      </c>
      <c r="I21" s="54">
        <v>7.98</v>
      </c>
      <c r="J21" s="54">
        <v>0.75</v>
      </c>
      <c r="K21" s="54">
        <v>270.52999999999997</v>
      </c>
      <c r="L21" s="54">
        <v>41.39</v>
      </c>
      <c r="M21" s="54">
        <v>19.2</v>
      </c>
      <c r="N21" s="54">
        <v>741.6</v>
      </c>
      <c r="O21" s="54">
        <v>0</v>
      </c>
      <c r="P21" s="54">
        <v>0.67</v>
      </c>
      <c r="Q21" s="54">
        <v>4.92</v>
      </c>
    </row>
    <row r="22" spans="1:17" customFormat="1">
      <c r="A22" s="53">
        <v>45402.583333333336</v>
      </c>
      <c r="B22" s="54">
        <v>11.25</v>
      </c>
      <c r="C22" s="54">
        <v>13.13</v>
      </c>
      <c r="D22" s="54">
        <v>25</v>
      </c>
      <c r="E22" s="54">
        <v>63.32</v>
      </c>
      <c r="F22" s="54">
        <v>118.03</v>
      </c>
      <c r="G22" s="11" t="s">
        <v>12</v>
      </c>
      <c r="H22" s="11" t="s">
        <v>12</v>
      </c>
      <c r="I22" s="54">
        <v>11.84</v>
      </c>
      <c r="J22" s="54">
        <v>0.33</v>
      </c>
      <c r="K22" s="54">
        <v>245.2</v>
      </c>
      <c r="L22" s="54">
        <v>42.26</v>
      </c>
      <c r="M22" s="54">
        <v>17.18</v>
      </c>
      <c r="N22" s="54">
        <v>718.1</v>
      </c>
      <c r="O22" s="54">
        <v>0</v>
      </c>
      <c r="P22" s="54">
        <v>0.53</v>
      </c>
      <c r="Q22" s="54">
        <v>4.87</v>
      </c>
    </row>
    <row r="23" spans="1:17" customFormat="1">
      <c r="A23" s="53">
        <v>45402.625</v>
      </c>
      <c r="B23" s="54">
        <v>11.43</v>
      </c>
      <c r="C23" s="54">
        <v>13.11</v>
      </c>
      <c r="D23" s="54">
        <v>25.16</v>
      </c>
      <c r="E23" s="11" t="s">
        <v>12</v>
      </c>
      <c r="F23" s="54">
        <v>132.71</v>
      </c>
      <c r="G23" s="54">
        <v>44.82</v>
      </c>
      <c r="H23" s="54">
        <v>3.36</v>
      </c>
      <c r="I23" s="54">
        <v>39.49</v>
      </c>
      <c r="J23" s="54">
        <v>1.29</v>
      </c>
      <c r="K23" s="54">
        <v>359.58</v>
      </c>
      <c r="L23" s="54">
        <v>41.84</v>
      </c>
      <c r="M23" s="54">
        <v>16.73</v>
      </c>
      <c r="N23" s="54">
        <v>625.5</v>
      </c>
      <c r="O23" s="54">
        <v>0</v>
      </c>
      <c r="P23" s="54">
        <v>0.47</v>
      </c>
      <c r="Q23" s="54">
        <v>4.8499999999999996</v>
      </c>
    </row>
    <row r="24" spans="1:17" customFormat="1">
      <c r="A24" s="53">
        <v>45402.666666666664</v>
      </c>
      <c r="B24" s="54">
        <v>11.44</v>
      </c>
      <c r="C24" s="54">
        <v>13.17</v>
      </c>
      <c r="D24" s="54">
        <v>25.14</v>
      </c>
      <c r="E24" s="11" t="s">
        <v>12</v>
      </c>
      <c r="F24" s="54">
        <v>133.91999999999999</v>
      </c>
      <c r="G24" s="54">
        <v>49.58</v>
      </c>
      <c r="H24" s="54">
        <v>6.93</v>
      </c>
      <c r="I24" s="54">
        <v>47.65</v>
      </c>
      <c r="J24" s="54">
        <v>1.1100000000000001</v>
      </c>
      <c r="K24" s="54">
        <v>176.21</v>
      </c>
      <c r="L24" s="54">
        <v>41.7</v>
      </c>
      <c r="M24" s="54">
        <v>18.850000000000001</v>
      </c>
      <c r="N24" s="54">
        <v>477.8</v>
      </c>
      <c r="O24" s="54">
        <v>0</v>
      </c>
      <c r="P24" s="54">
        <v>0.48</v>
      </c>
      <c r="Q24" s="54">
        <v>4.87</v>
      </c>
    </row>
    <row r="25" spans="1:17" customFormat="1">
      <c r="A25" s="53">
        <v>45402.708333333336</v>
      </c>
      <c r="B25" s="54">
        <v>11.39</v>
      </c>
      <c r="C25" s="54">
        <v>13.51</v>
      </c>
      <c r="D25" s="54">
        <v>25.34</v>
      </c>
      <c r="E25" s="54">
        <v>38.880000000000003</v>
      </c>
      <c r="F25" s="54">
        <v>102.92</v>
      </c>
      <c r="G25" s="54">
        <v>49.58</v>
      </c>
      <c r="H25" s="54">
        <v>15.99</v>
      </c>
      <c r="I25" s="54">
        <v>40.130000000000003</v>
      </c>
      <c r="J25" s="54">
        <v>0.76</v>
      </c>
      <c r="K25" s="54">
        <v>92.69</v>
      </c>
      <c r="L25" s="54">
        <v>41.13</v>
      </c>
      <c r="M25" s="54">
        <v>21.44</v>
      </c>
      <c r="N25" s="54">
        <v>284.39999999999998</v>
      </c>
      <c r="O25" s="54">
        <v>0</v>
      </c>
      <c r="P25" s="54">
        <v>0.55000000000000004</v>
      </c>
      <c r="Q25" s="27" t="s">
        <v>14</v>
      </c>
    </row>
    <row r="26" spans="1:17" customFormat="1">
      <c r="A26" s="53">
        <v>45402.75</v>
      </c>
      <c r="B26" s="54">
        <v>11.4</v>
      </c>
      <c r="C26" s="54">
        <v>13.21</v>
      </c>
      <c r="D26" s="54">
        <v>25.19</v>
      </c>
      <c r="E26" s="54">
        <v>31.25</v>
      </c>
      <c r="F26" s="54">
        <v>98.7</v>
      </c>
      <c r="G26" s="54">
        <v>48.21</v>
      </c>
      <c r="H26" s="54">
        <v>16.38</v>
      </c>
      <c r="I26" s="54">
        <v>20.16</v>
      </c>
      <c r="J26" s="54">
        <v>0.48</v>
      </c>
      <c r="K26" s="54">
        <v>172.43</v>
      </c>
      <c r="L26" s="54">
        <v>39.880000000000003</v>
      </c>
      <c r="M26" s="54">
        <v>29.5</v>
      </c>
      <c r="N26" s="54">
        <v>77</v>
      </c>
      <c r="O26" s="54">
        <v>0</v>
      </c>
      <c r="P26" s="54">
        <v>0.48</v>
      </c>
      <c r="Q26" s="27" t="s">
        <v>14</v>
      </c>
    </row>
    <row r="27" spans="1:17" customFormat="1">
      <c r="A27" s="53">
        <v>45402.791666666664</v>
      </c>
      <c r="B27" s="54">
        <v>11.27</v>
      </c>
      <c r="C27" s="54">
        <v>13.26</v>
      </c>
      <c r="D27" s="54">
        <v>25.05</v>
      </c>
      <c r="E27" s="54">
        <v>12.76</v>
      </c>
      <c r="F27" s="54">
        <v>43.93</v>
      </c>
      <c r="G27" s="54">
        <v>50.95</v>
      </c>
      <c r="H27" s="54">
        <v>18.41</v>
      </c>
      <c r="I27" s="54">
        <v>14.02</v>
      </c>
      <c r="J27" s="54">
        <v>0.8</v>
      </c>
      <c r="K27" s="54">
        <v>244.16</v>
      </c>
      <c r="L27" s="54">
        <v>35.83</v>
      </c>
      <c r="M27" s="54">
        <v>37.46</v>
      </c>
      <c r="N27" s="54">
        <v>0</v>
      </c>
      <c r="O27" s="54">
        <v>0</v>
      </c>
      <c r="P27" s="54">
        <v>0.46</v>
      </c>
      <c r="Q27" s="27" t="s">
        <v>14</v>
      </c>
    </row>
    <row r="28" spans="1:17" customFormat="1">
      <c r="A28" s="53">
        <v>45402.833333333336</v>
      </c>
      <c r="B28" s="54">
        <v>11.19</v>
      </c>
      <c r="C28" s="54">
        <v>13.29</v>
      </c>
      <c r="D28" s="54">
        <v>25.07</v>
      </c>
      <c r="E28" s="54">
        <v>9.2799999999999994</v>
      </c>
      <c r="F28" s="54">
        <v>20.91</v>
      </c>
      <c r="G28" s="54">
        <v>50.95</v>
      </c>
      <c r="H28" s="54">
        <v>19.55</v>
      </c>
      <c r="I28" s="54">
        <v>13.96</v>
      </c>
      <c r="J28" s="54">
        <v>0.39</v>
      </c>
      <c r="K28" s="54">
        <v>236.7</v>
      </c>
      <c r="L28" s="54">
        <v>33.14</v>
      </c>
      <c r="M28" s="54">
        <v>41.05</v>
      </c>
      <c r="N28" s="54">
        <v>0</v>
      </c>
      <c r="O28" s="54">
        <v>0</v>
      </c>
      <c r="P28" s="54">
        <v>0.44</v>
      </c>
      <c r="Q28" s="27" t="s">
        <v>14</v>
      </c>
    </row>
    <row r="29" spans="1:17" customFormat="1">
      <c r="A29" s="53">
        <v>45402.875</v>
      </c>
      <c r="B29" s="54">
        <v>11.21</v>
      </c>
      <c r="C29" s="54">
        <v>13.36</v>
      </c>
      <c r="D29" s="54">
        <v>25.12</v>
      </c>
      <c r="E29" s="54">
        <v>9.25</v>
      </c>
      <c r="F29" s="54">
        <v>16.25</v>
      </c>
      <c r="G29" s="54">
        <v>50.93</v>
      </c>
      <c r="H29" s="54">
        <v>19.55</v>
      </c>
      <c r="I29" s="54">
        <v>12.1</v>
      </c>
      <c r="J29" s="54">
        <v>0.3</v>
      </c>
      <c r="K29" s="54">
        <v>234.82</v>
      </c>
      <c r="L29" s="54">
        <v>31.89</v>
      </c>
      <c r="M29" s="54">
        <v>44.36</v>
      </c>
      <c r="N29" s="54">
        <v>0</v>
      </c>
      <c r="O29" s="54">
        <v>0</v>
      </c>
      <c r="P29" s="54">
        <v>0.43</v>
      </c>
      <c r="Q29" s="27" t="s">
        <v>14</v>
      </c>
    </row>
    <row r="30" spans="1:17" customFormat="1">
      <c r="A30" s="53">
        <v>45402.916666666664</v>
      </c>
      <c r="B30" s="54">
        <v>11.21</v>
      </c>
      <c r="C30" s="54">
        <v>13.25</v>
      </c>
      <c r="D30" s="54">
        <v>25.04</v>
      </c>
      <c r="E30" s="54">
        <v>10.06</v>
      </c>
      <c r="F30" s="54">
        <v>32.380000000000003</v>
      </c>
      <c r="G30" s="54">
        <v>44.43</v>
      </c>
      <c r="H30" s="54">
        <v>17.63</v>
      </c>
      <c r="I30" s="54">
        <v>10.59</v>
      </c>
      <c r="J30" s="54">
        <v>0.4</v>
      </c>
      <c r="K30" s="54">
        <v>277.42</v>
      </c>
      <c r="L30" s="54">
        <v>31.34</v>
      </c>
      <c r="M30" s="54">
        <v>45.52</v>
      </c>
      <c r="N30" s="54">
        <v>0</v>
      </c>
      <c r="O30" s="54">
        <v>0</v>
      </c>
      <c r="P30" s="54">
        <v>0.42</v>
      </c>
      <c r="Q30" s="27" t="s">
        <v>14</v>
      </c>
    </row>
    <row r="31" spans="1:17" customFormat="1">
      <c r="A31" s="53">
        <v>45402.958333333336</v>
      </c>
      <c r="B31" s="54">
        <v>11.23</v>
      </c>
      <c r="C31" s="54">
        <v>13.47</v>
      </c>
      <c r="D31" s="54">
        <v>25.18</v>
      </c>
      <c r="E31" s="54">
        <v>9.17</v>
      </c>
      <c r="F31" s="54">
        <v>33.82</v>
      </c>
      <c r="G31" s="54">
        <v>42.11</v>
      </c>
      <c r="H31" s="54">
        <v>17.63</v>
      </c>
      <c r="I31" s="54">
        <v>7.59</v>
      </c>
      <c r="J31" s="54">
        <v>0.56000000000000005</v>
      </c>
      <c r="K31" s="54">
        <v>248.16</v>
      </c>
      <c r="L31" s="54">
        <v>30.77</v>
      </c>
      <c r="M31" s="54">
        <v>49.22</v>
      </c>
      <c r="N31" s="54">
        <v>0</v>
      </c>
      <c r="O31" s="54">
        <v>0</v>
      </c>
      <c r="P31" s="54">
        <v>0.38</v>
      </c>
      <c r="Q31" s="27" t="s">
        <v>14</v>
      </c>
    </row>
    <row r="32" spans="1:17" customFormat="1">
      <c r="A32" s="53">
        <v>45403</v>
      </c>
      <c r="B32" s="54">
        <v>11.23</v>
      </c>
      <c r="C32" s="54">
        <v>13.22</v>
      </c>
      <c r="D32" s="54">
        <v>25.05</v>
      </c>
      <c r="E32" s="54">
        <v>7.95</v>
      </c>
      <c r="F32" s="54">
        <v>31.44</v>
      </c>
      <c r="G32" s="54">
        <v>42.11</v>
      </c>
      <c r="H32" s="54">
        <v>16.600000000000001</v>
      </c>
      <c r="I32" s="54">
        <v>7.07</v>
      </c>
      <c r="J32" s="54">
        <v>0.55000000000000004</v>
      </c>
      <c r="K32" s="54">
        <v>245.63</v>
      </c>
      <c r="L32" s="54">
        <v>30.55</v>
      </c>
      <c r="M32" s="54">
        <v>46.7</v>
      </c>
      <c r="N32" s="54">
        <v>0</v>
      </c>
      <c r="O32" s="54">
        <v>0</v>
      </c>
      <c r="P32" s="54">
        <v>0.35</v>
      </c>
      <c r="Q32" s="27" t="s">
        <v>14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3.26</v>
      </c>
      <c r="C34" s="40">
        <f t="shared" si="0"/>
        <v>0.35</v>
      </c>
      <c r="D34" s="40">
        <f t="shared" si="0"/>
        <v>4.1399999999999997</v>
      </c>
      <c r="E34" s="40">
        <f t="shared" si="0"/>
        <v>7.95</v>
      </c>
      <c r="F34" s="40">
        <f t="shared" si="0"/>
        <v>3.21</v>
      </c>
      <c r="G34" s="40">
        <f t="shared" si="0"/>
        <v>42.11</v>
      </c>
      <c r="H34" s="40">
        <f t="shared" si="0"/>
        <v>3.36</v>
      </c>
      <c r="I34" s="40">
        <f t="shared" si="0"/>
        <v>7.07</v>
      </c>
      <c r="J34" s="40">
        <f t="shared" si="0"/>
        <v>0.24</v>
      </c>
      <c r="K34" s="40">
        <f t="shared" si="0"/>
        <v>92.69</v>
      </c>
      <c r="L34" s="40">
        <f t="shared" si="0"/>
        <v>26.36</v>
      </c>
      <c r="M34" s="40">
        <f t="shared" si="0"/>
        <v>16.73</v>
      </c>
      <c r="N34" s="40">
        <f t="shared" si="0"/>
        <v>0</v>
      </c>
      <c r="O34" s="40">
        <f t="shared" si="0"/>
        <v>0</v>
      </c>
      <c r="P34" s="40">
        <f t="shared" si="0"/>
        <v>0.35</v>
      </c>
      <c r="Q34" s="40">
        <f t="shared" si="0"/>
        <v>4.8499999999999996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11.44</v>
      </c>
      <c r="C35" s="33">
        <f t="shared" si="1"/>
        <v>13.51</v>
      </c>
      <c r="D35" s="33">
        <f t="shared" si="1"/>
        <v>25.34</v>
      </c>
      <c r="E35" s="33">
        <f t="shared" si="1"/>
        <v>68.95</v>
      </c>
      <c r="F35" s="33">
        <f t="shared" si="1"/>
        <v>133.91999999999999</v>
      </c>
      <c r="G35" s="33">
        <f t="shared" si="1"/>
        <v>62.05</v>
      </c>
      <c r="H35" s="33">
        <f t="shared" si="1"/>
        <v>23.77</v>
      </c>
      <c r="I35" s="33">
        <f t="shared" si="1"/>
        <v>47.65</v>
      </c>
      <c r="J35" s="33">
        <f t="shared" si="1"/>
        <v>1.29</v>
      </c>
      <c r="K35" s="33">
        <f t="shared" si="1"/>
        <v>359.58</v>
      </c>
      <c r="L35" s="33">
        <f t="shared" si="1"/>
        <v>42.26</v>
      </c>
      <c r="M35" s="33">
        <f t="shared" si="1"/>
        <v>71.12</v>
      </c>
      <c r="N35" s="33">
        <f t="shared" si="1"/>
        <v>741.6</v>
      </c>
      <c r="O35" s="33">
        <f t="shared" si="1"/>
        <v>0</v>
      </c>
      <c r="P35" s="33">
        <f t="shared" si="1"/>
        <v>0.79</v>
      </c>
      <c r="Q35" s="33">
        <f t="shared" si="1"/>
        <v>4.95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7.4195833333333328</v>
      </c>
      <c r="C36" s="40">
        <f t="shared" si="2"/>
        <v>7.0508333333333342</v>
      </c>
      <c r="D36" s="40">
        <f t="shared" si="2"/>
        <v>14.886250000000004</v>
      </c>
      <c r="E36" s="40">
        <f t="shared" si="2"/>
        <v>21.724999999999998</v>
      </c>
      <c r="F36" s="40">
        <f t="shared" si="2"/>
        <v>43.724583333333328</v>
      </c>
      <c r="G36" s="40">
        <f t="shared" si="2"/>
        <v>52.122173913043483</v>
      </c>
      <c r="H36" s="40">
        <f t="shared" si="2"/>
        <v>19.136956521739137</v>
      </c>
      <c r="I36" s="40">
        <f t="shared" si="2"/>
        <v>13.977083333333331</v>
      </c>
      <c r="J36" s="40">
        <f t="shared" si="2"/>
        <v>0.50833333333333353</v>
      </c>
      <c r="K36" s="40">
        <f t="shared" si="2"/>
        <v>218.01249999999996</v>
      </c>
      <c r="L36" s="40">
        <f t="shared" si="2"/>
        <v>34.134999999999998</v>
      </c>
      <c r="M36" s="40">
        <f t="shared" si="2"/>
        <v>42.671250000000008</v>
      </c>
      <c r="N36" s="40">
        <f t="shared" si="2"/>
        <v>230.35</v>
      </c>
      <c r="O36" s="40">
        <f t="shared" si="2"/>
        <v>0</v>
      </c>
      <c r="P36" s="40">
        <f t="shared" si="2"/>
        <v>0.60791666666666677</v>
      </c>
      <c r="Q36" s="40">
        <f t="shared" si="2"/>
        <v>4.9112499999999999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3.9235016294417262</v>
      </c>
      <c r="C37" s="40">
        <f t="shared" ref="C37:Q37" si="3">STDEV(C9:C32)</f>
        <v>6.3530998367908467</v>
      </c>
      <c r="D37" s="40">
        <f t="shared" si="3"/>
        <v>10.449541205863699</v>
      </c>
      <c r="E37" s="40">
        <f t="shared" si="3"/>
        <v>17.788146334005681</v>
      </c>
      <c r="F37" s="40">
        <f t="shared" si="3"/>
        <v>46.876394632393442</v>
      </c>
      <c r="G37" s="40">
        <f t="shared" si="3"/>
        <v>5.8682465683165654</v>
      </c>
      <c r="H37" s="40">
        <f t="shared" si="3"/>
        <v>5.0462465211847203</v>
      </c>
      <c r="I37" s="40">
        <f t="shared" si="3"/>
        <v>11.425216382373602</v>
      </c>
      <c r="J37" s="40">
        <f t="shared" si="3"/>
        <v>0.27787495884592228</v>
      </c>
      <c r="K37" s="40">
        <f t="shared" si="3"/>
        <v>57.098668548399701</v>
      </c>
      <c r="L37" s="40">
        <f t="shared" si="3"/>
        <v>5.51547230820794</v>
      </c>
      <c r="M37" s="40">
        <f t="shared" si="3"/>
        <v>17.579969904633678</v>
      </c>
      <c r="N37" s="40">
        <f t="shared" si="3"/>
        <v>296.80248592653993</v>
      </c>
      <c r="O37" s="40">
        <f t="shared" si="3"/>
        <v>0</v>
      </c>
      <c r="P37" s="40">
        <f t="shared" si="3"/>
        <v>0.15277090454455722</v>
      </c>
      <c r="Q37" s="40">
        <f t="shared" si="3"/>
        <v>2.6801741236966957E-2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22</v>
      </c>
      <c r="F38" s="45">
        <f t="shared" si="4"/>
        <v>24</v>
      </c>
      <c r="G38" s="45">
        <v>24</v>
      </c>
      <c r="H38" s="45"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8" activePane="bottomRight" state="frozen"/>
      <selection activeCell="A9" sqref="A9"/>
      <selection pane="topRight" activeCell="A9" sqref="A9"/>
      <selection pane="bottomLeft" activeCell="A9" sqref="A9"/>
      <selection pane="bottomRight" activeCell="Q36" sqref="Q36:Q37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45403.041666666664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45403.041666666664</v>
      </c>
      <c r="B9" s="54">
        <v>11.26</v>
      </c>
      <c r="C9" s="54">
        <v>13.56</v>
      </c>
      <c r="D9" s="54">
        <v>25.26</v>
      </c>
      <c r="E9" s="54">
        <v>8.75</v>
      </c>
      <c r="F9" s="54">
        <v>29.25</v>
      </c>
      <c r="G9" s="54">
        <v>37.08</v>
      </c>
      <c r="H9" s="54">
        <v>16.149999999999999</v>
      </c>
      <c r="I9" s="54">
        <v>6.78</v>
      </c>
      <c r="J9" s="54">
        <v>0.4</v>
      </c>
      <c r="K9" s="54">
        <v>230.77</v>
      </c>
      <c r="L9" s="54">
        <v>29.31</v>
      </c>
      <c r="M9" s="54">
        <v>51.46</v>
      </c>
      <c r="N9" s="54">
        <v>0</v>
      </c>
      <c r="O9" s="54">
        <v>0</v>
      </c>
      <c r="P9" s="54">
        <v>0.33</v>
      </c>
      <c r="Q9" s="27" t="s">
        <v>14</v>
      </c>
    </row>
    <row r="10" spans="1:21" customFormat="1">
      <c r="A10" s="53">
        <v>45403.083333333336</v>
      </c>
      <c r="B10" s="54">
        <v>11.16</v>
      </c>
      <c r="C10" s="54">
        <v>13.36</v>
      </c>
      <c r="D10" s="54">
        <v>25.07</v>
      </c>
      <c r="E10" s="54">
        <v>8.89</v>
      </c>
      <c r="F10" s="54">
        <v>30.9</v>
      </c>
      <c r="G10" s="54">
        <v>35.21</v>
      </c>
      <c r="H10" s="54">
        <v>16.149999999999999</v>
      </c>
      <c r="I10" s="54">
        <v>6.49</v>
      </c>
      <c r="J10" s="54">
        <v>0.31</v>
      </c>
      <c r="K10" s="54">
        <v>245.04</v>
      </c>
      <c r="L10" s="54">
        <v>28.72</v>
      </c>
      <c r="M10" s="54">
        <v>56.1</v>
      </c>
      <c r="N10" s="54">
        <v>0</v>
      </c>
      <c r="O10" s="54">
        <v>0</v>
      </c>
      <c r="P10" s="54">
        <v>0.32</v>
      </c>
      <c r="Q10" s="27" t="s">
        <v>14</v>
      </c>
    </row>
    <row r="11" spans="1:21" customFormat="1">
      <c r="A11" s="53">
        <v>45403.125</v>
      </c>
      <c r="B11" s="54">
        <v>11.15</v>
      </c>
      <c r="C11" s="54">
        <v>13.37</v>
      </c>
      <c r="D11" s="54">
        <v>25.06</v>
      </c>
      <c r="E11" s="54">
        <v>8.82</v>
      </c>
      <c r="F11" s="54">
        <v>11.03</v>
      </c>
      <c r="G11" s="54">
        <v>30.98</v>
      </c>
      <c r="H11" s="54">
        <v>15.66</v>
      </c>
      <c r="I11" s="54">
        <v>6.93</v>
      </c>
      <c r="J11" s="54">
        <v>0.39</v>
      </c>
      <c r="K11" s="54">
        <v>332.32</v>
      </c>
      <c r="L11" s="54">
        <v>28.55</v>
      </c>
      <c r="M11" s="54">
        <v>57.9</v>
      </c>
      <c r="N11" s="54">
        <v>0</v>
      </c>
      <c r="O11" s="54">
        <v>0</v>
      </c>
      <c r="P11" s="54">
        <v>0.38</v>
      </c>
      <c r="Q11" s="27" t="s">
        <v>14</v>
      </c>
    </row>
    <row r="12" spans="1:21" customFormat="1">
      <c r="A12" s="53">
        <v>45403.166666666664</v>
      </c>
      <c r="B12" s="54">
        <v>11.14</v>
      </c>
      <c r="C12" s="54">
        <v>13.44</v>
      </c>
      <c r="D12" s="54">
        <v>25.1</v>
      </c>
      <c r="E12" s="54">
        <v>9.7799999999999994</v>
      </c>
      <c r="F12" s="54">
        <v>9.1</v>
      </c>
      <c r="G12" s="54">
        <v>26.02</v>
      </c>
      <c r="H12" s="54">
        <v>12.48</v>
      </c>
      <c r="I12" s="54">
        <v>6.49</v>
      </c>
      <c r="J12" s="54">
        <v>0.21</v>
      </c>
      <c r="K12" s="54">
        <v>221.1</v>
      </c>
      <c r="L12" s="54">
        <v>27.91</v>
      </c>
      <c r="M12" s="54">
        <v>61.82</v>
      </c>
      <c r="N12" s="54">
        <v>0</v>
      </c>
      <c r="O12" s="54">
        <v>0</v>
      </c>
      <c r="P12" s="54">
        <v>0.37</v>
      </c>
      <c r="Q12" s="27" t="s">
        <v>14</v>
      </c>
    </row>
    <row r="13" spans="1:21" customFormat="1">
      <c r="A13" s="53">
        <v>45403.208333333336</v>
      </c>
      <c r="B13" s="54">
        <v>11.12</v>
      </c>
      <c r="C13" s="54">
        <v>13.36</v>
      </c>
      <c r="D13" s="54">
        <v>25.04</v>
      </c>
      <c r="E13" s="54">
        <v>10.16</v>
      </c>
      <c r="F13" s="54">
        <v>7.33</v>
      </c>
      <c r="G13" s="54">
        <v>26.52</v>
      </c>
      <c r="H13" s="54">
        <v>12.6</v>
      </c>
      <c r="I13" s="54">
        <v>6.27</v>
      </c>
      <c r="J13" s="54">
        <v>0.27</v>
      </c>
      <c r="K13" s="54">
        <v>183.65</v>
      </c>
      <c r="L13" s="54">
        <v>27.63</v>
      </c>
      <c r="M13" s="54">
        <v>62.03</v>
      </c>
      <c r="N13" s="54">
        <v>0</v>
      </c>
      <c r="O13" s="54">
        <v>0</v>
      </c>
      <c r="P13" s="54">
        <v>0.37</v>
      </c>
      <c r="Q13" s="27" t="s">
        <v>14</v>
      </c>
    </row>
    <row r="14" spans="1:21" customFormat="1">
      <c r="A14" s="53">
        <v>45403.25</v>
      </c>
      <c r="B14" s="54">
        <v>11.13</v>
      </c>
      <c r="C14" s="54">
        <v>13.44</v>
      </c>
      <c r="D14" s="54">
        <v>25.09</v>
      </c>
      <c r="E14" s="54">
        <v>10.53</v>
      </c>
      <c r="F14" s="54">
        <v>4.59</v>
      </c>
      <c r="G14" s="54">
        <v>26.52</v>
      </c>
      <c r="H14" s="54">
        <v>13.59</v>
      </c>
      <c r="I14" s="54">
        <v>6.01</v>
      </c>
      <c r="J14" s="54">
        <v>0.22</v>
      </c>
      <c r="K14" s="54">
        <v>192.54</v>
      </c>
      <c r="L14" s="54">
        <v>26.84</v>
      </c>
      <c r="M14" s="54">
        <v>65.42</v>
      </c>
      <c r="N14" s="54">
        <v>8.6999999999999993</v>
      </c>
      <c r="O14" s="54">
        <v>0</v>
      </c>
      <c r="P14" s="54">
        <v>0.37</v>
      </c>
      <c r="Q14" s="27" t="s">
        <v>14</v>
      </c>
    </row>
    <row r="15" spans="1:21" customFormat="1">
      <c r="A15" s="53">
        <v>45403.291666666664</v>
      </c>
      <c r="B15" s="54">
        <v>11.22</v>
      </c>
      <c r="C15" s="54">
        <v>13.83</v>
      </c>
      <c r="D15" s="54">
        <v>25.37</v>
      </c>
      <c r="E15" s="54">
        <v>10.96</v>
      </c>
      <c r="F15" s="54">
        <v>6.59</v>
      </c>
      <c r="G15" s="54">
        <v>28.6</v>
      </c>
      <c r="H15" s="54">
        <v>14.75</v>
      </c>
      <c r="I15" s="54">
        <v>6.42</v>
      </c>
      <c r="J15" s="54">
        <v>0.34</v>
      </c>
      <c r="K15" s="54">
        <v>169.95</v>
      </c>
      <c r="L15" s="54">
        <v>28.86</v>
      </c>
      <c r="M15" s="54">
        <v>63.31</v>
      </c>
      <c r="N15" s="54">
        <v>61.2</v>
      </c>
      <c r="O15" s="54">
        <v>0</v>
      </c>
      <c r="P15" s="54">
        <v>0.45</v>
      </c>
      <c r="Q15" s="27" t="s">
        <v>14</v>
      </c>
    </row>
    <row r="16" spans="1:21" customFormat="1">
      <c r="A16" s="53">
        <v>45403.333333333336</v>
      </c>
      <c r="B16" s="54">
        <v>11.15</v>
      </c>
      <c r="C16" s="54">
        <v>13.34</v>
      </c>
      <c r="D16" s="54">
        <v>25.03</v>
      </c>
      <c r="E16" s="54">
        <v>18.920000000000002</v>
      </c>
      <c r="F16" s="54">
        <v>26.76</v>
      </c>
      <c r="G16" s="54">
        <v>39.33</v>
      </c>
      <c r="H16" s="54">
        <v>19.170000000000002</v>
      </c>
      <c r="I16" s="54">
        <v>7.02</v>
      </c>
      <c r="J16" s="54">
        <v>1.08</v>
      </c>
      <c r="K16" s="54">
        <v>288.08</v>
      </c>
      <c r="L16" s="54">
        <v>31.9</v>
      </c>
      <c r="M16" s="54">
        <v>60.95</v>
      </c>
      <c r="N16" s="54">
        <v>156.19999999999999</v>
      </c>
      <c r="O16" s="54">
        <v>0</v>
      </c>
      <c r="P16" s="54">
        <v>0.51</v>
      </c>
      <c r="Q16" s="27" t="s">
        <v>14</v>
      </c>
    </row>
    <row r="17" spans="1:17" customFormat="1">
      <c r="A17" s="53">
        <v>45403.375</v>
      </c>
      <c r="B17" s="54">
        <v>11.13</v>
      </c>
      <c r="C17" s="54">
        <v>13.38</v>
      </c>
      <c r="D17" s="54">
        <v>25.06</v>
      </c>
      <c r="E17" s="54">
        <v>22.77</v>
      </c>
      <c r="F17" s="54">
        <v>20.7</v>
      </c>
      <c r="G17" s="54">
        <v>39.49</v>
      </c>
      <c r="H17" s="54">
        <v>20.23</v>
      </c>
      <c r="I17" s="54">
        <v>8.59</v>
      </c>
      <c r="J17" s="54">
        <v>0.74</v>
      </c>
      <c r="K17" s="54">
        <v>256.52999999999997</v>
      </c>
      <c r="L17" s="54">
        <v>34.22</v>
      </c>
      <c r="M17" s="54">
        <v>47.94</v>
      </c>
      <c r="N17" s="54">
        <v>323.60000000000002</v>
      </c>
      <c r="O17" s="54">
        <v>0</v>
      </c>
      <c r="P17" s="54">
        <v>0.59</v>
      </c>
      <c r="Q17" s="27" t="s">
        <v>14</v>
      </c>
    </row>
    <row r="18" spans="1:17" customFormat="1">
      <c r="A18" s="53">
        <v>45403.416666666664</v>
      </c>
      <c r="B18" s="54">
        <v>11.14</v>
      </c>
      <c r="C18" s="54">
        <v>13.48</v>
      </c>
      <c r="D18" s="54">
        <v>25.12</v>
      </c>
      <c r="E18" s="54">
        <v>28.64</v>
      </c>
      <c r="F18" s="54">
        <v>41.97</v>
      </c>
      <c r="G18" s="54">
        <v>46.3</v>
      </c>
      <c r="H18" s="54">
        <v>20.23</v>
      </c>
      <c r="I18" s="54">
        <v>8.67</v>
      </c>
      <c r="J18" s="54">
        <v>0.69</v>
      </c>
      <c r="K18" s="54">
        <v>287.52</v>
      </c>
      <c r="L18" s="54">
        <v>36.76</v>
      </c>
      <c r="M18" s="54">
        <v>42.52</v>
      </c>
      <c r="N18" s="54">
        <v>559.70000000000005</v>
      </c>
      <c r="O18" s="54">
        <v>0</v>
      </c>
      <c r="P18" s="54">
        <v>0.61</v>
      </c>
      <c r="Q18" s="27" t="s">
        <v>14</v>
      </c>
    </row>
    <row r="19" spans="1:17" customFormat="1">
      <c r="A19" s="53">
        <v>45403.458333333336</v>
      </c>
      <c r="B19" s="54">
        <v>11.18</v>
      </c>
      <c r="C19" s="54">
        <v>13.51</v>
      </c>
      <c r="D19" s="54">
        <v>25.17</v>
      </c>
      <c r="E19" s="54">
        <v>36.29</v>
      </c>
      <c r="F19" s="54">
        <v>46.62</v>
      </c>
      <c r="G19" s="54">
        <v>46.79</v>
      </c>
      <c r="H19" s="54">
        <v>20.95</v>
      </c>
      <c r="I19" s="54">
        <v>7.56</v>
      </c>
      <c r="J19" s="54">
        <v>0.94</v>
      </c>
      <c r="K19" s="54">
        <v>334.43</v>
      </c>
      <c r="L19" s="54">
        <v>37.75</v>
      </c>
      <c r="M19" s="54">
        <v>27.5</v>
      </c>
      <c r="N19" s="54">
        <v>668.4</v>
      </c>
      <c r="O19" s="54">
        <v>0</v>
      </c>
      <c r="P19" s="54">
        <v>0.51</v>
      </c>
      <c r="Q19" s="27" t="s">
        <v>14</v>
      </c>
    </row>
    <row r="20" spans="1:17" customFormat="1">
      <c r="A20" s="53">
        <v>45403.5</v>
      </c>
      <c r="B20" s="54">
        <v>11.1</v>
      </c>
      <c r="C20" s="54">
        <v>13.35</v>
      </c>
      <c r="D20" s="54">
        <v>25</v>
      </c>
      <c r="E20" s="54">
        <v>36.51</v>
      </c>
      <c r="F20" s="54">
        <v>43.63</v>
      </c>
      <c r="G20" s="54">
        <v>50.17</v>
      </c>
      <c r="H20" s="54">
        <v>21.23</v>
      </c>
      <c r="I20" s="54">
        <v>6.54</v>
      </c>
      <c r="J20" s="54">
        <v>1.38</v>
      </c>
      <c r="K20" s="54">
        <v>350.78</v>
      </c>
      <c r="L20" s="54">
        <v>39.090000000000003</v>
      </c>
      <c r="M20" s="54">
        <v>21.77</v>
      </c>
      <c r="N20" s="54">
        <v>744.6</v>
      </c>
      <c r="O20" s="54">
        <v>0</v>
      </c>
      <c r="P20" s="54">
        <v>0.52</v>
      </c>
      <c r="Q20" s="27" t="s">
        <v>14</v>
      </c>
    </row>
    <row r="21" spans="1:17" customFormat="1">
      <c r="A21" s="53">
        <v>45403.541666666664</v>
      </c>
      <c r="B21" s="54">
        <v>11.12</v>
      </c>
      <c r="C21" s="54">
        <v>13.52</v>
      </c>
      <c r="D21" s="54">
        <v>25.12</v>
      </c>
      <c r="E21" s="54">
        <v>34.22</v>
      </c>
      <c r="F21" s="54">
        <v>29.24</v>
      </c>
      <c r="G21" s="54">
        <v>54.83</v>
      </c>
      <c r="H21" s="54">
        <v>21.23</v>
      </c>
      <c r="I21" s="54">
        <v>6.82</v>
      </c>
      <c r="J21" s="54">
        <v>0.9</v>
      </c>
      <c r="K21" s="54">
        <v>332.74</v>
      </c>
      <c r="L21" s="54">
        <v>40.4</v>
      </c>
      <c r="M21" s="54">
        <v>19.88</v>
      </c>
      <c r="N21" s="54">
        <v>722.2</v>
      </c>
      <c r="O21" s="54">
        <v>0</v>
      </c>
      <c r="P21" s="54">
        <v>0.51</v>
      </c>
      <c r="Q21" s="27" t="s">
        <v>14</v>
      </c>
    </row>
    <row r="22" spans="1:17" customFormat="1">
      <c r="A22" s="53">
        <v>45403.583333333336</v>
      </c>
      <c r="B22" s="54">
        <v>11.14</v>
      </c>
      <c r="C22" s="54">
        <v>13.39</v>
      </c>
      <c r="D22" s="54">
        <v>25.07</v>
      </c>
      <c r="E22" s="54">
        <v>28.94</v>
      </c>
      <c r="F22" s="54">
        <v>40.64</v>
      </c>
      <c r="G22" s="54">
        <v>56.78</v>
      </c>
      <c r="H22" s="54">
        <v>20.72</v>
      </c>
      <c r="I22" s="54">
        <v>6.15</v>
      </c>
      <c r="J22" s="54">
        <v>1.08</v>
      </c>
      <c r="K22" s="54">
        <v>302.08999999999997</v>
      </c>
      <c r="L22" s="54">
        <v>40.29</v>
      </c>
      <c r="M22" s="54">
        <v>20.91</v>
      </c>
      <c r="N22" s="54">
        <v>680.1</v>
      </c>
      <c r="O22" s="54">
        <v>0</v>
      </c>
      <c r="P22" s="54">
        <v>0.5</v>
      </c>
      <c r="Q22" s="27" t="s">
        <v>14</v>
      </c>
    </row>
    <row r="23" spans="1:17" customFormat="1">
      <c r="A23" s="53">
        <v>45403.625</v>
      </c>
      <c r="B23" s="54">
        <v>11.2</v>
      </c>
      <c r="C23" s="54">
        <v>13.52</v>
      </c>
      <c r="D23" s="54">
        <v>25.19</v>
      </c>
      <c r="E23" s="54">
        <v>24.89</v>
      </c>
      <c r="F23" s="54">
        <v>37.53</v>
      </c>
      <c r="G23" s="54">
        <v>56.78</v>
      </c>
      <c r="H23" s="54">
        <v>20.72</v>
      </c>
      <c r="I23" s="54">
        <v>5.43</v>
      </c>
      <c r="J23" s="54">
        <v>0.85</v>
      </c>
      <c r="K23" s="54">
        <v>75.17</v>
      </c>
      <c r="L23" s="54">
        <v>41.37</v>
      </c>
      <c r="M23" s="54">
        <v>19.8</v>
      </c>
      <c r="N23" s="54">
        <v>644.1</v>
      </c>
      <c r="O23" s="54">
        <v>0</v>
      </c>
      <c r="P23" s="54">
        <v>0.51</v>
      </c>
      <c r="Q23" s="27" t="s">
        <v>14</v>
      </c>
    </row>
    <row r="24" spans="1:17" customFormat="1">
      <c r="A24" s="53">
        <v>45403.666666666664</v>
      </c>
      <c r="B24" s="54">
        <v>11.18</v>
      </c>
      <c r="C24" s="54">
        <v>13.3</v>
      </c>
      <c r="D24" s="54">
        <v>25.06</v>
      </c>
      <c r="E24" s="54">
        <v>21.04</v>
      </c>
      <c r="F24" s="54">
        <v>43.53</v>
      </c>
      <c r="G24" s="54">
        <v>53.29</v>
      </c>
      <c r="H24" s="54">
        <v>20.45</v>
      </c>
      <c r="I24" s="54">
        <v>5.33</v>
      </c>
      <c r="J24" s="54">
        <v>0.93</v>
      </c>
      <c r="K24" s="54">
        <v>324.14999999999998</v>
      </c>
      <c r="L24" s="54">
        <v>41.35</v>
      </c>
      <c r="M24" s="54">
        <v>18.63</v>
      </c>
      <c r="N24" s="54">
        <v>464.7</v>
      </c>
      <c r="O24" s="54">
        <v>0</v>
      </c>
      <c r="P24" s="54">
        <v>0.49</v>
      </c>
      <c r="Q24" s="27" t="s">
        <v>14</v>
      </c>
    </row>
    <row r="25" spans="1:17" customFormat="1">
      <c r="A25" s="53">
        <v>45403.708333333336</v>
      </c>
      <c r="B25" s="54">
        <v>11.12</v>
      </c>
      <c r="C25" s="54">
        <v>13.32</v>
      </c>
      <c r="D25" s="54">
        <v>25</v>
      </c>
      <c r="E25" s="54">
        <v>21.17</v>
      </c>
      <c r="F25" s="54">
        <v>58.03</v>
      </c>
      <c r="G25" s="54">
        <v>53.29</v>
      </c>
      <c r="H25" s="54">
        <v>19.03</v>
      </c>
      <c r="I25" s="54">
        <v>5.03</v>
      </c>
      <c r="J25" s="54">
        <v>0.86</v>
      </c>
      <c r="K25" s="54">
        <v>301.7</v>
      </c>
      <c r="L25" s="54">
        <v>39.5</v>
      </c>
      <c r="M25" s="54">
        <v>24.1</v>
      </c>
      <c r="N25" s="54">
        <v>178.8</v>
      </c>
      <c r="O25" s="54">
        <v>0</v>
      </c>
      <c r="P25" s="54">
        <v>0.48</v>
      </c>
      <c r="Q25" s="27" t="s">
        <v>14</v>
      </c>
    </row>
    <row r="26" spans="1:17" customFormat="1">
      <c r="A26" s="53">
        <v>45403.75</v>
      </c>
      <c r="B26" s="54">
        <v>11.15</v>
      </c>
      <c r="C26" s="54">
        <v>13.5</v>
      </c>
      <c r="D26" s="54">
        <v>25.14</v>
      </c>
      <c r="E26" s="54">
        <v>20.78</v>
      </c>
      <c r="F26" s="54">
        <v>67.010000000000005</v>
      </c>
      <c r="G26" s="54">
        <v>50.54</v>
      </c>
      <c r="H26" s="54">
        <v>18.63</v>
      </c>
      <c r="I26" s="54">
        <v>3.49</v>
      </c>
      <c r="J26" s="54">
        <v>0.35</v>
      </c>
      <c r="K26" s="54">
        <v>163.9</v>
      </c>
      <c r="L26" s="54">
        <v>38.54</v>
      </c>
      <c r="M26" s="54">
        <v>33.520000000000003</v>
      </c>
      <c r="N26" s="54">
        <v>104</v>
      </c>
      <c r="O26" s="54">
        <v>0</v>
      </c>
      <c r="P26" s="54">
        <v>0.41</v>
      </c>
      <c r="Q26" s="27" t="s">
        <v>14</v>
      </c>
    </row>
    <row r="27" spans="1:17" customFormat="1">
      <c r="A27" s="53">
        <v>45403.791666666664</v>
      </c>
      <c r="B27" s="54">
        <v>11.12</v>
      </c>
      <c r="C27" s="54">
        <v>13.33</v>
      </c>
      <c r="D27" s="54">
        <v>25</v>
      </c>
      <c r="E27" s="54">
        <v>22.59</v>
      </c>
      <c r="F27" s="54">
        <v>63.86</v>
      </c>
      <c r="G27" s="54">
        <v>50.54</v>
      </c>
      <c r="H27" s="54">
        <v>17.88</v>
      </c>
      <c r="I27" s="54">
        <v>3.65</v>
      </c>
      <c r="J27" s="54">
        <v>0.28000000000000003</v>
      </c>
      <c r="K27" s="54">
        <v>234.34</v>
      </c>
      <c r="L27" s="54">
        <v>35.32</v>
      </c>
      <c r="M27" s="54">
        <v>41.55</v>
      </c>
      <c r="N27" s="54">
        <v>0.7</v>
      </c>
      <c r="O27" s="54">
        <v>0</v>
      </c>
      <c r="P27" s="54">
        <v>0.46</v>
      </c>
      <c r="Q27" s="27" t="s">
        <v>14</v>
      </c>
    </row>
    <row r="28" spans="1:17" customFormat="1">
      <c r="A28" s="53">
        <v>45403.833333333336</v>
      </c>
      <c r="B28" s="54">
        <v>11.11</v>
      </c>
      <c r="C28" s="54">
        <v>13.33</v>
      </c>
      <c r="D28" s="54">
        <v>25</v>
      </c>
      <c r="E28" s="54">
        <v>29.52</v>
      </c>
      <c r="F28" s="54">
        <v>31.72</v>
      </c>
      <c r="G28" s="54">
        <v>58.72</v>
      </c>
      <c r="H28" s="54">
        <v>18.579999999999998</v>
      </c>
      <c r="I28" s="54">
        <v>5.98</v>
      </c>
      <c r="J28" s="54">
        <v>0.28999999999999998</v>
      </c>
      <c r="K28" s="54">
        <v>231.62</v>
      </c>
      <c r="L28" s="54">
        <v>33.39</v>
      </c>
      <c r="M28" s="54">
        <v>45.51</v>
      </c>
      <c r="N28" s="54">
        <v>0</v>
      </c>
      <c r="O28" s="54">
        <v>0</v>
      </c>
      <c r="P28" s="54">
        <v>0.7</v>
      </c>
      <c r="Q28" s="27" t="s">
        <v>14</v>
      </c>
    </row>
    <row r="29" spans="1:17" customFormat="1">
      <c r="A29" s="53">
        <v>45403.875</v>
      </c>
      <c r="B29" s="54">
        <v>11.14</v>
      </c>
      <c r="C29" s="54">
        <v>13.47</v>
      </c>
      <c r="D29" s="54">
        <v>25.12</v>
      </c>
      <c r="E29" s="54">
        <v>22.14</v>
      </c>
      <c r="F29" s="54">
        <v>45.49</v>
      </c>
      <c r="G29" s="54">
        <v>67.95</v>
      </c>
      <c r="H29" s="54">
        <v>19.28</v>
      </c>
      <c r="I29" s="54">
        <v>6.69</v>
      </c>
      <c r="J29" s="54">
        <v>0.18</v>
      </c>
      <c r="K29" s="54">
        <v>290.55</v>
      </c>
      <c r="L29" s="54">
        <v>32.51</v>
      </c>
      <c r="M29" s="54">
        <v>46.83</v>
      </c>
      <c r="N29" s="54">
        <v>0</v>
      </c>
      <c r="O29" s="54">
        <v>0</v>
      </c>
      <c r="P29" s="54">
        <v>0.64</v>
      </c>
      <c r="Q29" s="27" t="s">
        <v>14</v>
      </c>
    </row>
    <row r="30" spans="1:17" customFormat="1">
      <c r="A30" s="53">
        <v>45403.916666666664</v>
      </c>
      <c r="B30" s="54">
        <v>11.12</v>
      </c>
      <c r="C30" s="54">
        <v>13.33</v>
      </c>
      <c r="D30" s="54">
        <v>25</v>
      </c>
      <c r="E30" s="54">
        <v>16.55</v>
      </c>
      <c r="F30" s="54">
        <v>24.79</v>
      </c>
      <c r="G30" s="54">
        <v>67.95</v>
      </c>
      <c r="H30" s="54">
        <v>19.28</v>
      </c>
      <c r="I30" s="54">
        <v>6.38</v>
      </c>
      <c r="J30" s="54">
        <v>0.38</v>
      </c>
      <c r="K30" s="54">
        <v>305.77999999999997</v>
      </c>
      <c r="L30" s="54">
        <v>32.549999999999997</v>
      </c>
      <c r="M30" s="54">
        <v>46.85</v>
      </c>
      <c r="N30" s="54">
        <v>0</v>
      </c>
      <c r="O30" s="54">
        <v>0</v>
      </c>
      <c r="P30" s="54">
        <v>0.56000000000000005</v>
      </c>
      <c r="Q30" s="27" t="s">
        <v>14</v>
      </c>
    </row>
    <row r="31" spans="1:17" customFormat="1">
      <c r="A31" s="53">
        <v>45403.958333333336</v>
      </c>
      <c r="B31" s="54">
        <v>11.11</v>
      </c>
      <c r="C31" s="54">
        <v>13.4</v>
      </c>
      <c r="D31" s="54">
        <v>25.05</v>
      </c>
      <c r="E31" s="54">
        <v>14.4</v>
      </c>
      <c r="F31" s="54">
        <v>19.079999999999998</v>
      </c>
      <c r="G31" s="54">
        <v>62.22</v>
      </c>
      <c r="H31" s="54">
        <v>19.68</v>
      </c>
      <c r="I31" s="54">
        <v>5.25</v>
      </c>
      <c r="J31" s="54">
        <v>0.34</v>
      </c>
      <c r="K31" s="54">
        <v>245.25</v>
      </c>
      <c r="L31" s="54">
        <v>31.79</v>
      </c>
      <c r="M31" s="54">
        <v>46.39</v>
      </c>
      <c r="N31" s="54">
        <v>0</v>
      </c>
      <c r="O31" s="54">
        <v>0</v>
      </c>
      <c r="P31" s="54">
        <v>0.53</v>
      </c>
      <c r="Q31" s="27" t="s">
        <v>14</v>
      </c>
    </row>
    <row r="32" spans="1:17" customFormat="1">
      <c r="A32" s="53">
        <v>45404</v>
      </c>
      <c r="B32" s="54">
        <v>11.14</v>
      </c>
      <c r="C32" s="54">
        <v>13.46</v>
      </c>
      <c r="D32" s="54">
        <v>25.11</v>
      </c>
      <c r="E32" s="54">
        <v>15.46</v>
      </c>
      <c r="F32" s="54">
        <v>18.87</v>
      </c>
      <c r="G32" s="54">
        <v>56.3</v>
      </c>
      <c r="H32" s="54">
        <v>19.68</v>
      </c>
      <c r="I32" s="54">
        <v>4.99</v>
      </c>
      <c r="J32" s="54">
        <v>0.35</v>
      </c>
      <c r="K32" s="54">
        <v>242.47</v>
      </c>
      <c r="L32" s="54">
        <v>31.01</v>
      </c>
      <c r="M32" s="54">
        <v>48.47</v>
      </c>
      <c r="N32" s="54">
        <v>0</v>
      </c>
      <c r="O32" s="54">
        <v>0</v>
      </c>
      <c r="P32" s="54">
        <v>0.5</v>
      </c>
      <c r="Q32" s="27" t="s">
        <v>14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11.1</v>
      </c>
      <c r="C34" s="40">
        <f t="shared" si="0"/>
        <v>13.3</v>
      </c>
      <c r="D34" s="40">
        <f t="shared" si="0"/>
        <v>25</v>
      </c>
      <c r="E34" s="40">
        <f t="shared" si="0"/>
        <v>8.75</v>
      </c>
      <c r="F34" s="40">
        <f t="shared" si="0"/>
        <v>4.59</v>
      </c>
      <c r="G34" s="40">
        <f t="shared" si="0"/>
        <v>26.02</v>
      </c>
      <c r="H34" s="40">
        <f t="shared" si="0"/>
        <v>12.48</v>
      </c>
      <c r="I34" s="40">
        <f t="shared" si="0"/>
        <v>3.49</v>
      </c>
      <c r="J34" s="40">
        <f t="shared" si="0"/>
        <v>0.18</v>
      </c>
      <c r="K34" s="40">
        <f t="shared" si="0"/>
        <v>75.17</v>
      </c>
      <c r="L34" s="40">
        <f t="shared" si="0"/>
        <v>26.84</v>
      </c>
      <c r="M34" s="40">
        <f t="shared" si="0"/>
        <v>18.63</v>
      </c>
      <c r="N34" s="40">
        <f t="shared" si="0"/>
        <v>0</v>
      </c>
      <c r="O34" s="40">
        <f t="shared" si="0"/>
        <v>0</v>
      </c>
      <c r="P34" s="40">
        <f t="shared" si="0"/>
        <v>0.32</v>
      </c>
      <c r="Q34" s="40">
        <f t="shared" si="0"/>
        <v>0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11.26</v>
      </c>
      <c r="C35" s="33">
        <f t="shared" si="1"/>
        <v>13.83</v>
      </c>
      <c r="D35" s="33">
        <f t="shared" si="1"/>
        <v>25.37</v>
      </c>
      <c r="E35" s="33">
        <f t="shared" si="1"/>
        <v>36.51</v>
      </c>
      <c r="F35" s="33">
        <f t="shared" si="1"/>
        <v>67.010000000000005</v>
      </c>
      <c r="G35" s="33">
        <f t="shared" si="1"/>
        <v>67.95</v>
      </c>
      <c r="H35" s="33">
        <f t="shared" si="1"/>
        <v>21.23</v>
      </c>
      <c r="I35" s="33">
        <f t="shared" si="1"/>
        <v>8.67</v>
      </c>
      <c r="J35" s="33">
        <f t="shared" si="1"/>
        <v>1.38</v>
      </c>
      <c r="K35" s="33">
        <f t="shared" si="1"/>
        <v>350.78</v>
      </c>
      <c r="L35" s="33">
        <f t="shared" si="1"/>
        <v>41.37</v>
      </c>
      <c r="M35" s="33">
        <f t="shared" si="1"/>
        <v>65.42</v>
      </c>
      <c r="N35" s="33">
        <f t="shared" si="1"/>
        <v>744.6</v>
      </c>
      <c r="O35" s="33">
        <f t="shared" si="1"/>
        <v>0</v>
      </c>
      <c r="P35" s="33">
        <f t="shared" si="1"/>
        <v>0.7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11.147083333333333</v>
      </c>
      <c r="C36" s="40">
        <f t="shared" si="2"/>
        <v>13.428749999999999</v>
      </c>
      <c r="D36" s="40">
        <f t="shared" si="2"/>
        <v>25.092916666666664</v>
      </c>
      <c r="E36" s="40">
        <f t="shared" si="2"/>
        <v>20.113333333333333</v>
      </c>
      <c r="F36" s="40">
        <f t="shared" si="2"/>
        <v>31.594166666666666</v>
      </c>
      <c r="G36" s="40">
        <f t="shared" si="2"/>
        <v>46.758333333333326</v>
      </c>
      <c r="H36" s="40">
        <f t="shared" si="2"/>
        <v>18.264583333333331</v>
      </c>
      <c r="I36" s="40">
        <f t="shared" si="2"/>
        <v>6.2066666666666679</v>
      </c>
      <c r="J36" s="40">
        <f t="shared" si="2"/>
        <v>0.57333333333333314</v>
      </c>
      <c r="K36" s="40">
        <f t="shared" si="2"/>
        <v>255.93624999999997</v>
      </c>
      <c r="L36" s="40">
        <f t="shared" si="2"/>
        <v>33.981666666666662</v>
      </c>
      <c r="M36" s="40">
        <f t="shared" si="2"/>
        <v>42.964999999999996</v>
      </c>
      <c r="N36" s="40">
        <f t="shared" si="2"/>
        <v>221.54166666666666</v>
      </c>
      <c r="O36" s="40">
        <f t="shared" si="2"/>
        <v>0</v>
      </c>
      <c r="P36" s="40">
        <f t="shared" si="2"/>
        <v>0.48416666666666669</v>
      </c>
      <c r="Q36" s="27" t="s">
        <v>14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3.7703553824732498E-2</v>
      </c>
      <c r="C37" s="40">
        <f t="shared" ref="C37:Q37" si="3">STDEV(C9:C32)</f>
        <v>0.11448609180765715</v>
      </c>
      <c r="D37" s="40">
        <f t="shared" si="3"/>
        <v>8.8685039504327559E-2</v>
      </c>
      <c r="E37" s="40">
        <f t="shared" si="3"/>
        <v>8.953220293458017</v>
      </c>
      <c r="F37" s="40">
        <f t="shared" si="3"/>
        <v>17.834481725180495</v>
      </c>
      <c r="G37" s="40">
        <f t="shared" si="3"/>
        <v>13.065289782528728</v>
      </c>
      <c r="H37" s="40">
        <f t="shared" si="3"/>
        <v>2.7401522953021114</v>
      </c>
      <c r="I37" s="40">
        <f t="shared" si="3"/>
        <v>1.2373908969618428</v>
      </c>
      <c r="J37" s="40">
        <f t="shared" si="3"/>
        <v>0.34775887031685931</v>
      </c>
      <c r="K37" s="40">
        <f t="shared" si="3"/>
        <v>66.784891015369681</v>
      </c>
      <c r="L37" s="40">
        <f t="shared" si="3"/>
        <v>4.8765282257188334</v>
      </c>
      <c r="M37" s="40">
        <f t="shared" si="3"/>
        <v>15.901154182883284</v>
      </c>
      <c r="N37" s="40">
        <f t="shared" si="3"/>
        <v>289.4640458512589</v>
      </c>
      <c r="O37" s="40">
        <f t="shared" si="3"/>
        <v>0</v>
      </c>
      <c r="P37" s="40">
        <f t="shared" si="3"/>
        <v>9.7397288894804271E-2</v>
      </c>
      <c r="Q37" s="27" t="s">
        <v>14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0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Q9" sqref="Q9:Q15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45404.041666666664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45404.041666666664</v>
      </c>
      <c r="B9" s="54">
        <v>11.34</v>
      </c>
      <c r="C9" s="54">
        <v>13.6</v>
      </c>
      <c r="D9" s="54">
        <v>25.33</v>
      </c>
      <c r="E9" s="54">
        <v>14.7</v>
      </c>
      <c r="F9" s="54">
        <v>11.42</v>
      </c>
      <c r="G9" s="54">
        <v>44.64</v>
      </c>
      <c r="H9" s="54">
        <v>17.5</v>
      </c>
      <c r="I9" s="54">
        <v>4.8</v>
      </c>
      <c r="J9" s="54">
        <v>0.74</v>
      </c>
      <c r="K9" s="54">
        <v>246.18</v>
      </c>
      <c r="L9" s="54">
        <v>30.47</v>
      </c>
      <c r="M9" s="54">
        <v>48.66</v>
      </c>
      <c r="N9" s="54">
        <v>0</v>
      </c>
      <c r="O9" s="54">
        <v>0</v>
      </c>
      <c r="P9" s="54">
        <v>0.48</v>
      </c>
      <c r="Q9" s="27" t="s">
        <v>14</v>
      </c>
    </row>
    <row r="10" spans="1:21" customFormat="1">
      <c r="A10" s="53">
        <v>45404.083333333336</v>
      </c>
      <c r="B10" s="54">
        <v>11.33</v>
      </c>
      <c r="C10" s="54">
        <v>13.41</v>
      </c>
      <c r="D10" s="54">
        <v>25.23</v>
      </c>
      <c r="E10" s="54">
        <v>14.86</v>
      </c>
      <c r="F10" s="54">
        <v>14.74</v>
      </c>
      <c r="G10" s="54">
        <v>33.159999999999997</v>
      </c>
      <c r="H10" s="54">
        <v>15</v>
      </c>
      <c r="I10" s="54">
        <v>4.7300000000000004</v>
      </c>
      <c r="J10" s="54">
        <v>0.52</v>
      </c>
      <c r="K10" s="54">
        <v>240.06</v>
      </c>
      <c r="L10" s="54">
        <v>29.78</v>
      </c>
      <c r="M10" s="54">
        <v>52.13</v>
      </c>
      <c r="N10" s="54">
        <v>0</v>
      </c>
      <c r="O10" s="54">
        <v>0</v>
      </c>
      <c r="P10" s="54">
        <v>0.47</v>
      </c>
      <c r="Q10" s="27" t="s">
        <v>14</v>
      </c>
    </row>
    <row r="11" spans="1:21" customFormat="1">
      <c r="A11" s="53">
        <v>45404.125</v>
      </c>
      <c r="B11" s="54">
        <v>11.34</v>
      </c>
      <c r="C11" s="54">
        <v>13.2</v>
      </c>
      <c r="D11" s="54">
        <v>25.11</v>
      </c>
      <c r="E11" s="54">
        <v>9.58</v>
      </c>
      <c r="F11" s="54">
        <v>29.86</v>
      </c>
      <c r="G11" s="54">
        <v>28.4</v>
      </c>
      <c r="H11" s="54">
        <v>13.45</v>
      </c>
      <c r="I11" s="54">
        <v>4.55</v>
      </c>
      <c r="J11" s="54">
        <v>1.31</v>
      </c>
      <c r="K11" s="54">
        <v>297.73</v>
      </c>
      <c r="L11" s="54">
        <v>29.22</v>
      </c>
      <c r="M11" s="54">
        <v>53.73</v>
      </c>
      <c r="N11" s="54">
        <v>0</v>
      </c>
      <c r="O11" s="54">
        <v>0</v>
      </c>
      <c r="P11" s="54">
        <v>0.41</v>
      </c>
      <c r="Q11" s="27" t="s">
        <v>14</v>
      </c>
    </row>
    <row r="12" spans="1:21" customFormat="1">
      <c r="A12" s="53">
        <v>45404.166666666664</v>
      </c>
      <c r="B12" s="54">
        <v>11.39</v>
      </c>
      <c r="C12" s="54">
        <v>13.32</v>
      </c>
      <c r="D12" s="54">
        <v>25.24</v>
      </c>
      <c r="E12" s="54">
        <v>12.43</v>
      </c>
      <c r="F12" s="54">
        <v>12.48</v>
      </c>
      <c r="G12" s="54">
        <v>28.26</v>
      </c>
      <c r="H12" s="54">
        <v>11.73</v>
      </c>
      <c r="I12" s="54">
        <v>4.17</v>
      </c>
      <c r="J12" s="54">
        <v>2.76</v>
      </c>
      <c r="K12" s="54">
        <v>314.45</v>
      </c>
      <c r="L12" s="54">
        <v>29.94</v>
      </c>
      <c r="M12" s="54">
        <v>51.03</v>
      </c>
      <c r="N12" s="54">
        <v>0</v>
      </c>
      <c r="O12" s="54">
        <v>0</v>
      </c>
      <c r="P12" s="54">
        <v>0.4</v>
      </c>
      <c r="Q12" s="27" t="s">
        <v>14</v>
      </c>
    </row>
    <row r="13" spans="1:21" customFormat="1">
      <c r="A13" s="53">
        <v>45404.208333333336</v>
      </c>
      <c r="B13" s="54">
        <v>11.36</v>
      </c>
      <c r="C13" s="54">
        <v>13.31</v>
      </c>
      <c r="D13" s="54">
        <v>25.21</v>
      </c>
      <c r="E13" s="54">
        <v>25.9</v>
      </c>
      <c r="F13" s="54">
        <v>15.61</v>
      </c>
      <c r="G13" s="54">
        <v>33.49</v>
      </c>
      <c r="H13" s="54">
        <v>14.43</v>
      </c>
      <c r="I13" s="54">
        <v>4.1900000000000004</v>
      </c>
      <c r="J13" s="54">
        <v>1.39</v>
      </c>
      <c r="K13" s="54">
        <v>337.1</v>
      </c>
      <c r="L13" s="54">
        <v>29.57</v>
      </c>
      <c r="M13" s="54">
        <v>48.02</v>
      </c>
      <c r="N13" s="54">
        <v>0</v>
      </c>
      <c r="O13" s="54">
        <v>0</v>
      </c>
      <c r="P13" s="54">
        <v>0.42</v>
      </c>
      <c r="Q13" s="27" t="s">
        <v>14</v>
      </c>
    </row>
    <row r="14" spans="1:21" customFormat="1">
      <c r="A14" s="53">
        <v>45404.25</v>
      </c>
      <c r="B14" s="54">
        <v>11.4</v>
      </c>
      <c r="C14" s="54">
        <v>13.22</v>
      </c>
      <c r="D14" s="54">
        <v>25.19</v>
      </c>
      <c r="E14" s="54">
        <v>74.260000000000005</v>
      </c>
      <c r="F14" s="54">
        <v>14.96</v>
      </c>
      <c r="G14" s="54">
        <v>39.979999999999997</v>
      </c>
      <c r="H14" s="54">
        <v>17.28</v>
      </c>
      <c r="I14" s="54">
        <v>4.8</v>
      </c>
      <c r="J14" s="54">
        <v>0.42</v>
      </c>
      <c r="K14" s="54">
        <v>355.76</v>
      </c>
      <c r="L14" s="54">
        <v>29.14</v>
      </c>
      <c r="M14" s="54">
        <v>45.95</v>
      </c>
      <c r="N14" s="54">
        <v>3.6</v>
      </c>
      <c r="O14" s="54">
        <v>0</v>
      </c>
      <c r="P14" s="54">
        <v>0.56000000000000005</v>
      </c>
      <c r="Q14" s="27" t="s">
        <v>14</v>
      </c>
    </row>
    <row r="15" spans="1:21" customFormat="1">
      <c r="A15" s="53">
        <v>45404.291666666664</v>
      </c>
      <c r="B15" s="54">
        <v>11.45</v>
      </c>
      <c r="C15" s="54">
        <v>13.56</v>
      </c>
      <c r="D15" s="54">
        <v>25.41</v>
      </c>
      <c r="E15" s="54">
        <v>56.66</v>
      </c>
      <c r="F15" s="54">
        <v>12.05</v>
      </c>
      <c r="G15" s="54">
        <v>52.3</v>
      </c>
      <c r="H15" s="54">
        <v>18.239999999999998</v>
      </c>
      <c r="I15" s="54">
        <v>5.92</v>
      </c>
      <c r="J15" s="54">
        <v>0.37</v>
      </c>
      <c r="K15" s="54">
        <v>358.22</v>
      </c>
      <c r="L15" s="54">
        <v>29.22</v>
      </c>
      <c r="M15" s="54">
        <v>44.24</v>
      </c>
      <c r="N15" s="54">
        <v>39.799999999999997</v>
      </c>
      <c r="O15" s="54">
        <v>0</v>
      </c>
      <c r="P15" s="54">
        <v>0.53</v>
      </c>
      <c r="Q15" s="27" t="s">
        <v>14</v>
      </c>
    </row>
    <row r="16" spans="1:21" customFormat="1">
      <c r="A16" s="53">
        <v>45404.333333333336</v>
      </c>
      <c r="B16" s="54">
        <v>11.43</v>
      </c>
      <c r="C16" s="54">
        <v>13.48</v>
      </c>
      <c r="D16" s="54">
        <v>25.35</v>
      </c>
      <c r="E16" s="54">
        <v>17.059999999999999</v>
      </c>
      <c r="F16" s="54">
        <v>7.51</v>
      </c>
      <c r="G16" s="54">
        <v>52.3</v>
      </c>
      <c r="H16" s="54">
        <v>20.14</v>
      </c>
      <c r="I16" s="54">
        <v>5.61</v>
      </c>
      <c r="J16" s="54">
        <v>1.39</v>
      </c>
      <c r="K16" s="54">
        <v>333.32</v>
      </c>
      <c r="L16" s="54">
        <v>29.67</v>
      </c>
      <c r="M16" s="54">
        <v>41.82</v>
      </c>
      <c r="N16" s="54">
        <v>121.6</v>
      </c>
      <c r="O16" s="54">
        <v>0</v>
      </c>
      <c r="P16" s="54">
        <v>0.56999999999999995</v>
      </c>
      <c r="Q16" s="54">
        <v>4.97</v>
      </c>
    </row>
    <row r="17" spans="1:17" customFormat="1">
      <c r="A17" s="53">
        <v>45404.375</v>
      </c>
      <c r="B17" s="54">
        <v>11.51</v>
      </c>
      <c r="C17" s="54">
        <v>13.67</v>
      </c>
      <c r="D17" s="54">
        <v>25.52</v>
      </c>
      <c r="E17" s="54">
        <v>20.79</v>
      </c>
      <c r="F17" s="54">
        <v>7.42</v>
      </c>
      <c r="G17" s="54">
        <v>51.99</v>
      </c>
      <c r="H17" s="54">
        <v>20.98</v>
      </c>
      <c r="I17" s="54">
        <v>5.76</v>
      </c>
      <c r="J17" s="54">
        <v>1.81</v>
      </c>
      <c r="K17" s="54">
        <v>48.36</v>
      </c>
      <c r="L17" s="54">
        <v>29.77</v>
      </c>
      <c r="M17" s="54">
        <v>44.94</v>
      </c>
      <c r="N17" s="54">
        <v>132.1</v>
      </c>
      <c r="O17" s="54">
        <v>0</v>
      </c>
      <c r="P17" s="54">
        <v>0.56999999999999995</v>
      </c>
      <c r="Q17" s="27" t="s">
        <v>14</v>
      </c>
    </row>
    <row r="18" spans="1:17" customFormat="1">
      <c r="A18" s="53">
        <v>45404.416666666664</v>
      </c>
      <c r="B18" s="54">
        <v>11.45</v>
      </c>
      <c r="C18" s="54">
        <v>13.82</v>
      </c>
      <c r="D18" s="54">
        <v>25.55</v>
      </c>
      <c r="E18" s="54">
        <v>12.8</v>
      </c>
      <c r="F18" s="54">
        <v>11.98</v>
      </c>
      <c r="G18" s="54">
        <v>52.66</v>
      </c>
      <c r="H18" s="54">
        <v>20.98</v>
      </c>
      <c r="I18" s="54">
        <v>5.6</v>
      </c>
      <c r="J18" s="54">
        <v>2.85</v>
      </c>
      <c r="K18" s="54">
        <v>43.02</v>
      </c>
      <c r="L18" s="54">
        <v>32.43</v>
      </c>
      <c r="M18" s="54">
        <v>43.1</v>
      </c>
      <c r="N18" s="54">
        <v>596.70000000000005</v>
      </c>
      <c r="O18" s="54">
        <v>0</v>
      </c>
      <c r="P18" s="54">
        <v>0.53</v>
      </c>
      <c r="Q18" s="27" t="s">
        <v>14</v>
      </c>
    </row>
    <row r="19" spans="1:17" customFormat="1">
      <c r="A19" s="53">
        <v>45404.458333333336</v>
      </c>
      <c r="B19" s="54">
        <v>11.34</v>
      </c>
      <c r="C19" s="54">
        <v>13.42</v>
      </c>
      <c r="D19" s="54">
        <v>25.25</v>
      </c>
      <c r="E19" s="54">
        <v>17.079999999999998</v>
      </c>
      <c r="F19" s="54">
        <v>14.29</v>
      </c>
      <c r="G19" s="54">
        <v>52.66</v>
      </c>
      <c r="H19" s="54">
        <v>18.8</v>
      </c>
      <c r="I19" s="54">
        <v>5.0199999999999996</v>
      </c>
      <c r="J19" s="54">
        <v>2.79</v>
      </c>
      <c r="K19" s="54">
        <v>45.52</v>
      </c>
      <c r="L19" s="54">
        <v>33.35</v>
      </c>
      <c r="M19" s="54">
        <v>37.799999999999997</v>
      </c>
      <c r="N19" s="54">
        <v>531.5</v>
      </c>
      <c r="O19" s="54">
        <v>0</v>
      </c>
      <c r="P19" s="54">
        <v>0.5</v>
      </c>
      <c r="Q19" s="27" t="s">
        <v>14</v>
      </c>
    </row>
    <row r="20" spans="1:17" customFormat="1">
      <c r="A20" s="53">
        <v>45404.5</v>
      </c>
      <c r="B20" s="54">
        <v>11.38</v>
      </c>
      <c r="C20" s="54">
        <v>13.41</v>
      </c>
      <c r="D20" s="54">
        <v>25.26</v>
      </c>
      <c r="E20" s="54">
        <v>33.15</v>
      </c>
      <c r="F20" s="54">
        <v>28.28</v>
      </c>
      <c r="G20" s="54">
        <v>43.24</v>
      </c>
      <c r="H20" s="54">
        <v>15.42</v>
      </c>
      <c r="I20" s="54">
        <v>4.7</v>
      </c>
      <c r="J20" s="54">
        <v>1.1599999999999999</v>
      </c>
      <c r="K20" s="54">
        <v>352.31</v>
      </c>
      <c r="L20" s="54">
        <v>34.549999999999997</v>
      </c>
      <c r="M20" s="54">
        <v>35.57</v>
      </c>
      <c r="N20" s="54">
        <v>669.9</v>
      </c>
      <c r="O20" s="54">
        <v>0</v>
      </c>
      <c r="P20" s="54">
        <v>0.49</v>
      </c>
      <c r="Q20" s="27" t="s">
        <v>14</v>
      </c>
    </row>
    <row r="21" spans="1:17" customFormat="1">
      <c r="A21" s="53">
        <v>45404.541666666664</v>
      </c>
      <c r="B21" s="54">
        <v>11.37</v>
      </c>
      <c r="C21" s="54">
        <v>13.25</v>
      </c>
      <c r="D21" s="54">
        <v>25.19</v>
      </c>
      <c r="E21" s="54">
        <v>25.74</v>
      </c>
      <c r="F21" s="54">
        <v>42.42</v>
      </c>
      <c r="G21" s="54">
        <v>46.48</v>
      </c>
      <c r="H21" s="54">
        <v>14.88</v>
      </c>
      <c r="I21" s="54">
        <v>4.4000000000000004</v>
      </c>
      <c r="J21" s="54">
        <v>1.64</v>
      </c>
      <c r="K21" s="54">
        <v>340.62</v>
      </c>
      <c r="L21" s="54">
        <v>34.47</v>
      </c>
      <c r="M21" s="54">
        <v>35.380000000000003</v>
      </c>
      <c r="N21" s="54">
        <v>797.2</v>
      </c>
      <c r="O21" s="54">
        <v>0</v>
      </c>
      <c r="P21" s="54">
        <v>0.42</v>
      </c>
      <c r="Q21" s="27" t="s">
        <v>14</v>
      </c>
    </row>
    <row r="22" spans="1:17" customFormat="1">
      <c r="A22" s="53">
        <v>45404.583333333336</v>
      </c>
      <c r="B22" s="54">
        <v>11.4</v>
      </c>
      <c r="C22" s="54">
        <v>13.45</v>
      </c>
      <c r="D22" s="54">
        <v>25.32</v>
      </c>
      <c r="E22" s="54">
        <v>8.9700000000000006</v>
      </c>
      <c r="F22" s="54">
        <v>22.99</v>
      </c>
      <c r="G22" s="54">
        <v>47.57</v>
      </c>
      <c r="H22" s="54">
        <v>14.88</v>
      </c>
      <c r="I22" s="54">
        <v>3.13</v>
      </c>
      <c r="J22" s="54">
        <v>2.21</v>
      </c>
      <c r="K22" s="54">
        <v>336.01</v>
      </c>
      <c r="L22" s="54">
        <v>33.770000000000003</v>
      </c>
      <c r="M22" s="54">
        <v>37.549999999999997</v>
      </c>
      <c r="N22" s="54">
        <v>660.4</v>
      </c>
      <c r="O22" s="54">
        <v>0</v>
      </c>
      <c r="P22" s="54">
        <v>0.37</v>
      </c>
      <c r="Q22" s="27" t="s">
        <v>14</v>
      </c>
    </row>
    <row r="23" spans="1:17" customFormat="1">
      <c r="A23" s="53">
        <v>45404.625</v>
      </c>
      <c r="B23" s="54">
        <v>11.4</v>
      </c>
      <c r="C23" s="54">
        <v>13.48</v>
      </c>
      <c r="D23" s="54">
        <v>25.33</v>
      </c>
      <c r="E23" s="54">
        <v>3.69</v>
      </c>
      <c r="F23" s="54">
        <v>11.47</v>
      </c>
      <c r="G23" s="54">
        <v>47.57</v>
      </c>
      <c r="H23" s="54">
        <v>14.01</v>
      </c>
      <c r="I23" s="54">
        <v>3.31</v>
      </c>
      <c r="J23" s="54">
        <v>2.09</v>
      </c>
      <c r="K23" s="54">
        <v>319.94</v>
      </c>
      <c r="L23" s="54">
        <v>33.520000000000003</v>
      </c>
      <c r="M23" s="54">
        <v>37.479999999999997</v>
      </c>
      <c r="N23" s="54">
        <v>417.3</v>
      </c>
      <c r="O23" s="54">
        <v>0</v>
      </c>
      <c r="P23" s="54">
        <v>0.45</v>
      </c>
      <c r="Q23" s="27" t="s">
        <v>14</v>
      </c>
    </row>
    <row r="24" spans="1:17" customFormat="1">
      <c r="A24" s="53">
        <v>45404.666666666664</v>
      </c>
      <c r="B24" s="54">
        <v>11.36</v>
      </c>
      <c r="C24" s="54">
        <v>13.26</v>
      </c>
      <c r="D24" s="54">
        <v>25.18</v>
      </c>
      <c r="E24" s="54">
        <v>1.0900000000000001</v>
      </c>
      <c r="F24" s="54">
        <v>14.83</v>
      </c>
      <c r="G24" s="54">
        <v>43.54</v>
      </c>
      <c r="H24" s="54">
        <v>13.33</v>
      </c>
      <c r="I24" s="54">
        <v>3.34</v>
      </c>
      <c r="J24" s="54">
        <v>1.72</v>
      </c>
      <c r="K24" s="54">
        <v>336.23</v>
      </c>
      <c r="L24" s="54">
        <v>33.049999999999997</v>
      </c>
      <c r="M24" s="54">
        <v>37.200000000000003</v>
      </c>
      <c r="N24" s="54">
        <v>238.9</v>
      </c>
      <c r="O24" s="54">
        <v>0</v>
      </c>
      <c r="P24" s="54">
        <v>0.43</v>
      </c>
      <c r="Q24" s="27" t="s">
        <v>14</v>
      </c>
    </row>
    <row r="25" spans="1:17" customFormat="1">
      <c r="A25" s="53">
        <v>45404.708333333336</v>
      </c>
      <c r="B25" s="54">
        <v>11.37</v>
      </c>
      <c r="C25" s="54">
        <v>13.38</v>
      </c>
      <c r="D25" s="54">
        <v>25.25</v>
      </c>
      <c r="E25" s="54">
        <v>14.72</v>
      </c>
      <c r="F25" s="54">
        <v>8.42</v>
      </c>
      <c r="G25" s="54">
        <v>43.32</v>
      </c>
      <c r="H25" s="54">
        <v>12.88</v>
      </c>
      <c r="I25" s="54">
        <v>3.54</v>
      </c>
      <c r="J25" s="54">
        <v>1.29</v>
      </c>
      <c r="K25" s="54">
        <v>31.97</v>
      </c>
      <c r="L25" s="54">
        <v>31.28</v>
      </c>
      <c r="M25" s="54">
        <v>42.43</v>
      </c>
      <c r="N25" s="54">
        <v>99</v>
      </c>
      <c r="O25" s="54">
        <v>0</v>
      </c>
      <c r="P25" s="54">
        <v>0.5</v>
      </c>
      <c r="Q25" s="27" t="s">
        <v>14</v>
      </c>
    </row>
    <row r="26" spans="1:17" customFormat="1">
      <c r="A26" s="53">
        <v>45404.75</v>
      </c>
      <c r="B26" s="54">
        <v>11.38</v>
      </c>
      <c r="C26" s="54">
        <v>13.48</v>
      </c>
      <c r="D26" s="54">
        <v>25.31</v>
      </c>
      <c r="E26" s="54">
        <v>17</v>
      </c>
      <c r="F26" s="54">
        <v>6.03</v>
      </c>
      <c r="G26" s="54">
        <v>54.05</v>
      </c>
      <c r="H26" s="54">
        <v>13.66</v>
      </c>
      <c r="I26" s="54">
        <v>3.86</v>
      </c>
      <c r="J26" s="54">
        <v>1.58</v>
      </c>
      <c r="K26" s="54">
        <v>47.67</v>
      </c>
      <c r="L26" s="54">
        <v>29.86</v>
      </c>
      <c r="M26" s="54">
        <v>45.72</v>
      </c>
      <c r="N26" s="54">
        <v>19.8</v>
      </c>
      <c r="O26" s="54">
        <v>0</v>
      </c>
      <c r="P26" s="54">
        <v>0.54</v>
      </c>
      <c r="Q26" s="27" t="s">
        <v>14</v>
      </c>
    </row>
    <row r="27" spans="1:17" customFormat="1">
      <c r="A27" s="53">
        <v>45404.791666666664</v>
      </c>
      <c r="B27" s="54">
        <v>11.34</v>
      </c>
      <c r="C27" s="54">
        <v>13.31</v>
      </c>
      <c r="D27" s="54">
        <v>25.19</v>
      </c>
      <c r="E27" s="54">
        <v>13.22</v>
      </c>
      <c r="F27" s="54">
        <v>4.29</v>
      </c>
      <c r="G27" s="54">
        <v>54.81</v>
      </c>
      <c r="H27" s="54">
        <v>13.66</v>
      </c>
      <c r="I27" s="54">
        <v>4.07</v>
      </c>
      <c r="J27" s="54">
        <v>0.45</v>
      </c>
      <c r="K27" s="54">
        <v>318.51</v>
      </c>
      <c r="L27" s="54">
        <v>28.78</v>
      </c>
      <c r="M27" s="54">
        <v>48.45</v>
      </c>
      <c r="N27" s="54">
        <v>0</v>
      </c>
      <c r="O27" s="54">
        <v>0</v>
      </c>
      <c r="P27" s="54">
        <v>0.56999999999999995</v>
      </c>
      <c r="Q27" s="27" t="s">
        <v>14</v>
      </c>
    </row>
    <row r="28" spans="1:17" customFormat="1">
      <c r="A28" s="53">
        <v>45404.833333333336</v>
      </c>
      <c r="B28" s="54">
        <v>11.56</v>
      </c>
      <c r="C28" s="54">
        <v>14.06</v>
      </c>
      <c r="D28" s="54">
        <v>25.76</v>
      </c>
      <c r="E28" s="54">
        <v>12.67</v>
      </c>
      <c r="F28" s="54">
        <v>2.2799999999999998</v>
      </c>
      <c r="G28" s="54">
        <v>56.03</v>
      </c>
      <c r="H28" s="54">
        <v>16.25</v>
      </c>
      <c r="I28" s="54">
        <v>4.4400000000000004</v>
      </c>
      <c r="J28" s="54">
        <v>1.32</v>
      </c>
      <c r="K28" s="54">
        <v>329.59</v>
      </c>
      <c r="L28" s="54">
        <v>28.87</v>
      </c>
      <c r="M28" s="54">
        <v>72.95</v>
      </c>
      <c r="N28" s="54">
        <v>1.2</v>
      </c>
      <c r="O28" s="54">
        <v>1.8</v>
      </c>
      <c r="P28" s="54">
        <v>0.6</v>
      </c>
      <c r="Q28" s="27" t="s">
        <v>14</v>
      </c>
    </row>
    <row r="29" spans="1:17" customFormat="1">
      <c r="A29" s="53">
        <v>45404.875</v>
      </c>
      <c r="B29" s="54">
        <v>11.38</v>
      </c>
      <c r="C29" s="54">
        <v>13.52</v>
      </c>
      <c r="D29" s="54">
        <v>25.33</v>
      </c>
      <c r="E29" s="54">
        <v>12.04</v>
      </c>
      <c r="F29" s="54">
        <v>1</v>
      </c>
      <c r="G29" s="54">
        <v>69.98</v>
      </c>
      <c r="H29" s="54">
        <v>17.96</v>
      </c>
      <c r="I29" s="54">
        <v>4.75</v>
      </c>
      <c r="J29" s="54">
        <v>1.1299999999999999</v>
      </c>
      <c r="K29" s="54">
        <v>82.18</v>
      </c>
      <c r="L29" s="54">
        <v>26.06</v>
      </c>
      <c r="M29" s="54">
        <v>76</v>
      </c>
      <c r="N29" s="54">
        <v>0</v>
      </c>
      <c r="O29" s="54">
        <v>0</v>
      </c>
      <c r="P29" s="54">
        <v>0.64</v>
      </c>
      <c r="Q29" s="27" t="s">
        <v>14</v>
      </c>
    </row>
    <row r="30" spans="1:17" customFormat="1">
      <c r="A30" s="53">
        <v>45404.916666666664</v>
      </c>
      <c r="B30" s="54">
        <v>11.64</v>
      </c>
      <c r="C30" s="54">
        <v>13.61</v>
      </c>
      <c r="D30" s="54">
        <v>25.58</v>
      </c>
      <c r="E30" s="54">
        <v>12.92</v>
      </c>
      <c r="F30" s="54">
        <v>3.39</v>
      </c>
      <c r="G30" s="54">
        <v>69.98</v>
      </c>
      <c r="H30" s="54">
        <v>19.63</v>
      </c>
      <c r="I30" s="54">
        <v>5</v>
      </c>
      <c r="J30" s="54">
        <v>0.98</v>
      </c>
      <c r="K30" s="54">
        <v>358.39</v>
      </c>
      <c r="L30" s="54">
        <v>25.92</v>
      </c>
      <c r="M30" s="54">
        <v>74.27</v>
      </c>
      <c r="N30" s="54">
        <v>0</v>
      </c>
      <c r="O30" s="54">
        <v>0.2</v>
      </c>
      <c r="P30" s="54">
        <v>0.66</v>
      </c>
      <c r="Q30" s="27" t="s">
        <v>14</v>
      </c>
    </row>
    <row r="31" spans="1:17" customFormat="1">
      <c r="A31" s="53">
        <v>45404.958333333336</v>
      </c>
      <c r="B31" s="54">
        <v>11.56</v>
      </c>
      <c r="C31" s="54">
        <v>13.49</v>
      </c>
      <c r="D31" s="54">
        <v>25.46</v>
      </c>
      <c r="E31" s="54">
        <v>10.51</v>
      </c>
      <c r="F31" s="54">
        <v>1.21</v>
      </c>
      <c r="G31" s="54">
        <v>68.14</v>
      </c>
      <c r="H31" s="54">
        <v>19.63</v>
      </c>
      <c r="I31" s="54">
        <v>5.13</v>
      </c>
      <c r="J31" s="54">
        <v>0.4</v>
      </c>
      <c r="K31" s="54">
        <v>234.76</v>
      </c>
      <c r="L31" s="54">
        <v>25.07</v>
      </c>
      <c r="M31" s="54">
        <v>88.43</v>
      </c>
      <c r="N31" s="54">
        <v>0</v>
      </c>
      <c r="O31" s="54">
        <v>0.2</v>
      </c>
      <c r="P31" s="54">
        <v>0.65</v>
      </c>
      <c r="Q31" s="27" t="s">
        <v>14</v>
      </c>
    </row>
    <row r="32" spans="1:17" customFormat="1">
      <c r="A32" s="53">
        <v>45405</v>
      </c>
      <c r="B32" s="54">
        <v>11.45</v>
      </c>
      <c r="C32" s="54">
        <v>13.2</v>
      </c>
      <c r="D32" s="54">
        <v>25.22</v>
      </c>
      <c r="E32" s="54">
        <v>10.36</v>
      </c>
      <c r="F32" s="54">
        <v>1</v>
      </c>
      <c r="G32" s="54">
        <v>61.38</v>
      </c>
      <c r="H32" s="54">
        <v>18.420000000000002</v>
      </c>
      <c r="I32" s="54">
        <v>5.28</v>
      </c>
      <c r="J32" s="54">
        <v>0.79</v>
      </c>
      <c r="K32" s="54">
        <v>262.45</v>
      </c>
      <c r="L32" s="54">
        <v>23.74</v>
      </c>
      <c r="M32" s="54">
        <v>101.72</v>
      </c>
      <c r="N32" s="54">
        <v>0</v>
      </c>
      <c r="O32" s="54">
        <v>2.6</v>
      </c>
      <c r="P32" s="54">
        <v>0.65</v>
      </c>
      <c r="Q32" s="54">
        <v>4.96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11.33</v>
      </c>
      <c r="C34" s="40">
        <f t="shared" si="0"/>
        <v>13.2</v>
      </c>
      <c r="D34" s="40">
        <f t="shared" si="0"/>
        <v>25.11</v>
      </c>
      <c r="E34" s="40">
        <f t="shared" si="0"/>
        <v>1.0900000000000001</v>
      </c>
      <c r="F34" s="40">
        <f t="shared" si="0"/>
        <v>1</v>
      </c>
      <c r="G34" s="40">
        <f t="shared" si="0"/>
        <v>28.26</v>
      </c>
      <c r="H34" s="40">
        <f t="shared" si="0"/>
        <v>11.73</v>
      </c>
      <c r="I34" s="40">
        <f t="shared" si="0"/>
        <v>3.13</v>
      </c>
      <c r="J34" s="40">
        <f t="shared" si="0"/>
        <v>0.37</v>
      </c>
      <c r="K34" s="40">
        <f t="shared" si="0"/>
        <v>31.97</v>
      </c>
      <c r="L34" s="40">
        <f t="shared" si="0"/>
        <v>23.74</v>
      </c>
      <c r="M34" s="40">
        <f t="shared" si="0"/>
        <v>35.380000000000003</v>
      </c>
      <c r="N34" s="40">
        <f t="shared" si="0"/>
        <v>0</v>
      </c>
      <c r="O34" s="40">
        <f t="shared" si="0"/>
        <v>0</v>
      </c>
      <c r="P34" s="40">
        <f t="shared" si="0"/>
        <v>0.37</v>
      </c>
      <c r="Q34" s="40">
        <f t="shared" si="0"/>
        <v>4.96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11.64</v>
      </c>
      <c r="C35" s="33">
        <f t="shared" si="1"/>
        <v>14.06</v>
      </c>
      <c r="D35" s="33">
        <f t="shared" si="1"/>
        <v>25.76</v>
      </c>
      <c r="E35" s="33">
        <f t="shared" si="1"/>
        <v>74.260000000000005</v>
      </c>
      <c r="F35" s="33">
        <f t="shared" si="1"/>
        <v>42.42</v>
      </c>
      <c r="G35" s="33">
        <f t="shared" si="1"/>
        <v>69.98</v>
      </c>
      <c r="H35" s="33">
        <f t="shared" si="1"/>
        <v>20.98</v>
      </c>
      <c r="I35" s="33">
        <f t="shared" si="1"/>
        <v>5.92</v>
      </c>
      <c r="J35" s="33">
        <f t="shared" si="1"/>
        <v>2.85</v>
      </c>
      <c r="K35" s="33">
        <f t="shared" si="1"/>
        <v>358.39</v>
      </c>
      <c r="L35" s="33">
        <f t="shared" si="1"/>
        <v>34.549999999999997</v>
      </c>
      <c r="M35" s="33">
        <f t="shared" si="1"/>
        <v>101.72</v>
      </c>
      <c r="N35" s="33">
        <f t="shared" si="1"/>
        <v>797.2</v>
      </c>
      <c r="O35" s="33">
        <f t="shared" si="1"/>
        <v>2.6</v>
      </c>
      <c r="P35" s="33">
        <f t="shared" si="1"/>
        <v>0.66</v>
      </c>
      <c r="Q35" s="33">
        <f t="shared" si="1"/>
        <v>4.97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11.413750000000002</v>
      </c>
      <c r="C36" s="40">
        <f t="shared" si="2"/>
        <v>13.45458333333333</v>
      </c>
      <c r="D36" s="40">
        <f t="shared" si="2"/>
        <v>25.323750000000004</v>
      </c>
      <c r="E36" s="40">
        <f t="shared" si="2"/>
        <v>18.841666666666672</v>
      </c>
      <c r="F36" s="40">
        <f t="shared" si="2"/>
        <v>12.497083333333331</v>
      </c>
      <c r="G36" s="40">
        <f t="shared" si="2"/>
        <v>48.997083333333343</v>
      </c>
      <c r="H36" s="40">
        <f t="shared" si="2"/>
        <v>16.380833333333332</v>
      </c>
      <c r="I36" s="40">
        <f t="shared" si="2"/>
        <v>4.5875000000000012</v>
      </c>
      <c r="J36" s="40">
        <f t="shared" si="2"/>
        <v>1.3795833333333334</v>
      </c>
      <c r="K36" s="40">
        <f t="shared" si="2"/>
        <v>248.76458333333338</v>
      </c>
      <c r="L36" s="40">
        <f t="shared" si="2"/>
        <v>30.0625</v>
      </c>
      <c r="M36" s="40">
        <f t="shared" si="2"/>
        <v>51.857083333333343</v>
      </c>
      <c r="N36" s="40">
        <f t="shared" si="2"/>
        <v>180.37500000000003</v>
      </c>
      <c r="O36" s="40">
        <f t="shared" si="2"/>
        <v>0.20000000000000004</v>
      </c>
      <c r="P36" s="40">
        <f t="shared" si="2"/>
        <v>0.51708333333333345</v>
      </c>
      <c r="Q36" s="40">
        <f t="shared" si="2"/>
        <v>4.9649999999999999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8.0854808143981272E-2</v>
      </c>
      <c r="C37" s="40">
        <f t="shared" ref="C37:Q37" si="3">STDEV(C9:C32)</f>
        <v>0.2027416253924833</v>
      </c>
      <c r="D37" s="40">
        <f t="shared" si="3"/>
        <v>0.15423901553447328</v>
      </c>
      <c r="E37" s="40">
        <f t="shared" si="3"/>
        <v>16.104178681773639</v>
      </c>
      <c r="F37" s="40">
        <f t="shared" si="3"/>
        <v>10.094599709602235</v>
      </c>
      <c r="G37" s="40">
        <f t="shared" si="3"/>
        <v>11.643528704323465</v>
      </c>
      <c r="H37" s="40">
        <f t="shared" si="3"/>
        <v>2.7892650062986868</v>
      </c>
      <c r="I37" s="40">
        <f t="shared" si="3"/>
        <v>0.78295010668957177</v>
      </c>
      <c r="J37" s="40">
        <f t="shared" si="3"/>
        <v>0.75775686800879138</v>
      </c>
      <c r="K37" s="40">
        <f t="shared" si="3"/>
        <v>122.90889871131174</v>
      </c>
      <c r="L37" s="40">
        <f t="shared" si="3"/>
        <v>2.9213208001503985</v>
      </c>
      <c r="M37" s="40">
        <f t="shared" si="3"/>
        <v>17.693218174884315</v>
      </c>
      <c r="N37" s="40">
        <f t="shared" si="3"/>
        <v>268.11440817226736</v>
      </c>
      <c r="O37" s="40">
        <f t="shared" si="3"/>
        <v>0.62969972139936259</v>
      </c>
      <c r="P37" s="40">
        <f t="shared" si="3"/>
        <v>8.6350104688472151E-2</v>
      </c>
      <c r="Q37" s="40">
        <f t="shared" si="3"/>
        <v>7.0710678118653244E-3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A9" sqref="A9"/>
      <selection pane="topRight" activeCell="A9" sqref="A9"/>
      <selection pane="bottomLeft" activeCell="A9" sqref="A9"/>
      <selection pane="bottomRight" activeCell="Q23" sqref="Q23:Q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45405.041666666664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45405.041666666664</v>
      </c>
      <c r="B9" s="54">
        <v>11.43</v>
      </c>
      <c r="C9" s="54">
        <v>13.55</v>
      </c>
      <c r="D9" s="54">
        <v>25.39</v>
      </c>
      <c r="E9" s="54">
        <v>9.4</v>
      </c>
      <c r="F9" s="54">
        <v>1.97</v>
      </c>
      <c r="G9" s="54">
        <v>56.38</v>
      </c>
      <c r="H9" s="54">
        <v>18</v>
      </c>
      <c r="I9" s="54">
        <v>5.29</v>
      </c>
      <c r="J9" s="54">
        <v>2.33</v>
      </c>
      <c r="K9" s="54">
        <v>314.22000000000003</v>
      </c>
      <c r="L9" s="54">
        <v>23.08</v>
      </c>
      <c r="M9" s="54">
        <v>103.43</v>
      </c>
      <c r="N9" s="54">
        <v>0</v>
      </c>
      <c r="O9" s="54">
        <v>4.4000000000000004</v>
      </c>
      <c r="P9" s="54">
        <v>0.62</v>
      </c>
      <c r="Q9" s="54">
        <v>4.99</v>
      </c>
    </row>
    <row r="10" spans="1:21" customFormat="1">
      <c r="A10" s="53">
        <v>45405.083333333336</v>
      </c>
      <c r="B10" s="54">
        <v>11.28</v>
      </c>
      <c r="C10" s="54">
        <v>13.32</v>
      </c>
      <c r="D10" s="54">
        <v>25.15</v>
      </c>
      <c r="E10" s="54">
        <v>8.5299999999999994</v>
      </c>
      <c r="F10" s="54">
        <v>1</v>
      </c>
      <c r="G10" s="54">
        <v>45.27</v>
      </c>
      <c r="H10" s="54">
        <v>16.829999999999998</v>
      </c>
      <c r="I10" s="54">
        <v>5.48</v>
      </c>
      <c r="J10" s="54">
        <v>0.54</v>
      </c>
      <c r="K10" s="54">
        <v>220.36</v>
      </c>
      <c r="L10" s="54">
        <v>22.3</v>
      </c>
      <c r="M10" s="54">
        <v>100.28</v>
      </c>
      <c r="N10" s="54">
        <v>0</v>
      </c>
      <c r="O10" s="54">
        <v>0</v>
      </c>
      <c r="P10" s="54">
        <v>0.66</v>
      </c>
      <c r="Q10" s="27" t="s">
        <v>14</v>
      </c>
    </row>
    <row r="11" spans="1:21" customFormat="1">
      <c r="A11" s="53">
        <v>45405.125</v>
      </c>
      <c r="B11" s="54">
        <v>11.23</v>
      </c>
      <c r="C11" s="54">
        <v>13.3</v>
      </c>
      <c r="D11" s="54">
        <v>25.1</v>
      </c>
      <c r="E11" s="54">
        <v>13.23</v>
      </c>
      <c r="F11" s="54">
        <v>1</v>
      </c>
      <c r="G11" s="54">
        <v>33.68</v>
      </c>
      <c r="H11" s="54">
        <v>12.69</v>
      </c>
      <c r="I11" s="54">
        <v>5.73</v>
      </c>
      <c r="J11" s="54">
        <v>1.1399999999999999</v>
      </c>
      <c r="K11" s="54">
        <v>73.78</v>
      </c>
      <c r="L11" s="54">
        <v>23.31</v>
      </c>
      <c r="M11" s="54">
        <v>91.87</v>
      </c>
      <c r="N11" s="54">
        <v>0</v>
      </c>
      <c r="O11" s="54">
        <v>0</v>
      </c>
      <c r="P11" s="54">
        <v>0.69</v>
      </c>
      <c r="Q11" s="54">
        <v>4.96</v>
      </c>
    </row>
    <row r="12" spans="1:21" customFormat="1">
      <c r="A12" s="53">
        <v>45405.166666666664</v>
      </c>
      <c r="B12" s="54">
        <v>11.38</v>
      </c>
      <c r="C12" s="54">
        <v>13.76</v>
      </c>
      <c r="D12" s="54">
        <v>25.46</v>
      </c>
      <c r="E12" s="54">
        <v>13.93</v>
      </c>
      <c r="F12" s="54">
        <v>1</v>
      </c>
      <c r="G12" s="54">
        <v>32.42</v>
      </c>
      <c r="H12" s="54">
        <v>9.94</v>
      </c>
      <c r="I12" s="54">
        <v>6</v>
      </c>
      <c r="J12" s="54">
        <v>1.04</v>
      </c>
      <c r="K12" s="54">
        <v>184.12</v>
      </c>
      <c r="L12" s="54">
        <v>23.78</v>
      </c>
      <c r="M12" s="54">
        <v>87.92</v>
      </c>
      <c r="N12" s="54">
        <v>0</v>
      </c>
      <c r="O12" s="54">
        <v>0</v>
      </c>
      <c r="P12" s="54">
        <v>0.7</v>
      </c>
      <c r="Q12" s="27" t="s">
        <v>14</v>
      </c>
    </row>
    <row r="13" spans="1:21" customFormat="1">
      <c r="A13" s="53">
        <v>45405.208333333336</v>
      </c>
      <c r="B13" s="54">
        <v>11.17</v>
      </c>
      <c r="C13" s="54">
        <v>13.25</v>
      </c>
      <c r="D13" s="54">
        <v>25.01</v>
      </c>
      <c r="E13" s="54">
        <v>13.9</v>
      </c>
      <c r="F13" s="54">
        <v>1</v>
      </c>
      <c r="G13" s="54">
        <v>30.95</v>
      </c>
      <c r="H13" s="54">
        <v>11.64</v>
      </c>
      <c r="I13" s="54">
        <v>5.99</v>
      </c>
      <c r="J13" s="54">
        <v>0.28000000000000003</v>
      </c>
      <c r="K13" s="54">
        <v>268.32</v>
      </c>
      <c r="L13" s="54">
        <v>23.4</v>
      </c>
      <c r="M13" s="54">
        <v>92.51</v>
      </c>
      <c r="N13" s="54">
        <v>0</v>
      </c>
      <c r="O13" s="54">
        <v>0</v>
      </c>
      <c r="P13" s="54">
        <v>0.7</v>
      </c>
      <c r="Q13" s="54">
        <v>4.97</v>
      </c>
    </row>
    <row r="14" spans="1:21" customFormat="1">
      <c r="A14" s="53">
        <v>45405.25</v>
      </c>
      <c r="B14" s="54">
        <v>12.22</v>
      </c>
      <c r="C14" s="54">
        <v>15.61</v>
      </c>
      <c r="D14" s="54">
        <v>27.1</v>
      </c>
      <c r="E14" s="54">
        <v>14.3</v>
      </c>
      <c r="F14" s="54">
        <v>1</v>
      </c>
      <c r="G14" s="54">
        <v>37.1</v>
      </c>
      <c r="H14" s="54">
        <v>11.78</v>
      </c>
      <c r="I14" s="54">
        <v>6.02</v>
      </c>
      <c r="J14" s="54">
        <v>0.4</v>
      </c>
      <c r="K14" s="54">
        <v>224.67</v>
      </c>
      <c r="L14" s="54">
        <v>23.52</v>
      </c>
      <c r="M14" s="54">
        <v>93.56</v>
      </c>
      <c r="N14" s="54">
        <v>5.6</v>
      </c>
      <c r="O14" s="54">
        <v>0</v>
      </c>
      <c r="P14" s="54">
        <v>0.73</v>
      </c>
      <c r="Q14" s="27" t="s">
        <v>14</v>
      </c>
    </row>
    <row r="15" spans="1:21" customFormat="1">
      <c r="A15" s="53">
        <v>45405.291666666664</v>
      </c>
      <c r="B15" s="54">
        <v>11.33</v>
      </c>
      <c r="C15" s="54">
        <v>13.39</v>
      </c>
      <c r="D15" s="54">
        <v>25.2</v>
      </c>
      <c r="E15" s="54">
        <v>19.46</v>
      </c>
      <c r="F15" s="54">
        <v>1.02</v>
      </c>
      <c r="G15" s="54">
        <v>43.31</v>
      </c>
      <c r="H15" s="54">
        <v>16.57</v>
      </c>
      <c r="I15" s="54">
        <v>6.25</v>
      </c>
      <c r="J15" s="54">
        <v>0.46</v>
      </c>
      <c r="K15" s="54">
        <v>238.28</v>
      </c>
      <c r="L15" s="54">
        <v>25.05</v>
      </c>
      <c r="M15" s="54">
        <v>93.81</v>
      </c>
      <c r="N15" s="54">
        <v>95.5</v>
      </c>
      <c r="O15" s="54">
        <v>0</v>
      </c>
      <c r="P15" s="54">
        <v>0.84</v>
      </c>
      <c r="Q15" s="27" t="s">
        <v>14</v>
      </c>
    </row>
    <row r="16" spans="1:21" customFormat="1">
      <c r="A16" s="53">
        <v>45405.333333333336</v>
      </c>
      <c r="B16" s="54">
        <v>11.3</v>
      </c>
      <c r="C16" s="54">
        <v>13.19</v>
      </c>
      <c r="D16" s="54">
        <v>25.1</v>
      </c>
      <c r="E16" s="54">
        <v>19.170000000000002</v>
      </c>
      <c r="F16" s="54">
        <v>1.24</v>
      </c>
      <c r="G16" s="54">
        <v>142.29</v>
      </c>
      <c r="H16" s="54">
        <v>31.01</v>
      </c>
      <c r="I16" s="54">
        <v>7.21</v>
      </c>
      <c r="J16" s="54">
        <v>0.8</v>
      </c>
      <c r="K16" s="54">
        <v>64.819999999999993</v>
      </c>
      <c r="L16" s="54">
        <v>25.95</v>
      </c>
      <c r="M16" s="54">
        <v>83.64</v>
      </c>
      <c r="N16" s="54">
        <v>132.4</v>
      </c>
      <c r="O16" s="54">
        <v>0</v>
      </c>
      <c r="P16" s="54">
        <v>0.86</v>
      </c>
      <c r="Q16" s="27" t="s">
        <v>14</v>
      </c>
    </row>
    <row r="17" spans="1:17" customFormat="1">
      <c r="A17" s="53">
        <v>45405.375</v>
      </c>
      <c r="B17" s="54">
        <v>11.31</v>
      </c>
      <c r="C17" s="54">
        <v>13.27</v>
      </c>
      <c r="D17" s="54">
        <v>25.15</v>
      </c>
      <c r="E17" s="54">
        <v>17.52</v>
      </c>
      <c r="F17" s="54">
        <v>2.17</v>
      </c>
      <c r="G17" s="54">
        <v>142.29</v>
      </c>
      <c r="H17" s="54">
        <v>32.08</v>
      </c>
      <c r="I17" s="54">
        <v>7.28</v>
      </c>
      <c r="J17" s="54">
        <v>0.3</v>
      </c>
      <c r="K17" s="54">
        <v>323.05</v>
      </c>
      <c r="L17" s="54">
        <v>27.25</v>
      </c>
      <c r="M17" s="54">
        <v>88.41</v>
      </c>
      <c r="N17" s="54">
        <v>225</v>
      </c>
      <c r="O17" s="54">
        <v>0</v>
      </c>
      <c r="P17" s="54">
        <v>0.84</v>
      </c>
      <c r="Q17" s="27" t="s">
        <v>14</v>
      </c>
    </row>
    <row r="18" spans="1:17" customFormat="1">
      <c r="A18" s="53">
        <v>45405.416666666664</v>
      </c>
      <c r="B18" s="54">
        <v>11.47</v>
      </c>
      <c r="C18" s="54">
        <v>13.44</v>
      </c>
      <c r="D18" s="54">
        <v>25.37</v>
      </c>
      <c r="E18" s="54">
        <v>22.05</v>
      </c>
      <c r="F18" s="54">
        <v>5.66</v>
      </c>
      <c r="G18" s="54">
        <v>96.12</v>
      </c>
      <c r="H18" s="54">
        <v>33.29</v>
      </c>
      <c r="I18" s="54">
        <v>7.16</v>
      </c>
      <c r="J18" s="54">
        <v>0.43</v>
      </c>
      <c r="K18" s="54">
        <v>250.58</v>
      </c>
      <c r="L18" s="54">
        <v>31.31</v>
      </c>
      <c r="M18" s="54">
        <v>79.599999999999994</v>
      </c>
      <c r="N18" s="54">
        <v>666.3</v>
      </c>
      <c r="O18" s="54">
        <v>0</v>
      </c>
      <c r="P18" s="54">
        <v>0.84</v>
      </c>
      <c r="Q18" s="54">
        <v>4.97</v>
      </c>
    </row>
    <row r="19" spans="1:17" customFormat="1">
      <c r="A19" s="53">
        <v>45405.458333333336</v>
      </c>
      <c r="B19" s="54">
        <v>11.5</v>
      </c>
      <c r="C19" s="54">
        <v>13.5</v>
      </c>
      <c r="D19" s="54">
        <v>25.42</v>
      </c>
      <c r="E19" s="54">
        <v>16.52</v>
      </c>
      <c r="F19" s="54">
        <v>12.22</v>
      </c>
      <c r="G19" s="54">
        <v>71.84</v>
      </c>
      <c r="H19" s="54">
        <v>33.29</v>
      </c>
      <c r="I19" s="54">
        <v>7.09</v>
      </c>
      <c r="J19" s="54">
        <v>0.69</v>
      </c>
      <c r="K19" s="54">
        <v>261.67</v>
      </c>
      <c r="L19" s="54">
        <v>33.01</v>
      </c>
      <c r="M19" s="54">
        <v>51.97</v>
      </c>
      <c r="N19" s="54">
        <v>768.2</v>
      </c>
      <c r="O19" s="54">
        <v>0</v>
      </c>
      <c r="P19" s="54">
        <v>0.76</v>
      </c>
      <c r="Q19" s="54">
        <v>4.9800000000000004</v>
      </c>
    </row>
    <row r="20" spans="1:17" customFormat="1">
      <c r="A20" s="53">
        <v>45405.5</v>
      </c>
      <c r="B20" s="54">
        <v>11.21</v>
      </c>
      <c r="C20" s="54">
        <v>13.53</v>
      </c>
      <c r="D20" s="54">
        <v>25.2</v>
      </c>
      <c r="E20" s="54">
        <v>16.399999999999999</v>
      </c>
      <c r="F20" s="54">
        <v>9.2200000000000006</v>
      </c>
      <c r="G20" s="54">
        <v>40.47</v>
      </c>
      <c r="H20" s="54">
        <v>31.19</v>
      </c>
      <c r="I20" s="54">
        <v>6.73</v>
      </c>
      <c r="J20" s="54">
        <v>0.59</v>
      </c>
      <c r="K20" s="54">
        <v>278.19</v>
      </c>
      <c r="L20" s="54">
        <v>34.69</v>
      </c>
      <c r="M20" s="54">
        <v>47.28</v>
      </c>
      <c r="N20" s="54">
        <v>843</v>
      </c>
      <c r="O20" s="54">
        <v>0</v>
      </c>
      <c r="P20" s="54">
        <v>0.75</v>
      </c>
      <c r="Q20" s="54">
        <v>4.97</v>
      </c>
    </row>
    <row r="21" spans="1:17" customFormat="1">
      <c r="A21" s="53">
        <v>45405.541666666664</v>
      </c>
      <c r="B21" s="54">
        <v>11.2</v>
      </c>
      <c r="C21" s="54">
        <v>13.52</v>
      </c>
      <c r="D21" s="54">
        <v>25.19</v>
      </c>
      <c r="E21" s="54">
        <v>16.3</v>
      </c>
      <c r="F21" s="54">
        <v>9.9700000000000006</v>
      </c>
      <c r="G21" s="54">
        <v>33.79</v>
      </c>
      <c r="H21" s="54">
        <v>23.39</v>
      </c>
      <c r="I21" s="54">
        <v>7.85</v>
      </c>
      <c r="J21" s="54">
        <v>0.87</v>
      </c>
      <c r="K21" s="54">
        <v>272.93</v>
      </c>
      <c r="L21" s="54">
        <v>36.19</v>
      </c>
      <c r="M21" s="54">
        <v>44.24</v>
      </c>
      <c r="N21" s="54">
        <v>868.3</v>
      </c>
      <c r="O21" s="54">
        <v>0</v>
      </c>
      <c r="P21" s="54">
        <v>0.81</v>
      </c>
      <c r="Q21" s="27" t="s">
        <v>14</v>
      </c>
    </row>
    <row r="22" spans="1:17" customFormat="1">
      <c r="A22" s="53">
        <v>45405.583333333336</v>
      </c>
      <c r="B22" s="54">
        <v>11.17</v>
      </c>
      <c r="C22" s="54">
        <v>13.25</v>
      </c>
      <c r="D22" s="54">
        <v>25.02</v>
      </c>
      <c r="E22" s="54">
        <v>15.89</v>
      </c>
      <c r="F22" s="54">
        <v>15.58</v>
      </c>
      <c r="G22" s="54">
        <v>33.79</v>
      </c>
      <c r="H22" s="54">
        <v>17.850000000000001</v>
      </c>
      <c r="I22" s="54">
        <v>7.59</v>
      </c>
      <c r="J22" s="54">
        <v>0.77</v>
      </c>
      <c r="K22" s="54">
        <v>280.69</v>
      </c>
      <c r="L22" s="54">
        <v>37.14</v>
      </c>
      <c r="M22" s="54">
        <v>38.61</v>
      </c>
      <c r="N22" s="54">
        <v>843.6</v>
      </c>
      <c r="O22" s="54">
        <v>0</v>
      </c>
      <c r="P22" s="54">
        <v>0.75</v>
      </c>
      <c r="Q22" s="54">
        <v>4.9400000000000004</v>
      </c>
    </row>
    <row r="23" spans="1:17" customFormat="1">
      <c r="A23" s="53">
        <v>45405.625</v>
      </c>
      <c r="B23" s="54">
        <v>11.16</v>
      </c>
      <c r="C23" s="54">
        <v>13.25</v>
      </c>
      <c r="D23" s="54">
        <v>25</v>
      </c>
      <c r="E23" s="54">
        <v>19.3</v>
      </c>
      <c r="F23" s="54">
        <v>18.52</v>
      </c>
      <c r="G23" s="54">
        <v>21.88</v>
      </c>
      <c r="H23" s="54">
        <v>17.850000000000001</v>
      </c>
      <c r="I23" s="54">
        <v>7.5</v>
      </c>
      <c r="J23" s="54">
        <v>1.1100000000000001</v>
      </c>
      <c r="K23" s="54">
        <v>281.14</v>
      </c>
      <c r="L23" s="54">
        <v>37.76</v>
      </c>
      <c r="M23" s="54">
        <v>34.159999999999997</v>
      </c>
      <c r="N23" s="54">
        <v>737.4</v>
      </c>
      <c r="O23" s="54">
        <v>0</v>
      </c>
      <c r="P23" s="54">
        <v>0.74</v>
      </c>
      <c r="Q23" s="27" t="s">
        <v>14</v>
      </c>
    </row>
    <row r="24" spans="1:17" customFormat="1">
      <c r="A24" s="53">
        <v>45405.666666666664</v>
      </c>
      <c r="B24" s="54">
        <v>11.17</v>
      </c>
      <c r="C24" s="54">
        <v>13.56</v>
      </c>
      <c r="D24" s="54">
        <v>25.19</v>
      </c>
      <c r="E24" s="54">
        <v>19.14</v>
      </c>
      <c r="F24" s="54">
        <v>30.27</v>
      </c>
      <c r="G24" s="54">
        <v>30.02</v>
      </c>
      <c r="H24" s="54">
        <v>12.81</v>
      </c>
      <c r="I24" s="54">
        <v>7.82</v>
      </c>
      <c r="J24" s="54">
        <v>1.07</v>
      </c>
      <c r="K24" s="54">
        <v>293.32</v>
      </c>
      <c r="L24" s="54">
        <v>37.68</v>
      </c>
      <c r="M24" s="54">
        <v>31.64</v>
      </c>
      <c r="N24" s="54">
        <v>543.5</v>
      </c>
      <c r="O24" s="54">
        <v>0</v>
      </c>
      <c r="P24" s="54">
        <v>0.74</v>
      </c>
      <c r="Q24" s="27" t="s">
        <v>14</v>
      </c>
    </row>
    <row r="25" spans="1:17" customFormat="1">
      <c r="A25" s="53">
        <v>45405.708333333336</v>
      </c>
      <c r="B25" s="54">
        <v>11.19</v>
      </c>
      <c r="C25" s="54">
        <v>13.31</v>
      </c>
      <c r="D25" s="54">
        <v>25.07</v>
      </c>
      <c r="E25" s="54">
        <v>31.55</v>
      </c>
      <c r="F25" s="54">
        <v>51.51</v>
      </c>
      <c r="G25" s="54">
        <v>31.56</v>
      </c>
      <c r="H25" s="54">
        <v>14.93</v>
      </c>
      <c r="I25" s="54">
        <v>7.71</v>
      </c>
      <c r="J25" s="54">
        <v>0.59</v>
      </c>
      <c r="K25" s="54">
        <v>256.47000000000003</v>
      </c>
      <c r="L25" s="54">
        <v>37.17</v>
      </c>
      <c r="M25" s="54">
        <v>35.409999999999997</v>
      </c>
      <c r="N25" s="54">
        <v>331.7</v>
      </c>
      <c r="O25" s="54">
        <v>0</v>
      </c>
      <c r="P25" s="54">
        <v>0.65</v>
      </c>
      <c r="Q25" s="27" t="s">
        <v>14</v>
      </c>
    </row>
    <row r="26" spans="1:17" customFormat="1">
      <c r="A26" s="53">
        <v>45405.75</v>
      </c>
      <c r="B26" s="54">
        <v>11.18</v>
      </c>
      <c r="C26" s="54">
        <v>13.29</v>
      </c>
      <c r="D26" s="54">
        <v>25.05</v>
      </c>
      <c r="E26" s="54">
        <v>28.58</v>
      </c>
      <c r="F26" s="54">
        <v>58.06</v>
      </c>
      <c r="G26" s="54">
        <v>31.56</v>
      </c>
      <c r="H26" s="54">
        <v>14.93</v>
      </c>
      <c r="I26" s="54">
        <v>5.97</v>
      </c>
      <c r="J26" s="54">
        <v>0.27</v>
      </c>
      <c r="K26" s="54">
        <v>222.73</v>
      </c>
      <c r="L26" s="54">
        <v>35.82</v>
      </c>
      <c r="M26" s="54">
        <v>46.03</v>
      </c>
      <c r="N26" s="54">
        <v>108</v>
      </c>
      <c r="O26" s="54">
        <v>0</v>
      </c>
      <c r="P26" s="54">
        <v>0.59</v>
      </c>
      <c r="Q26" s="27" t="s">
        <v>14</v>
      </c>
    </row>
    <row r="27" spans="1:17" customFormat="1">
      <c r="A27" s="53">
        <v>45405.791666666664</v>
      </c>
      <c r="B27" s="54">
        <v>11.16</v>
      </c>
      <c r="C27" s="54">
        <v>13.31</v>
      </c>
      <c r="D27" s="54">
        <v>25.05</v>
      </c>
      <c r="E27" s="54">
        <v>16.61</v>
      </c>
      <c r="F27" s="54">
        <v>55.45</v>
      </c>
      <c r="G27" s="54">
        <v>24.89</v>
      </c>
      <c r="H27" s="54">
        <v>13.07</v>
      </c>
      <c r="I27" s="54">
        <v>5.66</v>
      </c>
      <c r="J27" s="54">
        <v>0.27</v>
      </c>
      <c r="K27" s="54">
        <v>172.41</v>
      </c>
      <c r="L27" s="54">
        <v>32.71</v>
      </c>
      <c r="M27" s="54">
        <v>58.12</v>
      </c>
      <c r="N27" s="54">
        <v>0.8</v>
      </c>
      <c r="O27" s="54">
        <v>0</v>
      </c>
      <c r="P27" s="54">
        <v>0.63</v>
      </c>
      <c r="Q27" s="27" t="s">
        <v>14</v>
      </c>
    </row>
    <row r="28" spans="1:17" customFormat="1">
      <c r="A28" s="53">
        <v>45405.833333333336</v>
      </c>
      <c r="B28" s="54">
        <v>11.18</v>
      </c>
      <c r="C28" s="54">
        <v>13.45</v>
      </c>
      <c r="D28" s="54">
        <v>25.13</v>
      </c>
      <c r="E28" s="54">
        <v>15.38</v>
      </c>
      <c r="F28" s="54">
        <v>40.24</v>
      </c>
      <c r="G28" s="54">
        <v>35.619999999999997</v>
      </c>
      <c r="H28" s="54">
        <v>13.12</v>
      </c>
      <c r="I28" s="54">
        <v>9.2899999999999991</v>
      </c>
      <c r="J28" s="54">
        <v>0.28999999999999998</v>
      </c>
      <c r="K28" s="54">
        <v>160.4</v>
      </c>
      <c r="L28" s="54">
        <v>30.69</v>
      </c>
      <c r="M28" s="54">
        <v>62.43</v>
      </c>
      <c r="N28" s="54">
        <v>0</v>
      </c>
      <c r="O28" s="54">
        <v>0</v>
      </c>
      <c r="P28" s="54">
        <v>0.86</v>
      </c>
      <c r="Q28" s="27" t="s">
        <v>14</v>
      </c>
    </row>
    <row r="29" spans="1:17" customFormat="1">
      <c r="A29" s="53">
        <v>45405.875</v>
      </c>
      <c r="B29" s="54">
        <v>11.23</v>
      </c>
      <c r="C29" s="54">
        <v>13.36</v>
      </c>
      <c r="D29" s="54">
        <v>25.13</v>
      </c>
      <c r="E29" s="54">
        <v>15.23</v>
      </c>
      <c r="F29" s="54">
        <v>3.83</v>
      </c>
      <c r="G29" s="54">
        <v>76.89</v>
      </c>
      <c r="H29" s="54">
        <v>16.09</v>
      </c>
      <c r="I29" s="54">
        <v>10.52</v>
      </c>
      <c r="J29" s="54">
        <v>0.38</v>
      </c>
      <c r="K29" s="54">
        <v>176.88</v>
      </c>
      <c r="L29" s="54">
        <v>30.34</v>
      </c>
      <c r="M29" s="54">
        <v>73.77</v>
      </c>
      <c r="N29" s="54">
        <v>0</v>
      </c>
      <c r="O29" s="54">
        <v>0</v>
      </c>
      <c r="P29" s="54">
        <v>1.26</v>
      </c>
      <c r="Q29" s="27" t="s">
        <v>14</v>
      </c>
    </row>
    <row r="30" spans="1:17" customFormat="1">
      <c r="A30" s="53">
        <v>45405.916666666664</v>
      </c>
      <c r="B30" s="54">
        <v>11.27</v>
      </c>
      <c r="C30" s="54">
        <v>13.43</v>
      </c>
      <c r="D30" s="54">
        <v>25.2</v>
      </c>
      <c r="E30" s="54">
        <v>21.09</v>
      </c>
      <c r="F30" s="54">
        <v>4.21</v>
      </c>
      <c r="G30" s="54">
        <v>76.89</v>
      </c>
      <c r="H30" s="54">
        <v>18.170000000000002</v>
      </c>
      <c r="I30" s="54">
        <v>10.4</v>
      </c>
      <c r="J30" s="54">
        <v>1.0900000000000001</v>
      </c>
      <c r="K30" s="54">
        <v>165.83</v>
      </c>
      <c r="L30" s="54">
        <v>30.8</v>
      </c>
      <c r="M30" s="54">
        <v>71.7</v>
      </c>
      <c r="N30" s="54">
        <v>0</v>
      </c>
      <c r="O30" s="54">
        <v>0</v>
      </c>
      <c r="P30" s="54">
        <v>1.1299999999999999</v>
      </c>
      <c r="Q30" s="27" t="s">
        <v>14</v>
      </c>
    </row>
    <row r="31" spans="1:17" customFormat="1">
      <c r="A31" s="53">
        <v>45405.958333333336</v>
      </c>
      <c r="B31" s="54">
        <v>11.19</v>
      </c>
      <c r="C31" s="54">
        <v>13.29</v>
      </c>
      <c r="D31" s="54">
        <v>25.06</v>
      </c>
      <c r="E31" s="54">
        <v>26.48</v>
      </c>
      <c r="F31" s="54">
        <v>6.01</v>
      </c>
      <c r="G31" s="54">
        <v>87.38</v>
      </c>
      <c r="H31" s="54">
        <v>20.149999999999999</v>
      </c>
      <c r="I31" s="54">
        <v>10.029999999999999</v>
      </c>
      <c r="J31" s="54">
        <v>3.73</v>
      </c>
      <c r="K31" s="54">
        <v>304.06</v>
      </c>
      <c r="L31" s="54">
        <v>30.27</v>
      </c>
      <c r="M31" s="54">
        <v>68.75</v>
      </c>
      <c r="N31" s="54">
        <v>0</v>
      </c>
      <c r="O31" s="54">
        <v>0.2</v>
      </c>
      <c r="P31" s="54">
        <v>0.93</v>
      </c>
      <c r="Q31" s="27" t="s">
        <v>14</v>
      </c>
    </row>
    <row r="32" spans="1:17" customFormat="1">
      <c r="A32" s="53">
        <v>45406</v>
      </c>
      <c r="B32" s="54">
        <v>11.21</v>
      </c>
      <c r="C32" s="54">
        <v>13.58</v>
      </c>
      <c r="D32" s="54">
        <v>25.22</v>
      </c>
      <c r="E32" s="54">
        <v>12.71</v>
      </c>
      <c r="F32" s="54">
        <v>6.15</v>
      </c>
      <c r="G32" s="54">
        <v>87.38</v>
      </c>
      <c r="H32" s="54">
        <v>20.149999999999999</v>
      </c>
      <c r="I32" s="54">
        <v>8.14</v>
      </c>
      <c r="J32" s="54">
        <v>2.74</v>
      </c>
      <c r="K32" s="54">
        <v>327.82</v>
      </c>
      <c r="L32" s="54">
        <v>26.49</v>
      </c>
      <c r="M32" s="54">
        <v>77.58</v>
      </c>
      <c r="N32" s="54">
        <v>0</v>
      </c>
      <c r="O32" s="54">
        <v>0</v>
      </c>
      <c r="P32" s="54">
        <v>0.74</v>
      </c>
      <c r="Q32" s="27" t="s">
        <v>14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11.16</v>
      </c>
      <c r="C34" s="40">
        <f t="shared" si="0"/>
        <v>13.19</v>
      </c>
      <c r="D34" s="40">
        <f t="shared" si="0"/>
        <v>25</v>
      </c>
      <c r="E34" s="40">
        <f t="shared" si="0"/>
        <v>8.5299999999999994</v>
      </c>
      <c r="F34" s="40">
        <f t="shared" si="0"/>
        <v>1</v>
      </c>
      <c r="G34" s="40">
        <f t="shared" si="0"/>
        <v>21.88</v>
      </c>
      <c r="H34" s="40">
        <f t="shared" si="0"/>
        <v>9.94</v>
      </c>
      <c r="I34" s="40">
        <f t="shared" si="0"/>
        <v>5.29</v>
      </c>
      <c r="J34" s="40">
        <f t="shared" si="0"/>
        <v>0.27</v>
      </c>
      <c r="K34" s="40">
        <f t="shared" si="0"/>
        <v>64.819999999999993</v>
      </c>
      <c r="L34" s="40">
        <f t="shared" si="0"/>
        <v>22.3</v>
      </c>
      <c r="M34" s="40">
        <f t="shared" si="0"/>
        <v>31.64</v>
      </c>
      <c r="N34" s="40">
        <f t="shared" si="0"/>
        <v>0</v>
      </c>
      <c r="O34" s="40">
        <f t="shared" si="0"/>
        <v>0</v>
      </c>
      <c r="P34" s="40">
        <f t="shared" si="0"/>
        <v>0.59</v>
      </c>
      <c r="Q34" s="40">
        <f t="shared" si="0"/>
        <v>4.9400000000000004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12.22</v>
      </c>
      <c r="C35" s="33">
        <f t="shared" si="1"/>
        <v>15.61</v>
      </c>
      <c r="D35" s="33">
        <f t="shared" si="1"/>
        <v>27.1</v>
      </c>
      <c r="E35" s="33">
        <f t="shared" si="1"/>
        <v>31.55</v>
      </c>
      <c r="F35" s="33">
        <f t="shared" si="1"/>
        <v>58.06</v>
      </c>
      <c r="G35" s="33">
        <f t="shared" si="1"/>
        <v>142.29</v>
      </c>
      <c r="H35" s="33">
        <f t="shared" si="1"/>
        <v>33.29</v>
      </c>
      <c r="I35" s="33">
        <f t="shared" si="1"/>
        <v>10.52</v>
      </c>
      <c r="J35" s="33">
        <f t="shared" si="1"/>
        <v>3.73</v>
      </c>
      <c r="K35" s="33">
        <f t="shared" si="1"/>
        <v>327.82</v>
      </c>
      <c r="L35" s="33">
        <f t="shared" si="1"/>
        <v>37.76</v>
      </c>
      <c r="M35" s="33">
        <f t="shared" si="1"/>
        <v>103.43</v>
      </c>
      <c r="N35" s="33">
        <f t="shared" si="1"/>
        <v>868.3</v>
      </c>
      <c r="O35" s="33">
        <f t="shared" si="1"/>
        <v>4.4000000000000004</v>
      </c>
      <c r="P35" s="33">
        <f t="shared" si="1"/>
        <v>1.26</v>
      </c>
      <c r="Q35" s="33">
        <f t="shared" si="1"/>
        <v>4.99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11.297499999999999</v>
      </c>
      <c r="C36" s="40">
        <f t="shared" si="2"/>
        <v>13.487916666666669</v>
      </c>
      <c r="D36" s="40">
        <f t="shared" si="2"/>
        <v>25.248333333333335</v>
      </c>
      <c r="E36" s="40">
        <f t="shared" si="2"/>
        <v>17.611250000000002</v>
      </c>
      <c r="F36" s="40">
        <f t="shared" si="2"/>
        <v>14.095833333333331</v>
      </c>
      <c r="G36" s="40">
        <f t="shared" si="2"/>
        <v>55.990416666666668</v>
      </c>
      <c r="H36" s="40">
        <f t="shared" si="2"/>
        <v>19.200833333333332</v>
      </c>
      <c r="I36" s="40">
        <f t="shared" si="2"/>
        <v>7.2795833333333348</v>
      </c>
      <c r="J36" s="40">
        <f t="shared" si="2"/>
        <v>0.92416666666666669</v>
      </c>
      <c r="K36" s="40">
        <f t="shared" si="2"/>
        <v>234.03083333333328</v>
      </c>
      <c r="L36" s="40">
        <f t="shared" si="2"/>
        <v>29.987916666666674</v>
      </c>
      <c r="M36" s="40">
        <f t="shared" si="2"/>
        <v>69.03</v>
      </c>
      <c r="N36" s="40">
        <f t="shared" si="2"/>
        <v>257.05416666666667</v>
      </c>
      <c r="O36" s="40">
        <f t="shared" si="2"/>
        <v>0.19166666666666668</v>
      </c>
      <c r="P36" s="40">
        <f t="shared" si="2"/>
        <v>0.78416666666666668</v>
      </c>
      <c r="Q36" s="40">
        <f t="shared" si="2"/>
        <v>4.968571428571428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0.22063643122257143</v>
      </c>
      <c r="C37" s="40">
        <f t="shared" ref="C37:Q37" si="3">STDEV(C9:C32)</f>
        <v>0.47282664501042571</v>
      </c>
      <c r="D37" s="40">
        <f t="shared" si="3"/>
        <v>0.41495590825670325</v>
      </c>
      <c r="E37" s="40">
        <f t="shared" si="3"/>
        <v>5.4633086905121955</v>
      </c>
      <c r="F37" s="40">
        <f t="shared" si="3"/>
        <v>18.579862618640007</v>
      </c>
      <c r="G37" s="40">
        <f t="shared" si="3"/>
        <v>34.612482854947849</v>
      </c>
      <c r="H37" s="40">
        <f t="shared" si="3"/>
        <v>7.4777309489528738</v>
      </c>
      <c r="I37" s="40">
        <f t="shared" si="3"/>
        <v>1.5290249213616212</v>
      </c>
      <c r="J37" s="40">
        <f t="shared" si="3"/>
        <v>0.85594045235110539</v>
      </c>
      <c r="K37" s="40">
        <f t="shared" si="3"/>
        <v>71.172542392271879</v>
      </c>
      <c r="L37" s="40">
        <f t="shared" si="3"/>
        <v>5.4059282910898281</v>
      </c>
      <c r="M37" s="40">
        <f t="shared" si="3"/>
        <v>23.171277947906329</v>
      </c>
      <c r="N37" s="40">
        <f t="shared" si="3"/>
        <v>340.24571808846645</v>
      </c>
      <c r="O37" s="40">
        <f t="shared" si="3"/>
        <v>0.89729868356987574</v>
      </c>
      <c r="P37" s="40">
        <f t="shared" si="3"/>
        <v>0.15398804771987845</v>
      </c>
      <c r="Q37" s="40">
        <f t="shared" si="3"/>
        <v>1.5735915849388837E-2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7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Q37" sqref="Q37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45406.041666666664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45406.041666666664</v>
      </c>
      <c r="B9" s="54">
        <v>11.36</v>
      </c>
      <c r="C9" s="54">
        <v>13.41</v>
      </c>
      <c r="D9" s="54">
        <v>25.26</v>
      </c>
      <c r="E9" s="54">
        <v>17.16</v>
      </c>
      <c r="F9" s="54">
        <v>4.3600000000000003</v>
      </c>
      <c r="G9" s="54">
        <v>86.53</v>
      </c>
      <c r="H9" s="54">
        <v>19.25</v>
      </c>
      <c r="I9" s="54">
        <v>6.24</v>
      </c>
      <c r="J9" s="54">
        <v>1.56</v>
      </c>
      <c r="K9" s="54">
        <v>90.99</v>
      </c>
      <c r="L9" s="54">
        <v>27.79</v>
      </c>
      <c r="M9" s="54">
        <v>45.16</v>
      </c>
      <c r="N9" s="54">
        <v>0</v>
      </c>
      <c r="O9" s="54">
        <v>0</v>
      </c>
      <c r="P9" s="54">
        <v>0.64</v>
      </c>
      <c r="Q9" s="27" t="s">
        <v>14</v>
      </c>
    </row>
    <row r="10" spans="1:21" customFormat="1">
      <c r="A10" s="53">
        <v>45406.083333333336</v>
      </c>
      <c r="B10" s="54">
        <v>11.35</v>
      </c>
      <c r="C10" s="54">
        <v>13.26</v>
      </c>
      <c r="D10" s="54">
        <v>25.17</v>
      </c>
      <c r="E10" s="54">
        <v>15.58</v>
      </c>
      <c r="F10" s="54">
        <v>1.32</v>
      </c>
      <c r="G10" s="54">
        <v>47.89</v>
      </c>
      <c r="H10" s="54">
        <v>12.57</v>
      </c>
      <c r="I10" s="54">
        <v>5.67</v>
      </c>
      <c r="J10" s="54">
        <v>0.26</v>
      </c>
      <c r="K10" s="54">
        <v>195.25</v>
      </c>
      <c r="L10" s="54">
        <v>27.37</v>
      </c>
      <c r="M10" s="54">
        <v>63.82</v>
      </c>
      <c r="N10" s="54">
        <v>0</v>
      </c>
      <c r="O10" s="54">
        <v>0</v>
      </c>
      <c r="P10" s="54">
        <v>0.61</v>
      </c>
      <c r="Q10" s="27" t="s">
        <v>14</v>
      </c>
    </row>
    <row r="11" spans="1:21" customFormat="1">
      <c r="A11" s="53">
        <v>45406.125</v>
      </c>
      <c r="B11" s="54">
        <v>11.5</v>
      </c>
      <c r="C11" s="54">
        <v>13.5</v>
      </c>
      <c r="D11" s="54">
        <v>25.42</v>
      </c>
      <c r="E11" s="54">
        <v>12.67</v>
      </c>
      <c r="F11" s="54">
        <v>2.64</v>
      </c>
      <c r="G11" s="54">
        <v>47.89</v>
      </c>
      <c r="H11" s="54">
        <v>13.05</v>
      </c>
      <c r="I11" s="54">
        <v>5.5</v>
      </c>
      <c r="J11" s="54">
        <v>1.36</v>
      </c>
      <c r="K11" s="54">
        <v>280.44</v>
      </c>
      <c r="L11" s="54">
        <v>25.84</v>
      </c>
      <c r="M11" s="54">
        <v>67.319999999999993</v>
      </c>
      <c r="N11" s="54">
        <v>0</v>
      </c>
      <c r="O11" s="54">
        <v>0</v>
      </c>
      <c r="P11" s="54">
        <v>0.56000000000000005</v>
      </c>
      <c r="Q11" s="27" t="s">
        <v>14</v>
      </c>
    </row>
    <row r="12" spans="1:21" customFormat="1">
      <c r="A12" s="53">
        <v>45406.166666666664</v>
      </c>
      <c r="B12" s="54">
        <v>11.45</v>
      </c>
      <c r="C12" s="54">
        <v>13.38</v>
      </c>
      <c r="D12" s="54">
        <v>25.31</v>
      </c>
      <c r="E12" s="54">
        <v>11.71</v>
      </c>
      <c r="F12" s="54">
        <v>3.03</v>
      </c>
      <c r="G12" s="54">
        <v>39.229999999999997</v>
      </c>
      <c r="H12" s="54">
        <v>13.05</v>
      </c>
      <c r="I12" s="54">
        <v>5.36</v>
      </c>
      <c r="J12" s="54">
        <v>0.62</v>
      </c>
      <c r="K12" s="54">
        <v>255.33</v>
      </c>
      <c r="L12" s="54">
        <v>26.79</v>
      </c>
      <c r="M12" s="54">
        <v>66.64</v>
      </c>
      <c r="N12" s="54">
        <v>0</v>
      </c>
      <c r="O12" s="54">
        <v>0.2</v>
      </c>
      <c r="P12" s="54">
        <v>0.55000000000000004</v>
      </c>
      <c r="Q12" s="27" t="s">
        <v>14</v>
      </c>
    </row>
    <row r="13" spans="1:21" customFormat="1">
      <c r="A13" s="53">
        <v>45406.208333333336</v>
      </c>
      <c r="B13" s="54">
        <v>11.46</v>
      </c>
      <c r="C13" s="54">
        <v>13.36</v>
      </c>
      <c r="D13" s="54">
        <v>25.31</v>
      </c>
      <c r="E13" s="54">
        <v>10.06</v>
      </c>
      <c r="F13" s="54">
        <v>2.42</v>
      </c>
      <c r="G13" s="54">
        <v>33.74</v>
      </c>
      <c r="H13" s="54">
        <v>12.7</v>
      </c>
      <c r="I13" s="54">
        <v>5.19</v>
      </c>
      <c r="J13" s="54">
        <v>1.5</v>
      </c>
      <c r="K13" s="54">
        <v>250.7</v>
      </c>
      <c r="L13" s="54">
        <v>25.37</v>
      </c>
      <c r="M13" s="54">
        <v>79.69</v>
      </c>
      <c r="N13" s="54">
        <v>0</v>
      </c>
      <c r="O13" s="54">
        <v>0</v>
      </c>
      <c r="P13" s="54">
        <v>0.53</v>
      </c>
      <c r="Q13" s="27" t="s">
        <v>14</v>
      </c>
    </row>
    <row r="14" spans="1:21" customFormat="1">
      <c r="A14" s="53">
        <v>45406.25</v>
      </c>
      <c r="B14" s="54">
        <v>11.39</v>
      </c>
      <c r="C14" s="54">
        <v>13.22</v>
      </c>
      <c r="D14" s="54">
        <v>25.18</v>
      </c>
      <c r="E14" s="54">
        <v>9.1</v>
      </c>
      <c r="F14" s="54">
        <v>2.29</v>
      </c>
      <c r="G14" s="54">
        <v>22.24</v>
      </c>
      <c r="H14" s="54">
        <v>12.7</v>
      </c>
      <c r="I14" s="54">
        <v>5.19</v>
      </c>
      <c r="J14" s="54">
        <v>0.74</v>
      </c>
      <c r="K14" s="54">
        <v>255.71</v>
      </c>
      <c r="L14" s="54">
        <v>25.14</v>
      </c>
      <c r="M14" s="54">
        <v>83.65</v>
      </c>
      <c r="N14" s="54">
        <v>0.6</v>
      </c>
      <c r="O14" s="54">
        <v>0</v>
      </c>
      <c r="P14" s="54">
        <v>0.5</v>
      </c>
      <c r="Q14" s="27" t="s">
        <v>14</v>
      </c>
    </row>
    <row r="15" spans="1:21" customFormat="1">
      <c r="A15" s="53">
        <v>45406.291666666664</v>
      </c>
      <c r="B15" s="54">
        <v>11.4</v>
      </c>
      <c r="C15" s="54">
        <v>13.39</v>
      </c>
      <c r="D15" s="54">
        <v>25.28</v>
      </c>
      <c r="E15" s="54">
        <v>8.48</v>
      </c>
      <c r="F15" s="54">
        <v>2.62</v>
      </c>
      <c r="G15" s="54">
        <v>21.26</v>
      </c>
      <c r="H15" s="54">
        <v>9.7799999999999994</v>
      </c>
      <c r="I15" s="54">
        <v>5.0599999999999996</v>
      </c>
      <c r="J15" s="54">
        <v>0.3</v>
      </c>
      <c r="K15" s="54">
        <v>227.71</v>
      </c>
      <c r="L15" s="54">
        <v>25.78</v>
      </c>
      <c r="M15" s="54">
        <v>86.3</v>
      </c>
      <c r="N15" s="54">
        <v>51.8</v>
      </c>
      <c r="O15" s="54">
        <v>0</v>
      </c>
      <c r="P15" s="54">
        <v>0.49</v>
      </c>
      <c r="Q15" s="27" t="s">
        <v>14</v>
      </c>
    </row>
    <row r="16" spans="1:21" customFormat="1">
      <c r="A16" s="53">
        <v>45406.333333333336</v>
      </c>
      <c r="B16" s="54">
        <v>11.37</v>
      </c>
      <c r="C16" s="54">
        <v>13.4</v>
      </c>
      <c r="D16" s="54">
        <v>25.26</v>
      </c>
      <c r="E16" s="54">
        <v>9.0500000000000007</v>
      </c>
      <c r="F16" s="54">
        <v>1.64</v>
      </c>
      <c r="G16" s="54">
        <v>16.97</v>
      </c>
      <c r="H16" s="54">
        <v>9.7799999999999994</v>
      </c>
      <c r="I16" s="54">
        <v>0</v>
      </c>
      <c r="J16" s="54">
        <v>0.48</v>
      </c>
      <c r="K16" s="54">
        <v>348.79</v>
      </c>
      <c r="L16" s="54">
        <v>27.93</v>
      </c>
      <c r="M16" s="54">
        <v>79.599999999999994</v>
      </c>
      <c r="N16" s="54">
        <v>162.5</v>
      </c>
      <c r="O16" s="54">
        <v>0</v>
      </c>
      <c r="P16" s="54">
        <v>0.51</v>
      </c>
      <c r="Q16" s="27" t="s">
        <v>14</v>
      </c>
    </row>
    <row r="17" spans="1:17" customFormat="1">
      <c r="A17" s="53">
        <v>45406.375</v>
      </c>
      <c r="B17" s="54">
        <v>11.4</v>
      </c>
      <c r="C17" s="54">
        <v>13.35</v>
      </c>
      <c r="D17" s="54">
        <v>25.26</v>
      </c>
      <c r="E17" s="54">
        <v>9.61</v>
      </c>
      <c r="F17" s="54">
        <v>3.16</v>
      </c>
      <c r="G17" s="54">
        <v>22.41</v>
      </c>
      <c r="H17" s="54">
        <v>7.49</v>
      </c>
      <c r="I17" s="54">
        <v>0</v>
      </c>
      <c r="J17" s="54">
        <v>0.79</v>
      </c>
      <c r="K17" s="54">
        <v>190.29</v>
      </c>
      <c r="L17" s="54">
        <v>31.73</v>
      </c>
      <c r="M17" s="54">
        <v>60.66</v>
      </c>
      <c r="N17" s="54">
        <v>395.3</v>
      </c>
      <c r="O17" s="54">
        <v>0</v>
      </c>
      <c r="P17" s="54">
        <v>0.54</v>
      </c>
      <c r="Q17" s="27" t="s">
        <v>14</v>
      </c>
    </row>
    <row r="18" spans="1:17" customFormat="1">
      <c r="A18" s="53">
        <v>45406.416666666664</v>
      </c>
      <c r="B18" s="54">
        <v>11.36</v>
      </c>
      <c r="C18" s="54">
        <v>13.34</v>
      </c>
      <c r="D18" s="54">
        <v>25.23</v>
      </c>
      <c r="E18" s="54">
        <v>10.16</v>
      </c>
      <c r="F18" s="54">
        <v>6.33</v>
      </c>
      <c r="G18" s="54">
        <v>24.91</v>
      </c>
      <c r="H18" s="54">
        <v>9.42</v>
      </c>
      <c r="I18" s="54">
        <v>0</v>
      </c>
      <c r="J18" s="54">
        <v>0.43</v>
      </c>
      <c r="K18" s="54">
        <v>278.2</v>
      </c>
      <c r="L18" s="54">
        <v>33.75</v>
      </c>
      <c r="M18" s="54">
        <v>52.71</v>
      </c>
      <c r="N18" s="54">
        <v>675.4</v>
      </c>
      <c r="O18" s="54">
        <v>0</v>
      </c>
      <c r="P18" s="54">
        <v>0.55000000000000004</v>
      </c>
      <c r="Q18" s="27" t="s">
        <v>14</v>
      </c>
    </row>
    <row r="19" spans="1:17" customFormat="1">
      <c r="A19" s="53">
        <v>45406.458333333336</v>
      </c>
      <c r="B19" s="54">
        <v>11.34</v>
      </c>
      <c r="C19" s="54">
        <v>13.45</v>
      </c>
      <c r="D19" s="54">
        <v>25.26</v>
      </c>
      <c r="E19" s="54">
        <v>17.45</v>
      </c>
      <c r="F19" s="54">
        <v>17.04</v>
      </c>
      <c r="G19" s="54">
        <v>26.9</v>
      </c>
      <c r="H19" s="54">
        <v>9.66</v>
      </c>
      <c r="I19" s="54">
        <v>0</v>
      </c>
      <c r="J19" s="54">
        <v>0.88</v>
      </c>
      <c r="K19" s="54">
        <v>295.19</v>
      </c>
      <c r="L19" s="54">
        <v>35.31</v>
      </c>
      <c r="M19" s="54">
        <v>45.27</v>
      </c>
      <c r="N19" s="54">
        <v>767.3</v>
      </c>
      <c r="O19" s="54">
        <v>0</v>
      </c>
      <c r="P19" s="54">
        <v>0.68</v>
      </c>
      <c r="Q19" s="27" t="s">
        <v>14</v>
      </c>
    </row>
    <row r="20" spans="1:17" customFormat="1">
      <c r="A20" s="53">
        <v>45406.5</v>
      </c>
      <c r="B20" s="54">
        <v>11.39</v>
      </c>
      <c r="C20" s="54">
        <v>13.35</v>
      </c>
      <c r="D20" s="54">
        <v>25.25</v>
      </c>
      <c r="E20" s="54">
        <v>21.31</v>
      </c>
      <c r="F20" s="54">
        <v>35.72</v>
      </c>
      <c r="G20" s="54">
        <v>36.1</v>
      </c>
      <c r="H20" s="54">
        <v>13.83</v>
      </c>
      <c r="I20" s="54">
        <v>0</v>
      </c>
      <c r="J20" s="54">
        <v>1.07</v>
      </c>
      <c r="K20" s="54">
        <v>340.94</v>
      </c>
      <c r="L20" s="54">
        <v>36.020000000000003</v>
      </c>
      <c r="M20" s="54">
        <v>40.93</v>
      </c>
      <c r="N20" s="54">
        <v>727.1</v>
      </c>
      <c r="O20" s="54">
        <v>0</v>
      </c>
      <c r="P20" s="54">
        <v>0.77</v>
      </c>
      <c r="Q20" s="27" t="s">
        <v>14</v>
      </c>
    </row>
    <row r="21" spans="1:17" customFormat="1">
      <c r="A21" s="53">
        <v>45406.541666666664</v>
      </c>
      <c r="B21" s="54">
        <v>11.36</v>
      </c>
      <c r="C21" s="54">
        <v>13.4</v>
      </c>
      <c r="D21" s="54">
        <v>25.25</v>
      </c>
      <c r="E21" s="54">
        <v>26.38</v>
      </c>
      <c r="F21" s="54">
        <v>42.66</v>
      </c>
      <c r="G21" s="54">
        <v>40.450000000000003</v>
      </c>
      <c r="H21" s="54">
        <v>13.83</v>
      </c>
      <c r="I21" s="54">
        <v>0</v>
      </c>
      <c r="J21" s="54">
        <v>0.78</v>
      </c>
      <c r="K21" s="54">
        <v>317.05</v>
      </c>
      <c r="L21" s="54">
        <v>37.03</v>
      </c>
      <c r="M21" s="54">
        <v>37.64</v>
      </c>
      <c r="N21" s="54">
        <v>785.3</v>
      </c>
      <c r="O21" s="54">
        <v>0</v>
      </c>
      <c r="P21" s="54">
        <v>0.84</v>
      </c>
      <c r="Q21" s="27" t="s">
        <v>14</v>
      </c>
    </row>
    <row r="22" spans="1:17" customFormat="1">
      <c r="A22" s="53">
        <v>45406.583333333336</v>
      </c>
      <c r="B22" s="54">
        <v>11.35</v>
      </c>
      <c r="C22" s="54">
        <v>13.38</v>
      </c>
      <c r="D22" s="54">
        <v>25.24</v>
      </c>
      <c r="E22" s="54">
        <v>30.12</v>
      </c>
      <c r="F22" s="54">
        <v>46.07</v>
      </c>
      <c r="G22" s="54">
        <v>47.49</v>
      </c>
      <c r="H22" s="54">
        <v>16.07</v>
      </c>
      <c r="I22" s="54">
        <v>0</v>
      </c>
      <c r="J22" s="54">
        <v>1.44</v>
      </c>
      <c r="K22" s="54">
        <v>309.45999999999998</v>
      </c>
      <c r="L22" s="54">
        <v>37.630000000000003</v>
      </c>
      <c r="M22" s="54">
        <v>35.83</v>
      </c>
      <c r="N22" s="54">
        <v>697.8</v>
      </c>
      <c r="O22" s="54">
        <v>0</v>
      </c>
      <c r="P22" s="54">
        <v>0.88</v>
      </c>
      <c r="Q22" s="27" t="s">
        <v>14</v>
      </c>
    </row>
    <row r="23" spans="1:17" customFormat="1">
      <c r="A23" s="53">
        <v>45406.625</v>
      </c>
      <c r="B23" s="54">
        <v>11.31</v>
      </c>
      <c r="C23" s="54">
        <v>13.18</v>
      </c>
      <c r="D23" s="54">
        <v>25.1</v>
      </c>
      <c r="E23" s="54">
        <v>20.22</v>
      </c>
      <c r="F23" s="54">
        <v>44.28</v>
      </c>
      <c r="G23" s="54">
        <v>47.49</v>
      </c>
      <c r="H23" s="54">
        <v>16.07</v>
      </c>
      <c r="I23" s="54">
        <v>0</v>
      </c>
      <c r="J23" s="54">
        <v>1.1299999999999999</v>
      </c>
      <c r="K23" s="54">
        <v>335.62</v>
      </c>
      <c r="L23" s="54">
        <v>37.799999999999997</v>
      </c>
      <c r="M23" s="54">
        <v>34.299999999999997</v>
      </c>
      <c r="N23" s="54">
        <v>650.20000000000005</v>
      </c>
      <c r="O23" s="54">
        <v>0</v>
      </c>
      <c r="P23" s="54">
        <v>0.63</v>
      </c>
      <c r="Q23" s="27" t="s">
        <v>14</v>
      </c>
    </row>
    <row r="24" spans="1:17" customFormat="1">
      <c r="A24" s="53">
        <v>45406.666666666664</v>
      </c>
      <c r="B24" s="54">
        <v>11.33</v>
      </c>
      <c r="C24" s="54">
        <v>13.22</v>
      </c>
      <c r="D24" s="54">
        <v>25.13</v>
      </c>
      <c r="E24" s="54">
        <v>17.73</v>
      </c>
      <c r="F24" s="54">
        <v>21.36</v>
      </c>
      <c r="G24" s="54">
        <v>43.22</v>
      </c>
      <c r="H24" s="54">
        <v>14.99</v>
      </c>
      <c r="I24" s="54">
        <v>0</v>
      </c>
      <c r="J24" s="54">
        <v>1.55</v>
      </c>
      <c r="K24" s="54">
        <v>301.45</v>
      </c>
      <c r="L24" s="54">
        <v>37.85</v>
      </c>
      <c r="M24" s="54">
        <v>30.32</v>
      </c>
      <c r="N24" s="54">
        <v>549.9</v>
      </c>
      <c r="O24" s="54">
        <v>0</v>
      </c>
      <c r="P24" s="54">
        <v>0.64</v>
      </c>
      <c r="Q24" s="27" t="s">
        <v>14</v>
      </c>
    </row>
    <row r="25" spans="1:17" customFormat="1">
      <c r="A25" s="53">
        <v>45406.708333333336</v>
      </c>
      <c r="B25" s="54">
        <v>11.4</v>
      </c>
      <c r="C25" s="54">
        <v>13.39</v>
      </c>
      <c r="D25" s="54">
        <v>25.27</v>
      </c>
      <c r="E25" s="54">
        <v>16.239999999999998</v>
      </c>
      <c r="F25" s="54">
        <v>23.18</v>
      </c>
      <c r="G25" s="54">
        <v>38.909999999999997</v>
      </c>
      <c r="H25" s="54">
        <v>13.49</v>
      </c>
      <c r="I25" s="54">
        <v>0</v>
      </c>
      <c r="J25" s="54">
        <v>0.93</v>
      </c>
      <c r="K25" s="54">
        <v>297.52</v>
      </c>
      <c r="L25" s="54">
        <v>37.72</v>
      </c>
      <c r="M25" s="54">
        <v>30.47</v>
      </c>
      <c r="N25" s="54">
        <v>286.10000000000002</v>
      </c>
      <c r="O25" s="54">
        <v>0</v>
      </c>
      <c r="P25" s="54">
        <v>0.56000000000000005</v>
      </c>
      <c r="Q25" s="54">
        <v>4.96</v>
      </c>
    </row>
    <row r="26" spans="1:17" customFormat="1">
      <c r="A26" s="53">
        <v>45406.75</v>
      </c>
      <c r="B26" s="54">
        <v>11.36</v>
      </c>
      <c r="C26" s="54">
        <v>13.13</v>
      </c>
      <c r="D26" s="54">
        <v>25.1</v>
      </c>
      <c r="E26" s="54">
        <v>31.9</v>
      </c>
      <c r="F26" s="54">
        <v>27.38</v>
      </c>
      <c r="G26" s="54">
        <v>35.9</v>
      </c>
      <c r="H26" s="54">
        <v>13.49</v>
      </c>
      <c r="I26" s="54">
        <v>0</v>
      </c>
      <c r="J26" s="54">
        <v>0.62</v>
      </c>
      <c r="K26" s="54">
        <v>253.52</v>
      </c>
      <c r="L26" s="54">
        <v>36.049999999999997</v>
      </c>
      <c r="M26" s="54">
        <v>39.409999999999997</v>
      </c>
      <c r="N26" s="54">
        <v>101.9</v>
      </c>
      <c r="O26" s="54">
        <v>0</v>
      </c>
      <c r="P26" s="54">
        <v>0.57999999999999996</v>
      </c>
      <c r="Q26" s="27" t="s">
        <v>14</v>
      </c>
    </row>
    <row r="27" spans="1:17" customFormat="1">
      <c r="A27" s="53">
        <v>45406.791666666664</v>
      </c>
      <c r="B27" s="54">
        <v>11.37</v>
      </c>
      <c r="C27" s="54">
        <v>13.31</v>
      </c>
      <c r="D27" s="54">
        <v>25.22</v>
      </c>
      <c r="E27" s="54">
        <v>24.14</v>
      </c>
      <c r="F27" s="54">
        <v>22.27</v>
      </c>
      <c r="G27" s="54">
        <v>39.36</v>
      </c>
      <c r="H27" s="54">
        <v>13.93</v>
      </c>
      <c r="I27" s="54">
        <v>0</v>
      </c>
      <c r="J27" s="54">
        <v>0.28999999999999998</v>
      </c>
      <c r="K27" s="54">
        <v>162.97</v>
      </c>
      <c r="L27" s="54">
        <v>33.53</v>
      </c>
      <c r="M27" s="54">
        <v>54.77</v>
      </c>
      <c r="N27" s="54">
        <v>0.1</v>
      </c>
      <c r="O27" s="54">
        <v>0</v>
      </c>
      <c r="P27" s="54">
        <v>0.62</v>
      </c>
      <c r="Q27" s="27" t="s">
        <v>14</v>
      </c>
    </row>
    <row r="28" spans="1:17" customFormat="1">
      <c r="A28" s="53">
        <v>45406.833333333336</v>
      </c>
      <c r="B28" s="54">
        <v>11.35</v>
      </c>
      <c r="C28" s="54">
        <v>13.24</v>
      </c>
      <c r="D28" s="54">
        <v>25.16</v>
      </c>
      <c r="E28" s="54">
        <v>15.39</v>
      </c>
      <c r="F28" s="54">
        <v>8.83</v>
      </c>
      <c r="G28" s="54">
        <v>39.36</v>
      </c>
      <c r="H28" s="54">
        <v>15.4</v>
      </c>
      <c r="I28" s="54">
        <v>0</v>
      </c>
      <c r="J28" s="54">
        <v>0.27</v>
      </c>
      <c r="K28" s="54">
        <v>190.22</v>
      </c>
      <c r="L28" s="54">
        <v>31.38</v>
      </c>
      <c r="M28" s="54">
        <v>61.76</v>
      </c>
      <c r="N28" s="54">
        <v>0</v>
      </c>
      <c r="O28" s="54">
        <v>0</v>
      </c>
      <c r="P28" s="54">
        <v>0.7</v>
      </c>
      <c r="Q28" s="27" t="s">
        <v>14</v>
      </c>
    </row>
    <row r="29" spans="1:17" customFormat="1">
      <c r="A29" s="53">
        <v>45406.875</v>
      </c>
      <c r="B29" s="54">
        <v>11.76</v>
      </c>
      <c r="C29" s="54">
        <v>14.26</v>
      </c>
      <c r="D29" s="54">
        <v>26.02</v>
      </c>
      <c r="E29" s="54">
        <v>22.67</v>
      </c>
      <c r="F29" s="54">
        <v>7.59</v>
      </c>
      <c r="G29" s="54">
        <v>42.67</v>
      </c>
      <c r="H29" s="54">
        <v>15.4</v>
      </c>
      <c r="I29" s="54">
        <v>0</v>
      </c>
      <c r="J29" s="54">
        <v>1.08</v>
      </c>
      <c r="K29" s="54">
        <v>87.44</v>
      </c>
      <c r="L29" s="54">
        <v>31.48</v>
      </c>
      <c r="M29" s="54">
        <v>55.22</v>
      </c>
      <c r="N29" s="54">
        <v>0</v>
      </c>
      <c r="O29" s="54">
        <v>0</v>
      </c>
      <c r="P29" s="54">
        <v>0.97</v>
      </c>
      <c r="Q29" s="27" t="s">
        <v>14</v>
      </c>
    </row>
    <row r="30" spans="1:17" customFormat="1">
      <c r="A30" s="53">
        <v>45406.916666666664</v>
      </c>
      <c r="B30" s="54">
        <v>11.48</v>
      </c>
      <c r="C30" s="54">
        <v>13.44</v>
      </c>
      <c r="D30" s="54">
        <v>25.37</v>
      </c>
      <c r="E30" s="54">
        <v>26.81</v>
      </c>
      <c r="F30" s="54">
        <v>7.11</v>
      </c>
      <c r="G30" s="54">
        <v>60.89</v>
      </c>
      <c r="H30" s="54">
        <v>17.66</v>
      </c>
      <c r="I30" s="54">
        <v>0</v>
      </c>
      <c r="J30" s="54">
        <v>0.47</v>
      </c>
      <c r="K30" s="54">
        <v>318.92</v>
      </c>
      <c r="L30" s="54">
        <v>31</v>
      </c>
      <c r="M30" s="54">
        <v>53.01</v>
      </c>
      <c r="N30" s="54">
        <v>0</v>
      </c>
      <c r="O30" s="54">
        <v>0</v>
      </c>
      <c r="P30" s="54">
        <v>0.88</v>
      </c>
      <c r="Q30" s="27" t="s">
        <v>14</v>
      </c>
    </row>
    <row r="31" spans="1:17" customFormat="1">
      <c r="A31" s="53">
        <v>45406.958333333336</v>
      </c>
      <c r="B31" s="54">
        <v>11.43</v>
      </c>
      <c r="C31" s="54">
        <v>13.25</v>
      </c>
      <c r="D31" s="54">
        <v>25.23</v>
      </c>
      <c r="E31" s="54">
        <v>19.93</v>
      </c>
      <c r="F31" s="54">
        <v>5.12</v>
      </c>
      <c r="G31" s="54">
        <v>63.73</v>
      </c>
      <c r="H31" s="54">
        <v>18.46</v>
      </c>
      <c r="I31" s="54">
        <v>0</v>
      </c>
      <c r="J31" s="54">
        <v>0.27</v>
      </c>
      <c r="K31" s="54">
        <v>185.76</v>
      </c>
      <c r="L31" s="54">
        <v>28.36</v>
      </c>
      <c r="M31" s="54">
        <v>66.069999999999993</v>
      </c>
      <c r="N31" s="54">
        <v>0</v>
      </c>
      <c r="O31" s="54">
        <v>0</v>
      </c>
      <c r="P31" s="54">
        <v>0.82</v>
      </c>
      <c r="Q31" s="27" t="s">
        <v>14</v>
      </c>
    </row>
    <row r="32" spans="1:17" customFormat="1">
      <c r="A32" s="53">
        <v>45407</v>
      </c>
      <c r="B32" s="54">
        <v>11.6</v>
      </c>
      <c r="C32" s="54">
        <v>13.62</v>
      </c>
      <c r="D32" s="54">
        <v>25.56</v>
      </c>
      <c r="E32" s="54">
        <v>15.52</v>
      </c>
      <c r="F32" s="54">
        <v>3.09</v>
      </c>
      <c r="G32" s="54">
        <v>65.260000000000005</v>
      </c>
      <c r="H32" s="54">
        <v>21.91</v>
      </c>
      <c r="I32" s="54">
        <v>0</v>
      </c>
      <c r="J32" s="54">
        <v>0.3</v>
      </c>
      <c r="K32" s="54">
        <v>188.54</v>
      </c>
      <c r="L32" s="54">
        <v>27.08</v>
      </c>
      <c r="M32" s="54">
        <v>74.31</v>
      </c>
      <c r="N32" s="54">
        <v>0</v>
      </c>
      <c r="O32" s="54">
        <v>0</v>
      </c>
      <c r="P32" s="54">
        <v>0.79</v>
      </c>
      <c r="Q32" s="27" t="s">
        <v>14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11.31</v>
      </c>
      <c r="C34" s="40">
        <f t="shared" si="0"/>
        <v>13.13</v>
      </c>
      <c r="D34" s="40">
        <f t="shared" si="0"/>
        <v>25.1</v>
      </c>
      <c r="E34" s="40">
        <f t="shared" si="0"/>
        <v>8.48</v>
      </c>
      <c r="F34" s="40">
        <f t="shared" si="0"/>
        <v>1.32</v>
      </c>
      <c r="G34" s="40">
        <f t="shared" si="0"/>
        <v>16.97</v>
      </c>
      <c r="H34" s="40">
        <f t="shared" si="0"/>
        <v>7.49</v>
      </c>
      <c r="I34" s="40">
        <f t="shared" si="0"/>
        <v>0</v>
      </c>
      <c r="J34" s="40">
        <f t="shared" si="0"/>
        <v>0.26</v>
      </c>
      <c r="K34" s="40">
        <f t="shared" si="0"/>
        <v>87.44</v>
      </c>
      <c r="L34" s="40">
        <f t="shared" si="0"/>
        <v>25.14</v>
      </c>
      <c r="M34" s="40">
        <f t="shared" si="0"/>
        <v>30.32</v>
      </c>
      <c r="N34" s="40">
        <f t="shared" si="0"/>
        <v>0</v>
      </c>
      <c r="O34" s="40">
        <f t="shared" si="0"/>
        <v>0</v>
      </c>
      <c r="P34" s="40">
        <f t="shared" si="0"/>
        <v>0.49</v>
      </c>
      <c r="Q34" s="40">
        <f t="shared" si="0"/>
        <v>4.96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11.76</v>
      </c>
      <c r="C35" s="33">
        <f t="shared" si="1"/>
        <v>14.26</v>
      </c>
      <c r="D35" s="33">
        <f t="shared" si="1"/>
        <v>26.02</v>
      </c>
      <c r="E35" s="33">
        <f t="shared" si="1"/>
        <v>31.9</v>
      </c>
      <c r="F35" s="33">
        <f t="shared" si="1"/>
        <v>46.07</v>
      </c>
      <c r="G35" s="33">
        <f t="shared" si="1"/>
        <v>86.53</v>
      </c>
      <c r="H35" s="33">
        <f t="shared" si="1"/>
        <v>21.91</v>
      </c>
      <c r="I35" s="33">
        <f t="shared" si="1"/>
        <v>6.24</v>
      </c>
      <c r="J35" s="33">
        <f t="shared" si="1"/>
        <v>1.56</v>
      </c>
      <c r="K35" s="33">
        <f t="shared" si="1"/>
        <v>348.79</v>
      </c>
      <c r="L35" s="33">
        <f t="shared" si="1"/>
        <v>37.85</v>
      </c>
      <c r="M35" s="33">
        <f t="shared" si="1"/>
        <v>86.3</v>
      </c>
      <c r="N35" s="33">
        <f t="shared" si="1"/>
        <v>785.3</v>
      </c>
      <c r="O35" s="33">
        <f t="shared" si="1"/>
        <v>0.2</v>
      </c>
      <c r="P35" s="33">
        <f t="shared" si="1"/>
        <v>0.97</v>
      </c>
      <c r="Q35" s="33">
        <f t="shared" si="1"/>
        <v>4.96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11.411250000000001</v>
      </c>
      <c r="C36" s="40">
        <f t="shared" si="2"/>
        <v>13.384583333333332</v>
      </c>
      <c r="D36" s="40">
        <f t="shared" si="2"/>
        <v>25.285</v>
      </c>
      <c r="E36" s="40">
        <f t="shared" si="2"/>
        <v>17.474583333333332</v>
      </c>
      <c r="F36" s="40">
        <f t="shared" si="2"/>
        <v>14.229583333333331</v>
      </c>
      <c r="G36" s="40">
        <f t="shared" si="2"/>
        <v>41.283333333333331</v>
      </c>
      <c r="H36" s="40">
        <f t="shared" si="2"/>
        <v>13.915833333333337</v>
      </c>
      <c r="I36" s="40">
        <f t="shared" si="2"/>
        <v>1.5920833333333333</v>
      </c>
      <c r="J36" s="40">
        <f t="shared" si="2"/>
        <v>0.79666666666666652</v>
      </c>
      <c r="K36" s="40">
        <f t="shared" si="2"/>
        <v>248.25041666666667</v>
      </c>
      <c r="L36" s="40">
        <f t="shared" si="2"/>
        <v>31.48875</v>
      </c>
      <c r="M36" s="40">
        <f t="shared" si="2"/>
        <v>56.035833333333329</v>
      </c>
      <c r="N36" s="40">
        <f t="shared" si="2"/>
        <v>243.80416666666665</v>
      </c>
      <c r="O36" s="40">
        <f t="shared" si="2"/>
        <v>8.3333333333333332E-3</v>
      </c>
      <c r="P36" s="40">
        <f t="shared" si="2"/>
        <v>0.66000000000000014</v>
      </c>
      <c r="Q36" s="40">
        <f t="shared" si="2"/>
        <v>4.96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9.8347763618171088E-2</v>
      </c>
      <c r="C37" s="40">
        <f t="shared" ref="C37:Q37" si="3">STDEV(C9:C32)</f>
        <v>0.21564824753917125</v>
      </c>
      <c r="D37" s="40">
        <f t="shared" si="3"/>
        <v>0.18561296806251487</v>
      </c>
      <c r="E37" s="40">
        <f t="shared" si="3"/>
        <v>6.9038489448729443</v>
      </c>
      <c r="F37" s="40">
        <f t="shared" si="3"/>
        <v>15.005008288297748</v>
      </c>
      <c r="G37" s="40">
        <f t="shared" si="3"/>
        <v>16.147433681323914</v>
      </c>
      <c r="H37" s="40">
        <f t="shared" si="3"/>
        <v>3.3772859140036462</v>
      </c>
      <c r="I37" s="40">
        <f t="shared" si="3"/>
        <v>2.5427509566483764</v>
      </c>
      <c r="J37" s="40">
        <f t="shared" si="3"/>
        <v>0.45046513802924898</v>
      </c>
      <c r="K37" s="40">
        <f t="shared" si="3"/>
        <v>73.612601265246866</v>
      </c>
      <c r="L37" s="40">
        <f t="shared" si="3"/>
        <v>4.615344268566691</v>
      </c>
      <c r="M37" s="40">
        <f t="shared" si="3"/>
        <v>17.292528146865781</v>
      </c>
      <c r="N37" s="40">
        <f t="shared" si="3"/>
        <v>313.00627091810469</v>
      </c>
      <c r="O37" s="40">
        <f t="shared" si="3"/>
        <v>4.0824829046386311E-2</v>
      </c>
      <c r="P37" s="40">
        <f t="shared" si="3"/>
        <v>0.13934629993059594</v>
      </c>
      <c r="Q37" s="27" t="s">
        <v>14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1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Q30" sqref="Q30:Q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45407.041666666664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45407.041666666664</v>
      </c>
      <c r="B9" s="54">
        <v>11.48</v>
      </c>
      <c r="C9" s="54">
        <v>13.49</v>
      </c>
      <c r="D9" s="54">
        <v>25.4</v>
      </c>
      <c r="E9" s="54">
        <v>21.47</v>
      </c>
      <c r="F9" s="54">
        <v>1.02</v>
      </c>
      <c r="G9" s="54">
        <v>65.260000000000005</v>
      </c>
      <c r="H9" s="54">
        <v>21.91</v>
      </c>
      <c r="I9" s="54">
        <v>0</v>
      </c>
      <c r="J9" s="54">
        <v>0.18</v>
      </c>
      <c r="K9" s="54">
        <v>175.65</v>
      </c>
      <c r="L9" s="54">
        <v>26.97</v>
      </c>
      <c r="M9" s="54">
        <v>74.63</v>
      </c>
      <c r="N9" s="54">
        <v>0</v>
      </c>
      <c r="O9" s="54">
        <v>0</v>
      </c>
      <c r="P9" s="54">
        <v>0.83</v>
      </c>
      <c r="Q9" s="54">
        <v>4.97</v>
      </c>
    </row>
    <row r="10" spans="1:21" customFormat="1">
      <c r="A10" s="53">
        <v>45407.083333333336</v>
      </c>
      <c r="B10" s="54">
        <v>11.49</v>
      </c>
      <c r="C10" s="54">
        <v>13.45</v>
      </c>
      <c r="D10" s="54">
        <v>25.39</v>
      </c>
      <c r="E10" s="54">
        <v>12.19</v>
      </c>
      <c r="F10" s="54">
        <v>1</v>
      </c>
      <c r="G10" s="54">
        <v>63.45</v>
      </c>
      <c r="H10" s="54">
        <v>22.85</v>
      </c>
      <c r="I10" s="54">
        <v>0</v>
      </c>
      <c r="J10" s="54">
        <v>0.17</v>
      </c>
      <c r="K10" s="54">
        <v>177.99</v>
      </c>
      <c r="L10" s="54">
        <v>26.3</v>
      </c>
      <c r="M10" s="54">
        <v>79</v>
      </c>
      <c r="N10" s="54">
        <v>0</v>
      </c>
      <c r="O10" s="54">
        <v>0</v>
      </c>
      <c r="P10" s="54">
        <v>0.83</v>
      </c>
      <c r="Q10" s="54">
        <v>4.99</v>
      </c>
    </row>
    <row r="11" spans="1:21" customFormat="1">
      <c r="A11" s="53">
        <v>45407.125</v>
      </c>
      <c r="B11" s="54">
        <v>11.4</v>
      </c>
      <c r="C11" s="54">
        <v>13.32</v>
      </c>
      <c r="D11" s="54">
        <v>25.25</v>
      </c>
      <c r="E11" s="54">
        <v>12.84</v>
      </c>
      <c r="F11" s="54">
        <v>1</v>
      </c>
      <c r="G11" s="54">
        <v>62.96</v>
      </c>
      <c r="H11" s="54">
        <v>22.85</v>
      </c>
      <c r="I11" s="54">
        <v>0</v>
      </c>
      <c r="J11" s="54">
        <v>0.22</v>
      </c>
      <c r="K11" s="54">
        <v>201.72</v>
      </c>
      <c r="L11" s="54">
        <v>26.16</v>
      </c>
      <c r="M11" s="54">
        <v>81.430000000000007</v>
      </c>
      <c r="N11" s="54">
        <v>0</v>
      </c>
      <c r="O11" s="54">
        <v>0</v>
      </c>
      <c r="P11" s="54">
        <v>0.83</v>
      </c>
      <c r="Q11" s="54">
        <v>4.9800000000000004</v>
      </c>
    </row>
    <row r="12" spans="1:21" customFormat="1">
      <c r="A12" s="53">
        <v>45407.166666666664</v>
      </c>
      <c r="B12" s="54">
        <v>11.34</v>
      </c>
      <c r="C12" s="54">
        <v>13.19</v>
      </c>
      <c r="D12" s="54">
        <v>25.13</v>
      </c>
      <c r="E12" s="54">
        <v>13.05</v>
      </c>
      <c r="F12" s="54">
        <v>1</v>
      </c>
      <c r="G12" s="54">
        <v>63.05</v>
      </c>
      <c r="H12" s="54">
        <v>21.73</v>
      </c>
      <c r="I12" s="54">
        <v>0</v>
      </c>
      <c r="J12" s="54">
        <v>0.19</v>
      </c>
      <c r="K12" s="54">
        <v>194.32</v>
      </c>
      <c r="L12" s="54">
        <v>25.48</v>
      </c>
      <c r="M12" s="54">
        <v>80.64</v>
      </c>
      <c r="N12" s="54">
        <v>0</v>
      </c>
      <c r="O12" s="54">
        <v>0</v>
      </c>
      <c r="P12" s="54">
        <v>0.83</v>
      </c>
      <c r="Q12" s="54">
        <v>5</v>
      </c>
    </row>
    <row r="13" spans="1:21" customFormat="1">
      <c r="A13" s="53">
        <v>45407.208333333336</v>
      </c>
      <c r="B13" s="54">
        <v>11.35</v>
      </c>
      <c r="C13" s="54">
        <v>13.21</v>
      </c>
      <c r="D13" s="54">
        <v>25.15</v>
      </c>
      <c r="E13" s="54">
        <v>13.21</v>
      </c>
      <c r="F13" s="54">
        <v>1</v>
      </c>
      <c r="G13" s="54">
        <v>63.94</v>
      </c>
      <c r="H13" s="54">
        <v>23.3</v>
      </c>
      <c r="I13" s="54">
        <v>0</v>
      </c>
      <c r="J13" s="54">
        <v>0.18</v>
      </c>
      <c r="K13" s="54">
        <v>193.76</v>
      </c>
      <c r="L13" s="54">
        <v>25.07</v>
      </c>
      <c r="M13" s="54">
        <v>81.11</v>
      </c>
      <c r="N13" s="54">
        <v>0</v>
      </c>
      <c r="O13" s="54">
        <v>0</v>
      </c>
      <c r="P13" s="54">
        <v>0.8</v>
      </c>
      <c r="Q13" s="54">
        <v>4.99</v>
      </c>
    </row>
    <row r="14" spans="1:21" customFormat="1">
      <c r="A14" s="53">
        <v>45407.25</v>
      </c>
      <c r="B14" s="54">
        <v>11.59</v>
      </c>
      <c r="C14" s="54">
        <v>13.65</v>
      </c>
      <c r="D14" s="54">
        <v>25.57</v>
      </c>
      <c r="E14" s="54">
        <v>13.17</v>
      </c>
      <c r="F14" s="54">
        <v>1</v>
      </c>
      <c r="G14" s="54">
        <v>63.94</v>
      </c>
      <c r="H14" s="54">
        <v>23.93</v>
      </c>
      <c r="I14" s="54">
        <v>0</v>
      </c>
      <c r="J14" s="54">
        <v>0.21</v>
      </c>
      <c r="K14" s="54">
        <v>178.83</v>
      </c>
      <c r="L14" s="54">
        <v>24.88</v>
      </c>
      <c r="M14" s="54">
        <v>86.88</v>
      </c>
      <c r="N14" s="54">
        <v>13.5</v>
      </c>
      <c r="O14" s="54">
        <v>0</v>
      </c>
      <c r="P14" s="54">
        <v>0.78</v>
      </c>
      <c r="Q14" s="54">
        <v>4.9800000000000004</v>
      </c>
    </row>
    <row r="15" spans="1:21" customFormat="1">
      <c r="A15" s="53">
        <v>45407.291666666664</v>
      </c>
      <c r="B15" s="54">
        <v>12.09</v>
      </c>
      <c r="C15" s="54">
        <v>14.34</v>
      </c>
      <c r="D15" s="54">
        <v>26.33</v>
      </c>
      <c r="E15" s="54">
        <v>12.31</v>
      </c>
      <c r="F15" s="54">
        <v>1.82</v>
      </c>
      <c r="G15" s="54">
        <v>62.34</v>
      </c>
      <c r="H15" s="54">
        <v>23.93</v>
      </c>
      <c r="I15" s="54">
        <v>0</v>
      </c>
      <c r="J15" s="54">
        <v>0.3</v>
      </c>
      <c r="K15" s="54">
        <v>173.01</v>
      </c>
      <c r="L15" s="54">
        <v>26.91</v>
      </c>
      <c r="M15" s="54">
        <v>84.67</v>
      </c>
      <c r="N15" s="54">
        <v>67</v>
      </c>
      <c r="O15" s="54">
        <v>0</v>
      </c>
      <c r="P15" s="54">
        <v>0.76</v>
      </c>
      <c r="Q15" s="54">
        <v>4.9800000000000004</v>
      </c>
    </row>
    <row r="16" spans="1:21" customFormat="1">
      <c r="A16" s="53">
        <v>45407.333333333336</v>
      </c>
      <c r="B16" s="54">
        <v>11.35</v>
      </c>
      <c r="C16" s="54">
        <v>13.16</v>
      </c>
      <c r="D16" s="54">
        <v>25.12</v>
      </c>
      <c r="E16" s="54">
        <v>13.07</v>
      </c>
      <c r="F16" s="54">
        <v>10.65</v>
      </c>
      <c r="G16" s="54">
        <v>57.53</v>
      </c>
      <c r="H16" s="54">
        <v>23.01</v>
      </c>
      <c r="I16" s="54">
        <v>0</v>
      </c>
      <c r="J16" s="54">
        <v>0.45</v>
      </c>
      <c r="K16" s="54">
        <v>258.45999999999998</v>
      </c>
      <c r="L16" s="54">
        <v>30.11</v>
      </c>
      <c r="M16" s="54">
        <v>69.5</v>
      </c>
      <c r="N16" s="54">
        <v>122.2</v>
      </c>
      <c r="O16" s="54">
        <v>0</v>
      </c>
      <c r="P16" s="54">
        <v>0.75</v>
      </c>
      <c r="Q16" s="54">
        <v>4.9800000000000004</v>
      </c>
    </row>
    <row r="17" spans="1:17" customFormat="1">
      <c r="A17" s="53">
        <v>45407.375</v>
      </c>
      <c r="B17" s="54">
        <v>11.35</v>
      </c>
      <c r="C17" s="54">
        <v>13.23</v>
      </c>
      <c r="D17" s="54">
        <v>25.15</v>
      </c>
      <c r="E17" s="54">
        <v>14.02</v>
      </c>
      <c r="F17" s="54">
        <v>14.28</v>
      </c>
      <c r="G17" s="54">
        <v>53.16</v>
      </c>
      <c r="H17" s="54">
        <v>23.01</v>
      </c>
      <c r="I17" s="54">
        <v>0</v>
      </c>
      <c r="J17" s="54">
        <v>0.36</v>
      </c>
      <c r="K17" s="54">
        <v>260.47000000000003</v>
      </c>
      <c r="L17" s="54">
        <v>33.549999999999997</v>
      </c>
      <c r="M17" s="54">
        <v>54.81</v>
      </c>
      <c r="N17" s="54">
        <v>382</v>
      </c>
      <c r="O17" s="54">
        <v>0</v>
      </c>
      <c r="P17" s="54">
        <v>0.72</v>
      </c>
      <c r="Q17" s="54">
        <v>4.99</v>
      </c>
    </row>
    <row r="18" spans="1:17" customFormat="1">
      <c r="A18" s="53">
        <v>45407.416666666664</v>
      </c>
      <c r="B18" s="54">
        <v>11.45</v>
      </c>
      <c r="C18" s="54">
        <v>13.45</v>
      </c>
      <c r="D18" s="54">
        <v>25.35</v>
      </c>
      <c r="E18" s="54">
        <v>19.79</v>
      </c>
      <c r="F18" s="54">
        <v>20.12</v>
      </c>
      <c r="G18" s="54">
        <v>43.08</v>
      </c>
      <c r="H18" s="54">
        <v>20.89</v>
      </c>
      <c r="I18" s="54">
        <v>0</v>
      </c>
      <c r="J18" s="54">
        <v>0.73</v>
      </c>
      <c r="K18" s="54">
        <v>269.01</v>
      </c>
      <c r="L18" s="54">
        <v>35.340000000000003</v>
      </c>
      <c r="M18" s="54">
        <v>44.64</v>
      </c>
      <c r="N18" s="54">
        <v>624.79999999999995</v>
      </c>
      <c r="O18" s="54">
        <v>0</v>
      </c>
      <c r="P18" s="54">
        <v>0.7</v>
      </c>
      <c r="Q18" s="54">
        <v>4.9800000000000004</v>
      </c>
    </row>
    <row r="19" spans="1:17" customFormat="1">
      <c r="A19" s="53">
        <v>45407.458333333336</v>
      </c>
      <c r="B19" s="54">
        <v>11.33</v>
      </c>
      <c r="C19" s="54">
        <v>13.23</v>
      </c>
      <c r="D19" s="54">
        <v>25.14</v>
      </c>
      <c r="E19" s="54">
        <v>35.32</v>
      </c>
      <c r="F19" s="54">
        <v>25.95</v>
      </c>
      <c r="G19" s="54">
        <v>43.08</v>
      </c>
      <c r="H19" s="54">
        <v>20.6</v>
      </c>
      <c r="I19" s="54">
        <v>0</v>
      </c>
      <c r="J19" s="54">
        <v>0.73</v>
      </c>
      <c r="K19" s="54">
        <v>319.95999999999998</v>
      </c>
      <c r="L19" s="54">
        <v>37.53</v>
      </c>
      <c r="M19" s="54">
        <v>37.630000000000003</v>
      </c>
      <c r="N19" s="54">
        <v>741.4</v>
      </c>
      <c r="O19" s="54">
        <v>0</v>
      </c>
      <c r="P19" s="54">
        <v>0.8</v>
      </c>
      <c r="Q19" s="54">
        <v>4.99</v>
      </c>
    </row>
    <row r="20" spans="1:17" customFormat="1">
      <c r="A20" s="53">
        <v>45407.5</v>
      </c>
      <c r="B20" s="54">
        <v>11.37</v>
      </c>
      <c r="C20" s="54">
        <v>13.45</v>
      </c>
      <c r="D20" s="54">
        <v>25.29</v>
      </c>
      <c r="E20" s="54">
        <v>51.61</v>
      </c>
      <c r="F20" s="54">
        <v>93.08</v>
      </c>
      <c r="G20" s="54">
        <v>52.83</v>
      </c>
      <c r="H20" s="54">
        <v>19.21</v>
      </c>
      <c r="I20" s="54">
        <v>3.28</v>
      </c>
      <c r="J20" s="54">
        <v>0.74</v>
      </c>
      <c r="K20" s="54">
        <v>345.63</v>
      </c>
      <c r="L20" s="54">
        <v>39.18</v>
      </c>
      <c r="M20" s="54">
        <v>33.840000000000003</v>
      </c>
      <c r="N20" s="54">
        <v>821.2</v>
      </c>
      <c r="O20" s="54">
        <v>0</v>
      </c>
      <c r="P20" s="54">
        <v>0.93</v>
      </c>
      <c r="Q20" s="54">
        <v>5</v>
      </c>
    </row>
    <row r="21" spans="1:17" customFormat="1">
      <c r="A21" s="53">
        <v>45407.541666666664</v>
      </c>
      <c r="B21" s="54">
        <v>11.29</v>
      </c>
      <c r="C21" s="54">
        <v>13.19</v>
      </c>
      <c r="D21" s="54">
        <v>25.08</v>
      </c>
      <c r="E21" s="54">
        <v>50.07</v>
      </c>
      <c r="F21" s="54">
        <v>102.81</v>
      </c>
      <c r="G21" s="54">
        <v>53.43</v>
      </c>
      <c r="H21" s="54">
        <v>21.43</v>
      </c>
      <c r="I21" s="54">
        <v>8.64</v>
      </c>
      <c r="J21" s="54">
        <v>0.9</v>
      </c>
      <c r="K21" s="54">
        <v>327.47000000000003</v>
      </c>
      <c r="L21" s="54">
        <v>40.01</v>
      </c>
      <c r="M21" s="54">
        <v>28.83</v>
      </c>
      <c r="N21" s="54">
        <v>821.1</v>
      </c>
      <c r="O21" s="54">
        <v>0</v>
      </c>
      <c r="P21" s="54">
        <v>0.91</v>
      </c>
      <c r="Q21" s="54">
        <v>4.9800000000000004</v>
      </c>
    </row>
    <row r="22" spans="1:17" customFormat="1">
      <c r="A22" s="53">
        <v>45407.583333333336</v>
      </c>
      <c r="B22" s="54">
        <v>11.3</v>
      </c>
      <c r="C22" s="54">
        <v>13.13</v>
      </c>
      <c r="D22" s="54">
        <v>25.07</v>
      </c>
      <c r="E22" s="54">
        <v>42.66</v>
      </c>
      <c r="F22" s="54">
        <v>61.17</v>
      </c>
      <c r="G22" s="54">
        <v>53.43</v>
      </c>
      <c r="H22" s="54">
        <v>21.43</v>
      </c>
      <c r="I22" s="54">
        <v>6.94</v>
      </c>
      <c r="J22" s="54">
        <v>1.1000000000000001</v>
      </c>
      <c r="K22" s="54">
        <v>348.48</v>
      </c>
      <c r="L22" s="54">
        <v>39.299999999999997</v>
      </c>
      <c r="M22" s="54">
        <v>25.67</v>
      </c>
      <c r="N22" s="54">
        <v>532.6</v>
      </c>
      <c r="O22" s="54">
        <v>0</v>
      </c>
      <c r="P22" s="54">
        <v>0.62</v>
      </c>
      <c r="Q22" s="54">
        <v>4.9800000000000004</v>
      </c>
    </row>
    <row r="23" spans="1:17" customFormat="1">
      <c r="A23" s="53">
        <v>45407.625</v>
      </c>
      <c r="B23" s="54">
        <v>11.3</v>
      </c>
      <c r="C23" s="54">
        <v>13.17</v>
      </c>
      <c r="D23" s="54">
        <v>25.08</v>
      </c>
      <c r="E23" s="54">
        <v>19.97</v>
      </c>
      <c r="F23" s="54">
        <v>23.34</v>
      </c>
      <c r="G23" s="54">
        <v>51.38</v>
      </c>
      <c r="H23" s="54">
        <v>20.18</v>
      </c>
      <c r="I23" s="54">
        <v>5.86</v>
      </c>
      <c r="J23" s="54">
        <v>0.56999999999999995</v>
      </c>
      <c r="K23" s="54">
        <v>303.02999999999997</v>
      </c>
      <c r="L23" s="54">
        <v>40.49</v>
      </c>
      <c r="M23" s="54">
        <v>25.63</v>
      </c>
      <c r="N23" s="54">
        <v>713.9</v>
      </c>
      <c r="O23" s="54">
        <v>0</v>
      </c>
      <c r="P23" s="54">
        <v>0.6</v>
      </c>
      <c r="Q23" s="54">
        <v>4.9800000000000004</v>
      </c>
    </row>
    <row r="24" spans="1:17" customFormat="1">
      <c r="A24" s="53">
        <v>45407.666666666664</v>
      </c>
      <c r="B24" s="54">
        <v>11.33</v>
      </c>
      <c r="C24" s="54">
        <v>13.31</v>
      </c>
      <c r="D24" s="54">
        <v>25.15</v>
      </c>
      <c r="E24" s="54">
        <v>28.44</v>
      </c>
      <c r="F24" s="54">
        <v>56.92</v>
      </c>
      <c r="G24" s="54">
        <v>48</v>
      </c>
      <c r="H24" s="54">
        <v>19.22</v>
      </c>
      <c r="I24" s="54">
        <v>5.96</v>
      </c>
      <c r="J24" s="54">
        <v>0.48</v>
      </c>
      <c r="K24" s="54">
        <v>241.82</v>
      </c>
      <c r="L24" s="54">
        <v>40.07</v>
      </c>
      <c r="M24" s="54">
        <v>31.13</v>
      </c>
      <c r="N24" s="54">
        <v>437.1</v>
      </c>
      <c r="O24" s="54">
        <v>0</v>
      </c>
      <c r="P24" s="54">
        <v>0.55000000000000004</v>
      </c>
      <c r="Q24" s="54">
        <v>4.97</v>
      </c>
    </row>
    <row r="25" spans="1:17" customFormat="1">
      <c r="A25" s="53">
        <v>45407.708333333336</v>
      </c>
      <c r="B25" s="54">
        <v>11.32</v>
      </c>
      <c r="C25" s="54">
        <v>13.11</v>
      </c>
      <c r="D25" s="54">
        <v>25.07</v>
      </c>
      <c r="E25" s="54">
        <v>27.56</v>
      </c>
      <c r="F25" s="54">
        <v>42.18</v>
      </c>
      <c r="G25" s="54">
        <v>44.37</v>
      </c>
      <c r="H25" s="54">
        <v>20.23</v>
      </c>
      <c r="I25" s="54">
        <v>5.54</v>
      </c>
      <c r="J25" s="54">
        <v>0.74</v>
      </c>
      <c r="K25" s="54">
        <v>251.38</v>
      </c>
      <c r="L25" s="54">
        <v>36.96</v>
      </c>
      <c r="M25" s="54">
        <v>32.61</v>
      </c>
      <c r="N25" s="54">
        <v>249.6</v>
      </c>
      <c r="O25" s="54">
        <v>0</v>
      </c>
      <c r="P25" s="54">
        <v>0.54</v>
      </c>
      <c r="Q25" s="54">
        <v>4.95</v>
      </c>
    </row>
    <row r="26" spans="1:17" customFormat="1">
      <c r="A26" s="53">
        <v>45407.75</v>
      </c>
      <c r="B26" s="54">
        <v>11.32</v>
      </c>
      <c r="C26" s="54">
        <v>13.3</v>
      </c>
      <c r="D26" s="54">
        <v>25.17</v>
      </c>
      <c r="E26" s="54">
        <v>55.58</v>
      </c>
      <c r="F26" s="54">
        <v>56.49</v>
      </c>
      <c r="G26" s="54">
        <v>41.99</v>
      </c>
      <c r="H26" s="54">
        <v>20.23</v>
      </c>
      <c r="I26" s="54">
        <v>5.6</v>
      </c>
      <c r="J26" s="54">
        <v>0.28000000000000003</v>
      </c>
      <c r="K26" s="54">
        <v>223.23</v>
      </c>
      <c r="L26" s="54">
        <v>37.26</v>
      </c>
      <c r="M26" s="54">
        <v>36.18</v>
      </c>
      <c r="N26" s="54">
        <v>152.4</v>
      </c>
      <c r="O26" s="54">
        <v>0</v>
      </c>
      <c r="P26" s="54">
        <v>0.48</v>
      </c>
      <c r="Q26" s="54">
        <v>4.95</v>
      </c>
    </row>
    <row r="27" spans="1:17" customFormat="1">
      <c r="A27" s="53">
        <v>45407.791666666664</v>
      </c>
      <c r="B27" s="54">
        <v>11.28</v>
      </c>
      <c r="C27" s="54">
        <v>13.2</v>
      </c>
      <c r="D27" s="54">
        <v>25.08</v>
      </c>
      <c r="E27" s="54">
        <v>50.03</v>
      </c>
      <c r="F27" s="54">
        <v>55.5</v>
      </c>
      <c r="G27" s="54">
        <v>43.75</v>
      </c>
      <c r="H27" s="54">
        <v>19.920000000000002</v>
      </c>
      <c r="I27" s="54">
        <v>6.09</v>
      </c>
      <c r="J27" s="54">
        <v>0.23</v>
      </c>
      <c r="K27" s="54">
        <v>169.69</v>
      </c>
      <c r="L27" s="54">
        <v>34.270000000000003</v>
      </c>
      <c r="M27" s="54">
        <v>54.68</v>
      </c>
      <c r="N27" s="54">
        <v>1.7</v>
      </c>
      <c r="O27" s="54">
        <v>0</v>
      </c>
      <c r="P27" s="54">
        <v>0.56000000000000005</v>
      </c>
      <c r="Q27" s="54">
        <v>4.95</v>
      </c>
    </row>
    <row r="28" spans="1:17" customFormat="1">
      <c r="A28" s="53">
        <v>45407.833333333336</v>
      </c>
      <c r="B28" s="54">
        <v>11.38</v>
      </c>
      <c r="C28" s="54">
        <v>13.13</v>
      </c>
      <c r="D28" s="54">
        <v>25.09</v>
      </c>
      <c r="E28" s="54">
        <v>32</v>
      </c>
      <c r="F28" s="54">
        <v>30.45</v>
      </c>
      <c r="G28" s="54">
        <v>48.89</v>
      </c>
      <c r="H28" s="54">
        <v>24.51</v>
      </c>
      <c r="I28" s="54">
        <v>7.34</v>
      </c>
      <c r="J28" s="54">
        <v>0.22</v>
      </c>
      <c r="K28" s="54">
        <v>173.1</v>
      </c>
      <c r="L28" s="54">
        <v>31.49</v>
      </c>
      <c r="M28" s="54">
        <v>57.57</v>
      </c>
      <c r="N28" s="54">
        <v>0</v>
      </c>
      <c r="O28" s="54">
        <v>0</v>
      </c>
      <c r="P28" s="54">
        <v>0.64</v>
      </c>
      <c r="Q28" s="54">
        <v>4.96</v>
      </c>
    </row>
    <row r="29" spans="1:17" customFormat="1">
      <c r="A29" s="53">
        <v>45407.875</v>
      </c>
      <c r="B29" s="54">
        <v>11.35</v>
      </c>
      <c r="C29" s="54">
        <v>13.6</v>
      </c>
      <c r="D29" s="54">
        <v>25.35</v>
      </c>
      <c r="E29" s="54">
        <v>16.75</v>
      </c>
      <c r="F29" s="54">
        <v>9.23</v>
      </c>
      <c r="G29" s="54">
        <v>53.09</v>
      </c>
      <c r="H29" s="54">
        <v>24.51</v>
      </c>
      <c r="I29" s="54">
        <v>7.42</v>
      </c>
      <c r="J29" s="54">
        <v>0.22</v>
      </c>
      <c r="K29" s="54">
        <v>187.92</v>
      </c>
      <c r="L29" s="54">
        <v>30.54</v>
      </c>
      <c r="M29" s="54">
        <v>60.35</v>
      </c>
      <c r="N29" s="54">
        <v>0</v>
      </c>
      <c r="O29" s="54">
        <v>0</v>
      </c>
      <c r="P29" s="54">
        <v>0.67</v>
      </c>
      <c r="Q29" s="54">
        <v>4.97</v>
      </c>
    </row>
    <row r="30" spans="1:17" customFormat="1">
      <c r="A30" s="53">
        <v>45407.916666666664</v>
      </c>
      <c r="B30" s="54">
        <v>11.28</v>
      </c>
      <c r="C30" s="54">
        <v>13.12</v>
      </c>
      <c r="D30" s="54">
        <v>25.04</v>
      </c>
      <c r="E30" s="54">
        <v>14.09</v>
      </c>
      <c r="F30" s="54">
        <v>6.74</v>
      </c>
      <c r="G30" s="54">
        <v>55.01</v>
      </c>
      <c r="H30" s="54">
        <v>22.79</v>
      </c>
      <c r="I30" s="54">
        <v>7.74</v>
      </c>
      <c r="J30" s="54">
        <v>0.2</v>
      </c>
      <c r="K30" s="54">
        <v>182.54</v>
      </c>
      <c r="L30" s="54">
        <v>29.83</v>
      </c>
      <c r="M30" s="54">
        <v>64.400000000000006</v>
      </c>
      <c r="N30" s="54">
        <v>0</v>
      </c>
      <c r="O30" s="54">
        <v>0</v>
      </c>
      <c r="P30" s="54">
        <v>0.71</v>
      </c>
      <c r="Q30" s="27" t="s">
        <v>14</v>
      </c>
    </row>
    <row r="31" spans="1:17" customFormat="1">
      <c r="A31" s="53">
        <v>45407.958333333336</v>
      </c>
      <c r="B31" s="54">
        <v>11.38</v>
      </c>
      <c r="C31" s="54">
        <v>13.39</v>
      </c>
      <c r="D31" s="54">
        <v>25.26</v>
      </c>
      <c r="E31" s="54">
        <v>18.71</v>
      </c>
      <c r="F31" s="54">
        <v>4.17</v>
      </c>
      <c r="G31" s="54">
        <v>61.25</v>
      </c>
      <c r="H31" s="54">
        <v>22.79</v>
      </c>
      <c r="I31" s="54">
        <v>9.23</v>
      </c>
      <c r="J31" s="54">
        <v>0.39</v>
      </c>
      <c r="K31" s="54">
        <v>332.48</v>
      </c>
      <c r="L31" s="54">
        <v>31.91</v>
      </c>
      <c r="M31" s="54">
        <v>56.67</v>
      </c>
      <c r="N31" s="54">
        <v>0</v>
      </c>
      <c r="O31" s="54">
        <v>0</v>
      </c>
      <c r="P31" s="54">
        <v>0.91</v>
      </c>
      <c r="Q31" s="27" t="s">
        <v>14</v>
      </c>
    </row>
    <row r="32" spans="1:17" customFormat="1">
      <c r="A32" s="53">
        <v>45408</v>
      </c>
      <c r="B32" s="54">
        <v>11.34</v>
      </c>
      <c r="C32" s="54">
        <v>13.3</v>
      </c>
      <c r="D32" s="54">
        <v>25.18</v>
      </c>
      <c r="E32" s="54">
        <v>18.09</v>
      </c>
      <c r="F32" s="54">
        <v>5.88</v>
      </c>
      <c r="G32" s="54">
        <v>61.25</v>
      </c>
      <c r="H32" s="54">
        <v>24</v>
      </c>
      <c r="I32" s="54">
        <v>9.1</v>
      </c>
      <c r="J32" s="54">
        <v>0.96</v>
      </c>
      <c r="K32" s="54">
        <v>301.61</v>
      </c>
      <c r="L32" s="54">
        <v>32.020000000000003</v>
      </c>
      <c r="M32" s="54">
        <v>40.869999999999997</v>
      </c>
      <c r="N32" s="54">
        <v>0</v>
      </c>
      <c r="O32" s="54">
        <v>0</v>
      </c>
      <c r="P32" s="54">
        <v>0.81</v>
      </c>
      <c r="Q32" s="27" t="s">
        <v>14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11.28</v>
      </c>
      <c r="C34" s="40">
        <f t="shared" si="0"/>
        <v>13.11</v>
      </c>
      <c r="D34" s="40">
        <f t="shared" si="0"/>
        <v>25.04</v>
      </c>
      <c r="E34" s="40">
        <f t="shared" si="0"/>
        <v>12.19</v>
      </c>
      <c r="F34" s="40">
        <f t="shared" si="0"/>
        <v>1</v>
      </c>
      <c r="G34" s="40">
        <f t="shared" si="0"/>
        <v>41.99</v>
      </c>
      <c r="H34" s="40">
        <f t="shared" si="0"/>
        <v>19.21</v>
      </c>
      <c r="I34" s="40">
        <f t="shared" si="0"/>
        <v>0</v>
      </c>
      <c r="J34" s="40">
        <f t="shared" si="0"/>
        <v>0.17</v>
      </c>
      <c r="K34" s="40">
        <f t="shared" si="0"/>
        <v>169.69</v>
      </c>
      <c r="L34" s="40">
        <f t="shared" si="0"/>
        <v>24.88</v>
      </c>
      <c r="M34" s="40">
        <f t="shared" si="0"/>
        <v>25.63</v>
      </c>
      <c r="N34" s="40">
        <f t="shared" si="0"/>
        <v>0</v>
      </c>
      <c r="O34" s="40">
        <f t="shared" si="0"/>
        <v>0</v>
      </c>
      <c r="P34" s="40">
        <f t="shared" si="0"/>
        <v>0.48</v>
      </c>
      <c r="Q34" s="40">
        <f t="shared" si="0"/>
        <v>4.95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12.09</v>
      </c>
      <c r="C35" s="33">
        <f t="shared" si="1"/>
        <v>14.34</v>
      </c>
      <c r="D35" s="33">
        <f t="shared" si="1"/>
        <v>26.33</v>
      </c>
      <c r="E35" s="33">
        <f t="shared" si="1"/>
        <v>55.58</v>
      </c>
      <c r="F35" s="33">
        <f t="shared" si="1"/>
        <v>102.81</v>
      </c>
      <c r="G35" s="33">
        <f t="shared" si="1"/>
        <v>65.260000000000005</v>
      </c>
      <c r="H35" s="33">
        <f t="shared" si="1"/>
        <v>24.51</v>
      </c>
      <c r="I35" s="33">
        <f t="shared" si="1"/>
        <v>9.23</v>
      </c>
      <c r="J35" s="33">
        <f t="shared" si="1"/>
        <v>1.1000000000000001</v>
      </c>
      <c r="K35" s="33">
        <f t="shared" si="1"/>
        <v>348.48</v>
      </c>
      <c r="L35" s="33">
        <f t="shared" si="1"/>
        <v>40.49</v>
      </c>
      <c r="M35" s="33">
        <f t="shared" si="1"/>
        <v>86.88</v>
      </c>
      <c r="N35" s="33">
        <f t="shared" si="1"/>
        <v>821.2</v>
      </c>
      <c r="O35" s="33">
        <f t="shared" si="1"/>
        <v>0</v>
      </c>
      <c r="P35" s="33">
        <f t="shared" si="1"/>
        <v>0.93</v>
      </c>
      <c r="Q35" s="33">
        <f t="shared" si="1"/>
        <v>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11.394166666666665</v>
      </c>
      <c r="C36" s="40">
        <f t="shared" si="2"/>
        <v>13.338333333333333</v>
      </c>
      <c r="D36" s="40">
        <f t="shared" si="2"/>
        <v>25.245416666666657</v>
      </c>
      <c r="E36" s="40">
        <f t="shared" si="2"/>
        <v>25.250000000000004</v>
      </c>
      <c r="F36" s="40">
        <f t="shared" si="2"/>
        <v>26.116666666666671</v>
      </c>
      <c r="G36" s="40">
        <f t="shared" si="2"/>
        <v>54.602499999999999</v>
      </c>
      <c r="H36" s="40">
        <f t="shared" si="2"/>
        <v>22.019166666666667</v>
      </c>
      <c r="I36" s="40">
        <f t="shared" si="2"/>
        <v>3.6974999999999998</v>
      </c>
      <c r="J36" s="40">
        <f t="shared" si="2"/>
        <v>0.4479166666666668</v>
      </c>
      <c r="K36" s="40">
        <f t="shared" si="2"/>
        <v>241.31500000000003</v>
      </c>
      <c r="L36" s="40">
        <f t="shared" si="2"/>
        <v>32.567916666666669</v>
      </c>
      <c r="M36" s="40">
        <f t="shared" si="2"/>
        <v>55.14041666666666</v>
      </c>
      <c r="N36" s="40">
        <f t="shared" si="2"/>
        <v>236.6875</v>
      </c>
      <c r="O36" s="40">
        <f t="shared" si="2"/>
        <v>0</v>
      </c>
      <c r="P36" s="40">
        <f t="shared" si="2"/>
        <v>0.7316666666666668</v>
      </c>
      <c r="Q36" s="40">
        <f t="shared" si="2"/>
        <v>4.9771428571428578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0.16560604553852382</v>
      </c>
      <c r="C37" s="40">
        <f t="shared" ref="C37:Q37" si="3">STDEV(C9:C32)</f>
        <v>0.2625902191407441</v>
      </c>
      <c r="D37" s="40">
        <f t="shared" si="3"/>
        <v>0.26686552820762549</v>
      </c>
      <c r="E37" s="40">
        <f t="shared" si="3"/>
        <v>14.56536511281351</v>
      </c>
      <c r="F37" s="40">
        <f t="shared" si="3"/>
        <v>30.184567128809764</v>
      </c>
      <c r="G37" s="40">
        <f t="shared" si="3"/>
        <v>7.8252435717057489</v>
      </c>
      <c r="H37" s="40">
        <f t="shared" si="3"/>
        <v>1.6655666659850483</v>
      </c>
      <c r="I37" s="40">
        <f t="shared" si="3"/>
        <v>3.6789580873795846</v>
      </c>
      <c r="J37" s="40">
        <f t="shared" si="3"/>
        <v>0.28797613377359643</v>
      </c>
      <c r="K37" s="40">
        <f t="shared" si="3"/>
        <v>63.452854185984663</v>
      </c>
      <c r="L37" s="40">
        <f t="shared" si="3"/>
        <v>5.3962281345130521</v>
      </c>
      <c r="M37" s="40">
        <f t="shared" si="3"/>
        <v>20.977631457292116</v>
      </c>
      <c r="N37" s="40">
        <f t="shared" si="3"/>
        <v>307.83603669669742</v>
      </c>
      <c r="O37" s="40">
        <f t="shared" si="3"/>
        <v>0</v>
      </c>
      <c r="P37" s="40">
        <f t="shared" si="3"/>
        <v>0.12627322572988975</v>
      </c>
      <c r="Q37" s="40">
        <f t="shared" si="3"/>
        <v>1.488047618285694E-2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21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9" activePane="bottomRight" state="frozen"/>
      <selection activeCell="A9" sqref="A9"/>
      <selection pane="topRight" activeCell="A9" sqref="A9"/>
      <selection pane="bottomLeft" activeCell="A9" sqref="A9"/>
      <selection pane="bottomRight" activeCell="Q36" sqref="Q36:Q37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45408.041666666664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45408.041666666664</v>
      </c>
      <c r="B9" s="54">
        <v>11.29</v>
      </c>
      <c r="C9" s="54">
        <v>13.35</v>
      </c>
      <c r="D9" s="54">
        <v>25.16</v>
      </c>
      <c r="E9" s="54">
        <v>15.3</v>
      </c>
      <c r="F9" s="54">
        <v>7.57</v>
      </c>
      <c r="G9" s="54">
        <v>60.91</v>
      </c>
      <c r="H9" s="54">
        <v>24</v>
      </c>
      <c r="I9" s="54">
        <v>8.58</v>
      </c>
      <c r="J9" s="54">
        <v>0.51</v>
      </c>
      <c r="K9" s="54">
        <v>262.48</v>
      </c>
      <c r="L9" s="54">
        <v>31.54</v>
      </c>
      <c r="M9" s="54">
        <v>45.73</v>
      </c>
      <c r="N9" s="54">
        <v>0</v>
      </c>
      <c r="O9" s="54">
        <v>0</v>
      </c>
      <c r="P9" s="54">
        <v>0.74</v>
      </c>
      <c r="Q9" s="27" t="s">
        <v>14</v>
      </c>
    </row>
    <row r="10" spans="1:21" customFormat="1">
      <c r="A10" s="53">
        <v>45408.083333333336</v>
      </c>
      <c r="B10" s="54">
        <v>11.39</v>
      </c>
      <c r="C10" s="54">
        <v>13.18</v>
      </c>
      <c r="D10" s="54">
        <v>25.17</v>
      </c>
      <c r="E10" s="54">
        <v>13.21</v>
      </c>
      <c r="F10" s="54">
        <v>12.5</v>
      </c>
      <c r="G10" s="54">
        <v>55.51</v>
      </c>
      <c r="H10" s="54">
        <v>23.9</v>
      </c>
      <c r="I10" s="54">
        <v>7.96</v>
      </c>
      <c r="J10" s="54">
        <v>0.27</v>
      </c>
      <c r="K10" s="54">
        <v>180.76</v>
      </c>
      <c r="L10" s="54">
        <v>28.23</v>
      </c>
      <c r="M10" s="54">
        <v>59.58</v>
      </c>
      <c r="N10" s="54">
        <v>0</v>
      </c>
      <c r="O10" s="54">
        <v>0</v>
      </c>
      <c r="P10" s="54">
        <v>0.67</v>
      </c>
      <c r="Q10" s="27" t="s">
        <v>14</v>
      </c>
    </row>
    <row r="11" spans="1:21" customFormat="1">
      <c r="A11" s="53">
        <v>45408.125</v>
      </c>
      <c r="B11" s="54">
        <v>11.43</v>
      </c>
      <c r="C11" s="54">
        <v>13.25</v>
      </c>
      <c r="D11" s="54">
        <v>25.23</v>
      </c>
      <c r="E11" s="54">
        <v>14.11</v>
      </c>
      <c r="F11" s="54">
        <v>7.79</v>
      </c>
      <c r="G11" s="54">
        <v>51.96</v>
      </c>
      <c r="H11" s="54">
        <v>22.15</v>
      </c>
      <c r="I11" s="54">
        <v>7.3</v>
      </c>
      <c r="J11" s="54">
        <v>0.21</v>
      </c>
      <c r="K11" s="54">
        <v>185.84</v>
      </c>
      <c r="L11" s="54">
        <v>26.76</v>
      </c>
      <c r="M11" s="54">
        <v>64.540000000000006</v>
      </c>
      <c r="N11" s="54">
        <v>0</v>
      </c>
      <c r="O11" s="54">
        <v>0</v>
      </c>
      <c r="P11" s="54">
        <v>0.62</v>
      </c>
      <c r="Q11" s="27" t="s">
        <v>14</v>
      </c>
    </row>
    <row r="12" spans="1:21" customFormat="1">
      <c r="A12" s="53">
        <v>45408.166666666664</v>
      </c>
      <c r="B12" s="54">
        <v>11.34</v>
      </c>
      <c r="C12" s="54">
        <v>13.17</v>
      </c>
      <c r="D12" s="54">
        <v>25.12</v>
      </c>
      <c r="E12" s="54">
        <v>12.41</v>
      </c>
      <c r="F12" s="54">
        <v>4.12</v>
      </c>
      <c r="G12" s="54">
        <v>41.95</v>
      </c>
      <c r="H12" s="54">
        <v>20.51</v>
      </c>
      <c r="I12" s="54">
        <v>7.8</v>
      </c>
      <c r="J12" s="54">
        <v>0.28000000000000003</v>
      </c>
      <c r="K12" s="54">
        <v>218.41</v>
      </c>
      <c r="L12" s="54">
        <v>25.48</v>
      </c>
      <c r="M12" s="54">
        <v>70.760000000000005</v>
      </c>
      <c r="N12" s="54">
        <v>0</v>
      </c>
      <c r="O12" s="54">
        <v>0</v>
      </c>
      <c r="P12" s="54">
        <v>0.62</v>
      </c>
      <c r="Q12" s="27" t="s">
        <v>14</v>
      </c>
    </row>
    <row r="13" spans="1:21" customFormat="1">
      <c r="A13" s="53">
        <v>45408.208333333336</v>
      </c>
      <c r="B13" s="54">
        <v>11.53</v>
      </c>
      <c r="C13" s="54">
        <v>13.58</v>
      </c>
      <c r="D13" s="54">
        <v>25.48</v>
      </c>
      <c r="E13" s="54">
        <v>12.22</v>
      </c>
      <c r="F13" s="54">
        <v>2.98</v>
      </c>
      <c r="G13" s="54">
        <v>41.95</v>
      </c>
      <c r="H13" s="54">
        <v>20.51</v>
      </c>
      <c r="I13" s="54">
        <v>8.1</v>
      </c>
      <c r="J13" s="54">
        <v>0.3</v>
      </c>
      <c r="K13" s="54">
        <v>241.99</v>
      </c>
      <c r="L13" s="54">
        <v>25.23</v>
      </c>
      <c r="M13" s="54">
        <v>71.94</v>
      </c>
      <c r="N13" s="54">
        <v>0</v>
      </c>
      <c r="O13" s="54">
        <v>0</v>
      </c>
      <c r="P13" s="54">
        <v>0.63</v>
      </c>
      <c r="Q13" s="27" t="s">
        <v>14</v>
      </c>
    </row>
    <row r="14" spans="1:21" customFormat="1">
      <c r="A14" s="53">
        <v>45408.25</v>
      </c>
      <c r="B14" s="54">
        <v>11.4</v>
      </c>
      <c r="C14" s="54">
        <v>13.31</v>
      </c>
      <c r="D14" s="54">
        <v>25.24</v>
      </c>
      <c r="E14" s="54">
        <v>12.35</v>
      </c>
      <c r="F14" s="54">
        <v>1.63</v>
      </c>
      <c r="G14" s="54">
        <v>40.57</v>
      </c>
      <c r="H14" s="54">
        <v>16.600000000000001</v>
      </c>
      <c r="I14" s="54">
        <v>8.15</v>
      </c>
      <c r="J14" s="54">
        <v>0.28999999999999998</v>
      </c>
      <c r="K14" s="54">
        <v>232.55</v>
      </c>
      <c r="L14" s="54">
        <v>25.09</v>
      </c>
      <c r="M14" s="54">
        <v>74.39</v>
      </c>
      <c r="N14" s="54">
        <v>11.8</v>
      </c>
      <c r="O14" s="54">
        <v>0</v>
      </c>
      <c r="P14" s="54">
        <v>0.63</v>
      </c>
      <c r="Q14" s="27" t="s">
        <v>14</v>
      </c>
    </row>
    <row r="15" spans="1:21" customFormat="1">
      <c r="A15" s="53">
        <v>45408.291666666664</v>
      </c>
      <c r="B15" s="54">
        <v>11.33</v>
      </c>
      <c r="C15" s="54">
        <v>13.26</v>
      </c>
      <c r="D15" s="54">
        <v>25.15</v>
      </c>
      <c r="E15" s="54">
        <v>10.6</v>
      </c>
      <c r="F15" s="54">
        <v>1</v>
      </c>
      <c r="G15" s="54">
        <v>45.54</v>
      </c>
      <c r="H15" s="54">
        <v>16.649999999999999</v>
      </c>
      <c r="I15" s="54">
        <v>8.09</v>
      </c>
      <c r="J15" s="54">
        <v>0.23</v>
      </c>
      <c r="K15" s="54">
        <v>217.21</v>
      </c>
      <c r="L15" s="54">
        <v>27.33</v>
      </c>
      <c r="M15" s="54">
        <v>70.67</v>
      </c>
      <c r="N15" s="54">
        <v>54.6</v>
      </c>
      <c r="O15" s="54">
        <v>0</v>
      </c>
      <c r="P15" s="54">
        <v>0.63</v>
      </c>
      <c r="Q15" s="27" t="s">
        <v>14</v>
      </c>
    </row>
    <row r="16" spans="1:21" customFormat="1">
      <c r="A16" s="53">
        <v>45408.333333333336</v>
      </c>
      <c r="B16" s="54">
        <v>11.33</v>
      </c>
      <c r="C16" s="54">
        <v>13.36</v>
      </c>
      <c r="D16" s="54">
        <v>25.21</v>
      </c>
      <c r="E16" s="54">
        <v>11.78</v>
      </c>
      <c r="F16" s="54">
        <v>4.05</v>
      </c>
      <c r="G16" s="54">
        <v>45.54</v>
      </c>
      <c r="H16" s="54">
        <v>20.93</v>
      </c>
      <c r="I16" s="54">
        <v>7.83</v>
      </c>
      <c r="J16" s="54">
        <v>0.46</v>
      </c>
      <c r="K16" s="54">
        <v>252.4</v>
      </c>
      <c r="L16" s="54">
        <v>30.72</v>
      </c>
      <c r="M16" s="54">
        <v>62.13</v>
      </c>
      <c r="N16" s="54">
        <v>105.4</v>
      </c>
      <c r="O16" s="54">
        <v>0</v>
      </c>
      <c r="P16" s="54">
        <v>0.63</v>
      </c>
      <c r="Q16" s="27" t="s">
        <v>14</v>
      </c>
    </row>
    <row r="17" spans="1:17" customFormat="1">
      <c r="A17" s="53">
        <v>45408.375</v>
      </c>
      <c r="B17" s="54">
        <v>11.3</v>
      </c>
      <c r="C17" s="54">
        <v>13.2</v>
      </c>
      <c r="D17" s="54">
        <v>25.1</v>
      </c>
      <c r="E17" s="54">
        <v>14.04</v>
      </c>
      <c r="F17" s="54">
        <v>7.62</v>
      </c>
      <c r="G17" s="54">
        <v>44.23</v>
      </c>
      <c r="H17" s="54">
        <v>20.93</v>
      </c>
      <c r="I17" s="54">
        <v>7.87</v>
      </c>
      <c r="J17" s="54">
        <v>0.55000000000000004</v>
      </c>
      <c r="K17" s="54">
        <v>315.39</v>
      </c>
      <c r="L17" s="54">
        <v>33.97</v>
      </c>
      <c r="M17" s="54">
        <v>46.08</v>
      </c>
      <c r="N17" s="54">
        <v>365.9</v>
      </c>
      <c r="O17" s="54">
        <v>0</v>
      </c>
      <c r="P17" s="54">
        <v>0.63</v>
      </c>
      <c r="Q17" s="27" t="s">
        <v>14</v>
      </c>
    </row>
    <row r="18" spans="1:17" customFormat="1">
      <c r="A18" s="53">
        <v>45408.416666666664</v>
      </c>
      <c r="B18" s="54">
        <v>11.33</v>
      </c>
      <c r="C18" s="54">
        <v>13.35</v>
      </c>
      <c r="D18" s="54">
        <v>25.21</v>
      </c>
      <c r="E18" s="54">
        <v>18.079999999999998</v>
      </c>
      <c r="F18" s="54">
        <v>10.98</v>
      </c>
      <c r="G18" s="54">
        <v>41.53</v>
      </c>
      <c r="H18" s="54">
        <v>20.39</v>
      </c>
      <c r="I18" s="54">
        <v>8.18</v>
      </c>
      <c r="J18" s="54">
        <v>0.88</v>
      </c>
      <c r="K18" s="54">
        <v>270.77</v>
      </c>
      <c r="L18" s="54">
        <v>35.4</v>
      </c>
      <c r="M18" s="54">
        <v>36.770000000000003</v>
      </c>
      <c r="N18" s="54">
        <v>571.4</v>
      </c>
      <c r="O18" s="54">
        <v>0</v>
      </c>
      <c r="P18" s="54">
        <v>0.66</v>
      </c>
      <c r="Q18" s="27" t="s">
        <v>14</v>
      </c>
    </row>
    <row r="19" spans="1:17" customFormat="1">
      <c r="A19" s="53">
        <v>45408.458333333336</v>
      </c>
      <c r="B19" s="54">
        <v>11.34</v>
      </c>
      <c r="C19" s="54">
        <v>13.25</v>
      </c>
      <c r="D19" s="54">
        <v>25.14</v>
      </c>
      <c r="E19" s="54">
        <v>17.53</v>
      </c>
      <c r="F19" s="54">
        <v>23.54</v>
      </c>
      <c r="G19" s="54">
        <v>57.34</v>
      </c>
      <c r="H19" s="54">
        <v>25.44</v>
      </c>
      <c r="I19" s="54">
        <v>8.3800000000000008</v>
      </c>
      <c r="J19" s="54">
        <v>0.94</v>
      </c>
      <c r="K19" s="54">
        <v>269.25</v>
      </c>
      <c r="L19" s="54">
        <v>37.43</v>
      </c>
      <c r="M19" s="54">
        <v>36.57</v>
      </c>
      <c r="N19" s="54">
        <v>723</v>
      </c>
      <c r="O19" s="54">
        <v>0</v>
      </c>
      <c r="P19" s="54">
        <v>0.66</v>
      </c>
      <c r="Q19" s="27" t="s">
        <v>14</v>
      </c>
    </row>
    <row r="20" spans="1:17" customFormat="1">
      <c r="A20" s="53">
        <v>45408.5</v>
      </c>
      <c r="B20" s="54">
        <v>11.39</v>
      </c>
      <c r="C20" s="54">
        <v>13.19</v>
      </c>
      <c r="D20" s="54">
        <v>25.15</v>
      </c>
      <c r="E20" s="54">
        <v>21.43</v>
      </c>
      <c r="F20" s="54">
        <v>41.73</v>
      </c>
      <c r="G20" s="54">
        <v>57.34</v>
      </c>
      <c r="H20" s="54">
        <v>25.44</v>
      </c>
      <c r="I20" s="54">
        <v>8.2100000000000009</v>
      </c>
      <c r="J20" s="54">
        <v>1.1200000000000001</v>
      </c>
      <c r="K20" s="54">
        <v>283.23</v>
      </c>
      <c r="L20" s="54">
        <v>38.71</v>
      </c>
      <c r="M20" s="54">
        <v>31.67</v>
      </c>
      <c r="N20" s="54">
        <v>811.5</v>
      </c>
      <c r="O20" s="54">
        <v>0</v>
      </c>
      <c r="P20" s="54">
        <v>0.65</v>
      </c>
      <c r="Q20" s="27" t="s">
        <v>14</v>
      </c>
    </row>
    <row r="21" spans="1:17" customFormat="1">
      <c r="A21" s="53">
        <v>45408.541666666664</v>
      </c>
      <c r="B21" s="54">
        <v>11.35</v>
      </c>
      <c r="C21" s="54">
        <v>13.18</v>
      </c>
      <c r="D21" s="54">
        <v>25.13</v>
      </c>
      <c r="E21" s="54">
        <v>39.380000000000003</v>
      </c>
      <c r="F21" s="54">
        <v>52.71</v>
      </c>
      <c r="G21" s="54">
        <v>54.34</v>
      </c>
      <c r="H21" s="54">
        <v>23.87</v>
      </c>
      <c r="I21" s="54">
        <v>10.31</v>
      </c>
      <c r="J21" s="54">
        <v>1.04</v>
      </c>
      <c r="K21" s="54">
        <v>298.69</v>
      </c>
      <c r="L21" s="54">
        <v>40.08</v>
      </c>
      <c r="M21" s="54">
        <v>27.32</v>
      </c>
      <c r="N21" s="54">
        <v>792.9</v>
      </c>
      <c r="O21" s="54">
        <v>0</v>
      </c>
      <c r="P21" s="54">
        <v>0.77</v>
      </c>
      <c r="Q21" s="27" t="s">
        <v>14</v>
      </c>
    </row>
    <row r="22" spans="1:17" customFormat="1">
      <c r="A22" s="53">
        <v>45408.583333333336</v>
      </c>
      <c r="B22" s="54">
        <v>11.34</v>
      </c>
      <c r="C22" s="54">
        <v>13.19</v>
      </c>
      <c r="D22" s="54">
        <v>25.11</v>
      </c>
      <c r="E22" s="54">
        <v>32</v>
      </c>
      <c r="F22" s="54">
        <v>52.85</v>
      </c>
      <c r="G22" s="54">
        <v>54.34</v>
      </c>
      <c r="H22" s="54">
        <v>21.5</v>
      </c>
      <c r="I22" s="54">
        <v>10.44</v>
      </c>
      <c r="J22" s="54">
        <v>1.1200000000000001</v>
      </c>
      <c r="K22" s="54">
        <v>273.02999999999997</v>
      </c>
      <c r="L22" s="54">
        <v>40.5</v>
      </c>
      <c r="M22" s="54">
        <v>23.72</v>
      </c>
      <c r="N22" s="54">
        <v>771.9</v>
      </c>
      <c r="O22" s="54">
        <v>0</v>
      </c>
      <c r="P22" s="54">
        <v>0.72</v>
      </c>
      <c r="Q22" s="27" t="s">
        <v>14</v>
      </c>
    </row>
    <row r="23" spans="1:17" customFormat="1">
      <c r="A23" s="53">
        <v>45408.625</v>
      </c>
      <c r="B23" s="54">
        <v>11.35</v>
      </c>
      <c r="C23" s="54">
        <v>13.22</v>
      </c>
      <c r="D23" s="54">
        <v>25.14</v>
      </c>
      <c r="E23" s="54">
        <v>31.34</v>
      </c>
      <c r="F23" s="54">
        <v>49.83</v>
      </c>
      <c r="G23" s="54">
        <v>53.69</v>
      </c>
      <c r="H23" s="54">
        <v>21.5</v>
      </c>
      <c r="I23" s="54">
        <v>9.9700000000000006</v>
      </c>
      <c r="J23" s="54">
        <v>0.75</v>
      </c>
      <c r="K23" s="54">
        <v>286.44</v>
      </c>
      <c r="L23" s="54">
        <v>41.11</v>
      </c>
      <c r="M23" s="54">
        <v>22.26</v>
      </c>
      <c r="N23" s="54">
        <v>653.5</v>
      </c>
      <c r="O23" s="54">
        <v>0</v>
      </c>
      <c r="P23" s="54">
        <v>0.67</v>
      </c>
      <c r="Q23" s="27" t="s">
        <v>14</v>
      </c>
    </row>
    <row r="24" spans="1:17" customFormat="1">
      <c r="A24" s="53">
        <v>45408.666666666664</v>
      </c>
      <c r="B24" s="54">
        <v>11.42</v>
      </c>
      <c r="C24" s="54">
        <v>13.52</v>
      </c>
      <c r="D24" s="54">
        <v>25.36</v>
      </c>
      <c r="E24" s="54">
        <v>21.73</v>
      </c>
      <c r="F24" s="54">
        <v>21.9</v>
      </c>
      <c r="G24" s="54">
        <v>48.57</v>
      </c>
      <c r="H24" s="54">
        <v>21.47</v>
      </c>
      <c r="I24" s="54">
        <v>9.16</v>
      </c>
      <c r="J24" s="54">
        <v>1.31</v>
      </c>
      <c r="K24" s="54">
        <v>304.14</v>
      </c>
      <c r="L24" s="54">
        <v>41.44</v>
      </c>
      <c r="M24" s="54">
        <v>20.14</v>
      </c>
      <c r="N24" s="54">
        <v>552.20000000000005</v>
      </c>
      <c r="O24" s="54">
        <v>0</v>
      </c>
      <c r="P24" s="54">
        <v>0.65</v>
      </c>
      <c r="Q24" s="27" t="s">
        <v>14</v>
      </c>
    </row>
    <row r="25" spans="1:17" customFormat="1">
      <c r="A25" s="53">
        <v>45408.708333333336</v>
      </c>
      <c r="B25" s="54">
        <v>11.41</v>
      </c>
      <c r="C25" s="54">
        <v>13.26</v>
      </c>
      <c r="D25" s="54">
        <v>25.22</v>
      </c>
      <c r="E25" s="54">
        <v>20.399999999999999</v>
      </c>
      <c r="F25" s="54">
        <v>15.97</v>
      </c>
      <c r="G25" s="54">
        <v>48.57</v>
      </c>
      <c r="H25" s="54">
        <v>21.47</v>
      </c>
      <c r="I25" s="54">
        <v>8.15</v>
      </c>
      <c r="J25" s="54">
        <v>1.31</v>
      </c>
      <c r="K25" s="54">
        <v>300.77999999999997</v>
      </c>
      <c r="L25" s="54">
        <v>40.6</v>
      </c>
      <c r="M25" s="54">
        <v>19.48</v>
      </c>
      <c r="N25" s="54">
        <v>247.2</v>
      </c>
      <c r="O25" s="54">
        <v>0</v>
      </c>
      <c r="P25" s="54">
        <v>0.56999999999999995</v>
      </c>
      <c r="Q25" s="27" t="s">
        <v>14</v>
      </c>
    </row>
    <row r="26" spans="1:17" customFormat="1">
      <c r="A26" s="53">
        <v>45408.75</v>
      </c>
      <c r="B26" s="54">
        <v>11.34</v>
      </c>
      <c r="C26" s="54">
        <v>13.21</v>
      </c>
      <c r="D26" s="54">
        <v>25.13</v>
      </c>
      <c r="E26" s="54">
        <v>18.649999999999999</v>
      </c>
      <c r="F26" s="54">
        <v>26.42</v>
      </c>
      <c r="G26" s="54">
        <v>47.45</v>
      </c>
      <c r="H26" s="54">
        <v>17.21</v>
      </c>
      <c r="I26" s="54">
        <v>6.71</v>
      </c>
      <c r="J26" s="54">
        <v>0.83</v>
      </c>
      <c r="K26" s="54">
        <v>273.33</v>
      </c>
      <c r="L26" s="54">
        <v>38.25</v>
      </c>
      <c r="M26" s="54">
        <v>23.21</v>
      </c>
      <c r="N26" s="54">
        <v>69.5</v>
      </c>
      <c r="O26" s="54">
        <v>0</v>
      </c>
      <c r="P26" s="54">
        <v>0.54</v>
      </c>
      <c r="Q26" s="27" t="s">
        <v>14</v>
      </c>
    </row>
    <row r="27" spans="1:17" customFormat="1">
      <c r="A27" s="53">
        <v>45408.791666666664</v>
      </c>
      <c r="B27" s="54">
        <v>11.33</v>
      </c>
      <c r="C27" s="54">
        <v>13.24</v>
      </c>
      <c r="D27" s="54">
        <v>25.13</v>
      </c>
      <c r="E27" s="54">
        <v>14.34</v>
      </c>
      <c r="F27" s="54">
        <v>29.65</v>
      </c>
      <c r="G27" s="54">
        <v>47.45</v>
      </c>
      <c r="H27" s="54">
        <v>17.21</v>
      </c>
      <c r="I27" s="54">
        <v>6.01</v>
      </c>
      <c r="J27" s="54">
        <v>0.5</v>
      </c>
      <c r="K27" s="54">
        <v>245.46</v>
      </c>
      <c r="L27" s="54">
        <v>36.520000000000003</v>
      </c>
      <c r="M27" s="54">
        <v>26.34</v>
      </c>
      <c r="N27" s="54">
        <v>0</v>
      </c>
      <c r="O27" s="54">
        <v>0</v>
      </c>
      <c r="P27" s="54">
        <v>0.56999999999999995</v>
      </c>
      <c r="Q27" s="27" t="s">
        <v>14</v>
      </c>
    </row>
    <row r="28" spans="1:17" customFormat="1">
      <c r="A28" s="53">
        <v>45408.833333333336</v>
      </c>
      <c r="B28" s="54">
        <v>11.36</v>
      </c>
      <c r="C28" s="54">
        <v>13.2</v>
      </c>
      <c r="D28" s="54">
        <v>25.15</v>
      </c>
      <c r="E28" s="54">
        <v>19.79</v>
      </c>
      <c r="F28" s="54">
        <v>9.8000000000000007</v>
      </c>
      <c r="G28" s="54">
        <v>43.66</v>
      </c>
      <c r="H28" s="54">
        <v>14.44</v>
      </c>
      <c r="I28" s="54">
        <v>7.4</v>
      </c>
      <c r="J28" s="54">
        <v>1.31</v>
      </c>
      <c r="K28" s="54">
        <v>329.89</v>
      </c>
      <c r="L28" s="54">
        <v>35.42</v>
      </c>
      <c r="M28" s="54">
        <v>28.17</v>
      </c>
      <c r="N28" s="54">
        <v>0</v>
      </c>
      <c r="O28" s="54">
        <v>0</v>
      </c>
      <c r="P28" s="54">
        <v>0.74</v>
      </c>
      <c r="Q28" s="27" t="s">
        <v>14</v>
      </c>
    </row>
    <row r="29" spans="1:17" customFormat="1">
      <c r="A29" s="53">
        <v>45408.875</v>
      </c>
      <c r="B29" s="54">
        <v>11.41</v>
      </c>
      <c r="C29" s="54">
        <v>13.64</v>
      </c>
      <c r="D29" s="54">
        <v>25.42</v>
      </c>
      <c r="E29" s="54">
        <v>36.29</v>
      </c>
      <c r="F29" s="54">
        <v>17.02</v>
      </c>
      <c r="G29" s="54">
        <v>47.13</v>
      </c>
      <c r="H29" s="54">
        <v>16.84</v>
      </c>
      <c r="I29" s="54">
        <v>7.21</v>
      </c>
      <c r="J29" s="54">
        <v>1.19</v>
      </c>
      <c r="K29" s="54">
        <v>310.52999999999997</v>
      </c>
      <c r="L29" s="54">
        <v>34.590000000000003</v>
      </c>
      <c r="M29" s="54">
        <v>31.51</v>
      </c>
      <c r="N29" s="54">
        <v>0</v>
      </c>
      <c r="O29" s="54">
        <v>0</v>
      </c>
      <c r="P29" s="54">
        <v>0.69</v>
      </c>
      <c r="Q29" s="27" t="s">
        <v>14</v>
      </c>
    </row>
    <row r="30" spans="1:17" customFormat="1">
      <c r="A30" s="53">
        <v>45408.916666666664</v>
      </c>
      <c r="B30" s="54">
        <v>11.45</v>
      </c>
      <c r="C30" s="54">
        <v>13.38</v>
      </c>
      <c r="D30" s="54">
        <v>25.32</v>
      </c>
      <c r="E30" s="54">
        <v>38.36</v>
      </c>
      <c r="F30" s="54">
        <v>15.72</v>
      </c>
      <c r="G30" s="54">
        <v>57.43</v>
      </c>
      <c r="H30" s="54">
        <v>17.66</v>
      </c>
      <c r="I30" s="54">
        <v>7.05</v>
      </c>
      <c r="J30" s="54">
        <v>1.21</v>
      </c>
      <c r="K30" s="54">
        <v>308.72000000000003</v>
      </c>
      <c r="L30" s="54">
        <v>33.86</v>
      </c>
      <c r="M30" s="54">
        <v>32.799999999999997</v>
      </c>
      <c r="N30" s="54">
        <v>0</v>
      </c>
      <c r="O30" s="54">
        <v>0</v>
      </c>
      <c r="P30" s="54">
        <v>0.69</v>
      </c>
      <c r="Q30" s="27" t="s">
        <v>14</v>
      </c>
    </row>
    <row r="31" spans="1:17" customFormat="1">
      <c r="A31" s="53">
        <v>45408.958333333336</v>
      </c>
      <c r="B31" s="54">
        <v>11.4</v>
      </c>
      <c r="C31" s="54">
        <v>13.31</v>
      </c>
      <c r="D31" s="54">
        <v>25.24</v>
      </c>
      <c r="E31" s="54">
        <v>57.37</v>
      </c>
      <c r="F31" s="54">
        <v>15.53</v>
      </c>
      <c r="G31" s="54">
        <v>62.58</v>
      </c>
      <c r="H31" s="54">
        <v>19.82</v>
      </c>
      <c r="I31" s="54">
        <v>6.48</v>
      </c>
      <c r="J31" s="54">
        <v>1.5</v>
      </c>
      <c r="K31" s="54">
        <v>336.53</v>
      </c>
      <c r="L31" s="54">
        <v>32.99</v>
      </c>
      <c r="M31" s="54">
        <v>35.07</v>
      </c>
      <c r="N31" s="54">
        <v>0</v>
      </c>
      <c r="O31" s="54">
        <v>0</v>
      </c>
      <c r="P31" s="54">
        <v>0.66</v>
      </c>
      <c r="Q31" s="27" t="s">
        <v>14</v>
      </c>
    </row>
    <row r="32" spans="1:17" customFormat="1">
      <c r="A32" s="53">
        <v>45409</v>
      </c>
      <c r="B32" s="54">
        <v>11.35</v>
      </c>
      <c r="C32" s="54">
        <v>13.25</v>
      </c>
      <c r="D32" s="54">
        <v>25.17</v>
      </c>
      <c r="E32" s="54">
        <v>30.77</v>
      </c>
      <c r="F32" s="54">
        <v>11.85</v>
      </c>
      <c r="G32" s="54">
        <v>66.72</v>
      </c>
      <c r="H32" s="54">
        <v>21.9</v>
      </c>
      <c r="I32" s="54">
        <v>6.75</v>
      </c>
      <c r="J32" s="54">
        <v>1.44</v>
      </c>
      <c r="K32" s="54">
        <v>67.260000000000005</v>
      </c>
      <c r="L32" s="54">
        <v>31.5</v>
      </c>
      <c r="M32" s="54">
        <v>38.5</v>
      </c>
      <c r="N32" s="54">
        <v>0</v>
      </c>
      <c r="O32" s="54">
        <v>0</v>
      </c>
      <c r="P32" s="54">
        <v>0.62</v>
      </c>
      <c r="Q32" s="27" t="s">
        <v>14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11.29</v>
      </c>
      <c r="C34" s="40">
        <f t="shared" si="0"/>
        <v>13.17</v>
      </c>
      <c r="D34" s="40">
        <f t="shared" si="0"/>
        <v>25.1</v>
      </c>
      <c r="E34" s="40">
        <f t="shared" si="0"/>
        <v>10.6</v>
      </c>
      <c r="F34" s="40">
        <f t="shared" si="0"/>
        <v>1</v>
      </c>
      <c r="G34" s="40">
        <f t="shared" si="0"/>
        <v>40.57</v>
      </c>
      <c r="H34" s="40">
        <f t="shared" si="0"/>
        <v>14.44</v>
      </c>
      <c r="I34" s="40">
        <f t="shared" si="0"/>
        <v>6.01</v>
      </c>
      <c r="J34" s="40">
        <f t="shared" si="0"/>
        <v>0.21</v>
      </c>
      <c r="K34" s="40">
        <f t="shared" si="0"/>
        <v>67.260000000000005</v>
      </c>
      <c r="L34" s="40">
        <f t="shared" si="0"/>
        <v>25.09</v>
      </c>
      <c r="M34" s="40">
        <f t="shared" si="0"/>
        <v>19.48</v>
      </c>
      <c r="N34" s="40">
        <f t="shared" si="0"/>
        <v>0</v>
      </c>
      <c r="O34" s="40">
        <f t="shared" si="0"/>
        <v>0</v>
      </c>
      <c r="P34" s="40">
        <f t="shared" si="0"/>
        <v>0.54</v>
      </c>
      <c r="Q34" s="40">
        <f t="shared" si="0"/>
        <v>0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11.53</v>
      </c>
      <c r="C35" s="33">
        <f t="shared" si="1"/>
        <v>13.64</v>
      </c>
      <c r="D35" s="33">
        <f t="shared" si="1"/>
        <v>25.48</v>
      </c>
      <c r="E35" s="33">
        <f t="shared" si="1"/>
        <v>57.37</v>
      </c>
      <c r="F35" s="33">
        <f t="shared" si="1"/>
        <v>52.85</v>
      </c>
      <c r="G35" s="33">
        <f t="shared" si="1"/>
        <v>66.72</v>
      </c>
      <c r="H35" s="33">
        <f t="shared" si="1"/>
        <v>25.44</v>
      </c>
      <c r="I35" s="33">
        <f t="shared" si="1"/>
        <v>10.44</v>
      </c>
      <c r="J35" s="33">
        <f t="shared" si="1"/>
        <v>1.5</v>
      </c>
      <c r="K35" s="33">
        <f t="shared" si="1"/>
        <v>336.53</v>
      </c>
      <c r="L35" s="33">
        <f t="shared" si="1"/>
        <v>41.44</v>
      </c>
      <c r="M35" s="33">
        <f t="shared" si="1"/>
        <v>74.39</v>
      </c>
      <c r="N35" s="33">
        <f t="shared" si="1"/>
        <v>811.5</v>
      </c>
      <c r="O35" s="33">
        <f t="shared" si="1"/>
        <v>0</v>
      </c>
      <c r="P35" s="33">
        <f t="shared" si="1"/>
        <v>0.77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11.371250000000002</v>
      </c>
      <c r="C36" s="40">
        <f t="shared" si="2"/>
        <v>13.293750000000001</v>
      </c>
      <c r="D36" s="40">
        <f t="shared" si="2"/>
        <v>25.203333333333333</v>
      </c>
      <c r="E36" s="40">
        <f t="shared" si="2"/>
        <v>22.228333333333335</v>
      </c>
      <c r="F36" s="40">
        <f t="shared" si="2"/>
        <v>18.531666666666666</v>
      </c>
      <c r="G36" s="40">
        <f t="shared" si="2"/>
        <v>50.679166666666681</v>
      </c>
      <c r="H36" s="40">
        <f t="shared" si="2"/>
        <v>20.514166666666668</v>
      </c>
      <c r="I36" s="40">
        <f t="shared" si="2"/>
        <v>8.0037500000000019</v>
      </c>
      <c r="J36" s="40">
        <f t="shared" si="2"/>
        <v>0.81458333333333333</v>
      </c>
      <c r="K36" s="40">
        <f t="shared" si="2"/>
        <v>261.04500000000002</v>
      </c>
      <c r="L36" s="40">
        <f t="shared" si="2"/>
        <v>33.864583333333336</v>
      </c>
      <c r="M36" s="40">
        <f t="shared" si="2"/>
        <v>41.639583333333341</v>
      </c>
      <c r="N36" s="40">
        <f t="shared" si="2"/>
        <v>238.7833333333333</v>
      </c>
      <c r="O36" s="40">
        <f t="shared" si="2"/>
        <v>0</v>
      </c>
      <c r="P36" s="40">
        <f t="shared" si="2"/>
        <v>0.65249999999999997</v>
      </c>
      <c r="Q36" s="27" t="s">
        <v>14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5.3755687262311815E-2</v>
      </c>
      <c r="C37" s="40">
        <f t="shared" ref="C37:Q37" si="3">STDEV(C9:C32)</f>
        <v>0.12775018080445275</v>
      </c>
      <c r="D37" s="40">
        <f t="shared" si="3"/>
        <v>9.9680649496569809E-2</v>
      </c>
      <c r="E37" s="40">
        <f t="shared" si="3"/>
        <v>11.728550696879617</v>
      </c>
      <c r="F37" s="40">
        <f t="shared" si="3"/>
        <v>16.060870534278038</v>
      </c>
      <c r="G37" s="40">
        <f t="shared" si="3"/>
        <v>7.2923181241074735</v>
      </c>
      <c r="H37" s="40">
        <f t="shared" si="3"/>
        <v>2.9726549642082225</v>
      </c>
      <c r="I37" s="40">
        <f t="shared" si="3"/>
        <v>1.1247678504435041</v>
      </c>
      <c r="J37" s="40">
        <f t="shared" si="3"/>
        <v>0.43605922181228585</v>
      </c>
      <c r="K37" s="40">
        <f t="shared" si="3"/>
        <v>58.772775122944232</v>
      </c>
      <c r="L37" s="40">
        <f t="shared" si="3"/>
        <v>5.4138300989761232</v>
      </c>
      <c r="M37" s="40">
        <f t="shared" si="3"/>
        <v>18.623030967797259</v>
      </c>
      <c r="N37" s="40">
        <f t="shared" si="3"/>
        <v>316.90742396213886</v>
      </c>
      <c r="O37" s="40">
        <f t="shared" si="3"/>
        <v>0</v>
      </c>
      <c r="P37" s="40">
        <f t="shared" si="3"/>
        <v>5.48713911361602E-2</v>
      </c>
      <c r="Q37" s="27" t="s">
        <v>14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0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Q36" sqref="Q36:Q37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45409.041666666664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45409.041666666664</v>
      </c>
      <c r="B9" s="54">
        <v>11.31</v>
      </c>
      <c r="C9" s="54">
        <v>13.27</v>
      </c>
      <c r="D9" s="54">
        <v>25.15</v>
      </c>
      <c r="E9" s="54">
        <v>19.399999999999999</v>
      </c>
      <c r="F9" s="54">
        <v>10.89</v>
      </c>
      <c r="G9" s="54">
        <v>66.72</v>
      </c>
      <c r="H9" s="54">
        <v>21.9</v>
      </c>
      <c r="I9" s="54">
        <v>5.41</v>
      </c>
      <c r="J9" s="54">
        <v>0.9</v>
      </c>
      <c r="K9" s="54">
        <v>306.39999999999998</v>
      </c>
      <c r="L9" s="54">
        <v>30.82</v>
      </c>
      <c r="M9" s="54">
        <v>40.799999999999997</v>
      </c>
      <c r="N9" s="54">
        <v>0</v>
      </c>
      <c r="O9" s="54">
        <v>0</v>
      </c>
      <c r="P9" s="54">
        <v>0.6</v>
      </c>
      <c r="Q9" s="27" t="s">
        <v>14</v>
      </c>
    </row>
    <row r="10" spans="1:21" customFormat="1">
      <c r="A10" s="53">
        <v>45409.083333333336</v>
      </c>
      <c r="B10" s="54">
        <v>11.22</v>
      </c>
      <c r="C10" s="54">
        <v>13.19</v>
      </c>
      <c r="D10" s="54">
        <v>25.02</v>
      </c>
      <c r="E10" s="54">
        <v>28.76</v>
      </c>
      <c r="F10" s="54">
        <v>5.07</v>
      </c>
      <c r="G10" s="54">
        <v>66.16</v>
      </c>
      <c r="H10" s="54">
        <v>21.71</v>
      </c>
      <c r="I10" s="54">
        <v>6.01</v>
      </c>
      <c r="J10" s="54">
        <v>0.9</v>
      </c>
      <c r="K10" s="54">
        <v>55.04</v>
      </c>
      <c r="L10" s="54">
        <v>30.24</v>
      </c>
      <c r="M10" s="54">
        <v>44.46</v>
      </c>
      <c r="N10" s="54">
        <v>0</v>
      </c>
      <c r="O10" s="54">
        <v>0</v>
      </c>
      <c r="P10" s="54">
        <v>0.6</v>
      </c>
      <c r="Q10" s="27" t="s">
        <v>14</v>
      </c>
    </row>
    <row r="11" spans="1:21" customFormat="1">
      <c r="A11" s="53">
        <v>45409.125</v>
      </c>
      <c r="B11" s="54">
        <v>11.31</v>
      </c>
      <c r="C11" s="54">
        <v>13.42</v>
      </c>
      <c r="D11" s="54">
        <v>25.22</v>
      </c>
      <c r="E11" s="54">
        <v>21.28</v>
      </c>
      <c r="F11" s="54">
        <v>3.93</v>
      </c>
      <c r="G11" s="54">
        <v>66.98</v>
      </c>
      <c r="H11" s="54">
        <v>21.71</v>
      </c>
      <c r="I11" s="54">
        <v>6.08</v>
      </c>
      <c r="J11" s="54">
        <v>0.88</v>
      </c>
      <c r="K11" s="54">
        <v>190.68</v>
      </c>
      <c r="L11" s="54">
        <v>29.43</v>
      </c>
      <c r="M11" s="54">
        <v>49.4</v>
      </c>
      <c r="N11" s="54">
        <v>0</v>
      </c>
      <c r="O11" s="54">
        <v>0</v>
      </c>
      <c r="P11" s="54">
        <v>0.6</v>
      </c>
      <c r="Q11" s="27" t="s">
        <v>14</v>
      </c>
    </row>
    <row r="12" spans="1:21" customFormat="1">
      <c r="A12" s="53">
        <v>45409.166666666664</v>
      </c>
      <c r="B12" s="54">
        <v>11.22</v>
      </c>
      <c r="C12" s="54">
        <v>13.22</v>
      </c>
      <c r="D12" s="54">
        <v>25.03</v>
      </c>
      <c r="E12" s="54">
        <v>12.77</v>
      </c>
      <c r="F12" s="54">
        <v>3.14</v>
      </c>
      <c r="G12" s="54">
        <v>66.98</v>
      </c>
      <c r="H12" s="54">
        <v>19.329999999999998</v>
      </c>
      <c r="I12" s="54">
        <v>6.68</v>
      </c>
      <c r="J12" s="54">
        <v>0.39</v>
      </c>
      <c r="K12" s="54">
        <v>225.48</v>
      </c>
      <c r="L12" s="54">
        <v>28.03</v>
      </c>
      <c r="M12" s="54">
        <v>58.06</v>
      </c>
      <c r="N12" s="54">
        <v>0</v>
      </c>
      <c r="O12" s="54">
        <v>0</v>
      </c>
      <c r="P12" s="54">
        <v>0.59</v>
      </c>
      <c r="Q12" s="27" t="s">
        <v>14</v>
      </c>
    </row>
    <row r="13" spans="1:21" customFormat="1">
      <c r="A13" s="53">
        <v>45409.208333333336</v>
      </c>
      <c r="B13" s="54">
        <v>11.21</v>
      </c>
      <c r="C13" s="54">
        <v>13.22</v>
      </c>
      <c r="D13" s="54">
        <v>25.04</v>
      </c>
      <c r="E13" s="54">
        <v>11.73</v>
      </c>
      <c r="F13" s="54">
        <v>1.01</v>
      </c>
      <c r="G13" s="54">
        <v>62.66</v>
      </c>
      <c r="H13" s="54">
        <v>19.329999999999998</v>
      </c>
      <c r="I13" s="54">
        <v>6.79</v>
      </c>
      <c r="J13" s="54">
        <v>0.89</v>
      </c>
      <c r="K13" s="54">
        <v>272.5</v>
      </c>
      <c r="L13" s="54">
        <v>28.38</v>
      </c>
      <c r="M13" s="54">
        <v>54.95</v>
      </c>
      <c r="N13" s="54">
        <v>0</v>
      </c>
      <c r="O13" s="54">
        <v>0</v>
      </c>
      <c r="P13" s="54">
        <v>0.59</v>
      </c>
      <c r="Q13" s="27" t="s">
        <v>14</v>
      </c>
    </row>
    <row r="14" spans="1:21" customFormat="1">
      <c r="A14" s="53">
        <v>45409.25</v>
      </c>
      <c r="B14" s="54">
        <v>11.27</v>
      </c>
      <c r="C14" s="54">
        <v>13.37</v>
      </c>
      <c r="D14" s="54">
        <v>25.17</v>
      </c>
      <c r="E14" s="54">
        <v>11.75</v>
      </c>
      <c r="F14" s="54">
        <v>3.11</v>
      </c>
      <c r="G14" s="54">
        <v>57.73</v>
      </c>
      <c r="H14" s="54">
        <v>18.899999999999999</v>
      </c>
      <c r="I14" s="54">
        <v>7.26</v>
      </c>
      <c r="J14" s="54">
        <v>0.48</v>
      </c>
      <c r="K14" s="54">
        <v>294.70999999999998</v>
      </c>
      <c r="L14" s="54">
        <v>28.4</v>
      </c>
      <c r="M14" s="54">
        <v>53.26</v>
      </c>
      <c r="N14" s="54">
        <v>19.2</v>
      </c>
      <c r="O14" s="54">
        <v>0</v>
      </c>
      <c r="P14" s="54">
        <v>0.56999999999999995</v>
      </c>
      <c r="Q14" s="27" t="s">
        <v>14</v>
      </c>
    </row>
    <row r="15" spans="1:21" customFormat="1">
      <c r="A15" s="53">
        <v>45409.291666666664</v>
      </c>
      <c r="B15" s="54">
        <v>11.3</v>
      </c>
      <c r="C15" s="54">
        <v>13.32</v>
      </c>
      <c r="D15" s="54">
        <v>25.16</v>
      </c>
      <c r="E15" s="54">
        <v>11.58</v>
      </c>
      <c r="F15" s="54">
        <v>2.82</v>
      </c>
      <c r="G15" s="54">
        <v>49.6</v>
      </c>
      <c r="H15" s="54">
        <v>15.94</v>
      </c>
      <c r="I15" s="54">
        <v>7.15</v>
      </c>
      <c r="J15" s="54">
        <v>0.35</v>
      </c>
      <c r="K15" s="54">
        <v>288.23</v>
      </c>
      <c r="L15" s="54">
        <v>27.87</v>
      </c>
      <c r="M15" s="54">
        <v>56.51</v>
      </c>
      <c r="N15" s="54">
        <v>73.7</v>
      </c>
      <c r="O15" s="54">
        <v>0</v>
      </c>
      <c r="P15" s="54">
        <v>0.55000000000000004</v>
      </c>
      <c r="Q15" s="27" t="s">
        <v>14</v>
      </c>
    </row>
    <row r="16" spans="1:21" customFormat="1">
      <c r="A16" s="53">
        <v>45409.333333333336</v>
      </c>
      <c r="B16" s="54">
        <v>11.34</v>
      </c>
      <c r="C16" s="54">
        <v>13.33</v>
      </c>
      <c r="D16" s="54">
        <v>25.2</v>
      </c>
      <c r="E16" s="54">
        <v>19.149999999999999</v>
      </c>
      <c r="F16" s="54">
        <v>7.14</v>
      </c>
      <c r="G16" s="54">
        <v>47.19</v>
      </c>
      <c r="H16" s="54">
        <v>15.94</v>
      </c>
      <c r="I16" s="54">
        <v>7.24</v>
      </c>
      <c r="J16" s="54">
        <v>0.16</v>
      </c>
      <c r="K16" s="54">
        <v>183.98</v>
      </c>
      <c r="L16" s="54">
        <v>30.1</v>
      </c>
      <c r="M16" s="54">
        <v>52.58</v>
      </c>
      <c r="N16" s="54">
        <v>158</v>
      </c>
      <c r="O16" s="54">
        <v>0</v>
      </c>
      <c r="P16" s="54">
        <v>0.59</v>
      </c>
      <c r="Q16" s="27" t="s">
        <v>14</v>
      </c>
    </row>
    <row r="17" spans="1:17" customFormat="1">
      <c r="A17" s="53">
        <v>45409.375</v>
      </c>
      <c r="B17" s="54">
        <v>11.23</v>
      </c>
      <c r="C17" s="54">
        <v>13.16</v>
      </c>
      <c r="D17" s="54">
        <v>25.02</v>
      </c>
      <c r="E17" s="54">
        <v>26.93</v>
      </c>
      <c r="F17" s="54">
        <v>14.36</v>
      </c>
      <c r="G17" s="54">
        <v>47.19</v>
      </c>
      <c r="H17" s="54">
        <v>18.28</v>
      </c>
      <c r="I17" s="54">
        <v>7.04</v>
      </c>
      <c r="J17" s="54">
        <v>0.25</v>
      </c>
      <c r="K17" s="54">
        <v>332.97</v>
      </c>
      <c r="L17" s="54">
        <v>30.44</v>
      </c>
      <c r="M17" s="54">
        <v>49.63</v>
      </c>
      <c r="N17" s="54">
        <v>124.9</v>
      </c>
      <c r="O17" s="54">
        <v>0</v>
      </c>
      <c r="P17" s="54">
        <v>0.63</v>
      </c>
      <c r="Q17" s="27" t="s">
        <v>14</v>
      </c>
    </row>
    <row r="18" spans="1:17" customFormat="1">
      <c r="A18" s="53">
        <v>45409.416666666664</v>
      </c>
      <c r="B18" s="54">
        <v>11.23</v>
      </c>
      <c r="C18" s="54">
        <v>13.19</v>
      </c>
      <c r="D18" s="54">
        <v>25.04</v>
      </c>
      <c r="E18" s="54">
        <v>25.22</v>
      </c>
      <c r="F18" s="54">
        <v>12.69</v>
      </c>
      <c r="G18" s="54">
        <v>54.16</v>
      </c>
      <c r="H18" s="54">
        <v>21.14</v>
      </c>
      <c r="I18" s="54">
        <v>7.33</v>
      </c>
      <c r="J18" s="54">
        <v>0.26</v>
      </c>
      <c r="K18" s="54">
        <v>229.05</v>
      </c>
      <c r="L18" s="54">
        <v>30.6</v>
      </c>
      <c r="M18" s="54">
        <v>52.92</v>
      </c>
      <c r="N18" s="54">
        <v>200.3</v>
      </c>
      <c r="O18" s="54">
        <v>0</v>
      </c>
      <c r="P18" s="54">
        <v>0.62</v>
      </c>
      <c r="Q18" s="27" t="s">
        <v>14</v>
      </c>
    </row>
    <row r="19" spans="1:17" customFormat="1">
      <c r="A19" s="53">
        <v>45409.458333333336</v>
      </c>
      <c r="B19" s="54">
        <v>11.24</v>
      </c>
      <c r="C19" s="54">
        <v>13.43</v>
      </c>
      <c r="D19" s="54">
        <v>25.17</v>
      </c>
      <c r="E19" s="54">
        <v>27.64</v>
      </c>
      <c r="F19" s="54">
        <v>9.5399999999999991</v>
      </c>
      <c r="G19" s="54">
        <v>56.61</v>
      </c>
      <c r="H19" s="54">
        <v>22.58</v>
      </c>
      <c r="I19" s="54">
        <v>7.29</v>
      </c>
      <c r="J19" s="54">
        <v>0.36</v>
      </c>
      <c r="K19" s="54">
        <v>270.81</v>
      </c>
      <c r="L19" s="54">
        <v>35.409999999999997</v>
      </c>
      <c r="M19" s="54">
        <v>46.38</v>
      </c>
      <c r="N19" s="54">
        <v>800</v>
      </c>
      <c r="O19" s="54">
        <v>0</v>
      </c>
      <c r="P19" s="54">
        <v>0.6</v>
      </c>
      <c r="Q19" s="27" t="s">
        <v>14</v>
      </c>
    </row>
    <row r="20" spans="1:17" customFormat="1">
      <c r="A20" s="53">
        <v>45409.5</v>
      </c>
      <c r="B20" s="54">
        <v>11.29</v>
      </c>
      <c r="C20" s="54">
        <v>13.18</v>
      </c>
      <c r="D20" s="54">
        <v>25.08</v>
      </c>
      <c r="E20" s="54">
        <v>32.72</v>
      </c>
      <c r="F20" s="54">
        <v>12.17</v>
      </c>
      <c r="G20" s="54">
        <v>56.61</v>
      </c>
      <c r="H20" s="54">
        <v>22.58</v>
      </c>
      <c r="I20" s="54">
        <v>7.08</v>
      </c>
      <c r="J20" s="54">
        <v>0.57999999999999996</v>
      </c>
      <c r="K20" s="54">
        <v>282.97000000000003</v>
      </c>
      <c r="L20" s="54">
        <v>37.11</v>
      </c>
      <c r="M20" s="54">
        <v>29.92</v>
      </c>
      <c r="N20" s="54">
        <v>908.9</v>
      </c>
      <c r="O20" s="54">
        <v>0</v>
      </c>
      <c r="P20" s="54">
        <v>0.57999999999999996</v>
      </c>
      <c r="Q20" s="27" t="s">
        <v>14</v>
      </c>
    </row>
    <row r="21" spans="1:17" customFormat="1">
      <c r="A21" s="53">
        <v>45409.541666666664</v>
      </c>
      <c r="B21" s="54">
        <v>11.25</v>
      </c>
      <c r="C21" s="54">
        <v>13.24</v>
      </c>
      <c r="D21" s="54">
        <v>25.08</v>
      </c>
      <c r="E21" s="54">
        <v>27.98</v>
      </c>
      <c r="F21" s="54">
        <v>17.54</v>
      </c>
      <c r="G21" s="54">
        <v>49.65</v>
      </c>
      <c r="H21" s="54">
        <v>19.95</v>
      </c>
      <c r="I21" s="54">
        <v>6.53</v>
      </c>
      <c r="J21" s="54">
        <v>1.02</v>
      </c>
      <c r="K21" s="54">
        <v>304.66000000000003</v>
      </c>
      <c r="L21" s="54">
        <v>38.92</v>
      </c>
      <c r="M21" s="54">
        <v>25.81</v>
      </c>
      <c r="N21" s="54">
        <v>904.7</v>
      </c>
      <c r="O21" s="54">
        <v>0</v>
      </c>
      <c r="P21" s="54">
        <v>0.52</v>
      </c>
      <c r="Q21" s="27" t="s">
        <v>14</v>
      </c>
    </row>
    <row r="22" spans="1:17" customFormat="1">
      <c r="A22" s="53">
        <v>45409.583333333336</v>
      </c>
      <c r="B22" s="54">
        <v>11.24</v>
      </c>
      <c r="C22" s="54">
        <v>13.17</v>
      </c>
      <c r="D22" s="54">
        <v>25.01</v>
      </c>
      <c r="E22" s="54">
        <v>15.3</v>
      </c>
      <c r="F22" s="54">
        <v>19.64</v>
      </c>
      <c r="G22" s="54">
        <v>47.88</v>
      </c>
      <c r="H22" s="54">
        <v>17.940000000000001</v>
      </c>
      <c r="I22" s="54">
        <v>5.78</v>
      </c>
      <c r="J22" s="54">
        <v>0.84</v>
      </c>
      <c r="K22" s="54">
        <v>312.26</v>
      </c>
      <c r="L22" s="54">
        <v>38.72</v>
      </c>
      <c r="M22" s="54">
        <v>22.33</v>
      </c>
      <c r="N22" s="54">
        <v>704</v>
      </c>
      <c r="O22" s="54">
        <v>0</v>
      </c>
      <c r="P22" s="54">
        <v>0.47</v>
      </c>
      <c r="Q22" s="27" t="s">
        <v>14</v>
      </c>
    </row>
    <row r="23" spans="1:17" customFormat="1">
      <c r="A23" s="53">
        <v>45409.625</v>
      </c>
      <c r="B23" s="54">
        <v>11.19</v>
      </c>
      <c r="C23" s="54">
        <v>13.3</v>
      </c>
      <c r="D23" s="54">
        <v>25.07</v>
      </c>
      <c r="E23" s="54">
        <v>21.18</v>
      </c>
      <c r="F23" s="54">
        <v>36.56</v>
      </c>
      <c r="G23" s="54">
        <v>36.340000000000003</v>
      </c>
      <c r="H23" s="54">
        <v>15.83</v>
      </c>
      <c r="I23" s="54">
        <v>5.4</v>
      </c>
      <c r="J23" s="54">
        <v>0.48</v>
      </c>
      <c r="K23" s="54">
        <v>334.57</v>
      </c>
      <c r="L23" s="54">
        <v>39.15</v>
      </c>
      <c r="M23" s="54">
        <v>23.48</v>
      </c>
      <c r="N23" s="54">
        <v>539.29999999999995</v>
      </c>
      <c r="O23" s="54">
        <v>0</v>
      </c>
      <c r="P23" s="54">
        <v>0.5</v>
      </c>
      <c r="Q23" s="27" t="s">
        <v>14</v>
      </c>
    </row>
    <row r="24" spans="1:17" customFormat="1">
      <c r="A24" s="53">
        <v>45409.666666666664</v>
      </c>
      <c r="B24" s="54">
        <v>11.29</v>
      </c>
      <c r="C24" s="54">
        <v>13.21</v>
      </c>
      <c r="D24" s="54">
        <v>25.05</v>
      </c>
      <c r="E24" s="54">
        <v>40.659999999999997</v>
      </c>
      <c r="F24" s="54">
        <v>78.19</v>
      </c>
      <c r="G24" s="54">
        <v>34.479999999999997</v>
      </c>
      <c r="H24" s="54">
        <v>15.22</v>
      </c>
      <c r="I24" s="54">
        <v>5.76</v>
      </c>
      <c r="J24" s="54">
        <v>0.54</v>
      </c>
      <c r="K24" s="54">
        <v>264.17</v>
      </c>
      <c r="L24" s="54">
        <v>38.85</v>
      </c>
      <c r="M24" s="54">
        <v>25.49</v>
      </c>
      <c r="N24" s="54">
        <v>498.6</v>
      </c>
      <c r="O24" s="54">
        <v>0</v>
      </c>
      <c r="P24" s="54">
        <v>0.59</v>
      </c>
      <c r="Q24" s="27" t="s">
        <v>14</v>
      </c>
    </row>
    <row r="25" spans="1:17" customFormat="1">
      <c r="A25" s="53">
        <v>45409.708333333336</v>
      </c>
      <c r="B25" s="54">
        <v>11.25</v>
      </c>
      <c r="C25" s="54">
        <v>13.16</v>
      </c>
      <c r="D25" s="54">
        <v>25.04</v>
      </c>
      <c r="E25" s="54">
        <v>38.26</v>
      </c>
      <c r="F25" s="54">
        <v>89.83</v>
      </c>
      <c r="G25" s="54">
        <v>36.32</v>
      </c>
      <c r="H25" s="54">
        <v>16.440000000000001</v>
      </c>
      <c r="I25" s="54">
        <v>6.03</v>
      </c>
      <c r="J25" s="54">
        <v>0.34</v>
      </c>
      <c r="K25" s="54">
        <v>256.22000000000003</v>
      </c>
      <c r="L25" s="54">
        <v>38.020000000000003</v>
      </c>
      <c r="M25" s="54">
        <v>28.24</v>
      </c>
      <c r="N25" s="54">
        <v>231.8</v>
      </c>
      <c r="O25" s="54">
        <v>0</v>
      </c>
      <c r="P25" s="54">
        <v>0.56999999999999995</v>
      </c>
      <c r="Q25" s="27" t="s">
        <v>14</v>
      </c>
    </row>
    <row r="26" spans="1:17" customFormat="1">
      <c r="A26" s="53">
        <v>45409.75</v>
      </c>
      <c r="B26" s="54">
        <v>11.22</v>
      </c>
      <c r="C26" s="54">
        <v>13.21</v>
      </c>
      <c r="D26" s="54">
        <v>25.04</v>
      </c>
      <c r="E26" s="54">
        <v>32.32</v>
      </c>
      <c r="F26" s="54">
        <v>78.94</v>
      </c>
      <c r="G26" s="54">
        <v>40.21</v>
      </c>
      <c r="H26" s="54">
        <v>16.440000000000001</v>
      </c>
      <c r="I26" s="54">
        <v>5.99</v>
      </c>
      <c r="J26" s="54">
        <v>0.46</v>
      </c>
      <c r="K26" s="54">
        <v>169.85</v>
      </c>
      <c r="L26" s="54">
        <v>37.26</v>
      </c>
      <c r="M26" s="54">
        <v>34.33</v>
      </c>
      <c r="N26" s="54">
        <v>93.5</v>
      </c>
      <c r="O26" s="54">
        <v>0</v>
      </c>
      <c r="P26" s="54">
        <v>0.65</v>
      </c>
      <c r="Q26" s="27" t="s">
        <v>14</v>
      </c>
    </row>
    <row r="27" spans="1:17" customFormat="1">
      <c r="A27" s="53">
        <v>45409.791666666664</v>
      </c>
      <c r="B27" s="54">
        <v>11.2</v>
      </c>
      <c r="C27" s="54">
        <v>13.19</v>
      </c>
      <c r="D27" s="54">
        <v>25</v>
      </c>
      <c r="E27" s="54">
        <v>31.75</v>
      </c>
      <c r="F27" s="54">
        <v>82.82</v>
      </c>
      <c r="G27" s="54">
        <v>43.63</v>
      </c>
      <c r="H27" s="54">
        <v>17.18</v>
      </c>
      <c r="I27" s="54">
        <v>6.51</v>
      </c>
      <c r="J27" s="54">
        <v>0.27</v>
      </c>
      <c r="K27" s="54">
        <v>169.33</v>
      </c>
      <c r="L27" s="54">
        <v>34.229999999999997</v>
      </c>
      <c r="M27" s="54">
        <v>40.07</v>
      </c>
      <c r="N27" s="54">
        <v>0.6</v>
      </c>
      <c r="O27" s="54">
        <v>0</v>
      </c>
      <c r="P27" s="54">
        <v>0.67</v>
      </c>
      <c r="Q27" s="27" t="s">
        <v>14</v>
      </c>
    </row>
    <row r="28" spans="1:17" customFormat="1">
      <c r="A28" s="53">
        <v>45409.833333333336</v>
      </c>
      <c r="B28" s="54">
        <v>11.25</v>
      </c>
      <c r="C28" s="54">
        <v>13.19</v>
      </c>
      <c r="D28" s="54">
        <v>25.03</v>
      </c>
      <c r="E28" s="54">
        <v>27.57</v>
      </c>
      <c r="F28" s="54">
        <v>56.47</v>
      </c>
      <c r="G28" s="54">
        <v>44.83</v>
      </c>
      <c r="H28" s="54">
        <v>19.7</v>
      </c>
      <c r="I28" s="54">
        <v>7.37</v>
      </c>
      <c r="J28" s="54">
        <v>0.26</v>
      </c>
      <c r="K28" s="54">
        <v>190.39</v>
      </c>
      <c r="L28" s="54">
        <v>32.89</v>
      </c>
      <c r="M28" s="54">
        <v>48.93</v>
      </c>
      <c r="N28" s="54">
        <v>0</v>
      </c>
      <c r="O28" s="54">
        <v>0</v>
      </c>
      <c r="P28" s="54">
        <v>0.73</v>
      </c>
      <c r="Q28" s="27" t="s">
        <v>14</v>
      </c>
    </row>
    <row r="29" spans="1:17" customFormat="1">
      <c r="A29" s="53">
        <v>45409.875</v>
      </c>
      <c r="B29" s="54">
        <v>11.22</v>
      </c>
      <c r="C29" s="54">
        <v>13.17</v>
      </c>
      <c r="D29" s="54">
        <v>25.02</v>
      </c>
      <c r="E29" s="54">
        <v>16.47</v>
      </c>
      <c r="F29" s="54">
        <v>13.77</v>
      </c>
      <c r="G29" s="54">
        <v>49.65</v>
      </c>
      <c r="H29" s="54">
        <v>19.7</v>
      </c>
      <c r="I29" s="54">
        <v>8.1300000000000008</v>
      </c>
      <c r="J29" s="54">
        <v>0.32</v>
      </c>
      <c r="K29" s="54">
        <v>206.61</v>
      </c>
      <c r="L29" s="54">
        <v>31.81</v>
      </c>
      <c r="M29" s="54">
        <v>54.17</v>
      </c>
      <c r="N29" s="54">
        <v>0</v>
      </c>
      <c r="O29" s="54">
        <v>0</v>
      </c>
      <c r="P29" s="54">
        <v>0.89</v>
      </c>
      <c r="Q29" s="27" t="s">
        <v>14</v>
      </c>
    </row>
    <row r="30" spans="1:17" customFormat="1">
      <c r="A30" s="53">
        <v>45409.916666666664</v>
      </c>
      <c r="B30" s="54">
        <v>11.22</v>
      </c>
      <c r="C30" s="54">
        <v>13.29</v>
      </c>
      <c r="D30" s="54">
        <v>25.08</v>
      </c>
      <c r="E30" s="54">
        <v>16.920000000000002</v>
      </c>
      <c r="F30" s="54">
        <v>12.75</v>
      </c>
      <c r="G30" s="54">
        <v>65.7</v>
      </c>
      <c r="H30" s="54">
        <v>22.83</v>
      </c>
      <c r="I30" s="54">
        <v>9.52</v>
      </c>
      <c r="J30" s="54">
        <v>0.24</v>
      </c>
      <c r="K30" s="54">
        <v>208.28</v>
      </c>
      <c r="L30" s="54">
        <v>31.38</v>
      </c>
      <c r="M30" s="54">
        <v>57.9</v>
      </c>
      <c r="N30" s="54">
        <v>0</v>
      </c>
      <c r="O30" s="54">
        <v>0</v>
      </c>
      <c r="P30" s="54">
        <v>0.95</v>
      </c>
      <c r="Q30" s="27" t="s">
        <v>14</v>
      </c>
    </row>
    <row r="31" spans="1:17" customFormat="1">
      <c r="A31" s="53">
        <v>45409.958333333336</v>
      </c>
      <c r="B31" s="54">
        <v>11.22</v>
      </c>
      <c r="C31" s="54">
        <v>13.32</v>
      </c>
      <c r="D31" s="54">
        <v>25.1</v>
      </c>
      <c r="E31" s="54">
        <v>14.24</v>
      </c>
      <c r="F31" s="54">
        <v>3.93</v>
      </c>
      <c r="G31" s="54">
        <v>71.52</v>
      </c>
      <c r="H31" s="54">
        <v>27.72</v>
      </c>
      <c r="I31" s="54">
        <v>10.039999999999999</v>
      </c>
      <c r="J31" s="54">
        <v>0.23</v>
      </c>
      <c r="K31" s="54">
        <v>192.68</v>
      </c>
      <c r="L31" s="54">
        <v>29.83</v>
      </c>
      <c r="M31" s="54">
        <v>58.78</v>
      </c>
      <c r="N31" s="54">
        <v>0</v>
      </c>
      <c r="O31" s="54">
        <v>0</v>
      </c>
      <c r="P31" s="54">
        <v>1.06</v>
      </c>
      <c r="Q31" s="27" t="s">
        <v>14</v>
      </c>
    </row>
    <row r="32" spans="1:17" customFormat="1">
      <c r="A32" s="53">
        <v>45410</v>
      </c>
      <c r="B32" s="54">
        <v>11.23</v>
      </c>
      <c r="C32" s="54">
        <v>13.39</v>
      </c>
      <c r="D32" s="54">
        <v>25.15</v>
      </c>
      <c r="E32" s="54">
        <v>13.52</v>
      </c>
      <c r="F32" s="54">
        <v>2.85</v>
      </c>
      <c r="G32" s="54">
        <v>72.849999999999994</v>
      </c>
      <c r="H32" s="54">
        <v>27.72</v>
      </c>
      <c r="I32" s="54">
        <v>10.58</v>
      </c>
      <c r="J32" s="54">
        <v>0.26</v>
      </c>
      <c r="K32" s="54">
        <v>169.22</v>
      </c>
      <c r="L32" s="54">
        <v>29.57</v>
      </c>
      <c r="M32" s="54">
        <v>60.21</v>
      </c>
      <c r="N32" s="54">
        <v>0</v>
      </c>
      <c r="O32" s="54">
        <v>0</v>
      </c>
      <c r="P32" s="54">
        <v>1.08</v>
      </c>
      <c r="Q32" s="27" t="s">
        <v>14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11.19</v>
      </c>
      <c r="C34" s="40">
        <f t="shared" si="0"/>
        <v>13.16</v>
      </c>
      <c r="D34" s="40">
        <f t="shared" si="0"/>
        <v>25</v>
      </c>
      <c r="E34" s="40">
        <f t="shared" si="0"/>
        <v>11.58</v>
      </c>
      <c r="F34" s="40">
        <f t="shared" si="0"/>
        <v>1.01</v>
      </c>
      <c r="G34" s="40">
        <f t="shared" si="0"/>
        <v>34.479999999999997</v>
      </c>
      <c r="H34" s="40">
        <f t="shared" si="0"/>
        <v>15.22</v>
      </c>
      <c r="I34" s="40">
        <f t="shared" si="0"/>
        <v>5.4</v>
      </c>
      <c r="J34" s="40">
        <f t="shared" si="0"/>
        <v>0.16</v>
      </c>
      <c r="K34" s="40">
        <f t="shared" si="0"/>
        <v>55.04</v>
      </c>
      <c r="L34" s="40">
        <f t="shared" si="0"/>
        <v>27.87</v>
      </c>
      <c r="M34" s="40">
        <f t="shared" si="0"/>
        <v>22.33</v>
      </c>
      <c r="N34" s="40">
        <f t="shared" si="0"/>
        <v>0</v>
      </c>
      <c r="O34" s="40">
        <f t="shared" si="0"/>
        <v>0</v>
      </c>
      <c r="P34" s="40">
        <f t="shared" si="0"/>
        <v>0.47</v>
      </c>
      <c r="Q34" s="40">
        <f t="shared" si="0"/>
        <v>0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11.34</v>
      </c>
      <c r="C35" s="33">
        <f t="shared" si="1"/>
        <v>13.43</v>
      </c>
      <c r="D35" s="33">
        <f t="shared" si="1"/>
        <v>25.22</v>
      </c>
      <c r="E35" s="33">
        <f t="shared" si="1"/>
        <v>40.659999999999997</v>
      </c>
      <c r="F35" s="33">
        <f t="shared" si="1"/>
        <v>89.83</v>
      </c>
      <c r="G35" s="33">
        <f t="shared" si="1"/>
        <v>72.849999999999994</v>
      </c>
      <c r="H35" s="33">
        <f t="shared" si="1"/>
        <v>27.72</v>
      </c>
      <c r="I35" s="33">
        <f t="shared" si="1"/>
        <v>10.58</v>
      </c>
      <c r="J35" s="33">
        <f t="shared" si="1"/>
        <v>1.02</v>
      </c>
      <c r="K35" s="33">
        <f t="shared" si="1"/>
        <v>334.57</v>
      </c>
      <c r="L35" s="33">
        <f t="shared" si="1"/>
        <v>39.15</v>
      </c>
      <c r="M35" s="33">
        <f t="shared" si="1"/>
        <v>60.21</v>
      </c>
      <c r="N35" s="33">
        <f t="shared" si="1"/>
        <v>908.9</v>
      </c>
      <c r="O35" s="33">
        <f t="shared" si="1"/>
        <v>0</v>
      </c>
      <c r="P35" s="33">
        <f t="shared" si="1"/>
        <v>1.08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11.247916666666669</v>
      </c>
      <c r="C36" s="40">
        <f t="shared" si="2"/>
        <v>13.255833333333337</v>
      </c>
      <c r="D36" s="40">
        <f t="shared" si="2"/>
        <v>25.082083333333333</v>
      </c>
      <c r="E36" s="40">
        <f t="shared" si="2"/>
        <v>22.712499999999995</v>
      </c>
      <c r="F36" s="40">
        <f t="shared" si="2"/>
        <v>24.131666666666664</v>
      </c>
      <c r="G36" s="40">
        <f t="shared" si="2"/>
        <v>53.818750000000001</v>
      </c>
      <c r="H36" s="40">
        <f t="shared" si="2"/>
        <v>19.833749999999998</v>
      </c>
      <c r="I36" s="40">
        <f t="shared" si="2"/>
        <v>7.0416666666666679</v>
      </c>
      <c r="J36" s="40">
        <f t="shared" si="2"/>
        <v>0.48583333333333339</v>
      </c>
      <c r="K36" s="40">
        <f t="shared" si="2"/>
        <v>237.96083333333334</v>
      </c>
      <c r="L36" s="40">
        <f t="shared" si="2"/>
        <v>32.810833333333335</v>
      </c>
      <c r="M36" s="40">
        <f t="shared" si="2"/>
        <v>44.525416666666665</v>
      </c>
      <c r="N36" s="40">
        <f t="shared" si="2"/>
        <v>219.06250000000003</v>
      </c>
      <c r="O36" s="40">
        <f t="shared" si="2"/>
        <v>0</v>
      </c>
      <c r="P36" s="40">
        <f t="shared" si="2"/>
        <v>0.65833333333333333</v>
      </c>
      <c r="Q36" s="27" t="s">
        <v>14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3.945048262962237E-2</v>
      </c>
      <c r="C37" s="40">
        <f t="shared" ref="C37:Q37" si="3">STDEV(C9:C32)</f>
        <v>8.5613726381506911E-2</v>
      </c>
      <c r="D37" s="40">
        <f t="shared" si="3"/>
        <v>6.6331130252542045E-2</v>
      </c>
      <c r="E37" s="40">
        <f t="shared" si="3"/>
        <v>8.7218661993864686</v>
      </c>
      <c r="F37" s="40">
        <f t="shared" si="3"/>
        <v>29.294527856219847</v>
      </c>
      <c r="G37" s="40">
        <f t="shared" si="3"/>
        <v>11.651175463184501</v>
      </c>
      <c r="H37" s="40">
        <f t="shared" si="3"/>
        <v>3.4046602492823643</v>
      </c>
      <c r="I37" s="40">
        <f t="shared" si="3"/>
        <v>1.361558144079835</v>
      </c>
      <c r="J37" s="40">
        <f t="shared" si="3"/>
        <v>0.26902265407544584</v>
      </c>
      <c r="K37" s="40">
        <f t="shared" si="3"/>
        <v>66.976671987936996</v>
      </c>
      <c r="L37" s="40">
        <f t="shared" si="3"/>
        <v>4.0202702879788701</v>
      </c>
      <c r="M37" s="40">
        <f t="shared" si="3"/>
        <v>12.692438001721202</v>
      </c>
      <c r="N37" s="40">
        <f t="shared" si="3"/>
        <v>317.38612721730607</v>
      </c>
      <c r="O37" s="40">
        <f t="shared" si="3"/>
        <v>0</v>
      </c>
      <c r="P37" s="40">
        <f t="shared" si="3"/>
        <v>0.16562573489035756</v>
      </c>
      <c r="Q37" s="27" t="s">
        <v>14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0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Q37" sqref="Q37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45410.041666666664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45410.041666666664</v>
      </c>
      <c r="B9" s="54">
        <v>11.24</v>
      </c>
      <c r="C9" s="54">
        <v>13.19</v>
      </c>
      <c r="D9" s="54">
        <v>25.05</v>
      </c>
      <c r="E9" s="54">
        <v>13.51</v>
      </c>
      <c r="F9" s="54">
        <v>3.66</v>
      </c>
      <c r="G9" s="54">
        <v>72.849999999999994</v>
      </c>
      <c r="H9" s="54">
        <v>27.07</v>
      </c>
      <c r="I9" s="54">
        <v>11.03</v>
      </c>
      <c r="J9" s="54">
        <v>0.27</v>
      </c>
      <c r="K9" s="54">
        <v>178.78</v>
      </c>
      <c r="L9" s="54">
        <v>28.64</v>
      </c>
      <c r="M9" s="54">
        <v>63.56</v>
      </c>
      <c r="N9" s="54">
        <v>0</v>
      </c>
      <c r="O9" s="54">
        <v>0</v>
      </c>
      <c r="P9" s="54">
        <v>1.1100000000000001</v>
      </c>
      <c r="Q9" s="27" t="s">
        <v>14</v>
      </c>
    </row>
    <row r="10" spans="1:21" customFormat="1">
      <c r="A10" s="53">
        <v>45410.083333333336</v>
      </c>
      <c r="B10" s="54">
        <v>11.37</v>
      </c>
      <c r="C10" s="54">
        <v>13.49</v>
      </c>
      <c r="D10" s="54">
        <v>25.31</v>
      </c>
      <c r="E10" s="54">
        <v>12.18</v>
      </c>
      <c r="F10" s="54">
        <v>5.8</v>
      </c>
      <c r="G10" s="54">
        <v>71.95</v>
      </c>
      <c r="H10" s="54">
        <v>27.07</v>
      </c>
      <c r="I10" s="54">
        <v>11.13</v>
      </c>
      <c r="J10" s="54">
        <v>0.33</v>
      </c>
      <c r="K10" s="54">
        <v>212.2</v>
      </c>
      <c r="L10" s="54">
        <v>27.77</v>
      </c>
      <c r="M10" s="54">
        <v>67.14</v>
      </c>
      <c r="N10" s="54">
        <v>0</v>
      </c>
      <c r="O10" s="54">
        <v>0</v>
      </c>
      <c r="P10" s="54">
        <v>1.08</v>
      </c>
      <c r="Q10" s="27" t="s">
        <v>14</v>
      </c>
    </row>
    <row r="11" spans="1:21" customFormat="1">
      <c r="A11" s="53">
        <v>45410.125</v>
      </c>
      <c r="B11" s="54">
        <v>11.25</v>
      </c>
      <c r="C11" s="54">
        <v>13.2</v>
      </c>
      <c r="D11" s="54">
        <v>25.06</v>
      </c>
      <c r="E11" s="54">
        <v>15.12</v>
      </c>
      <c r="F11" s="54">
        <v>7.97</v>
      </c>
      <c r="G11" s="54">
        <v>68.400000000000006</v>
      </c>
      <c r="H11" s="54">
        <v>26.03</v>
      </c>
      <c r="I11" s="54">
        <v>10.62</v>
      </c>
      <c r="J11" s="54">
        <v>0.17</v>
      </c>
      <c r="K11" s="54">
        <v>178.06</v>
      </c>
      <c r="L11" s="54">
        <v>27.39</v>
      </c>
      <c r="M11" s="54">
        <v>69.069999999999993</v>
      </c>
      <c r="N11" s="54">
        <v>0</v>
      </c>
      <c r="O11" s="54">
        <v>0</v>
      </c>
      <c r="P11" s="54">
        <v>1.04</v>
      </c>
      <c r="Q11" s="27" t="s">
        <v>14</v>
      </c>
    </row>
    <row r="12" spans="1:21" customFormat="1">
      <c r="A12" s="53">
        <v>45410.166666666664</v>
      </c>
      <c r="B12" s="54">
        <v>11.27</v>
      </c>
      <c r="C12" s="54">
        <v>13.19</v>
      </c>
      <c r="D12" s="54">
        <v>25.07</v>
      </c>
      <c r="E12" s="54">
        <v>14.85</v>
      </c>
      <c r="F12" s="54">
        <v>7.43</v>
      </c>
      <c r="G12" s="54">
        <v>62.42</v>
      </c>
      <c r="H12" s="54">
        <v>22.44</v>
      </c>
      <c r="I12" s="54">
        <v>9.9499999999999993</v>
      </c>
      <c r="J12" s="54">
        <v>0.22</v>
      </c>
      <c r="K12" s="54">
        <v>155.87</v>
      </c>
      <c r="L12" s="54">
        <v>27.24</v>
      </c>
      <c r="M12" s="54">
        <v>66.22</v>
      </c>
      <c r="N12" s="54">
        <v>0</v>
      </c>
      <c r="O12" s="54">
        <v>0</v>
      </c>
      <c r="P12" s="54">
        <v>0.96</v>
      </c>
      <c r="Q12" s="27" t="s">
        <v>14</v>
      </c>
    </row>
    <row r="13" spans="1:21" customFormat="1">
      <c r="A13" s="53">
        <v>45410.208333333336</v>
      </c>
      <c r="B13" s="54">
        <v>11.35</v>
      </c>
      <c r="C13" s="54">
        <v>13.34</v>
      </c>
      <c r="D13" s="54">
        <v>25.2</v>
      </c>
      <c r="E13" s="54">
        <v>14.49</v>
      </c>
      <c r="F13" s="54">
        <v>3.51</v>
      </c>
      <c r="G13" s="54">
        <v>58.53</v>
      </c>
      <c r="H13" s="54">
        <v>23.14</v>
      </c>
      <c r="I13" s="54">
        <v>9.93</v>
      </c>
      <c r="J13" s="54">
        <v>0.27</v>
      </c>
      <c r="K13" s="54">
        <v>192.97</v>
      </c>
      <c r="L13" s="54">
        <v>26.67</v>
      </c>
      <c r="M13" s="54">
        <v>71.23</v>
      </c>
      <c r="N13" s="54">
        <v>0</v>
      </c>
      <c r="O13" s="54">
        <v>0</v>
      </c>
      <c r="P13" s="54">
        <v>0.96</v>
      </c>
      <c r="Q13" s="27" t="s">
        <v>14</v>
      </c>
    </row>
    <row r="14" spans="1:21" customFormat="1">
      <c r="A14" s="53">
        <v>45410.25</v>
      </c>
      <c r="B14" s="54">
        <v>11.33</v>
      </c>
      <c r="C14" s="54">
        <v>13.24</v>
      </c>
      <c r="D14" s="54">
        <v>25.15</v>
      </c>
      <c r="E14" s="54">
        <v>14.67</v>
      </c>
      <c r="F14" s="54">
        <v>2.0499999999999998</v>
      </c>
      <c r="G14" s="54">
        <v>56.41</v>
      </c>
      <c r="H14" s="54">
        <v>23.14</v>
      </c>
      <c r="I14" s="54">
        <v>10</v>
      </c>
      <c r="J14" s="54">
        <v>0.34</v>
      </c>
      <c r="K14" s="54">
        <v>198.49</v>
      </c>
      <c r="L14" s="54">
        <v>26.29</v>
      </c>
      <c r="M14" s="54">
        <v>70.290000000000006</v>
      </c>
      <c r="N14" s="54">
        <v>17</v>
      </c>
      <c r="O14" s="54">
        <v>0</v>
      </c>
      <c r="P14" s="54">
        <v>0.93</v>
      </c>
      <c r="Q14" s="27" t="s">
        <v>14</v>
      </c>
    </row>
    <row r="15" spans="1:21" customFormat="1">
      <c r="A15" s="53">
        <v>45410.291666666664</v>
      </c>
      <c r="B15" s="54">
        <v>11.35</v>
      </c>
      <c r="C15" s="54">
        <v>13.3</v>
      </c>
      <c r="D15" s="54">
        <v>25.19</v>
      </c>
      <c r="E15" s="54">
        <v>14.41</v>
      </c>
      <c r="F15" s="54">
        <v>1.74</v>
      </c>
      <c r="G15" s="54">
        <v>52.62</v>
      </c>
      <c r="H15" s="54">
        <v>20.05</v>
      </c>
      <c r="I15" s="54">
        <v>9.6999999999999993</v>
      </c>
      <c r="J15" s="54">
        <v>0.22</v>
      </c>
      <c r="K15" s="54">
        <v>198.06</v>
      </c>
      <c r="L15" s="54">
        <v>28.4</v>
      </c>
      <c r="M15" s="54">
        <v>66.16</v>
      </c>
      <c r="N15" s="54">
        <v>75.900000000000006</v>
      </c>
      <c r="O15" s="54">
        <v>0</v>
      </c>
      <c r="P15" s="54">
        <v>0.89</v>
      </c>
      <c r="Q15" s="27" t="s">
        <v>14</v>
      </c>
    </row>
    <row r="16" spans="1:21" customFormat="1">
      <c r="A16" s="53">
        <v>45410.333333333336</v>
      </c>
      <c r="B16" s="54">
        <v>11.25</v>
      </c>
      <c r="C16" s="54">
        <v>13.19</v>
      </c>
      <c r="D16" s="54">
        <v>25.06</v>
      </c>
      <c r="E16" s="54">
        <v>15.43</v>
      </c>
      <c r="F16" s="54">
        <v>5.16</v>
      </c>
      <c r="G16" s="54">
        <v>48.05</v>
      </c>
      <c r="H16" s="54">
        <v>20.420000000000002</v>
      </c>
      <c r="I16" s="54">
        <v>9.3699999999999992</v>
      </c>
      <c r="J16" s="54">
        <v>0.26</v>
      </c>
      <c r="K16" s="54">
        <v>233.01</v>
      </c>
      <c r="L16" s="54">
        <v>32.369999999999997</v>
      </c>
      <c r="M16" s="54">
        <v>56.75</v>
      </c>
      <c r="N16" s="54">
        <v>189.9</v>
      </c>
      <c r="O16" s="54">
        <v>0</v>
      </c>
      <c r="P16" s="54">
        <v>0.86</v>
      </c>
      <c r="Q16" s="27" t="s">
        <v>14</v>
      </c>
    </row>
    <row r="17" spans="1:17" customFormat="1">
      <c r="A17" s="53">
        <v>45410.375</v>
      </c>
      <c r="B17" s="54">
        <v>11.28</v>
      </c>
      <c r="C17" s="54">
        <v>13.23</v>
      </c>
      <c r="D17" s="54">
        <v>25.1</v>
      </c>
      <c r="E17" s="54">
        <v>19.98</v>
      </c>
      <c r="F17" s="54">
        <v>11.19</v>
      </c>
      <c r="G17" s="54">
        <v>48.05</v>
      </c>
      <c r="H17" s="54">
        <v>20.420000000000002</v>
      </c>
      <c r="I17" s="54">
        <v>10.53</v>
      </c>
      <c r="J17" s="54">
        <v>0.38</v>
      </c>
      <c r="K17" s="54">
        <v>258.54000000000002</v>
      </c>
      <c r="L17" s="54">
        <v>33.83</v>
      </c>
      <c r="M17" s="54">
        <v>44.03</v>
      </c>
      <c r="N17" s="54">
        <v>265.89999999999998</v>
      </c>
      <c r="O17" s="54">
        <v>0</v>
      </c>
      <c r="P17" s="54">
        <v>0.9</v>
      </c>
      <c r="Q17" s="27" t="s">
        <v>14</v>
      </c>
    </row>
    <row r="18" spans="1:17" customFormat="1">
      <c r="A18" s="53">
        <v>45410.416666666664</v>
      </c>
      <c r="B18" s="54">
        <v>11.29</v>
      </c>
      <c r="C18" s="54">
        <v>13.36</v>
      </c>
      <c r="D18" s="54">
        <v>25.17</v>
      </c>
      <c r="E18" s="54">
        <v>29.41</v>
      </c>
      <c r="F18" s="54">
        <v>26.1</v>
      </c>
      <c r="G18" s="54">
        <v>63.3</v>
      </c>
      <c r="H18" s="54">
        <v>23.28</v>
      </c>
      <c r="I18" s="54">
        <v>14.37</v>
      </c>
      <c r="J18" s="54">
        <v>0.84</v>
      </c>
      <c r="K18" s="54">
        <v>216.81</v>
      </c>
      <c r="L18" s="54">
        <v>35.15</v>
      </c>
      <c r="M18" s="54">
        <v>41.15</v>
      </c>
      <c r="N18" s="54">
        <v>303.3</v>
      </c>
      <c r="O18" s="54">
        <v>0</v>
      </c>
      <c r="P18" s="54">
        <v>1.1599999999999999</v>
      </c>
      <c r="Q18" s="27" t="s">
        <v>14</v>
      </c>
    </row>
    <row r="19" spans="1:17" customFormat="1">
      <c r="A19" s="53">
        <v>45410.458333333336</v>
      </c>
      <c r="B19" s="54">
        <v>11.27</v>
      </c>
      <c r="C19" s="54">
        <v>13.24</v>
      </c>
      <c r="D19" s="54">
        <v>25.08</v>
      </c>
      <c r="E19" s="54">
        <v>16.440000000000001</v>
      </c>
      <c r="F19" s="54">
        <v>16.64</v>
      </c>
      <c r="G19" s="54">
        <v>95.84</v>
      </c>
      <c r="H19" s="54">
        <v>32.47</v>
      </c>
      <c r="I19" s="54">
        <v>15.5</v>
      </c>
      <c r="J19" s="54">
        <v>3.11</v>
      </c>
      <c r="K19" s="54">
        <v>357.3</v>
      </c>
      <c r="L19" s="54">
        <v>33.090000000000003</v>
      </c>
      <c r="M19" s="54">
        <v>57.61</v>
      </c>
      <c r="N19" s="54">
        <v>432.7</v>
      </c>
      <c r="O19" s="54">
        <v>0</v>
      </c>
      <c r="P19" s="54">
        <v>1.1399999999999999</v>
      </c>
      <c r="Q19" s="54">
        <v>4.95</v>
      </c>
    </row>
    <row r="20" spans="1:17" customFormat="1">
      <c r="A20" s="53">
        <v>45410.5</v>
      </c>
      <c r="B20" s="54">
        <v>11.33</v>
      </c>
      <c r="C20" s="54">
        <v>13.38</v>
      </c>
      <c r="D20" s="54">
        <v>25.22</v>
      </c>
      <c r="E20" s="54">
        <v>25.45</v>
      </c>
      <c r="F20" s="54">
        <v>9.31</v>
      </c>
      <c r="G20" s="54">
        <v>107.7</v>
      </c>
      <c r="H20" s="54">
        <v>32.47</v>
      </c>
      <c r="I20" s="54">
        <v>12.47</v>
      </c>
      <c r="J20" s="54">
        <v>2.35</v>
      </c>
      <c r="K20" s="54">
        <v>47.83</v>
      </c>
      <c r="L20" s="54">
        <v>29.63</v>
      </c>
      <c r="M20" s="54">
        <v>54.54</v>
      </c>
      <c r="N20" s="54">
        <v>415.8</v>
      </c>
      <c r="O20" s="54">
        <v>0</v>
      </c>
      <c r="P20" s="54">
        <v>0.87</v>
      </c>
      <c r="Q20" s="27" t="s">
        <v>14</v>
      </c>
    </row>
    <row r="21" spans="1:17" customFormat="1">
      <c r="A21" s="53">
        <v>45410.541666666664</v>
      </c>
      <c r="B21" s="54">
        <v>11.27</v>
      </c>
      <c r="C21" s="54">
        <v>13.15</v>
      </c>
      <c r="D21" s="54">
        <v>25.05</v>
      </c>
      <c r="E21" s="54">
        <v>11.24</v>
      </c>
      <c r="F21" s="54">
        <v>15.54</v>
      </c>
      <c r="G21" s="54">
        <v>107.7</v>
      </c>
      <c r="H21" s="54">
        <v>24.6</v>
      </c>
      <c r="I21" s="54">
        <v>10.27</v>
      </c>
      <c r="J21" s="54">
        <v>2.09</v>
      </c>
      <c r="K21" s="54">
        <v>49.52</v>
      </c>
      <c r="L21" s="54">
        <v>30.56</v>
      </c>
      <c r="M21" s="54">
        <v>49.5</v>
      </c>
      <c r="N21" s="54">
        <v>216.2</v>
      </c>
      <c r="O21" s="54">
        <v>0</v>
      </c>
      <c r="P21" s="54">
        <v>0.77</v>
      </c>
      <c r="Q21" s="27" t="s">
        <v>14</v>
      </c>
    </row>
    <row r="22" spans="1:17" customFormat="1">
      <c r="A22" s="53">
        <v>45410.583333333336</v>
      </c>
      <c r="B22" s="54">
        <v>11.31</v>
      </c>
      <c r="C22" s="54">
        <v>13.22</v>
      </c>
      <c r="D22" s="54">
        <v>25.12</v>
      </c>
      <c r="E22" s="54">
        <v>15.06</v>
      </c>
      <c r="F22" s="54">
        <v>18.07</v>
      </c>
      <c r="G22" s="54">
        <v>86.47</v>
      </c>
      <c r="H22" s="54">
        <v>21.59</v>
      </c>
      <c r="I22" s="54">
        <v>8.57</v>
      </c>
      <c r="J22" s="54">
        <v>1.91</v>
      </c>
      <c r="K22" s="54">
        <v>47.21</v>
      </c>
      <c r="L22" s="54">
        <v>32.04</v>
      </c>
      <c r="M22" s="54">
        <v>46.34</v>
      </c>
      <c r="N22" s="54">
        <v>547.4</v>
      </c>
      <c r="O22" s="54">
        <v>0</v>
      </c>
      <c r="P22" s="54">
        <v>0.68</v>
      </c>
      <c r="Q22" s="27" t="s">
        <v>14</v>
      </c>
    </row>
    <row r="23" spans="1:17" customFormat="1">
      <c r="A23" s="53">
        <v>45410.625</v>
      </c>
      <c r="B23" s="54">
        <v>11.31</v>
      </c>
      <c r="C23" s="54">
        <v>13.19</v>
      </c>
      <c r="D23" s="54">
        <v>25.1</v>
      </c>
      <c r="E23" s="54">
        <v>18.91</v>
      </c>
      <c r="F23" s="54">
        <v>17.28</v>
      </c>
      <c r="G23" s="54">
        <v>56</v>
      </c>
      <c r="H23" s="54">
        <v>17.239999999999998</v>
      </c>
      <c r="I23" s="54">
        <v>7.92</v>
      </c>
      <c r="J23" s="54">
        <v>2.2000000000000002</v>
      </c>
      <c r="K23" s="54">
        <v>46.52</v>
      </c>
      <c r="L23" s="54">
        <v>33.69</v>
      </c>
      <c r="M23" s="54">
        <v>38.630000000000003</v>
      </c>
      <c r="N23" s="54">
        <v>651.4</v>
      </c>
      <c r="O23" s="54">
        <v>0</v>
      </c>
      <c r="P23" s="54">
        <v>0.63</v>
      </c>
      <c r="Q23" s="27" t="s">
        <v>14</v>
      </c>
    </row>
    <row r="24" spans="1:17" customFormat="1">
      <c r="A24" s="53">
        <v>45410.666666666664</v>
      </c>
      <c r="B24" s="54">
        <v>11.29</v>
      </c>
      <c r="C24" s="54">
        <v>13.26</v>
      </c>
      <c r="D24" s="54">
        <v>25.12</v>
      </c>
      <c r="E24" s="54">
        <v>13.73</v>
      </c>
      <c r="F24" s="54">
        <v>11.44</v>
      </c>
      <c r="G24" s="54">
        <v>41.9</v>
      </c>
      <c r="H24" s="54">
        <v>12.55</v>
      </c>
      <c r="I24" s="54">
        <v>7.33</v>
      </c>
      <c r="J24" s="54">
        <v>1.65</v>
      </c>
      <c r="K24" s="54">
        <v>52.56</v>
      </c>
      <c r="L24" s="54">
        <v>33.729999999999997</v>
      </c>
      <c r="M24" s="54">
        <v>37.26</v>
      </c>
      <c r="N24" s="54">
        <v>517.5</v>
      </c>
      <c r="O24" s="54">
        <v>0</v>
      </c>
      <c r="P24" s="54">
        <v>0.61</v>
      </c>
      <c r="Q24" s="27" t="s">
        <v>14</v>
      </c>
    </row>
    <row r="25" spans="1:17" customFormat="1">
      <c r="A25" s="53">
        <v>45410.708333333336</v>
      </c>
      <c r="B25" s="54">
        <v>11.27</v>
      </c>
      <c r="C25" s="54">
        <v>13.2</v>
      </c>
      <c r="D25" s="54">
        <v>25.08</v>
      </c>
      <c r="E25" s="54">
        <v>57.04</v>
      </c>
      <c r="F25" s="54">
        <v>11.95</v>
      </c>
      <c r="G25" s="54">
        <v>40.25</v>
      </c>
      <c r="H25" s="54">
        <v>12.41</v>
      </c>
      <c r="I25" s="54">
        <v>6.58</v>
      </c>
      <c r="J25" s="54">
        <v>1.1000000000000001</v>
      </c>
      <c r="K25" s="54">
        <v>67.569999999999993</v>
      </c>
      <c r="L25" s="54">
        <v>33.840000000000003</v>
      </c>
      <c r="M25" s="54">
        <v>35.75</v>
      </c>
      <c r="N25" s="54">
        <v>296.8</v>
      </c>
      <c r="O25" s="54">
        <v>0</v>
      </c>
      <c r="P25" s="54">
        <v>0.56000000000000005</v>
      </c>
      <c r="Q25" s="27" t="s">
        <v>14</v>
      </c>
    </row>
    <row r="26" spans="1:17" customFormat="1">
      <c r="A26" s="53">
        <v>45410.75</v>
      </c>
      <c r="B26" s="54">
        <v>11.29</v>
      </c>
      <c r="C26" s="54">
        <v>13.23</v>
      </c>
      <c r="D26" s="54">
        <v>25.11</v>
      </c>
      <c r="E26" s="54">
        <v>43.57</v>
      </c>
      <c r="F26" s="54">
        <v>11.72</v>
      </c>
      <c r="G26" s="54">
        <v>35.79</v>
      </c>
      <c r="H26" s="54">
        <v>15.82</v>
      </c>
      <c r="I26" s="54">
        <v>5.99</v>
      </c>
      <c r="J26" s="54">
        <v>0.89</v>
      </c>
      <c r="K26" s="54">
        <v>77.510000000000005</v>
      </c>
      <c r="L26" s="54">
        <v>33.36</v>
      </c>
      <c r="M26" s="54">
        <v>40.28</v>
      </c>
      <c r="N26" s="54">
        <v>97.2</v>
      </c>
      <c r="O26" s="54">
        <v>0</v>
      </c>
      <c r="P26" s="54">
        <v>0.63</v>
      </c>
      <c r="Q26" s="27" t="s">
        <v>14</v>
      </c>
    </row>
    <row r="27" spans="1:17" customFormat="1">
      <c r="A27" s="53">
        <v>45410.791666666664</v>
      </c>
      <c r="B27" s="54">
        <v>11.3</v>
      </c>
      <c r="C27" s="54">
        <v>13.44</v>
      </c>
      <c r="D27" s="54">
        <v>25.23</v>
      </c>
      <c r="E27" s="54">
        <v>33.76</v>
      </c>
      <c r="F27" s="54">
        <v>2.97</v>
      </c>
      <c r="G27" s="54">
        <v>57.01</v>
      </c>
      <c r="H27" s="54">
        <v>16.149999999999999</v>
      </c>
      <c r="I27" s="54">
        <v>6.16</v>
      </c>
      <c r="J27" s="54">
        <v>0.36</v>
      </c>
      <c r="K27" s="54">
        <v>170.15</v>
      </c>
      <c r="L27" s="54">
        <v>31.82</v>
      </c>
      <c r="M27" s="54">
        <v>50.2</v>
      </c>
      <c r="N27" s="54">
        <v>0.3</v>
      </c>
      <c r="O27" s="54">
        <v>0</v>
      </c>
      <c r="P27" s="54">
        <v>0.67</v>
      </c>
      <c r="Q27" s="27" t="s">
        <v>14</v>
      </c>
    </row>
    <row r="28" spans="1:17" customFormat="1">
      <c r="A28" s="53">
        <v>45410.833333333336</v>
      </c>
      <c r="B28" s="54">
        <v>11.32</v>
      </c>
      <c r="C28" s="54">
        <v>13.32</v>
      </c>
      <c r="D28" s="54">
        <v>25.15</v>
      </c>
      <c r="E28" s="54">
        <v>38.07</v>
      </c>
      <c r="F28" s="54">
        <v>1.44</v>
      </c>
      <c r="G28" s="54">
        <v>69.36</v>
      </c>
      <c r="H28" s="54">
        <v>21.28</v>
      </c>
      <c r="I28" s="54">
        <v>6.13</v>
      </c>
      <c r="J28" s="54">
        <v>0.25</v>
      </c>
      <c r="K28" s="54">
        <v>190.29</v>
      </c>
      <c r="L28" s="54">
        <v>29.82</v>
      </c>
      <c r="M28" s="54">
        <v>60.46</v>
      </c>
      <c r="N28" s="54">
        <v>0</v>
      </c>
      <c r="O28" s="54">
        <v>0</v>
      </c>
      <c r="P28" s="54">
        <v>0.7</v>
      </c>
      <c r="Q28" s="27" t="s">
        <v>14</v>
      </c>
    </row>
    <row r="29" spans="1:17" customFormat="1">
      <c r="A29" s="53">
        <v>45410.875</v>
      </c>
      <c r="B29" s="54">
        <v>11.33</v>
      </c>
      <c r="C29" s="54">
        <v>13.22</v>
      </c>
      <c r="D29" s="54">
        <v>25.13</v>
      </c>
      <c r="E29" s="54">
        <v>25.12</v>
      </c>
      <c r="F29" s="54">
        <v>8.57</v>
      </c>
      <c r="G29" s="54">
        <v>69.36</v>
      </c>
      <c r="H29" s="54">
        <v>21.28</v>
      </c>
      <c r="I29" s="54">
        <v>6.49</v>
      </c>
      <c r="J29" s="54">
        <v>0.18</v>
      </c>
      <c r="K29" s="54">
        <v>207.99</v>
      </c>
      <c r="L29" s="54">
        <v>28.36</v>
      </c>
      <c r="M29" s="54">
        <v>58.04</v>
      </c>
      <c r="N29" s="54">
        <v>0</v>
      </c>
      <c r="O29" s="54">
        <v>0</v>
      </c>
      <c r="P29" s="54">
        <v>0.69</v>
      </c>
      <c r="Q29" s="27" t="s">
        <v>14</v>
      </c>
    </row>
    <row r="30" spans="1:17" customFormat="1">
      <c r="A30" s="53">
        <v>45410.916666666664</v>
      </c>
      <c r="B30" s="54">
        <v>11.3</v>
      </c>
      <c r="C30" s="54">
        <v>13.2</v>
      </c>
      <c r="D30" s="54">
        <v>25.11</v>
      </c>
      <c r="E30" s="54">
        <v>19.2</v>
      </c>
      <c r="F30" s="54">
        <v>6.56</v>
      </c>
      <c r="G30" s="54">
        <v>63.36</v>
      </c>
      <c r="H30" s="54">
        <v>20.66</v>
      </c>
      <c r="I30" s="54">
        <v>6.74</v>
      </c>
      <c r="J30" s="54">
        <v>0.25</v>
      </c>
      <c r="K30" s="54">
        <v>180.16</v>
      </c>
      <c r="L30" s="54">
        <v>28.21</v>
      </c>
      <c r="M30" s="54">
        <v>63.86</v>
      </c>
      <c r="N30" s="54">
        <v>0</v>
      </c>
      <c r="O30" s="54">
        <v>0</v>
      </c>
      <c r="P30" s="54">
        <v>0.71</v>
      </c>
      <c r="Q30" s="27" t="s">
        <v>14</v>
      </c>
    </row>
    <row r="31" spans="1:17" customFormat="1">
      <c r="A31" s="53">
        <v>45410.958333333336</v>
      </c>
      <c r="B31" s="54">
        <v>11.27</v>
      </c>
      <c r="C31" s="54">
        <v>13.18</v>
      </c>
      <c r="D31" s="54">
        <v>25.06</v>
      </c>
      <c r="E31" s="54">
        <v>12.1</v>
      </c>
      <c r="F31" s="54">
        <v>3.38</v>
      </c>
      <c r="G31" s="54">
        <v>58.82</v>
      </c>
      <c r="H31" s="54">
        <v>20.66</v>
      </c>
      <c r="I31" s="54">
        <v>7.12</v>
      </c>
      <c r="J31" s="54">
        <v>0.17</v>
      </c>
      <c r="K31" s="54">
        <v>232.43</v>
      </c>
      <c r="L31" s="54">
        <v>27.15</v>
      </c>
      <c r="M31" s="54">
        <v>67.959999999999994</v>
      </c>
      <c r="N31" s="54">
        <v>0</v>
      </c>
      <c r="O31" s="54">
        <v>0</v>
      </c>
      <c r="P31" s="54">
        <v>0.74</v>
      </c>
      <c r="Q31" s="27" t="s">
        <v>14</v>
      </c>
    </row>
    <row r="32" spans="1:17" customFormat="1">
      <c r="A32" s="53">
        <v>45411</v>
      </c>
      <c r="B32" s="54">
        <v>11.39</v>
      </c>
      <c r="C32" s="54">
        <v>13.39</v>
      </c>
      <c r="D32" s="54">
        <v>25.28</v>
      </c>
      <c r="E32" s="54">
        <v>11.91</v>
      </c>
      <c r="F32" s="54">
        <v>2.0699999999999998</v>
      </c>
      <c r="G32" s="54">
        <v>56.64</v>
      </c>
      <c r="H32" s="54">
        <v>22.73</v>
      </c>
      <c r="I32" s="54">
        <v>7.7</v>
      </c>
      <c r="J32" s="54">
        <v>0.51</v>
      </c>
      <c r="K32" s="54">
        <v>170.45</v>
      </c>
      <c r="L32" s="54">
        <v>27.65</v>
      </c>
      <c r="M32" s="54">
        <v>68.14</v>
      </c>
      <c r="N32" s="54">
        <v>0</v>
      </c>
      <c r="O32" s="54">
        <v>0</v>
      </c>
      <c r="P32" s="54">
        <v>0.89</v>
      </c>
      <c r="Q32" s="27" t="s">
        <v>14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11.24</v>
      </c>
      <c r="C34" s="40">
        <f t="shared" si="0"/>
        <v>13.15</v>
      </c>
      <c r="D34" s="40">
        <f t="shared" si="0"/>
        <v>25.05</v>
      </c>
      <c r="E34" s="40">
        <f t="shared" si="0"/>
        <v>11.24</v>
      </c>
      <c r="F34" s="40">
        <f t="shared" si="0"/>
        <v>1.44</v>
      </c>
      <c r="G34" s="40">
        <f t="shared" si="0"/>
        <v>35.79</v>
      </c>
      <c r="H34" s="40">
        <f t="shared" si="0"/>
        <v>12.41</v>
      </c>
      <c r="I34" s="40">
        <f t="shared" si="0"/>
        <v>5.99</v>
      </c>
      <c r="J34" s="40">
        <f t="shared" si="0"/>
        <v>0.17</v>
      </c>
      <c r="K34" s="40">
        <f t="shared" si="0"/>
        <v>46.52</v>
      </c>
      <c r="L34" s="40">
        <f t="shared" si="0"/>
        <v>26.29</v>
      </c>
      <c r="M34" s="40">
        <f t="shared" si="0"/>
        <v>35.75</v>
      </c>
      <c r="N34" s="40">
        <f t="shared" si="0"/>
        <v>0</v>
      </c>
      <c r="O34" s="40">
        <f t="shared" si="0"/>
        <v>0</v>
      </c>
      <c r="P34" s="40">
        <f t="shared" si="0"/>
        <v>0.56000000000000005</v>
      </c>
      <c r="Q34" s="40">
        <f t="shared" si="0"/>
        <v>4.95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11.39</v>
      </c>
      <c r="C35" s="33">
        <f t="shared" si="1"/>
        <v>13.49</v>
      </c>
      <c r="D35" s="33">
        <f t="shared" si="1"/>
        <v>25.31</v>
      </c>
      <c r="E35" s="33">
        <f t="shared" si="1"/>
        <v>57.04</v>
      </c>
      <c r="F35" s="33">
        <f t="shared" si="1"/>
        <v>26.1</v>
      </c>
      <c r="G35" s="33">
        <f t="shared" si="1"/>
        <v>107.7</v>
      </c>
      <c r="H35" s="33">
        <f t="shared" si="1"/>
        <v>32.47</v>
      </c>
      <c r="I35" s="33">
        <f t="shared" si="1"/>
        <v>15.5</v>
      </c>
      <c r="J35" s="33">
        <f t="shared" si="1"/>
        <v>3.11</v>
      </c>
      <c r="K35" s="33">
        <f t="shared" si="1"/>
        <v>357.3</v>
      </c>
      <c r="L35" s="33">
        <f t="shared" si="1"/>
        <v>35.15</v>
      </c>
      <c r="M35" s="33">
        <f t="shared" si="1"/>
        <v>71.23</v>
      </c>
      <c r="N35" s="33">
        <f t="shared" si="1"/>
        <v>651.4</v>
      </c>
      <c r="O35" s="33">
        <f t="shared" si="1"/>
        <v>0</v>
      </c>
      <c r="P35" s="33">
        <f t="shared" si="1"/>
        <v>1.1599999999999999</v>
      </c>
      <c r="Q35" s="33">
        <f t="shared" si="1"/>
        <v>4.95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11.301250000000001</v>
      </c>
      <c r="C36" s="40">
        <f t="shared" si="2"/>
        <v>13.264583333333333</v>
      </c>
      <c r="D36" s="40">
        <f t="shared" si="2"/>
        <v>25.133333333333329</v>
      </c>
      <c r="E36" s="40">
        <f t="shared" si="2"/>
        <v>21.068750000000001</v>
      </c>
      <c r="F36" s="40">
        <f t="shared" si="2"/>
        <v>8.8145833333333314</v>
      </c>
      <c r="G36" s="40">
        <f t="shared" si="2"/>
        <v>64.532499999999985</v>
      </c>
      <c r="H36" s="40">
        <f t="shared" si="2"/>
        <v>21.873750000000001</v>
      </c>
      <c r="I36" s="40">
        <f t="shared" si="2"/>
        <v>9.2333333333333361</v>
      </c>
      <c r="J36" s="40">
        <f t="shared" si="2"/>
        <v>0.84666666666666679</v>
      </c>
      <c r="K36" s="40">
        <f t="shared" si="2"/>
        <v>163.34499999999997</v>
      </c>
      <c r="L36" s="40">
        <f t="shared" si="2"/>
        <v>30.279166666666669</v>
      </c>
      <c r="M36" s="40">
        <f t="shared" si="2"/>
        <v>56.007083333333334</v>
      </c>
      <c r="N36" s="40">
        <f t="shared" si="2"/>
        <v>167.80416666666667</v>
      </c>
      <c r="O36" s="40">
        <f t="shared" si="2"/>
        <v>0</v>
      </c>
      <c r="P36" s="40">
        <f t="shared" si="2"/>
        <v>0.84083333333333343</v>
      </c>
      <c r="Q36" s="40">
        <f t="shared" si="2"/>
        <v>4.95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3.9044289233371082E-2</v>
      </c>
      <c r="C37" s="40">
        <f t="shared" ref="C37:Q37" si="3">STDEV(C9:C32)</f>
        <v>9.1460572007199273E-2</v>
      </c>
      <c r="D37" s="40">
        <f t="shared" si="3"/>
        <v>7.298997350242066E-2</v>
      </c>
      <c r="E37" s="40">
        <f t="shared" si="3"/>
        <v>11.624087177812767</v>
      </c>
      <c r="F37" s="40">
        <f t="shared" si="3"/>
        <v>6.385907023633588</v>
      </c>
      <c r="G37" s="40">
        <f t="shared" si="3"/>
        <v>19.020559185763496</v>
      </c>
      <c r="H37" s="40">
        <f t="shared" si="3"/>
        <v>5.0569305112540643</v>
      </c>
      <c r="I37" s="40">
        <f t="shared" si="3"/>
        <v>2.5744795449830615</v>
      </c>
      <c r="J37" s="40">
        <f t="shared" si="3"/>
        <v>0.87379067569271762</v>
      </c>
      <c r="K37" s="40">
        <f t="shared" si="3"/>
        <v>80.953101506231846</v>
      </c>
      <c r="L37" s="40">
        <f t="shared" si="3"/>
        <v>2.8300482660912056</v>
      </c>
      <c r="M37" s="40">
        <f t="shared" si="3"/>
        <v>11.833156247399206</v>
      </c>
      <c r="N37" s="40">
        <f t="shared" si="3"/>
        <v>211.12352757314267</v>
      </c>
      <c r="O37" s="40">
        <f t="shared" si="3"/>
        <v>0</v>
      </c>
      <c r="P37" s="40">
        <f t="shared" si="3"/>
        <v>0.18148940960039822</v>
      </c>
      <c r="Q37" s="27" t="s">
        <v>14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1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workbookViewId="0">
      <selection activeCell="Q36" sqref="Q36:Q37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>
        <f>$A$9</f>
        <v>45411.041666666664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3">
        <v>45411.041666666664</v>
      </c>
      <c r="B9" s="54">
        <v>11.52</v>
      </c>
      <c r="C9" s="54">
        <v>13.27</v>
      </c>
      <c r="D9" s="54">
        <v>25.31</v>
      </c>
      <c r="E9" s="54">
        <v>11.98</v>
      </c>
      <c r="F9" s="54">
        <v>1</v>
      </c>
      <c r="G9" s="54">
        <v>66.83</v>
      </c>
      <c r="H9" s="54">
        <v>23.45</v>
      </c>
      <c r="I9" s="54">
        <v>8.42</v>
      </c>
      <c r="J9" s="54">
        <v>0.38</v>
      </c>
      <c r="K9" s="54">
        <v>177.3</v>
      </c>
      <c r="L9" s="54">
        <v>27.67</v>
      </c>
      <c r="M9" s="54">
        <v>68.849999999999994</v>
      </c>
      <c r="N9" s="54">
        <v>0</v>
      </c>
      <c r="O9" s="54">
        <v>0</v>
      </c>
      <c r="P9" s="54">
        <v>0.87</v>
      </c>
      <c r="Q9" s="27" t="s">
        <v>14</v>
      </c>
    </row>
    <row r="10" spans="1:21">
      <c r="A10" s="53">
        <v>45411.083333333336</v>
      </c>
      <c r="B10" s="54">
        <v>11.56</v>
      </c>
      <c r="C10" s="54">
        <v>13.3</v>
      </c>
      <c r="D10" s="54">
        <v>25.36</v>
      </c>
      <c r="E10" s="54">
        <v>10.92</v>
      </c>
      <c r="F10" s="54">
        <v>1</v>
      </c>
      <c r="G10" s="54">
        <v>81.99</v>
      </c>
      <c r="H10" s="54">
        <v>27.36</v>
      </c>
      <c r="I10" s="54">
        <v>8.8800000000000008</v>
      </c>
      <c r="J10" s="54">
        <v>0.35</v>
      </c>
      <c r="K10" s="54">
        <v>187.86</v>
      </c>
      <c r="L10" s="54">
        <v>26.56</v>
      </c>
      <c r="M10" s="54">
        <v>71.09</v>
      </c>
      <c r="N10" s="54">
        <v>0</v>
      </c>
      <c r="O10" s="54">
        <v>0</v>
      </c>
      <c r="P10" s="54">
        <v>0.92</v>
      </c>
      <c r="Q10" s="27" t="s">
        <v>14</v>
      </c>
    </row>
    <row r="11" spans="1:21">
      <c r="A11" s="53">
        <v>45411.125</v>
      </c>
      <c r="B11" s="54">
        <v>11.56</v>
      </c>
      <c r="C11" s="54">
        <v>13.34</v>
      </c>
      <c r="D11" s="54">
        <v>25.38</v>
      </c>
      <c r="E11" s="54">
        <v>12.91</v>
      </c>
      <c r="F11" s="54">
        <v>1</v>
      </c>
      <c r="G11" s="54">
        <v>95.77</v>
      </c>
      <c r="H11" s="54">
        <v>27.93</v>
      </c>
      <c r="I11" s="54">
        <v>9.59</v>
      </c>
      <c r="J11" s="54">
        <v>0.41</v>
      </c>
      <c r="K11" s="54">
        <v>166.8</v>
      </c>
      <c r="L11" s="54">
        <v>26.44</v>
      </c>
      <c r="M11" s="54">
        <v>74.47</v>
      </c>
      <c r="N11" s="54">
        <v>0</v>
      </c>
      <c r="O11" s="54">
        <v>0</v>
      </c>
      <c r="P11" s="54">
        <v>0.99</v>
      </c>
      <c r="Q11" s="27" t="s">
        <v>14</v>
      </c>
    </row>
    <row r="12" spans="1:21">
      <c r="A12" s="53">
        <v>45411.166666666664</v>
      </c>
      <c r="B12" s="54">
        <v>11.38</v>
      </c>
      <c r="C12" s="54">
        <v>13.18</v>
      </c>
      <c r="D12" s="54">
        <v>25.15</v>
      </c>
      <c r="E12" s="54">
        <v>13.11</v>
      </c>
      <c r="F12" s="54">
        <v>1</v>
      </c>
      <c r="G12" s="54">
        <v>109.66</v>
      </c>
      <c r="H12" s="54">
        <v>32.49</v>
      </c>
      <c r="I12" s="54">
        <v>10.27</v>
      </c>
      <c r="J12" s="54">
        <v>0.31</v>
      </c>
      <c r="K12" s="54">
        <v>194.07</v>
      </c>
      <c r="L12" s="54">
        <v>25.37</v>
      </c>
      <c r="M12" s="54">
        <v>82.44</v>
      </c>
      <c r="N12" s="54">
        <v>0</v>
      </c>
      <c r="O12" s="54">
        <v>0</v>
      </c>
      <c r="P12" s="54">
        <v>1.04</v>
      </c>
      <c r="Q12" s="27" t="s">
        <v>14</v>
      </c>
    </row>
    <row r="13" spans="1:21">
      <c r="A13" s="53">
        <v>45411.208333333336</v>
      </c>
      <c r="B13" s="54">
        <v>11.99</v>
      </c>
      <c r="C13" s="54">
        <v>13.73</v>
      </c>
      <c r="D13" s="54">
        <v>25.93</v>
      </c>
      <c r="E13" s="54">
        <v>13.29</v>
      </c>
      <c r="F13" s="54">
        <v>1.38</v>
      </c>
      <c r="G13" s="54">
        <v>113.58</v>
      </c>
      <c r="H13" s="54">
        <v>35.700000000000003</v>
      </c>
      <c r="I13" s="54">
        <v>10.88</v>
      </c>
      <c r="J13" s="54">
        <v>0.27</v>
      </c>
      <c r="K13" s="54">
        <v>179.1</v>
      </c>
      <c r="L13" s="54">
        <v>24.76</v>
      </c>
      <c r="M13" s="54">
        <v>82.76</v>
      </c>
      <c r="N13" s="54">
        <v>0</v>
      </c>
      <c r="O13" s="54">
        <v>0</v>
      </c>
      <c r="P13" s="54">
        <v>1.07</v>
      </c>
      <c r="Q13" s="27" t="s">
        <v>14</v>
      </c>
    </row>
    <row r="14" spans="1:21">
      <c r="A14" s="53">
        <v>45411.25</v>
      </c>
      <c r="B14" s="54">
        <v>12.71</v>
      </c>
      <c r="C14" s="54">
        <v>14.26</v>
      </c>
      <c r="D14" s="54">
        <v>26.79</v>
      </c>
      <c r="E14" s="54">
        <v>12.67</v>
      </c>
      <c r="F14" s="54">
        <v>1</v>
      </c>
      <c r="G14" s="54">
        <v>113.58</v>
      </c>
      <c r="H14" s="54">
        <v>37.96</v>
      </c>
      <c r="I14" s="54">
        <v>11.37</v>
      </c>
      <c r="J14" s="54">
        <v>0.23</v>
      </c>
      <c r="K14" s="54">
        <v>195.37</v>
      </c>
      <c r="L14" s="54">
        <v>23.93</v>
      </c>
      <c r="M14" s="54">
        <v>83.61</v>
      </c>
      <c r="N14" s="54">
        <v>14.6</v>
      </c>
      <c r="O14" s="54">
        <v>0</v>
      </c>
      <c r="P14" s="54">
        <v>1.08</v>
      </c>
      <c r="Q14" s="27" t="s">
        <v>14</v>
      </c>
    </row>
    <row r="15" spans="1:21">
      <c r="A15" s="53">
        <v>45411.291666666664</v>
      </c>
      <c r="B15" s="54">
        <v>11.6</v>
      </c>
      <c r="C15" s="54">
        <v>13.28</v>
      </c>
      <c r="D15" s="54">
        <v>25.39</v>
      </c>
      <c r="E15" s="54">
        <v>13.24</v>
      </c>
      <c r="F15" s="54">
        <v>1</v>
      </c>
      <c r="G15" s="54">
        <v>112.38</v>
      </c>
      <c r="H15" s="54">
        <v>37.96</v>
      </c>
      <c r="I15" s="54">
        <v>12</v>
      </c>
      <c r="J15" s="54">
        <v>0.27</v>
      </c>
      <c r="K15" s="54">
        <v>288.41000000000003</v>
      </c>
      <c r="L15" s="54">
        <v>26.62</v>
      </c>
      <c r="M15" s="54">
        <v>79.790000000000006</v>
      </c>
      <c r="N15" s="54">
        <v>86.7</v>
      </c>
      <c r="O15" s="54">
        <v>0</v>
      </c>
      <c r="P15" s="54">
        <v>1.0900000000000001</v>
      </c>
      <c r="Q15" s="27" t="s">
        <v>14</v>
      </c>
    </row>
    <row r="16" spans="1:21">
      <c r="A16" s="53">
        <v>45411.333333333336</v>
      </c>
      <c r="B16" s="54">
        <v>11.52</v>
      </c>
      <c r="C16" s="54">
        <v>13.24</v>
      </c>
      <c r="D16" s="54">
        <v>25.3</v>
      </c>
      <c r="E16" s="54">
        <v>19.489999999999998</v>
      </c>
      <c r="F16" s="54">
        <v>7.91</v>
      </c>
      <c r="G16" s="54">
        <v>121.33</v>
      </c>
      <c r="H16" s="54">
        <v>44.14</v>
      </c>
      <c r="I16" s="54">
        <v>12.21</v>
      </c>
      <c r="J16" s="54">
        <v>0.53</v>
      </c>
      <c r="K16" s="54">
        <v>266.8</v>
      </c>
      <c r="L16" s="54">
        <v>30.21</v>
      </c>
      <c r="M16" s="54">
        <v>66.91</v>
      </c>
      <c r="N16" s="54">
        <v>127.4</v>
      </c>
      <c r="O16" s="54">
        <v>0</v>
      </c>
      <c r="P16" s="54">
        <v>1.1100000000000001</v>
      </c>
      <c r="Q16" s="27" t="s">
        <v>14</v>
      </c>
    </row>
    <row r="17" spans="1:17">
      <c r="A17" s="53">
        <v>45411.375</v>
      </c>
      <c r="B17" s="54">
        <v>11.46</v>
      </c>
      <c r="C17" s="54">
        <v>13.25</v>
      </c>
      <c r="D17" s="54">
        <v>25.26</v>
      </c>
      <c r="E17" s="54">
        <v>17.329999999999998</v>
      </c>
      <c r="F17" s="54">
        <v>15.36</v>
      </c>
      <c r="G17" s="54">
        <v>121.33</v>
      </c>
      <c r="H17" s="54">
        <v>44.14</v>
      </c>
      <c r="I17" s="54">
        <v>12.23</v>
      </c>
      <c r="J17" s="54">
        <v>0.98</v>
      </c>
      <c r="K17" s="54">
        <v>254.58</v>
      </c>
      <c r="L17" s="54">
        <v>33.07</v>
      </c>
      <c r="M17" s="54">
        <v>49.63</v>
      </c>
      <c r="N17" s="54">
        <v>370.5</v>
      </c>
      <c r="O17" s="54">
        <v>0</v>
      </c>
      <c r="P17" s="54">
        <v>1.01</v>
      </c>
      <c r="Q17" s="27" t="s">
        <v>14</v>
      </c>
    </row>
    <row r="18" spans="1:17">
      <c r="A18" s="53">
        <v>45411.416666666664</v>
      </c>
      <c r="B18" s="54">
        <v>11.46</v>
      </c>
      <c r="C18" s="54">
        <v>13.29</v>
      </c>
      <c r="D18" s="54">
        <v>25.28</v>
      </c>
      <c r="E18" s="54">
        <v>18.64</v>
      </c>
      <c r="F18" s="54">
        <v>13.55</v>
      </c>
      <c r="G18" s="54">
        <v>105.51</v>
      </c>
      <c r="H18" s="54">
        <v>42.55</v>
      </c>
      <c r="I18" s="54">
        <v>11.12</v>
      </c>
      <c r="J18" s="54">
        <v>0.95</v>
      </c>
      <c r="K18" s="54">
        <v>280.83999999999997</v>
      </c>
      <c r="L18" s="54">
        <v>33.909999999999997</v>
      </c>
      <c r="M18" s="54">
        <v>44.2</v>
      </c>
      <c r="N18" s="54">
        <v>307.3</v>
      </c>
      <c r="O18" s="54">
        <v>0</v>
      </c>
      <c r="P18" s="54">
        <v>0.98</v>
      </c>
      <c r="Q18" s="27" t="s">
        <v>14</v>
      </c>
    </row>
    <row r="19" spans="1:17">
      <c r="A19" s="53">
        <v>45411.458333333336</v>
      </c>
      <c r="B19" s="54">
        <v>11.35</v>
      </c>
      <c r="C19" s="54">
        <v>13.18</v>
      </c>
      <c r="D19" s="54">
        <v>25.13</v>
      </c>
      <c r="E19" s="54">
        <v>30.91</v>
      </c>
      <c r="F19" s="54">
        <v>9.7200000000000006</v>
      </c>
      <c r="G19" s="54">
        <v>77.84</v>
      </c>
      <c r="H19" s="54">
        <v>35.159999999999997</v>
      </c>
      <c r="I19" s="54">
        <v>11.91</v>
      </c>
      <c r="J19" s="54">
        <v>1.1399999999999999</v>
      </c>
      <c r="K19" s="54">
        <v>291.52999999999997</v>
      </c>
      <c r="L19" s="54">
        <v>36.840000000000003</v>
      </c>
      <c r="M19" s="54">
        <v>39.9</v>
      </c>
      <c r="N19" s="54">
        <v>670</v>
      </c>
      <c r="O19" s="54">
        <v>0</v>
      </c>
      <c r="P19" s="54">
        <v>1.1100000000000001</v>
      </c>
      <c r="Q19" s="27" t="s">
        <v>14</v>
      </c>
    </row>
    <row r="20" spans="1:17">
      <c r="A20" s="53">
        <v>45411.5</v>
      </c>
      <c r="B20" s="54">
        <v>11.35</v>
      </c>
      <c r="C20" s="54">
        <v>13.22</v>
      </c>
      <c r="D20" s="54">
        <v>25.15</v>
      </c>
      <c r="E20" s="54">
        <v>27.55</v>
      </c>
      <c r="F20" s="54">
        <v>24.03</v>
      </c>
      <c r="G20" s="54">
        <v>84.65</v>
      </c>
      <c r="H20" s="54">
        <v>33.020000000000003</v>
      </c>
      <c r="I20" s="54">
        <v>12.43</v>
      </c>
      <c r="J20" s="54">
        <v>0.97</v>
      </c>
      <c r="K20" s="54">
        <v>290.5</v>
      </c>
      <c r="L20" s="54">
        <v>38.42</v>
      </c>
      <c r="M20" s="54">
        <v>34.479999999999997</v>
      </c>
      <c r="N20" s="54">
        <v>756.8</v>
      </c>
      <c r="O20" s="54">
        <v>0</v>
      </c>
      <c r="P20" s="54">
        <v>1.19</v>
      </c>
      <c r="Q20" s="27" t="s">
        <v>14</v>
      </c>
    </row>
    <row r="21" spans="1:17">
      <c r="A21" s="53">
        <v>45411.541666666664</v>
      </c>
      <c r="B21" s="54">
        <v>11.34</v>
      </c>
      <c r="C21" s="54">
        <v>13.35</v>
      </c>
      <c r="D21" s="54">
        <v>25.2</v>
      </c>
      <c r="E21" s="54">
        <v>17.45</v>
      </c>
      <c r="F21" s="54">
        <v>19.93</v>
      </c>
      <c r="G21" s="54">
        <v>84.65</v>
      </c>
      <c r="H21" s="54">
        <v>32.06</v>
      </c>
      <c r="I21" s="54">
        <v>12.59</v>
      </c>
      <c r="J21" s="54">
        <v>1.02</v>
      </c>
      <c r="K21" s="54">
        <v>285.39999999999998</v>
      </c>
      <c r="L21" s="54">
        <v>39.86</v>
      </c>
      <c r="M21" s="54">
        <v>31.76</v>
      </c>
      <c r="N21" s="54">
        <v>760.5</v>
      </c>
      <c r="O21" s="54">
        <v>0</v>
      </c>
      <c r="P21" s="54">
        <v>1.0900000000000001</v>
      </c>
      <c r="Q21" s="27" t="s">
        <v>14</v>
      </c>
    </row>
    <row r="22" spans="1:17">
      <c r="A22" s="53">
        <v>45411.583333333336</v>
      </c>
      <c r="B22" s="54">
        <v>11.32</v>
      </c>
      <c r="C22" s="54">
        <v>13.22</v>
      </c>
      <c r="D22" s="54">
        <v>25.11</v>
      </c>
      <c r="E22" s="54">
        <v>15.54</v>
      </c>
      <c r="F22" s="54">
        <v>17.36</v>
      </c>
      <c r="G22" s="54">
        <v>79.66</v>
      </c>
      <c r="H22" s="54">
        <v>31.04</v>
      </c>
      <c r="I22" s="54">
        <v>10.67</v>
      </c>
      <c r="J22" s="54">
        <v>1.1299999999999999</v>
      </c>
      <c r="K22" s="54">
        <v>289.76</v>
      </c>
      <c r="L22" s="54">
        <v>39.94</v>
      </c>
      <c r="M22" s="54">
        <v>28.66</v>
      </c>
      <c r="N22" s="54">
        <v>726.6</v>
      </c>
      <c r="O22" s="54">
        <v>0</v>
      </c>
      <c r="P22" s="54">
        <v>0.93</v>
      </c>
      <c r="Q22" s="27" t="s">
        <v>14</v>
      </c>
    </row>
    <row r="23" spans="1:17">
      <c r="A23" s="53">
        <v>45411.625</v>
      </c>
      <c r="B23" s="54">
        <v>11.41</v>
      </c>
      <c r="C23" s="54">
        <v>13.2</v>
      </c>
      <c r="D23" s="54">
        <v>25.13</v>
      </c>
      <c r="E23" s="54">
        <v>23</v>
      </c>
      <c r="F23" s="54">
        <v>28.63</v>
      </c>
      <c r="G23" s="54">
        <v>64.16</v>
      </c>
      <c r="H23" s="54">
        <v>29.05</v>
      </c>
      <c r="I23" s="54">
        <v>9.4</v>
      </c>
      <c r="J23" s="54">
        <v>1.4</v>
      </c>
      <c r="K23" s="54">
        <v>295.16000000000003</v>
      </c>
      <c r="L23" s="54">
        <v>39.69</v>
      </c>
      <c r="M23" s="54">
        <v>27.27</v>
      </c>
      <c r="N23" s="54">
        <v>636.79999999999995</v>
      </c>
      <c r="O23" s="54">
        <v>0</v>
      </c>
      <c r="P23" s="54">
        <v>0.78</v>
      </c>
      <c r="Q23" s="27" t="s">
        <v>14</v>
      </c>
    </row>
    <row r="24" spans="1:17">
      <c r="A24" s="53">
        <v>45411.666666666664</v>
      </c>
      <c r="B24" s="54">
        <v>11.42</v>
      </c>
      <c r="C24" s="54">
        <v>13.25</v>
      </c>
      <c r="D24" s="54">
        <v>25.22</v>
      </c>
      <c r="E24" s="54">
        <v>28.48</v>
      </c>
      <c r="F24" s="54">
        <v>37.92</v>
      </c>
      <c r="G24" s="54">
        <v>52.15</v>
      </c>
      <c r="H24" s="54">
        <v>24.91</v>
      </c>
      <c r="I24" s="54">
        <v>8.7799999999999994</v>
      </c>
      <c r="J24" s="54">
        <v>1.1399999999999999</v>
      </c>
      <c r="K24" s="54">
        <v>276.88</v>
      </c>
      <c r="L24" s="54">
        <v>39.43</v>
      </c>
      <c r="M24" s="54">
        <v>29.17</v>
      </c>
      <c r="N24" s="54">
        <v>416.4</v>
      </c>
      <c r="O24" s="54">
        <v>0</v>
      </c>
      <c r="P24" s="54">
        <v>0.78</v>
      </c>
      <c r="Q24" s="27" t="s">
        <v>14</v>
      </c>
    </row>
    <row r="25" spans="1:17">
      <c r="A25" s="53">
        <v>45411.708333333336</v>
      </c>
      <c r="B25" s="54">
        <v>11.41</v>
      </c>
      <c r="C25" s="54">
        <v>13.15</v>
      </c>
      <c r="D25" s="54">
        <v>25.14</v>
      </c>
      <c r="E25" s="54">
        <v>27.44</v>
      </c>
      <c r="F25" s="54">
        <v>53.3</v>
      </c>
      <c r="G25" s="54">
        <v>49.43</v>
      </c>
      <c r="H25" s="54">
        <v>25.26</v>
      </c>
      <c r="I25" s="54">
        <v>8.5399999999999991</v>
      </c>
      <c r="J25" s="54">
        <v>1.17</v>
      </c>
      <c r="K25" s="54">
        <v>268</v>
      </c>
      <c r="L25" s="54">
        <v>38.89</v>
      </c>
      <c r="M25" s="54">
        <v>29.29</v>
      </c>
      <c r="N25" s="54">
        <v>256.89999999999998</v>
      </c>
      <c r="O25" s="54">
        <v>0</v>
      </c>
      <c r="P25" s="54">
        <v>0.72</v>
      </c>
      <c r="Q25" s="27" t="s">
        <v>14</v>
      </c>
    </row>
    <row r="26" spans="1:17">
      <c r="A26" s="53">
        <v>45411.75</v>
      </c>
      <c r="B26" s="54">
        <v>11.41</v>
      </c>
      <c r="C26" s="54">
        <v>13.21</v>
      </c>
      <c r="D26" s="54">
        <v>25.2</v>
      </c>
      <c r="E26" s="54">
        <v>31.83</v>
      </c>
      <c r="F26" s="54">
        <v>64.97</v>
      </c>
      <c r="G26" s="54">
        <v>48.7</v>
      </c>
      <c r="H26" s="54">
        <v>25.26</v>
      </c>
      <c r="I26" s="54">
        <v>6.86</v>
      </c>
      <c r="J26" s="54">
        <v>0.53</v>
      </c>
      <c r="K26" s="54">
        <v>334.47</v>
      </c>
      <c r="L26" s="54">
        <v>38.19</v>
      </c>
      <c r="M26" s="54">
        <v>30.89</v>
      </c>
      <c r="N26" s="54">
        <v>101.1</v>
      </c>
      <c r="O26" s="54">
        <v>0</v>
      </c>
      <c r="P26" s="54">
        <v>0.7</v>
      </c>
      <c r="Q26" s="27" t="s">
        <v>14</v>
      </c>
    </row>
    <row r="27" spans="1:17">
      <c r="A27" s="53">
        <v>45411.791666666664</v>
      </c>
      <c r="B27" s="54">
        <v>11.44</v>
      </c>
      <c r="C27" s="54">
        <v>13.24</v>
      </c>
      <c r="D27" s="54">
        <v>25.24</v>
      </c>
      <c r="E27" s="54">
        <v>37.729999999999997</v>
      </c>
      <c r="F27" s="54">
        <v>30.37</v>
      </c>
      <c r="G27" s="54">
        <v>49.52</v>
      </c>
      <c r="H27" s="54">
        <v>22.36</v>
      </c>
      <c r="I27" s="54">
        <v>6.87</v>
      </c>
      <c r="J27" s="54">
        <v>0.81</v>
      </c>
      <c r="K27" s="54">
        <v>331.52</v>
      </c>
      <c r="L27" s="54">
        <v>36.869999999999997</v>
      </c>
      <c r="M27" s="54">
        <v>30.98</v>
      </c>
      <c r="N27" s="54">
        <v>0.7</v>
      </c>
      <c r="O27" s="54">
        <v>0</v>
      </c>
      <c r="P27" s="54">
        <v>0.77</v>
      </c>
      <c r="Q27" s="27" t="s">
        <v>14</v>
      </c>
    </row>
    <row r="28" spans="1:17">
      <c r="A28" s="53">
        <v>45411.833333333336</v>
      </c>
      <c r="B28" s="54">
        <v>11.44</v>
      </c>
      <c r="C28" s="54">
        <v>13.28</v>
      </c>
      <c r="D28" s="54">
        <v>25.26</v>
      </c>
      <c r="E28" s="54">
        <v>26.8</v>
      </c>
      <c r="F28" s="54">
        <v>16.41</v>
      </c>
      <c r="G28" s="54">
        <v>59.12</v>
      </c>
      <c r="H28" s="54">
        <v>24.39</v>
      </c>
      <c r="I28" s="54">
        <v>8.32</v>
      </c>
      <c r="J28" s="54">
        <v>0.66</v>
      </c>
      <c r="K28" s="54">
        <v>316.02999999999997</v>
      </c>
      <c r="L28" s="54">
        <v>36.200000000000003</v>
      </c>
      <c r="M28" s="54">
        <v>35.700000000000003</v>
      </c>
      <c r="N28" s="54">
        <v>0</v>
      </c>
      <c r="O28" s="54">
        <v>0</v>
      </c>
      <c r="P28" s="54">
        <v>0.81</v>
      </c>
      <c r="Q28" s="27" t="s">
        <v>14</v>
      </c>
    </row>
    <row r="29" spans="1:17">
      <c r="A29" s="53">
        <v>45411.875</v>
      </c>
      <c r="B29" s="54">
        <v>11.38</v>
      </c>
      <c r="C29" s="54">
        <v>13.15</v>
      </c>
      <c r="D29" s="54">
        <v>25.14</v>
      </c>
      <c r="E29" s="54">
        <v>14.6</v>
      </c>
      <c r="F29" s="54">
        <v>18.07</v>
      </c>
      <c r="G29" s="54">
        <v>62.11</v>
      </c>
      <c r="H29" s="54">
        <v>24.39</v>
      </c>
      <c r="I29" s="54">
        <v>7.79</v>
      </c>
      <c r="J29" s="54">
        <v>0.28999999999999998</v>
      </c>
      <c r="K29" s="54">
        <v>256.45</v>
      </c>
      <c r="L29" s="54">
        <v>33.79</v>
      </c>
      <c r="M29" s="54">
        <v>43.76</v>
      </c>
      <c r="N29" s="54">
        <v>0</v>
      </c>
      <c r="O29" s="54">
        <v>0</v>
      </c>
      <c r="P29" s="54">
        <v>0.76</v>
      </c>
      <c r="Q29" s="27" t="s">
        <v>14</v>
      </c>
    </row>
    <row r="30" spans="1:17">
      <c r="A30" s="53">
        <v>45411.916666666664</v>
      </c>
      <c r="B30" s="54">
        <v>11.38</v>
      </c>
      <c r="C30" s="54">
        <v>13.27</v>
      </c>
      <c r="D30" s="54">
        <v>25.2</v>
      </c>
      <c r="E30" s="54">
        <v>11.36</v>
      </c>
      <c r="F30" s="54">
        <v>19.350000000000001</v>
      </c>
      <c r="G30" s="54">
        <v>62.11</v>
      </c>
      <c r="H30" s="54">
        <v>24.19</v>
      </c>
      <c r="I30" s="54">
        <v>6.82</v>
      </c>
      <c r="J30" s="54">
        <v>0.13</v>
      </c>
      <c r="K30" s="54">
        <v>225.98</v>
      </c>
      <c r="L30" s="54">
        <v>32.35</v>
      </c>
      <c r="M30" s="54">
        <v>51.75</v>
      </c>
      <c r="N30" s="54">
        <v>0</v>
      </c>
      <c r="O30" s="54">
        <v>0</v>
      </c>
      <c r="P30" s="54">
        <v>0.65</v>
      </c>
      <c r="Q30" s="27" t="s">
        <v>14</v>
      </c>
    </row>
    <row r="31" spans="1:17">
      <c r="A31" s="53">
        <v>45411.958333333336</v>
      </c>
      <c r="B31" s="54">
        <v>11.33</v>
      </c>
      <c r="C31" s="54">
        <v>13.21</v>
      </c>
      <c r="D31" s="54">
        <v>25.13</v>
      </c>
      <c r="E31" s="54">
        <v>11.75</v>
      </c>
      <c r="F31" s="54">
        <v>12.23</v>
      </c>
      <c r="G31" s="54">
        <v>57.59</v>
      </c>
      <c r="H31" s="54">
        <v>24.05</v>
      </c>
      <c r="I31" s="54">
        <v>6.33</v>
      </c>
      <c r="J31" s="54">
        <v>0.16</v>
      </c>
      <c r="K31" s="54">
        <v>206.54</v>
      </c>
      <c r="L31" s="54">
        <v>31.12</v>
      </c>
      <c r="M31" s="54">
        <v>52.72</v>
      </c>
      <c r="N31" s="54">
        <v>0</v>
      </c>
      <c r="O31" s="54">
        <v>0</v>
      </c>
      <c r="P31" s="54">
        <v>0.63</v>
      </c>
      <c r="Q31" s="27" t="s">
        <v>14</v>
      </c>
    </row>
    <row r="32" spans="1:17">
      <c r="A32" s="53">
        <v>45412</v>
      </c>
      <c r="B32" s="54">
        <v>11.34</v>
      </c>
      <c r="C32" s="54">
        <v>13.37</v>
      </c>
      <c r="D32" s="54">
        <v>25.22</v>
      </c>
      <c r="E32" s="54">
        <v>12.21</v>
      </c>
      <c r="F32" s="54">
        <v>16.079999999999998</v>
      </c>
      <c r="G32" s="54">
        <v>49.26</v>
      </c>
      <c r="H32" s="54">
        <v>21.51</v>
      </c>
      <c r="I32" s="54">
        <v>6.11</v>
      </c>
      <c r="J32" s="54">
        <v>0.2</v>
      </c>
      <c r="K32" s="54">
        <v>227.46</v>
      </c>
      <c r="L32" s="54">
        <v>30.59</v>
      </c>
      <c r="M32" s="54">
        <v>55.11</v>
      </c>
      <c r="N32" s="54">
        <v>0</v>
      </c>
      <c r="O32" s="54">
        <v>0</v>
      </c>
      <c r="P32" s="54">
        <v>0.61</v>
      </c>
      <c r="Q32" s="27" t="s">
        <v>14</v>
      </c>
    </row>
    <row r="33" spans="1:2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>
      <c r="A34" s="32" t="s">
        <v>48</v>
      </c>
      <c r="B34" s="40">
        <f t="shared" ref="B34:Q34" si="0">MIN(B9:B32)</f>
        <v>11.32</v>
      </c>
      <c r="C34" s="40">
        <f t="shared" si="0"/>
        <v>13.15</v>
      </c>
      <c r="D34" s="40">
        <f t="shared" si="0"/>
        <v>25.11</v>
      </c>
      <c r="E34" s="40">
        <f t="shared" si="0"/>
        <v>10.92</v>
      </c>
      <c r="F34" s="40">
        <f t="shared" si="0"/>
        <v>1</v>
      </c>
      <c r="G34" s="40">
        <f t="shared" si="0"/>
        <v>48.7</v>
      </c>
      <c r="H34" s="40">
        <f t="shared" si="0"/>
        <v>21.51</v>
      </c>
      <c r="I34" s="40">
        <f t="shared" si="0"/>
        <v>6.11</v>
      </c>
      <c r="J34" s="40">
        <f t="shared" si="0"/>
        <v>0.13</v>
      </c>
      <c r="K34" s="40">
        <f t="shared" si="0"/>
        <v>166.8</v>
      </c>
      <c r="L34" s="40">
        <f t="shared" si="0"/>
        <v>23.93</v>
      </c>
      <c r="M34" s="40">
        <f t="shared" si="0"/>
        <v>27.27</v>
      </c>
      <c r="N34" s="40">
        <f t="shared" si="0"/>
        <v>0</v>
      </c>
      <c r="O34" s="40">
        <f t="shared" si="0"/>
        <v>0</v>
      </c>
      <c r="P34" s="40">
        <f t="shared" si="0"/>
        <v>0.61</v>
      </c>
      <c r="Q34" s="40">
        <f t="shared" si="0"/>
        <v>0</v>
      </c>
      <c r="R34" s="40"/>
      <c r="S34" s="40"/>
      <c r="T34" s="40"/>
      <c r="U34" s="40"/>
    </row>
    <row r="35" spans="1:21">
      <c r="A35" s="32" t="s">
        <v>49</v>
      </c>
      <c r="B35" s="33">
        <f t="shared" ref="B35:Q35" si="1">MAX(B9:B32)</f>
        <v>12.71</v>
      </c>
      <c r="C35" s="33">
        <f t="shared" si="1"/>
        <v>14.26</v>
      </c>
      <c r="D35" s="33">
        <f t="shared" si="1"/>
        <v>26.79</v>
      </c>
      <c r="E35" s="33">
        <f t="shared" si="1"/>
        <v>37.729999999999997</v>
      </c>
      <c r="F35" s="33">
        <f t="shared" si="1"/>
        <v>64.97</v>
      </c>
      <c r="G35" s="33">
        <f t="shared" si="1"/>
        <v>121.33</v>
      </c>
      <c r="H35" s="33">
        <f t="shared" si="1"/>
        <v>44.14</v>
      </c>
      <c r="I35" s="33">
        <f t="shared" si="1"/>
        <v>12.59</v>
      </c>
      <c r="J35" s="33">
        <f t="shared" si="1"/>
        <v>1.4</v>
      </c>
      <c r="K35" s="33">
        <f t="shared" si="1"/>
        <v>334.47</v>
      </c>
      <c r="L35" s="33">
        <f t="shared" si="1"/>
        <v>39.94</v>
      </c>
      <c r="M35" s="33">
        <f t="shared" si="1"/>
        <v>83.61</v>
      </c>
      <c r="N35" s="33">
        <f t="shared" si="1"/>
        <v>760.5</v>
      </c>
      <c r="O35" s="33">
        <f t="shared" si="1"/>
        <v>0</v>
      </c>
      <c r="P35" s="33">
        <f t="shared" si="1"/>
        <v>1.19</v>
      </c>
      <c r="Q35" s="33">
        <f t="shared" si="1"/>
        <v>0</v>
      </c>
      <c r="R35" s="33"/>
      <c r="S35" s="33"/>
      <c r="T35" s="33"/>
      <c r="U35" s="33"/>
    </row>
    <row r="36" spans="1:21">
      <c r="A36" s="32" t="s">
        <v>50</v>
      </c>
      <c r="B36" s="40">
        <f t="shared" ref="B36:Q36" si="2">AVERAGE(B9:B32)</f>
        <v>11.50333333333333</v>
      </c>
      <c r="C36" s="40">
        <f t="shared" si="2"/>
        <v>13.309999999999997</v>
      </c>
      <c r="D36" s="40">
        <f t="shared" si="2"/>
        <v>25.317500000000006</v>
      </c>
      <c r="E36" s="40">
        <f t="shared" si="2"/>
        <v>19.17625</v>
      </c>
      <c r="F36" s="40">
        <f t="shared" si="2"/>
        <v>17.190416666666671</v>
      </c>
      <c r="G36" s="40">
        <f t="shared" si="2"/>
        <v>80.121250000000003</v>
      </c>
      <c r="H36" s="40">
        <f t="shared" si="2"/>
        <v>30.430416666666662</v>
      </c>
      <c r="I36" s="40">
        <f t="shared" si="2"/>
        <v>9.5995833333333334</v>
      </c>
      <c r="J36" s="40">
        <f t="shared" si="2"/>
        <v>0.64291666666666658</v>
      </c>
      <c r="K36" s="40">
        <f t="shared" si="2"/>
        <v>253.61708333333331</v>
      </c>
      <c r="L36" s="40">
        <f t="shared" si="2"/>
        <v>32.946666666666665</v>
      </c>
      <c r="M36" s="40">
        <f t="shared" si="2"/>
        <v>51.049583333333324</v>
      </c>
      <c r="N36" s="40">
        <f t="shared" si="2"/>
        <v>218.01249999999996</v>
      </c>
      <c r="O36" s="40">
        <f t="shared" si="2"/>
        <v>0</v>
      </c>
      <c r="P36" s="40">
        <f t="shared" si="2"/>
        <v>0.90374999999999972</v>
      </c>
      <c r="Q36" s="27" t="s">
        <v>14</v>
      </c>
      <c r="R36" s="40"/>
      <c r="S36" s="40"/>
      <c r="T36" s="40"/>
      <c r="U36" s="40"/>
    </row>
    <row r="37" spans="1:21">
      <c r="A37" s="32" t="s">
        <v>51</v>
      </c>
      <c r="B37" s="40">
        <f>STDEV(B9:B32)</f>
        <v>0.29219806663455877</v>
      </c>
      <c r="C37" s="40">
        <f t="shared" ref="C37:Q37" si="3">STDEV(C9:C32)</f>
        <v>0.23226671325667164</v>
      </c>
      <c r="D37" s="40">
        <f t="shared" si="3"/>
        <v>0.35489435047592249</v>
      </c>
      <c r="E37" s="40">
        <f t="shared" si="3"/>
        <v>7.9501090025341083</v>
      </c>
      <c r="F37" s="40">
        <f t="shared" si="3"/>
        <v>16.666229974351452</v>
      </c>
      <c r="G37" s="40">
        <f t="shared" si="3"/>
        <v>25.637348488094485</v>
      </c>
      <c r="H37" s="40">
        <f t="shared" si="3"/>
        <v>7.0645326496500287</v>
      </c>
      <c r="I37" s="40">
        <f t="shared" si="3"/>
        <v>2.1333062300135186</v>
      </c>
      <c r="J37" s="40">
        <f t="shared" si="3"/>
        <v>0.3999399864399949</v>
      </c>
      <c r="K37" s="40">
        <f t="shared" si="3"/>
        <v>51.103041386489835</v>
      </c>
      <c r="L37" s="40">
        <f t="shared" si="3"/>
        <v>5.4900270583530819</v>
      </c>
      <c r="M37" s="40">
        <f t="shared" si="3"/>
        <v>20.164753468057487</v>
      </c>
      <c r="N37" s="40">
        <f t="shared" si="3"/>
        <v>287.26855381483989</v>
      </c>
      <c r="O37" s="40">
        <f t="shared" si="3"/>
        <v>0</v>
      </c>
      <c r="P37" s="40">
        <f t="shared" si="3"/>
        <v>0.17682741524607823</v>
      </c>
      <c r="Q37" s="27" t="s">
        <v>14</v>
      </c>
      <c r="R37" s="40"/>
      <c r="S37" s="40"/>
      <c r="T37" s="40"/>
      <c r="U37" s="40"/>
    </row>
    <row r="38" spans="1:2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0</v>
      </c>
      <c r="R38" s="45"/>
      <c r="S38" s="45"/>
      <c r="T38" s="45"/>
      <c r="U38" s="45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8"/>
      <c r="O41" s="48"/>
      <c r="P41" s="48"/>
      <c r="Q41" s="48"/>
      <c r="R41" s="48"/>
      <c r="S41" s="48"/>
      <c r="T41" s="48"/>
      <c r="U41" s="48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topLeftCell="A14" zoomScale="85" zoomScaleNormal="85" workbookViewId="0">
      <selection activeCell="Q36" sqref="Q36:Q37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45412.041666666664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45412.041666666664</v>
      </c>
      <c r="B9" s="54">
        <v>11.36</v>
      </c>
      <c r="C9" s="54">
        <v>13.13</v>
      </c>
      <c r="D9" s="54">
        <v>25.1</v>
      </c>
      <c r="E9" s="54">
        <v>11.97</v>
      </c>
      <c r="F9" s="54">
        <v>26.01</v>
      </c>
      <c r="G9" s="54">
        <v>47.02</v>
      </c>
      <c r="H9" s="54">
        <v>21.51</v>
      </c>
      <c r="I9" s="54">
        <v>5.94</v>
      </c>
      <c r="J9" s="54">
        <v>0.2</v>
      </c>
      <c r="K9" s="54">
        <v>193.18</v>
      </c>
      <c r="L9" s="54">
        <v>30.04</v>
      </c>
      <c r="M9" s="54">
        <v>59.68</v>
      </c>
      <c r="N9" s="54">
        <v>0</v>
      </c>
      <c r="O9" s="54">
        <v>0</v>
      </c>
      <c r="P9" s="54">
        <v>0.56000000000000005</v>
      </c>
      <c r="Q9" s="27" t="s">
        <v>14</v>
      </c>
    </row>
    <row r="10" spans="1:21" customFormat="1">
      <c r="A10" s="53">
        <v>45412.083333333336</v>
      </c>
      <c r="B10" s="54">
        <v>11.37</v>
      </c>
      <c r="C10" s="54">
        <v>13.17</v>
      </c>
      <c r="D10" s="54">
        <v>25.14</v>
      </c>
      <c r="E10" s="54">
        <v>11.4</v>
      </c>
      <c r="F10" s="54">
        <v>19.77</v>
      </c>
      <c r="G10" s="54">
        <v>47.02</v>
      </c>
      <c r="H10" s="54">
        <v>20.14</v>
      </c>
      <c r="I10" s="54">
        <v>5.12</v>
      </c>
      <c r="J10" s="54">
        <v>0.22</v>
      </c>
      <c r="K10" s="54">
        <v>230.3</v>
      </c>
      <c r="L10" s="54">
        <v>29.41</v>
      </c>
      <c r="M10" s="54">
        <v>59.71</v>
      </c>
      <c r="N10" s="54">
        <v>0</v>
      </c>
      <c r="O10" s="54">
        <v>0</v>
      </c>
      <c r="P10" s="54">
        <v>0.53</v>
      </c>
      <c r="Q10" s="27" t="s">
        <v>14</v>
      </c>
    </row>
    <row r="11" spans="1:21" customFormat="1">
      <c r="A11" s="53">
        <v>45412.125</v>
      </c>
      <c r="B11" s="54">
        <v>11.33</v>
      </c>
      <c r="C11" s="54">
        <v>13.14</v>
      </c>
      <c r="D11" s="54">
        <v>25.09</v>
      </c>
      <c r="E11" s="54">
        <v>11.63</v>
      </c>
      <c r="F11" s="54">
        <v>19.32</v>
      </c>
      <c r="G11" s="54">
        <v>45.43</v>
      </c>
      <c r="H11" s="54">
        <v>20.14</v>
      </c>
      <c r="I11" s="54">
        <v>5.19</v>
      </c>
      <c r="J11" s="54">
        <v>0.24</v>
      </c>
      <c r="K11" s="54">
        <v>223.65</v>
      </c>
      <c r="L11" s="54">
        <v>28.91</v>
      </c>
      <c r="M11" s="54">
        <v>61.08</v>
      </c>
      <c r="N11" s="54">
        <v>0</v>
      </c>
      <c r="O11" s="54">
        <v>0</v>
      </c>
      <c r="P11" s="54">
        <v>0.52</v>
      </c>
      <c r="Q11" s="27" t="s">
        <v>14</v>
      </c>
    </row>
    <row r="12" spans="1:21" customFormat="1">
      <c r="A12" s="53">
        <v>45412.166666666664</v>
      </c>
      <c r="B12" s="54">
        <v>11.3</v>
      </c>
      <c r="C12" s="54">
        <v>13.16</v>
      </c>
      <c r="D12" s="54">
        <v>25.08</v>
      </c>
      <c r="E12" s="54">
        <v>11.65</v>
      </c>
      <c r="F12" s="54">
        <v>20.12</v>
      </c>
      <c r="G12" s="54">
        <v>36.799999999999997</v>
      </c>
      <c r="H12" s="54">
        <v>18.11</v>
      </c>
      <c r="I12" s="54">
        <v>5.13</v>
      </c>
      <c r="J12" s="54">
        <v>0.25</v>
      </c>
      <c r="K12" s="54">
        <v>224.67</v>
      </c>
      <c r="L12" s="54">
        <v>28.69</v>
      </c>
      <c r="M12" s="54">
        <v>61.35</v>
      </c>
      <c r="N12" s="54">
        <v>0</v>
      </c>
      <c r="O12" s="54">
        <v>0</v>
      </c>
      <c r="P12" s="54">
        <v>0.51</v>
      </c>
      <c r="Q12" s="27" t="s">
        <v>14</v>
      </c>
    </row>
    <row r="13" spans="1:21" customFormat="1">
      <c r="A13" s="53">
        <v>45412.208333333336</v>
      </c>
      <c r="B13" s="54">
        <v>11.31</v>
      </c>
      <c r="C13" s="54">
        <v>13.16</v>
      </c>
      <c r="D13" s="54">
        <v>25.08</v>
      </c>
      <c r="E13" s="54">
        <v>12.38</v>
      </c>
      <c r="F13" s="54">
        <v>14.22</v>
      </c>
      <c r="G13" s="54">
        <v>36.270000000000003</v>
      </c>
      <c r="H13" s="54">
        <v>16.64</v>
      </c>
      <c r="I13" s="54">
        <v>5.25</v>
      </c>
      <c r="J13" s="54">
        <v>0.17</v>
      </c>
      <c r="K13" s="54">
        <v>217.24</v>
      </c>
      <c r="L13" s="54">
        <v>28.28</v>
      </c>
      <c r="M13" s="54">
        <v>65.19</v>
      </c>
      <c r="N13" s="54">
        <v>0</v>
      </c>
      <c r="O13" s="54">
        <v>0</v>
      </c>
      <c r="P13" s="54">
        <v>0.52</v>
      </c>
      <c r="Q13" s="27" t="s">
        <v>14</v>
      </c>
    </row>
    <row r="14" spans="1:21" customFormat="1">
      <c r="A14" s="53">
        <v>45412.25</v>
      </c>
      <c r="B14" s="54">
        <v>11.31</v>
      </c>
      <c r="C14" s="54">
        <v>13.25</v>
      </c>
      <c r="D14" s="54">
        <v>25.14</v>
      </c>
      <c r="E14" s="54">
        <v>12.04</v>
      </c>
      <c r="F14" s="54">
        <v>4.84</v>
      </c>
      <c r="G14" s="54">
        <v>33.590000000000003</v>
      </c>
      <c r="H14" s="54">
        <v>15.08</v>
      </c>
      <c r="I14" s="54">
        <v>5.43</v>
      </c>
      <c r="J14" s="54">
        <v>0.2</v>
      </c>
      <c r="K14" s="54">
        <v>199.77</v>
      </c>
      <c r="L14" s="54">
        <v>27.73</v>
      </c>
      <c r="M14" s="54">
        <v>66</v>
      </c>
      <c r="N14" s="54">
        <v>17.100000000000001</v>
      </c>
      <c r="O14" s="54">
        <v>0</v>
      </c>
      <c r="P14" s="54">
        <v>0.53</v>
      </c>
      <c r="Q14" s="27" t="s">
        <v>14</v>
      </c>
    </row>
    <row r="15" spans="1:21" customFormat="1">
      <c r="A15" s="53">
        <v>45412.291666666664</v>
      </c>
      <c r="B15" s="54">
        <v>11.3</v>
      </c>
      <c r="C15" s="54">
        <v>13.24</v>
      </c>
      <c r="D15" s="54">
        <v>25.11</v>
      </c>
      <c r="E15" s="54">
        <v>12.22</v>
      </c>
      <c r="F15" s="54">
        <v>4.42</v>
      </c>
      <c r="G15" s="54">
        <v>33.94</v>
      </c>
      <c r="H15" s="54">
        <v>18.829999999999998</v>
      </c>
      <c r="I15" s="54">
        <v>5.45</v>
      </c>
      <c r="J15" s="54">
        <v>0.59</v>
      </c>
      <c r="K15" s="54">
        <v>259.37</v>
      </c>
      <c r="L15" s="54">
        <v>30.44</v>
      </c>
      <c r="M15" s="54">
        <v>63.48</v>
      </c>
      <c r="N15" s="54">
        <v>106.9</v>
      </c>
      <c r="O15" s="54">
        <v>0</v>
      </c>
      <c r="P15" s="54">
        <v>0.52</v>
      </c>
      <c r="Q15" s="27" t="s">
        <v>14</v>
      </c>
    </row>
    <row r="16" spans="1:21" customFormat="1">
      <c r="A16" s="53">
        <v>45412.333333333336</v>
      </c>
      <c r="B16" s="54">
        <v>11.3</v>
      </c>
      <c r="C16" s="54">
        <v>13.17</v>
      </c>
      <c r="D16" s="54">
        <v>25.09</v>
      </c>
      <c r="E16" s="54">
        <v>13.55</v>
      </c>
      <c r="F16" s="54">
        <v>5.07</v>
      </c>
      <c r="G16" s="54">
        <v>36.39</v>
      </c>
      <c r="H16" s="54">
        <v>18.850000000000001</v>
      </c>
      <c r="I16" s="54">
        <v>5.72</v>
      </c>
      <c r="J16" s="54">
        <v>0.89</v>
      </c>
      <c r="K16" s="54">
        <v>266.70999999999998</v>
      </c>
      <c r="L16" s="54">
        <v>31.5</v>
      </c>
      <c r="M16" s="54">
        <v>53.54</v>
      </c>
      <c r="N16" s="54">
        <v>125.7</v>
      </c>
      <c r="O16" s="54">
        <v>0</v>
      </c>
      <c r="P16" s="54">
        <v>0.55000000000000004</v>
      </c>
      <c r="Q16" s="27" t="s">
        <v>14</v>
      </c>
    </row>
    <row r="17" spans="1:17" customFormat="1">
      <c r="A17" s="53">
        <v>45412.375</v>
      </c>
      <c r="B17" s="54">
        <v>11.3</v>
      </c>
      <c r="C17" s="54">
        <v>13.23</v>
      </c>
      <c r="D17" s="54">
        <v>25.12</v>
      </c>
      <c r="E17" s="54">
        <v>15.88</v>
      </c>
      <c r="F17" s="54">
        <v>6.56</v>
      </c>
      <c r="G17" s="54">
        <v>41.61</v>
      </c>
      <c r="H17" s="54">
        <v>18.850000000000001</v>
      </c>
      <c r="I17" s="54">
        <v>6.4</v>
      </c>
      <c r="J17" s="54">
        <v>0.91</v>
      </c>
      <c r="K17" s="54">
        <v>279.27999999999997</v>
      </c>
      <c r="L17" s="54">
        <v>34.479999999999997</v>
      </c>
      <c r="M17" s="54">
        <v>45.26</v>
      </c>
      <c r="N17" s="54">
        <v>336.4</v>
      </c>
      <c r="O17" s="54">
        <v>0</v>
      </c>
      <c r="P17" s="54">
        <v>0.61</v>
      </c>
      <c r="Q17" s="27" t="s">
        <v>14</v>
      </c>
    </row>
    <row r="18" spans="1:17" customFormat="1">
      <c r="A18" s="53">
        <v>45412.416666666664</v>
      </c>
      <c r="B18" s="54">
        <v>11.32</v>
      </c>
      <c r="C18" s="54">
        <v>13.18</v>
      </c>
      <c r="D18" s="54">
        <v>25.08</v>
      </c>
      <c r="E18" s="54">
        <v>36.01</v>
      </c>
      <c r="F18" s="54">
        <v>22.21</v>
      </c>
      <c r="G18" s="54">
        <v>44.46</v>
      </c>
      <c r="H18" s="54">
        <v>19.21</v>
      </c>
      <c r="I18" s="54">
        <v>7.17</v>
      </c>
      <c r="J18" s="54">
        <v>1.1599999999999999</v>
      </c>
      <c r="K18" s="54">
        <v>299.93</v>
      </c>
      <c r="L18" s="54">
        <v>36.700000000000003</v>
      </c>
      <c r="M18" s="54">
        <v>39.44</v>
      </c>
      <c r="N18" s="54">
        <v>403.9</v>
      </c>
      <c r="O18" s="54">
        <v>0</v>
      </c>
      <c r="P18" s="54">
        <v>0.91</v>
      </c>
      <c r="Q18" s="27" t="s">
        <v>14</v>
      </c>
    </row>
    <row r="19" spans="1:17" customFormat="1">
      <c r="A19" s="53">
        <v>45412.458333333336</v>
      </c>
      <c r="B19" s="54">
        <v>11.44</v>
      </c>
      <c r="C19" s="54">
        <v>13.34</v>
      </c>
      <c r="D19" s="54">
        <v>25.28</v>
      </c>
      <c r="E19" s="54">
        <v>35.46</v>
      </c>
      <c r="F19" s="54">
        <v>37.26</v>
      </c>
      <c r="G19" s="54">
        <v>59.21</v>
      </c>
      <c r="H19" s="54">
        <v>26.15</v>
      </c>
      <c r="I19" s="54">
        <v>10.38</v>
      </c>
      <c r="J19" s="54">
        <v>1.08</v>
      </c>
      <c r="K19" s="54">
        <v>284.48</v>
      </c>
      <c r="L19" s="54">
        <v>38.299999999999997</v>
      </c>
      <c r="M19" s="54">
        <v>34.17</v>
      </c>
      <c r="N19" s="54">
        <v>652</v>
      </c>
      <c r="O19" s="54">
        <v>0</v>
      </c>
      <c r="P19" s="54">
        <v>1.03</v>
      </c>
      <c r="Q19" s="27" t="s">
        <v>14</v>
      </c>
    </row>
    <row r="20" spans="1:17" customFormat="1">
      <c r="A20" s="53">
        <v>45412.5</v>
      </c>
      <c r="B20" s="54">
        <v>11.41</v>
      </c>
      <c r="C20" s="54">
        <v>13.15</v>
      </c>
      <c r="D20" s="54">
        <v>25.14</v>
      </c>
      <c r="E20" s="54">
        <v>30.24</v>
      </c>
      <c r="F20" s="54">
        <v>70.64</v>
      </c>
      <c r="G20" s="54">
        <v>61.77</v>
      </c>
      <c r="H20" s="54">
        <v>26.15</v>
      </c>
      <c r="I20" s="54">
        <v>9.8800000000000008</v>
      </c>
      <c r="J20" s="54">
        <v>1.42</v>
      </c>
      <c r="K20" s="54">
        <v>273.19</v>
      </c>
      <c r="L20" s="54">
        <v>39.65</v>
      </c>
      <c r="M20" s="54">
        <v>31.1</v>
      </c>
      <c r="N20" s="54">
        <v>760.4</v>
      </c>
      <c r="O20" s="54">
        <v>0</v>
      </c>
      <c r="P20" s="54">
        <v>0.8</v>
      </c>
      <c r="Q20" s="27" t="s">
        <v>14</v>
      </c>
    </row>
    <row r="21" spans="1:17" customFormat="1">
      <c r="A21" s="53">
        <v>45412.541666666664</v>
      </c>
      <c r="B21" s="54">
        <v>11.51</v>
      </c>
      <c r="C21" s="54">
        <v>13.23</v>
      </c>
      <c r="D21" s="54">
        <v>25.27</v>
      </c>
      <c r="E21" s="54">
        <v>25.6</v>
      </c>
      <c r="F21" s="54">
        <v>69.11</v>
      </c>
      <c r="G21" s="54">
        <v>61.77</v>
      </c>
      <c r="H21" s="54">
        <v>25.39</v>
      </c>
      <c r="I21" s="54">
        <v>6.22</v>
      </c>
      <c r="J21" s="54">
        <v>1.44</v>
      </c>
      <c r="K21" s="54">
        <v>285.81</v>
      </c>
      <c r="L21" s="54">
        <v>40.950000000000003</v>
      </c>
      <c r="M21" s="54">
        <v>28.05</v>
      </c>
      <c r="N21" s="54">
        <v>774.7</v>
      </c>
      <c r="O21" s="54">
        <v>0</v>
      </c>
      <c r="P21" s="54">
        <v>0.59</v>
      </c>
      <c r="Q21" s="27" t="s">
        <v>14</v>
      </c>
    </row>
    <row r="22" spans="1:17" customFormat="1">
      <c r="A22" s="53">
        <v>45412.583333333336</v>
      </c>
      <c r="B22" s="54">
        <v>11.41</v>
      </c>
      <c r="C22" s="54">
        <v>13.14</v>
      </c>
      <c r="D22" s="54">
        <v>25.16</v>
      </c>
      <c r="E22" s="54">
        <v>29.47</v>
      </c>
      <c r="F22" s="54">
        <v>66.42</v>
      </c>
      <c r="G22" s="11" t="s">
        <v>12</v>
      </c>
      <c r="H22" s="11" t="s">
        <v>12</v>
      </c>
      <c r="I22" s="54">
        <v>4.2699999999999996</v>
      </c>
      <c r="J22" s="54">
        <v>1.79</v>
      </c>
      <c r="K22" s="54">
        <v>283.49</v>
      </c>
      <c r="L22" s="54">
        <v>41.05</v>
      </c>
      <c r="M22" s="54">
        <v>25.35</v>
      </c>
      <c r="N22" s="54">
        <v>745.4</v>
      </c>
      <c r="O22" s="54">
        <v>0</v>
      </c>
      <c r="P22" s="54">
        <v>0.52</v>
      </c>
      <c r="Q22" s="27" t="s">
        <v>14</v>
      </c>
    </row>
    <row r="23" spans="1:17" customFormat="1">
      <c r="A23" s="53">
        <v>45412.625</v>
      </c>
      <c r="B23" s="54">
        <v>11.5</v>
      </c>
      <c r="C23" s="54">
        <v>13.14</v>
      </c>
      <c r="D23" s="54">
        <v>25.2</v>
      </c>
      <c r="E23" s="54">
        <v>31.94</v>
      </c>
      <c r="F23" s="54">
        <v>74.47</v>
      </c>
      <c r="G23" s="11" t="s">
        <v>12</v>
      </c>
      <c r="H23" s="11" t="s">
        <v>12</v>
      </c>
      <c r="I23" s="54">
        <v>3.91</v>
      </c>
      <c r="J23" s="54">
        <v>1.62</v>
      </c>
      <c r="K23" s="54">
        <v>290.54000000000002</v>
      </c>
      <c r="L23" s="54">
        <v>41.78</v>
      </c>
      <c r="M23" s="54">
        <v>24.15</v>
      </c>
      <c r="N23" s="54">
        <v>665.5</v>
      </c>
      <c r="O23" s="54">
        <v>0</v>
      </c>
      <c r="P23" s="54">
        <v>0.53</v>
      </c>
      <c r="Q23" s="27" t="s">
        <v>14</v>
      </c>
    </row>
    <row r="24" spans="1:17" customFormat="1">
      <c r="A24" s="53">
        <v>45412.666666666664</v>
      </c>
      <c r="B24" s="54">
        <v>11.39</v>
      </c>
      <c r="C24" s="54">
        <v>13.07</v>
      </c>
      <c r="D24" s="54">
        <v>25.11</v>
      </c>
      <c r="E24" s="54">
        <v>36</v>
      </c>
      <c r="F24" s="54">
        <v>87.14</v>
      </c>
      <c r="G24" s="11" t="s">
        <v>12</v>
      </c>
      <c r="H24" s="11" t="s">
        <v>12</v>
      </c>
      <c r="I24" s="54">
        <v>3.68</v>
      </c>
      <c r="J24" s="54">
        <v>1.41</v>
      </c>
      <c r="K24" s="54">
        <v>281.27999999999997</v>
      </c>
      <c r="L24" s="54">
        <v>41.25</v>
      </c>
      <c r="M24" s="54">
        <v>24.79</v>
      </c>
      <c r="N24" s="54">
        <v>531.1</v>
      </c>
      <c r="O24" s="54">
        <v>0</v>
      </c>
      <c r="P24" s="54">
        <v>0.49</v>
      </c>
      <c r="Q24" s="27" t="s">
        <v>14</v>
      </c>
    </row>
    <row r="25" spans="1:17" customFormat="1">
      <c r="A25" s="53">
        <v>45412.708333333336</v>
      </c>
      <c r="B25" s="54">
        <v>11.38</v>
      </c>
      <c r="C25" s="54">
        <v>13.13</v>
      </c>
      <c r="D25" s="54">
        <v>25.11</v>
      </c>
      <c r="E25" s="54">
        <v>47.37</v>
      </c>
      <c r="F25" s="54">
        <v>97.99</v>
      </c>
      <c r="G25" s="54">
        <v>20.63</v>
      </c>
      <c r="H25" s="54">
        <v>5.83</v>
      </c>
      <c r="I25" s="54">
        <v>3.51</v>
      </c>
      <c r="J25" s="54">
        <v>1.26</v>
      </c>
      <c r="K25" s="54">
        <v>297.2</v>
      </c>
      <c r="L25" s="54">
        <v>40.76</v>
      </c>
      <c r="M25" s="54">
        <v>27.11</v>
      </c>
      <c r="N25" s="54">
        <v>289.60000000000002</v>
      </c>
      <c r="O25" s="54">
        <v>0</v>
      </c>
      <c r="P25" s="54">
        <v>0.53</v>
      </c>
      <c r="Q25" s="27" t="s">
        <v>14</v>
      </c>
    </row>
    <row r="26" spans="1:17" customFormat="1">
      <c r="A26" s="53">
        <v>45412.75</v>
      </c>
      <c r="B26" s="54">
        <v>11.36</v>
      </c>
      <c r="C26" s="54">
        <v>13.16</v>
      </c>
      <c r="D26" s="54">
        <v>25.13</v>
      </c>
      <c r="E26" s="54">
        <v>23.27</v>
      </c>
      <c r="F26" s="54">
        <v>25.52</v>
      </c>
      <c r="G26" s="54">
        <v>33.82</v>
      </c>
      <c r="H26" s="54">
        <v>14.39</v>
      </c>
      <c r="I26" s="54">
        <v>3.81</v>
      </c>
      <c r="J26" s="54">
        <v>1.42</v>
      </c>
      <c r="K26" s="54">
        <v>304.05</v>
      </c>
      <c r="L26" s="54">
        <v>39.79</v>
      </c>
      <c r="M26" s="54">
        <v>27.41</v>
      </c>
      <c r="N26" s="54">
        <v>107.3</v>
      </c>
      <c r="O26" s="54">
        <v>0</v>
      </c>
      <c r="P26" s="54">
        <v>0.56000000000000005</v>
      </c>
      <c r="Q26" s="27" t="s">
        <v>14</v>
      </c>
    </row>
    <row r="27" spans="1:17" customFormat="1">
      <c r="A27" s="53">
        <v>45412.791666666664</v>
      </c>
      <c r="B27" s="54">
        <v>11.31</v>
      </c>
      <c r="C27" s="54">
        <v>13.16</v>
      </c>
      <c r="D27" s="54">
        <v>25.09</v>
      </c>
      <c r="E27" s="54">
        <v>25.8</v>
      </c>
      <c r="F27" s="54">
        <v>27.7</v>
      </c>
      <c r="G27" s="54">
        <v>46.5</v>
      </c>
      <c r="H27" s="54">
        <v>18.420000000000002</v>
      </c>
      <c r="I27" s="54">
        <v>4.34</v>
      </c>
      <c r="J27" s="54">
        <v>0.95</v>
      </c>
      <c r="K27" s="54">
        <v>300.01</v>
      </c>
      <c r="L27" s="54">
        <v>37.979999999999997</v>
      </c>
      <c r="M27" s="54">
        <v>26.33</v>
      </c>
      <c r="N27" s="54">
        <v>0.3</v>
      </c>
      <c r="O27" s="54">
        <v>0</v>
      </c>
      <c r="P27" s="54">
        <v>0.68</v>
      </c>
      <c r="Q27" s="27" t="s">
        <v>14</v>
      </c>
    </row>
    <row r="28" spans="1:17" customFormat="1">
      <c r="A28" s="53">
        <v>45412.833333333336</v>
      </c>
      <c r="B28" s="54">
        <v>11.39</v>
      </c>
      <c r="C28" s="54">
        <v>13.18</v>
      </c>
      <c r="D28" s="54">
        <v>25.15</v>
      </c>
      <c r="E28" s="54">
        <v>34.83</v>
      </c>
      <c r="F28" s="54">
        <v>33.979999999999997</v>
      </c>
      <c r="G28" s="54">
        <v>60.6</v>
      </c>
      <c r="H28" s="54">
        <v>20.97</v>
      </c>
      <c r="I28" s="54">
        <v>5.64</v>
      </c>
      <c r="J28" s="54">
        <v>1.06</v>
      </c>
      <c r="K28" s="54">
        <v>300.27999999999997</v>
      </c>
      <c r="L28" s="54">
        <v>36.74</v>
      </c>
      <c r="M28" s="54">
        <v>30.08</v>
      </c>
      <c r="N28" s="54">
        <v>0</v>
      </c>
      <c r="O28" s="54">
        <v>0</v>
      </c>
      <c r="P28" s="54">
        <v>0.8</v>
      </c>
      <c r="Q28" s="27" t="s">
        <v>14</v>
      </c>
    </row>
    <row r="29" spans="1:17" customFormat="1">
      <c r="A29" s="53">
        <v>45412.875</v>
      </c>
      <c r="B29" s="54">
        <v>11.36</v>
      </c>
      <c r="C29" s="54">
        <v>13.24</v>
      </c>
      <c r="D29" s="54">
        <v>25.17</v>
      </c>
      <c r="E29" s="54">
        <v>38.520000000000003</v>
      </c>
      <c r="F29" s="54">
        <v>33.340000000000003</v>
      </c>
      <c r="G29" s="54">
        <v>68.58</v>
      </c>
      <c r="H29" s="54">
        <v>23.96</v>
      </c>
      <c r="I29" s="54">
        <v>6.54</v>
      </c>
      <c r="J29" s="54">
        <v>0.76</v>
      </c>
      <c r="K29" s="54">
        <v>299.73</v>
      </c>
      <c r="L29" s="54">
        <v>36.03</v>
      </c>
      <c r="M29" s="54">
        <v>32.96</v>
      </c>
      <c r="N29" s="54">
        <v>0</v>
      </c>
      <c r="O29" s="54">
        <v>0</v>
      </c>
      <c r="P29" s="54">
        <v>0.94</v>
      </c>
      <c r="Q29" s="27" t="s">
        <v>14</v>
      </c>
    </row>
    <row r="30" spans="1:17" customFormat="1">
      <c r="A30" s="53">
        <v>45412.916666666664</v>
      </c>
      <c r="B30" s="54">
        <v>11.36</v>
      </c>
      <c r="C30" s="54">
        <v>13.46</v>
      </c>
      <c r="D30" s="54">
        <v>25.28</v>
      </c>
      <c r="E30" s="54">
        <v>28.31</v>
      </c>
      <c r="F30" s="54">
        <v>28.33</v>
      </c>
      <c r="G30" s="54">
        <v>66.92</v>
      </c>
      <c r="H30" s="54">
        <v>27.51</v>
      </c>
      <c r="I30" s="54">
        <v>7.46</v>
      </c>
      <c r="J30" s="54">
        <v>0.43</v>
      </c>
      <c r="K30" s="54">
        <v>253.69</v>
      </c>
      <c r="L30" s="54">
        <v>35.22</v>
      </c>
      <c r="M30" s="54">
        <v>44.02</v>
      </c>
      <c r="N30" s="54">
        <v>0</v>
      </c>
      <c r="O30" s="54">
        <v>0</v>
      </c>
      <c r="P30" s="54">
        <v>0.96</v>
      </c>
      <c r="Q30" s="27" t="s">
        <v>14</v>
      </c>
    </row>
    <row r="31" spans="1:17" customFormat="1">
      <c r="A31" s="53">
        <v>45412.958333333336</v>
      </c>
      <c r="B31" s="54">
        <v>11.32</v>
      </c>
      <c r="C31" s="54">
        <v>13.14</v>
      </c>
      <c r="D31" s="54">
        <v>25.08</v>
      </c>
      <c r="E31" s="54">
        <v>18.88</v>
      </c>
      <c r="F31" s="54">
        <v>26.2</v>
      </c>
      <c r="G31" s="54">
        <v>69.64</v>
      </c>
      <c r="H31" s="54">
        <v>26.97</v>
      </c>
      <c r="I31" s="54">
        <v>7.81</v>
      </c>
      <c r="J31" s="54">
        <v>0.28999999999999998</v>
      </c>
      <c r="K31" s="54">
        <v>182.63</v>
      </c>
      <c r="L31" s="54">
        <v>32.08</v>
      </c>
      <c r="M31" s="54">
        <v>51.44</v>
      </c>
      <c r="N31" s="54">
        <v>0</v>
      </c>
      <c r="O31" s="54">
        <v>0</v>
      </c>
      <c r="P31" s="54">
        <v>0.91</v>
      </c>
      <c r="Q31" s="27" t="s">
        <v>14</v>
      </c>
    </row>
    <row r="32" spans="1:17" customFormat="1">
      <c r="A32" s="53">
        <v>45413</v>
      </c>
      <c r="B32" s="54">
        <v>11.34</v>
      </c>
      <c r="C32" s="54">
        <v>13.17</v>
      </c>
      <c r="D32" s="54">
        <v>25.12</v>
      </c>
      <c r="E32" s="54">
        <v>13.93</v>
      </c>
      <c r="F32" s="54">
        <v>14.36</v>
      </c>
      <c r="G32" s="54">
        <v>65.650000000000006</v>
      </c>
      <c r="H32" s="54">
        <v>27.23</v>
      </c>
      <c r="I32" s="54">
        <v>7.74</v>
      </c>
      <c r="J32" s="54">
        <v>0.27</v>
      </c>
      <c r="K32" s="54">
        <v>203.05</v>
      </c>
      <c r="L32" s="54">
        <v>30.71</v>
      </c>
      <c r="M32" s="54">
        <v>54.11</v>
      </c>
      <c r="N32" s="54">
        <v>0</v>
      </c>
      <c r="O32" s="54">
        <v>0</v>
      </c>
      <c r="P32" s="54">
        <v>0.89</v>
      </c>
      <c r="Q32" s="27" t="s">
        <v>14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11.3</v>
      </c>
      <c r="C34" s="40">
        <f t="shared" si="0"/>
        <v>13.07</v>
      </c>
      <c r="D34" s="40">
        <f t="shared" si="0"/>
        <v>25.08</v>
      </c>
      <c r="E34" s="40">
        <f t="shared" si="0"/>
        <v>11.4</v>
      </c>
      <c r="F34" s="40">
        <f t="shared" si="0"/>
        <v>4.42</v>
      </c>
      <c r="G34" s="40">
        <f t="shared" si="0"/>
        <v>20.63</v>
      </c>
      <c r="H34" s="40">
        <f t="shared" si="0"/>
        <v>5.83</v>
      </c>
      <c r="I34" s="40">
        <f t="shared" si="0"/>
        <v>3.51</v>
      </c>
      <c r="J34" s="40">
        <f t="shared" si="0"/>
        <v>0.17</v>
      </c>
      <c r="K34" s="40">
        <f t="shared" si="0"/>
        <v>182.63</v>
      </c>
      <c r="L34" s="40">
        <f t="shared" si="0"/>
        <v>27.73</v>
      </c>
      <c r="M34" s="40">
        <f t="shared" si="0"/>
        <v>24.15</v>
      </c>
      <c r="N34" s="40">
        <f t="shared" si="0"/>
        <v>0</v>
      </c>
      <c r="O34" s="40">
        <f t="shared" si="0"/>
        <v>0</v>
      </c>
      <c r="P34" s="40">
        <f t="shared" si="0"/>
        <v>0.49</v>
      </c>
      <c r="Q34" s="40">
        <f t="shared" si="0"/>
        <v>0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11.51</v>
      </c>
      <c r="C35" s="33">
        <f t="shared" si="1"/>
        <v>13.46</v>
      </c>
      <c r="D35" s="33">
        <f t="shared" si="1"/>
        <v>25.28</v>
      </c>
      <c r="E35" s="33">
        <f t="shared" si="1"/>
        <v>47.37</v>
      </c>
      <c r="F35" s="33">
        <f t="shared" si="1"/>
        <v>97.99</v>
      </c>
      <c r="G35" s="33">
        <f t="shared" si="1"/>
        <v>69.64</v>
      </c>
      <c r="H35" s="33">
        <f t="shared" si="1"/>
        <v>27.51</v>
      </c>
      <c r="I35" s="33">
        <f t="shared" si="1"/>
        <v>10.38</v>
      </c>
      <c r="J35" s="33">
        <f t="shared" si="1"/>
        <v>1.79</v>
      </c>
      <c r="K35" s="33">
        <f t="shared" si="1"/>
        <v>304.05</v>
      </c>
      <c r="L35" s="33">
        <f t="shared" si="1"/>
        <v>41.78</v>
      </c>
      <c r="M35" s="33">
        <f t="shared" si="1"/>
        <v>66</v>
      </c>
      <c r="N35" s="33">
        <f t="shared" si="1"/>
        <v>774.7</v>
      </c>
      <c r="O35" s="33">
        <f t="shared" si="1"/>
        <v>0</v>
      </c>
      <c r="P35" s="33">
        <f t="shared" si="1"/>
        <v>1.03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11.361666666666665</v>
      </c>
      <c r="C36" s="40">
        <f t="shared" si="2"/>
        <v>13.189166666666665</v>
      </c>
      <c r="D36" s="40">
        <f t="shared" si="2"/>
        <v>25.138333333333335</v>
      </c>
      <c r="E36" s="40">
        <f t="shared" si="2"/>
        <v>23.681249999999995</v>
      </c>
      <c r="F36" s="40">
        <f t="shared" si="2"/>
        <v>34.791666666666679</v>
      </c>
      <c r="G36" s="40">
        <f t="shared" si="2"/>
        <v>48.45809523809524</v>
      </c>
      <c r="H36" s="40">
        <f t="shared" si="2"/>
        <v>20.49190476190476</v>
      </c>
      <c r="I36" s="40">
        <f t="shared" si="2"/>
        <v>5.9162500000000007</v>
      </c>
      <c r="J36" s="40">
        <f t="shared" si="2"/>
        <v>0.83458333333333323</v>
      </c>
      <c r="K36" s="40">
        <f t="shared" si="2"/>
        <v>259.73041666666666</v>
      </c>
      <c r="L36" s="40">
        <f t="shared" si="2"/>
        <v>34.936250000000001</v>
      </c>
      <c r="M36" s="40">
        <f t="shared" si="2"/>
        <v>43.158333333333331</v>
      </c>
      <c r="N36" s="40">
        <f t="shared" si="2"/>
        <v>229.84583333333339</v>
      </c>
      <c r="O36" s="40">
        <f t="shared" si="2"/>
        <v>0</v>
      </c>
      <c r="P36" s="40">
        <f t="shared" si="2"/>
        <v>0.66625000000000012</v>
      </c>
      <c r="Q36" s="27" t="s">
        <v>14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5.975796593554366E-2</v>
      </c>
      <c r="C37" s="40">
        <f t="shared" ref="C37:Q37" si="3">STDEV(C9:C32)</f>
        <v>7.9504807985137746E-2</v>
      </c>
      <c r="D37" s="40">
        <f t="shared" si="3"/>
        <v>6.1902213675853884E-2</v>
      </c>
      <c r="E37" s="40">
        <f t="shared" si="3"/>
        <v>10.987802451691215</v>
      </c>
      <c r="F37" s="40">
        <f t="shared" si="3"/>
        <v>27.417007046034733</v>
      </c>
      <c r="G37" s="40">
        <f t="shared" si="3"/>
        <v>14.209228205306427</v>
      </c>
      <c r="H37" s="40">
        <f t="shared" si="3"/>
        <v>5.2643846924855691</v>
      </c>
      <c r="I37" s="40">
        <f t="shared" si="3"/>
        <v>1.7992602646643456</v>
      </c>
      <c r="J37" s="40">
        <f t="shared" si="3"/>
        <v>0.5314948497984896</v>
      </c>
      <c r="K37" s="40">
        <f t="shared" si="3"/>
        <v>39.647548581400201</v>
      </c>
      <c r="L37" s="40">
        <f t="shared" si="3"/>
        <v>4.9011514286019313</v>
      </c>
      <c r="M37" s="40">
        <f t="shared" si="3"/>
        <v>15.419562297590545</v>
      </c>
      <c r="N37" s="40">
        <f t="shared" si="3"/>
        <v>296.01369824233035</v>
      </c>
      <c r="O37" s="40">
        <f t="shared" si="3"/>
        <v>0</v>
      </c>
      <c r="P37" s="40">
        <f t="shared" si="3"/>
        <v>0.18163059740319973</v>
      </c>
      <c r="Q37" s="27" t="s">
        <v>14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21</v>
      </c>
      <c r="H38" s="45">
        <f t="shared" si="4"/>
        <v>21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0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54"/>
  <sheetViews>
    <sheetView tabSelected="1"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A39" sqref="A39:XFD3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45383.041666666664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45383.041666666664</v>
      </c>
      <c r="B9" s="17">
        <f>'01'!B36</f>
        <v>6.4208333333333343</v>
      </c>
      <c r="C9" s="17">
        <f>'01'!C36</f>
        <v>21.842499999999998</v>
      </c>
      <c r="D9" s="17">
        <f>'01'!D36</f>
        <v>17.78833333333333</v>
      </c>
      <c r="E9" s="17">
        <f>'01'!E36</f>
        <v>15.016249999999998</v>
      </c>
      <c r="F9" s="17">
        <f>'01'!F36</f>
        <v>14.069583333333334</v>
      </c>
      <c r="G9" s="17">
        <f>'01'!G36</f>
        <v>52.241666666666674</v>
      </c>
      <c r="H9" s="17">
        <f>'01'!H36</f>
        <v>20.904444444444444</v>
      </c>
      <c r="I9" s="17">
        <f>'01'!I36</f>
        <v>6.6174999999999988</v>
      </c>
      <c r="J9" s="17">
        <f>'01'!J36</f>
        <v>0.6529166666666667</v>
      </c>
      <c r="K9" s="17">
        <f>'01'!K36</f>
        <v>237.39124999999993</v>
      </c>
      <c r="L9" s="17">
        <f>'01'!L36</f>
        <v>32.115000000000002</v>
      </c>
      <c r="M9" s="17">
        <f>'01'!M36</f>
        <v>47.810833333333328</v>
      </c>
      <c r="N9" s="17">
        <f>'01'!N36</f>
        <v>220.01666666666665</v>
      </c>
      <c r="O9" s="17">
        <f>'01'!O36</f>
        <v>0</v>
      </c>
      <c r="P9" s="17">
        <f>'01'!P36</f>
        <v>0.65666666666666651</v>
      </c>
      <c r="Q9" s="17">
        <f>'01'!Q36</f>
        <v>5.0454166666666671</v>
      </c>
      <c r="R9" s="34"/>
      <c r="S9" s="34"/>
      <c r="T9" s="34"/>
      <c r="U9" s="35"/>
    </row>
    <row r="10" spans="1:21" s="2" customFormat="1">
      <c r="A10" s="16">
        <f>'02'!$B$2</f>
        <v>45384.041666666664</v>
      </c>
      <c r="B10" s="17">
        <f>'02'!B36</f>
        <v>8.4524999999999988</v>
      </c>
      <c r="C10" s="17">
        <f>'02'!C36</f>
        <v>27.123333333333338</v>
      </c>
      <c r="D10" s="17">
        <f>'02'!D36</f>
        <v>22.162499999999994</v>
      </c>
      <c r="E10" s="17">
        <f>'02'!E36</f>
        <v>18.132916666666667</v>
      </c>
      <c r="F10" s="17">
        <f>'02'!F36</f>
        <v>17.850833333333338</v>
      </c>
      <c r="G10" s="17">
        <f>'02'!G36</f>
        <v>80.573333333333323</v>
      </c>
      <c r="H10" s="17">
        <f>'02'!H36</f>
        <v>31.676666666666666</v>
      </c>
      <c r="I10" s="17">
        <f>'02'!I36</f>
        <v>13.811666666666667</v>
      </c>
      <c r="J10" s="17">
        <f>'02'!J36</f>
        <v>0.62708333333333333</v>
      </c>
      <c r="K10" s="17">
        <f>'02'!K36</f>
        <v>257.63833333333338</v>
      </c>
      <c r="L10" s="17">
        <f>'02'!L36</f>
        <v>32.750833333333333</v>
      </c>
      <c r="M10" s="17">
        <f>'02'!M36</f>
        <v>41.504166666666663</v>
      </c>
      <c r="N10" s="17">
        <f>'02'!N36</f>
        <v>242.51666666666665</v>
      </c>
      <c r="O10" s="17">
        <f>'02'!O36</f>
        <v>0</v>
      </c>
      <c r="P10" s="17">
        <f>'02'!P36</f>
        <v>0.94458333333333344</v>
      </c>
      <c r="Q10" s="17">
        <f>'02'!Q36</f>
        <v>5.0875000000000004</v>
      </c>
      <c r="R10" s="36"/>
      <c r="S10" s="36"/>
      <c r="T10" s="36"/>
      <c r="U10" s="36"/>
    </row>
    <row r="11" spans="1:21" s="2" customFormat="1">
      <c r="A11" s="16">
        <f>'03'!$B$2</f>
        <v>45385.041666666664</v>
      </c>
      <c r="B11" s="17">
        <f>'03'!B36</f>
        <v>11.620416666666664</v>
      </c>
      <c r="C11" s="17">
        <f>'03'!C36</f>
        <v>29.517916666666665</v>
      </c>
      <c r="D11" s="17">
        <f>'03'!D36</f>
        <v>25.838750000000001</v>
      </c>
      <c r="E11" s="17">
        <f>'03'!E36</f>
        <v>23.191249999999997</v>
      </c>
      <c r="F11" s="17">
        <f>'03'!F36</f>
        <v>20.864999999999998</v>
      </c>
      <c r="G11" s="17">
        <f>'03'!G36</f>
        <v>125.37208333333332</v>
      </c>
      <c r="H11" s="17">
        <f>'03'!H36</f>
        <v>48.514166666666675</v>
      </c>
      <c r="I11" s="17">
        <f>'03'!I36</f>
        <v>11.518749999999999</v>
      </c>
      <c r="J11" s="17">
        <f>'03'!J36</f>
        <v>0.57208333333333339</v>
      </c>
      <c r="K11" s="17">
        <f>'03'!K36</f>
        <v>214.05749999999998</v>
      </c>
      <c r="L11" s="17">
        <f>'03'!L36</f>
        <v>32.171249999999993</v>
      </c>
      <c r="M11" s="17">
        <f>'03'!M36</f>
        <v>41.610833333333325</v>
      </c>
      <c r="N11" s="17">
        <f>'03'!N36</f>
        <v>214.20416666666668</v>
      </c>
      <c r="O11" s="17">
        <f>'03'!O36</f>
        <v>0</v>
      </c>
      <c r="P11" s="17">
        <f>'03'!P36</f>
        <v>1.1391666666666669</v>
      </c>
      <c r="Q11" s="17">
        <f>'03'!Q36</f>
        <v>5.09375</v>
      </c>
      <c r="R11" s="36"/>
      <c r="S11" s="36"/>
      <c r="T11" s="36"/>
      <c r="U11" s="36"/>
    </row>
    <row r="12" spans="1:21" s="2" customFormat="1">
      <c r="A12" s="16">
        <f>'04'!$B$2</f>
        <v>45386.041666666664</v>
      </c>
      <c r="B12" s="17">
        <f>'04'!B36</f>
        <v>5.2350000000000003</v>
      </c>
      <c r="C12" s="17">
        <f>'04'!C36</f>
        <v>23.210416666666664</v>
      </c>
      <c r="D12" s="17">
        <f>'04'!D36</f>
        <v>17.610416666666666</v>
      </c>
      <c r="E12" s="17">
        <f>'04'!E36</f>
        <v>16.685833333333335</v>
      </c>
      <c r="F12" s="17">
        <f>'04'!F36</f>
        <v>20.428333333333331</v>
      </c>
      <c r="G12" s="17">
        <f>'04'!G36</f>
        <v>59.598749999999995</v>
      </c>
      <c r="H12" s="17">
        <f>'04'!H36</f>
        <v>30.004166666666666</v>
      </c>
      <c r="I12" s="17">
        <f>'04'!I36</f>
        <v>6.730833333333333</v>
      </c>
      <c r="J12" s="17">
        <f>'04'!J36</f>
        <v>0.63458333333333339</v>
      </c>
      <c r="K12" s="17">
        <f>'04'!K36</f>
        <v>241.55374999999995</v>
      </c>
      <c r="L12" s="17">
        <f>'04'!L36</f>
        <v>33.610833333333325</v>
      </c>
      <c r="M12" s="17">
        <f>'04'!M36</f>
        <v>46.646250000000002</v>
      </c>
      <c r="N12" s="17">
        <f>'04'!N36</f>
        <v>206.38333333333333</v>
      </c>
      <c r="O12" s="17">
        <f>'04'!O36</f>
        <v>0</v>
      </c>
      <c r="P12" s="17">
        <f>'04'!P36</f>
        <v>0.76874999999999982</v>
      </c>
      <c r="Q12" s="17">
        <f>'04'!Q36</f>
        <v>5.0133333333333328</v>
      </c>
      <c r="R12" s="36"/>
      <c r="S12" s="36"/>
      <c r="T12" s="36"/>
      <c r="U12" s="36"/>
    </row>
    <row r="13" spans="1:21" s="2" customFormat="1">
      <c r="A13" s="16">
        <f>'05'!$B$2</f>
        <v>45387.041666666664</v>
      </c>
      <c r="B13" s="17">
        <f>'05'!B36</f>
        <v>6.7391666666666659</v>
      </c>
      <c r="C13" s="17">
        <f>'05'!C36</f>
        <v>27.370416666666667</v>
      </c>
      <c r="D13" s="17">
        <f>'05'!D36</f>
        <v>20.934583333333332</v>
      </c>
      <c r="E13" s="17">
        <f>'05'!E36</f>
        <v>15.958749999999997</v>
      </c>
      <c r="F13" s="17">
        <f>'05'!F36</f>
        <v>16.802499999999998</v>
      </c>
      <c r="G13" s="17">
        <f>'05'!G36</f>
        <v>74.839999999999989</v>
      </c>
      <c r="H13" s="17">
        <f>'05'!H36</f>
        <v>32.161249999999995</v>
      </c>
      <c r="I13" s="17">
        <f>'05'!I36</f>
        <v>9.2891666666666683</v>
      </c>
      <c r="J13" s="17">
        <f>'05'!J36</f>
        <v>0.75125000000000008</v>
      </c>
      <c r="K13" s="17">
        <f>'05'!K36</f>
        <v>271.93416666666661</v>
      </c>
      <c r="L13" s="17">
        <f>'05'!L36</f>
        <v>33.987083333333338</v>
      </c>
      <c r="M13" s="17">
        <f>'05'!M36</f>
        <v>35.045416666666661</v>
      </c>
      <c r="N13" s="17">
        <f>'05'!N36</f>
        <v>230.58333333333334</v>
      </c>
      <c r="O13" s="17">
        <f>'05'!O36</f>
        <v>0</v>
      </c>
      <c r="P13" s="17">
        <f>'05'!P36</f>
        <v>0.92041666666666666</v>
      </c>
      <c r="Q13" s="17">
        <f>'05'!Q36</f>
        <v>5.0258333333333338</v>
      </c>
      <c r="R13" s="36"/>
      <c r="S13" s="36"/>
      <c r="T13" s="36"/>
      <c r="U13" s="36"/>
    </row>
    <row r="14" spans="1:21" s="2" customFormat="1">
      <c r="A14" s="16">
        <f>'06'!$B$2</f>
        <v>45388.041666666664</v>
      </c>
      <c r="B14" s="18">
        <f>'06'!B36</f>
        <v>10.46125</v>
      </c>
      <c r="C14" s="18">
        <f>'06'!C36</f>
        <v>27.146666666666665</v>
      </c>
      <c r="D14" s="18">
        <f>'06'!D36</f>
        <v>23.780833333333337</v>
      </c>
      <c r="E14" s="18">
        <f>'06'!E36</f>
        <v>25.945833333333329</v>
      </c>
      <c r="F14" s="18">
        <f>'06'!F36</f>
        <v>31.511250000000004</v>
      </c>
      <c r="G14" s="18">
        <f>'06'!G36</f>
        <v>106.06541666666668</v>
      </c>
      <c r="H14" s="18">
        <f>'06'!H36</f>
        <v>42.967916666666675</v>
      </c>
      <c r="I14" s="18">
        <f>'06'!I36</f>
        <v>9.7158333333333342</v>
      </c>
      <c r="J14" s="18">
        <f>'06'!J36</f>
        <v>0.5149999999999999</v>
      </c>
      <c r="K14" s="18">
        <f>'06'!K36</f>
        <v>261.505</v>
      </c>
      <c r="L14" s="18">
        <f>'06'!L36</f>
        <v>33.561250000000001</v>
      </c>
      <c r="M14" s="18">
        <f>'06'!M36</f>
        <v>36.426249999999996</v>
      </c>
      <c r="N14" s="18">
        <f>'06'!N36</f>
        <v>224.63333333333333</v>
      </c>
      <c r="O14" s="18">
        <f>'06'!O36</f>
        <v>0</v>
      </c>
      <c r="P14" s="18">
        <f>'06'!P36</f>
        <v>0.90875000000000006</v>
      </c>
      <c r="Q14" s="18">
        <f>'06'!Q36</f>
        <v>5.0354166666666664</v>
      </c>
      <c r="R14" s="36"/>
      <c r="S14" s="36"/>
      <c r="T14" s="36"/>
      <c r="U14" s="36"/>
    </row>
    <row r="15" spans="1:21" s="2" customFormat="1">
      <c r="A15" s="16">
        <f>'07'!$B$2</f>
        <v>45389.041666666664</v>
      </c>
      <c r="B15" s="18">
        <f>'07'!B36</f>
        <v>12.216666666666663</v>
      </c>
      <c r="C15" s="18">
        <f>'07'!C36</f>
        <v>28.040000000000006</v>
      </c>
      <c r="D15" s="18">
        <f>'07'!D36</f>
        <v>25.657916666666665</v>
      </c>
      <c r="E15" s="18">
        <f>'07'!E36</f>
        <v>13.334583333333336</v>
      </c>
      <c r="F15" s="18">
        <f>'07'!F36</f>
        <v>6.6012500000000003</v>
      </c>
      <c r="G15" s="18">
        <f>'07'!G36</f>
        <v>92.87541666666668</v>
      </c>
      <c r="H15" s="18">
        <f>'07'!H36</f>
        <v>28.907083333333333</v>
      </c>
      <c r="I15" s="18">
        <f>'07'!I36</f>
        <v>8.5554166666666678</v>
      </c>
      <c r="J15" s="18">
        <f>'07'!J36</f>
        <v>1.1433333333333335</v>
      </c>
      <c r="K15" s="18">
        <f>'07'!K36</f>
        <v>157.24041666666668</v>
      </c>
      <c r="L15" s="18">
        <f>'07'!L36</f>
        <v>28.704583333333336</v>
      </c>
      <c r="M15" s="18">
        <f>'07'!M36</f>
        <v>49.513333333333328</v>
      </c>
      <c r="N15" s="18">
        <f>'07'!N36</f>
        <v>111.68333333333334</v>
      </c>
      <c r="O15" s="18">
        <f>'07'!O36</f>
        <v>8.3333333333333332E-3</v>
      </c>
      <c r="P15" s="18">
        <f>'07'!P36</f>
        <v>0.79874999999999974</v>
      </c>
      <c r="Q15" s="18">
        <f>'07'!Q36</f>
        <v>5.060833333333334</v>
      </c>
      <c r="R15" s="36"/>
      <c r="S15" s="36"/>
      <c r="T15" s="36"/>
      <c r="U15" s="36"/>
    </row>
    <row r="16" spans="1:21" s="2" customFormat="1">
      <c r="A16" s="16">
        <f>'08'!$B$2</f>
        <v>45390.041666666664</v>
      </c>
      <c r="B16" s="18">
        <f>'08'!B36</f>
        <v>7.5233333333333343</v>
      </c>
      <c r="C16" s="18">
        <f>'08'!C36</f>
        <v>25.870000000000005</v>
      </c>
      <c r="D16" s="18">
        <f>'08'!D36</f>
        <v>20.80125</v>
      </c>
      <c r="E16" s="18">
        <f>'08'!E36</f>
        <v>14.813749999999997</v>
      </c>
      <c r="F16" s="18">
        <f>'08'!F36</f>
        <v>4.3983333333333334</v>
      </c>
      <c r="G16" s="18">
        <f>'08'!G36</f>
        <v>30.892083333333332</v>
      </c>
      <c r="H16" s="18">
        <f>'08'!H36</f>
        <v>11.590416666666668</v>
      </c>
      <c r="I16" s="18">
        <f>'08'!I36</f>
        <v>4.8216666666666672</v>
      </c>
      <c r="J16" s="18">
        <f>'08'!J36</f>
        <v>0.66708333333333325</v>
      </c>
      <c r="K16" s="18">
        <f>'08'!K36</f>
        <v>193.74041666666668</v>
      </c>
      <c r="L16" s="18">
        <f>'08'!L36</f>
        <v>24.928750000000004</v>
      </c>
      <c r="M16" s="18">
        <f>'08'!M36</f>
        <v>80.541666666666671</v>
      </c>
      <c r="N16" s="18">
        <f>'08'!N36</f>
        <v>136.92916666666667</v>
      </c>
      <c r="O16" s="18">
        <f>'08'!O36</f>
        <v>0.20000000000000004</v>
      </c>
      <c r="P16" s="18">
        <f>'08'!P36</f>
        <v>0.48166666666666674</v>
      </c>
      <c r="Q16" s="18">
        <f>'08'!Q36</f>
        <v>5.0433333333333339</v>
      </c>
      <c r="R16" s="36"/>
      <c r="S16" s="36"/>
      <c r="T16" s="36"/>
      <c r="U16" s="36"/>
    </row>
    <row r="17" spans="1:24" s="2" customFormat="1">
      <c r="A17" s="16">
        <f>'09'!$B$2</f>
        <v>45391.041666666664</v>
      </c>
      <c r="B17" s="18">
        <f>'09'!B36</f>
        <v>9.8566666666666674</v>
      </c>
      <c r="C17" s="18">
        <f>'09'!C36</f>
        <v>25.212500000000002</v>
      </c>
      <c r="D17" s="18">
        <f>'09'!D36</f>
        <v>22.370000000000005</v>
      </c>
      <c r="E17" s="18">
        <f>'09'!E36</f>
        <v>12.574583333333335</v>
      </c>
      <c r="F17" s="18">
        <f>'09'!F36</f>
        <v>5.3458333333333341</v>
      </c>
      <c r="G17" s="18">
        <f>'09'!G36</f>
        <v>28.055833333333336</v>
      </c>
      <c r="H17" s="18">
        <f>'09'!H36</f>
        <v>14.191249999999998</v>
      </c>
      <c r="I17" s="18">
        <f>'09'!I36</f>
        <v>4.7562500000000005</v>
      </c>
      <c r="J17" s="18">
        <f>'09'!J36</f>
        <v>0.55583333333333329</v>
      </c>
      <c r="K17" s="18">
        <f>'09'!K36</f>
        <v>243.07874999999999</v>
      </c>
      <c r="L17" s="18">
        <f>'09'!L36</f>
        <v>25.672500000000003</v>
      </c>
      <c r="M17" s="18">
        <f>'09'!M36</f>
        <v>77.320000000000007</v>
      </c>
      <c r="N17" s="18">
        <f>'09'!N36</f>
        <v>194.59583333333333</v>
      </c>
      <c r="O17" s="18">
        <f>'09'!O36</f>
        <v>0.5</v>
      </c>
      <c r="P17" s="18">
        <f>'09'!P36</f>
        <v>0.50333333333333341</v>
      </c>
      <c r="Q17" s="18">
        <f>'09'!Q36</f>
        <v>5.041666666666667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>
        <f>'10'!$B$2</f>
        <v>45392.041666666664</v>
      </c>
      <c r="B18" s="18">
        <f>'10'!B36</f>
        <v>11.4125</v>
      </c>
      <c r="C18" s="18">
        <f>'10'!C36</f>
        <v>25.438333333333333</v>
      </c>
      <c r="D18" s="18">
        <f>'10'!D36</f>
        <v>23.681666666666661</v>
      </c>
      <c r="E18" s="18">
        <f>'10'!E36</f>
        <v>14.9825</v>
      </c>
      <c r="F18" s="18">
        <f>'10'!F36</f>
        <v>10.829999999999998</v>
      </c>
      <c r="G18" s="18">
        <f>'10'!G36</f>
        <v>49.568749999999994</v>
      </c>
      <c r="H18" s="18">
        <f>'10'!H36</f>
        <v>20.561666666666667</v>
      </c>
      <c r="I18" s="18">
        <f>'10'!I36</f>
        <v>7.2324999999999982</v>
      </c>
      <c r="J18" s="18">
        <f>'10'!J36</f>
        <v>0.97000000000000008</v>
      </c>
      <c r="K18" s="18">
        <f>'10'!K36</f>
        <v>249.95166666666668</v>
      </c>
      <c r="L18" s="18">
        <f>'10'!L36</f>
        <v>29.007083333333327</v>
      </c>
      <c r="M18" s="18">
        <f>'10'!M36</f>
        <v>62.946249999999992</v>
      </c>
      <c r="N18" s="18">
        <f>'10'!N36</f>
        <v>239.30416666666665</v>
      </c>
      <c r="O18" s="18">
        <f>'10'!O36</f>
        <v>0</v>
      </c>
      <c r="P18" s="18">
        <f>'10'!P36</f>
        <v>0.73875000000000002</v>
      </c>
      <c r="Q18" s="18">
        <f>'10'!Q36</f>
        <v>5.0558333333333341</v>
      </c>
      <c r="R18" s="36"/>
      <c r="S18" s="36"/>
      <c r="T18" s="36"/>
      <c r="U18" s="36"/>
    </row>
    <row r="19" spans="1:24" s="2" customFormat="1">
      <c r="A19" s="16">
        <f>'11'!$B$2</f>
        <v>45393.041666666664</v>
      </c>
      <c r="B19" s="18">
        <f>'11'!B36</f>
        <v>9.129999999999999</v>
      </c>
      <c r="C19" s="18">
        <f>'11'!C36</f>
        <v>24.259166666666669</v>
      </c>
      <c r="D19" s="18">
        <f>'11'!D36</f>
        <v>21.215</v>
      </c>
      <c r="E19" s="18">
        <f>'11'!E36</f>
        <v>11.20083333333333</v>
      </c>
      <c r="F19" s="18">
        <f>'11'!F36</f>
        <v>3.9199999999999986</v>
      </c>
      <c r="G19" s="18">
        <f>'11'!G36</f>
        <v>35.790416666666658</v>
      </c>
      <c r="H19" s="18">
        <f>'11'!H36</f>
        <v>9.7166666666666632</v>
      </c>
      <c r="I19" s="18">
        <f>'11'!I36</f>
        <v>4.7604166666666661</v>
      </c>
      <c r="J19" s="18">
        <f>'11'!J36</f>
        <v>0.6875</v>
      </c>
      <c r="K19" s="18">
        <f>'11'!K36</f>
        <v>238.84416666666661</v>
      </c>
      <c r="L19" s="18">
        <f>'11'!L36</f>
        <v>22.209583333333331</v>
      </c>
      <c r="M19" s="18">
        <f>'11'!M36</f>
        <v>92.361666666666636</v>
      </c>
      <c r="N19" s="18">
        <f>'11'!N36</f>
        <v>76.229166666666671</v>
      </c>
      <c r="O19" s="18">
        <f>'11'!O36</f>
        <v>0.17500000000000002</v>
      </c>
      <c r="P19" s="18">
        <f>'11'!P36</f>
        <v>0.50541666666666674</v>
      </c>
      <c r="Q19" s="18">
        <f>'11'!Q36</f>
        <v>5.0412500000000016</v>
      </c>
      <c r="R19" s="36"/>
      <c r="S19" s="36"/>
      <c r="T19" s="36"/>
      <c r="U19" s="36"/>
    </row>
    <row r="20" spans="1:24" s="2" customFormat="1">
      <c r="A20" s="16">
        <f>'12'!$B$2</f>
        <v>45394.041666666664</v>
      </c>
      <c r="B20" s="18">
        <f>'12'!B36</f>
        <v>16.345833333333328</v>
      </c>
      <c r="C20" s="18">
        <f>'12'!C36</f>
        <v>24.342500000000005</v>
      </c>
      <c r="D20" s="18">
        <f>'12'!D36</f>
        <v>27.037500000000005</v>
      </c>
      <c r="E20" s="18">
        <f>'12'!E36</f>
        <v>12.181249999999999</v>
      </c>
      <c r="F20" s="18">
        <f>'12'!F36</f>
        <v>3.2624999999999993</v>
      </c>
      <c r="G20" s="18">
        <f>'12'!G36</f>
        <v>36.594166666666666</v>
      </c>
      <c r="H20" s="18">
        <f>'12'!H36</f>
        <v>16.133333333333329</v>
      </c>
      <c r="I20" s="18">
        <f>'12'!I36</f>
        <v>6.2500000000000009</v>
      </c>
      <c r="J20" s="18">
        <f>'12'!J36</f>
        <v>0.35499999999999993</v>
      </c>
      <c r="K20" s="18">
        <f>'12'!K36</f>
        <v>230.16583333333335</v>
      </c>
      <c r="L20" s="18">
        <f>'12'!L36</f>
        <v>23.980416666666667</v>
      </c>
      <c r="M20" s="18">
        <f>'12'!M36</f>
        <v>88.552500000000009</v>
      </c>
      <c r="N20" s="18">
        <f>'12'!N36</f>
        <v>139.79166666666666</v>
      </c>
      <c r="O20" s="18">
        <f>'12'!O36</f>
        <v>8.3333333333333332E-3</v>
      </c>
      <c r="P20" s="18">
        <f>'12'!P36</f>
        <v>0.60291666666666666</v>
      </c>
      <c r="Q20" s="18">
        <f>'12'!Q36</f>
        <v>5.0783333333333331</v>
      </c>
      <c r="R20" s="36"/>
      <c r="S20" s="36"/>
      <c r="T20" s="36"/>
      <c r="U20" s="36"/>
    </row>
    <row r="21" spans="1:24" s="2" customFormat="1">
      <c r="A21" s="16">
        <f>'13'!$B$2</f>
        <v>45395.041666666664</v>
      </c>
      <c r="B21" s="18">
        <f>'13'!B36</f>
        <v>18.69761904761905</v>
      </c>
      <c r="C21" s="18">
        <f>'13'!C36</f>
        <v>21.49285714285714</v>
      </c>
      <c r="D21" s="18">
        <f>'13'!D36</f>
        <v>27.331428571428575</v>
      </c>
      <c r="E21" s="18">
        <f>'13'!E36</f>
        <v>11.345238095238095</v>
      </c>
      <c r="F21" s="18">
        <f>'13'!F36</f>
        <v>7.105652173913044</v>
      </c>
      <c r="G21" s="18">
        <f>'13'!G36</f>
        <v>68.079523809523806</v>
      </c>
      <c r="H21" s="18">
        <f>'13'!H36</f>
        <v>29.372857142857139</v>
      </c>
      <c r="I21" s="18">
        <f>'13'!I36</f>
        <v>28.262499999999992</v>
      </c>
      <c r="J21" s="18">
        <f>'13'!J36</f>
        <v>0.55791666666666673</v>
      </c>
      <c r="K21" s="18">
        <f>'13'!K36</f>
        <v>228.29833333333332</v>
      </c>
      <c r="L21" s="18">
        <f>'13'!L36</f>
        <v>25.213750000000001</v>
      </c>
      <c r="M21" s="18">
        <f>'13'!M36</f>
        <v>81.71875</v>
      </c>
      <c r="N21" s="18">
        <f>'13'!N36</f>
        <v>162.91249999999999</v>
      </c>
      <c r="O21" s="18">
        <f>'13'!O36</f>
        <v>0</v>
      </c>
      <c r="P21" s="18">
        <f>'13'!P36</f>
        <v>0.70260869565217388</v>
      </c>
      <c r="Q21" s="18">
        <f>'13'!Q36</f>
        <v>5.1133333333333342</v>
      </c>
      <c r="R21" s="36"/>
      <c r="S21" s="36"/>
      <c r="T21" s="36"/>
      <c r="U21" s="36"/>
    </row>
    <row r="22" spans="1:24" s="2" customFormat="1">
      <c r="A22" s="16">
        <f>'14'!$B$2</f>
        <v>45396.041666666664</v>
      </c>
      <c r="B22" s="18">
        <f>'14'!B36</f>
        <v>11.661666666666669</v>
      </c>
      <c r="C22" s="18">
        <f>'14'!C36</f>
        <v>18.486666666666668</v>
      </c>
      <c r="D22" s="18">
        <f>'14'!D36</f>
        <v>20.306666666666668</v>
      </c>
      <c r="E22" s="18">
        <f>'14'!E36</f>
        <v>10.67</v>
      </c>
      <c r="F22" s="18">
        <f>'14'!F36</f>
        <v>10.046249999999999</v>
      </c>
      <c r="G22" s="18">
        <f>'14'!G36</f>
        <v>38.274999999999999</v>
      </c>
      <c r="H22" s="18">
        <f>'14'!H36</f>
        <v>19.485833333333336</v>
      </c>
      <c r="I22" s="18">
        <f>'14'!I36</f>
        <v>9.1741666666666646</v>
      </c>
      <c r="J22" s="18">
        <f>'14'!J36</f>
        <v>0.3775</v>
      </c>
      <c r="K22" s="18">
        <f>'14'!K36</f>
        <v>236.20124999999996</v>
      </c>
      <c r="L22" s="18">
        <f>'14'!L36</f>
        <v>29.466666666666672</v>
      </c>
      <c r="M22" s="18">
        <f>'14'!M36</f>
        <v>66.558333333333323</v>
      </c>
      <c r="N22" s="18">
        <f>'14'!N36</f>
        <v>253.74999999999997</v>
      </c>
      <c r="O22" s="18">
        <f>'14'!O36</f>
        <v>0</v>
      </c>
      <c r="P22" s="18">
        <f>'14'!P36</f>
        <v>0.66041666666666676</v>
      </c>
      <c r="Q22" s="18">
        <f>'14'!Q36</f>
        <v>5.0433333333333339</v>
      </c>
      <c r="R22" s="38"/>
      <c r="S22" s="38"/>
      <c r="T22" s="38"/>
      <c r="U22" s="38"/>
    </row>
    <row r="23" spans="1:24" s="2" customFormat="1">
      <c r="A23" s="16">
        <f>'15'!$B$2</f>
        <v>45397.041666666664</v>
      </c>
      <c r="B23" s="19">
        <f>'15'!B36</f>
        <v>11.107083333333335</v>
      </c>
      <c r="C23" s="19">
        <f>'15'!C36</f>
        <v>18.200416666666666</v>
      </c>
      <c r="D23" s="19">
        <f>'15'!D36</f>
        <v>19.697083333333335</v>
      </c>
      <c r="E23" s="19">
        <f>'15'!E36</f>
        <v>13.551250000000003</v>
      </c>
      <c r="F23" s="19">
        <f>'15'!F36</f>
        <v>9.5941666666666681</v>
      </c>
      <c r="G23" s="19">
        <f>'15'!G36</f>
        <v>52.913333333333334</v>
      </c>
      <c r="H23" s="19">
        <f>'15'!H36</f>
        <v>21.581250000000001</v>
      </c>
      <c r="I23" s="19">
        <f>'15'!I36</f>
        <v>9.3537499999999998</v>
      </c>
      <c r="J23" s="19">
        <f>'15'!J36</f>
        <v>0.71458333333333346</v>
      </c>
      <c r="K23" s="19">
        <f>'15'!K36</f>
        <v>238.3858333333333</v>
      </c>
      <c r="L23" s="19">
        <f>'15'!L36</f>
        <v>29.854166666666668</v>
      </c>
      <c r="M23" s="19">
        <f>'15'!M36</f>
        <v>79.157916666666679</v>
      </c>
      <c r="N23" s="19">
        <f>'15'!N36</f>
        <v>218.10000000000002</v>
      </c>
      <c r="O23" s="19">
        <f>'15'!O36</f>
        <v>0.33333333333333331</v>
      </c>
      <c r="P23" s="19">
        <f>'15'!P36</f>
        <v>0.77625000000000011</v>
      </c>
      <c r="Q23" s="19">
        <f>'15'!Q36</f>
        <v>4.9635294117647062</v>
      </c>
      <c r="R23" s="38"/>
      <c r="S23" s="38"/>
      <c r="T23" s="38"/>
      <c r="U23" s="36"/>
    </row>
    <row r="24" spans="1:24" s="2" customFormat="1">
      <c r="A24" s="16">
        <f>'16'!$B$2</f>
        <v>45398.041666666664</v>
      </c>
      <c r="B24" s="18">
        <f>'16'!B36</f>
        <v>6.355714285714285</v>
      </c>
      <c r="C24" s="18">
        <f>'16'!C36</f>
        <v>3.9635714285714285</v>
      </c>
      <c r="D24" s="18">
        <f>'16'!D36</f>
        <v>8.4978571428571428</v>
      </c>
      <c r="E24" s="18">
        <f>'16'!E36</f>
        <v>17.362272727272732</v>
      </c>
      <c r="F24" s="18">
        <f>'16'!F36</f>
        <v>19.612083333333334</v>
      </c>
      <c r="G24" s="18">
        <f>'16'!G36</f>
        <v>69.255416666666662</v>
      </c>
      <c r="H24" s="18">
        <f>'16'!H36</f>
        <v>24.933333333333326</v>
      </c>
      <c r="I24" s="18">
        <f>'16'!I36</f>
        <v>10.736666666666666</v>
      </c>
      <c r="J24" s="18">
        <f>'16'!J36</f>
        <v>0.50791666666666668</v>
      </c>
      <c r="K24" s="18">
        <f>'16'!K36</f>
        <v>243.03416666666669</v>
      </c>
      <c r="L24" s="18">
        <f>'16'!L36</f>
        <v>30.877083333333342</v>
      </c>
      <c r="M24" s="18">
        <f>'16'!M36</f>
        <v>67.970833333333331</v>
      </c>
      <c r="N24" s="18">
        <f>'16'!N36</f>
        <v>226.55416666666667</v>
      </c>
      <c r="O24" s="18">
        <f>'16'!O36</f>
        <v>0</v>
      </c>
      <c r="P24" s="18">
        <f>'16'!P36</f>
        <v>0.84500000000000031</v>
      </c>
      <c r="Q24" s="18">
        <f>'16'!Q36</f>
        <v>4.9470833333333344</v>
      </c>
      <c r="R24" s="38"/>
      <c r="S24" s="38"/>
      <c r="T24" s="38"/>
      <c r="U24" s="36"/>
    </row>
    <row r="25" spans="1:24" s="2" customFormat="1">
      <c r="A25" s="16">
        <f>'17'!$B$2</f>
        <v>45399.041666666664</v>
      </c>
      <c r="B25" s="18">
        <f>'17'!B36</f>
        <v>4.2454166666666664</v>
      </c>
      <c r="C25" s="18">
        <f>'17'!C36</f>
        <v>1.560416666666667</v>
      </c>
      <c r="D25" s="18">
        <f>'17'!D36</f>
        <v>5.5645833333333341</v>
      </c>
      <c r="E25" s="18">
        <f>'17'!E36</f>
        <v>19.836666666666666</v>
      </c>
      <c r="F25" s="18">
        <f>'17'!F36</f>
        <v>20.545833333333338</v>
      </c>
      <c r="G25" s="18">
        <f>'17'!G36</f>
        <v>75.080833333333331</v>
      </c>
      <c r="H25" s="18">
        <f>'17'!H36</f>
        <v>27.149166666666662</v>
      </c>
      <c r="I25" s="18">
        <f>'17'!I36</f>
        <v>9.2779166666666679</v>
      </c>
      <c r="J25" s="18">
        <f>'17'!J36</f>
        <v>0.49125000000000002</v>
      </c>
      <c r="K25" s="18">
        <f>'17'!K36</f>
        <v>247.97625000000002</v>
      </c>
      <c r="L25" s="18">
        <f>'17'!L36</f>
        <v>32.728333333333339</v>
      </c>
      <c r="M25" s="18">
        <f>'17'!M36</f>
        <v>57.180416666666673</v>
      </c>
      <c r="N25" s="18">
        <f>'17'!N36</f>
        <v>263.00833333333333</v>
      </c>
      <c r="O25" s="18">
        <f>'17'!O36</f>
        <v>0</v>
      </c>
      <c r="P25" s="18">
        <f>'17'!P36</f>
        <v>0.80291666666666661</v>
      </c>
      <c r="Q25" s="18">
        <f>'17'!Q36</f>
        <v>4.9295833333333343</v>
      </c>
      <c r="R25" s="38"/>
      <c r="S25" s="38"/>
      <c r="T25" s="38"/>
      <c r="U25" s="36"/>
    </row>
    <row r="26" spans="1:24" s="2" customFormat="1">
      <c r="A26" s="16">
        <f>'18'!$B$2</f>
        <v>45400.041666666664</v>
      </c>
      <c r="B26" s="18">
        <f>'18'!B36</f>
        <v>4.2641666666666662</v>
      </c>
      <c r="C26" s="18">
        <f>'18'!C36</f>
        <v>1.5116666666666669</v>
      </c>
      <c r="D26" s="18">
        <f>'18'!D36</f>
        <v>5.550416666666667</v>
      </c>
      <c r="E26" s="18">
        <f>'18'!E36</f>
        <v>16.909583333333334</v>
      </c>
      <c r="F26" s="18">
        <f>'18'!F36</f>
        <v>16.950000000000003</v>
      </c>
      <c r="G26" s="18">
        <f>'18'!G36</f>
        <v>86.591250000000016</v>
      </c>
      <c r="H26" s="18">
        <f>'18'!H36</f>
        <v>32.617083333333341</v>
      </c>
      <c r="I26" s="18">
        <f>'18'!I36</f>
        <v>8.9762500000000021</v>
      </c>
      <c r="J26" s="18">
        <f>'18'!J36</f>
        <v>0.59333333333333327</v>
      </c>
      <c r="K26" s="18">
        <f>'18'!K36</f>
        <v>180.20458333333332</v>
      </c>
      <c r="L26" s="18">
        <f>'18'!L36</f>
        <v>32.868333333333339</v>
      </c>
      <c r="M26" s="18">
        <f>'18'!M36</f>
        <v>45.551666666666655</v>
      </c>
      <c r="N26" s="18">
        <f>'18'!N36</f>
        <v>273.95</v>
      </c>
      <c r="O26" s="18">
        <f>'18'!O36</f>
        <v>0</v>
      </c>
      <c r="P26" s="18">
        <f>'18'!P36</f>
        <v>0.75375000000000003</v>
      </c>
      <c r="Q26" s="18">
        <f>'18'!Q36</f>
        <v>4.92875</v>
      </c>
      <c r="R26" s="38"/>
      <c r="S26" s="38"/>
      <c r="T26" s="38"/>
      <c r="U26" s="36"/>
    </row>
    <row r="27" spans="1:24" s="2" customFormat="1">
      <c r="A27" s="16">
        <f>'19'!$B$2</f>
        <v>45401.041666666664</v>
      </c>
      <c r="B27" s="18">
        <f>'19'!B36</f>
        <v>3.4712500000000008</v>
      </c>
      <c r="C27" s="18">
        <f>'19'!C36</f>
        <v>0.78375000000000006</v>
      </c>
      <c r="D27" s="18">
        <f>'19'!D36</f>
        <v>4.5420833333333333</v>
      </c>
      <c r="E27" s="18">
        <f>'19'!E36</f>
        <v>20.215833333333332</v>
      </c>
      <c r="F27" s="18">
        <f>'19'!F36</f>
        <v>26.547083333333333</v>
      </c>
      <c r="G27" s="18">
        <f>'19'!G36</f>
        <v>60.586666666666666</v>
      </c>
      <c r="H27" s="18">
        <f>'19'!H36</f>
        <v>22.390416666666663</v>
      </c>
      <c r="I27" s="18">
        <f>'19'!I36</f>
        <v>8.5066666666666642</v>
      </c>
      <c r="J27" s="18">
        <f>'19'!J36</f>
        <v>0.40416666666666673</v>
      </c>
      <c r="K27" s="18">
        <f>'19'!K36</f>
        <v>221.75374999999997</v>
      </c>
      <c r="L27" s="18">
        <f>'19'!L36</f>
        <v>33.807083333333331</v>
      </c>
      <c r="M27" s="18">
        <f>'19'!M36</f>
        <v>44.427500000000009</v>
      </c>
      <c r="N27" s="18">
        <f>'19'!N36</f>
        <v>267.42916666666667</v>
      </c>
      <c r="O27" s="18">
        <f>'19'!O36</f>
        <v>0</v>
      </c>
      <c r="P27" s="18">
        <f>'19'!P36</f>
        <v>0.6549999999999998</v>
      </c>
      <c r="Q27" s="18">
        <f>'19'!Q36</f>
        <v>4.9137500000000003</v>
      </c>
      <c r="R27" s="38"/>
      <c r="S27" s="38"/>
      <c r="T27" s="38"/>
      <c r="U27" s="36"/>
    </row>
    <row r="28" spans="1:24" s="2" customFormat="1">
      <c r="A28" s="16">
        <f>'20'!$B$2</f>
        <v>45402.041666666664</v>
      </c>
      <c r="B28" s="18">
        <f>'20'!B36</f>
        <v>7.4195833333333328</v>
      </c>
      <c r="C28" s="18">
        <f>'20'!C36</f>
        <v>7.0508333333333342</v>
      </c>
      <c r="D28" s="18">
        <f>'20'!D36</f>
        <v>14.886250000000004</v>
      </c>
      <c r="E28" s="18">
        <f>'20'!E36</f>
        <v>21.724999999999998</v>
      </c>
      <c r="F28" s="18">
        <f>'20'!F36</f>
        <v>43.724583333333328</v>
      </c>
      <c r="G28" s="18">
        <f>'20'!G36</f>
        <v>52.122173913043483</v>
      </c>
      <c r="H28" s="18">
        <f>'20'!H36</f>
        <v>19.136956521739137</v>
      </c>
      <c r="I28" s="18">
        <f>'20'!I36</f>
        <v>13.977083333333331</v>
      </c>
      <c r="J28" s="18">
        <f>'20'!J36</f>
        <v>0.50833333333333353</v>
      </c>
      <c r="K28" s="18">
        <f>'20'!K36</f>
        <v>218.01249999999996</v>
      </c>
      <c r="L28" s="18">
        <f>'20'!L36</f>
        <v>34.134999999999998</v>
      </c>
      <c r="M28" s="18">
        <f>'20'!M36</f>
        <v>42.671250000000008</v>
      </c>
      <c r="N28" s="18">
        <f>'20'!N36</f>
        <v>230.35</v>
      </c>
      <c r="O28" s="18">
        <f>'20'!O36</f>
        <v>0</v>
      </c>
      <c r="P28" s="18">
        <f>'20'!P36</f>
        <v>0.60791666666666677</v>
      </c>
      <c r="Q28" s="18">
        <f>'20'!Q36</f>
        <v>4.9112499999999999</v>
      </c>
      <c r="R28" s="38"/>
      <c r="S28" s="38"/>
      <c r="T28" s="38"/>
      <c r="U28" s="36"/>
    </row>
    <row r="29" spans="1:24" s="2" customFormat="1">
      <c r="A29" s="16">
        <f>'21'!$B$2</f>
        <v>45403.041666666664</v>
      </c>
      <c r="B29" s="18">
        <f>'21'!B36</f>
        <v>11.147083333333333</v>
      </c>
      <c r="C29" s="18">
        <f>'21'!C36</f>
        <v>13.428749999999999</v>
      </c>
      <c r="D29" s="18">
        <f>'21'!D36</f>
        <v>25.092916666666664</v>
      </c>
      <c r="E29" s="18">
        <f>'21'!E36</f>
        <v>20.113333333333333</v>
      </c>
      <c r="F29" s="18">
        <f>'21'!F36</f>
        <v>31.594166666666666</v>
      </c>
      <c r="G29" s="18">
        <f>'21'!G36</f>
        <v>46.758333333333326</v>
      </c>
      <c r="H29" s="18">
        <f>'21'!H36</f>
        <v>18.264583333333331</v>
      </c>
      <c r="I29" s="18">
        <f>'21'!I36</f>
        <v>6.2066666666666679</v>
      </c>
      <c r="J29" s="18">
        <f>'21'!J36</f>
        <v>0.57333333333333314</v>
      </c>
      <c r="K29" s="18">
        <f>'21'!K36</f>
        <v>255.93624999999997</v>
      </c>
      <c r="L29" s="18">
        <f>'21'!L36</f>
        <v>33.981666666666662</v>
      </c>
      <c r="M29" s="18">
        <f>'21'!M36</f>
        <v>42.964999999999996</v>
      </c>
      <c r="N29" s="18">
        <f>'21'!N36</f>
        <v>221.54166666666666</v>
      </c>
      <c r="O29" s="18">
        <f>'21'!O36</f>
        <v>0</v>
      </c>
      <c r="P29" s="18">
        <f>'21'!P36</f>
        <v>0.48416666666666669</v>
      </c>
      <c r="Q29" s="18" t="str">
        <f>'21'!Q36</f>
        <v>Data F</v>
      </c>
      <c r="R29" s="38"/>
      <c r="S29" s="38"/>
      <c r="T29" s="38"/>
      <c r="U29" s="36"/>
    </row>
    <row r="30" spans="1:24" s="2" customFormat="1">
      <c r="A30" s="16">
        <f>'22'!$B$2</f>
        <v>45404.041666666664</v>
      </c>
      <c r="B30" s="18">
        <f>'22'!B36</f>
        <v>11.413750000000002</v>
      </c>
      <c r="C30" s="18">
        <f>'22'!C36</f>
        <v>13.45458333333333</v>
      </c>
      <c r="D30" s="18">
        <f>'22'!D36</f>
        <v>25.323750000000004</v>
      </c>
      <c r="E30" s="18">
        <f>'22'!E36</f>
        <v>18.841666666666672</v>
      </c>
      <c r="F30" s="18">
        <f>'22'!F36</f>
        <v>12.497083333333331</v>
      </c>
      <c r="G30" s="18">
        <f>'22'!G36</f>
        <v>48.997083333333343</v>
      </c>
      <c r="H30" s="18">
        <f>'22'!H36</f>
        <v>16.380833333333332</v>
      </c>
      <c r="I30" s="18">
        <f>'22'!I36</f>
        <v>4.5875000000000012</v>
      </c>
      <c r="J30" s="18">
        <f>'22'!J36</f>
        <v>1.3795833333333334</v>
      </c>
      <c r="K30" s="18">
        <f>'22'!K36</f>
        <v>248.76458333333338</v>
      </c>
      <c r="L30" s="18">
        <f>'22'!L36</f>
        <v>30.0625</v>
      </c>
      <c r="M30" s="18">
        <f>'22'!M36</f>
        <v>51.857083333333343</v>
      </c>
      <c r="N30" s="18">
        <f>'22'!N36</f>
        <v>180.37500000000003</v>
      </c>
      <c r="O30" s="18">
        <f>'22'!O36</f>
        <v>0.20000000000000004</v>
      </c>
      <c r="P30" s="18">
        <f>'22'!P36</f>
        <v>0.51708333333333345</v>
      </c>
      <c r="Q30" s="18">
        <f>'22'!Q36</f>
        <v>4.9649999999999999</v>
      </c>
      <c r="R30" s="38"/>
      <c r="S30" s="36"/>
      <c r="T30" s="36"/>
      <c r="U30" s="36"/>
    </row>
    <row r="31" spans="1:24" s="2" customFormat="1">
      <c r="A31" s="16">
        <f>'23'!$B$2</f>
        <v>45405.041666666664</v>
      </c>
      <c r="B31" s="18">
        <f>'23'!B36</f>
        <v>11.297499999999999</v>
      </c>
      <c r="C31" s="18">
        <f>'23'!C36</f>
        <v>13.487916666666669</v>
      </c>
      <c r="D31" s="18">
        <f>'23'!D36</f>
        <v>25.248333333333335</v>
      </c>
      <c r="E31" s="18">
        <f>'23'!E36</f>
        <v>17.611250000000002</v>
      </c>
      <c r="F31" s="18">
        <f>'23'!F36</f>
        <v>14.095833333333331</v>
      </c>
      <c r="G31" s="18">
        <f>'23'!G36</f>
        <v>55.990416666666668</v>
      </c>
      <c r="H31" s="18">
        <f>'23'!H36</f>
        <v>19.200833333333332</v>
      </c>
      <c r="I31" s="18">
        <f>'23'!I36</f>
        <v>7.2795833333333348</v>
      </c>
      <c r="J31" s="18">
        <f>'23'!J36</f>
        <v>0.92416666666666669</v>
      </c>
      <c r="K31" s="18">
        <f>'23'!K36</f>
        <v>234.03083333333328</v>
      </c>
      <c r="L31" s="18">
        <f>'23'!L36</f>
        <v>29.987916666666674</v>
      </c>
      <c r="M31" s="18">
        <f>'23'!M36</f>
        <v>69.03</v>
      </c>
      <c r="N31" s="18">
        <f>'23'!N36</f>
        <v>257.05416666666667</v>
      </c>
      <c r="O31" s="18">
        <f>'23'!O36</f>
        <v>0.19166666666666668</v>
      </c>
      <c r="P31" s="18">
        <f>'23'!P36</f>
        <v>0.78416666666666668</v>
      </c>
      <c r="Q31" s="18">
        <f>'23'!Q36</f>
        <v>4.968571428571428</v>
      </c>
      <c r="R31" s="36"/>
      <c r="S31" s="36"/>
      <c r="T31" s="36"/>
      <c r="U31" s="36"/>
    </row>
    <row r="32" spans="1:24" s="2" customFormat="1">
      <c r="A32" s="16">
        <f>'24'!$B$2</f>
        <v>45406.041666666664</v>
      </c>
      <c r="B32" s="18">
        <f>'24'!B36</f>
        <v>11.411250000000001</v>
      </c>
      <c r="C32" s="18">
        <f>'24'!C36</f>
        <v>13.384583333333332</v>
      </c>
      <c r="D32" s="18">
        <f>'24'!D36</f>
        <v>25.285</v>
      </c>
      <c r="E32" s="18">
        <f>'24'!E36</f>
        <v>17.474583333333332</v>
      </c>
      <c r="F32" s="18">
        <f>'24'!F36</f>
        <v>14.229583333333331</v>
      </c>
      <c r="G32" s="18">
        <f>'24'!G36</f>
        <v>41.283333333333331</v>
      </c>
      <c r="H32" s="18">
        <f>'24'!H36</f>
        <v>13.915833333333337</v>
      </c>
      <c r="I32" s="18">
        <f>'24'!I36</f>
        <v>1.5920833333333333</v>
      </c>
      <c r="J32" s="18">
        <f>'24'!J36</f>
        <v>0.79666666666666652</v>
      </c>
      <c r="K32" s="18">
        <f>'24'!K36</f>
        <v>248.25041666666667</v>
      </c>
      <c r="L32" s="18">
        <f>'24'!L36</f>
        <v>31.48875</v>
      </c>
      <c r="M32" s="18">
        <f>'24'!M36</f>
        <v>56.035833333333329</v>
      </c>
      <c r="N32" s="18">
        <f>'24'!N36</f>
        <v>243.80416666666665</v>
      </c>
      <c r="O32" s="18">
        <f>'24'!O36</f>
        <v>8.3333333333333332E-3</v>
      </c>
      <c r="P32" s="18">
        <f>'24'!P36</f>
        <v>0.66000000000000014</v>
      </c>
      <c r="Q32" s="18">
        <f>'24'!Q36</f>
        <v>4.96</v>
      </c>
      <c r="R32" s="36"/>
      <c r="S32" s="36"/>
      <c r="T32" s="36"/>
      <c r="U32" s="36"/>
    </row>
    <row r="33" spans="1:21" s="2" customFormat="1">
      <c r="A33" s="16">
        <f>'25'!$B$2</f>
        <v>45407.041666666664</v>
      </c>
      <c r="B33" s="18">
        <f>'25'!B36</f>
        <v>11.394166666666665</v>
      </c>
      <c r="C33" s="18">
        <f>'25'!C36</f>
        <v>13.338333333333333</v>
      </c>
      <c r="D33" s="18">
        <f>'25'!D36</f>
        <v>25.245416666666657</v>
      </c>
      <c r="E33" s="18">
        <f>'25'!E36</f>
        <v>25.250000000000004</v>
      </c>
      <c r="F33" s="18">
        <f>'25'!F36</f>
        <v>26.116666666666671</v>
      </c>
      <c r="G33" s="18">
        <f>'25'!G36</f>
        <v>54.602499999999999</v>
      </c>
      <c r="H33" s="18">
        <f>'25'!H36</f>
        <v>22.019166666666667</v>
      </c>
      <c r="I33" s="18">
        <f>'25'!I36</f>
        <v>3.6974999999999998</v>
      </c>
      <c r="J33" s="18">
        <f>'25'!J36</f>
        <v>0.4479166666666668</v>
      </c>
      <c r="K33" s="18">
        <f>'25'!K36</f>
        <v>241.31500000000003</v>
      </c>
      <c r="L33" s="18">
        <f>'25'!L36</f>
        <v>32.567916666666669</v>
      </c>
      <c r="M33" s="18">
        <f>'25'!M36</f>
        <v>55.14041666666666</v>
      </c>
      <c r="N33" s="18">
        <f>'25'!N36</f>
        <v>236.6875</v>
      </c>
      <c r="O33" s="18">
        <f>'25'!O36</f>
        <v>0</v>
      </c>
      <c r="P33" s="18">
        <f>'25'!P36</f>
        <v>0.7316666666666668</v>
      </c>
      <c r="Q33" s="18">
        <f>'25'!Q36</f>
        <v>4.9771428571428578</v>
      </c>
      <c r="R33" s="36"/>
      <c r="S33" s="36"/>
      <c r="T33" s="36"/>
      <c r="U33" s="36"/>
    </row>
    <row r="34" spans="1:21" s="2" customFormat="1">
      <c r="A34" s="16">
        <f>'26'!$B$2</f>
        <v>45408.041666666664</v>
      </c>
      <c r="B34" s="18">
        <f>'26'!B36</f>
        <v>11.371250000000002</v>
      </c>
      <c r="C34" s="18">
        <f>'26'!C36</f>
        <v>13.293750000000001</v>
      </c>
      <c r="D34" s="18">
        <f>'26'!D36</f>
        <v>25.203333333333333</v>
      </c>
      <c r="E34" s="18">
        <f>'26'!E36</f>
        <v>22.228333333333335</v>
      </c>
      <c r="F34" s="18">
        <f>'26'!F36</f>
        <v>18.531666666666666</v>
      </c>
      <c r="G34" s="18">
        <f>'26'!G36</f>
        <v>50.679166666666681</v>
      </c>
      <c r="H34" s="18">
        <f>'26'!H36</f>
        <v>20.514166666666668</v>
      </c>
      <c r="I34" s="18">
        <f>'26'!I36</f>
        <v>8.0037500000000019</v>
      </c>
      <c r="J34" s="18">
        <f>'26'!J36</f>
        <v>0.81458333333333333</v>
      </c>
      <c r="K34" s="18">
        <f>'26'!K36</f>
        <v>261.04500000000002</v>
      </c>
      <c r="L34" s="18">
        <f>'26'!L36</f>
        <v>33.864583333333336</v>
      </c>
      <c r="M34" s="18">
        <f>'26'!M36</f>
        <v>41.639583333333341</v>
      </c>
      <c r="N34" s="18">
        <f>'26'!N36</f>
        <v>238.7833333333333</v>
      </c>
      <c r="O34" s="18">
        <f>'26'!O36</f>
        <v>0</v>
      </c>
      <c r="P34" s="18">
        <f>'26'!P36</f>
        <v>0.65249999999999997</v>
      </c>
      <c r="Q34" s="18" t="str">
        <f>'26'!Q36</f>
        <v>Data F</v>
      </c>
      <c r="R34" s="36"/>
      <c r="S34" s="36"/>
      <c r="T34" s="36"/>
      <c r="U34" s="36"/>
    </row>
    <row r="35" spans="1:21" s="2" customFormat="1">
      <c r="A35" s="16">
        <f>'27'!$B$2</f>
        <v>45409.041666666664</v>
      </c>
      <c r="B35" s="18">
        <f>'27'!B36</f>
        <v>11.247916666666669</v>
      </c>
      <c r="C35" s="18">
        <f>'27'!C36</f>
        <v>13.255833333333337</v>
      </c>
      <c r="D35" s="18">
        <f>'27'!D36</f>
        <v>25.082083333333333</v>
      </c>
      <c r="E35" s="18">
        <f>'27'!E36</f>
        <v>22.712499999999995</v>
      </c>
      <c r="F35" s="18">
        <f>'27'!F36</f>
        <v>24.131666666666664</v>
      </c>
      <c r="G35" s="18">
        <f>'27'!G36</f>
        <v>53.818750000000001</v>
      </c>
      <c r="H35" s="18">
        <f>'27'!H36</f>
        <v>19.833749999999998</v>
      </c>
      <c r="I35" s="18">
        <f>'27'!I36</f>
        <v>7.0416666666666679</v>
      </c>
      <c r="J35" s="18">
        <f>'27'!J36</f>
        <v>0.48583333333333339</v>
      </c>
      <c r="K35" s="18">
        <f>'27'!K36</f>
        <v>237.96083333333334</v>
      </c>
      <c r="L35" s="18">
        <f>'27'!L36</f>
        <v>32.810833333333335</v>
      </c>
      <c r="M35" s="18">
        <f>'27'!M36</f>
        <v>44.525416666666665</v>
      </c>
      <c r="N35" s="18">
        <f>'27'!N36</f>
        <v>219.06250000000003</v>
      </c>
      <c r="O35" s="18">
        <f>'27'!O36</f>
        <v>0</v>
      </c>
      <c r="P35" s="18">
        <f>'27'!P36</f>
        <v>0.65833333333333333</v>
      </c>
      <c r="Q35" s="18" t="str">
        <f>'27'!Q36</f>
        <v>Data F</v>
      </c>
      <c r="R35" s="36"/>
      <c r="S35" s="36"/>
      <c r="T35" s="36"/>
      <c r="U35" s="36"/>
    </row>
    <row r="36" spans="1:21" s="2" customFormat="1">
      <c r="A36" s="16">
        <f>'28'!$B$2</f>
        <v>45410.041666666664</v>
      </c>
      <c r="B36" s="18">
        <f>'28'!B36</f>
        <v>11.301250000000001</v>
      </c>
      <c r="C36" s="18">
        <f>'28'!C36</f>
        <v>13.264583333333333</v>
      </c>
      <c r="D36" s="18">
        <f>'28'!D36</f>
        <v>25.133333333333329</v>
      </c>
      <c r="E36" s="18">
        <f>'28'!E36</f>
        <v>21.068750000000001</v>
      </c>
      <c r="F36" s="18">
        <f>'28'!F36</f>
        <v>8.8145833333333314</v>
      </c>
      <c r="G36" s="18">
        <f>'28'!G36</f>
        <v>64.532499999999985</v>
      </c>
      <c r="H36" s="18">
        <f>'28'!H36</f>
        <v>21.873750000000001</v>
      </c>
      <c r="I36" s="18">
        <f>'28'!I36</f>
        <v>9.2333333333333361</v>
      </c>
      <c r="J36" s="18">
        <f>'28'!J36</f>
        <v>0.84666666666666679</v>
      </c>
      <c r="K36" s="18">
        <f>'28'!K36</f>
        <v>163.34499999999997</v>
      </c>
      <c r="L36" s="18">
        <f>'28'!L36</f>
        <v>30.279166666666669</v>
      </c>
      <c r="M36" s="18">
        <f>'28'!M36</f>
        <v>56.007083333333334</v>
      </c>
      <c r="N36" s="18">
        <f>'28'!N36</f>
        <v>167.80416666666667</v>
      </c>
      <c r="O36" s="18">
        <f>'28'!O36</f>
        <v>0</v>
      </c>
      <c r="P36" s="18">
        <f>'28'!P36</f>
        <v>0.84083333333333343</v>
      </c>
      <c r="Q36" s="18">
        <f>'28'!Q36</f>
        <v>4.95</v>
      </c>
      <c r="R36" s="36"/>
      <c r="S36" s="36"/>
      <c r="T36" s="36"/>
      <c r="U36" s="36"/>
    </row>
    <row r="37" spans="1:21" s="2" customFormat="1">
      <c r="A37" s="16">
        <f>'29'!$B$2</f>
        <v>45411.041666666664</v>
      </c>
      <c r="B37" s="18">
        <f>'29'!B36</f>
        <v>11.50333333333333</v>
      </c>
      <c r="C37" s="18">
        <f>'29'!C36</f>
        <v>13.309999999999997</v>
      </c>
      <c r="D37" s="18">
        <f>'29'!D36</f>
        <v>25.317500000000006</v>
      </c>
      <c r="E37" s="18">
        <f>'29'!E36</f>
        <v>19.17625</v>
      </c>
      <c r="F37" s="18">
        <f>'29'!F36</f>
        <v>17.190416666666671</v>
      </c>
      <c r="G37" s="18">
        <f>'29'!G36</f>
        <v>80.121250000000003</v>
      </c>
      <c r="H37" s="18">
        <f>'29'!H36</f>
        <v>30.430416666666662</v>
      </c>
      <c r="I37" s="18">
        <f>'29'!I36</f>
        <v>9.5995833333333334</v>
      </c>
      <c r="J37" s="18">
        <f>'29'!J36</f>
        <v>0.64291666666666658</v>
      </c>
      <c r="K37" s="18">
        <f>'29'!K36</f>
        <v>253.61708333333331</v>
      </c>
      <c r="L37" s="18">
        <f>'29'!L36</f>
        <v>32.946666666666665</v>
      </c>
      <c r="M37" s="18">
        <f>'29'!M36</f>
        <v>51.049583333333324</v>
      </c>
      <c r="N37" s="18">
        <f>'29'!N36</f>
        <v>218.01249999999996</v>
      </c>
      <c r="O37" s="18">
        <f>'29'!O36</f>
        <v>0</v>
      </c>
      <c r="P37" s="18">
        <f>'29'!P36</f>
        <v>0.90374999999999972</v>
      </c>
      <c r="Q37" s="18" t="str">
        <f>'29'!Q36</f>
        <v>Data F</v>
      </c>
      <c r="R37" s="36"/>
      <c r="S37" s="36"/>
      <c r="T37" s="36"/>
      <c r="U37" s="36"/>
    </row>
    <row r="38" spans="1:21" s="2" customFormat="1">
      <c r="A38" s="16">
        <f>'30'!$B$2</f>
        <v>45412.041666666664</v>
      </c>
      <c r="B38" s="18">
        <f>'30'!B36</f>
        <v>11.361666666666665</v>
      </c>
      <c r="C38" s="18">
        <f>'30'!C36</f>
        <v>13.189166666666665</v>
      </c>
      <c r="D38" s="18">
        <f>'30'!D36</f>
        <v>25.138333333333335</v>
      </c>
      <c r="E38" s="18">
        <f>'30'!E36</f>
        <v>23.681249999999995</v>
      </c>
      <c r="F38" s="18">
        <f>'30'!F36</f>
        <v>34.791666666666679</v>
      </c>
      <c r="G38" s="18">
        <f>'30'!G36</f>
        <v>48.45809523809524</v>
      </c>
      <c r="H38" s="18">
        <f>'30'!H36</f>
        <v>20.49190476190476</v>
      </c>
      <c r="I38" s="18">
        <f>'30'!I36</f>
        <v>5.9162500000000007</v>
      </c>
      <c r="J38" s="18">
        <f>'30'!J36</f>
        <v>0.83458333333333323</v>
      </c>
      <c r="K38" s="18">
        <f>'30'!K36</f>
        <v>259.73041666666666</v>
      </c>
      <c r="L38" s="18">
        <f>'30'!L36</f>
        <v>34.936250000000001</v>
      </c>
      <c r="M38" s="18">
        <f>'30'!M36</f>
        <v>43.158333333333331</v>
      </c>
      <c r="N38" s="18">
        <f>'30'!N36</f>
        <v>229.84583333333339</v>
      </c>
      <c r="O38" s="18">
        <f>'30'!O36</f>
        <v>0</v>
      </c>
      <c r="P38" s="18">
        <f>'30'!P36</f>
        <v>0.66625000000000012</v>
      </c>
      <c r="Q38" s="18" t="str">
        <f>'30'!Q36</f>
        <v>Data F</v>
      </c>
      <c r="R38" s="36"/>
      <c r="S38" s="36"/>
      <c r="T38" s="36"/>
      <c r="U38" s="36"/>
    </row>
    <row r="39" spans="1:21" s="1" customFormat="1">
      <c r="A39"/>
      <c r="R39" s="40"/>
      <c r="S39" s="40"/>
      <c r="T39" s="40"/>
      <c r="U39" s="40"/>
    </row>
    <row r="40" spans="1:21" s="1" customFormat="1">
      <c r="A40" s="3" t="s">
        <v>48</v>
      </c>
      <c r="B40" s="20">
        <f t="shared" ref="B40:Q40" si="0">MIN(B9:B38)</f>
        <v>3.4712500000000008</v>
      </c>
      <c r="C40" s="20">
        <f t="shared" si="0"/>
        <v>0.78375000000000006</v>
      </c>
      <c r="D40" s="20">
        <f t="shared" si="0"/>
        <v>4.5420833333333333</v>
      </c>
      <c r="E40" s="20">
        <f t="shared" si="0"/>
        <v>10.67</v>
      </c>
      <c r="F40" s="20">
        <f t="shared" si="0"/>
        <v>3.2624999999999993</v>
      </c>
      <c r="G40" s="20">
        <f t="shared" si="0"/>
        <v>28.055833333333336</v>
      </c>
      <c r="H40" s="20">
        <f t="shared" si="0"/>
        <v>9.7166666666666632</v>
      </c>
      <c r="I40" s="20">
        <f t="shared" si="0"/>
        <v>1.5920833333333333</v>
      </c>
      <c r="J40" s="20">
        <f t="shared" si="0"/>
        <v>0.35499999999999993</v>
      </c>
      <c r="K40" s="20">
        <f t="shared" si="0"/>
        <v>157.24041666666668</v>
      </c>
      <c r="L40" s="20">
        <f t="shared" si="0"/>
        <v>22.209583333333331</v>
      </c>
      <c r="M40" s="20">
        <f t="shared" si="0"/>
        <v>35.045416666666661</v>
      </c>
      <c r="N40" s="20">
        <f t="shared" si="0"/>
        <v>76.229166666666671</v>
      </c>
      <c r="O40" s="20">
        <f t="shared" si="0"/>
        <v>0</v>
      </c>
      <c r="P40" s="20">
        <f t="shared" si="0"/>
        <v>0.48166666666666674</v>
      </c>
      <c r="Q40" s="20">
        <f t="shared" si="0"/>
        <v>4.9112499999999999</v>
      </c>
      <c r="R40" s="40"/>
      <c r="S40" s="40"/>
      <c r="T40" s="40"/>
      <c r="U40" s="40"/>
    </row>
    <row r="41" spans="1:21" s="1" customFormat="1">
      <c r="A41" s="3" t="s">
        <v>49</v>
      </c>
      <c r="B41" s="20">
        <f t="shared" ref="B41:Q41" si="1">MAX(B9:B38)</f>
        <v>18.69761904761905</v>
      </c>
      <c r="C41" s="20">
        <f t="shared" si="1"/>
        <v>29.517916666666665</v>
      </c>
      <c r="D41" s="20">
        <f t="shared" si="1"/>
        <v>27.331428571428575</v>
      </c>
      <c r="E41" s="20">
        <f t="shared" si="1"/>
        <v>25.945833333333329</v>
      </c>
      <c r="F41" s="20">
        <f t="shared" si="1"/>
        <v>43.724583333333328</v>
      </c>
      <c r="G41" s="20">
        <f t="shared" si="1"/>
        <v>125.37208333333332</v>
      </c>
      <c r="H41" s="20">
        <f t="shared" si="1"/>
        <v>48.514166666666675</v>
      </c>
      <c r="I41" s="20">
        <f t="shared" si="1"/>
        <v>28.262499999999992</v>
      </c>
      <c r="J41" s="20">
        <f t="shared" si="1"/>
        <v>1.3795833333333334</v>
      </c>
      <c r="K41" s="20">
        <f t="shared" si="1"/>
        <v>271.93416666666661</v>
      </c>
      <c r="L41" s="20">
        <f t="shared" si="1"/>
        <v>34.936250000000001</v>
      </c>
      <c r="M41" s="20">
        <f t="shared" si="1"/>
        <v>92.361666666666636</v>
      </c>
      <c r="N41" s="20">
        <f t="shared" si="1"/>
        <v>273.95</v>
      </c>
      <c r="O41" s="20">
        <f t="shared" si="1"/>
        <v>0.5</v>
      </c>
      <c r="P41" s="20">
        <f t="shared" si="1"/>
        <v>1.1391666666666669</v>
      </c>
      <c r="Q41" s="20">
        <f t="shared" si="1"/>
        <v>5.1133333333333342</v>
      </c>
      <c r="R41" s="40"/>
      <c r="S41" s="40"/>
      <c r="T41" s="40"/>
      <c r="U41" s="40"/>
    </row>
    <row r="42" spans="1:21" s="1" customFormat="1">
      <c r="A42" s="3" t="s">
        <v>50</v>
      </c>
      <c r="B42" s="20">
        <f t="shared" ref="B42:Q42" si="2">AVERAGE(B9:B38)</f>
        <v>9.8695277777777779</v>
      </c>
      <c r="C42" s="20">
        <f t="shared" si="2"/>
        <v>17.194380952380957</v>
      </c>
      <c r="D42" s="20">
        <f t="shared" si="2"/>
        <v>20.910837301587307</v>
      </c>
      <c r="E42" s="20">
        <f t="shared" si="2"/>
        <v>17.793069805194804</v>
      </c>
      <c r="F42" s="20">
        <f t="shared" si="2"/>
        <v>17.066813405797099</v>
      </c>
      <c r="G42" s="20">
        <f t="shared" si="2"/>
        <v>60.68711809868875</v>
      </c>
      <c r="H42" s="20">
        <f t="shared" si="2"/>
        <v>23.564038762364856</v>
      </c>
      <c r="I42" s="20">
        <f t="shared" si="2"/>
        <v>8.5160972222222213</v>
      </c>
      <c r="J42" s="20">
        <f t="shared" si="2"/>
        <v>0.66776388888888893</v>
      </c>
      <c r="K42" s="20">
        <f t="shared" si="2"/>
        <v>233.83211111111115</v>
      </c>
      <c r="L42" s="20">
        <f t="shared" si="2"/>
        <v>30.819194444444456</v>
      </c>
      <c r="M42" s="20">
        <f t="shared" si="2"/>
        <v>56.564138888888891</v>
      </c>
      <c r="N42" s="20">
        <f t="shared" si="2"/>
        <v>211.52986111111113</v>
      </c>
      <c r="O42" s="20">
        <f t="shared" si="2"/>
        <v>5.4166666666666669E-2</v>
      </c>
      <c r="P42" s="20">
        <f t="shared" si="2"/>
        <v>0.72239251207729471</v>
      </c>
      <c r="Q42" s="20">
        <f t="shared" si="2"/>
        <v>5.0077530812324929</v>
      </c>
      <c r="R42" s="40"/>
      <c r="S42" s="40"/>
      <c r="T42" s="40"/>
      <c r="U42" s="40"/>
    </row>
    <row r="43" spans="1:21" s="1" customFormat="1">
      <c r="A43" s="3" t="s">
        <v>51</v>
      </c>
      <c r="B43" s="20">
        <f t="shared" ref="B43:Q43" si="3">STDEV(B9:B38)</f>
        <v>3.3802346408077977</v>
      </c>
      <c r="C43" s="20">
        <f t="shared" si="3"/>
        <v>8.5990673749368689</v>
      </c>
      <c r="D43" s="20">
        <f t="shared" si="3"/>
        <v>6.6493019321973925</v>
      </c>
      <c r="E43" s="20">
        <f t="shared" si="3"/>
        <v>4.303362859571596</v>
      </c>
      <c r="F43" s="20">
        <f t="shared" si="3"/>
        <v>9.8999098957541758</v>
      </c>
      <c r="G43" s="20">
        <f t="shared" si="3"/>
        <v>22.22312955519104</v>
      </c>
      <c r="H43" s="20">
        <f t="shared" si="3"/>
        <v>8.6140634048846216</v>
      </c>
      <c r="I43" s="20">
        <f t="shared" si="3"/>
        <v>4.6442563975980011</v>
      </c>
      <c r="J43" s="20">
        <f t="shared" si="3"/>
        <v>0.2264991426693464</v>
      </c>
      <c r="K43" s="20">
        <f t="shared" si="3"/>
        <v>27.843526825142185</v>
      </c>
      <c r="L43" s="20">
        <f t="shared" si="3"/>
        <v>3.3944800348588684</v>
      </c>
      <c r="M43" s="20">
        <f t="shared" si="3"/>
        <v>16.266075084979125</v>
      </c>
      <c r="N43" s="20">
        <f t="shared" si="3"/>
        <v>46.975087311525442</v>
      </c>
      <c r="O43" s="20">
        <f t="shared" si="3"/>
        <v>0.12043881294182224</v>
      </c>
      <c r="P43" s="20">
        <f t="shared" si="3"/>
        <v>0.15423951812608885</v>
      </c>
      <c r="Q43" s="20">
        <f t="shared" si="3"/>
        <v>6.0694839423693837E-2</v>
      </c>
      <c r="R43" s="33"/>
      <c r="S43" s="33"/>
      <c r="T43" s="33"/>
      <c r="U43" s="33"/>
    </row>
    <row r="44" spans="1:21" s="1" customFormat="1">
      <c r="A44" s="3" t="s">
        <v>52</v>
      </c>
      <c r="B44" s="6">
        <f t="shared" ref="B44:Q44" si="4">COUNT(B9:B38)</f>
        <v>30</v>
      </c>
      <c r="C44" s="6">
        <f t="shared" si="4"/>
        <v>30</v>
      </c>
      <c r="D44" s="6">
        <f t="shared" si="4"/>
        <v>30</v>
      </c>
      <c r="E44" s="6">
        <f t="shared" si="4"/>
        <v>30</v>
      </c>
      <c r="F44" s="6">
        <f t="shared" si="4"/>
        <v>30</v>
      </c>
      <c r="G44" s="6">
        <f t="shared" si="4"/>
        <v>30</v>
      </c>
      <c r="H44" s="6">
        <f t="shared" si="4"/>
        <v>30</v>
      </c>
      <c r="I44" s="6">
        <f t="shared" si="4"/>
        <v>30</v>
      </c>
      <c r="J44" s="6">
        <f t="shared" si="4"/>
        <v>30</v>
      </c>
      <c r="K44" s="6">
        <f t="shared" si="4"/>
        <v>30</v>
      </c>
      <c r="L44" s="6">
        <f t="shared" si="4"/>
        <v>30</v>
      </c>
      <c r="M44" s="6">
        <f t="shared" si="4"/>
        <v>30</v>
      </c>
      <c r="N44" s="6">
        <f t="shared" si="4"/>
        <v>30</v>
      </c>
      <c r="O44" s="6">
        <f t="shared" si="4"/>
        <v>30</v>
      </c>
      <c r="P44" s="6">
        <f t="shared" si="4"/>
        <v>30</v>
      </c>
      <c r="Q44" s="6">
        <f t="shared" si="4"/>
        <v>25</v>
      </c>
      <c r="R44" s="33"/>
      <c r="S44" s="33"/>
      <c r="T44" s="33"/>
      <c r="U44" s="33"/>
    </row>
    <row r="45" spans="1:21" s="1" customFormat="1">
      <c r="A45" s="3" t="s">
        <v>53</v>
      </c>
      <c r="B45" s="6" t="str">
        <f>IF(B44&gt;=28,"&gt;90%",IF(B44&lt;=28,"&lt;90%"))</f>
        <v>&gt;90%</v>
      </c>
      <c r="C45" s="6" t="str">
        <f t="shared" ref="C45:Q45" si="5">IF(C44&gt;=28,"&gt;90%",IF(C44&lt;=28,"&lt;90%"))</f>
        <v>&gt;90%</v>
      </c>
      <c r="D45" s="6" t="str">
        <f t="shared" si="5"/>
        <v>&gt;90%</v>
      </c>
      <c r="E45" s="6" t="str">
        <f t="shared" si="5"/>
        <v>&gt;90%</v>
      </c>
      <c r="F45" s="6" t="str">
        <f t="shared" si="5"/>
        <v>&gt;90%</v>
      </c>
      <c r="G45" s="6" t="str">
        <f t="shared" si="5"/>
        <v>&gt;90%</v>
      </c>
      <c r="H45" s="6" t="str">
        <f t="shared" si="5"/>
        <v>&gt;90%</v>
      </c>
      <c r="I45" s="6" t="str">
        <f t="shared" si="5"/>
        <v>&gt;90%</v>
      </c>
      <c r="J45" s="6" t="str">
        <f t="shared" si="5"/>
        <v>&gt;90%</v>
      </c>
      <c r="K45" s="6" t="str">
        <f t="shared" si="5"/>
        <v>&gt;90%</v>
      </c>
      <c r="L45" s="6" t="str">
        <f t="shared" si="5"/>
        <v>&gt;90%</v>
      </c>
      <c r="M45" s="6" t="str">
        <f t="shared" si="5"/>
        <v>&gt;90%</v>
      </c>
      <c r="N45" s="6" t="str">
        <f t="shared" si="5"/>
        <v>&gt;90%</v>
      </c>
      <c r="O45" s="6" t="str">
        <f t="shared" si="5"/>
        <v>&gt;90%</v>
      </c>
      <c r="P45" s="6" t="str">
        <f t="shared" si="5"/>
        <v>&gt;90%</v>
      </c>
      <c r="Q45" s="6" t="str">
        <f t="shared" si="5"/>
        <v>&lt;90%</v>
      </c>
      <c r="R45" s="33"/>
      <c r="S45" s="33"/>
      <c r="T45" s="33"/>
      <c r="U45" s="33"/>
    </row>
    <row r="46" spans="1:21">
      <c r="A46" s="3" t="s">
        <v>54</v>
      </c>
      <c r="B46" s="6" t="str">
        <f>IF(B44&gt;=28,"OK",IF(B44&lt;=28,"LESS"))</f>
        <v>OK</v>
      </c>
      <c r="C46" s="6" t="str">
        <f t="shared" ref="C46:Q46" si="6">IF(C44&gt;=28,"OK",IF(C44&lt;=28,"LESS"))</f>
        <v>OK</v>
      </c>
      <c r="D46" s="6" t="str">
        <f t="shared" si="6"/>
        <v>OK</v>
      </c>
      <c r="E46" s="6" t="str">
        <f t="shared" si="6"/>
        <v>OK</v>
      </c>
      <c r="F46" s="6" t="str">
        <f t="shared" si="6"/>
        <v>OK</v>
      </c>
      <c r="G46" s="6" t="str">
        <f t="shared" si="6"/>
        <v>OK</v>
      </c>
      <c r="H46" s="6" t="str">
        <f t="shared" si="6"/>
        <v>OK</v>
      </c>
      <c r="I46" s="6" t="str">
        <f t="shared" si="6"/>
        <v>OK</v>
      </c>
      <c r="J46" s="6" t="str">
        <f t="shared" si="6"/>
        <v>OK</v>
      </c>
      <c r="K46" s="6" t="str">
        <f t="shared" si="6"/>
        <v>OK</v>
      </c>
      <c r="L46" s="6" t="str">
        <f t="shared" si="6"/>
        <v>OK</v>
      </c>
      <c r="M46" s="6" t="str">
        <f t="shared" si="6"/>
        <v>OK</v>
      </c>
      <c r="N46" s="6" t="str">
        <f t="shared" si="6"/>
        <v>OK</v>
      </c>
      <c r="O46" s="6" t="str">
        <f t="shared" si="6"/>
        <v>OK</v>
      </c>
      <c r="P46" s="6" t="str">
        <f t="shared" si="6"/>
        <v>OK</v>
      </c>
      <c r="Q46" s="6" t="str">
        <f t="shared" si="6"/>
        <v>LESS</v>
      </c>
      <c r="R46" s="1"/>
      <c r="S46" s="1"/>
      <c r="T46" s="1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9" spans="1:16">
      <c r="A49" s="3" t="s">
        <v>55</v>
      </c>
      <c r="B49" s="21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22"/>
      <c r="B50" s="1"/>
      <c r="C50" s="1"/>
      <c r="D50" s="23"/>
      <c r="E50" s="23"/>
      <c r="F50" s="23"/>
      <c r="G50" s="23"/>
      <c r="H50" s="23"/>
      <c r="I50" s="23"/>
      <c r="J50" s="1"/>
      <c r="K50" s="1"/>
      <c r="L50" s="1"/>
      <c r="M50" s="1"/>
      <c r="N50" s="1"/>
      <c r="O50" s="1"/>
      <c r="P50" s="1"/>
    </row>
    <row r="51" spans="1:16" ht="15.75">
      <c r="A51" s="24" t="s">
        <v>57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</row>
    <row r="52" spans="1:16">
      <c r="A52" s="2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2024-05-14T12:55:53Z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